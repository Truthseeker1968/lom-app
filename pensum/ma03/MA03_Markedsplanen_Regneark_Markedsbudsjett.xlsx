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kelt" sheetId="1" state="visible" r:id="rId3"/>
    <sheet name="Veiledning" sheetId="2" state="visible" r:id="rId4"/>
    <sheet name="Budsjett" sheetId="3" state="visible" r:id="rId5"/>
    <sheet name="Nullpunkt" sheetId="4" state="visible" r:id="rId6"/>
    <sheet name="Scenario" sheetId="5" state="visible" r:id="rId7"/>
    <sheet name="Din egen avdel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<sst xmlns="http://schemas.openxmlformats.org/spreadsheetml/2006/main" count="290" uniqueCount="263">
  <si>
    <t xml:space="preserve">Bærer delmålene hovedmålet? Den enkle versjonen</t>
  </si>
  <si>
    <t xml:space="preserve">Fyll inn de sju gule cellene. Svaret står i den grønne. Alt annet regner seg selv. Vil du gå dypere, ligger hele markedsbudsjettet i arkene bak.</t>
  </si>
  <si>
    <t xml:space="preserve">Det du vet</t>
  </si>
  <si>
    <t xml:space="preserve">Hvor mange solcelleanlegg leverte dere i fjor?</t>
  </si>
  <si>
    <t xml:space="preserve">Antall anlegg avdelingen leverte i 2026.</t>
  </si>
  <si>
    <t xml:space="preserve">Hvor mange ladepunkt leverte dere i fjor?</t>
  </si>
  <si>
    <t xml:space="preserve">Antall ladepunkt i 2026.</t>
  </si>
  <si>
    <t xml:space="preserve">Hvor mange solcelleanlegg er delmålet for neste år?</t>
  </si>
  <si>
    <t xml:space="preserve">Delmålet for solcelleanlegg i markedsplanen.</t>
  </si>
  <si>
    <t xml:space="preserve">Hvor mange ladepunkt er delmålet for neste år?</t>
  </si>
  <si>
    <t xml:space="preserve">Delmålet for ladepunkt i markedsplanen.</t>
  </si>
  <si>
    <t xml:space="preserve">Hva koster ett solcelleanlegg, uten mva.?</t>
  </si>
  <si>
    <t xml:space="preserve">Snittprisen kunden betaler for ett anlegg.</t>
  </si>
  <si>
    <t xml:space="preserve">Hva koster ett ladepunkt, uten mva.?</t>
  </si>
  <si>
    <t xml:space="preserve">Snittprisen kunden betaler for ett ladepunkt.</t>
  </si>
  <si>
    <t xml:space="preserve">Hvor mye skal omsetningen vokse, ifølge hovedmålet?</t>
  </si>
  <si>
    <t xml:space="preserve">Hovedmålet i markedsplanen. 20 prosent skrives som 0,20.</t>
  </si>
  <si>
    <t xml:space="preserve">Regnestykket</t>
  </si>
  <si>
    <t xml:space="preserve">Omsetning i fjor</t>
  </si>
  <si>
    <t xml:space="preserve">Anlegg ganger pris, pluss ladepunkt ganger pris.</t>
  </si>
  <si>
    <t xml:space="preserve">Omsetning hovedmålet krever</t>
  </si>
  <si>
    <t xml:space="preserve">Omsetningen i fjor pluss veksten i hovedmålet.</t>
  </si>
  <si>
    <t xml:space="preserve">Omsetning hvis delmålene nås</t>
  </si>
  <si>
    <t xml:space="preserve">Samme regnestykke, med delmålene i stedet for fjorårets tall.</t>
  </si>
  <si>
    <t xml:space="preserve">VEKST HVIS DELMÅLENE NÅS</t>
  </si>
  <si>
    <t xml:space="preserve">Sammenlikn med hovedmålet. Delmålene skal gi litt mer, ikke akkurat det samme.</t>
  </si>
  <si>
    <t xml:space="preserve">Margin over hovedmålet, i kroner</t>
  </si>
  <si>
    <t xml:space="preserve">Over null: delmålene bærer hovedmålet. Under null: de gjør det ikke.</t>
  </si>
  <si>
    <t xml:space="preserve">Hva svaret betyr</t>
  </si>
  <si>
    <t xml:space="preserve">Prøv selv</t>
  </si>
  <si>
    <t xml:space="preserve">1. Sett delmålet for ladepunkt (B8) til 200. Bærer delmålene fortsatt hovedmålet?</t>
  </si>
  <si>
    <t xml:space="preserve">2. Sett hovedmålet (B11) til 25 %. Hva skjer med marginen?</t>
  </si>
  <si>
    <t xml:space="preserve">3. Hvor mange solcelleanlegg (B7) trengs for at marginen akkurat skal bli over null?</t>
  </si>
  <si>
    <t xml:space="preserve">Tallene er Nordlys Elektro AS sine for solcelle- og ladeavdelingen, 2026 og målet for 2027 (sammendraget og arket Budsjett). Kilde: Markedsføring, organisasjon og ledelse for LØM-emnet, kap. 3.4. Nordlys Elektro AS er en konstruert casebedrift.</t>
  </si>
  <si>
    <t xml:space="preserve">Markedsbudsjett for solcelle- og ladeavdelingen</t>
  </si>
  <si>
    <t xml:space="preserve">LØM Markedsføring kap. 3 · arbeidsregneark · Fagskolen Oslo, Avdeling Elkraft</t>
  </si>
  <si>
    <t xml:space="preserve">Emne: Teknisk kommunikasjon og ledelse for 1ET-klassene · LØM for 2ET, 2EK, 3EK og 4EK</t>
  </si>
  <si>
    <t xml:space="preserve">Fargekode</t>
  </si>
  <si>
    <t xml:space="preserve">Gul celle med blå skrift</t>
  </si>
  <si>
    <t xml:space="preserve">Inndata — dette er tallene du endrer.</t>
  </si>
  <si>
    <t xml:space="preserve">Grå eller lyseblå celle, svart skrift</t>
  </si>
  <si>
    <t xml:space="preserve">Formel — regner seg selv. Ikke skriv over den.</t>
  </si>
  <si>
    <t xml:space="preserve">Mørkeblå rad med hvit skrift</t>
  </si>
  <si>
    <t xml:space="preserve">Kolonneoverskrift.</t>
  </si>
  <si>
    <t xml:space="preserve">Ark i arbeidsboka</t>
  </si>
  <si>
    <t xml:space="preserve">Enkelt</t>
  </si>
  <si>
    <t xml:space="preserve">Start her. Sju gule celler, ett svar. Sjekker om delmålene bærer hovedmålet.</t>
  </si>
  <si>
    <t xml:space="preserve">Budsjett</t>
  </si>
  <si>
    <t xml:space="preserve">Avdelingens volum og priser, målet for neste år, og de fem tiltakene markedsplanen foreslår, med kostnad. Her ligger cellene du styrer alt fra: D26 til D30.</t>
  </si>
  <si>
    <t xml:space="preserve">Nullpunkt</t>
  </si>
  <si>
    <t xml:space="preserve">Hva tiltakene må gi tilbake i dekningsbidrag, i omsetning og i antall nye oppdrag — og om avdelingen har montørtimer til det.</t>
  </si>
  <si>
    <t xml:space="preserve">Scenario</t>
  </si>
  <si>
    <t xml:space="preserve">Tre spørsmål: hvor mye av veksten kan tiltakene ta æren for, hva dekningsgraden gjør med kravet, og hva som skjer hvis styret kutter et tiltak.</t>
  </si>
  <si>
    <t xml:space="preserve">Din egen avdeling</t>
  </si>
  <si>
    <t xml:space="preserve">Samme regnestykke, tomt. Legg inn tallene fra din egen bedrift.</t>
  </si>
  <si>
    <t xml:space="preserve">Tallene som ligger inne er Nordlys Elektro AS sine egne for 2026 og målet for 2027.</t>
  </si>
  <si>
    <t xml:space="preserve">Arket svarer på tre spørsmål: hva koster tiltakene, hva må de gi i økt omsetning for å bære seg, og hvor mange nye oppdrag er det.</t>
  </si>
  <si>
    <t xml:space="preserve">Merk: et markedsbudsjett skal alltid regnes mot DEKNINGSBIDRAG, aldri mot omsetning. Omsetning er ikke penger før materiellet er betalt.</t>
  </si>
  <si>
    <t xml:space="preserve">Tallene som ligger inne er et eksempel fra en elektrobedrift. Bytt dem ut med dine egne — alle formler følger med.</t>
  </si>
  <si>
    <t xml:space="preserve">Arbeidsregneark til LØM · Fagskolen Oslo, Avdeling Elkraft. Regnearket er øvingsstøtte, ikke et regnskapssystem.</t>
  </si>
  <si>
    <t xml:space="preserve">De fem knappene</t>
  </si>
  <si>
    <t xml:space="preserve">Budsjett!D26 til D30</t>
  </si>
  <si>
    <t xml:space="preserve">Kostnaden på hvert tiltak</t>
  </si>
  <si>
    <t xml:space="preserve">Endrer du en av dem, følger arkene Nullpunkt og Scenario med. Sett et tiltak til null for å se hva det er verdt å kutte det.</t>
  </si>
  <si>
    <t xml:space="preserve">Budsjett!B5 til B8</t>
  </si>
  <si>
    <t xml:space="preserve">Volum i fjor og i målet</t>
  </si>
  <si>
    <t xml:space="preserve">Her setter du vekstmålet. Alt annet i arket regner seg om.</t>
  </si>
  <si>
    <t xml:space="preserve">Hvilken oppgave bruker hvilket ark</t>
  </si>
  <si>
    <t xml:space="preserve">Oppgave i øvingsheftet</t>
  </si>
  <si>
    <t xml:space="preserve">Ark</t>
  </si>
  <si>
    <t xml:space="preserve">Celler du endrer og leser av</t>
  </si>
  <si>
    <t xml:space="preserve">A1 · Hva er forskjellen på et mål og et ønske?</t>
  </si>
  <si>
    <t xml:space="preserve">Delmålene ligger i B5 til B8. Endre dem og se hva som skjer med veksten i B21.</t>
  </si>
  <si>
    <t xml:space="preserve">A3 · Klasseoppgave: velg ett grep, og skriv målet</t>
  </si>
  <si>
    <t xml:space="preserve">Endre B7 og B8 til det volumet valget ditt gir, og les av hva det gjør med veksten i B21 og med potten i B22.</t>
  </si>
  <si>
    <t xml:space="preserve">1 · Målene som skal bære planen</t>
  </si>
  <si>
    <t xml:space="preserve">Endre B5 til B8. Les av B15, B16, B18, B19, B21 og B22.</t>
  </si>
  <si>
    <t xml:space="preserve">2 · Hva koster markedsplanen?</t>
  </si>
  <si>
    <t xml:space="preserve">Budsjett og Nullpunkt</t>
  </si>
  <si>
    <t xml:space="preserve">Endre tiltakene i D26 til D30. Les av budsjettet i D31, andelen av potten i D33, og svarene i Nullpunkt B12, B13, B15, B18, B19 og B22.</t>
  </si>
  <si>
    <t xml:space="preserve">3 · Situasjonsanalysen med tall bak</t>
  </si>
  <si>
    <t xml:space="preserve">Deloppgave d) om kapasitet regner du i blokk 3: B25 til B31.</t>
  </si>
  <si>
    <t xml:space="preserve">4 · Velg vei, og skriv målet som følger av det</t>
  </si>
  <si>
    <t xml:space="preserve">Legg inn det volumet valget ditt gir i B7 og B8, og se i B21 og B22 om målet er stort nok til å bære markedsbudsjettet.</t>
  </si>
  <si>
    <t xml:space="preserve">5 · Eksamensnær: markedsplan på én side</t>
  </si>
  <si>
    <t xml:space="preserve">Scenario A og B gir tallene du trenger for å drøfte om budsjettet er forsvarlig. Bruk «Din egen avdeling» hvis du vil regne på din egen bedrift.</t>
  </si>
  <si>
    <t xml:space="preserve">Kontrollradene</t>
  </si>
  <si>
    <t xml:space="preserve">Hvert regneark har en kontrollblokk. Står det OK, henger tallene sammen. Står det AVVIK, farges cellen rød, og teksten sier hva som ikke går opp.</t>
  </si>
  <si>
    <t xml:space="preserve">Ett unntak: kontrollen nederst i scenario A skal vise OK nettopp fordi pessimistkolonnen går i minus. At tiltakene ikke betaler seg når bare en firedel av veksten skyldes dem, er selve poenget med å regne på det før pengene brukes.</t>
  </si>
  <si>
    <t xml:space="preserve">Kontroller i arbeidsboka: Budsjett D36, Budsjett D37, Budsjett D38, Nullpunkt B34, Nullpunkt B35, Nullpunkt B36, Scenario B17, Scenario B18, Scenario B36, Scenario B37, Scenario B50, Din egen avdeling B31, Din egen avdeling B32</t>
  </si>
  <si>
    <t xml:space="preserve">Kilder</t>
  </si>
  <si>
    <t xml:space="preserve">Hjertnes, F.: Markedsføring, organisasjon og ledelse for LØM-emnet, 4. utg., kap. 3.3 til 3.6. Nullpunktstankegangen er den samme som i Økonomistyring for LØM-emnet, kap. 8.</t>
  </si>
  <si>
    <t xml:space="preserve">Markedstall: NVE, «Solkraft», nve.no/energi/energisystem/solkraft (tall per 31.12.2024, hentet 09.09.2026) og SSB, statistikken «Bilparken», publisert 06.03.2026 (tall per 31.12.2025, hentet 09.09.2026).</t>
  </si>
  <si>
    <t xml:space="preserve">Bransjetall: NHO Elektro, Lønnsomhetsrapport 2025, gjengitt i Elektro 24-7 19.08.2026 (hentet 10.09.2026). De 809 er bedriftene i datagrunnlaget, ikke bransjen. NHO Elektro oppgir ikke svarprosent.</t>
  </si>
  <si>
    <t xml:space="preserve">Nordlys Elektro AS er en konstruert casebedrift. Tallene henger sammen på tvers av begge bøkene.</t>
  </si>
  <si>
    <t xml:space="preserve">Hva koster tiltakene i markedsplanen?</t>
  </si>
  <si>
    <t xml:space="preserve">Endre de gule cellene. Alt annet regner seg selv.</t>
  </si>
  <si>
    <t xml:space="preserve">1 · Avdelingen i dag og målet for neste år</t>
  </si>
  <si>
    <t xml:space="preserve">Solcelleanlegg i 2026</t>
  </si>
  <si>
    <t xml:space="preserve">stk</t>
  </si>
  <si>
    <t xml:space="preserve">Antall anlegg avdelingen leverte i fjor.</t>
  </si>
  <si>
    <t xml:space="preserve">Ladepunkt i 2026</t>
  </si>
  <si>
    <t xml:space="preserve">Solcelleanlegg i målet for 2027</t>
  </si>
  <si>
    <t xml:space="preserve">Ladepunkt i målet for 2027</t>
  </si>
  <si>
    <t xml:space="preserve">Pris per solcelleanlegg, uten mva.</t>
  </si>
  <si>
    <t xml:space="preserve">Dekningsbidrag per solcelleanlegg</t>
  </si>
  <si>
    <t xml:space="preserve">Det som er igjen etter materiell og montørtimer.</t>
  </si>
  <si>
    <t xml:space="preserve">Pris per ladepunkt, uten mva.</t>
  </si>
  <si>
    <t xml:space="preserve">Dekningsbidrag per ladepunkt</t>
  </si>
  <si>
    <t xml:space="preserve">Omsetning 2026</t>
  </si>
  <si>
    <t xml:space="preserve">Dekningsbidrag 2026</t>
  </si>
  <si>
    <t xml:space="preserve">Dekningsgrad 2026</t>
  </si>
  <si>
    <t xml:space="preserve">Omsetning ved målet for 2027</t>
  </si>
  <si>
    <t xml:space="preserve">Dekningsbidrag ved målet for 2027</t>
  </si>
  <si>
    <t xml:space="preserve">Dekningsgrad ved målet</t>
  </si>
  <si>
    <t xml:space="preserve">Legg merke til hvor lav den er. Nesten ni tiendeler av prisen er materiell og montørtimer.</t>
  </si>
  <si>
    <t xml:space="preserve">Vekst i omsetning fra 2026 til målet</t>
  </si>
  <si>
    <t xml:space="preserve">Økt dekningsbidrag som målet gir</t>
  </si>
  <si>
    <t xml:space="preserve">DETTE er potten markedstiltakene skal betales av.</t>
  </si>
  <si>
    <t xml:space="preserve">2 · Tiltakene planen foreslår</t>
  </si>
  <si>
    <t xml:space="preserve">Tiltak</t>
  </si>
  <si>
    <t xml:space="preserve">P-en det hører til</t>
  </si>
  <si>
    <t xml:space="preserve">Kroner</t>
  </si>
  <si>
    <t xml:space="preserve">Hva det er</t>
  </si>
  <si>
    <t xml:space="preserve">Digital annonsering mot borettslagsstyrer og huseiere i nedslagsfeltet</t>
  </si>
  <si>
    <t xml:space="preserve">Påvirkning</t>
  </si>
  <si>
    <t xml:space="preserve">Betalt annonsering rettet mot bydelen, med borettslagsstyrer som hovedmålgruppe. Skal bringe forespørsler inn, ikke bygge merkevare.</t>
  </si>
  <si>
    <t xml:space="preserve">Egen nettside for borettslag, med kostnad per leilighet</t>
  </si>
  <si>
    <t xml:space="preserve">Én side som svarer på det styrene faktisk er usikre på: hva det koster per leilighet, hvem som drifter anlegget etterpå, og om det kan bygges ut trinnvis.</t>
  </si>
  <si>
    <t xml:space="preserve">Bildekor på to servicebiler og profilklær</t>
  </si>
  <si>
    <t xml:space="preserve">Den billigste synligheten en lokal installatør har. Bilen står utenfor kunden i to dager og ses av hele gata.</t>
  </si>
  <si>
    <t xml:space="preserve">Åpen dag på et ferdig solcelletak, sammen med Fjellkraft Nett AS</t>
  </si>
  <si>
    <t xml:space="preserve">Personal</t>
  </si>
  <si>
    <t xml:space="preserve">Et referanseanlegg, en ettermiddag, og montøren som forklarer. Koster mest i timer, minst i kroner.</t>
  </si>
  <si>
    <t xml:space="preserve">Kalkulatørtid til 15 % flere tilbud</t>
  </si>
  <si>
    <t xml:space="preserve">Delmålet om flere tilbud er ikke gratis. 120 salgstimer i 2026, 18 timer mer i 2027, til kostsatsen for en produksjonstime.</t>
  </si>
  <si>
    <t xml:space="preserve">= Markedsbudsjett for 2027</t>
  </si>
  <si>
    <t xml:space="preserve">Summen arkene Nullpunkt og Scenario regner videre på.</t>
  </si>
  <si>
    <t xml:space="preserve">Budsjettet i prosent av avdelingens omsetning</t>
  </si>
  <si>
    <t xml:space="preserve">En installatør bruker sjelden mer enn noen få prosent på markedsføring. Ligger du over fem, bør du kunne begrunne det.</t>
  </si>
  <si>
    <t xml:space="preserve">Budsjettet i prosent av potten på rad 22</t>
  </si>
  <si>
    <t xml:space="preserve">Så stor del av vekstmålets dekningsbidrag går med til å betale for tiltakene som skulle skaffe veksten.</t>
  </si>
  <si>
    <t xml:space="preserve">Kontroll</t>
  </si>
  <si>
    <t xml:space="preserve">Bærer vekstmålet markedsbudsjettet?</t>
  </si>
  <si>
    <t xml:space="preserve">Peker begge delmålene oppover?</t>
  </si>
  <si>
    <t xml:space="preserve">Er dekningsgraden den samme i begge årene?</t>
  </si>
  <si>
    <t xml:space="preserve">Prøv dette: sett annonseringen i D26 til det dobbelte, og se hva arket Nullpunkt sier at det krever av nye oppdrag.</t>
  </si>
  <si>
    <t xml:space="preserve">Kilde: Markedsmål og markedsmiksen står i Hjertnes, F.: Markedsføring, organisasjon og ledelse for LØM-emnet, 4. utg., kap. 3.4 og 3.5. Priser, dekningsbidrag og volum er Nordlys Elektro AS sine egne.</t>
  </si>
  <si>
    <t xml:space="preserve">Hva må tiltakene gi tilbake?</t>
  </si>
  <si>
    <t xml:space="preserve">Nullpunktet for et markedsbudsjett: den omsetningen som akkurat dekker det du brukte.</t>
  </si>
  <si>
    <t xml:space="preserve">Hentes fra arket Budsjett</t>
  </si>
  <si>
    <t xml:space="preserve">Markedsbudsjett for 2027</t>
  </si>
  <si>
    <t xml:space="preserve">1 · Nullpunktet i kroner</t>
  </si>
  <si>
    <t xml:space="preserve">= Økt dekningsbidrag som må til</t>
  </si>
  <si>
    <t xml:space="preserve">Tiltakene betaler seg selv når de har skaffet like mye dekningsbidrag som de kostet. Ikke omsetning — dekningsbidrag.</t>
  </si>
  <si>
    <t xml:space="preserve">= Økt omsetning som må til</t>
  </si>
  <si>
    <t xml:space="preserve">Dekningsbidraget delt på dekningsgraden. Dette er tallet folk gjetter altfor lavt.</t>
  </si>
  <si>
    <t xml:space="preserve">Hver krone i markedsbudsjettet krever så mange kroner i omsetning</t>
  </si>
  <si>
    <t xml:space="preserve">Det er dekningsgraden som bestemmer dette tallet, ingenting annet.</t>
  </si>
  <si>
    <t xml:space="preserve">= Nødvendig vekst i prosent</t>
  </si>
  <si>
    <t xml:space="preserve">Sammenlikn med vekstmålet i arket Budsjett, rad 21.</t>
  </si>
  <si>
    <t xml:space="preserve">2 · Hvor mange nye oppdrag er det?</t>
  </si>
  <si>
    <t xml:space="preserve">Hvis alt tas som solcelleanlegg</t>
  </si>
  <si>
    <t xml:space="preserve">anlegg</t>
  </si>
  <si>
    <t xml:space="preserve">Store anlegg, få av dem. Ett anlegg tar fjorten montørtimer.</t>
  </si>
  <si>
    <t xml:space="preserve">Hvis alt tas som ladepunkt</t>
  </si>
  <si>
    <t xml:space="preserve">punkt</t>
  </si>
  <si>
    <t xml:space="preserve">Mange små. Hvert punkt er en egen kunde som skal skaffes.</t>
  </si>
  <si>
    <t xml:space="preserve">Hvis det tas i samme miks som målet: solcelleanlegg</t>
  </si>
  <si>
    <t xml:space="preserve">Hvis det tas i samme miks som målet: ladepunkt</t>
  </si>
  <si>
    <t xml:space="preserve">Så stor del av hele vekstmålet må kunne tilskrives tiltakene, bare for at de skal betale for seg selv.</t>
  </si>
  <si>
    <t xml:space="preserve">Markedskostnad per nytt oppdrag i målet</t>
  </si>
  <si>
    <t xml:space="preserve">Budsjettet delt på alle de nye oppdragene målet forutsetter. Sammenlikn med dekningsbidraget per ladepunkt over.</t>
  </si>
  <si>
    <t xml:space="preserve">3 · Har avdelingen timer til det?</t>
  </si>
  <si>
    <t xml:space="preserve">Montørtimer per solcelleanlegg</t>
  </si>
  <si>
    <t xml:space="preserve">Montørtimer per ladepunkt</t>
  </si>
  <si>
    <t xml:space="preserve">Montørtimer avdelingen brukte i 2026</t>
  </si>
  <si>
    <t xml:space="preserve">Montørtimer målet krever</t>
  </si>
  <si>
    <t xml:space="preserve">= Ekstra montørtimer</t>
  </si>
  <si>
    <t xml:space="preserve">Ett montørårsverk, tilgjengelige timer</t>
  </si>
  <si>
    <t xml:space="preserve">= Andel av et årsverk</t>
  </si>
  <si>
    <t xml:space="preserve">«Realistisk» er lærebokas første krav til et markedsmål. Krever målet mer enn ett årsverk, må planen si hvem som skal ansettes.</t>
  </si>
  <si>
    <t xml:space="preserve">Er den nødvendige veksten mindre enn vekstmålet?</t>
  </si>
  <si>
    <t xml:space="preserve">Er målet mulig uten å ansette?</t>
  </si>
  <si>
    <t xml:space="preserve">Går regnestykket rundt?</t>
  </si>
  <si>
    <t xml:space="preserve">Prøv dette: sett dekningsgraden opp ved å heve dekningsbidraget per ladepunkt i Budsjett!B13, og se hvor mye mindre omsetning som må til.</t>
  </si>
  <si>
    <t xml:space="preserve">Kilde: nullpunktstankegangen er den samme som i Økonomistyring for LØM-emnet, kap. 8. Markedsbudsjettet hører til markedsplanens siste ledd, Hjertnes kap. 3.5.</t>
  </si>
  <si>
    <t xml:space="preserve">Tre scenarioer</t>
  </si>
  <si>
    <t xml:space="preserve">Endre de gule cellene og se hva som skjer. Alle tall hentes fra de andre arkene.</t>
  </si>
  <si>
    <t xml:space="preserve">Scenario A · hvor mye av veksten kan tiltakene ta æren for?</t>
  </si>
  <si>
    <t xml:space="preserve">Et markedsbudsjett er bare lønnsomt for den delen av veksten som faktisk skyldes tiltakene. Resten hadde kommet uansett.</t>
  </si>
  <si>
    <t xml:space="preserve">Optimist</t>
  </si>
  <si>
    <t xml:space="preserve">Realist</t>
  </si>
  <si>
    <t xml:space="preserve">Pessimist</t>
  </si>
  <si>
    <t xml:space="preserve">Hva raden betyr</t>
  </si>
  <si>
    <t xml:space="preserve">Andel av veksten som skyldes tiltakene</t>
  </si>
  <si>
    <t xml:space="preserve">De gule cellene er scenarioene. Endre dem fritt.</t>
  </si>
  <si>
    <t xml:space="preserve">Økt omsetning som kan tilskrives tiltakene</t>
  </si>
  <si>
    <t xml:space="preserve">Hele omsetningsveksten ganget med andelen.</t>
  </si>
  <si>
    <t xml:space="preserve">Økt dekningsbidrag av det</t>
  </si>
  <si>
    <t xml:space="preserve">− markedsbudsjett</t>
  </si>
  <si>
    <t xml:space="preserve">= Resultat av markedsarbeidet</t>
  </si>
  <si>
    <t xml:space="preserve">Positivt: tiltakene betalte for seg. Negativt: de gjorde det ikke.</t>
  </si>
  <si>
    <t xml:space="preserve">Igjen per krone brukt</t>
  </si>
  <si>
    <t xml:space="preserve">Over 1,00 er lønnsomt. Under 1,00 er det ikke.</t>
  </si>
  <si>
    <t xml:space="preserve">Dom</t>
  </si>
  <si>
    <t xml:space="preserve">Faller resultatet når mindre av veksten skyldes tiltakene?</t>
  </si>
  <si>
    <t xml:space="preserve">Hva som SKAL stå her med tallene som ligger inne</t>
  </si>
  <si>
    <t xml:space="preserve">Scenario B · dekningsgraden er det som avgjør</t>
  </si>
  <si>
    <t xml:space="preserve">Avdelingen har lav dekningsgrad fordi materiellet er en stor del av prisen. Se hva det gjør med hvor mye omsetning hver markedskrone krever.</t>
  </si>
  <si>
    <t xml:space="preserve">Dekningsgrad</t>
  </si>
  <si>
    <t xml:space="preserve">Omsetning som må til</t>
  </si>
  <si>
    <t xml:space="preserve">Vekst i prosent</t>
  </si>
  <si>
    <t xml:space="preserve">Oppdrag av snittstørrelse</t>
  </si>
  <si>
    <t xml:space="preserve">Hva det betyr</t>
  </si>
  <si>
    <t xml:space="preserve">Avdelingen i dag. Materiellet spiser nesten alt.</t>
  </si>
  <si>
    <t xml:space="preserve">Hvis avdelingen fikk bedre innkjøpspris på panelene.</t>
  </si>
  <si>
    <t xml:space="preserve">Hvis avdelingen solgte mer arbeid og mindre materiell.</t>
  </si>
  <si>
    <t xml:space="preserve">En ren tjenesteleveranse, uten materiell å legge ut for.</t>
  </si>
  <si>
    <t xml:space="preserve">Hele bedriftens dekningsgrad, der montørlønna ikke er trukket fra.</t>
  </si>
  <si>
    <t xml:space="preserve">Les tabellen slik: markedsbudsjettet er det samme på hver rad. Det eneste som endrer seg, er hvor mye omsetning som må til for å hente inn de samme kronene.</t>
  </si>
  <si>
    <t xml:space="preserve">Kolonnen «Oppdrag av snittstørrelse» er omsetningen delt på gjennomsnittsoppdraget i avdelingen. Vil du vite hvor mange ladepunkt eller solcelleanlegg det er, står de tallene i arket Nullpunkt, der de regnes av dekningsbidraget og ikke av prisen.</t>
  </si>
  <si>
    <t xml:space="preserve">Det er derfor et markedstiltak er dyrere for en installatør enn for en konsulent: konsulenten har ingen materiellkostnad å hente inn først.</t>
  </si>
  <si>
    <t xml:space="preserve">Faller kravet til omsetning når dekningsgraden stiger?</t>
  </si>
  <si>
    <t xml:space="preserve">Stemmer raden «avdelingen i dag» med arket Nullpunkt?</t>
  </si>
  <si>
    <t xml:space="preserve">Scenario C · kutt ett tiltak</t>
  </si>
  <si>
    <t xml:space="preserve">Styret ber om at budsjettet kuttes. Sett kostnaden på ett av tiltakene til null i arket Budsjett, og les av her hva det sparer og hva det koster i nødvendig vekst.</t>
  </si>
  <si>
    <t xml:space="preserve">Markedsbudsjett slik det står nå</t>
  </si>
  <si>
    <t xml:space="preserve">Budsjettet slik planen opprinnelig var satt opp</t>
  </si>
  <si>
    <t xml:space="preserve">Dette tallet står fast, så du kan se hva du har endret.</t>
  </si>
  <si>
    <t xml:space="preserve">= Endring</t>
  </si>
  <si>
    <t xml:space="preserve">Nødvendig vekst nå</t>
  </si>
  <si>
    <t xml:space="preserve">Vekstmålet i planen</t>
  </si>
  <si>
    <t xml:space="preserve">= Margin</t>
  </si>
  <si>
    <t xml:space="preserve">Så mange prosentpoeng vekst har planen å gå på før markedsbudsjettet ikke lenger bærer seg.</t>
  </si>
  <si>
    <t xml:space="preserve">Er det margin igjen?</t>
  </si>
  <si>
    <t xml:space="preserve">Kilde: Hjertnes kap. 3.4 og 3.5. Nullpunktstankegangen er den samme som i Økonomistyring for LØM-emnet, kap. 8. Tallene er Nordlys Elektro AS sine egne.</t>
  </si>
  <si>
    <t xml:space="preserve">Din egen bedrift</t>
  </si>
  <si>
    <t xml:space="preserve">Samme regnestykke, tomt. Legg inn tallene fra din egen avdeling.</t>
  </si>
  <si>
    <t xml:space="preserve">1 · Det du selger</t>
  </si>
  <si>
    <t xml:space="preserve">Omsetning i fjor, uten mva.</t>
  </si>
  <si>
    <t xml:space="preserve">Bare avdelingen eller produktområdet du planlegger for.</t>
  </si>
  <si>
    <t xml:space="preserve">Dekningsbidrag i fjor</t>
  </si>
  <si>
    <t xml:space="preserve">Omsetning minus materiell, innleide montører og de timene som går med.</t>
  </si>
  <si>
    <t xml:space="preserve">Omsetningsmål for neste år</t>
  </si>
  <si>
    <t xml:space="preserve">Målet, ikke håpet.</t>
  </si>
  <si>
    <t xml:space="preserve">Snittpris per oppdrag, uten mva.</t>
  </si>
  <si>
    <t xml:space="preserve">Den vanligste jobben i avdelingen.</t>
  </si>
  <si>
    <t xml:space="preserve">Dekningsbidrag per oppdrag</t>
  </si>
  <si>
    <t xml:space="preserve">Det som er igjen når materiellet og timene er betalt.</t>
  </si>
  <si>
    <t xml:space="preserve">= Dekningsgrad</t>
  </si>
  <si>
    <t xml:space="preserve">= Vekst i målet</t>
  </si>
  <si>
    <t xml:space="preserve">2 · Markedsbudsjettet ditt</t>
  </si>
  <si>
    <t xml:space="preserve">Hva du venter deg av det</t>
  </si>
  <si>
    <t xml:space="preserve">= Markedsbudsjett</t>
  </si>
  <si>
    <t xml:space="preserve">I prosent av omsetningen</t>
  </si>
  <si>
    <t xml:space="preserve">3 · Hva det må gi tilbake</t>
  </si>
  <si>
    <t xml:space="preserve">= Nødvendig vekst</t>
  </si>
  <si>
    <t xml:space="preserve">= Nye oppdrag som må til</t>
  </si>
  <si>
    <t xml:space="preserve">Dekningsbidraget som må inn, delt på dekningsbidraget per oppdrag.</t>
  </si>
  <si>
    <t xml:space="preserve">Bærer målet budsjettet?</t>
  </si>
  <si>
    <t xml:space="preserve">Er budsjettet realistisk i størrelse?</t>
  </si>
  <si>
    <t xml:space="preserve">Og det arket ikke kan svare på: hvor stor del av veksten som faktisk skyldes tiltakene. Det er derfor scenarioarket finnes.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</si>
</sst>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\ %"/>
    <numFmt numFmtId="168" formatCode="#,##0&quot; kr&quot;"/>
    <numFmt numFmtId="169" formatCode="0.0%"/>
    <numFmt numFmtId="170" formatCode="#,##0.00"/>
    <numFmt numFmtId="171" formatCode="#,##0.00&quot; kr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8A3C"/>
      <name val="Arial"/>
      <family val="0"/>
      <charset val="1"/>
    </font>
    <font>
      <b val="true"/>
      <sz val="16"/>
      <color rgb="FF1F8A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4"/>
        <bgColor rgb="FFE4F4E8"/>
      </patternFill>
    </fill>
    <fill>
      <patternFill patternType="solid">
        <fgColor rgb="FFE4F4E8"/>
        <bgColor rgb="FFF2F2F2"/>
      </patternFill>
    </fill>
    <fill>
      <patternFill patternType="solid">
        <fgColor rgb="FFF2F2F2"/>
        <bgColor rgb="FFE4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wrapText="true" horizontal="general" vertical="bottom" textRotation="0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F2F2F2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F8A3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2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34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180</v>
      </c>
      <c r="C6" s="7" t="s">
        <v>6</v>
      </c>
    </row>
    <row r="7" customFormat="false" ht="15" hidden="false" customHeight="true" outlineLevel="0" collapsed="false">
      <c r="A7" s="5" t="s">
        <v>7</v>
      </c>
      <c r="B7" s="6" t="n">
        <v>42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215</v>
      </c>
      <c r="C8" s="7" t="s">
        <v>10</v>
      </c>
    </row>
    <row r="9" customFormat="false" ht="15" hidden="false" customHeight="true" outlineLevel="0" collapsed="false">
      <c r="A9" s="5" t="s">
        <v>11</v>
      </c>
      <c r="B9" s="8" t="n">
        <v>51360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8" t="n">
        <v>8830</v>
      </c>
      <c r="C10" s="7" t="s">
        <v>14</v>
      </c>
    </row>
    <row ht="27" customHeight="true" r="11" customFormat="false" hidden="false" outlineLevel="0" collapsed="false">
      <c r="A11" s="5" t="s">
        <v>15</v>
      </c>
      <c r="B11" s="9" t="n">
        <v>0.2</v>
      </c>
      <c r="C11" s="7" t="s">
        <v>16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3" t="s">
        <v>17</v>
      </c>
      <c r="B13" s="4"/>
      <c r="C13" s="4"/>
    </row>
    <row r="14" customFormat="false" ht="15" hidden="false" customHeight="true" outlineLevel="0" collapsed="false">
      <c r="A14" s="5" t="s">
        <v>18</v>
      </c>
      <c r="B14" s="10" t="n">
        <f aca="false">B5*B9+B6*B10</f>
        <v>3335640</v>
      </c>
      <c r="C14" s="7" t="s">
        <v>19</v>
      </c>
    </row>
    <row r="15" customFormat="false" ht="15" hidden="false" customHeight="true" outlineLevel="0" collapsed="false">
      <c r="A15" s="5" t="s">
        <v>20</v>
      </c>
      <c r="B15" s="10" t="n">
        <f aca="false">B14*(1+B11)</f>
        <v>4002768</v>
      </c>
      <c r="C15" s="7" t="s">
        <v>21</v>
      </c>
    </row>
    <row r="16" customFormat="false" ht="15" hidden="false" customHeight="true" outlineLevel="0" collapsed="false">
      <c r="A16" s="5" t="s">
        <v>22</v>
      </c>
      <c r="B16" s="10" t="n">
        <f aca="false">B7*B9+B8*B10</f>
        <v>4055570</v>
      </c>
      <c r="C16" s="7" t="s">
        <v>23</v>
      </c>
    </row>
    <row r="17" customFormat="false" ht="15" hidden="false" customHeight="true" outlineLevel="0" collapsed="false"/>
    <row r="18" customFormat="false" ht="21" hidden="false" customHeight="true" outlineLevel="0" collapsed="false">
      <c r="A18" s="11" t="s">
        <v>24</v>
      </c>
      <c r="B18" s="12" t="n">
        <f aca="false">B16/B14-1</f>
        <v>0.215829645885048</v>
      </c>
      <c r="C18" s="7" t="s">
        <v>25</v>
      </c>
    </row>
    <row r="19" customFormat="false" ht="15" hidden="false" customHeight="true" outlineLevel="0" collapsed="false">
      <c r="A19" s="5" t="s">
        <v>26</v>
      </c>
      <c r="B19" s="10" t="n">
        <f aca="false">B16-B15</f>
        <v>52802</v>
      </c>
      <c r="C19" s="7" t="s">
        <v>27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3" t="s">
        <v>28</v>
      </c>
      <c r="B21" s="4"/>
      <c r="C21" s="4"/>
    </row>
    <row r="22" customFormat="false" ht="33.75" hidden="false" customHeight="true" outlineLevel="0" collapsed="false">
      <c r="A22" s="13" t="str">
        <f aca="false">"Nås delmålene, vokser omsetningen med "&amp;TEXT(B18,"0.0 %")&amp;". Hovedmålet krever "&amp;TEXT(B11,"0.0 %")&amp;"."</f>
        <v>Nås delmålene, vokser omsetningen med 21.6 %. Hovedmålet krever 20.0 %.</v>
      </c>
      <c r="B22" s="13"/>
      <c r="C22" s="13"/>
    </row>
    <row r="23" customFormat="false" ht="33.75" hidden="false" customHeight="true" outlineLevel="0" collapsed="false">
      <c r="A23" s="13" t="str">
        <f aca="false">"Marginen er "&amp;TEXT(ROUND(B19,0),"#,##0")&amp;" kroner. Er den over null, bærer delmålene hovedmålet."</f>
        <v>Marginen er 52,802 kroner. Er den over null, bærer delmålene hovedmålet.</v>
      </c>
      <c r="B23" s="13"/>
      <c r="C23" s="13"/>
    </row>
    <row r="24" customFormat="false" ht="15" hidden="false" customHeight="true" outlineLevel="0" collapsed="false"/>
    <row r="25" customFormat="false" ht="15" hidden="false" customHeight="true" outlineLevel="0" collapsed="false">
      <c r="A25" s="3" t="s">
        <v>29</v>
      </c>
      <c r="B25" s="4"/>
      <c r="C25" s="4"/>
    </row>
    <row r="26" customFormat="false" ht="15" hidden="false" customHeight="true" outlineLevel="0" collapsed="false">
      <c r="A26" s="14" t="s">
        <v>30</v>
      </c>
      <c r="B26" s="14"/>
      <c r="C26" s="14"/>
    </row>
    <row r="27" customFormat="false" ht="15" hidden="false" customHeight="true" outlineLevel="0" collapsed="false">
      <c r="A27" s="14" t="s">
        <v>31</v>
      </c>
      <c r="B27" s="14"/>
      <c r="C27" s="14"/>
    </row>
    <row r="28" customFormat="false" ht="15" hidden="false" customHeight="true" outlineLevel="0" collapsed="false">
      <c r="A28" s="14" t="s">
        <v>32</v>
      </c>
      <c r="B28" s="14"/>
      <c r="C28" s="14"/>
    </row>
    <row r="29" customFormat="false" ht="15" hidden="false" customHeight="true" outlineLevel="0" collapsed="false"/>
    <row r="30" customFormat="false" ht="27" hidden="false" customHeight="true" outlineLevel="0" collapsed="false">
      <c r="A30" s="2" t="s">
        <v>33</v>
      </c>
      <c r="B30" s="2"/>
      <c r="C30" s="2"/>
    </row>
  </sheetData>
  <mergeCells count="7">
    <mergeCell ref="A2:C2"/>
    <mergeCell ref="A22:C22"/>
    <mergeCell ref="A23:C23"/>
    <mergeCell ref="A26:C26"/>
    <mergeCell ref="A27:C27"/>
    <mergeCell ref="A28:C28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15" t="s">
        <v>35</v>
      </c>
    </row>
    <row r="3" customFormat="false" ht="15" hidden="false" customHeight="false" outlineLevel="0" collapsed="false">
      <c r="A3" s="16" t="s">
        <v>36</v>
      </c>
    </row>
    <row r="4" customFormat="false" ht="15" hidden="false" customHeight="false" outlineLevel="0" collapsed="false">
      <c r="A4" s="17" t="s">
        <v>37</v>
      </c>
    </row>
    <row r="5" customFormat="false" ht="15" hidden="false" customHeight="false" outlineLevel="0" collapsed="false">
      <c r="A5" s="18" t="s">
        <v>38</v>
      </c>
      <c r="B5" s="19" t="s">
        <v>39</v>
      </c>
    </row>
    <row r="6" customFormat="false" ht="15" hidden="false" customHeight="false" outlineLevel="0" collapsed="false">
      <c r="A6" s="20" t="s">
        <v>40</v>
      </c>
      <c r="B6" s="19" t="s">
        <v>41</v>
      </c>
    </row>
    <row r="7" customFormat="false" ht="15" hidden="false" customHeight="false" outlineLevel="0" collapsed="false">
      <c r="A7" s="20" t="s">
        <v>42</v>
      </c>
      <c r="B7" s="19" t="s">
        <v>43</v>
      </c>
    </row>
    <row r="9" customFormat="false" ht="15" hidden="false" customHeight="false" outlineLevel="0" collapsed="false">
      <c r="A9" s="17" t="s">
        <v>44</v>
      </c>
    </row>
    <row r="10" customFormat="false" ht="15" hidden="false" customHeight="false" outlineLevel="0" collapsed="false">
      <c r="A10" s="21" t="s">
        <v>45</v>
      </c>
      <c r="B10" s="19" t="s">
        <v>46</v>
      </c>
    </row>
    <row r="11" customFormat="false" ht="15" hidden="false" customHeight="false" outlineLevel="0" collapsed="false">
      <c r="A11" s="21" t="s">
        <v>47</v>
      </c>
      <c r="B11" s="19" t="s">
        <v>48</v>
      </c>
    </row>
    <row r="12" customFormat="false" ht="15" hidden="false" customHeight="false" outlineLevel="0" collapsed="false">
      <c r="A12" s="21" t="s">
        <v>49</v>
      </c>
      <c r="B12" s="19" t="s">
        <v>50</v>
      </c>
    </row>
    <row r="13" customFormat="false" ht="15" hidden="false" customHeight="false" outlineLevel="0" collapsed="false">
      <c r="A13" s="21" t="s">
        <v>51</v>
      </c>
      <c r="B13" s="19" t="s">
        <v>52</v>
      </c>
    </row>
    <row r="14" customFormat="false" ht="15" hidden="false" customHeight="false" outlineLevel="0" collapsed="false">
      <c r="A14" s="21" t="s">
        <v>53</v>
      </c>
      <c r="B14" s="19" t="s">
        <v>54</v>
      </c>
    </row>
    <row r="16" customFormat="false" ht="15" hidden="false" customHeight="false" outlineLevel="0" collapsed="false">
      <c r="A16" s="16" t="s">
        <v>55</v>
      </c>
    </row>
    <row r="17" customFormat="false" ht="15" hidden="false" customHeight="false" outlineLevel="0" collapsed="false">
      <c r="A17" s="16" t="s">
        <v>56</v>
      </c>
    </row>
    <row r="18" customFormat="false" ht="15" hidden="false" customHeight="false" outlineLevel="0" collapsed="false">
      <c r="A18" s="16" t="s">
        <v>57</v>
      </c>
    </row>
    <row r="20" customFormat="false" ht="15" hidden="false" customHeight="false" outlineLevel="0" collapsed="false">
      <c r="A20" s="16" t="s">
        <v>58</v>
      </c>
    </row>
    <row r="21" customFormat="false" ht="15" hidden="false" customHeight="false" outlineLevel="0" collapsed="false">
      <c r="A21" s="16" t="s">
        <v>59</v>
      </c>
    </row>
    <row r="23" customFormat="false" ht="15" hidden="false" customHeight="false" outlineLevel="0" collapsed="false">
      <c r="A23" s="17" t="s">
        <v>60</v>
      </c>
    </row>
    <row r="24" customFormat="false" ht="15" hidden="false" customHeight="false" outlineLevel="0" collapsed="false">
      <c r="A24" s="19" t="s">
        <v>61</v>
      </c>
      <c r="B24" s="19" t="s">
        <v>62</v>
      </c>
      <c r="C24" s="19" t="s">
        <v>63</v>
      </c>
    </row>
    <row r="25" customFormat="false" ht="15" hidden="false" customHeight="false" outlineLevel="0" collapsed="false">
      <c r="A25" s="19" t="s">
        <v>64</v>
      </c>
      <c r="B25" s="19" t="s">
        <v>65</v>
      </c>
      <c r="C25" s="19" t="s">
        <v>66</v>
      </c>
    </row>
    <row r="27" customFormat="false" ht="15" hidden="false" customHeight="false" outlineLevel="0" collapsed="false">
      <c r="A27" s="17" t="s">
        <v>67</v>
      </c>
    </row>
    <row r="28" customFormat="false" ht="27.75" hidden="false" customHeight="true" outlineLevel="0" collapsed="false">
      <c r="A28" s="22" t="s">
        <v>68</v>
      </c>
      <c r="B28" s="22" t="s">
        <v>69</v>
      </c>
      <c r="C28" s="22" t="s">
        <v>70</v>
      </c>
    </row>
    <row r="29" customFormat="false" ht="15" hidden="false" customHeight="false" outlineLevel="0" collapsed="false">
      <c r="A29" s="19" t="s">
        <v>71</v>
      </c>
      <c r="B29" s="21" t="s">
        <v>47</v>
      </c>
      <c r="C29" s="19" t="s">
        <v>72</v>
      </c>
    </row>
    <row ht="27" customHeight="true" r="30" customFormat="false" hidden="false" outlineLevel="0" collapsed="false">
      <c s="34" r="A30" t="s">
        <v>73</v>
      </c>
      <c r="B30" s="21" t="s">
        <v>47</v>
      </c>
      <c r="C30" s="19" t="s">
        <v>74</v>
      </c>
    </row>
    <row r="31" customFormat="false" ht="15" hidden="false" customHeight="false" outlineLevel="0" collapsed="false">
      <c r="A31" s="19" t="s">
        <v>75</v>
      </c>
      <c r="B31" s="21" t="s">
        <v>47</v>
      </c>
      <c r="C31" s="19" t="s">
        <v>76</v>
      </c>
    </row>
    <row r="32" customFormat="false" ht="15" hidden="false" customHeight="false" outlineLevel="0" collapsed="false">
      <c r="A32" s="19" t="s">
        <v>77</v>
      </c>
      <c r="B32" s="21" t="s">
        <v>78</v>
      </c>
      <c r="C32" s="19" t="s">
        <v>79</v>
      </c>
    </row>
    <row r="33" customFormat="false" ht="15" hidden="false" customHeight="false" outlineLevel="0" collapsed="false">
      <c r="A33" s="19" t="s">
        <v>80</v>
      </c>
      <c r="B33" s="21" t="s">
        <v>49</v>
      </c>
      <c r="C33" s="19" t="s">
        <v>81</v>
      </c>
    </row>
    <row r="34" customFormat="false" ht="15" hidden="false" customHeight="false" outlineLevel="0" collapsed="false">
      <c r="A34" s="19" t="s">
        <v>82</v>
      </c>
      <c r="B34" s="21" t="s">
        <v>47</v>
      </c>
      <c r="C34" s="19" t="s">
        <v>83</v>
      </c>
    </row>
    <row r="35" customFormat="false" ht="15" hidden="false" customHeight="false" outlineLevel="0" collapsed="false">
      <c r="A35" s="19" t="s">
        <v>84</v>
      </c>
      <c r="B35" s="21" t="s">
        <v>51</v>
      </c>
      <c r="C35" s="19" t="s">
        <v>85</v>
      </c>
    </row>
    <row r="37" customFormat="false" ht="15" hidden="false" customHeight="false" outlineLevel="0" collapsed="false">
      <c r="A37" s="17" t="s">
        <v>86</v>
      </c>
    </row>
    <row r="38" customFormat="false" ht="15" hidden="false" customHeight="false" outlineLevel="0" collapsed="false">
      <c r="A38" s="19" t="s">
        <v>87</v>
      </c>
    </row>
    <row r="39" customFormat="false" ht="15" hidden="false" customHeight="false" outlineLevel="0" collapsed="false">
      <c r="A39" s="19" t="s">
        <v>88</v>
      </c>
    </row>
    <row r="40" customFormat="false" ht="15" hidden="false" customHeight="false" outlineLevel="0" collapsed="false">
      <c r="A40" s="16" t="s">
        <v>89</v>
      </c>
    </row>
    <row r="42" customFormat="false" ht="15" hidden="false" customHeight="false" outlineLevel="0" collapsed="false">
      <c r="A42" s="17" t="s">
        <v>90</v>
      </c>
    </row>
    <row r="43" customFormat="false" ht="15" hidden="false" customHeight="false" outlineLevel="0" collapsed="false">
      <c r="A43" s="16" t="s">
        <v>91</v>
      </c>
    </row>
    <row r="44" customFormat="false" ht="15" hidden="false" customHeight="false" outlineLevel="0" collapsed="false">
      <c r="A44" s="16" t="s">
        <v>92</v>
      </c>
    </row>
    <row r="45" customFormat="false" ht="15" hidden="false" customHeight="false" outlineLevel="0" collapsed="false">
      <c r="A45" s="16" t="s">
        <v>93</v>
      </c>
    </row>
    <row r="46" customFormat="false" ht="15" hidden="false" customHeight="false" outlineLevel="0" collapsed="false">
      <c r="A46" s="1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15" t="s">
        <v>96</v>
      </c>
    </row>
    <row r="4" customFormat="false" ht="15" hidden="false" customHeight="false" outlineLevel="0" collapsed="false">
      <c r="A4" s="17" t="s">
        <v>97</v>
      </c>
    </row>
    <row r="5" customFormat="false" ht="15" hidden="false" customHeight="false" outlineLevel="0" collapsed="false">
      <c r="A5" s="19" t="s">
        <v>98</v>
      </c>
      <c r="B5" s="23" t="n">
        <v>34</v>
      </c>
      <c r="C5" s="19" t="s">
        <v>99</v>
      </c>
      <c r="E5" s="19" t="s">
        <v>100</v>
      </c>
    </row>
    <row r="6" customFormat="false" ht="15" hidden="false" customHeight="false" outlineLevel="0" collapsed="false">
      <c r="A6" s="19" t="s">
        <v>101</v>
      </c>
      <c r="B6" s="23" t="n">
        <v>180</v>
      </c>
      <c r="C6" s="19" t="s">
        <v>99</v>
      </c>
    </row>
    <row r="7" customFormat="false" ht="15" hidden="false" customHeight="false" outlineLevel="0" collapsed="false">
      <c r="A7" s="19" t="s">
        <v>102</v>
      </c>
      <c r="B7" s="23" t="n">
        <v>42</v>
      </c>
      <c r="C7" s="19" t="s">
        <v>99</v>
      </c>
    </row>
    <row r="8" customFormat="false" ht="15" hidden="false" customHeight="false" outlineLevel="0" collapsed="false">
      <c r="A8" s="19" t="s">
        <v>103</v>
      </c>
      <c r="B8" s="23" t="n">
        <v>215</v>
      </c>
      <c r="C8" s="19" t="s">
        <v>99</v>
      </c>
    </row>
    <row r="10" customFormat="false" ht="15" hidden="false" customHeight="false" outlineLevel="0" collapsed="false">
      <c r="A10" s="19" t="s">
        <v>104</v>
      </c>
      <c r="B10" s="24" t="n">
        <v>51360</v>
      </c>
    </row>
    <row r="11" customFormat="false" ht="15" hidden="false" customHeight="false" outlineLevel="0" collapsed="false">
      <c r="A11" s="19" t="s">
        <v>105</v>
      </c>
      <c r="B11" s="24" t="n">
        <v>4400</v>
      </c>
      <c r="E11" s="19" t="s">
        <v>106</v>
      </c>
    </row>
    <row r="12" customFormat="false" ht="15" hidden="false" customHeight="false" outlineLevel="0" collapsed="false">
      <c r="A12" s="19" t="s">
        <v>107</v>
      </c>
      <c r="B12" s="24" t="n">
        <v>8830</v>
      </c>
    </row>
    <row r="13" customFormat="false" ht="15" hidden="false" customHeight="false" outlineLevel="0" collapsed="false">
      <c r="A13" s="19" t="s">
        <v>108</v>
      </c>
      <c r="B13" s="24" t="n">
        <v>1050</v>
      </c>
    </row>
    <row r="15" customFormat="false" ht="15" hidden="false" customHeight="false" outlineLevel="0" collapsed="false">
      <c r="A15" s="21" t="s">
        <v>109</v>
      </c>
      <c r="B15" s="25" t="n">
        <f aca="false">B5*B10+B6*B12</f>
        <v>3335640</v>
      </c>
    </row>
    <row r="16" customFormat="false" ht="15" hidden="false" customHeight="false" outlineLevel="0" collapsed="false">
      <c r="A16" s="21" t="s">
        <v>110</v>
      </c>
      <c r="B16" s="25" t="n">
        <f aca="false">B5*B11+B6*B13</f>
        <v>338600</v>
      </c>
    </row>
    <row r="17" customFormat="false" ht="15" hidden="false" customHeight="false" outlineLevel="0" collapsed="false">
      <c r="A17" s="19" t="s">
        <v>111</v>
      </c>
      <c r="B17" s="26" t="n">
        <f aca="false">B16/B15</f>
        <v>0.101509755249367</v>
      </c>
    </row>
    <row r="18" customFormat="false" ht="15" hidden="false" customHeight="false" outlineLevel="0" collapsed="false">
      <c r="A18" s="21" t="s">
        <v>112</v>
      </c>
      <c r="B18" s="25" t="n">
        <f aca="false">B7*B10+B8*B12</f>
        <v>4055570</v>
      </c>
    </row>
    <row r="19" customFormat="false" ht="15" hidden="false" customHeight="false" outlineLevel="0" collapsed="false">
      <c r="A19" s="21" t="s">
        <v>113</v>
      </c>
      <c r="B19" s="25" t="n">
        <f aca="false">B7*B11+B8*B13</f>
        <v>410550</v>
      </c>
    </row>
    <row r="20" customFormat="false" ht="15" hidden="false" customHeight="false" outlineLevel="0" collapsed="false">
      <c r="A20" s="19" t="s">
        <v>114</v>
      </c>
      <c r="B20" s="26" t="n">
        <f aca="false">B19/B18</f>
        <v>0.101231146300027</v>
      </c>
      <c r="E20" s="19" t="s">
        <v>115</v>
      </c>
    </row>
    <row r="21" customFormat="false" ht="15" hidden="false" customHeight="false" outlineLevel="0" collapsed="false">
      <c r="A21" s="21" t="s">
        <v>116</v>
      </c>
      <c r="B21" s="27" t="n">
        <f aca="false">B18/B15-1</f>
        <v>0.215829645885048</v>
      </c>
    </row>
    <row r="22" customFormat="false" ht="15" hidden="false" customHeight="false" outlineLevel="0" collapsed="false">
      <c r="A22" s="21" t="s">
        <v>117</v>
      </c>
      <c r="B22" s="25" t="n">
        <f aca="false">B19-B16</f>
        <v>71950</v>
      </c>
      <c r="E22" s="19" t="s">
        <v>118</v>
      </c>
    </row>
    <row r="24" customFormat="false" ht="15" hidden="false" customHeight="false" outlineLevel="0" collapsed="false">
      <c r="A24" s="17" t="s">
        <v>119</v>
      </c>
    </row>
    <row r="25" customFormat="false" ht="27.75" hidden="false" customHeight="true" outlineLevel="0" collapsed="false">
      <c r="A25" s="22" t="s">
        <v>120</v>
      </c>
      <c r="B25" s="22" t="s">
        <v>121</v>
      </c>
      <c r="C25" s="22"/>
      <c r="D25" s="22" t="s">
        <v>122</v>
      </c>
      <c r="E25" s="22" t="s">
        <v>123</v>
      </c>
    </row>
    <row r="26" customFormat="false" ht="15" hidden="false" customHeight="false" outlineLevel="0" collapsed="false">
      <c r="A26" s="19" t="s">
        <v>124</v>
      </c>
      <c r="B26" s="19" t="s">
        <v>125</v>
      </c>
      <c r="D26" s="24" t="n">
        <v>18000</v>
      </c>
      <c r="E26" s="19" t="s">
        <v>126</v>
      </c>
    </row>
    <row r="27" customFormat="false" ht="15" hidden="false" customHeight="false" outlineLevel="0" collapsed="false">
      <c r="A27" s="19" t="s">
        <v>127</v>
      </c>
      <c r="B27" s="19" t="s">
        <v>125</v>
      </c>
      <c r="D27" s="24" t="n">
        <v>12000</v>
      </c>
      <c r="E27" s="19" t="s">
        <v>128</v>
      </c>
    </row>
    <row r="28" customFormat="false" ht="15" hidden="false" customHeight="false" outlineLevel="0" collapsed="false">
      <c r="A28" s="19" t="s">
        <v>129</v>
      </c>
      <c r="B28" s="19" t="s">
        <v>125</v>
      </c>
      <c r="D28" s="24" t="n">
        <v>9000</v>
      </c>
      <c r="E28" s="19" t="s">
        <v>130</v>
      </c>
    </row>
    <row r="29" customFormat="false" ht="15" hidden="false" customHeight="false" outlineLevel="0" collapsed="false">
      <c r="A29" s="19" t="s">
        <v>131</v>
      </c>
      <c r="B29" s="19" t="s">
        <v>132</v>
      </c>
      <c r="D29" s="24" t="n">
        <v>6000</v>
      </c>
      <c r="E29" s="19" t="s">
        <v>133</v>
      </c>
    </row>
    <row r="30" customFormat="false" ht="15" hidden="false" customHeight="false" outlineLevel="0" collapsed="false">
      <c r="A30" s="19" t="s">
        <v>134</v>
      </c>
      <c r="B30" s="19" t="s">
        <v>132</v>
      </c>
      <c r="D30" s="24" t="n">
        <v>11520</v>
      </c>
      <c r="E30" s="19" t="s">
        <v>135</v>
      </c>
    </row>
    <row r="31" customFormat="false" ht="15" hidden="false" customHeight="false" outlineLevel="0" collapsed="false">
      <c r="A31" s="21" t="s">
        <v>136</v>
      </c>
      <c r="D31" s="25" t="n">
        <f aca="false">SUM(D26:D30)</f>
        <v>56520</v>
      </c>
      <c r="E31" s="19" t="s">
        <v>137</v>
      </c>
    </row>
    <row r="32" customFormat="false" ht="15" hidden="false" customHeight="false" outlineLevel="0" collapsed="false">
      <c r="A32" s="19" t="s">
        <v>138</v>
      </c>
      <c r="D32" s="26" t="n">
        <f aca="false">D31/B15</f>
        <v>0.0169442745620031</v>
      </c>
      <c r="E32" s="19" t="s">
        <v>139</v>
      </c>
    </row>
    <row r="33" customFormat="false" ht="15" hidden="false" customHeight="false" outlineLevel="0" collapsed="false">
      <c r="A33" s="21" t="s">
        <v>140</v>
      </c>
      <c r="D33" s="27" t="n">
        <f aca="false">D31/B22</f>
        <v>0.785545517720639</v>
      </c>
      <c r="E33" s="19" t="s">
        <v>141</v>
      </c>
    </row>
    <row r="35" customFormat="false" ht="15" hidden="false" customHeight="false" outlineLevel="0" collapsed="false">
      <c r="A35" s="17" t="s">
        <v>142</v>
      </c>
    </row>
    <row r="36" customFormat="false" ht="15" hidden="false" customHeight="false" outlineLevel="0" collapsed="false">
      <c r="A36" s="19" t="s">
        <v>143</v>
      </c>
      <c r="D36" s="28" t="str">
        <f aca="false">IF(D31&lt;B22,"OK — tiltakene koster mindre enn det økte dekningsbidraget målet gir","AVVIK: markedsbudsjettet er større enn hele det økte dekningsbidraget. Da betaler tiltakene ikke for seg selv, uansett hvor godt de virker")</f>
        <v>OK — tiltakene koster mindre enn det økte dekningsbidraget målet gir</v>
      </c>
    </row>
    <row r="37" customFormat="false" ht="15" hidden="false" customHeight="false" outlineLevel="0" collapsed="false">
      <c r="A37" s="19" t="s">
        <v>144</v>
      </c>
      <c r="D37" s="28" t="str">
        <f aca="false">IF(AND(B7&gt;B5,B8&gt;B6),"OK — begge delmålene er vekstmål","AVVIK: et delmål peker nedover eller står stille")</f>
        <v>OK — begge delmålene er vekstmål</v>
      </c>
    </row>
    <row r="38" customFormat="false" ht="15" hidden="false" customHeight="false" outlineLevel="0" collapsed="false">
      <c r="A38" s="19" t="s">
        <v>145</v>
      </c>
      <c r="D38" s="28" t="str">
        <f aca="false">IF(ABS(B17-B20)&lt;0.02,"OK — miksen er omtrent den samme i de to årene","AVVIK: dekningsgraden endrer seg mye. Da har du endret produktmiksen, og sammenlikningen mellom årene halter")</f>
        <v>OK — miksen er omtrent den samme i de to årene</v>
      </c>
    </row>
    <row r="40" customFormat="false" ht="15" hidden="false" customHeight="false" outlineLevel="0" collapsed="false">
      <c r="A40" s="21" t="s">
        <v>146</v>
      </c>
    </row>
    <row r="41" customFormat="false" ht="15" hidden="false" customHeight="false" outlineLevel="0" collapsed="false">
      <c r="A41" s="16" t="s">
        <v>147</v>
      </c>
    </row>
  </sheetData>
  <conditionalFormatting sqref="D36">
    <cfRule type="expression" priority="2" aboveAverage="0" equalAverage="0" bottom="0" percent="0" rank="0" text="" dxfId="0">
      <formula>LEFT(D36,5)="AVVIK"</formula>
    </cfRule>
  </conditionalFormatting>
  <conditionalFormatting sqref="D37">
    <cfRule type="expression" priority="3" aboveAverage="0" equalAverage="0" bottom="0" percent="0" rank="0" text="" dxfId="0">
      <formula>LEFT(D37,5)="AVVIK"</formula>
    </cfRule>
  </conditionalFormatting>
  <conditionalFormatting sqref="D38">
    <cfRule type="expression" priority="4" aboveAverage="0" equalAverage="0" bottom="0" percent="0" rank="0" text="" dxfId="0">
      <formula>LEFT(D38,5)="AVVIK"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15" t="s">
        <v>149</v>
      </c>
    </row>
    <row r="4" customFormat="false" ht="15" hidden="false" customHeight="false" outlineLevel="0" collapsed="false">
      <c r="A4" s="17" t="s">
        <v>150</v>
      </c>
    </row>
    <row r="5" customFormat="false" ht="15" hidden="false" customHeight="false" outlineLevel="0" collapsed="false">
      <c r="A5" s="19" t="s">
        <v>151</v>
      </c>
      <c r="B5" s="25" t="n">
        <f aca="false">Budsjett!D31</f>
        <v>56520</v>
      </c>
    </row>
    <row r="6" customFormat="false" ht="15" hidden="false" customHeight="false" outlineLevel="0" collapsed="false">
      <c r="A6" s="19" t="s">
        <v>114</v>
      </c>
      <c r="B6" s="26" t="n">
        <f aca="false">Budsjett!B20</f>
        <v>0.101231146300027</v>
      </c>
    </row>
    <row r="7" customFormat="false" ht="15" hidden="false" customHeight="false" outlineLevel="0" collapsed="false">
      <c r="A7" s="19" t="s">
        <v>109</v>
      </c>
      <c r="B7" s="29" t="n">
        <f aca="false">Budsjett!B15</f>
        <v>3335640</v>
      </c>
    </row>
    <row r="8" customFormat="false" ht="15" hidden="false" customHeight="false" outlineLevel="0" collapsed="false">
      <c r="A8" s="19" t="s">
        <v>105</v>
      </c>
      <c r="B8" s="29" t="n">
        <f aca="false">Budsjett!B11</f>
        <v>4400</v>
      </c>
    </row>
    <row r="9" customFormat="false" ht="15" hidden="false" customHeight="false" outlineLevel="0" collapsed="false">
      <c r="A9" s="19" t="s">
        <v>108</v>
      </c>
      <c r="B9" s="29" t="n">
        <f aca="false">Budsjett!B13</f>
        <v>1050</v>
      </c>
    </row>
    <row r="11" customFormat="false" ht="15" hidden="false" customHeight="false" outlineLevel="0" collapsed="false">
      <c r="A11" s="17" t="s">
        <v>152</v>
      </c>
    </row>
    <row r="12" customFormat="false" ht="15" hidden="false" customHeight="false" outlineLevel="0" collapsed="false">
      <c r="A12" s="21" t="s">
        <v>153</v>
      </c>
      <c r="B12" s="25" t="n">
        <f aca="false">B5</f>
        <v>56520</v>
      </c>
      <c r="D12" s="19" t="s">
        <v>154</v>
      </c>
    </row>
    <row r="13" customFormat="false" ht="15" hidden="false" customHeight="false" outlineLevel="0" collapsed="false">
      <c r="A13" s="21" t="s">
        <v>155</v>
      </c>
      <c r="B13" s="25" t="n">
        <f aca="false">B12/B6</f>
        <v>558326.187796858</v>
      </c>
      <c r="D13" s="19" t="s">
        <v>156</v>
      </c>
    </row>
    <row ht="27" customHeight="true" r="14" customFormat="false" hidden="false" outlineLevel="0" collapsed="false">
      <c s="34" r="A14" t="s">
        <v>157</v>
      </c>
      <c r="B14" s="30" t="n">
        <f aca="false">B13/B5</f>
        <v>9.87838265741079</v>
      </c>
      <c r="D14" s="19" t="s">
        <v>158</v>
      </c>
    </row>
    <row r="15" customFormat="false" ht="15" hidden="false" customHeight="false" outlineLevel="0" collapsed="false">
      <c r="A15" s="21" t="s">
        <v>159</v>
      </c>
      <c r="B15" s="27" t="n">
        <f aca="false">B13/B7</f>
        <v>0.167382027975698</v>
      </c>
      <c r="D15" s="19" t="s">
        <v>160</v>
      </c>
    </row>
    <row r="17" customFormat="false" ht="15" hidden="false" customHeight="false" outlineLevel="0" collapsed="false">
      <c r="A17" s="17" t="s">
        <v>161</v>
      </c>
    </row>
    <row r="18" customFormat="false" ht="15" hidden="false" customHeight="false" outlineLevel="0" collapsed="false">
      <c r="A18" s="19" t="s">
        <v>162</v>
      </c>
      <c r="B18" s="30" t="n">
        <f aca="false">B12/B8</f>
        <v>12.8454545454545</v>
      </c>
      <c r="C18" s="19" t="s">
        <v>163</v>
      </c>
      <c r="D18" s="19" t="s">
        <v>164</v>
      </c>
    </row>
    <row r="19" customFormat="false" ht="15" hidden="false" customHeight="false" outlineLevel="0" collapsed="false">
      <c r="A19" s="19" t="s">
        <v>165</v>
      </c>
      <c r="B19" s="30" t="n">
        <f aca="false">B12/B9</f>
        <v>53.8285714285714</v>
      </c>
      <c r="C19" s="19" t="s">
        <v>166</v>
      </c>
      <c r="D19" s="19" t="s">
        <v>167</v>
      </c>
    </row>
    <row r="20" customFormat="false" ht="15" hidden="false" customHeight="false" outlineLevel="0" collapsed="false">
      <c r="A20" s="19" t="s">
        <v>168</v>
      </c>
      <c r="B20" s="30" t="n">
        <f aca="false">Budsjett!D33*(Budsjett!B7-Budsjett!B5)</f>
        <v>6.28436414176511</v>
      </c>
      <c r="C20" s="19" t="s">
        <v>163</v>
      </c>
    </row>
    <row r="21" customFormat="false" ht="15" hidden="false" customHeight="false" outlineLevel="0" collapsed="false">
      <c r="A21" s="19" t="s">
        <v>169</v>
      </c>
      <c r="B21" s="30" t="n">
        <f aca="false">Budsjett!D33*(Budsjett!B8-Budsjett!B6)</f>
        <v>27.4940931202224</v>
      </c>
      <c r="C21" s="19" t="s">
        <v>166</v>
      </c>
      <c r="D21" s="19" t="s">
        <v>170</v>
      </c>
    </row>
    <row r="22" customFormat="false" ht="15" hidden="false" customHeight="false" outlineLevel="0" collapsed="false">
      <c r="A22" s="19" t="s">
        <v>171</v>
      </c>
      <c r="B22" s="31" t="n">
        <f aca="false">B5/((Budsjett!B7-Budsjett!B5)+(Budsjett!B8-Budsjett!B6))</f>
        <v>1314.41860465116</v>
      </c>
      <c r="D22" s="19" t="s">
        <v>172</v>
      </c>
    </row>
    <row r="24" customFormat="false" ht="15" hidden="false" customHeight="false" outlineLevel="0" collapsed="false">
      <c r="A24" s="17" t="s">
        <v>173</v>
      </c>
    </row>
    <row r="25" customFormat="false" ht="15" hidden="false" customHeight="false" outlineLevel="0" collapsed="false">
      <c r="A25" s="19" t="s">
        <v>174</v>
      </c>
      <c r="B25" s="23" t="n">
        <v>14</v>
      </c>
    </row>
    <row r="26" customFormat="false" ht="15" hidden="false" customHeight="false" outlineLevel="0" collapsed="false">
      <c r="A26" s="19" t="s">
        <v>175</v>
      </c>
      <c r="B26" s="23" t="n">
        <v>2</v>
      </c>
    </row>
    <row r="27" customFormat="false" ht="15" hidden="false" customHeight="false" outlineLevel="0" collapsed="false">
      <c r="A27" s="19" t="s">
        <v>176</v>
      </c>
      <c r="B27" s="30" t="n">
        <f aca="false">Budsjett!B5*B25+Budsjett!B6*B26</f>
        <v>836</v>
      </c>
    </row>
    <row r="28" customFormat="false" ht="15" hidden="false" customHeight="false" outlineLevel="0" collapsed="false">
      <c r="A28" s="19" t="s">
        <v>177</v>
      </c>
      <c r="B28" s="30" t="n">
        <f aca="false">Budsjett!B7*B25+Budsjett!B8*B26</f>
        <v>1018</v>
      </c>
    </row>
    <row r="29" customFormat="false" ht="15" hidden="false" customHeight="false" outlineLevel="0" collapsed="false">
      <c r="A29" s="21" t="s">
        <v>178</v>
      </c>
      <c r="B29" s="32" t="n">
        <f aca="false">B28-B27</f>
        <v>182</v>
      </c>
    </row>
    <row r="30" customFormat="false" ht="15" hidden="false" customHeight="false" outlineLevel="0" collapsed="false">
      <c r="A30" s="19" t="s">
        <v>179</v>
      </c>
      <c r="B30" s="23" t="n">
        <v>1695</v>
      </c>
    </row>
    <row r="31" customFormat="false" ht="15" hidden="false" customHeight="false" outlineLevel="0" collapsed="false">
      <c r="A31" s="21" t="s">
        <v>180</v>
      </c>
      <c r="B31" s="27" t="n">
        <f aca="false">B29/B30</f>
        <v>0.107374631268437</v>
      </c>
      <c r="D31" s="19" t="s">
        <v>181</v>
      </c>
    </row>
    <row r="33" customFormat="false" ht="15" hidden="false" customHeight="false" outlineLevel="0" collapsed="false">
      <c r="A33" s="17" t="s">
        <v>142</v>
      </c>
    </row>
    <row r="34" customFormat="false" ht="15" hidden="false" customHeight="false" outlineLevel="0" collapsed="false">
      <c r="A34" s="19" t="s">
        <v>182</v>
      </c>
      <c r="B34" s="28" t="str">
        <f aca="false">IF(B15&lt;Budsjett!B21,"OK — tiltakene kan bære seg innenfor vekstmålet","AVVIK: tiltakene må gi mer vekst enn hele målet for å betale for seg selv. Da må enten budsjettet ned eller målet opp")</f>
        <v>OK — tiltakene kan bære seg innenfor vekstmålet</v>
      </c>
    </row>
    <row r="35" customFormat="false" ht="15" hidden="false" customHeight="false" outlineLevel="0" collapsed="false">
      <c r="A35" s="19" t="s">
        <v>183</v>
      </c>
      <c r="B35" s="28" t="str">
        <f aca="false">IF(B31&lt;1,"OK — de ekstra montørtimene får plass innenfor ett årsverk","AVVIK: målet krever mer enn ett årsverk montørtid. Da er det ikke realistisk uten en ansettelse planen må nevne")</f>
        <v>OK — de ekstra montørtimene får plass innenfor ett årsverk</v>
      </c>
    </row>
    <row r="36" customFormat="false" ht="15" hidden="false" customHeight="false" outlineLevel="0" collapsed="false">
      <c r="A36" s="19" t="s">
        <v>184</v>
      </c>
      <c r="B36" s="28" t="str">
        <f aca="false">IF(ABS(B13*B6-B12)&lt;1,"OK — omsetning ganger dekningsgrad gir dekningsbidraget tilbake","AVVIK: nullpunktet stemmer ikke med dekningsgraden")</f>
        <v>OK — omsetning ganger dekningsgrad gir dekningsbidraget tilbake</v>
      </c>
    </row>
    <row r="38" customFormat="false" ht="15" hidden="false" customHeight="false" outlineLevel="0" collapsed="false">
      <c r="A38" s="21" t="s">
        <v>185</v>
      </c>
    </row>
    <row r="39" customFormat="false" ht="15" hidden="false" customHeight="false" outlineLevel="0" collapsed="false">
      <c r="A39" s="16" t="s">
        <v>186</v>
      </c>
    </row>
  </sheetData>
  <conditionalFormatting sqref="B34">
    <cfRule type="expression" priority="2" aboveAverage="0" equalAverage="0" bottom="0" percent="0" rank="0" text="" dxfId="0">
      <formula>LEFT(B34,5)="AVVIK"</formula>
    </cfRule>
  </conditionalFormatting>
  <conditionalFormatting sqref="B35">
    <cfRule type="expression" priority="3" aboveAverage="0" equalAverage="0" bottom="0" percent="0" rank="0" text="" dxfId="0">
      <formula>LEFT(B35,5)="AVVIK"</formula>
    </cfRule>
  </conditionalFormatting>
  <conditionalFormatting sqref="B36">
    <cfRule type="expression" priority="4" aboveAverage="0" equalAverage="0" bottom="0" percent="0" rank="0" text="" dxfId="0">
      <formula>LEFT(B36,5)="AVVIK"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15" t="s">
        <v>188</v>
      </c>
    </row>
    <row r="4" customFormat="false" ht="15" hidden="false" customHeight="false" outlineLevel="0" collapsed="false">
      <c r="A4" s="17" t="s">
        <v>189</v>
      </c>
    </row>
    <row r="5" customFormat="false" ht="15" hidden="false" customHeight="false" outlineLevel="0" collapsed="false">
      <c r="A5" s="16" t="s">
        <v>190</v>
      </c>
    </row>
    <row r="7" customFormat="false" ht="27.75" hidden="false" customHeight="true" outlineLevel="0" collapsed="false">
      <c r="A7" s="22"/>
      <c r="B7" s="22" t="s">
        <v>191</v>
      </c>
      <c r="C7" s="22" t="s">
        <v>192</v>
      </c>
      <c r="D7" s="22" t="s">
        <v>193</v>
      </c>
      <c r="E7" s="22" t="s">
        <v>194</v>
      </c>
    </row>
    <row r="8" customFormat="false" ht="15" hidden="false" customHeight="false" outlineLevel="0" collapsed="false">
      <c r="A8" s="21" t="s">
        <v>195</v>
      </c>
      <c r="B8" s="33" t="n">
        <v>1</v>
      </c>
      <c r="C8" s="33" t="n">
        <v>0.5</v>
      </c>
      <c r="D8" s="33" t="n">
        <v>0.25</v>
      </c>
      <c r="E8" s="19" t="s">
        <v>196</v>
      </c>
    </row>
    <row r="9" customFormat="false" ht="15" hidden="false" customHeight="false" outlineLevel="0" collapsed="false">
      <c r="A9" s="19" t="s">
        <v>197</v>
      </c>
      <c r="B9" s="29" t="n">
        <f aca="false">B8*(Budsjett!B18-Budsjett!B15)</f>
        <v>719930</v>
      </c>
      <c r="C9" s="29" t="n">
        <f aca="false">C8*(Budsjett!B18-Budsjett!B15)</f>
        <v>359965</v>
      </c>
      <c r="D9" s="29" t="n">
        <f aca="false">D8*(Budsjett!B18-Budsjett!B15)</f>
        <v>179982.5</v>
      </c>
      <c r="E9" s="19" t="s">
        <v>198</v>
      </c>
    </row>
    <row r="10" customFormat="false" ht="15" hidden="false" customHeight="false" outlineLevel="0" collapsed="false">
      <c r="A10" s="19" t="s">
        <v>199</v>
      </c>
      <c r="B10" s="29" t="n">
        <f aca="false">B9*Budsjett!$B$20</f>
        <v>72879.3391557784</v>
      </c>
      <c r="C10" s="29" t="n">
        <f aca="false">C9*Budsjett!$B$20</f>
        <v>36439.6695778892</v>
      </c>
      <c r="D10" s="29" t="n">
        <f aca="false">D9*Budsjett!$B$20</f>
        <v>18219.8347889446</v>
      </c>
    </row>
    <row r="11" customFormat="false" ht="15" hidden="false" customHeight="false" outlineLevel="0" collapsed="false">
      <c r="A11" s="19" t="s">
        <v>200</v>
      </c>
      <c r="B11" s="29" t="n">
        <f aca="false">-Budsjett!D31</f>
        <v>-56520</v>
      </c>
      <c r="C11" s="29" t="n">
        <f aca="false">-Budsjett!D31</f>
        <v>-56520</v>
      </c>
      <c r="D11" s="29" t="n">
        <f aca="false">-Budsjett!D31</f>
        <v>-56520</v>
      </c>
    </row>
    <row r="12" customFormat="false" ht="15" hidden="false" customHeight="false" outlineLevel="0" collapsed="false">
      <c r="A12" s="21" t="s">
        <v>201</v>
      </c>
      <c r="B12" s="25" t="n">
        <f aca="false">B10+B11</f>
        <v>16359.3391557783</v>
      </c>
      <c r="C12" s="25" t="n">
        <f aca="false">C10+C11</f>
        <v>-20080.3304221108</v>
      </c>
      <c r="D12" s="25" t="n">
        <f aca="false">D10+D11</f>
        <v>-38300.1652110554</v>
      </c>
      <c r="E12" s="19" t="s">
        <v>202</v>
      </c>
    </row>
    <row r="13" customFormat="false" ht="15" hidden="false" customHeight="false" outlineLevel="0" collapsed="false">
      <c r="A13" s="19" t="s">
        <v>203</v>
      </c>
      <c r="B13" s="30" t="n">
        <f aca="false">B10/Budsjett!D31</f>
        <v>1.28944336793663</v>
      </c>
      <c r="C13" s="30" t="n">
        <f aca="false">C10/Budsjett!D31</f>
        <v>0.644721683968315</v>
      </c>
      <c r="D13" s="30" t="n">
        <f aca="false">D10/Budsjett!D31</f>
        <v>0.322360841984158</v>
      </c>
      <c r="E13" s="19" t="s">
        <v>204</v>
      </c>
    </row>
    <row r="14" customFormat="false" ht="15" hidden="false" customHeight="false" outlineLevel="0" collapsed="false">
      <c r="A14" s="19" t="s">
        <v>205</v>
      </c>
      <c r="B14" s="28" t="str">
        <f aca="false">IF(B12&gt;0,"Betaler seg","Betaler seg ikke")</f>
        <v>Betaler seg</v>
      </c>
      <c r="C14" s="28" t="str">
        <f aca="false">IF(C12&gt;0,"Betaler seg","Betaler seg ikke")</f>
        <v>Betaler seg ikke</v>
      </c>
      <c r="D14" s="28" t="str">
        <f aca="false">IF(D12&gt;0,"Betaler seg","Betaler seg ikke")</f>
        <v>Betaler seg ikke</v>
      </c>
    </row>
    <row r="16" customFormat="false" ht="15" hidden="false" customHeight="false" outlineLevel="0" collapsed="false">
      <c r="A16" s="17" t="s">
        <v>142</v>
      </c>
    </row>
    <row r="17" customFormat="false" ht="15" hidden="false" customHeight="false" outlineLevel="0" collapsed="false">
      <c r="A17" s="19" t="s">
        <v>206</v>
      </c>
      <c r="B17" s="28" t="str">
        <f aca="false">IF(AND(D8&lt;C8,D12&lt;C12),"OK — mindre effekt gir dårligere resultat","AVVIK: sjekk at pessimistkolonnen har lavere andel enn realistkolonnen")</f>
        <v>OK — mindre effekt gir dårligere resultat</v>
      </c>
    </row>
    <row r="18" customFormat="false" ht="15" hidden="false" customHeight="false" outlineLevel="0" collapsed="false">
      <c r="A18" s="19" t="s">
        <v>207</v>
      </c>
      <c r="B18" s="28" t="str">
        <f aca="false">IF(D12&lt;0,"OK — i pessimistscenarioet betaler tiltakene seg ikke. Det er hele poenget med å regne på det på forhånd","AVVIK: selv i pessimistscenarioet betaler tiltakene seg. Da er budsjettet satt for lavt til å være interessant")</f>
        <v>OK — i pessimistscenarioet betaler tiltakene seg ikke. Det er hele poenget med å regne på det på forhånd</v>
      </c>
    </row>
    <row r="21" customFormat="false" ht="15" hidden="false" customHeight="false" outlineLevel="0" collapsed="false">
      <c r="A21" s="17" t="s">
        <v>208</v>
      </c>
    </row>
    <row r="22" customFormat="false" ht="15" hidden="false" customHeight="false" outlineLevel="0" collapsed="false">
      <c r="A22" s="16" t="s">
        <v>209</v>
      </c>
    </row>
    <row r="24" customFormat="false" ht="27.75" hidden="false" customHeight="true" outlineLevel="0" collapsed="false">
      <c r="A24" s="22" t="s">
        <v>210</v>
      </c>
      <c r="B24" s="22" t="s">
        <v>211</v>
      </c>
      <c r="C24" s="22" t="s">
        <v>212</v>
      </c>
      <c r="D24" s="22" t="s">
        <v>213</v>
      </c>
      <c r="E24" s="22" t="s">
        <v>214</v>
      </c>
    </row>
    <row r="25" customFormat="false" ht="15" hidden="false" customHeight="false" outlineLevel="0" collapsed="false">
      <c r="A25" s="27" t="n">
        <f aca="false">Budsjett!$B$20</f>
        <v>0.101231146300027</v>
      </c>
      <c r="B25" s="29" t="n">
        <f aca="false">Budsjett!$D$31/A25</f>
        <v>558326.187796858</v>
      </c>
      <c r="C25" s="26" t="n">
        <f aca="false">B25/Budsjett!$B$15</f>
        <v>0.167382027975698</v>
      </c>
      <c r="D25" s="30" t="n">
        <f aca="false">B25/(Budsjett!$B$15/(Budsjett!$B$5+Budsjett!$B$6))</f>
        <v>35.8197539867994</v>
      </c>
      <c r="E25" s="19" t="s">
        <v>215</v>
      </c>
    </row>
    <row r="26" customFormat="false" ht="15" hidden="false" customHeight="false" outlineLevel="0" collapsed="false">
      <c r="A26" s="33" t="n">
        <v>0.15</v>
      </c>
      <c r="B26" s="29" t="n">
        <f aca="false">Budsjett!$D$31/A26</f>
        <v>376800</v>
      </c>
      <c r="C26" s="26" t="n">
        <f aca="false">B26/Budsjett!$B$15</f>
        <v>0.112961830413354</v>
      </c>
      <c r="D26" s="30" t="n">
        <f aca="false">B26/(Budsjett!$B$15/(Budsjett!$B$5+Budsjett!$B$6))</f>
        <v>24.1738317084577</v>
      </c>
      <c r="E26" s="19" t="s">
        <v>216</v>
      </c>
    </row>
    <row r="27" customFormat="false" ht="15" hidden="false" customHeight="false" outlineLevel="0" collapsed="false">
      <c r="A27" s="33" t="n">
        <v>0.2</v>
      </c>
      <c r="B27" s="29" t="n">
        <f aca="false">Budsjett!$D$31/A27</f>
        <v>282600</v>
      </c>
      <c r="C27" s="26" t="n">
        <f aca="false">B27/Budsjett!$B$15</f>
        <v>0.0847213728100155</v>
      </c>
      <c r="D27" s="30" t="n">
        <f aca="false">B27/(Budsjett!$B$15/(Budsjett!$B$5+Budsjett!$B$6))</f>
        <v>18.1303737813433</v>
      </c>
      <c r="E27" s="19" t="s">
        <v>217</v>
      </c>
    </row>
    <row r="28" customFormat="false" ht="15" hidden="false" customHeight="false" outlineLevel="0" collapsed="false">
      <c r="A28" s="33" t="n">
        <v>0.3</v>
      </c>
      <c r="B28" s="29" t="n">
        <f aca="false">Budsjett!$D$31/A28</f>
        <v>188400</v>
      </c>
      <c r="C28" s="26" t="n">
        <f aca="false">B28/Budsjett!$B$15</f>
        <v>0.056480915206677</v>
      </c>
      <c r="D28" s="30" t="n">
        <f aca="false">B28/(Budsjett!$B$15/(Budsjett!$B$5+Budsjett!$B$6))</f>
        <v>12.0869158542289</v>
      </c>
      <c r="E28" s="19" t="s">
        <v>218</v>
      </c>
    </row>
    <row r="29" customFormat="false" ht="15" hidden="false" customHeight="false" outlineLevel="0" collapsed="false">
      <c r="A29" s="33" t="n">
        <v>0.625</v>
      </c>
      <c r="B29" s="29" t="n">
        <f aca="false">Budsjett!$D$31/A29</f>
        <v>90432</v>
      </c>
      <c r="C29" s="26" t="n">
        <f aca="false">B29/Budsjett!$B$15</f>
        <v>0.027110839299205</v>
      </c>
      <c r="D29" s="30" t="n">
        <f aca="false">B29/(Budsjett!$B$15/(Budsjett!$B$5+Budsjett!$B$6))</f>
        <v>5.80171961002986</v>
      </c>
      <c r="E29" s="19" t="s">
        <v>219</v>
      </c>
    </row>
    <row r="31" customFormat="false" ht="15" hidden="false" customHeight="false" outlineLevel="0" collapsed="false">
      <c r="A31" s="19" t="s">
        <v>220</v>
      </c>
    </row>
    <row r="32" customFormat="false" ht="15" hidden="false" customHeight="false" outlineLevel="0" collapsed="false">
      <c r="A32" s="16" t="s">
        <v>221</v>
      </c>
    </row>
    <row r="33" customFormat="false" ht="15" hidden="false" customHeight="false" outlineLevel="0" collapsed="false">
      <c r="A33" s="21" t="s">
        <v>222</v>
      </c>
    </row>
    <row r="35" customFormat="false" ht="15" hidden="false" customHeight="false" outlineLevel="0" collapsed="false">
      <c r="A35" s="17" t="s">
        <v>142</v>
      </c>
    </row>
    <row r="36" customFormat="false" ht="15" hidden="false" customHeight="false" outlineLevel="0" collapsed="false">
      <c r="A36" s="19" t="s">
        <v>223</v>
      </c>
      <c r="B36" s="28" t="str">
        <f aca="false">IF(B25&gt;B29,"OK — høyere dekningsgrad krever mindre omsetning","AVVIK: tabellen skal falle nedover")</f>
        <v>OK — høyere dekningsgrad krever mindre omsetning</v>
      </c>
    </row>
    <row r="37" customFormat="false" ht="15" hidden="false" customHeight="false" outlineLevel="0" collapsed="false">
      <c r="A37" s="19" t="s">
        <v>224</v>
      </c>
      <c r="B37" s="28" t="str">
        <f aca="false">IF(ABS(B25-Nullpunkt!B13)&lt;1,"OK — raden gir samme svar som arket Nullpunkt","AVVIK: raden stemmer ikke med arket Nullpunkt")</f>
        <v>OK — raden gir samme svar som arket Nullpunkt</v>
      </c>
    </row>
    <row r="40" customFormat="false" ht="15" hidden="false" customHeight="false" outlineLevel="0" collapsed="false">
      <c r="A40" s="17" t="s">
        <v>225</v>
      </c>
    </row>
    <row r="41" customFormat="false" ht="15" hidden="false" customHeight="false" outlineLevel="0" collapsed="false">
      <c r="A41" s="16" t="s">
        <v>226</v>
      </c>
    </row>
    <row r="42" customFormat="false" ht="15" hidden="false" customHeight="false" outlineLevel="0" collapsed="false">
      <c r="A42" s="19" t="s">
        <v>227</v>
      </c>
      <c r="B42" s="25" t="n">
        <f aca="false">Budsjett!D31</f>
        <v>56520</v>
      </c>
    </row>
    <row r="43" customFormat="false" ht="15" hidden="false" customHeight="false" outlineLevel="0" collapsed="false">
      <c r="A43" s="19" t="s">
        <v>228</v>
      </c>
      <c r="B43" s="24" t="n">
        <v>56520</v>
      </c>
      <c r="E43" s="19" t="s">
        <v>229</v>
      </c>
    </row>
    <row r="44" customFormat="false" ht="15" hidden="false" customHeight="false" outlineLevel="0" collapsed="false">
      <c r="A44" s="21" t="s">
        <v>230</v>
      </c>
      <c r="B44" s="25" t="n">
        <f aca="false">B42-B43</f>
        <v>0</v>
      </c>
    </row>
    <row r="45" customFormat="false" ht="15" hidden="false" customHeight="false" outlineLevel="0" collapsed="false">
      <c r="A45" s="19" t="s">
        <v>231</v>
      </c>
      <c r="B45" s="26" t="n">
        <f aca="false">Nullpunkt!B15</f>
        <v>0.167382027975698</v>
      </c>
    </row>
    <row r="46" customFormat="false" ht="15" hidden="false" customHeight="false" outlineLevel="0" collapsed="false">
      <c r="A46" s="19" t="s">
        <v>232</v>
      </c>
      <c r="B46" s="26" t="n">
        <f aca="false">Budsjett!B21</f>
        <v>0.215829645885048</v>
      </c>
    </row>
    <row r="47" customFormat="false" ht="15" hidden="false" customHeight="false" outlineLevel="0" collapsed="false">
      <c r="A47" s="21" t="s">
        <v>233</v>
      </c>
      <c r="B47" s="27" t="n">
        <f aca="false">B46-B45</f>
        <v>0.0484476179093493</v>
      </c>
      <c r="E47" s="19" t="s">
        <v>234</v>
      </c>
    </row>
    <row r="49" customFormat="false" ht="15" hidden="false" customHeight="false" outlineLevel="0" collapsed="false">
      <c r="A49" s="17" t="s">
        <v>142</v>
      </c>
    </row>
    <row r="50" customFormat="false" ht="15" hidden="false" customHeight="false" outlineLevel="0" collapsed="false">
      <c r="A50" s="19" t="s">
        <v>235</v>
      </c>
      <c r="B50" s="28" t="str">
        <f aca="false">IF(B47&gt;0,"OK — vekstmålet dekker markedsbudsjettet med margin","AVVIK: markedsbudsjettet krever mer vekst enn planen lover. Kutt et tiltak, eller hev målet")</f>
        <v>OK — vekstmålet dekker markedsbudsjettet med margin</v>
      </c>
    </row>
    <row r="52" customFormat="false" ht="15" hidden="false" customHeight="false" outlineLevel="0" collapsed="false">
      <c r="A52" s="16" t="s">
        <v>236</v>
      </c>
    </row>
  </sheetData>
  <conditionalFormatting sqref="B17">
    <cfRule type="expression" priority="2" aboveAverage="0" equalAverage="0" bottom="0" percent="0" rank="0" text="" dxfId="0">
      <formula>LEFT(B17,5)="AVVIK"</formula>
    </cfRule>
  </conditionalFormatting>
  <conditionalFormatting sqref="B18">
    <cfRule type="expression" priority="3" aboveAverage="0" equalAverage="0" bottom="0" percent="0" rank="0" text="" dxfId="0">
      <formula>LEFT(B18,5)="AVVIK"</formula>
    </cfRule>
  </conditionalFormatting>
  <conditionalFormatting sqref="B36">
    <cfRule type="expression" priority="4" aboveAverage="0" equalAverage="0" bottom="0" percent="0" rank="0" text="" dxfId="0">
      <formula>LEFT(B36,5)="AVVIK"</formula>
    </cfRule>
  </conditionalFormatting>
  <conditionalFormatting sqref="B37">
    <cfRule type="expression" priority="5" aboveAverage="0" equalAverage="0" bottom="0" percent="0" rank="0" text="" dxfId="0">
      <formula>LEFT(B37,5)="AVVIK"</formula>
    </cfRule>
  </conditionalFormatting>
  <conditionalFormatting sqref="B50">
    <cfRule type="expression" priority="6" aboveAverage="0" equalAverage="0" bottom="0" percent="0" rank="0" text="" dxfId="0">
      <formula>LEFT(B50,5)="AVVIK"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15" t="s">
        <v>238</v>
      </c>
    </row>
    <row r="4" customFormat="false" ht="15" hidden="false" customHeight="false" outlineLevel="0" collapsed="false">
      <c r="A4" s="17" t="s">
        <v>239</v>
      </c>
    </row>
    <row r="5" customFormat="false" ht="15" hidden="false" customHeight="false" outlineLevel="0" collapsed="false">
      <c r="A5" s="19" t="s">
        <v>240</v>
      </c>
      <c r="B5" s="24" t="n">
        <v>0</v>
      </c>
      <c r="D5" s="19" t="s">
        <v>241</v>
      </c>
    </row>
    <row r="6" customFormat="false" ht="15" hidden="false" customHeight="false" outlineLevel="0" collapsed="false">
      <c r="A6" s="19" t="s">
        <v>242</v>
      </c>
      <c r="B6" s="24" t="n">
        <v>0</v>
      </c>
      <c r="D6" s="19" t="s">
        <v>243</v>
      </c>
    </row>
    <row r="7" customFormat="false" ht="15" hidden="false" customHeight="false" outlineLevel="0" collapsed="false">
      <c r="A7" s="19" t="s">
        <v>244</v>
      </c>
      <c r="B7" s="24" t="n">
        <v>0</v>
      </c>
      <c r="D7" s="19" t="s">
        <v>245</v>
      </c>
    </row>
    <row r="8" customFormat="false" ht="15" hidden="false" customHeight="false" outlineLevel="0" collapsed="false">
      <c r="A8" s="19" t="s">
        <v>246</v>
      </c>
      <c r="B8" s="24" t="n">
        <v>0</v>
      </c>
      <c r="D8" s="19" t="s">
        <v>247</v>
      </c>
    </row>
    <row r="9" customFormat="false" ht="15" hidden="false" customHeight="false" outlineLevel="0" collapsed="false">
      <c r="A9" s="19" t="s">
        <v>248</v>
      </c>
      <c r="B9" s="24" t="n">
        <v>0</v>
      </c>
      <c r="D9" s="19" t="s">
        <v>249</v>
      </c>
    </row>
    <row r="11" customFormat="false" ht="15" hidden="false" customHeight="false" outlineLevel="0" collapsed="false">
      <c r="A11" s="19" t="s">
        <v>250</v>
      </c>
      <c r="B11" s="27" t="n">
        <f aca="false">IF(B5=0,0,B6/B5)</f>
        <v>0</v>
      </c>
    </row>
    <row r="12" customFormat="false" ht="15" hidden="false" customHeight="false" outlineLevel="0" collapsed="false">
      <c r="A12" s="19" t="s">
        <v>251</v>
      </c>
      <c r="B12" s="27" t="n">
        <f aca="false">IF(B5=0,0,B7/B5-1)</f>
        <v>0</v>
      </c>
    </row>
    <row r="14" customFormat="false" ht="15" hidden="false" customHeight="false" outlineLevel="0" collapsed="false">
      <c r="A14" s="17" t="s">
        <v>252</v>
      </c>
    </row>
    <row r="15" customFormat="false" ht="27.75" hidden="false" customHeight="true" outlineLevel="0" collapsed="false">
      <c r="A15" s="22" t="s">
        <v>120</v>
      </c>
      <c r="B15" s="22" t="s">
        <v>122</v>
      </c>
      <c r="C15" s="22"/>
      <c r="D15" s="22" t="s">
        <v>253</v>
      </c>
    </row>
    <row r="16" customFormat="false" ht="15" hidden="false" customHeight="false" outlineLevel="0" collapsed="false">
      <c r="A16" s="18"/>
      <c r="B16" s="24" t="n">
        <v>0</v>
      </c>
      <c r="D16" s="18"/>
    </row>
    <row r="17" customFormat="false" ht="15" hidden="false" customHeight="false" outlineLevel="0" collapsed="false">
      <c r="A17" s="18"/>
      <c r="B17" s="24" t="n">
        <v>0</v>
      </c>
      <c r="D17" s="18"/>
    </row>
    <row r="18" customFormat="false" ht="15" hidden="false" customHeight="false" outlineLevel="0" collapsed="false">
      <c r="A18" s="18"/>
      <c r="B18" s="24" t="n">
        <v>0</v>
      </c>
      <c r="D18" s="18"/>
    </row>
    <row r="19" customFormat="false" ht="15" hidden="false" customHeight="false" outlineLevel="0" collapsed="false">
      <c r="A19" s="18"/>
      <c r="B19" s="24" t="n">
        <v>0</v>
      </c>
      <c r="D19" s="18"/>
    </row>
    <row r="20" customFormat="false" ht="15" hidden="false" customHeight="false" outlineLevel="0" collapsed="false">
      <c r="A20" s="18"/>
      <c r="B20" s="24" t="n">
        <v>0</v>
      </c>
      <c r="D20" s="18"/>
    </row>
    <row r="21" customFormat="false" ht="15" hidden="false" customHeight="false" outlineLevel="0" collapsed="false">
      <c r="A21" s="21" t="s">
        <v>254</v>
      </c>
      <c r="B21" s="25" t="n">
        <f aca="false">SUM(B16:B20)</f>
        <v>0</v>
      </c>
    </row>
    <row r="22" customFormat="false" ht="15" hidden="false" customHeight="false" outlineLevel="0" collapsed="false">
      <c r="A22" s="19" t="s">
        <v>255</v>
      </c>
      <c r="B22" s="26" t="n">
        <f aca="false">IF(B5=0,0,B21/B5)</f>
        <v>0</v>
      </c>
    </row>
    <row r="24" customFormat="false" ht="15" hidden="false" customHeight="false" outlineLevel="0" collapsed="false">
      <c r="A24" s="17" t="s">
        <v>256</v>
      </c>
    </row>
    <row r="25" customFormat="false" ht="15" hidden="false" customHeight="false" outlineLevel="0" collapsed="false">
      <c r="A25" s="21" t="s">
        <v>153</v>
      </c>
      <c r="B25" s="25" t="n">
        <f aca="false">B21</f>
        <v>0</v>
      </c>
    </row>
    <row r="26" customFormat="false" ht="15" hidden="false" customHeight="false" outlineLevel="0" collapsed="false">
      <c r="A26" s="21" t="s">
        <v>155</v>
      </c>
      <c r="B26" s="25" t="n">
        <f aca="false">IF(B11=0,0,B25/B11)</f>
        <v>0</v>
      </c>
    </row>
    <row r="27" customFormat="false" ht="15" hidden="false" customHeight="false" outlineLevel="0" collapsed="false">
      <c r="A27" s="19" t="s">
        <v>257</v>
      </c>
      <c r="B27" s="27" t="n">
        <f aca="false">IF(B5=0,0,B26/B5)</f>
        <v>0</v>
      </c>
    </row>
    <row r="28" customFormat="false" ht="15" hidden="false" customHeight="false" outlineLevel="0" collapsed="false">
      <c r="A28" s="19" t="s">
        <v>258</v>
      </c>
      <c r="B28" s="30" t="n">
        <f aca="false">IF(B9=0,0,B25/B9)</f>
        <v>0</v>
      </c>
      <c r="D28" s="19" t="s">
        <v>259</v>
      </c>
    </row>
    <row r="30" customFormat="false" ht="15" hidden="false" customHeight="false" outlineLevel="0" collapsed="false">
      <c r="A30" s="17" t="s">
        <v>142</v>
      </c>
    </row>
    <row r="31" customFormat="false" ht="15" hidden="false" customHeight="false" outlineLevel="0" collapsed="false">
      <c r="A31" s="19" t="s">
        <v>260</v>
      </c>
      <c r="B31" s="28" t="str">
        <f aca="false">IF(B5=0,"Fyll inn tallene over.",IF(B27&lt;B12,"OK — den nødvendige veksten er mindre enn vekstmålet ditt","AVVIK: markedsbudsjettet krever mer vekst enn målet ditt lover"))</f>
        <v>Fyll inn tallene over.</v>
      </c>
    </row>
    <row r="32" customFormat="false" ht="15" hidden="false" customHeight="false" outlineLevel="0" collapsed="false">
      <c r="A32" s="19" t="s">
        <v>261</v>
      </c>
      <c r="B32" s="28" t="str">
        <f aca="false">IF(B5=0,"Fyll inn tallene over.",IF(B22&lt;0.05,"OK — budsjettet er under fem prosent av omsetningen","AVVIK: over fem prosent av omsetningen til markedsføring. Det kan være riktig, men det må begrunnes"))</f>
        <v>Fyll inn tallene over.</v>
      </c>
    </row>
    <row r="34" customFormat="false" ht="15" hidden="false" customHeight="false" outlineLevel="0" collapsed="false">
      <c r="A34" s="21" t="s">
        <v>262</v>
      </c>
    </row>
  </sheetData>
  <conditionalFormatting sqref="B31">
    <cfRule type="expression" priority="2" aboveAverage="0" equalAverage="0" bottom="0" percent="0" rank="0" text="" dxfId="0">
      <formula>LEFT(B31,5)="AVVIK"</formula>
    </cfRule>
  </conditionalFormatting>
  <conditionalFormatting sqref="B32">
    <cfRule type="expression" priority="3" aboveAverage="0" equalAverage="0" bottom="0" percent="0" rank="0" text="" dxfId="0">
      <formula>LEFT(B32,5)="AVVIK"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2026-09-11T09:30:00Z</dcterms:created>
  <dc:creator>openpyxl</dc:creator>
  <dc:description/>
  <dc:language>en-US</dc:language>
  <cp:lastModifiedBy/>
  <dcterms:modified xsi:type="dcterms:W3CDTF">2026-10-07T06:04:53Z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