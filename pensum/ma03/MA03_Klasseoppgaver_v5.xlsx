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<sst xmlns="http://schemas.openxmlformats.org/spreadsheetml/2006/main" count="146" uniqueCount="124">
  <si>
    <t xml:space="preserve">Klasseoppgaver til Markedsføring kapittel 3: Markedsplanen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</si>
  <si>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</si>
  <si>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</si>
  <si>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</si>
  <si>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</si>
  <si>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</si>
  <si>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</si>
  <si>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</si>
  <si>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</si>
  <si>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bærer delmålene hovedmålet for solcelle- og ladeavdelingen? (Nordlys)</t>
  </si>
  <si>
    <t xml:space="preserve">A2</t>
  </si>
  <si>
    <t xml:space="preserve">Fjell Elektro: forretningsidé og situasjonsanalyse etter første driftsår (Egen el-bedrift)</t>
  </si>
  <si>
    <t xml:space="preserve">B1</t>
  </si>
  <si>
    <t xml:space="preserve">Nordlys: fire nye veier å vokse, og én profil (Nordlys)</t>
  </si>
  <si>
    <t xml:space="preserve">B2</t>
  </si>
  <si>
    <t xml:space="preserve">Fjell Elektro: markedsinntrengning på ladepunkt, og hva 5 % betyr (Egen el-bedrift)</t>
  </si>
  <si>
    <t xml:space="preserve">Læreboka</t>
  </si>
  <si>
    <t xml:space="preserve">Hjertnes, F.: Markedsføring, organisasjon og ledelse for LØM-emnet, kapittel 3.</t>
  </si>
  <si>
    <t xml:space="preserve">Appen</t>
  </si>
  <si>
    <t xml:space="preserve">Markedsføring kap. 3 → Øv → Klasseoppgaver gir fasit per deloppgave.</t>
  </si>
  <si>
    <t xml:space="preserve">A1 · Nordlys: bærer delmålene hovedmålet for solcelle- og ladeavdelingen?</t>
  </si>
  <si>
    <t xml:space="preserve">25 minutter · Helst alene. Sammen med sidemannen eller flere hvis du vil. Ark og blyant, appen (PC eller mobil) eller læreboka.</t>
  </si>
  <si>
    <t xml:space="preserve">Kort oppsummert: Markedsmål skal være realistiske, hierarkiske, tallfestede og innbyrdes i samsvar (avsnitt 3.4). Hierarkisk betyr ett hovedmål med delmål under. I samsvar betyr at delmålene til sammen bærer hovedmålet: regn delmålene om til kroner og sammenlikn. Realistisk betyr at bedriften har kapasitet til det: regn hvor mange flere timer målet krever.</t>
  </si>
  <si>
    <t xml:space="preserve">Casen er lagt til 2026/2027. Solcelle- og ladeavdelingen i Nordlys monterte 34 solcelleanlegg og 180 ladepunkt i fjor og omsatte for 3 335 640 kr. Kari har satt hovedmålet for i år: omsetningen skal øke med minst 20 %. Ida har satt delmålene: 42 solcelleanlegg og 215 ladepunkt, med samme priser som i fjor. Et anlegg tar 14 montørtimer og et ladepunkt 2. Nordlys fakturerer 14 400 montørtimer i året. Gå fram slik: regn hovedmålet om til kroner, regn delmålene om til kroner (antall × pris, lagt sammen), sammenlikn, og regn til slutt hvor mange flere montørtimer delmålene krever.</t>
  </si>
  <si>
    <t xml:space="preserve">Post</t>
  </si>
  <si>
    <t xml:space="preserve">I fjor</t>
  </si>
  <si>
    <t xml:space="preserve">Mål i år</t>
  </si>
  <si>
    <t xml:space="preserve">Solcelleanlegg, antall</t>
  </si>
  <si>
    <t xml:space="preserve">Pris per anlegg, kr uten mva</t>
  </si>
  <si>
    <t xml:space="preserve">Ladepunkt, antall</t>
  </si>
  <si>
    <t xml:space="preserve">Pris per ladepunkt, kr uten mva</t>
  </si>
  <si>
    <t xml:space="preserve">Montørtimer per anlegg / ladepunkt</t>
  </si>
  <si>
    <t xml:space="preserve">14 / 2</t>
  </si>
  <si>
    <t xml:space="preserve">Omsetning, kr</t>
  </si>
  <si>
    <t xml:space="preserve">Hovedmål: vekst i omsetning</t>
  </si>
  <si>
    <t xml:space="preserve">minst 20 %</t>
  </si>
  <si>
    <t xml:space="preserve">Gule celler med spørsmålstegn kan du fylle inn selv mens du regner.</t>
  </si>
  <si>
    <t xml:space="preserve">Deloppgave</t>
  </si>
  <si>
    <t xml:space="preserve">Ditt svar</t>
  </si>
  <si>
    <t xml:space="preserve">Sjekk</t>
  </si>
  <si>
    <t xml:space="preserve">a)  Hva er hovedmålet i kroner? Omsetningen i fjor ganger 1 pluss vekstmålet.</t>
  </si>
  <si>
    <t xml:space="preserve">b)  Hva blir omsetningen hvis delmålene nås? Antall anlegg ganger pris pluss antall ladepunkt ganger pris.</t>
  </si>
  <si>
    <t xml:space="preserve">c)  Hvor mange flere montørtimer i året krever delmålene enn det avdelingen solgte i fjor? Anlegg 14 timer, ladepunkt 2 timer.</t>
  </si>
  <si>
    <t xml:space="preserve">d)  Kari har skrevet tre setninger om avdelingen. Hvilken av dem er et markedsmål etter lærebokas krav (tallfestet, realistisk, hierarkisk, i samsvar)?   A: «Vi skal bli den foretrukne leverandøren av solceller i bydelen.»   B: «Vi skal selge 42 solcelleanlegg i år, mot 34 i fjor. Ida følger opp hver måned.»   C: «Vi skal satse mer på borettslag, for der ligger pengene.»   (skriv bokstaven)</t>
  </si>
  <si>
    <t xml:space="preserve">e)  Nye solkraftanlegg i Norge falt fra 149 MW i 2024 til 117 MW i 2025 (−21,5 %). Er delmålet på 42 solcelleanlegg realistisk? Skriv to setninger og ett tiltak.</t>
  </si>
  <si>
    <t xml:space="preserve">Kilde: Hjertnes, F.: Markedsføring, organisasjon og ledelse for LØM-emnet, kap. 3, avsnitt 3.4 (markedsmål) og kap. 10.3. Tallene er de samme som i appen og sammendraget til kapittel 3. Nordlys Elektro AS er en konstruert casebedrift.</t>
  </si>
  <si>
    <t xml:space="preserve">Regnearket er øvingsstøtte. Det kan ikke siteres eller vises til i besvarelser, prosjektoppgaver eller eksamen; der gjelder læreboka og oppgitte primærkilder.</t>
  </si>
  <si>
    <t xml:space="preserve">A2 · Fjell Elektro: forretningsidé og situasjonsanalyse etter første driftsår</t>
  </si>
  <si>
    <t xml:space="preserve">Kort oppsummert: Forretningsidéen svarer på tre spørsmål: hvilke produkter, til hvilke målgrupper, og hva som er særpreget eller konkurransefortrinnet (3.2). Situasjonsanalysen kartlegger arbeidsbetingelsene: internt sterke og svake sider, eksternt muligheter og trusler (3.3). Det bedriften selv rår over, er internt. Det som skjer i markedet, hos konkurrentene og på arbeidsmarkedet, er eksternt. Markedsandel = eget salg delt på hele markedets salg.</t>
  </si>
  <si>
    <t xml:space="preserve">Fjell Elektro AS har vært i drift i ett år. Mona Fjell er eier, daglig leder og faglig ansvarlig, og jobber halve tiden ute på oppdrag sammen med de to montørene. Hun skal skrive den første markedsplanen og starter med forretningsidéen og situasjonsanalysen. Faktaene står under. Gå fram slik: velg forretningsidéen som svarer på alle tre spørsmålene, sorter faktaene i internt og eksternt, og regn markedsandelen på ladepunkt.</t>
  </si>
  <si>
    <t xml:space="preserve">Forutsetning</t>
  </si>
  <si>
    <t xml:space="preserve">Verdi</t>
  </si>
  <si>
    <t xml:space="preserve">Folk og kompetanse</t>
  </si>
  <si>
    <t xml:space="preserve">Mona: installatørprøven 2023, fagskoletekniker elkraft. To montører. Mona er selv med på hver jobb</t>
  </si>
  <si>
    <t xml:space="preserve">Kapasitet og pris</t>
  </si>
  <si>
    <t xml:space="preserve">3 500 fakturerbare timer i året, 890 kr per time uten mva</t>
  </si>
  <si>
    <t xml:space="preserve">Marked i dag</t>
  </si>
  <si>
    <t xml:space="preserve">Boliger og små næringskunder i Oslo øst. Ingen rammeavtaler</t>
  </si>
  <si>
    <t xml:space="preserve">Økonomi</t>
  </si>
  <si>
    <t xml:space="preserve">Driftsmargin 3,0 % første år. Banken krevde kausjon fra Mona</t>
  </si>
  <si>
    <t xml:space="preserve">Konkurrenter</t>
  </si>
  <si>
    <t xml:space="preserve">Nordlys Elektro (18 ansatte) og landsdekkende kjeder i samme område</t>
  </si>
  <si>
    <t xml:space="preserve">Ladepunkt i fjor</t>
  </si>
  <si>
    <t xml:space="preserve">1 600 montert i boliger i Oslo øst. Fjell monterte 48 av dem</t>
  </si>
  <si>
    <t xml:space="preserve">Elbiler</t>
  </si>
  <si>
    <t xml:space="preserve">32,5 % av personbilene i Norge er elbiler (utgangen av 2025)</t>
  </si>
  <si>
    <t xml:space="preserve">Arbeidskraft</t>
  </si>
  <si>
    <t xml:space="preserve">Bransjen mangler fagarbeidere; Fjell fikk ingen søkere til en tredje montørstilling</t>
  </si>
  <si>
    <t xml:space="preserve">a)  Hvilken av de tre setningene er en forretningsidé som svarer på alle tre spørsmålene: produkt, målgruppe og særpreg?   A: «Fjell Elektro leverer kvalitet til fornøyde kunder.»   B: «Fjell Elektro utfører elektroinstallasjoner.»   C: «Fjell Elektro tar el-oppdrag og ladepunkt i boliger og små næringsbygg i Oslo øst, med installatøren selv på hver jobb.»   (skriv bokstaven)</t>
  </si>
  <si>
    <t xml:space="preserve">b)  Sorter faktaene. Er dette en intern arbeidsbetingelse, altså en sterk eller svak side ved Fjell selv? Svar ja eller nei for hver.</t>
  </si>
  <si>
    <t xml:space="preserve">      Mona er installatør og er selv med på hver jobb   (Ja eller Nei)</t>
  </si>
  <si>
    <t xml:space="preserve">      Driftsmargin 3,0 % første år   (Ja eller Nei)</t>
  </si>
  <si>
    <t xml:space="preserve">      Bare to montører: kan ikke ta store jobber   (Ja eller Nei)</t>
  </si>
  <si>
    <t xml:space="preserve">      32,5 % av personbilene er elbiler   (Ja eller Nei)</t>
  </si>
  <si>
    <t xml:space="preserve">      Landsdekkende kjeder i samme område   (Ja eller Nei)</t>
  </si>
  <si>
    <t xml:space="preserve">      Bransjen mangler fagarbeidere   (Ja eller Nei)</t>
  </si>
  <si>
    <t xml:space="preserve">c)  Hvor stor markedsandel hadde Fjell på ladepunkt i boliger i Oslo øst i fjor? Fjells antall delt på hele markedet, i prosent med én desimal.</t>
  </si>
  <si>
    <t xml:space="preserve">d)  Fjell fikk ingen søkere til en tredje montørstilling fordi bransjen mangler fagarbeidere. Hvor hører mangelen på fagarbeidere hjemme i situasjonsanalysen?   A: Svak side: det er Fjells egen feil   B: Trussel: tilgang på arbeidskraft er en ekstern arbeidsbetingelse   C: Ingen steder: det er ikke markedsføring   (skriv bokstaven)</t>
  </si>
  <si>
    <t xml:space="preserve">e)  Boka sier at bedriften skal utnytte de sterke sidene best mulig og la de svake hemme minst mulig. Hvilken sterk side skal Fjell bygge markedsplanen på, og hvilken svak side må Mona gjøre noe med først? To setninger.</t>
  </si>
  <si>
    <t xml:space="preserve">Kilde: Hjertnes, F.: Markedsføring, organisasjon og ledelse for LØM-emnet, kap. 3, avsnitt 3.2 (forretningsidé) og 3.3 (situasjonsanalyse), kap. 10.2 (SOFT-analyse). Elbilandelen: Elbilforeningen, årsberetning 2025. Fjell Elektro AS er en konstruert casebedrift; markedstallene for Oslo øst er konstruerte.</t>
  </si>
  <si>
    <t xml:space="preserve">B1 · Nordlys: fire nye veier å vokse, og én profil</t>
  </si>
  <si>
    <t xml:space="preserve">Kort oppsummert: Produkt/markeds-matrisen deler vekst i fire: markedsinntrengning (samme produkt, samme marked), produktutvikling (nytt produkt, samme marked), markedsutvikling (samme produkt, nytt marked) og diversifisering (nytt produkt, nytt marked). Integrasjon er å vokse ved å kjøpe eller slå seg sammen: horisontalt på samme nivå, vertikalt på et annet nivå i verdikjeden (baklengs mot leverandøren, forlengs mot kunden). Porter: velg kostnadslederskap, differensiering eller fokusering, og unngå uklar profil.</t>
  </si>
  <si>
    <t xml:space="preserve">Kari har fått fire nye forslag til hvordan Nordlys kan vokse. Avdelingen har i dag solcelleanlegg og ladepunkt til boliger, borettslag og sameier i Oslo øst. Nordlys eier allerede termograferingsutstyr. Fra situasjonsanalysen: egenkapitalandel 28,4 %, nesten alt materiell fra Polarlys, 18 ansatte, godt navn lokalt. Plasser hvert forslag, velg konkurransestrategi og anbefal én vei.</t>
  </si>
  <si>
    <t xml:space="preserve">Forslag 1 (Tom)</t>
  </si>
  <si>
    <t xml:space="preserve">Årlig termografering og service av solcelleanleggene til kundene som allerede har anlegg fra Nordlys</t>
  </si>
  <si>
    <t xml:space="preserve">Forslag 2 (Ida)</t>
  </si>
  <si>
    <t xml:space="preserve">Selge de samme ladepunktene til små bedrifter med firmabiler, et marked Nordlys ikke er i i dag</t>
  </si>
  <si>
    <t xml:space="preserve">Forslag 3 (Ronny)</t>
  </si>
  <si>
    <t xml:space="preserve">Kjøpe opp en liten installatør med fire montører i nabobydelen</t>
  </si>
  <si>
    <t xml:space="preserve">Forslag 4 (Kari)</t>
  </si>
  <si>
    <t xml:space="preserve">Kjøpe seg inn i grossisten Polarlys, som Nordlys kjøper nesten alt materiell fra</t>
  </si>
  <si>
    <t xml:space="preserve">Situasjonsanalysen</t>
  </si>
  <si>
    <t xml:space="preserve">Egenkapitalandel 28,4 %, én grossist, 18 ansatte, ingen avdelingsleder, godt navn lokalt</t>
  </si>
  <si>
    <t xml:space="preserve">I markedet</t>
  </si>
  <si>
    <t xml:space="preserve">Landsdekkende kjeder med sentrallager er billigst på materiell</t>
  </si>
  <si>
    <t xml:space="preserve">a)  Forslag 1 er årlig termografering og service til kundene som allerede har solcelleanlegg fra Nordlys. Hvilken vekststrategi i produkt/markeds-matrisen er det?   A: Markedsinntrengning   B: Produktutvikling   C: Markedsutvikling   (skriv bokstaven)</t>
  </si>
  <si>
    <t xml:space="preserve">b)  Forslag 2 er å selge de samme ladepunktene til små bedrifter med firmabiler, et marked Nordlys ikke er i i dag. Hvilken vekststrategi er det?   A: Markedsutvikling   B: Diversifisering   C: Produktutvikling   (skriv bokstaven)</t>
  </si>
  <si>
    <t xml:space="preserve">c)  Forslag 3 er å kjøpe opp en liten installatør i nabobydelen. Hva kalles det?   A: Horisontal integrasjon   B: Forlengs vertikal integrasjon   C: Diversifisering   (skriv bokstaven)</t>
  </si>
  <si>
    <t xml:space="preserve">d)  Forslag 4 er at Nordlys kjøper seg inn i grossisten Polarlys. Hva kalles det, sett fra Nordlys' side?   A: Horisontal integrasjon   B: Forlengs vertikal integrasjon   C: Baklengs vertikal integrasjon   (skriv bokstaven)</t>
  </si>
  <si>
    <t xml:space="preserve">e)  Hvilket av de fire forslagene anbefaler du Kari, og hvilken av Porters tre konkurransestrategier passer til det? Begrunn med minst ett tall eller faktum fra situasjonsanalysen. Tre setninger.</t>
  </si>
  <si>
    <t xml:space="preserve">Kilde: Hjertnes, F.: Markedsføring, organisasjon og ledelse for LØM-emnet, kap. 3, avsnitt 3.6 (vekststrategier og integrasjon, figur 3.3) og 3.7 (Porters konkurransestrategier). Nordlys Elektro AS er en konstruert casebedrift.</t>
  </si>
  <si>
    <t xml:space="preserve">B2 · Fjell Elektro: markedsinntrengning på ladepunkt, og hva 5 % betyr</t>
  </si>
  <si>
    <t xml:space="preserve">Kort oppsummert: Markedsinntrengning er å gjøre mer av det bedriften allerede gjør, slik at markedsandelen øker (3.6.1). Markedsandel = eget salg delt på hele markedets salg. Vokser markedet, må bedriften vokse raskere enn markedet for at andelen skal øke. Et mål om markedsandel må derfor regnes om til antall og timer før det kan vurderes som realistisk.</t>
  </si>
  <si>
    <t xml:space="preserve">Fjell Elektro monterte 48 av de 1 600 ladepunktene som ble montert i boliger i Oslo øst i fjor. Markedet ventes å vokse 15 % i år. Mona vil at Fjell skal ha 5 % av markedet i år. Et ladepunkt i bolig tar 3 montørtimer hos Fjell, og Fjell har 3 500 fakturerbare timer i året. Konkurrentene er Nordlys og landsdekkende kjeder. Gå fram slik: regn markedet i år, regn hva 5 % er i antall, regn Fjells vekst i prosent, og vurder om målet er realistisk.</t>
  </si>
  <si>
    <t xml:space="preserve">Markedet i fjor</t>
  </si>
  <si>
    <t xml:space="preserve">1 600 ladepunkt montert i boliger i Oslo øst</t>
  </si>
  <si>
    <t xml:space="preserve">Fjell i fjor</t>
  </si>
  <si>
    <t xml:space="preserve">48 ladepunkt (markedsandel 3,0 %)</t>
  </si>
  <si>
    <t xml:space="preserve">Markedsvekst i år</t>
  </si>
  <si>
    <t xml:space="preserve">15 %</t>
  </si>
  <si>
    <t xml:space="preserve">Monas mål for i år</t>
  </si>
  <si>
    <t xml:space="preserve">5 % markedsandel</t>
  </si>
  <si>
    <t xml:space="preserve">Tid per ladepunkt</t>
  </si>
  <si>
    <t xml:space="preserve">3 montørtimer</t>
  </si>
  <si>
    <t xml:space="preserve">Kapasitet</t>
  </si>
  <si>
    <t xml:space="preserve">3 500 fakturerbare timer i året (to montører og Mona)</t>
  </si>
  <si>
    <t xml:space="preserve">Driftsmargin 3,0 %</t>
  </si>
  <si>
    <t xml:space="preserve">Nordlys (18 ansatte) og landsdekkende kjeder med sentrallager</t>
  </si>
  <si>
    <t xml:space="preserve">a)  Hvor mange ladepunkt ventes montert i boliger i Oslo øst i år? Markedet i fjor ganger 1 pluss markedsveksten.</t>
  </si>
  <si>
    <t xml:space="preserve">b)  Hvor mange ladepunkt må Fjell montere i år for å ha 5 % markedsandel?</t>
  </si>
  <si>
    <t xml:space="preserve">c)  Hvor mange prosent må Fjell øke antall ladepunkt fra i fjor for å nå målet? Svar med én desimal.</t>
  </si>
  <si>
    <t xml:space="preserve">d)  Tenk deg at Fjell vokser 15 %, like mye som markedet, og monterer 55 ladepunkt. Hva skjer med markedsandelen?   A: Den øker, fordi Fjell vokser   B: Den blir omtrent den samme, 3,0 %   C: Den synker til under 2 %   (skriv bokstaven)</t>
  </si>
  <si>
    <t xml:space="preserve">e)  Er målet om 5 % markedsandel realistisk for Fjell, og hvilken av Porters strategier passer? Bruk tallene du har regnet. To–tre setninger.</t>
  </si>
  <si>
    <t xml:space="preserve">Kilde: Hjertnes, F.: Markedsføring, organisasjon og ledelse for LØM-emnet, kap. 3, avsnitt 3.4 (markedsmål), 3.6.1 (markedsinntrengning: markedsandelene øker) og 3.7 (Porter). Fjell Elektro AS er en konstruert casebedrift; markedstallene for Oslo øst er konstruerte.</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</si>
</sst>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2F4A6D"/>
        <bgColor rgb="FF333333"/>
      </patternFill>
    </fill>
    <fill>
      <patternFill patternType="solid">
        <fgColor rgb="FFF4F6FA"/>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9" t="s">
        <v>25</v>
      </c>
      <c r="C7" s="9" t="s">
        <v>26</v>
      </c>
    </row>
    <row r="8" customFormat="false" ht="15" hidden="false" customHeight="false" outlineLevel="0" collapsed="false">
      <c r="A8" s="10" t="s">
        <v>27</v>
      </c>
      <c r="B8" s="11" t="n">
        <v>34</v>
      </c>
      <c r="C8" s="11" t="n">
        <v>42</v>
      </c>
    </row>
    <row r="9" customFormat="false" ht="15" hidden="false" customHeight="false" outlineLevel="0" collapsed="false">
      <c r="A9" s="12" t="s">
        <v>28</v>
      </c>
      <c r="B9" s="13" t="n">
        <v>51360</v>
      </c>
      <c r="C9" s="13" t="n">
        <v>51360</v>
      </c>
    </row>
    <row r="10" customFormat="false" ht="15" hidden="false" customHeight="false" outlineLevel="0" collapsed="false">
      <c r="A10" s="10" t="s">
        <v>29</v>
      </c>
      <c r="B10" s="11" t="n">
        <v>180</v>
      </c>
      <c r="C10" s="11" t="n">
        <v>215</v>
      </c>
    </row>
    <row r="11" customFormat="false" ht="15" hidden="false" customHeight="false" outlineLevel="0" collapsed="false">
      <c r="A11" s="12" t="s">
        <v>30</v>
      </c>
      <c r="B11" s="13" t="n">
        <v>8830</v>
      </c>
      <c r="C11" s="13" t="n">
        <v>8830</v>
      </c>
    </row>
    <row r="12" customFormat="false" ht="15" hidden="false" customHeight="false" outlineLevel="0" collapsed="false">
      <c r="A12" s="10" t="s">
        <v>31</v>
      </c>
      <c r="B12" s="14" t="s">
        <v>32</v>
      </c>
      <c r="C12" s="14" t="s">
        <v>32</v>
      </c>
    </row>
    <row r="13" customFormat="false" ht="15" hidden="false" customHeight="false" outlineLevel="0" collapsed="false">
      <c r="A13" s="12" t="s">
        <v>33</v>
      </c>
      <c r="B13" s="13" t="n">
        <v>3335640</v>
      </c>
      <c r="C13" s="15"/>
    </row>
    <row r="14" customFormat="false" ht="15" hidden="false" customHeight="false" outlineLevel="0" collapsed="false">
      <c r="A14" s="10" t="s">
        <v>34</v>
      </c>
      <c r="B14" s="14"/>
      <c r="C14" s="14" t="s">
        <v>35</v>
      </c>
    </row>
    <row r="15" customFormat="false" ht="15" hidden="false" customHeight="true" outlineLevel="0" collapsed="false">
      <c r="A15" s="6" t="s">
        <v>36</v>
      </c>
      <c r="B15" s="6"/>
      <c r="C15" s="6"/>
      <c r="D15" s="6"/>
      <c r="E15" s="6"/>
      <c r="F15" s="6"/>
      <c r="G15" s="6"/>
    </row>
    <row r="17" customFormat="false" ht="15" hidden="false" customHeight="false" outlineLevel="0" collapsed="false">
      <c r="A17" s="16" t="s">
        <v>37</v>
      </c>
      <c r="B17" s="16"/>
      <c r="C17" s="16"/>
      <c r="D17" s="16"/>
      <c r="E17" s="16"/>
      <c r="F17" s="16" t="s">
        <v>38</v>
      </c>
      <c r="G17" s="16" t="s">
        <v>39</v>
      </c>
    </row>
    <row r="18" customFormat="false" ht="18.75" hidden="false" customHeight="true" outlineLevel="0" collapsed="false">
      <c r="A18" s="7" t="s">
        <v>40</v>
      </c>
      <c r="B18" s="7"/>
      <c r="C18" s="7"/>
      <c r="D18" s="7"/>
      <c r="E18" s="7"/>
      <c r="F18" s="15"/>
      <c r="G18" s="17" t="str">
        <f aca="false">IF(F18="","",IF(ABS(F18-(4002768))&lt;=1,"Riktig","Prøv igjen"))</f>
        <v/>
      </c>
    </row>
    <row r="19" customFormat="false" ht="33.75" hidden="false" customHeight="true" outlineLevel="0" collapsed="false">
      <c r="A19" s="7" t="s">
        <v>41</v>
      </c>
      <c r="B19" s="7"/>
      <c r="C19" s="7"/>
      <c r="D19" s="7"/>
      <c r="E19" s="7"/>
      <c r="F19" s="15"/>
      <c r="G19" s="17" t="str">
        <f aca="false">IF(F19="","",IF(ABS(F19-(4055570))&lt;=1,"Riktig","Prøv igjen"))</f>
        <v/>
      </c>
    </row>
    <row r="20" customFormat="false" ht="33.75" hidden="false" customHeight="true" outlineLevel="0" collapsed="false">
      <c r="A20" s="7" t="s">
        <v>42</v>
      </c>
      <c r="B20" s="7"/>
      <c r="C20" s="7"/>
      <c r="D20" s="7"/>
      <c r="E20" s="7"/>
      <c r="F20" s="15"/>
      <c r="G20" s="17" t="str">
        <f aca="false">IF(F20="","",IF(ABS(F20-(182))&lt;=0.000000001,"Riktig","Prøv igjen"))</f>
        <v/>
      </c>
    </row>
    <row r="21" customFormat="false" ht="78.75" hidden="false" customHeight="true" outlineLevel="0" collapsed="false">
      <c r="A21" s="7" t="s">
        <v>43</v>
      </c>
      <c r="B21" s="7"/>
      <c r="C21" s="7"/>
      <c r="D21" s="7"/>
      <c r="E21" s="7"/>
      <c r="F21" s="18"/>
      <c r="G21" s="17" t="str">
        <f aca="false">IF(F21="","",IF(UPPER(TRIM(F21))="B","Riktig","Prøv igjen"))</f>
        <v/>
      </c>
    </row>
    <row r="22" customFormat="false" ht="33.75" hidden="false" customHeight="true" outlineLevel="0" collapsed="false">
      <c r="A22" s="7" t="s">
        <v>44</v>
      </c>
      <c r="B22" s="7"/>
      <c r="C22" s="7"/>
      <c r="D22" s="7"/>
      <c r="E22" s="7"/>
    </row>
    <row r="23" customFormat="false" ht="15" hidden="false" customHeight="false" outlineLevel="0" collapsed="false">
      <c r="A23" s="19"/>
      <c r="B23" s="19"/>
      <c r="C23" s="19"/>
      <c r="D23" s="19"/>
      <c r="E23" s="19"/>
      <c r="F23" s="19"/>
      <c r="G23" s="19"/>
    </row>
    <row r="24" customFormat="false" ht="15" hidden="false" customHeight="false" outlineLevel="0" collapsed="false">
      <c r="A24" s="19"/>
      <c r="B24" s="19"/>
      <c r="C24" s="19"/>
      <c r="D24" s="19"/>
      <c r="E24" s="19"/>
      <c r="F24" s="19"/>
      <c r="G24" s="19"/>
    </row>
    <row r="25" customFormat="false" ht="15" hidden="false" customHeight="false" outlineLevel="0" collapsed="false">
      <c r="A25" s="19"/>
      <c r="B25" s="19"/>
      <c r="C25" s="19"/>
      <c r="D25" s="19"/>
      <c r="E25" s="19"/>
      <c r="F25" s="19"/>
      <c r="G25" s="19"/>
    </row>
    <row r="27" customFormat="false" ht="48.75" hidden="false" customHeight="true" outlineLevel="0" collapsed="false">
      <c r="A27" s="6" t="s">
        <v>45</v>
      </c>
      <c r="B27" s="6"/>
      <c r="C27" s="6"/>
      <c r="D27" s="6"/>
      <c r="E27" s="6"/>
      <c r="F27" s="6"/>
      <c r="G27" s="6"/>
    </row>
    <row r="28" customFormat="false" ht="15" hidden="false" customHeight="true" outlineLevel="0" collapsed="false">
      <c r="A28" s="6" t="s">
        <v>46</v>
      </c>
      <c r="B28" s="6"/>
      <c r="C28" s="6"/>
      <c r="D28" s="6"/>
      <c r="E28" s="6"/>
      <c r="F28" s="6"/>
      <c r="G28" s="6"/>
    </row>
  </sheetData>
  <mergeCells count="12">
    <mergeCell ref="A4:G4"/>
    <mergeCell ref="A5:G5"/>
    <mergeCell ref="A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47</v>
      </c>
    </row>
    <row r="2" customFormat="false" ht="15" hidden="false" customHeight="false" outlineLevel="0" collapsed="false">
      <c r="A2" s="2" t="s">
        <v>21</v>
      </c>
    </row>
    <row r="4" customFormat="false" ht="63.75" hidden="false" customHeight="true" outlineLevel="0" collapsed="false">
      <c r="A4" s="6" t="s">
        <v>48</v>
      </c>
      <c r="B4" s="6"/>
      <c r="C4" s="6"/>
      <c r="D4" s="6"/>
      <c r="E4" s="6"/>
      <c r="F4" s="6"/>
      <c r="G4" s="6"/>
    </row>
    <row r="5" customFormat="false" ht="63.75" hidden="false" customHeight="true" outlineLevel="0" collapsed="false">
      <c r="A5" s="7" t="s">
        <v>49</v>
      </c>
      <c r="B5" s="7"/>
      <c r="C5" s="7"/>
      <c r="D5" s="7"/>
      <c r="E5" s="7"/>
      <c r="F5" s="7"/>
      <c r="G5" s="7"/>
    </row>
    <row r="7" customFormat="false" ht="15" hidden="false" customHeight="false" outlineLevel="0" collapsed="false">
      <c r="A7" s="16" t="s">
        <v>50</v>
      </c>
      <c r="B7" s="16" t="s">
        <v>51</v>
      </c>
      <c r="C7" s="16"/>
      <c r="D7" s="16"/>
      <c r="E7" s="16"/>
      <c r="F7" s="16"/>
      <c r="G7" s="16"/>
    </row>
    <row r="8" customFormat="false" ht="33.75" hidden="false" customHeight="true" outlineLevel="0" collapsed="false">
      <c r="A8" s="20" t="s">
        <v>52</v>
      </c>
      <c r="B8" s="7" t="s">
        <v>53</v>
      </c>
      <c r="C8" s="7"/>
      <c r="D8" s="7"/>
      <c r="E8" s="7"/>
      <c r="F8" s="7"/>
      <c r="G8" s="7"/>
    </row>
    <row r="9" customFormat="false" ht="18.75" hidden="false" customHeight="true" outlineLevel="0" collapsed="false">
      <c r="A9" s="20" t="s">
        <v>54</v>
      </c>
      <c r="B9" s="7" t="s">
        <v>55</v>
      </c>
      <c r="C9" s="7"/>
      <c r="D9" s="7"/>
      <c r="E9" s="7"/>
      <c r="F9" s="7"/>
      <c r="G9" s="7"/>
    </row>
    <row r="10" customFormat="false" ht="18.75" hidden="false" customHeight="true" outlineLevel="0" collapsed="false">
      <c r="A10" s="20" t="s">
        <v>56</v>
      </c>
      <c r="B10" s="7" t="s">
        <v>57</v>
      </c>
      <c r="C10" s="7"/>
      <c r="D10" s="7"/>
      <c r="E10" s="7"/>
      <c r="F10" s="7"/>
      <c r="G10" s="7"/>
    </row>
    <row r="11" customFormat="false" ht="18.75" hidden="false" customHeight="true" outlineLevel="0" collapsed="false">
      <c r="A11" s="20" t="s">
        <v>58</v>
      </c>
      <c r="B11" s="7" t="s">
        <v>59</v>
      </c>
      <c r="C11" s="7"/>
      <c r="D11" s="7"/>
      <c r="E11" s="7"/>
      <c r="F11" s="7"/>
      <c r="G11" s="7"/>
    </row>
    <row r="12" customFormat="false" ht="18.75" hidden="false" customHeight="true" outlineLevel="0" collapsed="false">
      <c r="A12" s="20" t="s">
        <v>60</v>
      </c>
      <c r="B12" s="7" t="s">
        <v>61</v>
      </c>
      <c r="C12" s="7"/>
      <c r="D12" s="7"/>
      <c r="E12" s="7"/>
      <c r="F12" s="7"/>
      <c r="G12" s="7"/>
    </row>
    <row r="13" customFormat="false" ht="18.75" hidden="false" customHeight="true" outlineLevel="0" collapsed="false">
      <c r="A13" s="20" t="s">
        <v>62</v>
      </c>
      <c r="B13" s="7" t="s">
        <v>63</v>
      </c>
      <c r="C13" s="7"/>
      <c r="D13" s="7"/>
      <c r="E13" s="7"/>
      <c r="F13" s="7"/>
      <c r="G13" s="7"/>
    </row>
    <row r="14" customFormat="false" ht="18.75" hidden="false" customHeight="true" outlineLevel="0" collapsed="false">
      <c r="A14" s="20" t="s">
        <v>64</v>
      </c>
      <c r="B14" s="7" t="s">
        <v>65</v>
      </c>
      <c r="C14" s="7"/>
      <c r="D14" s="7"/>
      <c r="E14" s="7"/>
      <c r="F14" s="7"/>
      <c r="G14" s="7"/>
    </row>
    <row r="15" customFormat="false" ht="18.75" hidden="false" customHeight="true" outlineLevel="0" collapsed="false">
      <c r="A15" s="20" t="s">
        <v>66</v>
      </c>
      <c r="B15" s="7" t="s">
        <v>67</v>
      </c>
      <c r="C15" s="7"/>
      <c r="D15" s="7"/>
      <c r="E15" s="7"/>
      <c r="F15" s="7"/>
      <c r="G15" s="7"/>
    </row>
    <row r="17" customFormat="false" ht="15" hidden="false" customHeight="false" outlineLevel="0" collapsed="false">
      <c r="A17" s="16" t="s">
        <v>37</v>
      </c>
      <c r="B17" s="16"/>
      <c r="C17" s="16"/>
      <c r="D17" s="16"/>
      <c r="E17" s="16"/>
      <c r="F17" s="16" t="s">
        <v>38</v>
      </c>
      <c r="G17" s="16" t="s">
        <v>39</v>
      </c>
    </row>
    <row r="18" customFormat="false" ht="63.75" hidden="false" customHeight="true" outlineLevel="0" collapsed="false">
      <c r="A18" s="7" t="s">
        <v>68</v>
      </c>
      <c r="B18" s="7"/>
      <c r="C18" s="7"/>
      <c r="D18" s="7"/>
      <c r="E18" s="7"/>
      <c r="F18" s="18"/>
      <c r="G18" s="17" t="str">
        <f aca="false">IF(F18="","",IF(UPPER(TRIM(F18))="C","Riktig","Prøv igjen"))</f>
        <v/>
      </c>
    </row>
    <row r="19" customFormat="false" ht="33.75" hidden="false" customHeight="true" outlineLevel="0" collapsed="false">
      <c r="A19" s="7" t="s">
        <v>69</v>
      </c>
      <c r="B19" s="7"/>
      <c r="C19" s="7"/>
      <c r="D19" s="7"/>
      <c r="E19" s="7"/>
    </row>
    <row r="20" customFormat="false" ht="15" hidden="false" customHeight="true" outlineLevel="0" collapsed="false">
      <c r="A20" s="7" t="s">
        <v>70</v>
      </c>
      <c r="B20" s="7"/>
      <c r="C20" s="7"/>
      <c r="D20" s="7"/>
      <c r="E20" s="7"/>
      <c r="F20" s="18"/>
      <c r="G20" s="17" t="str">
        <f aca="false">IF(F20="","",IF(UPPER(TRIM(F20))="JA","Riktig","Prøv igjen"))</f>
        <v/>
      </c>
    </row>
    <row r="21" customFormat="false" ht="15" hidden="false" customHeight="true" outlineLevel="0" collapsed="false">
      <c r="A21" s="7" t="s">
        <v>71</v>
      </c>
      <c r="B21" s="7"/>
      <c r="C21" s="7"/>
      <c r="D21" s="7"/>
      <c r="E21" s="7"/>
      <c r="F21" s="18"/>
      <c r="G21" s="17" t="str">
        <f aca="false">IF(F21="","",IF(UPPER(TRIM(F21))="JA","Riktig","Prøv igjen"))</f>
        <v/>
      </c>
    </row>
    <row r="22" customFormat="false" ht="15" hidden="false" customHeight="true" outlineLevel="0" collapsed="false">
      <c r="A22" s="7" t="s">
        <v>72</v>
      </c>
      <c r="B22" s="7"/>
      <c r="C22" s="7"/>
      <c r="D22" s="7"/>
      <c r="E22" s="7"/>
      <c r="F22" s="18"/>
      <c r="G22" s="17" t="str">
        <f aca="false">IF(F22="","",IF(UPPER(TRIM(F22))="JA","Riktig","Prøv igjen"))</f>
        <v/>
      </c>
    </row>
    <row r="23" customFormat="false" ht="15" hidden="false" customHeight="true" outlineLevel="0" collapsed="false">
      <c r="A23" s="7" t="s">
        <v>73</v>
      </c>
      <c r="B23" s="7"/>
      <c r="C23" s="7"/>
      <c r="D23" s="7"/>
      <c r="E23" s="7"/>
      <c r="F23" s="18"/>
      <c r="G23" s="17" t="str">
        <f aca="false">IF(F23="","",IF(UPPER(TRIM(F23))="NEI","Riktig","Prøv igjen"))</f>
        <v/>
      </c>
    </row>
    <row r="24" customFormat="false" ht="15" hidden="false" customHeight="true" outlineLevel="0" collapsed="false">
      <c r="A24" s="7" t="s">
        <v>74</v>
      </c>
      <c r="B24" s="7"/>
      <c r="C24" s="7"/>
      <c r="D24" s="7"/>
      <c r="E24" s="7"/>
      <c r="F24" s="18"/>
      <c r="G24" s="17" t="str">
        <f aca="false">IF(F24="","",IF(UPPER(TRIM(F24))="NEI","Riktig","Prøv igjen"))</f>
        <v/>
      </c>
    </row>
    <row r="25" customFormat="false" ht="15" hidden="false" customHeight="true" outlineLevel="0" collapsed="false">
      <c r="A25" s="7" t="s">
        <v>75</v>
      </c>
      <c r="B25" s="7"/>
      <c r="C25" s="7"/>
      <c r="D25" s="7"/>
      <c r="E25" s="7"/>
      <c r="F25" s="18"/>
      <c r="G25" s="17" t="str">
        <f aca="false">IF(F25="","",IF(UPPER(TRIM(F25))="NEI","Riktig","Prøv igjen"))</f>
        <v/>
      </c>
    </row>
    <row r="26" customFormat="false" ht="33.75" hidden="false" customHeight="true" outlineLevel="0" collapsed="false">
      <c r="A26" s="7" t="s">
        <v>76</v>
      </c>
      <c r="B26" s="7"/>
      <c r="C26" s="7"/>
      <c r="D26" s="7"/>
      <c r="E26" s="7"/>
      <c r="F26" s="15"/>
      <c r="G26" s="17" t="str">
        <f aca="false">IF(F26="","",IF(ABS(F26-(3))&lt;=0.05,"Riktig","Prøv igjen"))</f>
        <v/>
      </c>
    </row>
    <row r="27" customFormat="false" ht="63.75" hidden="false" customHeight="true" outlineLevel="0" collapsed="false">
      <c r="A27" s="7" t="s">
        <v>77</v>
      </c>
      <c r="B27" s="7"/>
      <c r="C27" s="7"/>
      <c r="D27" s="7"/>
      <c r="E27" s="7"/>
      <c r="F27" s="18"/>
      <c r="G27" s="17" t="str">
        <f aca="false">IF(F27="","",IF(UPPER(TRIM(F27))="B","Riktig","Prøv igjen"))</f>
        <v/>
      </c>
    </row>
    <row r="28" customFormat="false" ht="48.75" hidden="false" customHeight="true" outlineLevel="0" collapsed="false">
      <c r="A28" s="7" t="s">
        <v>78</v>
      </c>
      <c r="B28" s="7"/>
      <c r="C28" s="7"/>
      <c r="D28" s="7"/>
      <c r="E28" s="7"/>
    </row>
    <row r="29" customFormat="false" ht="15" hidden="false" customHeight="false" outlineLevel="0" collapsed="false">
      <c r="A29" s="19"/>
      <c r="B29" s="19"/>
      <c r="C29" s="19"/>
      <c r="D29" s="19"/>
      <c r="E29" s="19"/>
      <c r="F29" s="19"/>
      <c r="G29" s="19"/>
    </row>
    <row r="30" customFormat="false" ht="15" hidden="false" customHeight="false" outlineLevel="0" collapsed="false">
      <c r="A30" s="19"/>
      <c r="B30" s="19"/>
      <c r="C30" s="19"/>
      <c r="D30" s="19"/>
      <c r="E30" s="19"/>
      <c r="F30" s="19"/>
      <c r="G30" s="19"/>
    </row>
    <row r="31" customFormat="false" ht="15" hidden="false" customHeight="false" outlineLevel="0" collapsed="false">
      <c r="A31" s="19"/>
      <c r="B31" s="19"/>
      <c r="C31" s="19"/>
      <c r="D31" s="19"/>
      <c r="E31" s="19"/>
      <c r="F31" s="19"/>
      <c r="G31" s="19"/>
    </row>
    <row r="33" customFormat="false" ht="48.75" hidden="false" customHeight="true" outlineLevel="0" collapsed="false">
      <c r="A33" s="6" t="s">
        <v>79</v>
      </c>
      <c r="B33" s="6"/>
      <c r="C33" s="6"/>
      <c r="D33" s="6"/>
      <c r="E33" s="6"/>
      <c r="F33" s="6"/>
      <c r="G33" s="6"/>
    </row>
    <row r="34" customFormat="false" ht="15" hidden="false" customHeight="true" outlineLevel="0" collapsed="false">
      <c r="A34" s="6" t="s">
        <v>46</v>
      </c>
      <c r="B34" s="6"/>
      <c r="C34" s="6"/>
      <c r="D34" s="6"/>
      <c r="E34" s="6"/>
      <c r="F34" s="6"/>
      <c r="G34" s="6"/>
    </row>
  </sheetData>
  <mergeCells count="26">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A26:E26"/>
    <mergeCell ref="A27:E27"/>
    <mergeCell ref="A28:E28"/>
    <mergeCell ref="A29:G31"/>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80</v>
      </c>
    </row>
    <row r="2" customFormat="false" ht="15" hidden="false" customHeight="false" outlineLevel="0" collapsed="false">
      <c r="A2" s="2" t="s">
        <v>21</v>
      </c>
    </row>
    <row r="4" customFormat="false" ht="78.75" hidden="false" customHeight="true" outlineLevel="0" collapsed="false">
      <c r="A4" s="6" t="s">
        <v>81</v>
      </c>
      <c r="B4" s="6"/>
      <c r="C4" s="6"/>
      <c r="D4" s="6"/>
      <c r="E4" s="6"/>
      <c r="F4" s="6"/>
      <c r="G4" s="6"/>
    </row>
    <row r="5" customFormat="false" ht="63.75" hidden="false" customHeight="true" outlineLevel="0" collapsed="false">
      <c r="A5" s="7" t="s">
        <v>82</v>
      </c>
      <c r="B5" s="7"/>
      <c r="C5" s="7"/>
      <c r="D5" s="7"/>
      <c r="E5" s="7"/>
      <c r="F5" s="7"/>
      <c r="G5" s="7"/>
    </row>
    <row r="7" customFormat="false" ht="15" hidden="false" customHeight="false" outlineLevel="0" collapsed="false">
      <c r="A7" s="16" t="s">
        <v>50</v>
      </c>
      <c r="B7" s="16" t="s">
        <v>51</v>
      </c>
      <c r="C7" s="16"/>
      <c r="D7" s="16"/>
      <c r="E7" s="16"/>
      <c r="F7" s="16"/>
      <c r="G7" s="16"/>
    </row>
    <row r="8" customFormat="false" ht="33.75" hidden="false" customHeight="true" outlineLevel="0" collapsed="false">
      <c r="A8" s="20" t="s">
        <v>83</v>
      </c>
      <c r="B8" s="7" t="s">
        <v>84</v>
      </c>
      <c r="C8" s="7"/>
      <c r="D8" s="7"/>
      <c r="E8" s="7"/>
      <c r="F8" s="7"/>
      <c r="G8" s="7"/>
    </row>
    <row r="9" customFormat="false" ht="33.75" hidden="false" customHeight="true" outlineLevel="0" collapsed="false">
      <c r="A9" s="20" t="s">
        <v>85</v>
      </c>
      <c r="B9" s="7" t="s">
        <v>86</v>
      </c>
      <c r="C9" s="7"/>
      <c r="D9" s="7"/>
      <c r="E9" s="7"/>
      <c r="F9" s="7"/>
      <c r="G9" s="7"/>
    </row>
    <row r="10" customFormat="false" ht="18.75" hidden="false" customHeight="true" outlineLevel="0" collapsed="false">
      <c r="A10" s="20" t="s">
        <v>87</v>
      </c>
      <c r="B10" s="7" t="s">
        <v>88</v>
      </c>
      <c r="C10" s="7"/>
      <c r="D10" s="7"/>
      <c r="E10" s="7"/>
      <c r="F10" s="7"/>
      <c r="G10" s="7"/>
    </row>
    <row r="11" customFormat="false" ht="18.75" hidden="false" customHeight="true" outlineLevel="0" collapsed="false">
      <c r="A11" s="20" t="s">
        <v>89</v>
      </c>
      <c r="B11" s="7" t="s">
        <v>90</v>
      </c>
      <c r="C11" s="7"/>
      <c r="D11" s="7"/>
      <c r="E11" s="7"/>
      <c r="F11" s="7"/>
      <c r="G11" s="7"/>
    </row>
    <row r="12" customFormat="false" ht="18.75" hidden="false" customHeight="true" outlineLevel="0" collapsed="false">
      <c r="A12" s="20" t="s">
        <v>91</v>
      </c>
      <c r="B12" s="7" t="s">
        <v>92</v>
      </c>
      <c r="C12" s="7"/>
      <c r="D12" s="7"/>
      <c r="E12" s="7"/>
      <c r="F12" s="7"/>
      <c r="G12" s="7"/>
    </row>
    <row r="13" customFormat="false" ht="18.75" hidden="false" customHeight="true" outlineLevel="0" collapsed="false">
      <c r="A13" s="20" t="s">
        <v>93</v>
      </c>
      <c r="B13" s="7" t="s">
        <v>94</v>
      </c>
      <c r="C13" s="7"/>
      <c r="D13" s="7"/>
      <c r="E13" s="7"/>
      <c r="F13" s="7"/>
      <c r="G13" s="7"/>
    </row>
    <row r="15" customFormat="false" ht="15" hidden="false" customHeight="false" outlineLevel="0" collapsed="false">
      <c r="A15" s="16" t="s">
        <v>37</v>
      </c>
      <c r="B15" s="16"/>
      <c r="C15" s="16"/>
      <c r="D15" s="16"/>
      <c r="E15" s="16"/>
      <c r="F15" s="16" t="s">
        <v>38</v>
      </c>
      <c r="G15" s="16" t="s">
        <v>39</v>
      </c>
    </row>
    <row r="16" customFormat="false" ht="48.75" hidden="false" customHeight="true" outlineLevel="0" collapsed="false">
      <c r="A16" s="7" t="s">
        <v>95</v>
      </c>
      <c r="B16" s="7"/>
      <c r="C16" s="7"/>
      <c r="D16" s="7"/>
      <c r="E16" s="7"/>
      <c r="F16" s="18"/>
      <c r="G16" s="17" t="str">
        <f aca="false">IF(F16="","",IF(UPPER(TRIM(F16))="B","Riktig","Prøv igjen"))</f>
        <v/>
      </c>
    </row>
    <row r="17" customFormat="false" ht="48.75" hidden="false" customHeight="true" outlineLevel="0" collapsed="false">
      <c r="A17" s="7" t="s">
        <v>96</v>
      </c>
      <c r="B17" s="7"/>
      <c r="C17" s="7"/>
      <c r="D17" s="7"/>
      <c r="E17" s="7"/>
      <c r="F17" s="18"/>
      <c r="G17" s="17" t="str">
        <f aca="false">IF(F17="","",IF(UPPER(TRIM(F17))="A","Riktig","Prøv igjen"))</f>
        <v/>
      </c>
    </row>
    <row r="18" customFormat="false" ht="33.75" hidden="false" customHeight="true" outlineLevel="0" collapsed="false">
      <c r="A18" s="7" t="s">
        <v>97</v>
      </c>
      <c r="B18" s="7"/>
      <c r="C18" s="7"/>
      <c r="D18" s="7"/>
      <c r="E18" s="7"/>
      <c r="F18" s="18"/>
      <c r="G18" s="17" t="str">
        <f aca="false">IF(F18="","",IF(UPPER(TRIM(F18))="A","Riktig","Prøv igjen"))</f>
        <v/>
      </c>
    </row>
    <row r="19" customFormat="false" ht="48.75" hidden="false" customHeight="true" outlineLevel="0" collapsed="false">
      <c r="A19" s="7" t="s">
        <v>98</v>
      </c>
      <c r="B19" s="7"/>
      <c r="C19" s="7"/>
      <c r="D19" s="7"/>
      <c r="E19" s="7"/>
      <c r="F19" s="18"/>
      <c r="G19" s="17" t="str">
        <f aca="false">IF(F19="","",IF(UPPER(TRIM(F19))="C","Riktig","Prøv igjen"))</f>
        <v/>
      </c>
    </row>
    <row r="20" customFormat="false" ht="48.75" hidden="false" customHeight="true" outlineLevel="0" collapsed="false">
      <c r="A20" s="7" t="s">
        <v>99</v>
      </c>
      <c r="B20" s="7"/>
      <c r="C20" s="7"/>
      <c r="D20" s="7"/>
      <c r="E20" s="7"/>
    </row>
    <row r="21" customFormat="false" ht="15" hidden="false" customHeight="false" outlineLevel="0" collapsed="false">
      <c r="A21" s="19"/>
      <c r="B21" s="19"/>
      <c r="C21" s="19"/>
      <c r="D21" s="19"/>
      <c r="E21" s="19"/>
      <c r="F21" s="19"/>
      <c r="G21" s="19"/>
    </row>
    <row r="22" customFormat="false" ht="15" hidden="false" customHeight="false" outlineLevel="0" collapsed="false">
      <c r="A22" s="19"/>
      <c r="B22" s="19"/>
      <c r="C22" s="19"/>
      <c r="D22" s="19"/>
      <c r="E22" s="19"/>
      <c r="F22" s="19"/>
      <c r="G22" s="19"/>
    </row>
    <row r="23" customFormat="false" ht="15" hidden="false" customHeight="false" outlineLevel="0" collapsed="false">
      <c r="A23" s="19"/>
      <c r="B23" s="19"/>
      <c r="C23" s="19"/>
      <c r="D23" s="19"/>
      <c r="E23" s="19"/>
      <c r="F23" s="19"/>
      <c r="G23" s="19"/>
    </row>
    <row r="25" customFormat="false" ht="33.75" hidden="false" customHeight="true" outlineLevel="0" collapsed="false">
      <c r="A25" s="6" t="s">
        <v>100</v>
      </c>
      <c r="B25" s="6"/>
      <c r="C25" s="6"/>
      <c r="D25" s="6"/>
      <c r="E25" s="6"/>
      <c r="F25" s="6"/>
      <c r="G25" s="6"/>
    </row>
    <row r="26" customFormat="false" ht="15" hidden="false" customHeight="true" outlineLevel="0" collapsed="false">
      <c r="A26" s="6" t="s">
        <v>46</v>
      </c>
      <c r="B26" s="6"/>
      <c r="C26" s="6"/>
      <c r="D26" s="6"/>
      <c r="E26" s="6"/>
      <c r="F26" s="6"/>
      <c r="G26" s="6"/>
    </row>
  </sheetData>
  <mergeCells count="18">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G23"/>
    <mergeCell ref="A25:G25"/>
    <mergeCell ref="A26:G2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101</v>
      </c>
    </row>
    <row r="2" customFormat="false" ht="15" hidden="false" customHeight="false" outlineLevel="0" collapsed="false">
      <c r="A2" s="2" t="s">
        <v>21</v>
      </c>
    </row>
    <row r="4" customFormat="false" ht="63.75" hidden="false" customHeight="true" outlineLevel="0" collapsed="false">
      <c r="A4" s="6" t="s">
        <v>102</v>
      </c>
      <c r="B4" s="6"/>
      <c r="C4" s="6"/>
      <c r="D4" s="6"/>
      <c r="E4" s="6"/>
      <c r="F4" s="6"/>
      <c r="G4" s="6"/>
    </row>
    <row r="5" customFormat="false" ht="78.75" hidden="false" customHeight="true" outlineLevel="0" collapsed="false">
      <c r="A5" s="7" t="s">
        <v>103</v>
      </c>
      <c r="B5" s="7"/>
      <c r="C5" s="7"/>
      <c r="D5" s="7"/>
      <c r="E5" s="7"/>
      <c r="F5" s="7"/>
      <c r="G5" s="7"/>
    </row>
    <row r="7" customFormat="false" ht="15" hidden="false" customHeight="false" outlineLevel="0" collapsed="false">
      <c r="A7" s="16" t="s">
        <v>50</v>
      </c>
      <c r="B7" s="16" t="s">
        <v>51</v>
      </c>
      <c r="C7" s="16"/>
      <c r="D7" s="16"/>
      <c r="E7" s="16"/>
      <c r="F7" s="16"/>
      <c r="G7" s="16"/>
    </row>
    <row r="8" customFormat="false" ht="18.75" hidden="false" customHeight="true" outlineLevel="0" collapsed="false">
      <c r="A8" s="20" t="s">
        <v>104</v>
      </c>
      <c r="B8" s="7" t="s">
        <v>105</v>
      </c>
      <c r="C8" s="7"/>
      <c r="D8" s="7"/>
      <c r="E8" s="7"/>
      <c r="F8" s="7"/>
      <c r="G8" s="7"/>
    </row>
    <row r="9" customFormat="false" ht="18.75" hidden="false" customHeight="true" outlineLevel="0" collapsed="false">
      <c r="A9" s="20" t="s">
        <v>106</v>
      </c>
      <c r="B9" s="7" t="s">
        <v>107</v>
      </c>
      <c r="C9" s="7"/>
      <c r="D9" s="7"/>
      <c r="E9" s="7"/>
      <c r="F9" s="7"/>
      <c r="G9" s="7"/>
    </row>
    <row r="10" customFormat="false" ht="18.75" hidden="false" customHeight="true" outlineLevel="0" collapsed="false">
      <c r="A10" s="20" t="s">
        <v>108</v>
      </c>
      <c r="B10" s="7" t="s">
        <v>109</v>
      </c>
      <c r="C10" s="7"/>
      <c r="D10" s="7"/>
      <c r="E10" s="7"/>
      <c r="F10" s="7"/>
      <c r="G10" s="7"/>
    </row>
    <row r="11" customFormat="false" ht="18.75" hidden="false" customHeight="true" outlineLevel="0" collapsed="false">
      <c r="A11" s="20" t="s">
        <v>110</v>
      </c>
      <c r="B11" s="7" t="s">
        <v>111</v>
      </c>
      <c r="C11" s="7"/>
      <c r="D11" s="7"/>
      <c r="E11" s="7"/>
      <c r="F11" s="7"/>
      <c r="G11" s="7"/>
    </row>
    <row r="12" customFormat="false" ht="18.75" hidden="false" customHeight="true" outlineLevel="0" collapsed="false">
      <c r="A12" s="20" t="s">
        <v>112</v>
      </c>
      <c r="B12" s="7" t="s">
        <v>113</v>
      </c>
      <c r="C12" s="7"/>
      <c r="D12" s="7"/>
      <c r="E12" s="7"/>
      <c r="F12" s="7"/>
      <c r="G12" s="7"/>
    </row>
    <row r="13" customFormat="false" ht="18.75" hidden="false" customHeight="true" outlineLevel="0" collapsed="false">
      <c r="A13" s="20" t="s">
        <v>114</v>
      </c>
      <c r="B13" s="7" t="s">
        <v>115</v>
      </c>
      <c r="C13" s="7"/>
      <c r="D13" s="7"/>
      <c r="E13" s="7"/>
      <c r="F13" s="7"/>
      <c r="G13" s="7"/>
    </row>
    <row r="14" customFormat="false" ht="18.75" hidden="false" customHeight="true" outlineLevel="0" collapsed="false">
      <c r="A14" s="20" t="s">
        <v>58</v>
      </c>
      <c r="B14" s="7" t="s">
        <v>116</v>
      </c>
      <c r="C14" s="7"/>
      <c r="D14" s="7"/>
      <c r="E14" s="7"/>
      <c r="F14" s="7"/>
      <c r="G14" s="7"/>
    </row>
    <row r="15" customFormat="false" ht="18.75" hidden="false" customHeight="true" outlineLevel="0" collapsed="false">
      <c r="A15" s="20" t="s">
        <v>60</v>
      </c>
      <c r="B15" s="7" t="s">
        <v>117</v>
      </c>
      <c r="C15" s="7"/>
      <c r="D15" s="7"/>
      <c r="E15" s="7"/>
      <c r="F15" s="7"/>
      <c r="G15" s="7"/>
    </row>
    <row r="17" customFormat="false" ht="15" hidden="false" customHeight="false" outlineLevel="0" collapsed="false">
      <c r="A17" s="16" t="s">
        <v>37</v>
      </c>
      <c r="B17" s="16"/>
      <c r="C17" s="16"/>
      <c r="D17" s="16"/>
      <c r="E17" s="16"/>
      <c r="F17" s="16" t="s">
        <v>38</v>
      </c>
      <c r="G17" s="16" t="s">
        <v>39</v>
      </c>
    </row>
    <row r="18" customFormat="false" ht="33.75" hidden="false" customHeight="true" outlineLevel="0" collapsed="false">
      <c r="A18" s="7" t="s">
        <v>118</v>
      </c>
      <c r="B18" s="7"/>
      <c r="C18" s="7"/>
      <c r="D18" s="7"/>
      <c r="E18" s="7"/>
      <c r="F18" s="15"/>
      <c r="G18" s="17" t="str">
        <f aca="false">IF(F18="","",IF(ABS(F18-(1840))&lt;=0.000000001,"Riktig","Prøv igjen"))</f>
        <v/>
      </c>
    </row>
    <row r="19" customFormat="false" ht="18.75" hidden="false" customHeight="true" outlineLevel="0" collapsed="false">
      <c r="A19" s="7" t="s">
        <v>119</v>
      </c>
      <c r="B19" s="7"/>
      <c r="C19" s="7"/>
      <c r="D19" s="7"/>
      <c r="E19" s="7"/>
      <c r="F19" s="15"/>
      <c r="G19" s="17" t="str">
        <f aca="false">IF(F19="","",IF(ABS(F19-(92))&lt;=0.000000001,"Riktig","Prøv igjen"))</f>
        <v/>
      </c>
    </row>
    <row r="20" customFormat="false" ht="33.75" hidden="false" customHeight="true" outlineLevel="0" collapsed="false">
      <c r="A20" s="7" t="s">
        <v>120</v>
      </c>
      <c r="B20" s="7"/>
      <c r="C20" s="7"/>
      <c r="D20" s="7"/>
      <c r="E20" s="7"/>
      <c r="F20" s="15"/>
      <c r="G20" s="17" t="str">
        <f aca="false">IF(F20="","",IF(ABS(F20-(91.7))&lt;=0.1,"Riktig","Prøv igjen"))</f>
        <v/>
      </c>
    </row>
    <row r="21" customFormat="false" ht="48.75" hidden="false" customHeight="true" outlineLevel="0" collapsed="false">
      <c r="A21" s="7" t="s">
        <v>121</v>
      </c>
      <c r="B21" s="7"/>
      <c r="C21" s="7"/>
      <c r="D21" s="7"/>
      <c r="E21" s="7"/>
      <c r="F21" s="18"/>
      <c r="G21" s="17" t="str">
        <f aca="false">IF(F21="","",IF(UPPER(TRIM(F21))="B","Riktig","Prøv igjen"))</f>
        <v/>
      </c>
    </row>
    <row r="22" customFormat="false" ht="33.75" hidden="false" customHeight="true" outlineLevel="0" collapsed="false">
      <c r="A22" s="7" t="s">
        <v>122</v>
      </c>
      <c r="B22" s="7"/>
      <c r="C22" s="7"/>
      <c r="D22" s="7"/>
      <c r="E22" s="7"/>
    </row>
    <row r="23" customFormat="false" ht="15" hidden="false" customHeight="false" outlineLevel="0" collapsed="false">
      <c r="A23" s="19"/>
      <c r="B23" s="19"/>
      <c r="C23" s="19"/>
      <c r="D23" s="19"/>
      <c r="E23" s="19"/>
      <c r="F23" s="19"/>
      <c r="G23" s="19"/>
    </row>
    <row r="24" customFormat="false" ht="15" hidden="false" customHeight="false" outlineLevel="0" collapsed="false">
      <c r="A24" s="19"/>
      <c r="B24" s="19"/>
      <c r="C24" s="19"/>
      <c r="D24" s="19"/>
      <c r="E24" s="19"/>
      <c r="F24" s="19"/>
      <c r="G24" s="19"/>
    </row>
    <row r="25" customFormat="false" ht="15" hidden="false" customHeight="false" outlineLevel="0" collapsed="false">
      <c r="A25" s="19"/>
      <c r="B25" s="19"/>
      <c r="C25" s="19"/>
      <c r="D25" s="19"/>
      <c r="E25" s="19"/>
      <c r="F25" s="19"/>
      <c r="G25" s="19"/>
    </row>
    <row r="27" customFormat="false" ht="48.75" hidden="false" customHeight="true" outlineLevel="0" collapsed="false">
      <c r="A27" s="6" t="s">
        <v>123</v>
      </c>
      <c r="B27" s="6"/>
      <c r="C27" s="6"/>
      <c r="D27" s="6"/>
      <c r="E27" s="6"/>
      <c r="F27" s="6"/>
      <c r="G27" s="6"/>
    </row>
    <row r="28" customFormat="false" ht="15" hidden="false" customHeight="true" outlineLevel="0" collapsed="false">
      <c r="A28" s="6" t="s">
        <v>46</v>
      </c>
      <c r="B28" s="6"/>
      <c r="C28" s="6"/>
      <c r="D28" s="6"/>
      <c r="E28" s="6"/>
      <c r="F28" s="6"/>
      <c r="G28" s="6"/>
    </row>
  </sheetData>
  <mergeCells count="2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2026-10-11T06:43:13Z</dcterms:created>
  <dc:creator>openpyxl</dc:creator>
  <dc:description/>
  <dc:language>en-US</dc:language>
  <cp:lastModifiedBy/>
  <dcterms:modified xsi:type="dcterms:W3CDTF">2026-10-11T06:43:13Z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