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Budsjett" sheetId="2" state="visible" r:id="rId2"/>
    <sheet xmlns:r="http://schemas.openxmlformats.org/officeDocument/2006/relationships" name="Nullpunkt" sheetId="3" state="visible" r:id="rId3"/>
    <sheet xmlns:r="http://schemas.openxmlformats.org/officeDocument/2006/relationships" name="Scenario" sheetId="4" state="visible" r:id="rId4"/>
    <sheet xmlns:r="http://schemas.openxmlformats.org/officeDocument/2006/relationships" name="Din egen avdel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kr&quot;"/>
    <numFmt numFmtId="165" formatCode="0.0%"/>
    <numFmt numFmtId="166" formatCode="#,##0.00 &quot;k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4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4" fillId="0" borderId="0" pivotButton="0" quotePrefix="0" xfId="0"/>
    <xf numFmtId="0" fontId="4" fillId="4" borderId="1" pivotButton="0" quotePrefix="0" xfId="0"/>
    <xf numFmtId="0" fontId="6" fillId="0" borderId="0" pivotButton="0" quotePrefix="0" xfId="0"/>
    <xf numFmtId="0" fontId="7" fillId="5" borderId="0" applyAlignment="1" pivotButton="0" quotePrefix="0" xfId="0">
      <alignment horizontal="center" vertical="center" wrapText="1"/>
    </xf>
    <xf numFmtId="3" fontId="5" fillId="2" borderId="1" pivotButton="0" quotePrefix="0" xfId="0"/>
    <xf numFmtId="164" fontId="5" fillId="2" borderId="1" pivotButton="0" quotePrefix="0" xfId="0"/>
    <xf numFmtId="164" fontId="6" fillId="3" borderId="1" pivotButton="0" quotePrefix="0" xfId="0"/>
    <xf numFmtId="165" fontId="4" fillId="4" borderId="1" pivotButton="0" quotePrefix="0" xfId="0"/>
    <xf numFmtId="165" fontId="6" fillId="3" borderId="1" pivotButton="0" quotePrefix="0" xfId="0"/>
    <xf numFmtId="0" fontId="6" fillId="4" borderId="1" pivotButton="0" quotePrefix="0" xfId="0"/>
    <xf numFmtId="164" fontId="4" fillId="4" borderId="1" pivotButton="0" quotePrefix="0" xfId="0"/>
    <xf numFmtId="4" fontId="4" fillId="4" borderId="1" pivotButton="0" quotePrefix="0" xfId="0"/>
    <xf numFmtId="166" fontId="4" fillId="4" borderId="1" pivotButton="0" quotePrefix="0" xfId="0"/>
    <xf numFmtId="4" fontId="6" fillId="3" borderId="1" pivotButton="0" quotePrefix="0" xfId="0"/>
    <xf numFmtId="165" fontId="5" fillId="2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62" customWidth="1" min="3" max="3"/>
  </cols>
  <sheetData>
    <row r="1">
      <c r="A1" s="1" t="inlineStr">
        <is>
          <t>Markedsbudsjett for solcelle- og ladeavdelingen</t>
        </is>
      </c>
    </row>
    <row r="2">
      <c r="A2" s="2" t="inlineStr">
        <is>
          <t>LØM Markedsføring kap. 3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9">
      <c r="A9" s="4" t="inlineStr">
        <is>
          <t>Ark i arbeidsboka</t>
        </is>
      </c>
    </row>
    <row r="10">
      <c r="A10" s="8" t="inlineStr">
        <is>
          <t>Budsjett</t>
        </is>
      </c>
      <c r="B10" s="6" t="inlineStr">
        <is>
          <t>Avdelingens volum og priser, målet for neste år, og de fem tiltakene markedsplanen foreslår, med kostnad. Her ligger cellene du styrer alt fra: D26 til D30.</t>
        </is>
      </c>
    </row>
    <row r="11">
      <c r="A11" s="8" t="inlineStr">
        <is>
          <t>Nullpunkt</t>
        </is>
      </c>
      <c r="B11" s="6" t="inlineStr">
        <is>
          <t>Hva tiltakene må gi tilbake i dekningsbidrag, i omsetning og i antall nye oppdrag — og om avdelingen har montørtimer til det.</t>
        </is>
      </c>
    </row>
    <row r="12">
      <c r="A12" s="8" t="inlineStr">
        <is>
          <t>Scenario</t>
        </is>
      </c>
      <c r="B12" s="6" t="inlineStr">
        <is>
          <t>Tre spørsmål: hvor mye av veksten kan tiltakene ta æren for, hva dekningsgraden gjør med kravet, og hva som skjer hvis styret kutter et tiltak.</t>
        </is>
      </c>
    </row>
    <row r="13">
      <c r="A13" s="8" t="inlineStr">
        <is>
          <t>Din egen avdeling</t>
        </is>
      </c>
      <c r="B13" s="6" t="inlineStr">
        <is>
          <t>Samme regnestykke, tomt. Legg inn tallene fra din egen bedrift.</t>
        </is>
      </c>
    </row>
    <row r="15">
      <c r="A15" s="3" t="inlineStr">
        <is>
          <t>Tallene som ligger inne er Nordlys Elektro AS sine egne for 2026 og målet for 2027.</t>
        </is>
      </c>
    </row>
    <row r="16">
      <c r="A16" s="3" t="inlineStr">
        <is>
          <t>Arket svarer på tre spørsmål: hva koster tiltakene, hva må de gi i økt omsetning for å bære seg, og hvor mange nye oppdrag er det.</t>
        </is>
      </c>
    </row>
    <row r="17">
      <c r="A17" s="3" t="inlineStr">
        <is>
          <t>Merk: et markedsbudsjett skal alltid regnes mot DEKNINGSBIDRAG, aldri mot omsetning. Omsetning er ikke penger før materiellet er betalt.</t>
        </is>
      </c>
    </row>
    <row r="19">
      <c r="A19" s="3" t="inlineStr">
        <is>
          <t>Tallene som ligger inne er et eksempel fra en elektrobedrift. Bytt dem ut med dine egne — alle formler følger med.</t>
        </is>
      </c>
    </row>
    <row r="20">
      <c r="A20" s="3" t="inlineStr">
        <is>
          <t>Arbeidsregneark til LØM · Fagskolen Oslo, Avdeling Elkraft. Regnearket er øvingsstøtte, ikke et regnskapssystem.</t>
        </is>
      </c>
    </row>
    <row r="22">
      <c r="A22" s="4" t="inlineStr">
        <is>
          <t>De fem knappene</t>
        </is>
      </c>
    </row>
    <row r="23">
      <c r="A23" s="6" t="inlineStr">
        <is>
          <t>Budsjett!D26 til D30</t>
        </is>
      </c>
      <c r="B23" s="6" t="inlineStr">
        <is>
          <t>Kostnaden på hvert tiltak</t>
        </is>
      </c>
      <c r="C23" s="6" t="inlineStr">
        <is>
          <t>Endrer du en av dem, følger arkene Nullpunkt og Scenario med. Sett et tiltak til null for å se hva det er verdt å kutte det.</t>
        </is>
      </c>
    </row>
    <row r="24">
      <c r="A24" s="6" t="inlineStr">
        <is>
          <t>Budsjett!B5 til B8</t>
        </is>
      </c>
      <c r="B24" s="6" t="inlineStr">
        <is>
          <t>Volum i fjor og i målet</t>
        </is>
      </c>
      <c r="C24" s="6" t="inlineStr">
        <is>
          <t>Her setter du vekstmålet. Alt annet i arket regner seg om.</t>
        </is>
      </c>
    </row>
    <row r="26">
      <c r="A26" s="4" t="inlineStr">
        <is>
          <t>Hvilken oppgave bruker hvilket ark</t>
        </is>
      </c>
    </row>
    <row r="27" ht="28" customHeight="1">
      <c r="A27" s="9" t="inlineStr">
        <is>
          <t>Oppgave i øvingsheftet</t>
        </is>
      </c>
      <c r="B27" s="9" t="inlineStr">
        <is>
          <t>Ark</t>
        </is>
      </c>
      <c r="C27" s="9" t="inlineStr">
        <is>
          <t>Celler du endrer og leser av</t>
        </is>
      </c>
    </row>
    <row r="28">
      <c r="A28" s="6" t="inlineStr">
        <is>
          <t>A1 · Hva er forskjellen på et mål og et ønske?</t>
        </is>
      </c>
      <c r="B28" s="8" t="inlineStr">
        <is>
          <t>Budsjett</t>
        </is>
      </c>
      <c r="C28" s="6" t="inlineStr">
        <is>
          <t>Delmålene ligger i B5 til B8. Endre dem og se hva som skjer med veksten i B21.</t>
        </is>
      </c>
    </row>
    <row r="29">
      <c r="A29" s="6" t="inlineStr">
        <is>
          <t>A3 · Klasseoppgave: velg ett grep, og skriv målet</t>
        </is>
      </c>
      <c r="B29" s="8" t="inlineStr">
        <is>
          <t>Budsjett</t>
        </is>
      </c>
      <c r="C29" s="6" t="inlineStr">
        <is>
          <t>Endre B7 og B8 til det volumet valget ditt gir, og les av hva det gjør med veksten i B21 og med potten i B22.</t>
        </is>
      </c>
    </row>
    <row r="30">
      <c r="A30" s="6" t="inlineStr">
        <is>
          <t>1 · Målene som skal bære planen</t>
        </is>
      </c>
      <c r="B30" s="8" t="inlineStr">
        <is>
          <t>Budsjett</t>
        </is>
      </c>
      <c r="C30" s="6" t="inlineStr">
        <is>
          <t>Endre B5 til B8. Les av B15, B16, B18, B19, B21 og B22.</t>
        </is>
      </c>
    </row>
    <row r="31">
      <c r="A31" s="6" t="inlineStr">
        <is>
          <t>2 · Hva koster markedsplanen?</t>
        </is>
      </c>
      <c r="B31" s="8" t="inlineStr">
        <is>
          <t>Budsjett og Nullpunkt</t>
        </is>
      </c>
      <c r="C31" s="6" t="inlineStr">
        <is>
          <t>Endre tiltakene i D26 til D30. Les av budsjettet i D31, andelen av potten i D33, og svarene i Nullpunkt B12, B13, B15, B18, B19 og B22.</t>
        </is>
      </c>
    </row>
    <row r="32">
      <c r="A32" s="6" t="inlineStr">
        <is>
          <t>3 · Situasjonsanalysen med tall bak</t>
        </is>
      </c>
      <c r="B32" s="8" t="inlineStr">
        <is>
          <t>Nullpunkt</t>
        </is>
      </c>
      <c r="C32" s="6" t="inlineStr">
        <is>
          <t>Deloppgave d) om kapasitet regner du i blokk 3: B25 til B31.</t>
        </is>
      </c>
    </row>
    <row r="33">
      <c r="A33" s="6" t="inlineStr">
        <is>
          <t>4 · Velg vei, og skriv målet som følger av det</t>
        </is>
      </c>
      <c r="B33" s="8" t="inlineStr">
        <is>
          <t>Budsjett</t>
        </is>
      </c>
      <c r="C33" s="6" t="inlineStr">
        <is>
          <t>Legg inn det volumet valget ditt gir i B7 og B8, og se i B21 og B22 om målet er stort nok til å bære markedsbudsjettet.</t>
        </is>
      </c>
    </row>
    <row r="34">
      <c r="A34" s="6" t="inlineStr">
        <is>
          <t>5 · Eksamensnær: markedsplan på én side</t>
        </is>
      </c>
      <c r="B34" s="8" t="inlineStr">
        <is>
          <t>Scenario</t>
        </is>
      </c>
      <c r="C34" s="6" t="inlineStr">
        <is>
          <t>Scenario A og B gir tallene du trenger for å drøfte om budsjettet er forsvarlig. Bruk «Din egen avdeling» hvis du vil regne på din egen bedrift.</t>
        </is>
      </c>
    </row>
    <row r="36">
      <c r="A36" s="4" t="inlineStr">
        <is>
          <t>Kontrollradene</t>
        </is>
      </c>
    </row>
    <row r="37">
      <c r="A37" s="6" t="inlineStr">
        <is>
          <t>Hvert regneark har en kontrollblokk. Står det OK, henger tallene sammen. Står det AVVIK, farges cellen rød, og teksten sier hva som ikke går opp.</t>
        </is>
      </c>
    </row>
    <row r="38">
      <c r="A38" s="6" t="inlineStr">
        <is>
          <t>Ett unntak: kontrollen nederst i scenario A skal vise OK nettopp fordi pessimistkolonnen går i minus. At tiltakene ikke betaler seg når bare en firedel av veksten skyldes dem, er selve poenget med å regne på det før pengene brukes.</t>
        </is>
      </c>
    </row>
    <row r="39">
      <c r="A39" s="3" t="inlineStr">
        <is>
          <t>Kontroller i arbeidsboka: Budsjett D36, Budsjett D37, Budsjett D38, Nullpunkt B34, Nullpunkt B35, Nullpunkt B36, Scenario B17, Scenario B18, Scenario B36, Scenario B37, Scenario B50, Din egen avdeling B31, Din egen avdeling B32</t>
        </is>
      </c>
    </row>
    <row r="41">
      <c r="A41" s="4" t="inlineStr">
        <is>
          <t>Kilder</t>
        </is>
      </c>
    </row>
    <row r="42">
      <c r="A42" s="3" t="inlineStr">
        <is>
          <t>Hjertnes, F.: Markedsføring, organisasjon og ledelse for LØM-emnet, 4. utg., kap. 3.3 til 3.6. Nullpunktstankegangen er den samme som i Bok 1 Økonomistyring kap. 8.</t>
        </is>
      </c>
    </row>
    <row r="43">
      <c r="A43" s="3" t="inlineStr">
        <is>
          <t>Markedstall: NVE, «Solkraft», nve.no/energi/energisystem/solkraft (tall per 31.12.2024, hentet 09.09.2026) og SSB, statistikken «Bilparken», publisert 06.03.2026 (tall per 31.12.2025, hentet 09.09.2026).</t>
        </is>
      </c>
    </row>
    <row r="44">
      <c r="A44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45">
      <c r="A45" s="3" t="inlineStr">
        <is>
          <t>Nordlys Elektro AS er en konstruert casebedrift. Tallene henger sammen på tvers av begge bøkene.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8" customWidth="1" min="2" max="2"/>
    <col width="8" customWidth="1" min="3" max="3"/>
    <col width="16" customWidth="1" min="4" max="4"/>
    <col width="58" customWidth="1" min="5" max="5"/>
  </cols>
  <sheetData>
    <row r="1">
      <c r="A1" s="1" t="inlineStr">
        <is>
          <t>Hva koster tiltakene i markedsplanen?</t>
        </is>
      </c>
    </row>
    <row r="2">
      <c r="A2" s="2" t="inlineStr">
        <is>
          <t>Endre de gule cellene. Alt annet regner seg selv.</t>
        </is>
      </c>
    </row>
    <row r="4">
      <c r="A4" s="4" t="inlineStr">
        <is>
          <t>1 · Avdelingen i dag og målet for neste år</t>
        </is>
      </c>
    </row>
    <row r="5">
      <c r="A5" s="6" t="inlineStr">
        <is>
          <t>Solcelleanlegg i 2026</t>
        </is>
      </c>
      <c r="B5" s="10" t="n">
        <v>34</v>
      </c>
      <c r="C5" s="6" t="inlineStr">
        <is>
          <t>stk</t>
        </is>
      </c>
      <c r="E5" s="6" t="inlineStr">
        <is>
          <t>Antall anlegg avdelingen leverte i fjor.</t>
        </is>
      </c>
    </row>
    <row r="6">
      <c r="A6" s="6" t="inlineStr">
        <is>
          <t>Ladepunkt i 2026</t>
        </is>
      </c>
      <c r="B6" s="10" t="n">
        <v>180</v>
      </c>
      <c r="C6" s="6" t="inlineStr">
        <is>
          <t>stk</t>
        </is>
      </c>
    </row>
    <row r="7">
      <c r="A7" s="6" t="inlineStr">
        <is>
          <t>Solcelleanlegg i målet for 2027</t>
        </is>
      </c>
      <c r="B7" s="10" t="n">
        <v>42</v>
      </c>
      <c r="C7" s="6" t="inlineStr">
        <is>
          <t>stk</t>
        </is>
      </c>
    </row>
    <row r="8">
      <c r="A8" s="6" t="inlineStr">
        <is>
          <t>Ladepunkt i målet for 2027</t>
        </is>
      </c>
      <c r="B8" s="10" t="n">
        <v>215</v>
      </c>
      <c r="C8" s="6" t="inlineStr">
        <is>
          <t>stk</t>
        </is>
      </c>
    </row>
    <row r="10">
      <c r="A10" s="6" t="inlineStr">
        <is>
          <t>Pris per solcelleanlegg, uten mva.</t>
        </is>
      </c>
      <c r="B10" s="11" t="n">
        <v>51360</v>
      </c>
    </row>
    <row r="11">
      <c r="A11" s="6" t="inlineStr">
        <is>
          <t>Dekningsbidrag per solcelleanlegg</t>
        </is>
      </c>
      <c r="B11" s="11" t="n">
        <v>4400</v>
      </c>
      <c r="E11" s="6" t="inlineStr">
        <is>
          <t>Det som er igjen etter materiell og montørtimer.</t>
        </is>
      </c>
    </row>
    <row r="12">
      <c r="A12" s="6" t="inlineStr">
        <is>
          <t>Pris per ladepunkt, uten mva.</t>
        </is>
      </c>
      <c r="B12" s="11" t="n">
        <v>8830</v>
      </c>
    </row>
    <row r="13">
      <c r="A13" s="6" t="inlineStr">
        <is>
          <t>Dekningsbidrag per ladepunkt</t>
        </is>
      </c>
      <c r="B13" s="11" t="n">
        <v>1050</v>
      </c>
    </row>
    <row r="15">
      <c r="A15" s="8" t="inlineStr">
        <is>
          <t>Omsetning 2026</t>
        </is>
      </c>
      <c r="B15" s="12">
        <f>B5*B10+B6*B12</f>
        <v/>
      </c>
    </row>
    <row r="16">
      <c r="A16" s="8" t="inlineStr">
        <is>
          <t>Dekningsbidrag 2026</t>
        </is>
      </c>
      <c r="B16" s="12">
        <f>B5*B11+B6*B13</f>
        <v/>
      </c>
    </row>
    <row r="17">
      <c r="A17" s="6" t="inlineStr">
        <is>
          <t>Dekningsgrad 2026</t>
        </is>
      </c>
      <c r="B17" s="13">
        <f>B16/B15</f>
        <v/>
      </c>
    </row>
    <row r="18">
      <c r="A18" s="8" t="inlineStr">
        <is>
          <t>Omsetning ved målet for 2027</t>
        </is>
      </c>
      <c r="B18" s="12">
        <f>B7*B10+B8*B12</f>
        <v/>
      </c>
    </row>
    <row r="19">
      <c r="A19" s="8" t="inlineStr">
        <is>
          <t>Dekningsbidrag ved målet for 2027</t>
        </is>
      </c>
      <c r="B19" s="12">
        <f>B7*B11+B8*B13</f>
        <v/>
      </c>
    </row>
    <row r="20">
      <c r="A20" s="6" t="inlineStr">
        <is>
          <t>Dekningsgrad ved målet</t>
        </is>
      </c>
      <c r="B20" s="13">
        <f>B19/B18</f>
        <v/>
      </c>
      <c r="E20" s="6" t="inlineStr">
        <is>
          <t>Legg merke til hvor lav den er. Nesten ni tiendeler av prisen er materiell og montørtimer.</t>
        </is>
      </c>
    </row>
    <row r="21">
      <c r="A21" s="8" t="inlineStr">
        <is>
          <t>Vekst i omsetning fra 2026 til målet</t>
        </is>
      </c>
      <c r="B21" s="14">
        <f>B18/B15-1</f>
        <v/>
      </c>
    </row>
    <row r="22">
      <c r="A22" s="8" t="inlineStr">
        <is>
          <t>Økt dekningsbidrag som målet gir</t>
        </is>
      </c>
      <c r="B22" s="12">
        <f>B19-B16</f>
        <v/>
      </c>
      <c r="E22" s="6" t="inlineStr">
        <is>
          <t>DETTE er potten markedstiltakene skal betales av.</t>
        </is>
      </c>
    </row>
    <row r="24">
      <c r="A24" s="4" t="inlineStr">
        <is>
          <t>2 · Tiltakene planen foreslår</t>
        </is>
      </c>
    </row>
    <row r="25" ht="28" customHeight="1">
      <c r="A25" s="9" t="inlineStr">
        <is>
          <t>Tiltak</t>
        </is>
      </c>
      <c r="B25" s="9" t="inlineStr">
        <is>
          <t>P-en det hører til</t>
        </is>
      </c>
      <c r="C25" s="9" t="inlineStr"/>
      <c r="D25" s="9" t="inlineStr">
        <is>
          <t>Kroner</t>
        </is>
      </c>
      <c r="E25" s="9" t="inlineStr">
        <is>
          <t>Hva det er</t>
        </is>
      </c>
    </row>
    <row r="26">
      <c r="A26" s="6" t="inlineStr">
        <is>
          <t>Digital annonsering mot borettslagsstyrer og huseiere i nedslagsfeltet</t>
        </is>
      </c>
      <c r="B26" s="6" t="inlineStr">
        <is>
          <t>Påvirkning</t>
        </is>
      </c>
      <c r="D26" s="11" t="n">
        <v>18000</v>
      </c>
      <c r="E26" s="6" t="inlineStr">
        <is>
          <t>Betalt annonsering rettet mot bydelen, med borettslagsstyrer som hovedmålgruppe. Skal bringe forespørsler inn, ikke bygge merkevare.</t>
        </is>
      </c>
    </row>
    <row r="27">
      <c r="A27" s="6" t="inlineStr">
        <is>
          <t>Egen nettside for borettslag, med kostnad per leilighet</t>
        </is>
      </c>
      <c r="B27" s="6" t="inlineStr">
        <is>
          <t>Påvirkning</t>
        </is>
      </c>
      <c r="D27" s="11" t="n">
        <v>12000</v>
      </c>
      <c r="E27" s="6" t="inlineStr">
        <is>
          <t>Én side som svarer på det styrene faktisk er usikre på: hva det koster per leilighet, hvem som drifter anlegget etterpå, og om det kan bygges ut trinnvis.</t>
        </is>
      </c>
    </row>
    <row r="28">
      <c r="A28" s="6" t="inlineStr">
        <is>
          <t>Bildekor på to servicebiler og profilklær</t>
        </is>
      </c>
      <c r="B28" s="6" t="inlineStr">
        <is>
          <t>Påvirkning</t>
        </is>
      </c>
      <c r="D28" s="11" t="n">
        <v>9000</v>
      </c>
      <c r="E28" s="6" t="inlineStr">
        <is>
          <t>Den billigste synligheten en lokal installatør har. Bilen står utenfor kunden i to dager og ses av hele gata.</t>
        </is>
      </c>
    </row>
    <row r="29">
      <c r="A29" s="6" t="inlineStr">
        <is>
          <t>Åpen dag på et ferdig solcelletak, sammen med Fjellkraft Nett AS</t>
        </is>
      </c>
      <c r="B29" s="6" t="inlineStr">
        <is>
          <t>Personal</t>
        </is>
      </c>
      <c r="D29" s="11" t="n">
        <v>6000</v>
      </c>
      <c r="E29" s="6" t="inlineStr">
        <is>
          <t>Et referanseanlegg, en ettermiddag, og montøren som forklarer. Koster mest i timer, minst i kroner.</t>
        </is>
      </c>
    </row>
    <row r="30">
      <c r="A30" s="6" t="inlineStr">
        <is>
          <t>Kalkulatørtid til 15 % flere tilbud</t>
        </is>
      </c>
      <c r="B30" s="6" t="inlineStr">
        <is>
          <t>Personal</t>
        </is>
      </c>
      <c r="D30" s="11" t="n">
        <v>11520</v>
      </c>
      <c r="E30" s="6" t="inlineStr">
        <is>
          <t>Delmålet om flere tilbud er ikke gratis. 120 salgstimer i 2026, 18 timer mer i 2027, til kostsatsen for en produksjonstime.</t>
        </is>
      </c>
    </row>
    <row r="31">
      <c r="A31" s="8" t="inlineStr">
        <is>
          <t>= Markedsbudsjett for 2027</t>
        </is>
      </c>
      <c r="D31" s="12">
        <f>SUM(D26:D30)</f>
        <v/>
      </c>
      <c r="E31" s="6" t="inlineStr">
        <is>
          <t>Summen arkene Nullpunkt og Scenario regner videre på.</t>
        </is>
      </c>
    </row>
    <row r="32">
      <c r="A32" s="6" t="inlineStr">
        <is>
          <t>Budsjettet i prosent av avdelingens omsetning</t>
        </is>
      </c>
      <c r="D32" s="13">
        <f>D31/B15</f>
        <v/>
      </c>
      <c r="E32" s="6" t="inlineStr">
        <is>
          <t>En installatør bruker sjelden mer enn noen få prosent på markedsføring. Ligger du over fem, bør du kunne begrunne det.</t>
        </is>
      </c>
    </row>
    <row r="33">
      <c r="A33" s="8" t="inlineStr">
        <is>
          <t>Budsjettet i prosent av potten på rad 22</t>
        </is>
      </c>
      <c r="D33" s="14">
        <f>D31/B22</f>
        <v/>
      </c>
      <c r="E33" s="6" t="inlineStr">
        <is>
          <t>Så stor del av vekstmålets dekningsbidrag går med til å betale for tiltakene som skulle skaffe veksten.</t>
        </is>
      </c>
    </row>
    <row r="35">
      <c r="A35" s="4" t="inlineStr">
        <is>
          <t>Kontroll</t>
        </is>
      </c>
    </row>
    <row r="36">
      <c r="A36" s="6" t="inlineStr">
        <is>
          <t>Bærer vekstmålet markedsbudsjettet?</t>
        </is>
      </c>
      <c r="D36" s="15">
        <f>IF(D31&lt;B22,"OK — tiltakene koster mindre enn det økte dekningsbidraget målet gir","AVVIK: markedsbudsjettet er større enn hele det økte dekningsbidraget. Da betaler tiltakene ikke for seg selv, uansett hvor godt de virker")</f>
        <v/>
      </c>
    </row>
    <row r="37">
      <c r="A37" s="6" t="inlineStr">
        <is>
          <t>Peker begge delmålene oppover?</t>
        </is>
      </c>
      <c r="D37" s="15">
        <f>IF(AND(B7&gt;B5,B8&gt;B6),"OK — begge delmålene er vekstmål","AVVIK: et delmål peker nedover eller står stille")</f>
        <v/>
      </c>
    </row>
    <row r="38">
      <c r="A38" s="6" t="inlineStr">
        <is>
          <t>Er dekningsgraden den samme i begge årene?</t>
        </is>
      </c>
      <c r="D38" s="15">
        <f>IF(ABS(B17-B20)&lt;0.02,"OK — miksen er omtrent den samme i de to årene","AVVIK: dekningsgraden endrer seg mye. Da har du endret produktmiksen, og sammenlikningen mellom årene halter")</f>
        <v/>
      </c>
    </row>
    <row r="40">
      <c r="A40" s="8" t="inlineStr">
        <is>
          <t>Prøv dette: sett annonseringen i D26 til det dobbelte, og se hva arket Nullpunkt sier at det krever av nye oppdrag.</t>
        </is>
      </c>
    </row>
    <row r="41">
      <c r="A41" s="3" t="inlineStr">
        <is>
          <t>Kilde: Markedsmål og markedsmiksen står i Hjertnes, F.: Markedsføring, organisasjon og ledelse for LØM-emnet, 4. utg., kap. 3.4 og 3.5. Priser, dekningsbidrag og volum er Nordlys Elektro AS sine egne.</t>
        </is>
      </c>
    </row>
  </sheetData>
  <conditionalFormatting sqref="D36">
    <cfRule type="expression" priority="1" dxfId="0" stopIfTrue="0">
      <formula>LEFT(D36,5)="AVVIK"</formula>
    </cfRule>
  </conditionalFormatting>
  <conditionalFormatting sqref="D37">
    <cfRule type="expression" priority="2" dxfId="0" stopIfTrue="0">
      <formula>LEFT(D37,5)="AVVIK"</formula>
    </cfRule>
  </conditionalFormatting>
  <conditionalFormatting sqref="D38">
    <cfRule type="expression" priority="3" dxfId="0" stopIfTrue="0">
      <formula>LEFT(D38,5)="AVVIK"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2" customWidth="1" min="3" max="3"/>
    <col width="58" customWidth="1" min="4" max="4"/>
  </cols>
  <sheetData>
    <row r="1">
      <c r="A1" s="1" t="inlineStr">
        <is>
          <t>Hva må tiltakene gi tilbake?</t>
        </is>
      </c>
    </row>
    <row r="2">
      <c r="A2" s="2" t="inlineStr">
        <is>
          <t>Nullpunktet for et markedsbudsjett: den omsetningen som akkurat dekker det du brukte.</t>
        </is>
      </c>
    </row>
    <row r="4">
      <c r="A4" s="4" t="inlineStr">
        <is>
          <t>Hentes fra arket Budsjett</t>
        </is>
      </c>
    </row>
    <row r="5">
      <c r="A5" s="6" t="inlineStr">
        <is>
          <t>Markedsbudsjett for 2027</t>
        </is>
      </c>
      <c r="B5" s="12">
        <f>Budsjett!D31</f>
        <v/>
      </c>
    </row>
    <row r="6">
      <c r="A6" s="6" t="inlineStr">
        <is>
          <t>Dekningsgrad ved målet</t>
        </is>
      </c>
      <c r="B6" s="13">
        <f>Budsjett!B20</f>
        <v/>
      </c>
    </row>
    <row r="7">
      <c r="A7" s="6" t="inlineStr">
        <is>
          <t>Omsetning 2026</t>
        </is>
      </c>
      <c r="B7" s="16">
        <f>Budsjett!B15</f>
        <v/>
      </c>
    </row>
    <row r="8">
      <c r="A8" s="6" t="inlineStr">
        <is>
          <t>Dekningsbidrag per solcelleanlegg</t>
        </is>
      </c>
      <c r="B8" s="16">
        <f>Budsjett!B11</f>
        <v/>
      </c>
    </row>
    <row r="9">
      <c r="A9" s="6" t="inlineStr">
        <is>
          <t>Dekningsbidrag per ladepunkt</t>
        </is>
      </c>
      <c r="B9" s="16">
        <f>Budsjett!B13</f>
        <v/>
      </c>
    </row>
    <row r="11">
      <c r="A11" s="4" t="inlineStr">
        <is>
          <t>1 · Nullpunktet i kroner</t>
        </is>
      </c>
    </row>
    <row r="12">
      <c r="A12" s="8" t="inlineStr">
        <is>
          <t>= Økt dekningsbidrag som må til</t>
        </is>
      </c>
      <c r="B12" s="12">
        <f>B5</f>
        <v/>
      </c>
      <c r="D12" s="6" t="inlineStr">
        <is>
          <t>Tiltakene betaler seg selv når de har skaffet like mye dekningsbidrag som de kostet. Ikke omsetning — dekningsbidrag.</t>
        </is>
      </c>
    </row>
    <row r="13">
      <c r="A13" s="8" t="inlineStr">
        <is>
          <t>= Økt omsetning som må til</t>
        </is>
      </c>
      <c r="B13" s="12">
        <f>B12/B6</f>
        <v/>
      </c>
      <c r="D13" s="6" t="inlineStr">
        <is>
          <t>Dekningsbidraget delt på dekningsgraden. Dette er tallet folk gjetter altfor lavt.</t>
        </is>
      </c>
    </row>
    <row r="14">
      <c r="A14" s="6" t="inlineStr">
        <is>
          <t>Hver krone i markedsbudsjettet krever så mange kroner i omsetning</t>
        </is>
      </c>
      <c r="B14" s="17">
        <f>B13/B5</f>
        <v/>
      </c>
      <c r="D14" s="6" t="inlineStr">
        <is>
          <t>Det er dekningsgraden som bestemmer dette tallet, ingenting annet.</t>
        </is>
      </c>
    </row>
    <row r="15">
      <c r="A15" s="8" t="inlineStr">
        <is>
          <t>= Nødvendig vekst i prosent</t>
        </is>
      </c>
      <c r="B15" s="14">
        <f>B13/B7</f>
        <v/>
      </c>
      <c r="D15" s="6" t="inlineStr">
        <is>
          <t>Sammenlikn med vekstmålet i arket Budsjett, rad 21.</t>
        </is>
      </c>
    </row>
    <row r="17">
      <c r="A17" s="4" t="inlineStr">
        <is>
          <t>2 · Hvor mange nye oppdrag er det?</t>
        </is>
      </c>
    </row>
    <row r="18">
      <c r="A18" s="6" t="inlineStr">
        <is>
          <t>Hvis alt tas som solcelleanlegg</t>
        </is>
      </c>
      <c r="B18" s="17">
        <f>B12/B8</f>
        <v/>
      </c>
      <c r="C18" s="6" t="inlineStr">
        <is>
          <t>anlegg</t>
        </is>
      </c>
      <c r="D18" s="6" t="inlineStr">
        <is>
          <t>Store anlegg, få av dem. Ett anlegg tar fjorten montørtimer.</t>
        </is>
      </c>
    </row>
    <row r="19">
      <c r="A19" s="6" t="inlineStr">
        <is>
          <t>Hvis alt tas som ladepunkt</t>
        </is>
      </c>
      <c r="B19" s="17">
        <f>B12/B9</f>
        <v/>
      </c>
      <c r="C19" s="6" t="inlineStr">
        <is>
          <t>punkt</t>
        </is>
      </c>
      <c r="D19" s="6" t="inlineStr">
        <is>
          <t>Mange små. Hvert punkt er en egen kunde som skal skaffes.</t>
        </is>
      </c>
    </row>
    <row r="20">
      <c r="A20" s="6" t="inlineStr">
        <is>
          <t>Hvis det tas i samme miks som målet: solcelleanlegg</t>
        </is>
      </c>
      <c r="B20" s="17">
        <f>Budsjett!D33*(Budsjett!B7-Budsjett!B5)</f>
        <v/>
      </c>
      <c r="C20" s="6" t="inlineStr">
        <is>
          <t>anlegg</t>
        </is>
      </c>
    </row>
    <row r="21">
      <c r="A21" s="6" t="inlineStr">
        <is>
          <t>Hvis det tas i samme miks som målet: ladepunkt</t>
        </is>
      </c>
      <c r="B21" s="17">
        <f>Budsjett!D33*(Budsjett!B8-Budsjett!B6)</f>
        <v/>
      </c>
      <c r="C21" s="6" t="inlineStr">
        <is>
          <t>punkt</t>
        </is>
      </c>
      <c r="D21" s="6" t="inlineStr">
        <is>
          <t>Så stor del av hele vekstmålet må kunne tilskrives tiltakene, bare for at de skal betale for seg selv.</t>
        </is>
      </c>
    </row>
    <row r="22">
      <c r="A22" s="6" t="inlineStr">
        <is>
          <t>Markedskostnad per nytt oppdrag i målet</t>
        </is>
      </c>
      <c r="B22" s="18">
        <f>B5/((Budsjett!B7-Budsjett!B5)+(Budsjett!B8-Budsjett!B6))</f>
        <v/>
      </c>
      <c r="D22" s="6" t="inlineStr">
        <is>
          <t>Budsjettet delt på alle de nye oppdragene målet forutsetter. Sammenlikn med dekningsbidraget per ladepunkt over.</t>
        </is>
      </c>
    </row>
    <row r="24">
      <c r="A24" s="4" t="inlineStr">
        <is>
          <t>3 · Har avdelingen timer til det?</t>
        </is>
      </c>
    </row>
    <row r="25">
      <c r="A25" s="6" t="inlineStr">
        <is>
          <t>Montørtimer per solcelleanlegg</t>
        </is>
      </c>
      <c r="B25" s="10" t="n">
        <v>14</v>
      </c>
    </row>
    <row r="26">
      <c r="A26" s="6" t="inlineStr">
        <is>
          <t>Montørtimer per ladepunkt</t>
        </is>
      </c>
      <c r="B26" s="10" t="n">
        <v>2</v>
      </c>
    </row>
    <row r="27">
      <c r="A27" s="6" t="inlineStr">
        <is>
          <t>Montørtimer avdelingen brukte i 2026</t>
        </is>
      </c>
      <c r="B27" s="17">
        <f>Budsjett!B5*B25+Budsjett!B6*B26</f>
        <v/>
      </c>
    </row>
    <row r="28">
      <c r="A28" s="6" t="inlineStr">
        <is>
          <t>Montørtimer målet krever</t>
        </is>
      </c>
      <c r="B28" s="17">
        <f>Budsjett!B7*B25+Budsjett!B8*B26</f>
        <v/>
      </c>
    </row>
    <row r="29">
      <c r="A29" s="8" t="inlineStr">
        <is>
          <t>= Ekstra montørtimer</t>
        </is>
      </c>
      <c r="B29" s="19">
        <f>B28-B27</f>
        <v/>
      </c>
    </row>
    <row r="30">
      <c r="A30" s="6" t="inlineStr">
        <is>
          <t>Ett montørårsverk, tilgjengelige timer</t>
        </is>
      </c>
      <c r="B30" s="10" t="n">
        <v>1695</v>
      </c>
    </row>
    <row r="31">
      <c r="A31" s="8" t="inlineStr">
        <is>
          <t>= Andel av et årsverk</t>
        </is>
      </c>
      <c r="B31" s="14">
        <f>B29/B30</f>
        <v/>
      </c>
      <c r="D31" s="6" t="inlineStr">
        <is>
          <t>«Realistisk» er lærebokas første krav til et markedsmål. Krever målet mer enn ett årsverk, må planen si hvem som skal ansettes.</t>
        </is>
      </c>
    </row>
    <row r="33">
      <c r="A33" s="4" t="inlineStr">
        <is>
          <t>Kontroll</t>
        </is>
      </c>
    </row>
    <row r="34">
      <c r="A34" s="6" t="inlineStr">
        <is>
          <t>Er den nødvendige veksten mindre enn vekstmålet?</t>
        </is>
      </c>
      <c r="B34" s="15">
        <f>IF(B15&lt;Budsjett!B21,"OK — tiltakene kan bære seg innenfor vekstmålet","AVVIK: tiltakene må gi mer vekst enn hele målet for å betale for seg selv. Da må enten budsjettet ned eller målet opp")</f>
        <v/>
      </c>
    </row>
    <row r="35">
      <c r="A35" s="6" t="inlineStr">
        <is>
          <t>Er målet mulig uten å ansette?</t>
        </is>
      </c>
      <c r="B35" s="15">
        <f>IF(B31&lt;1,"OK — de ekstra montørtimene får plass innenfor ett årsverk","AVVIK: målet krever mer enn ett årsverk montørtid. Da er det ikke realistisk uten en ansettelse planen må nevne")</f>
        <v/>
      </c>
    </row>
    <row r="36">
      <c r="A36" s="6" t="inlineStr">
        <is>
          <t>Går regnestykket rundt?</t>
        </is>
      </c>
      <c r="B36" s="15">
        <f>IF(ABS(B13*B6-B12)&lt;1,"OK — omsetning ganger dekningsgrad gir dekningsbidraget tilbake","AVVIK: nullpunktet stemmer ikke med dekningsgraden")</f>
        <v/>
      </c>
    </row>
    <row r="38">
      <c r="A38" s="8" t="inlineStr">
        <is>
          <t>Prøv dette: sett dekningsgraden opp ved å heve dekningsbidraget per ladepunkt i Budsjett!B13, og se hvor mye mindre omsetning som må til.</t>
        </is>
      </c>
    </row>
    <row r="39">
      <c r="A39" s="3" t="inlineStr">
        <is>
          <t>Kilde: nullpunktstankegangen er den samme som i Bok 1 Økonomistyring kap. 8. Markedsbudsjettet hører til markedsplanens siste ledd, Hjertnes kap. 3.5.</t>
        </is>
      </c>
    </row>
  </sheetData>
  <conditionalFormatting sqref="B34">
    <cfRule type="expression" priority="1" dxfId="0" stopIfTrue="0">
      <formula>LEFT(B34,5)="AVVIK"</formula>
    </cfRule>
  </conditionalFormatting>
  <conditionalFormatting sqref="B35">
    <cfRule type="expression" priority="2" dxfId="0" stopIfTrue="0">
      <formula>LEFT(B35,5)="AVVIK"</formula>
    </cfRule>
  </conditionalFormatting>
  <conditionalFormatting sqref="B36">
    <cfRule type="expression" priority="3" dxfId="0" stopIfTrue="0">
      <formula>LEFT(B36,5)="AVVIK"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58" customWidth="1" min="5" max="5"/>
  </cols>
  <sheetData>
    <row r="1">
      <c r="A1" s="1" t="inlineStr">
        <is>
          <t>Tre scenarioer</t>
        </is>
      </c>
    </row>
    <row r="2">
      <c r="A2" s="2" t="inlineStr">
        <is>
          <t>Endre de gule cellene og se hva som skjer. Alle tall hentes fra de andre arkene.</t>
        </is>
      </c>
    </row>
    <row r="4">
      <c r="A4" s="4" t="inlineStr">
        <is>
          <t>Scenario A · hvor mye av veksten kan tiltakene ta æren for?</t>
        </is>
      </c>
    </row>
    <row r="5">
      <c r="A5" s="3" t="inlineStr">
        <is>
          <t>Et markedsbudsjett er bare lønnsomt for den delen av veksten som faktisk skyldes tiltakene. Resten hadde kommet uansett.</t>
        </is>
      </c>
    </row>
    <row r="7" ht="28" customHeight="1">
      <c r="A7" s="9" t="inlineStr"/>
      <c r="B7" s="9" t="inlineStr">
        <is>
          <t>Optimist</t>
        </is>
      </c>
      <c r="C7" s="9" t="inlineStr">
        <is>
          <t>Realist</t>
        </is>
      </c>
      <c r="D7" s="9" t="inlineStr">
        <is>
          <t>Pessimist</t>
        </is>
      </c>
      <c r="E7" s="9" t="inlineStr">
        <is>
          <t>Hva raden betyr</t>
        </is>
      </c>
    </row>
    <row r="8">
      <c r="A8" s="8" t="inlineStr">
        <is>
          <t>Andel av veksten som skyldes tiltakene</t>
        </is>
      </c>
      <c r="B8" s="20" t="n">
        <v>1</v>
      </c>
      <c r="C8" s="20" t="n">
        <v>0.5</v>
      </c>
      <c r="D8" s="20" t="n">
        <v>0.25</v>
      </c>
      <c r="E8" s="6" t="inlineStr">
        <is>
          <t>De gule cellene er scenarioene. Endre dem fritt.</t>
        </is>
      </c>
    </row>
    <row r="9">
      <c r="A9" s="6" t="inlineStr">
        <is>
          <t>Økt omsetning som kan tilskrives tiltakene</t>
        </is>
      </c>
      <c r="B9" s="16">
        <f>B8*(Budsjett!B18-Budsjett!B15)</f>
        <v/>
      </c>
      <c r="C9" s="16">
        <f>C8*(Budsjett!B18-Budsjett!B15)</f>
        <v/>
      </c>
      <c r="D9" s="16">
        <f>D8*(Budsjett!B18-Budsjett!B15)</f>
        <v/>
      </c>
      <c r="E9" s="6" t="inlineStr">
        <is>
          <t>Hele omsetningsveksten ganget med andelen.</t>
        </is>
      </c>
    </row>
    <row r="10">
      <c r="A10" s="6" t="inlineStr">
        <is>
          <t>Økt dekningsbidrag av det</t>
        </is>
      </c>
      <c r="B10" s="16">
        <f>B9*Budsjett!$B$20</f>
        <v/>
      </c>
      <c r="C10" s="16">
        <f>C9*Budsjett!$B$20</f>
        <v/>
      </c>
      <c r="D10" s="16">
        <f>D9*Budsjett!$B$20</f>
        <v/>
      </c>
    </row>
    <row r="11">
      <c r="A11" s="6" t="inlineStr">
        <is>
          <t>− markedsbudsjett</t>
        </is>
      </c>
      <c r="B11" s="16">
        <f>-Budsjett!D31</f>
        <v/>
      </c>
      <c r="C11" s="16">
        <f>-Budsjett!D31</f>
        <v/>
      </c>
      <c r="D11" s="16">
        <f>-Budsjett!D31</f>
        <v/>
      </c>
    </row>
    <row r="12">
      <c r="A12" s="8" t="inlineStr">
        <is>
          <t>= Resultat av markedsarbeidet</t>
        </is>
      </c>
      <c r="B12" s="12">
        <f>B10+B11</f>
        <v/>
      </c>
      <c r="C12" s="12">
        <f>C10+C11</f>
        <v/>
      </c>
      <c r="D12" s="12">
        <f>D10+D11</f>
        <v/>
      </c>
      <c r="E12" s="6" t="inlineStr">
        <is>
          <t>Positivt: tiltakene betalte for seg. Negativt: de gjorde det ikke.</t>
        </is>
      </c>
    </row>
    <row r="13">
      <c r="A13" s="6" t="inlineStr">
        <is>
          <t>Igjen per krone brukt</t>
        </is>
      </c>
      <c r="B13" s="17">
        <f>B10/Budsjett!D31</f>
        <v/>
      </c>
      <c r="C13" s="17">
        <f>C10/Budsjett!D31</f>
        <v/>
      </c>
      <c r="D13" s="17">
        <f>D10/Budsjett!D31</f>
        <v/>
      </c>
      <c r="E13" s="6" t="inlineStr">
        <is>
          <t>Over 1,00 er lønnsomt. Under 1,00 er det ikke.</t>
        </is>
      </c>
    </row>
    <row r="14">
      <c r="A14" s="6" t="inlineStr">
        <is>
          <t>Dom</t>
        </is>
      </c>
      <c r="B14" s="15">
        <f>IF(B12&gt;0,"Betaler seg","Betaler seg ikke")</f>
        <v/>
      </c>
      <c r="C14" s="15">
        <f>IF(C12&gt;0,"Betaler seg","Betaler seg ikke")</f>
        <v/>
      </c>
      <c r="D14" s="15">
        <f>IF(D12&gt;0,"Betaler seg","Betaler seg ikke")</f>
        <v/>
      </c>
    </row>
    <row r="16">
      <c r="A16" s="4" t="inlineStr">
        <is>
          <t>Kontroll</t>
        </is>
      </c>
    </row>
    <row r="17">
      <c r="A17" s="6" t="inlineStr">
        <is>
          <t>Faller resultatet når mindre av veksten skyldes tiltakene?</t>
        </is>
      </c>
      <c r="B17" s="15">
        <f>IF(AND(D8&lt;C8,D12&lt;C12),"OK — mindre effekt gir dårligere resultat","AVVIK: sjekk at pessimistkolonnen har lavere andel enn realistkolonnen")</f>
        <v/>
      </c>
    </row>
    <row r="18">
      <c r="A18" s="6" t="inlineStr">
        <is>
          <t>Hva som SKAL stå her med tallene som ligger inne</t>
        </is>
      </c>
      <c r="B18" s="15">
        <f>IF(D12&lt;0,"OK — i pessimistscenarioet betaler tiltakene seg ikke. Det er hele poenget med å regne på det på forhånd","AVVIK: selv i pessimistscenarioet betaler tiltakene seg. Da er budsjettet satt for lavt til å være interessant")</f>
        <v/>
      </c>
    </row>
    <row r="21">
      <c r="A21" s="4" t="inlineStr">
        <is>
          <t>Scenario B · dekningsgraden er det som avgjør</t>
        </is>
      </c>
    </row>
    <row r="22">
      <c r="A22" s="3" t="inlineStr">
        <is>
          <t>Avdelingen har lav dekningsgrad fordi materiellet er en stor del av prisen. Se hva det gjør med hvor mye omsetning hver markedskrone krever.</t>
        </is>
      </c>
    </row>
    <row r="24" ht="28" customHeight="1">
      <c r="A24" s="9" t="inlineStr">
        <is>
          <t>Dekningsgrad</t>
        </is>
      </c>
      <c r="B24" s="9" t="inlineStr">
        <is>
          <t>Omsetning som må til</t>
        </is>
      </c>
      <c r="C24" s="9" t="inlineStr">
        <is>
          <t>Vekst i prosent</t>
        </is>
      </c>
      <c r="D24" s="9" t="inlineStr">
        <is>
          <t>Oppdrag av snittstørrelse</t>
        </is>
      </c>
      <c r="E24" s="9" t="inlineStr">
        <is>
          <t>Hva det betyr</t>
        </is>
      </c>
    </row>
    <row r="25">
      <c r="A25" s="14">
        <f>Budsjett!$B$20</f>
        <v/>
      </c>
      <c r="B25" s="16">
        <f>Budsjett!$D$31/A25</f>
        <v/>
      </c>
      <c r="C25" s="13">
        <f>B25/Budsjett!$B$15</f>
        <v/>
      </c>
      <c r="D25" s="17">
        <f>B25/(Budsjett!$B$15/(Budsjett!$B$5+Budsjett!$B$6))</f>
        <v/>
      </c>
      <c r="E25" s="6" t="inlineStr">
        <is>
          <t>Avdelingen i dag. Materiellet spiser nesten alt.</t>
        </is>
      </c>
    </row>
    <row r="26">
      <c r="A26" s="20" t="n">
        <v>0.15</v>
      </c>
      <c r="B26" s="16">
        <f>Budsjett!$D$31/A26</f>
        <v/>
      </c>
      <c r="C26" s="13">
        <f>B26/Budsjett!$B$15</f>
        <v/>
      </c>
      <c r="D26" s="17">
        <f>B26/(Budsjett!$B$15/(Budsjett!$B$5+Budsjett!$B$6))</f>
        <v/>
      </c>
      <c r="E26" s="6" t="inlineStr">
        <is>
          <t>Hvis avdelingen fikk bedre innkjøpspris på panelene.</t>
        </is>
      </c>
    </row>
    <row r="27">
      <c r="A27" s="20" t="n">
        <v>0.2</v>
      </c>
      <c r="B27" s="16">
        <f>Budsjett!$D$31/A27</f>
        <v/>
      </c>
      <c r="C27" s="13">
        <f>B27/Budsjett!$B$15</f>
        <v/>
      </c>
      <c r="D27" s="17">
        <f>B27/(Budsjett!$B$15/(Budsjett!$B$5+Budsjett!$B$6))</f>
        <v/>
      </c>
      <c r="E27" s="6" t="inlineStr">
        <is>
          <t>Hvis avdelingen solgte mer arbeid og mindre materiell.</t>
        </is>
      </c>
    </row>
    <row r="28">
      <c r="A28" s="20" t="n">
        <v>0.3</v>
      </c>
      <c r="B28" s="16">
        <f>Budsjett!$D$31/A28</f>
        <v/>
      </c>
      <c r="C28" s="13">
        <f>B28/Budsjett!$B$15</f>
        <v/>
      </c>
      <c r="D28" s="17">
        <f>B28/(Budsjett!$B$15/(Budsjett!$B$5+Budsjett!$B$6))</f>
        <v/>
      </c>
      <c r="E28" s="6" t="inlineStr">
        <is>
          <t>En ren tjenesteleveranse, uten materiell å legge ut for.</t>
        </is>
      </c>
    </row>
    <row r="29">
      <c r="A29" s="20" t="n">
        <v>0.625</v>
      </c>
      <c r="B29" s="16">
        <f>Budsjett!$D$31/A29</f>
        <v/>
      </c>
      <c r="C29" s="13">
        <f>B29/Budsjett!$B$15</f>
        <v/>
      </c>
      <c r="D29" s="17">
        <f>B29/(Budsjett!$B$15/(Budsjett!$B$5+Budsjett!$B$6))</f>
        <v/>
      </c>
      <c r="E29" s="6" t="inlineStr">
        <is>
          <t>Hele bedriftens dekningsgrad, der montørlønna ikke er trukket fra.</t>
        </is>
      </c>
    </row>
    <row r="31">
      <c r="A31" s="6" t="inlineStr">
        <is>
          <t>Les tabellen slik: markedsbudsjettet er det samme på hver rad. Det eneste som endrer seg, er hvor mye omsetning som må til for å hente inn de samme kronene.</t>
        </is>
      </c>
    </row>
    <row r="32">
      <c r="A32" s="3" t="inlineStr">
        <is>
          <t>Kolonnen «Oppdrag av snittstørrelse» er omsetningen delt på gjennomsnittsoppdraget i avdelingen. Vil du vite hvor mange ladepunkt eller solcelleanlegg det er, står de tallene i arket Nullpunkt, der de regnes av dekningsbidraget og ikke av prisen.</t>
        </is>
      </c>
    </row>
    <row r="33">
      <c r="A33" s="8" t="inlineStr">
        <is>
          <t>Det er derfor et markedstiltak er dyrere for en installatør enn for en konsulent: konsulenten har ingen materiellkostnad å hente inn først.</t>
        </is>
      </c>
    </row>
    <row r="35">
      <c r="A35" s="4" t="inlineStr">
        <is>
          <t>Kontroll</t>
        </is>
      </c>
    </row>
    <row r="36">
      <c r="A36" s="6" t="inlineStr">
        <is>
          <t>Faller kravet til omsetning når dekningsgraden stiger?</t>
        </is>
      </c>
      <c r="B36" s="15">
        <f>IF(B25&gt;B29,"OK — høyere dekningsgrad krever mindre omsetning","AVVIK: tabellen skal falle nedover")</f>
        <v/>
      </c>
    </row>
    <row r="37">
      <c r="A37" s="6" t="inlineStr">
        <is>
          <t>Stemmer raden «avdelingen i dag» med arket Nullpunkt?</t>
        </is>
      </c>
      <c r="B37" s="15">
        <f>IF(ABS(B25-Nullpunkt!B13)&lt;1,"OK — raden gir samme svar som arket Nullpunkt","AVVIK: raden stemmer ikke med arket Nullpunkt")</f>
        <v/>
      </c>
    </row>
    <row r="40">
      <c r="A40" s="4" t="inlineStr">
        <is>
          <t>Scenario C · kutt ett tiltak</t>
        </is>
      </c>
    </row>
    <row r="41">
      <c r="A41" s="3" t="inlineStr">
        <is>
          <t>Styret ber om at budsjettet kuttes. Sett kostnaden på ett av tiltakene til null i arket Budsjett, og les av her hva det sparer og hva det koster i nødvendig vekst.</t>
        </is>
      </c>
    </row>
    <row r="42">
      <c r="A42" s="6" t="inlineStr">
        <is>
          <t>Markedsbudsjett slik det står nå</t>
        </is>
      </c>
      <c r="B42" s="12">
        <f>Budsjett!D31</f>
        <v/>
      </c>
    </row>
    <row r="43">
      <c r="A43" s="6" t="inlineStr">
        <is>
          <t>Budsjettet slik planen opprinnelig var satt opp</t>
        </is>
      </c>
      <c r="B43" s="11" t="n">
        <v>56520</v>
      </c>
      <c r="E43" s="6" t="inlineStr">
        <is>
          <t>Dette tallet står fast, så du kan se hva du har endret.</t>
        </is>
      </c>
    </row>
    <row r="44">
      <c r="A44" s="8" t="inlineStr">
        <is>
          <t>= Endring</t>
        </is>
      </c>
      <c r="B44" s="12">
        <f>B42-B43</f>
        <v/>
      </c>
    </row>
    <row r="45">
      <c r="A45" s="6" t="inlineStr">
        <is>
          <t>Nødvendig vekst nå</t>
        </is>
      </c>
      <c r="B45" s="13">
        <f>Nullpunkt!B15</f>
        <v/>
      </c>
    </row>
    <row r="46">
      <c r="A46" s="6" t="inlineStr">
        <is>
          <t>Vekstmålet i planen</t>
        </is>
      </c>
      <c r="B46" s="13">
        <f>Budsjett!B21</f>
        <v/>
      </c>
    </row>
    <row r="47">
      <c r="A47" s="8" t="inlineStr">
        <is>
          <t>= Margin</t>
        </is>
      </c>
      <c r="B47" s="14">
        <f>B46-B45</f>
        <v/>
      </c>
      <c r="E47" s="6" t="inlineStr">
        <is>
          <t>Så mange prosentpoeng vekst har planen å gå på før markedsbudsjettet ikke lenger bærer seg.</t>
        </is>
      </c>
    </row>
    <row r="49">
      <c r="A49" s="4" t="inlineStr">
        <is>
          <t>Kontroll</t>
        </is>
      </c>
    </row>
    <row r="50">
      <c r="A50" s="6" t="inlineStr">
        <is>
          <t>Er det margin igjen?</t>
        </is>
      </c>
      <c r="B50" s="15">
        <f>IF(B47&gt;0,"OK — vekstmålet dekker markedsbudsjettet med margin","AVVIK: markedsbudsjettet krever mer vekst enn planen lover. Kutt et tiltak, eller hev målet")</f>
        <v/>
      </c>
    </row>
    <row r="52">
      <c r="A52" s="3" t="inlineStr">
        <is>
          <t>Kilde: Hjertnes kap. 3.4 og 3.5. Nullpunktstankegangen er den samme som i Bok 1 Økonomistyring kap. 8. Tallene er Nordlys Elektro AS sine egne.</t>
        </is>
      </c>
    </row>
  </sheetData>
  <conditionalFormatting sqref="B17">
    <cfRule type="expression" priority="1" dxfId="0" stopIfTrue="0">
      <formula>LEFT(B17,5)="AVVIK"</formula>
    </cfRule>
  </conditionalFormatting>
  <conditionalFormatting sqref="B18">
    <cfRule type="expression" priority="2" dxfId="0" stopIfTrue="0">
      <formula>LEFT(B18,5)="AVVIK"</formula>
    </cfRule>
  </conditionalFormatting>
  <conditionalFormatting sqref="B36">
    <cfRule type="expression" priority="3" dxfId="0" stopIfTrue="0">
      <formula>LEFT(B36,5)="AVVIK"</formula>
    </cfRule>
  </conditionalFormatting>
  <conditionalFormatting sqref="B37">
    <cfRule type="expression" priority="4" dxfId="0" stopIfTrue="0">
      <formula>LEFT(B37,5)="AVVIK"</formula>
    </cfRule>
  </conditionalFormatting>
  <conditionalFormatting sqref="B50">
    <cfRule type="expression" priority="5" dxfId="0" stopIfTrue="0">
      <formula>LEFT(B50,5)="AVVIK"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2" customWidth="1" min="3" max="3"/>
    <col width="58" customWidth="1" min="4" max="4"/>
  </cols>
  <sheetData>
    <row r="1">
      <c r="A1" s="1" t="inlineStr">
        <is>
          <t>Din egen bedrift</t>
        </is>
      </c>
    </row>
    <row r="2">
      <c r="A2" s="2" t="inlineStr">
        <is>
          <t>Samme regnestykke, tomt. Legg inn tallene fra din egen avdeling.</t>
        </is>
      </c>
    </row>
    <row r="4">
      <c r="A4" s="4" t="inlineStr">
        <is>
          <t>1 · Det du selger</t>
        </is>
      </c>
    </row>
    <row r="5">
      <c r="A5" s="6" t="inlineStr">
        <is>
          <t>Omsetning i fjor, uten mva.</t>
        </is>
      </c>
      <c r="B5" s="11" t="n">
        <v>0</v>
      </c>
      <c r="D5" s="6" t="inlineStr">
        <is>
          <t>Bare avdelingen eller produktområdet du planlegger for.</t>
        </is>
      </c>
    </row>
    <row r="6">
      <c r="A6" s="6" t="inlineStr">
        <is>
          <t>Dekningsbidrag i fjor</t>
        </is>
      </c>
      <c r="B6" s="11" t="n">
        <v>0</v>
      </c>
      <c r="D6" s="6" t="inlineStr">
        <is>
          <t>Omsetning minus materiell, innleide montører og de timene som går med.</t>
        </is>
      </c>
    </row>
    <row r="7">
      <c r="A7" s="6" t="inlineStr">
        <is>
          <t>Omsetningsmål for neste år</t>
        </is>
      </c>
      <c r="B7" s="11" t="n">
        <v>0</v>
      </c>
      <c r="D7" s="6" t="inlineStr">
        <is>
          <t>Målet, ikke håpet.</t>
        </is>
      </c>
    </row>
    <row r="8">
      <c r="A8" s="6" t="inlineStr">
        <is>
          <t>Snittpris per oppdrag, uten mva.</t>
        </is>
      </c>
      <c r="B8" s="11" t="n">
        <v>0</v>
      </c>
      <c r="D8" s="6" t="inlineStr">
        <is>
          <t>Den vanligste jobben i avdelingen.</t>
        </is>
      </c>
    </row>
    <row r="9">
      <c r="A9" s="6" t="inlineStr">
        <is>
          <t>Dekningsbidrag per oppdrag</t>
        </is>
      </c>
      <c r="B9" s="11" t="n">
        <v>0</v>
      </c>
      <c r="D9" s="6" t="inlineStr">
        <is>
          <t>Det som er igjen når materiellet og timene er betalt.</t>
        </is>
      </c>
    </row>
    <row r="11">
      <c r="A11" s="6" t="inlineStr">
        <is>
          <t>= Dekningsgrad</t>
        </is>
      </c>
      <c r="B11" s="14">
        <f>IF(B5=0,0,B6/B5)</f>
        <v/>
      </c>
    </row>
    <row r="12">
      <c r="A12" s="6" t="inlineStr">
        <is>
          <t>= Vekst i målet</t>
        </is>
      </c>
      <c r="B12" s="14">
        <f>IF(B5=0,0,B7/B5-1)</f>
        <v/>
      </c>
    </row>
    <row r="14">
      <c r="A14" s="4" t="inlineStr">
        <is>
          <t>2 · Markedsbudsjettet ditt</t>
        </is>
      </c>
    </row>
    <row r="15" ht="28" customHeight="1">
      <c r="A15" s="9" t="inlineStr">
        <is>
          <t>Tiltak</t>
        </is>
      </c>
      <c r="B15" s="9" t="inlineStr">
        <is>
          <t>Kroner</t>
        </is>
      </c>
      <c r="C15" s="9" t="inlineStr"/>
      <c r="D15" s="9" t="inlineStr">
        <is>
          <t>Hva du venter deg av det</t>
        </is>
      </c>
    </row>
    <row r="16">
      <c r="A16" s="5" t="inlineStr"/>
      <c r="B16" s="11" t="n">
        <v>0</v>
      </c>
      <c r="D16" s="5" t="inlineStr"/>
    </row>
    <row r="17">
      <c r="A17" s="5" t="inlineStr"/>
      <c r="B17" s="11" t="n">
        <v>0</v>
      </c>
      <c r="D17" s="5" t="inlineStr"/>
    </row>
    <row r="18">
      <c r="A18" s="5" t="inlineStr"/>
      <c r="B18" s="11" t="n">
        <v>0</v>
      </c>
      <c r="D18" s="5" t="inlineStr"/>
    </row>
    <row r="19">
      <c r="A19" s="5" t="inlineStr"/>
      <c r="B19" s="11" t="n">
        <v>0</v>
      </c>
      <c r="D19" s="5" t="inlineStr"/>
    </row>
    <row r="20">
      <c r="A20" s="5" t="inlineStr"/>
      <c r="B20" s="11" t="n">
        <v>0</v>
      </c>
      <c r="D20" s="5" t="inlineStr"/>
    </row>
    <row r="21">
      <c r="A21" s="8" t="inlineStr">
        <is>
          <t>= Markedsbudsjett</t>
        </is>
      </c>
      <c r="B21" s="12">
        <f>SUM(B16:B20)</f>
        <v/>
      </c>
    </row>
    <row r="22">
      <c r="A22" s="6" t="inlineStr">
        <is>
          <t>I prosent av omsetningen</t>
        </is>
      </c>
      <c r="B22" s="13">
        <f>IF(B5=0,0,B21/B5)</f>
        <v/>
      </c>
    </row>
    <row r="24">
      <c r="A24" s="4" t="inlineStr">
        <is>
          <t>3 · Hva det må gi tilbake</t>
        </is>
      </c>
    </row>
    <row r="25">
      <c r="A25" s="8" t="inlineStr">
        <is>
          <t>= Økt dekningsbidrag som må til</t>
        </is>
      </c>
      <c r="B25" s="12">
        <f>B21</f>
        <v/>
      </c>
    </row>
    <row r="26">
      <c r="A26" s="8" t="inlineStr">
        <is>
          <t>= Økt omsetning som må til</t>
        </is>
      </c>
      <c r="B26" s="12">
        <f>IF(B11=0,0,B25/B11)</f>
        <v/>
      </c>
    </row>
    <row r="27">
      <c r="A27" s="6" t="inlineStr">
        <is>
          <t>= Nødvendig vekst</t>
        </is>
      </c>
      <c r="B27" s="14">
        <f>IF(B5=0,0,B26/B5)</f>
        <v/>
      </c>
    </row>
    <row r="28">
      <c r="A28" s="6" t="inlineStr">
        <is>
          <t>= Nye oppdrag som må til</t>
        </is>
      </c>
      <c r="B28" s="17">
        <f>IF(B9=0,0,B25/B9)</f>
        <v/>
      </c>
      <c r="D28" s="6" t="inlineStr">
        <is>
          <t>Dekningsbidraget som må inn, delt på dekningsbidraget per oppdrag.</t>
        </is>
      </c>
    </row>
    <row r="30">
      <c r="A30" s="4" t="inlineStr">
        <is>
          <t>Kontroll</t>
        </is>
      </c>
    </row>
    <row r="31">
      <c r="A31" s="6" t="inlineStr">
        <is>
          <t>Bærer målet budsjettet?</t>
        </is>
      </c>
      <c r="B31" s="15">
        <f>IF(B5=0,"Fyll inn tallene over.",IF(B27&lt;B12,"OK — den nødvendige veksten er mindre enn vekstmålet ditt","AVVIK: markedsbudsjettet krever mer vekst enn målet ditt lover"))</f>
        <v/>
      </c>
    </row>
    <row r="32">
      <c r="A32" s="6" t="inlineStr">
        <is>
          <t>Er budsjettet realistisk i størrelse?</t>
        </is>
      </c>
      <c r="B32" s="15">
        <f>IF(B5=0,"Fyll inn tallene over.",IF(B22&lt;0.05,"OK — budsjettet er under fem prosent av omsetningen","AVVIK: over fem prosent av omsetningen til markedsføring. Det kan være riktig, men det må begrunnes"))</f>
        <v/>
      </c>
    </row>
    <row r="34">
      <c r="A34" s="8" t="inlineStr">
        <is>
          <t>Og det arket ikke kan svare på: hvor stor del av veksten som faktisk skyldes tiltakene. Det er derfor scenarioarket finnes.</t>
        </is>
      </c>
    </row>
  </sheetData>
  <conditionalFormatting sqref="B31">
    <cfRule type="expression" priority="1" dxfId="0" stopIfTrue="0">
      <formula>LEFT(B31,5)="AVVIK"</formula>
    </cfRule>
  </conditionalFormatting>
  <conditionalFormatting sqref="B32">
    <cfRule type="expression" priority="2" dxfId="0" stopIfTrue="0">
      <formula>LEFT(B32,5)="AVVIK"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2026-09-11T09:30:00Z</dcterms:created>
  <dcterms:modified xmlns:dcterms="http://purl.org/dc/terms/" xmlns:xsi="http://www.w3.org/2001/XMLSchema-instance" xsi:type="dcterms:W3CDTF">2026-10-02T10:04:17Z</dcterms:modified>
</cp:coreProperties>
</file>