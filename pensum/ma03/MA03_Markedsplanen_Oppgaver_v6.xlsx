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<sst xmlns="http://schemas.openxmlformats.org/spreadsheetml/2006/main" count="166" uniqueCount="147">
  <si>
    <t xml:space="preserve">Markedsplanen: analyse og mål. Oppgaver til kapittel 3</t>
  </si>
  <si>
    <t xml:space="preserve">Markedsføring, organisasjon og ledelse for LØM-emnet (Hjertnes), kapittel 3. Versjon 6, oktober 2026. Nordlys Elektro AS og Fjell Elektro AS er konstruerte casebedrifter; tallene er faktaarkene og casetallene for solcelle- og ladeavdelingen.</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</si>
  <si>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</si>
  <si>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</si>
  <si>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</si>
  <si>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</si>
  <si>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</si>
  <si>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</si>
  <si>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Tretten utsagn om avdelingen: hvilken rute hører hvert av dem hjemme i?</t>
  </si>
  <si>
    <t xml:space="preserve">1B  Måltabellen: hvilket krav mangler, og hvem eier målet?</t>
  </si>
  <si>
    <t xml:space="preserve">1C  Bærer delmålene hovedmålet, og er de realistiske når solmarkedet falt 70 %?</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</si>
  <si>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</si>
  <si>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</si>
  <si>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Tretten utsagn om avdelingen: hvilken rute hører hvert av dem hjemme i?</t>
  </si>
  <si>
    <t xml:space="preserve">Alene, i par eller i gruppe, slik du vil.</t>
  </si>
  <si>
    <t xml:space="preserve">Situasjonen</t>
  </si>
  <si>
    <t xml:space="preserve">Solcelle- og ladeavdelingen i Nordlys Elektro har aldri hatt en markedsplan. Kari (daglig leder) vil at avdelingen skal vokse 20 % i 2027, og Ida (kalkulatør) har satt delmålene 42 solcelleanlegg og 215 ladepunkt, uten at noen har sett på markedet. Før målene kommer situasjonsanalysen. Tretten utsagn om avdelingen ligger hulter til bulter under. Plasser hvert av dem i riktig rute, og svar så på hvilken trussel som treffer delmålet, og hvilken mulighet avdelingen kan flytte vekten mot.</t>
  </si>
  <si>
    <t xml:space="preserve">Begrepene du trenger</t>
  </si>
  <si>
    <t xml:space="preserve">Situasjonsanalysen er en analyse av bedriftens arbeidsbetingelser: forhold i og utenfor bedriften som påvirker mulighetene til å nå målene (3.3). Internanalysen kartlegger sterke og svake sider, det bedriften selv rår over: produktene, kostnadsnivået, kompetansen. Eksternanalysen kartlegger muligheter og trusler i markedet: etterspørsel, konkurranse, tilgang på råvarer og arbeidskraft. Bedriften skal utnytte de sterke sidene best mulig og la de svake hemme minst mulig. De fire rutene kalles i kapittel 10.2 en analyse av sterke sider, svake sider, muligheter og trusler (SOFT); på engelsk SWOT.</t>
  </si>
  <si>
    <t xml:space="preserve">Testen</t>
  </si>
  <si>
    <t xml:space="preserve">Spør for hvert utsagn: rår Nordlys over dette selv? Da er det internt, en sterk eller svak side. Skjer det i markedet, hos konkurrentene eller på arbeidsmarkedet? Da er det eksternt, en mulighet eller en trussel. Boka legger etterspørsel, konkurranse og tilgang på råvarer og arbeidskraft i eksternanalysen, og produktene, kostnadsnivået og kompetansen i internanalysen (3.3).</t>
  </si>
  <si>
    <t xml:space="preserve">Tretten utsagn om solcelle- og ladeavdelingen: hvilken rute hører hvert av dem hjemme i? (velg i nedtrekksmenyen)</t>
  </si>
  <si>
    <t xml:space="preserve">1 Markedet for solkraft på tak falt rundt 70 % i 2026 etter at støtteordningene ble kuttet (NHO Elektro)</t>
  </si>
  <si>
    <t xml:space="preserve">2 Nordlys har rammeavtale med nettselskapet Fjellkraft Nett AS, som gir jevne oppdrag og en referanse</t>
  </si>
  <si>
    <t xml:space="preserve">3 Egenkapitalandelen er 28,4 %, mot 36,4 % i bransjen</t>
  </si>
  <si>
    <t xml:space="preserve">4 Rundt 95 % av nye biler i 2025 var elbiler, og hver av dem skal lades et sted</t>
  </si>
  <si>
    <t xml:space="preserve">5 Bransjen mangler fagarbeidere</t>
  </si>
  <si>
    <t xml:space="preserve">6 Nesten alt materiell kommer fra én grossist, Polarlys Elektro Grossist AS</t>
  </si>
  <si>
    <t xml:space="preserve">7 Borettslag og sameier i nedslagsfeltet har ikke løst ladingen</t>
  </si>
  <si>
    <t xml:space="preserve">8 Avdelingen har ingen egen leder; Kari har den ved siden av jobben som daglig leder</t>
  </si>
  <si>
    <t xml:space="preserve">9 Landsdekkende kjeder kjøper materiell billigere enn Nordlys</t>
  </si>
  <si>
    <t xml:space="preserve">10 Montøren som er på taket med solcellene, kan selge ladepunktet i samme besøk</t>
  </si>
  <si>
    <t xml:space="preserve">11 Et solcelleanlegg gir 4 400 kr i dekningsbidrag på 14 montørtimer, 314 kr per time, mot 525 kr for et ladepunkt</t>
  </si>
  <si>
    <t xml:space="preserve">12 Nordlys har vært kjent lokalt siden 2019</t>
  </si>
  <si>
    <t xml:space="preserve">13 En hjemmelader faktureres til 8 000–20 000 kr, og nesten alle nye biler er elbiler</t>
  </si>
  <si>
    <t xml:space="preserve">Hvilken trussel treffer delmålet om 42 solcelleanlegg hardest, og hvilken mulighet kan avdelingen flytte vekten mot? To setninger, med tall.</t>
  </si>
  <si>
    <t xml:space="preserve">Står du fast? Skriv JA i den gule cellen:</t>
  </si>
  <si>
    <t xml:space="preserve">Gule celler fyller du inn. Grønne regnes ut av arket. Sjekken til høyre forteller om svaret stemmer, og hva du bør se på hvis ikke.</t>
  </si>
  <si>
    <t xml:space="preserve">Oppgave 1B: Måltabellen: hvilket krav mangler, og hvem eier målet?</t>
  </si>
  <si>
    <t xml:space="preserve">På ledermøtet kommer fire målformuleringer som hver bryter ett av bokas krav. Så skal måltabellen for avdelingen fylles ut: hovedmålet er minst 20 % vekst fra 3 335 640 kr i 2026, delmålene er 42 solcelleanlegg og 215 ladepunkt. Hvert mål trenger tall, frist og ansvar. Til slutt sorterer du tre setninger fra Kari, og skriver ett mål selv.</t>
  </si>
  <si>
    <t xml:space="preserve">Markedsmål styrer markedsbeslutningene, gir motivasjon og er standarden resultatene vurderes mot. De må være realistiske, hierarkiske, tallfestede og innbyrdes i samsvar (3.4). Bokas eksempel er Byggmester X i Trondheim: hovedmål 1 (omsetning +8 % i 2024), delmål 1.1 (timepris +2 % fra 01.01.24) og 1.1.1 (nye kalkylesatser innen 20.12.23). Hver linje har et tall og en frist. Kolonnen «Ansvar» i måltabellen står ikke i boka.</t>
  </si>
  <si>
    <t xml:space="preserve">Et markedsmål skal være realistisk (bedriften har kapasitet og marked for det), hierarkisk (ett hovedmål med delmål under), tallfestet (et tall og et tidspunkt) og i samsvar med de andre målene (delmålene bærer hovedmålet) (3.4). I måltabellen får hvert mål i tillegg en ansvarlig: det står ikke i bokas eksempel, men et mål uten en som følger det opp, blir sjelden fulgt opp.</t>
  </si>
  <si>
    <t xml:space="preserve">Fire målformuleringer fra ledermøtet. Hvilket av bokas fire krav mangler? (velg i nedtrekksmenyen)</t>
  </si>
  <si>
    <t xml:space="preserve">«Vi skal bli best på lading i Oslo øst.»</t>
  </si>
  <si>
    <t xml:space="preserve">«Omsetningen på solcelleanlegg skal dobles i 2027.» Markedet for solkraft på tak falt rundt 70 % i 2026.</t>
  </si>
  <si>
    <t xml:space="preserve">«Omsetningen skal øke 20 %.» Delmålene som er satt, gir til sammen 12 % vekst.</t>
  </si>
  <si>
    <t xml:space="preserve">Fem mål står side om side på ett ark, uten et hovedmål over dem.</t>
  </si>
  <si>
    <t xml:space="preserve">Måltabellen for solcelle- og ladeavdelingen 2027</t>
  </si>
  <si>
    <t xml:space="preserve">Omsetningen i 2026 var 34 solcelleanlegg × 51 360 kr + 180 ladepunkt × 8 830 kr = 3 335 640 kr. Kari vil ha minst 20 % vekst. Ida har satt delmålene 42 anlegg og 215 ladepunkt. Fyll ut tall, frist og ansvar for hvert mål.</t>
  </si>
  <si>
    <t xml:space="preserve">1 Hovedmålet: omsetningen i avdelingen i 2027, kroner (3 335 640 × 1,20)</t>
  </si>
  <si>
    <t xml:space="preserve">kr</t>
  </si>
  <si>
    <t xml:space="preserve">1 Hovedmålet: frist</t>
  </si>
  <si>
    <t xml:space="preserve">1 Hovedmålet: ansvar</t>
  </si>
  <si>
    <t xml:space="preserve">1.1 Delmål: solcelleanlegg montert i 2027, antall</t>
  </si>
  <si>
    <t xml:space="preserve">anlegg</t>
  </si>
  <si>
    <t xml:space="preserve">1.1 Delmål solcelleanlegg: frist</t>
  </si>
  <si>
    <t xml:space="preserve">1.1 Delmål solcelleanlegg: ansvar</t>
  </si>
  <si>
    <t xml:space="preserve">1.2 Delmål: ladepunkt montert i 2027, antall</t>
  </si>
  <si>
    <t xml:space="preserve">ladepunkt</t>
  </si>
  <si>
    <t xml:space="preserve">1.2 Delmål ladepunkt: frist</t>
  </si>
  <si>
    <t xml:space="preserve">1.2 Delmål ladepunkt: ansvar</t>
  </si>
  <si>
    <t xml:space="preserve">Tre setninger fra Kari: hvilken er et markedsmål, hvilken et ønske, og hvilken en strategi? (velg i nedtrekksmenyen)</t>
  </si>
  <si>
    <t xml:space="preserve">«Vi skal bli den foretrukne leverandøren av solceller i bydelen.»</t>
  </si>
  <si>
    <t xml:space="preserve">«Vi skal selge 42 solcelleanlegg i 2027, mot 34 i 2026. Ida følger opp hver måned.»</t>
  </si>
  <si>
    <t xml:space="preserve">«Vi skal satse mer på borettslag, for der ligger pengene.»</t>
  </si>
  <si>
    <t xml:space="preserve">Skriv ett markedsmål for ladepunkt i borettslag, slik det kan stå i måltabellen: med tall, frist i 2027 og navnet på den som eier det.</t>
  </si>
  <si>
    <t xml:space="preserve">Oppgave 1C: Bærer delmålene hovedmålet, og er de realistiske når solmarkedet falt 70 %?</t>
  </si>
  <si>
    <t xml:space="preserve">Avdelingen monterte 34 solcelleanlegg à 51 360 kr og 180 ladepunkt à 8 830 kr i 2026, til sammen 3 335 640 kr. Kari vil ha minst 20 % vekst i 2027. Ida har satt delmålene 42 anlegg og 215 ladepunkt, med samme priser. Et anlegg tar 14 montørtimer og et ladepunkt 2. Nordlys fakturerer 14 400 montørtimer i året (12 montører × 1 200). Markedet for solkraft på tak falt rundt 70 % i 2026 (NHO Elektro, bransjeforeningen for elektrobedriftene i Næringslivets Hovedorganisasjon). Kontroller at målene er i samsvar og realistiske, og regn på Idas nye miks.</t>
  </si>
  <si>
    <t xml:space="preserve">To av bokas fire krav kan kontrolleres med tall (3.4). I samsvar: regn hovedmålet om til kroner (fjoråret × (1 + veksten)) og delmålene om til kroner (antall × pris, summert); delmålene skal være minst like store. Realistisk: regn timene delmålene krever og sammenlikn med kapasiteten, og se på markedet: vokser det, eller må bedriften ta kunder fra konkurrentene? Begge deler må holde.</t>
  </si>
  <si>
    <t xml:space="preserve">Tallene</t>
  </si>
  <si>
    <t xml:space="preserve">Antall og priser er avdelingens casetall; timer per jobb og de 14 400 fakturerbare timene er faktaarkets. Hvite celler er gitt; den grønne regnes ut av arket.</t>
  </si>
  <si>
    <t xml:space="preserve">Post</t>
  </si>
  <si>
    <t xml:space="preserve">2026 (i fjor)</t>
  </si>
  <si>
    <t xml:space="preserve">Mål 2027</t>
  </si>
  <si>
    <t xml:space="preserve">Solcelleanlegg, antall</t>
  </si>
  <si>
    <t xml:space="preserve">Pris per anlegg, kr uten merverdiavgift</t>
  </si>
  <si>
    <t xml:space="preserve">Ladepunkt, antall</t>
  </si>
  <si>
    <t xml:space="preserve">Pris per ladepunkt, kr uten merverdiavgift</t>
  </si>
  <si>
    <t xml:space="preserve">Montørtimer per anlegg</t>
  </si>
  <si>
    <t xml:space="preserve">Montørtimer per ladepunkt</t>
  </si>
  <si>
    <t xml:space="preserve">Omsetning, kr</t>
  </si>
  <si>
    <t xml:space="preserve">Hovedmål: vekst i omsetning</t>
  </si>
  <si>
    <t xml:space="preserve">minst 20 %</t>
  </si>
  <si>
    <t xml:space="preserve">Fakturerbare montørtimer i Nordlys i året</t>
  </si>
  <si>
    <t xml:space="preserve">Oppgaven, trinn for trinn</t>
  </si>
  <si>
    <t xml:space="preserve">1. Regn hovedmålet i kroner (a) og delmålene i kroner (b). Sammenlikn: marginen (c) og veksten delmålene gir (d).
2. Regn montørtimene i fjor (e) og ved målet (f), hvor mange flere det er (g), og hvor mye det er i prosent av Nordlys' 14 400 timer (h).
3. Velg om delmålet om 42 anlegg er realistisk når markedet for solkraft på tak falt rundt 70 % i 2026 (i).
4. Ida foreslår en ny miks: 30 anlegg, og resten av hovedmålet i ladepunkt. Regn hvor mange ladepunkt som trengs (j) og hvor mange flere timer miksen krever enn i fjor (k).
5. Skriv svaret til Kari (l).</t>
  </si>
  <si>
    <t xml:space="preserve">Samsvar: bærer delmålene hovedmålet?</t>
  </si>
  <si>
    <t xml:space="preserve">a) Hovedmålet i kroner: omsetningen i fjor × 1,20</t>
  </si>
  <si>
    <t xml:space="preserve">b) Delmålene i kroner: 42 × 51 360 + 215 × 8 830</t>
  </si>
  <si>
    <t xml:space="preserve">c) Marginen: delmålene i kroner minus hovedmålet i kroner</t>
  </si>
  <si>
    <t xml:space="preserve">d) Veksten delmålene gir, i prosent av fjoråret, én desimal (delmålene / i fjor − 1) × 100</t>
  </si>
  <si>
    <t xml:space="preserve">prosent</t>
  </si>
  <si>
    <t xml:space="preserve">Realistisk i timer: har Nordlys kapasiteten?</t>
  </si>
  <si>
    <t xml:space="preserve">e) Montørtimer i fjor: 34 × 14 + 180 × 2</t>
  </si>
  <si>
    <t xml:space="preserve">timer</t>
  </si>
  <si>
    <t xml:space="preserve">f) Montørtimer ved målet: 42 × 14 + 215 × 2</t>
  </si>
  <si>
    <t xml:space="preserve">g) Flere montørtimer ved målet enn i fjor</t>
  </si>
  <si>
    <t xml:space="preserve">h) De ekstra timene i prosent av Nordlys' 14 400 fakturerbare timer, én desimal</t>
  </si>
  <si>
    <t xml:space="preserve">Realistisk i markedet</t>
  </si>
  <si>
    <t xml:space="preserve">i) Markedet for solkraft på tak falt rundt 70 % i 2026. Er delmålet om 42 anlegg (+23,5 % fra 34) realistisk? Velg: Ja fordi kapasiteten holder (182 timer er 1,3 % av 14 400). Nei fordi markedet falt 70 % og konkurrentene permitterer. Nei fordi Nordlys mangler montører.</t>
  </si>
  <si>
    <t xml:space="preserve">Idas nye miks: 30 solcelleanlegg, og resten av hovedmålet i ladepunkt</t>
  </si>
  <si>
    <t xml:space="preserve">j) Hvor mange ladepunkt trengs for å nå hovedmålet med 30 anlegg? (hovedmålet − 30 × 51 360) / 8 830, rundet opp til hele</t>
  </si>
  <si>
    <t xml:space="preserve">k) Flere montørtimer med den nye miksen enn i fjor: 30 × 14 + 279 × 2, minus timene i fjor</t>
  </si>
  <si>
    <t xml:space="preserve">l) Svar Kari: er den nye miksen realistisk? Bruk ett tall om markedet, og si hvem som eier målet og når det følges opp. To–tre setninger.</t>
  </si>
  <si>
    <t xml:space="preserve">Fasit, kapittel 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</si>
  <si>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</si>
  <si>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</si>
  <si>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</si>
  <si>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</si>
  <si>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Rutene</t>
  </si>
  <si>
    <t xml:space="preserve">Sterke sider: 2 rammeavtalen, 10 samme besøk, 12 kjent siden 2019. Svake sider: 3 egenkapitalandel 28,4 %, 6 én grossist, 8 ingen avdelingsleder, 11 314 kr per time på solcelleanlegg. Muligheter: 4 elbilene, 7 borettslagene, 13 hjemmeladeren. Trusler: 1 solmarkedet ned 70 %, 5 fagarbeidermangelen, 9 kjedene.</t>
  </si>
  <si>
    <t xml:space="preserve">1A Tekstsvaret</t>
  </si>
  <si>
    <t xml:space="preserve">Solmarkedet som falt rundt 70 % treffer delmålet om 42 anlegg (+23,5 %) hardest. Muligheten er elbilene (rundt 95 % av nybilsalget) og borettslagene som ikke har løst ladingen: flytt vekten mot ladepunkt.</t>
  </si>
  <si>
    <t xml:space="preserve">1B Kravet som mangler</t>
  </si>
  <si>
    <t xml:space="preserve">«Best på lading»: tallfestet. «Dobles i et marked som falt 70 %»: realistisk. «+20 % mens delmålene gir +12 %»: i samsvar. «Fem mål uten hovedmål»: hierarkisk.</t>
  </si>
  <si>
    <t xml:space="preserve">1B 1 Hovedmålet i kroner</t>
  </si>
  <si>
    <t xml:space="preserve">3 335 640 × 1,20 = 4 002 768 kr. Frist 31.12.2027. Ansvar: Kari Nordlund, daglig leder.</t>
  </si>
  <si>
    <t xml:space="preserve">1B 1.1 og 1.2 Delmålene</t>
  </si>
  <si>
    <t xml:space="preserve">42 solcelleanlegg og 215 ladepunkt innen 31.12.2027. Ansvar: Ida Haugen, som satte dem og følger opp hver måned.</t>
  </si>
  <si>
    <t xml:space="preserve">1B Karis tre setninger</t>
  </si>
  <si>
    <t xml:space="preserve">«Foretrukken leverandør»: ønske uten tall. «42 anlegg i 2027, Ida følger opp»: markedsmål. «Satse på borettslag»: strategi eller tiltak.</t>
  </si>
  <si>
    <t xml:space="preserve">1B Mål for ladepunkt i borettslag</t>
  </si>
  <si>
    <t xml:space="preserve">For eksempel: «Avdelingen skal montere ladeanlegg i minst 3 borettslag innen 31.12.2027. Tom Berg følger opp tilbudene hver måned.» Tall, frist og navn.</t>
  </si>
  <si>
    <t xml:space="preserve">1C a) Hovedmålet</t>
  </si>
  <si>
    <t xml:space="preserve">3 335 640 × 1,20 = 4 002 768 kr</t>
  </si>
  <si>
    <t xml:space="preserve">1C b) Delmålene</t>
  </si>
  <si>
    <t xml:space="preserve">42 × 51 360 + 215 × 8 830 = 2 157 120 + 1 898 450 = 4 055 570 kr</t>
  </si>
  <si>
    <t xml:space="preserve">1C c) Marginen</t>
  </si>
  <si>
    <t xml:space="preserve">4 055 570 − 4 002 768 = 52 802 kr. Delmålene bærer hovedmålet: i samsvar.</t>
  </si>
  <si>
    <t xml:space="preserve">1C d) Veksten delmålene gir</t>
  </si>
  <si>
    <t xml:space="preserve">4 055 570 / 3 335 640 = 1,216, altså 21,6 % mot hovedmålets 20 %</t>
  </si>
  <si>
    <t xml:space="preserve">1C e) Timer i fjor</t>
  </si>
  <si>
    <t xml:space="preserve">34 × 14 + 180 × 2 = 476 + 360 = 836 timer</t>
  </si>
  <si>
    <t xml:space="preserve">1C f) Timer ved målet</t>
  </si>
  <si>
    <t xml:space="preserve">42 × 14 + 215 × 2 = 588 + 430 = 1 018 timer</t>
  </si>
  <si>
    <t xml:space="preserve">1C g) Flere timer</t>
  </si>
  <si>
    <t xml:space="preserve">1 018 − 836 = 182 timer</t>
  </si>
  <si>
    <t xml:space="preserve">1C h) I prosent av 14 400</t>
  </si>
  <si>
    <t xml:space="preserve">182 / 14 400 × 100 = 1,3 %. Kapasiteten holder.</t>
  </si>
  <si>
    <t xml:space="preserve">1C i) Realistisk?</t>
  </si>
  <si>
    <t xml:space="preserve">Nei. Kapasiteten holder, men 42 anlegg mot 34 er +23,5 % i et marked som falt rundt 70 % i 2026. Kundene må tas fra konkurrenter som permitterer.</t>
  </si>
  <si>
    <t xml:space="preserve">1C j) Ladepunkt i ny miks</t>
  </si>
  <si>
    <t xml:space="preserve">30 × 51 360 = 1 540 800 kr. Resten: 4 002 768 − 1 540 800 = 2 461 968 kr. Delt på 8 830 = 278,8, rundet opp til 279 ladepunkt (278 gir 3 995 540 kr og når ikke opp).</t>
  </si>
  <si>
    <t xml:space="preserve">1C k) Flere timer i ny miks</t>
  </si>
  <si>
    <t xml:space="preserve">30 × 14 + 279 × 2 = 420 + 558 = 978 timer. 978 − 836 = 142 timer mer enn i fjor.</t>
  </si>
  <si>
    <t xml:space="preserve">1C l) Svaret til Kari</t>
  </si>
  <si>
    <t xml:space="preserve">279 ladepunkt mot 180 er +55 %, i et marked der rundt 95 % av nye biler er elbiler og borettslagene ikke har løst ladingen. Det er mer realistisk enn 42 solcelleanlegg i et marked som falt 70 %, men ambisiøst; også 30 anlegg er mye i det markedet. Kari eier hovedmålet, Ida følger opp hver måned, og målet revideres i juni hvis markedet ikke følger med.</t>
  </si>
</sst>
</file>

<file path=xl/styles.xml><?xml version="1.0" encoding="utf-8"?>
<styleSheet xmlns="http://schemas.openxmlformats.org/spreadsheetml/2006/main">
  <numFmts count="4">
    <numFmt numFmtId="164" formatCode="General"/>
    <numFmt numFmtId="165" formatCode="#,##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20</v>
      </c>
      <c r="C10" s="8"/>
      <c r="D10" s="8"/>
      <c r="E10" s="8"/>
      <c r="F10" s="8"/>
      <c r="G10" s="8"/>
    </row>
    <row r="12" customFormat="false" ht="15" hidden="false" customHeight="true" outlineLevel="0" collapsed="false">
      <c r="B12" s="9" t="s">
        <v>21</v>
      </c>
      <c r="C12" s="9"/>
      <c r="D12" s="9"/>
      <c r="E12" s="9"/>
      <c r="F12" s="9"/>
      <c r="G12" s="9"/>
    </row>
    <row r="13" customFormat="false" ht="39.75" hidden="false" customHeight="true" outlineLevel="0" collapsed="false">
      <c r="B13" s="10" t="s">
        <v>22</v>
      </c>
      <c r="C13" s="11"/>
      <c r="G13" s="12" t="str">
        <f aca="false">IF(C13="","Velg i nedtrekksmenyen.",IF(C13="Trussel (eksternt)","Riktig. Etterspørselen i markedet faller. Det skjer utenfor bedriften og rår ikke Nordlys over: en trussel i eksternanalysen (3.3).","Ikke riktig. Etterspørselen i markedet faller. Det skjer utenfor bedriften og rår ikke Nordlys over: en trussel i eksternanalysen (3.3)."))</f>
        <v>Velg i nedtrekksmenyen.</v>
      </c>
    </row>
    <row r="14" customFormat="false" ht="39.75" hidden="false" customHeight="true" outlineLevel="0" collapsed="false">
      <c r="B14" s="10" t="s">
        <v>23</v>
      </c>
      <c r="C14" s="11"/>
      <c r="G14" s="12" t="str">
        <f aca="false">IF(C14="","Velg i nedtrekksmenyen.",IF(C14="Sterk side (internt)","Riktig. En avtale bedriften selv har, og som hjelper den: sterk side i internanalysen (3.3).","Ikke riktig. En avtale bedriften selv har, og som hjelper den: sterk side i internanalysen (3.3)."))</f>
        <v>Velg i nedtrekksmenyen.</v>
      </c>
    </row>
    <row r="15" customFormat="false" ht="39.75" hidden="false" customHeight="true" outlineLevel="0" collapsed="false">
      <c r="B15" s="10" t="s">
        <v>24</v>
      </c>
      <c r="C15" s="11"/>
      <c r="G15" s="12" t="str">
        <f aca="false">IF(C15="","Velg i nedtrekksmenyen.",IF(C15="Svak side (internt)","Riktig. Tallet står i Nordlys' egen balanse; det er bedriftens eget kostnads- og kapitalnivå. Svak side i internanalysen, ikke en trussel utenfra (3.3).","Ikke riktig. Tallet står i Nordlys' egen balanse; det er bedriftens eget kostnads- og kapitalnivå. Svak side i internanalysen, ikke en trussel utenfra (3.3)."))</f>
        <v>Velg i nedtrekksmenyen.</v>
      </c>
    </row>
    <row r="16" customFormat="false" ht="39.75" hidden="false" customHeight="true" outlineLevel="0" collapsed="false">
      <c r="B16" s="10" t="s">
        <v>25</v>
      </c>
      <c r="C16" s="11"/>
      <c r="G16" s="12" t="str">
        <f aca="false">IF(C16="","Velg i nedtrekksmenyen.",IF(C16="Mulighet (eksternt)","Riktig. Etterspørsel i markedet som bedriften ikke rår over, men kan utnytte: mulighet i eksternanalysen (3.3).","Ikke riktig. Etterspørsel i markedet som bedriften ikke rår over, men kan utnytte: mulighet i eksternanalysen (3.3)."))</f>
        <v>Velg i nedtrekksmenyen.</v>
      </c>
    </row>
    <row r="17" customFormat="false" ht="39.75" hidden="false" customHeight="true" outlineLevel="0" collapsed="false">
      <c r="B17" s="10" t="s">
        <v>26</v>
      </c>
      <c r="C17" s="11"/>
      <c r="G17" s="12" t="str">
        <f aca="false">IF(C17="","Velg i nedtrekksmenyen.",IF(C17="Trussel (eksternt)","Riktig. Boka legger tilgang på arbeidskraft i eksternanalysen (3.3). Mangelen er en trussel Nordlys ikke rår over. Følgen for Nordlys, hvis en stilling står tom, ville vært den interne svake siden.","Ikke riktig. Boka legger tilgang på arbeidskraft i eksternanalysen (3.3). Mangelen er en trussel Nordlys ikke rår over. Følgen for Nordlys, hvis en stilling står tom, ville vært den interne svake siden."))</f>
        <v>Velg i nedtrekksmenyen.</v>
      </c>
    </row>
    <row r="18" customFormat="false" ht="39.75" hidden="false" customHeight="true" outlineLevel="0" collapsed="false">
      <c r="B18" s="10" t="s">
        <v>27</v>
      </c>
      <c r="C18" s="11"/>
      <c r="G18" s="12" t="str">
        <f aca="false">IF(C18="","Velg i nedtrekksmenyen.",IF(C18="Svak side (internt)","Riktig. Hvem bedriften kjøper fra, er bedriftens eget valg og en sårbarhet den rår over: svak side (3.3).","Ikke riktig. Hvem bedriften kjøper fra, er bedriftens eget valg og en sårbarhet den rår over: svak side (3.3)."))</f>
        <v>Velg i nedtrekksmenyen.</v>
      </c>
    </row>
    <row r="19" customFormat="false" ht="39.75" hidden="false" customHeight="true" outlineLevel="0" collapsed="false">
      <c r="B19" s="10" t="s">
        <v>28</v>
      </c>
      <c r="C19" s="11"/>
      <c r="G19" s="12" t="str">
        <f aca="false">IF(C19="","Velg i nedtrekksmenyen.",IF(C19="Mulighet (eksternt)","Riktig. Et udekket behov i markedet: mulighet i eksternanalysen (3.3).","Ikke riktig. Et udekket behov i markedet: mulighet i eksternanalysen (3.3)."))</f>
        <v>Velg i nedtrekksmenyen.</v>
      </c>
    </row>
    <row r="20" customFormat="false" ht="39.75" hidden="false" customHeight="true" outlineLevel="0" collapsed="false">
      <c r="B20" s="10" t="s">
        <v>29</v>
      </c>
      <c r="C20" s="11"/>
      <c r="G20" s="12" t="str">
        <f aca="false">IF(C20="","Velg i nedtrekksmenyen.",IF(C20="Svak side (internt)","Riktig. Organisering og kompetanse er interne arbeidsbetingelser: svak side (3.3).","Ikke riktig. Organisering og kompetanse er interne arbeidsbetingelser: svak side (3.3)."))</f>
        <v>Velg i nedtrekksmenyen.</v>
      </c>
    </row>
    <row r="21" customFormat="false" ht="39.75" hidden="false" customHeight="true" outlineLevel="0" collapsed="false">
      <c r="B21" s="10" t="s">
        <v>30</v>
      </c>
      <c r="C21" s="11"/>
      <c r="G21" s="12" t="str">
        <f aca="false">IF(C21="","Velg i nedtrekksmenyen.",IF(C21="Trussel (eksternt)","Riktig. Konkurranseforholdene er eksterne: trussel (3.3).","Ikke riktig. Konkurranseforholdene er eksterne: trussel (3.3)."))</f>
        <v>Velg i nedtrekksmenyen.</v>
      </c>
    </row>
    <row r="22" customFormat="false" ht="39.75" hidden="false" customHeight="true" outlineLevel="0" collapsed="false">
      <c r="B22" s="10" t="s">
        <v>31</v>
      </c>
      <c r="C22" s="11"/>
      <c r="G22" s="12" t="str">
        <f aca="false">IF(C22="","Velg i nedtrekksmenyen.",IF(C22="Sterk side (internt)","Riktig. Noe bedriften selv kan gjøre med folkene den har: sterk side (3.3).","Ikke riktig. Noe bedriften selv kan gjøre med folkene den har: sterk side (3.3)."))</f>
        <v>Velg i nedtrekksmenyen.</v>
      </c>
    </row>
    <row r="23" customFormat="false" ht="39.75" hidden="false" customHeight="true" outlineLevel="0" collapsed="false">
      <c r="B23" s="10" t="s">
        <v>32</v>
      </c>
      <c r="C23" s="11"/>
      <c r="G23" s="12" t="str">
        <f aca="false">IF(C23="","Velg i nedtrekksmenyen.",IF(C23="Svak side (internt)","Riktig. Produktenes lønnsomhet per time er bedriftens egen kostnads- og prisstruktur: svak side i internanalysen (3.3).","Ikke riktig. Produktenes lønnsomhet per time er bedriftens egen kostnads- og prisstruktur: svak side i internanalysen (3.3)."))</f>
        <v>Velg i nedtrekksmenyen.</v>
      </c>
    </row>
    <row r="24" customFormat="false" ht="39.75" hidden="false" customHeight="true" outlineLevel="0" collapsed="false">
      <c r="B24" s="10" t="s">
        <v>33</v>
      </c>
      <c r="C24" s="11"/>
      <c r="G24" s="12" t="str">
        <f aca="false">IF(C24="","Velg i nedtrekksmenyen.",IF(C24="Sterk side (internt)","Riktig. Omdømmet bedriften har bygd selv: sterk side (3.3).","Ikke riktig. Omdømmet bedriften har bygd selv: sterk side (3.3)."))</f>
        <v>Velg i nedtrekksmenyen.</v>
      </c>
    </row>
    <row r="25" customFormat="false" ht="39.75" hidden="false" customHeight="true" outlineLevel="0" collapsed="false">
      <c r="B25" s="10" t="s">
        <v>34</v>
      </c>
      <c r="C25" s="11"/>
      <c r="G25" s="12" t="str">
        <f aca="false">IF(C25="","Velg i nedtrekksmenyen.",IF(C25="Mulighet (eksternt)","Riktig. Betalingsvilje og etterspørsel i markedet: mulighet (3.3).","Ikke riktig. Betalingsvilje og etterspørsel i markedet: mulighet (3.3)."))</f>
        <v>Velg i nedtrekksmenyen.</v>
      </c>
    </row>
    <row r="27" customFormat="false" ht="30" hidden="false" customHeight="true" outlineLevel="0" collapsed="false">
      <c r="B27" s="8" t="s">
        <v>35</v>
      </c>
      <c r="C27" s="8"/>
      <c r="D27" s="8"/>
      <c r="E27" s="8"/>
      <c r="F27" s="8"/>
      <c r="G27" s="8"/>
    </row>
    <row r="28" customFormat="false" ht="21.75" hidden="false" customHeight="true" outlineLevel="0" collapsed="false">
      <c r="B28" s="13"/>
      <c r="C28" s="13"/>
      <c r="D28" s="13"/>
      <c r="E28" s="13"/>
      <c r="F28" s="13"/>
      <c r="G28" s="13"/>
    </row>
    <row r="29" customFormat="false" ht="21.75" hidden="false" customHeight="true" outlineLevel="0" collapsed="false">
      <c r="B29" s="13"/>
      <c r="C29" s="13"/>
      <c r="D29" s="13"/>
      <c r="E29" s="13"/>
      <c r="F29" s="13"/>
      <c r="G29" s="13"/>
    </row>
    <row r="30" customFormat="false" ht="21.75" hidden="false" customHeight="true" outlineLevel="0" collapsed="false">
      <c r="B30" s="13"/>
      <c r="C30" s="13"/>
      <c r="D30" s="13"/>
      <c r="E30" s="13"/>
      <c r="F30" s="13"/>
      <c r="G30" s="13"/>
    </row>
    <row r="31" customFormat="false" ht="39.75" hidden="false" customHeight="true" outlineLevel="0" collapsed="false">
      <c r="B31" s="14" t="str">
        <f aca="false">IF(LEN(B28)&lt;40,"",IF(AND(ISNUMBER(SEARCH("sol",B28)),ISNUMBER(SEARCH("ladepunkt",B28))),"Bra: du peker på solmarkedet som trusselen og ladepunktene som muligheten. Sjekk at du har med tallene: ned 70 %, og rundt 95 % elbiler.",IF(OR(ISNUMBER(SEARCH("sol",B28)),ISNUMBER(SEARCH("ladepunkt",B28))),"Du er på sporet. Trusselen som treffer solcelleanleggene, er markedet som falt 70 %. Muligheten ligger i elbilene: ladepunkt til boliger og borettslag.","Tips: markedet for solkraft på tak falt rundt 70 % i 2026, og 42 anlegg mot 34 er +23,5 % i det markedet. Muligheten er elbilene (rundt 95 % av nybilsalget) og borettslagene som ikke har løst ladingen: flytt vekten mot ladepunkt.")))</f>
        <v/>
      </c>
      <c r="C31" s="14"/>
      <c r="D31" s="14"/>
      <c r="E31" s="14"/>
      <c r="F31" s="14"/>
      <c r="G31" s="14"/>
    </row>
    <row r="32" customFormat="false" ht="15" hidden="false" customHeight="false" outlineLevel="0" collapsed="false">
      <c r="B32" s="15" t="s">
        <v>36</v>
      </c>
      <c r="C32" s="11"/>
    </row>
    <row r="33" customFormat="false" ht="60" hidden="false" customHeight="true" outlineLevel="0" collapsed="false">
      <c r="B33" s="16" t="str">
        <f aca="false">IF(C32="JA","Hint: Spør for hvert utsagn: rår Nordlys over dette selv? Egenkapitalen, grossisten, lederen, omdømmet, montørene og lønnsomheten per time er Nordlys' egne: internt. Solmarkedet, elbilene, borettslagene, kjedene og fagarbeidermangelen skjer utenfor: eksternt. Hjelper det, er det sterk side eller mulighet; hemmer det, svak side eller trussel.","")</f>
        <v/>
      </c>
      <c r="C33" s="16"/>
      <c r="D33" s="16"/>
      <c r="E33" s="16"/>
      <c r="F33" s="16"/>
      <c r="G33" s="16"/>
    </row>
    <row r="35" customFormat="false" ht="30" hidden="false" customHeight="true" outlineLevel="0" collapsed="false">
      <c r="B35" s="6" t="s">
        <v>37</v>
      </c>
      <c r="C35" s="6"/>
      <c r="D35" s="6"/>
      <c r="E35" s="6"/>
      <c r="F35" s="6"/>
      <c r="G35" s="6"/>
    </row>
  </sheetData>
  <mergeCells count="14">
    <mergeCell ref="B2:G2"/>
    <mergeCell ref="B3:G3"/>
    <mergeCell ref="B4:G4"/>
    <mergeCell ref="B5:G5"/>
    <mergeCell ref="B6:G6"/>
    <mergeCell ref="B7:G7"/>
    <mergeCell ref="B9:G9"/>
    <mergeCell ref="B10:G10"/>
    <mergeCell ref="B12:G12"/>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LEFT(G24,4)="Ikke"</formula>
    </cfRule>
  </conditionalFormatting>
  <conditionalFormatting sqref="G25">
    <cfRule type="expression" priority="26" aboveAverage="0" equalAverage="0" bottom="0" percent="0" rank="0" text="" dxfId="0">
      <formula>LEFT(G25,6)="Riktig"</formula>
    </cfRule>
    <cfRule type="expression" priority="27" aboveAverage="0" equalAverage="0" bottom="0" percent="0" rank="0" text="" dxfId="1">
      <formula>LEFT(G25,4)="Ikke"</formula>
    </cfRule>
  </conditionalFormatting>
  <dataValidations count="14">
    <dataValidation allowBlank="true" errorStyle="stop" operator="between" showDropDown="false" showErrorMessage="false" showInputMessage="false" sqref="C13" type="list">
      <formula1>"Sterk side (internt),Svak side (internt),Mulighet (eksternt),Trussel (eksternt)"</formula1>
      <formula2>0</formula2>
    </dataValidation>
    <dataValidation allowBlank="true" errorStyle="stop" operator="between" showDropDown="false" showErrorMessage="false" showInputMessage="false" sqref="C14" type="list">
      <formula1>"Sterk side (internt),Svak side (internt),Mulighet (eksternt),Trussel (eksternt)"</formula1>
      <formula2>0</formula2>
    </dataValidation>
    <dataValidation allowBlank="true" errorStyle="stop" operator="between" showDropDown="false" showErrorMessage="false" showInputMessage="false" sqref="C15" type="list">
      <formula1>"Sterk side (internt),Svak side (internt),Mulighet (eksternt),Trussel (eksternt)"</formula1>
      <formula2>0</formula2>
    </dataValidation>
    <dataValidation allowBlank="true" errorStyle="stop" operator="between" showDropDown="false" showErrorMessage="false" showInputMessage="false" sqref="C16" type="list">
      <formula1>"Sterk side (internt),Svak side (internt),Mulighet (eksternt),Trussel (eksternt)"</formula1>
      <formula2>0</formula2>
    </dataValidation>
    <dataValidation allowBlank="true" errorStyle="stop" operator="between" showDropDown="false" showErrorMessage="false" showInputMessage="false" sqref="C17" type="list">
      <formula1>"Sterk side (internt),Svak side (internt),Mulighet (eksternt),Trussel (eksternt)"</formula1>
      <formula2>0</formula2>
    </dataValidation>
    <dataValidation allowBlank="true" errorStyle="stop" operator="between" showDropDown="false" showErrorMessage="false" showInputMessage="false" sqref="C18" type="list">
      <formula1>"Sterk side (internt),Svak side (internt),Mulighet (eksternt),Trussel (eksternt)"</formula1>
      <formula2>0</formula2>
    </dataValidation>
    <dataValidation allowBlank="true" errorStyle="stop" operator="between" showDropDown="false" showErrorMessage="false" showInputMessage="false" sqref="C19" type="list">
      <formula1>"Sterk side (internt),Svak side (internt),Mulighet (eksternt),Trussel (eksternt)"</formula1>
      <formula2>0</formula2>
    </dataValidation>
    <dataValidation allowBlank="true" errorStyle="stop" operator="between" showDropDown="false" showErrorMessage="false" showInputMessage="false" sqref="C20" type="list">
      <formula1>"Sterk side (internt),Svak side (internt),Mulighet (eksternt),Trussel (eksternt)"</formula1>
      <formula2>0</formula2>
    </dataValidation>
    <dataValidation allowBlank="true" errorStyle="stop" operator="between" showDropDown="false" showErrorMessage="false" showInputMessage="false" sqref="C21" type="list">
      <formula1>"Sterk side (internt),Svak side (internt),Mulighet (eksternt),Trussel (eksternt)"</formula1>
      <formula2>0</formula2>
    </dataValidation>
    <dataValidation allowBlank="true" errorStyle="stop" operator="between" showDropDown="false" showErrorMessage="false" showInputMessage="false" sqref="C22" type="list">
      <formula1>"Sterk side (internt),Svak side (internt),Mulighet (eksternt),Trussel (eksternt)"</formula1>
      <formula2>0</formula2>
    </dataValidation>
    <dataValidation allowBlank="true" errorStyle="stop" operator="between" showDropDown="false" showErrorMessage="false" showInputMessage="false" sqref="C23" type="list">
      <formula1>"Sterk side (internt),Svak side (internt),Mulighet (eksternt),Trussel (eksternt)"</formula1>
      <formula2>0</formula2>
    </dataValidation>
    <dataValidation allowBlank="true" errorStyle="stop" operator="between" showDropDown="false" showErrorMessage="false" showInputMessage="false" sqref="C24" type="list">
      <formula1>"Sterk side (internt),Svak side (internt),Mulighet (eksternt),Trussel (eksternt)"</formula1>
      <formula2>0</formula2>
    </dataValidation>
    <dataValidation allowBlank="true" errorStyle="stop" operator="between" showDropDown="false" showErrorMessage="false" showInputMessage="false" sqref="C25" type="list">
      <formula1>"Sterk side (internt),Svak side (internt),Mulighet (eksternt),Trussel (eksternt)"</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38</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39</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40</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41</v>
      </c>
      <c r="C10" s="8"/>
      <c r="D10" s="8"/>
      <c r="E10" s="8"/>
      <c r="F10" s="8"/>
      <c r="G10" s="8"/>
    </row>
    <row r="12" customFormat="false" ht="15" hidden="false" customHeight="true" outlineLevel="0" collapsed="false">
      <c r="B12" s="9" t="s">
        <v>42</v>
      </c>
      <c r="C12" s="9"/>
      <c r="D12" s="9"/>
      <c r="E12" s="9"/>
      <c r="F12" s="9"/>
      <c r="G12" s="9"/>
    </row>
    <row r="13" customFormat="false" ht="39.75" hidden="false" customHeight="true" outlineLevel="0" collapsed="false">
      <c r="B13" s="10" t="s">
        <v>43</v>
      </c>
      <c r="C13" s="11"/>
      <c r="G13" s="12" t="str">
        <f aca="false">IF(C13="","Velg i nedtrekksmenyen.",IF(C13="Tallfestet","Riktig. Ingen kan måle «best», og det står ingen frist. Uten tall og tidspunkt kan målet verken nås eller bommes på (3.4).","Ikke riktig. Ingen kan måle «best», og det står ingen frist. Uten tall og tidspunkt kan målet verken nås eller bommes på (3.4)."))</f>
        <v>Velg i nedtrekksmenyen.</v>
      </c>
    </row>
    <row r="14" customFormat="false" ht="39.75" hidden="false" customHeight="true" outlineLevel="0" collapsed="false">
      <c r="B14" s="10" t="s">
        <v>44</v>
      </c>
      <c r="C14" s="11"/>
      <c r="G14" s="12" t="str">
        <f aca="false">IF(C14="","Velg i nedtrekksmenyen.",IF(C14="Realistisk","Riktig. Bedriften må ha kapasitet og marked for målet. En dobling i et marked som falt 70 %, krever kunder tatt fra konkurrenter som permitterer (3.4).","Ikke riktig. Bedriften må ha kapasitet og marked for målet. En dobling i et marked som falt 70 %, krever kunder tatt fra konkurrenter som permitterer (3.4)."))</f>
        <v>Velg i nedtrekksmenyen.</v>
      </c>
    </row>
    <row r="15" customFormat="false" ht="39.75" hidden="false" customHeight="true" outlineLevel="0" collapsed="false">
      <c r="B15" s="10" t="s">
        <v>45</v>
      </c>
      <c r="C15" s="11"/>
      <c r="G15" s="12" t="str">
        <f aca="false">IF(C15="","Velg i nedtrekksmenyen.",IF(C15="I samsvar","Riktig. Delmålene skal bære hovedmålet. Gir de 12 % når hovedmålet er 20 %, trekker ikke målene samme vei (3.4).","Ikke riktig. Delmålene skal bære hovedmålet. Gir de 12 % når hovedmålet er 20 %, trekker ikke målene samme vei (3.4)."))</f>
        <v>Velg i nedtrekksmenyen.</v>
      </c>
    </row>
    <row r="16" customFormat="false" ht="39.75" hidden="false" customHeight="true" outlineLevel="0" collapsed="false">
      <c r="B16" s="10" t="s">
        <v>46</v>
      </c>
      <c r="C16" s="11"/>
      <c r="G16" s="12" t="str">
        <f aca="false">IF(C16="","Velg i nedtrekksmenyen.",IF(C16="Hierarkisk","Riktig. Boka krever ett hovedmål med delmål under, slik Byggmester X har 1, 1.1, 1.1.1 (3.4).","Ikke riktig. Boka krever ett hovedmål med delmål under, slik Byggmester X har 1, 1.1, 1.1.1 (3.4)."))</f>
        <v>Velg i nedtrekksmenyen.</v>
      </c>
    </row>
    <row r="18" customFormat="false" ht="15.75" hidden="false" customHeight="true" outlineLevel="0" collapsed="false">
      <c r="B18" s="7" t="s">
        <v>47</v>
      </c>
      <c r="C18" s="7"/>
      <c r="D18" s="7"/>
      <c r="E18" s="7"/>
      <c r="F18" s="7"/>
      <c r="G18" s="7"/>
    </row>
    <row r="19" customFormat="false" ht="30" hidden="false" customHeight="true" outlineLevel="0" collapsed="false">
      <c r="B19" s="8" t="s">
        <v>48</v>
      </c>
      <c r="C19" s="8"/>
      <c r="D19" s="8"/>
      <c r="E19" s="8"/>
      <c r="F19" s="8"/>
      <c r="G19" s="8"/>
    </row>
    <row r="20" customFormat="false" ht="43.5" hidden="false" customHeight="true" outlineLevel="0" collapsed="false">
      <c r="B20" s="10" t="s">
        <v>49</v>
      </c>
      <c r="C20" s="17"/>
      <c r="D20" s="18" t="s">
        <v>50</v>
      </c>
      <c r="G20" s="12" t="str">
        <f aca="false">IF(C20="","Skriv svaret i den gule cellen.",IF(C20=(ROUND(3335640*1.2,0)),"Riktig.",IF(ABS(C20-(ROUND(3335640*0.2,0)))&lt;=0,"Det er økningen alene, 20 % av fjoråret. Målet er hele omsetningen: fjoråret pluss økningen, altså × 1,20.",IF(ABS(C20-(ROUND(3335640*1.02,0)))&lt;=0,"Du har regnet 2 %. 20 % er 0,20, så faktoren er 1,20.",IF(ABS(C20-(3335640))&lt;=0,"Det er omsetningen i 2026. Hovedmålet er 20 % mer.","Ikke riktig ennå. Se på regnestykket øverst på fanen, og sjekk at du har med alle leddene.")))))</f>
        <v>Skriv svaret i den gule cellen.</v>
      </c>
    </row>
    <row r="21" customFormat="false" ht="39.75" hidden="false" customHeight="true" outlineLevel="0" collapsed="false">
      <c r="B21" s="10" t="s">
        <v>51</v>
      </c>
      <c r="C21" s="11"/>
      <c r="G21" s="12" t="str">
        <f aca="false">IF(C21="","Velg i nedtrekksmenyen.",IF(C21="31.12.2027","Riktig. Hovedmålet gjelder hele 2027, og fristen er årets siste dag. «Så snart som mulig» og «når markedet tar seg opp» er ikke tidspunkter; 30.06.2027 er et tidspunkt for oppfølging, ikke for et årsmål (3.4).","Ikke riktig. Hovedmålet gjelder hele 2027, og fristen er årets siste dag. «Så snart som mulig» og «når markedet tar seg opp» er ikke tidspunkter; 30.06.2027 er et tidspunkt for oppfølging, ikke for et årsmål (3.4)."))</f>
        <v>Velg i nedtrekksmenyen.</v>
      </c>
    </row>
    <row r="22" customFormat="false" ht="39.75" hidden="false" customHeight="true" outlineLevel="0" collapsed="false">
      <c r="B22" s="10" t="s">
        <v>52</v>
      </c>
      <c r="C22" s="11"/>
      <c r="G22" s="12" t="str">
        <f aca="false">IF(C22="","Velg i nedtrekksmenyen.",IF(C22="Kari Nordlund (daglig leder)","Riktig. Hovedmålet for avdelingen eier daglig leder, som også har avdelingen ved siden av jobben. Et mål «alle» eier, eier ingen.","Ikke riktig. Hovedmålet for avdelingen eier daglig leder, som også har avdelingen ved siden av jobben. Et mål «alle» eier, eier ingen."))</f>
        <v>Velg i nedtrekksmenyen.</v>
      </c>
    </row>
    <row r="23" customFormat="false" ht="43.5" hidden="false" customHeight="true" outlineLevel="0" collapsed="false">
      <c r="B23" s="10" t="s">
        <v>53</v>
      </c>
      <c r="C23" s="19"/>
      <c r="D23" s="18" t="s">
        <v>54</v>
      </c>
      <c r="G23" s="12" t="str">
        <f aca="false">IF(C23="","Skriv svaret i den gule cellen.",IF(C23=(42),"Riktig.",IF(ABS(C23-(34))&lt;=0,"Det er antallet i 2026. Idas delmål for 2027 er høyere.",IF(ABS(C23-(215))&lt;=0,"Det er delmålet for ladepunkt. Solcelleanleggene har sitt eget tall.","Ikke riktig ennå. Se på regnestykket øverst på fanen, og sjekk at du har med alle leddene."))))</f>
        <v>Skriv svaret i den gule cellen.</v>
      </c>
    </row>
    <row r="24" customFormat="false" ht="39.75" hidden="false" customHeight="true" outlineLevel="0" collapsed="false">
      <c r="B24" s="10" t="s">
        <v>55</v>
      </c>
      <c r="C24" s="11"/>
      <c r="G24" s="12" t="str">
        <f aca="false">IF(C24="","Velg i nedtrekksmenyen.",IF(C24="31.12.2027","Riktig. Delmålet er et årstall for 2027, med samme frist som hovedmålet. Oppfølgingen skjer underveis, men målet måles 31.12.2027.","Ikke riktig. Delmålet er et årstall for 2027, med samme frist som hovedmålet. Oppfølgingen skjer underveis, men målet måles 31.12.2027."))</f>
        <v>Velg i nedtrekksmenyen.</v>
      </c>
    </row>
    <row r="25" customFormat="false" ht="39.75" hidden="false" customHeight="true" outlineLevel="0" collapsed="false">
      <c r="B25" s="10" t="s">
        <v>56</v>
      </c>
      <c r="C25" s="11"/>
      <c r="G25" s="12" t="str">
        <f aca="false">IF(C25="","Velg i nedtrekksmenyen.",IF(C25="Ida Haugen (kalkulatør)","Riktig. Ida satte delmålene og følger dem opp hver måned. Delmålet trenger én som eier det; «alle» er ingen.","Ikke riktig. Ida satte delmålene og følger dem opp hver måned. Delmålet trenger én som eier det; «alle» er ingen."))</f>
        <v>Velg i nedtrekksmenyen.</v>
      </c>
    </row>
    <row r="26" customFormat="false" ht="43.5" hidden="false" customHeight="true" outlineLevel="0" collapsed="false">
      <c r="B26" s="10" t="s">
        <v>57</v>
      </c>
      <c r="C26" s="19"/>
      <c r="D26" s="18" t="s">
        <v>58</v>
      </c>
      <c r="G26" s="12" t="str">
        <f aca="false">IF(C26="","Skriv svaret i den gule cellen.",IF(C26=(215),"Riktig.",IF(ABS(C26-(180))&lt;=0,"Det er antallet i 2026. Idas delmål for 2027 er høyere.",IF(ABS(C26-(42))&lt;=0,"Det er delmålet for solcelleanlegg. Ladepunktene har sitt eget tall.","Ikke riktig ennå. Se på regnestykket øverst på fanen, og sjekk at du har med alle leddene."))))</f>
        <v>Skriv svaret i den gule cellen.</v>
      </c>
    </row>
    <row r="27" customFormat="false" ht="39.75" hidden="false" customHeight="true" outlineLevel="0" collapsed="false">
      <c r="B27" s="10" t="s">
        <v>59</v>
      </c>
      <c r="C27" s="11"/>
      <c r="G27" s="12" t="str">
        <f aca="false">IF(C27="","Velg i nedtrekksmenyen.",IF(C27="31.12.2027","Riktig. Samme frist som hovedmålet: 31.12.2027. Et mål uten dato kan ikke måles (3.4).","Ikke riktig. Samme frist som hovedmålet: 31.12.2027. Et mål uten dato kan ikke måles (3.4)."))</f>
        <v>Velg i nedtrekksmenyen.</v>
      </c>
    </row>
    <row r="28" customFormat="false" ht="39.75" hidden="false" customHeight="true" outlineLevel="0" collapsed="false">
      <c r="B28" s="10" t="s">
        <v>60</v>
      </c>
      <c r="C28" s="11"/>
      <c r="G28" s="12" t="str">
        <f aca="false">IF(C28="","Velg i nedtrekksmenyen.",IF(C28="Ida Haugen (kalkulatør)","Riktig. Ida satte delmålene og følger dem opp hver måned. Én person, ikke «alle».","Ikke riktig. Ida satte delmålene og følger dem opp hver måned. Én person, ikke «alle»."))</f>
        <v>Velg i nedtrekksmenyen.</v>
      </c>
    </row>
    <row r="30" customFormat="false" ht="15" hidden="false" customHeight="true" outlineLevel="0" collapsed="false">
      <c r="B30" s="9" t="s">
        <v>61</v>
      </c>
      <c r="C30" s="9"/>
      <c r="D30" s="9"/>
      <c r="E30" s="9"/>
      <c r="F30" s="9"/>
      <c r="G30" s="9"/>
    </row>
    <row r="31" customFormat="false" ht="39.75" hidden="false" customHeight="true" outlineLevel="0" collapsed="false">
      <c r="B31" s="10" t="s">
        <v>62</v>
      </c>
      <c r="C31" s="11"/>
      <c r="G31" s="12" t="str">
        <f aca="false">IF(C31="","Velg i nedtrekksmenyen.",IF(C31="Ønske uten tall","Riktig. «Foretrukket» kan ingen måle, og det står ingen frist. Det ligner mer et særpreg i forretningsidéen enn et mål (3.4).","Ikke riktig. «Foretrukket» kan ingen måle, og det står ingen frist. Det ligner mer et særpreg i forretningsidéen enn et mål (3.4)."))</f>
        <v>Velg i nedtrekksmenyen.</v>
      </c>
    </row>
    <row r="32" customFormat="false" ht="39.75" hidden="false" customHeight="true" outlineLevel="0" collapsed="false">
      <c r="B32" s="10" t="s">
        <v>63</v>
      </c>
      <c r="C32" s="11"/>
      <c r="G32" s="12" t="str">
        <f aca="false">IF(C32="","Velg i nedtrekksmenyen.",IF(C32="Markedsmål","Riktig. Tall, sammenlikningsgrunnlag, frist og en som følger opp: et markedsmål etter bokas krav (3.4).","Ikke riktig. Tall, sammenlikningsgrunnlag, frist og en som følger opp: et markedsmål etter bokas krav (3.4)."))</f>
        <v>Velg i nedtrekksmenyen.</v>
      </c>
    </row>
    <row r="33" customFormat="false" ht="39.75" hidden="false" customHeight="true" outlineLevel="0" collapsed="false">
      <c r="B33" s="10" t="s">
        <v>64</v>
      </c>
      <c r="C33" s="11"/>
      <c r="G33" s="12" t="str">
        <f aca="false">IF(C33="","Velg i nedtrekksmenyen.",IF(C33="Strategi eller tiltak","Riktig. Det sier hvilken vei avdelingen skal gå, ikke hvor langt eller innen når. Det er et strategivalg eller et tiltak, ikke et mål (3.4 og 3.5).","Ikke riktig. Det sier hvilken vei avdelingen skal gå, ikke hvor langt eller innen når. Det er et strategivalg eller et tiltak, ikke et mål (3.4 og 3.5)."))</f>
        <v>Velg i nedtrekksmenyen.</v>
      </c>
    </row>
    <row r="35" customFormat="false" ht="30" hidden="false" customHeight="true" outlineLevel="0" collapsed="false">
      <c r="B35" s="8" t="s">
        <v>65</v>
      </c>
      <c r="C35" s="8"/>
      <c r="D35" s="8"/>
      <c r="E35" s="8"/>
      <c r="F35" s="8"/>
      <c r="G35" s="8"/>
    </row>
    <row r="36" customFormat="false" ht="21.75" hidden="false" customHeight="true" outlineLevel="0" collapsed="false">
      <c r="B36" s="13"/>
      <c r="C36" s="13"/>
      <c r="D36" s="13"/>
      <c r="E36" s="13"/>
      <c r="F36" s="13"/>
      <c r="G36" s="13"/>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39.75" hidden="false" customHeight="true" outlineLevel="0" collapsed="false">
      <c r="B39" s="14" t="str">
        <f aca="false">IF(LEN(B36)&lt;40,"",IF(AND(ISNUMBER(SEARCH("2027",B36)),ISNUMBER(SEARCH("borettslag",B36))),"Bra: du har frist i 2027 og borettslag som målgruppe. Sjekk at målet også har et tall (antall borettslag eller ladepunkt) og et navn som eier det.",IF(OR(ISNUMBER(SEARCH("2027",B36)),ISNUMBER(SEARCH("borettslag",B36))),"Du er på sporet. Et mål i måltabellen trenger et tall, en frist (en dato i 2027) og en som eier det. Se etter det som mangler i setningen din.","Tips: «Avdelingen skal montere ladeanlegg i minst 3 borettslag innen 31.12.2027. Tom Berg følger opp tilbudene hver måned.» Tall, frist og navn.")))</f>
        <v/>
      </c>
      <c r="C39" s="14"/>
      <c r="D39" s="14"/>
      <c r="E39" s="14"/>
      <c r="F39" s="14"/>
      <c r="G39" s="14"/>
    </row>
    <row r="40" customFormat="false" ht="15" hidden="false" customHeight="false" outlineLevel="0" collapsed="false">
      <c r="B40" s="15" t="s">
        <v>36</v>
      </c>
      <c r="C40" s="11"/>
    </row>
    <row r="41" customFormat="false" ht="45" hidden="false" customHeight="true" outlineLevel="0" collapsed="false">
      <c r="B41" s="16" t="str">
        <f aca="false">IF(C40="JA","Hint: Hovedmålet i kroner er fjorårets omsetning ganger 1,20. Fristen er en dato; «så snart som mulig» er ikke en frist. Ansvar er én person: daglig leder for hovedmålet, kalkulatøren som satte delmålene for delmålene. Et mål har tall og frist; «best» er et ønske; «satse på borettslag» er en strategi.","")</f>
        <v/>
      </c>
      <c r="C41" s="16"/>
      <c r="D41" s="16"/>
      <c r="E41" s="16"/>
      <c r="F41" s="16"/>
      <c r="G41" s="16"/>
    </row>
    <row r="43" customFormat="false" ht="30" hidden="false" customHeight="true" outlineLevel="0" collapsed="false">
      <c r="B43" s="6" t="s">
        <v>37</v>
      </c>
      <c r="C43" s="6"/>
      <c r="D43" s="6"/>
      <c r="E43" s="6"/>
      <c r="F43" s="6"/>
      <c r="G43" s="6"/>
    </row>
  </sheetData>
  <mergeCells count="17">
    <mergeCell ref="B2:G2"/>
    <mergeCell ref="B3:G3"/>
    <mergeCell ref="B4:G4"/>
    <mergeCell ref="B5:G5"/>
    <mergeCell ref="B6:G6"/>
    <mergeCell ref="B7:G7"/>
    <mergeCell ref="B9:G9"/>
    <mergeCell ref="B10:G10"/>
    <mergeCell ref="B12:G12"/>
    <mergeCell ref="B18:G18"/>
    <mergeCell ref="B19:G19"/>
    <mergeCell ref="B30:G30"/>
    <mergeCell ref="B35:G35"/>
    <mergeCell ref="B36:G38"/>
    <mergeCell ref="B39:G39"/>
    <mergeCell ref="B41:G41"/>
    <mergeCell ref="B43:G4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AND(G20&lt;&gt;"",LEFT(G20,6)&lt;&gt;"Riktig",LEFT(G20,5)&lt;&gt;"Skriv")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AND(G26&lt;&gt;"",LEFT(G26,6)&lt;&gt;"Riktig",LEFT(G26,5)&lt;&gt;"Skriv")</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LEFT(G28,4)="Ikke"</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LEFT(G31,4)="Ikke"</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LEFT(G32,4)="Ikke"</formula>
    </cfRule>
  </conditionalFormatting>
  <conditionalFormatting sqref="G33">
    <cfRule type="expression" priority="32" aboveAverage="0" equalAverage="0" bottom="0" percent="0" rank="0" text="" dxfId="0">
      <formula>LEFT(G33,6)="Riktig"</formula>
    </cfRule>
    <cfRule type="expression" priority="33" aboveAverage="0" equalAverage="0" bottom="0" percent="0" rank="0" text="" dxfId="1">
      <formula>LEFT(G33,4)="Ikke"</formula>
    </cfRule>
  </conditionalFormatting>
  <dataValidations count="14">
    <dataValidation allowBlank="true" errorStyle="stop" operator="between" showDropDown="false" showErrorMessage="false" showInputMessage="false" sqref="C13" type="list">
      <formula1>"Realistisk,Hierarkisk,Tallfestet,I samsvar"</formula1>
      <formula2>0</formula2>
    </dataValidation>
    <dataValidation allowBlank="true" errorStyle="stop" operator="between" showDropDown="false" showErrorMessage="false" showInputMessage="false" sqref="C14" type="list">
      <formula1>"Realistisk,Hierarkisk,Tallfestet,I samsvar"</formula1>
      <formula2>0</formula2>
    </dataValidation>
    <dataValidation allowBlank="true" errorStyle="stop" operator="between" showDropDown="false" showErrorMessage="false" showInputMessage="false" sqref="C15" type="list">
      <formula1>"Realistisk,Hierarkisk,Tallfestet,I samsvar"</formula1>
      <formula2>0</formula2>
    </dataValidation>
    <dataValidation allowBlank="true" errorStyle="stop" operator="between" showDropDown="false" showErrorMessage="false" showInputMessage="false" sqref="C16" type="list">
      <formula1>"Realistisk,Hierarkisk,Tallfestet,I samsvar"</formula1>
      <formula2>0</formula2>
    </dataValidation>
    <dataValidation allowBlank="true" errorStyle="stop" operator="between" showDropDown="false" showErrorMessage="false" showInputMessage="false" sqref="C21" type="list">
      <formula1>"31.12.2027,Så snart som mulig,Når markedet tar seg opp,30.06.2027"</formula1>
      <formula2>0</formula2>
    </dataValidation>
    <dataValidation allowBlank="true" errorStyle="stop" operator="between" showDropDown="false" showErrorMessage="false" showInputMessage="false" sqref="C22" type="list">
      <formula1>"Kari Nordlund (daglig leder),Ida Haugen (kalkulatør),Tom Berg (driftsleder service),Ronny Fjeld (formann),Alle i avdelingen"</formula1>
      <formula2>0</formula2>
    </dataValidation>
    <dataValidation allowBlank="true" errorStyle="stop" operator="between" showDropDown="false" showErrorMessage="false" showInputMessage="false" sqref="C24" type="list">
      <formula1>"31.12.2027,Så snart som mulig,Når markedet tar seg opp,30.06.2027"</formula1>
      <formula2>0</formula2>
    </dataValidation>
    <dataValidation allowBlank="true" errorStyle="stop" operator="between" showDropDown="false" showErrorMessage="false" showInputMessage="false" sqref="C25" type="list">
      <formula1>"Kari Nordlund (daglig leder),Ida Haugen (kalkulatør),Tom Berg (driftsleder service),Ronny Fjeld (formann),Alle i avdelingen"</formula1>
      <formula2>0</formula2>
    </dataValidation>
    <dataValidation allowBlank="true" errorStyle="stop" operator="between" showDropDown="false" showErrorMessage="false" showInputMessage="false" sqref="C27" type="list">
      <formula1>"31.12.2027,Så snart som mulig,Når markedet tar seg opp,30.06.2027"</formula1>
      <formula2>0</formula2>
    </dataValidation>
    <dataValidation allowBlank="true" errorStyle="stop" operator="between" showDropDown="false" showErrorMessage="false" showInputMessage="false" sqref="C28" type="list">
      <formula1>"Kari Nordlund (daglig leder),Ida Haugen (kalkulatør),Tom Berg (driftsleder service),Ronny Fjeld (formann),Alle i avdelingen"</formula1>
      <formula2>0</formula2>
    </dataValidation>
    <dataValidation allowBlank="true" errorStyle="stop" operator="between" showDropDown="false" showErrorMessage="false" showInputMessage="false" sqref="C31" type="list">
      <formula1>"Markedsmål,Ønske uten tall,Strategi eller tiltak"</formula1>
      <formula2>0</formula2>
    </dataValidation>
    <dataValidation allowBlank="true" errorStyle="stop" operator="between" showDropDown="false" showErrorMessage="false" showInputMessage="false" sqref="C32" type="list">
      <formula1>"Markedsmål,Ønske uten tall,Strategi eller tiltak"</formula1>
      <formula2>0</formula2>
    </dataValidation>
    <dataValidation allowBlank="true" errorStyle="stop" operator="between" showDropDown="false" showErrorMessage="false" showInputMessage="false" sqref="C33" type="list">
      <formula1>"Markedsmål,Ønske uten tall,Strategi eller tiltak"</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66</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67</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68</v>
      </c>
      <c r="C7" s="8"/>
      <c r="D7" s="8"/>
      <c r="E7" s="8"/>
      <c r="F7" s="8"/>
      <c r="G7" s="8"/>
    </row>
    <row r="9" customFormat="false" ht="15.75" hidden="false" customHeight="true" outlineLevel="0" collapsed="false">
      <c r="B9" s="7" t="s">
        <v>69</v>
      </c>
      <c r="C9" s="7"/>
      <c r="D9" s="7"/>
      <c r="E9" s="7"/>
      <c r="F9" s="7"/>
      <c r="G9" s="7"/>
    </row>
    <row r="10" customFormat="false" ht="30" hidden="false" customHeight="true" outlineLevel="0" collapsed="false">
      <c r="B10" s="8" t="s">
        <v>70</v>
      </c>
      <c r="C10" s="8"/>
      <c r="D10" s="8"/>
      <c r="E10" s="8"/>
      <c r="F10" s="8"/>
      <c r="G10" s="8"/>
    </row>
    <row r="11" customFormat="false" ht="15" hidden="false" customHeight="false" outlineLevel="0" collapsed="false">
      <c r="B11" s="20" t="s">
        <v>71</v>
      </c>
      <c r="C11" s="21" t="s">
        <v>72</v>
      </c>
      <c r="D11" s="21" t="s">
        <v>73</v>
      </c>
    </row>
    <row r="12" customFormat="false" ht="15" hidden="false" customHeight="false" outlineLevel="0" collapsed="false">
      <c r="B12" s="22" t="s">
        <v>74</v>
      </c>
      <c r="C12" s="23" t="n">
        <v>34</v>
      </c>
      <c r="D12" s="23" t="n">
        <v>42</v>
      </c>
    </row>
    <row r="13" customFormat="false" ht="15" hidden="false" customHeight="false" outlineLevel="0" collapsed="false">
      <c r="B13" s="22" t="s">
        <v>75</v>
      </c>
      <c r="C13" s="23" t="n">
        <v>51360</v>
      </c>
      <c r="D13" s="23" t="n">
        <v>51360</v>
      </c>
    </row>
    <row r="14" customFormat="false" ht="15" hidden="false" customHeight="false" outlineLevel="0" collapsed="false">
      <c r="B14" s="22" t="s">
        <v>76</v>
      </c>
      <c r="C14" s="23" t="n">
        <v>180</v>
      </c>
      <c r="D14" s="23" t="n">
        <v>215</v>
      </c>
    </row>
    <row r="15" customFormat="false" ht="15" hidden="false" customHeight="false" outlineLevel="0" collapsed="false">
      <c r="B15" s="22" t="s">
        <v>77</v>
      </c>
      <c r="C15" s="23" t="n">
        <v>8830</v>
      </c>
      <c r="D15" s="23" t="n">
        <v>8830</v>
      </c>
    </row>
    <row r="16" customFormat="false" ht="15" hidden="false" customHeight="false" outlineLevel="0" collapsed="false">
      <c r="B16" s="22" t="s">
        <v>78</v>
      </c>
      <c r="C16" s="23" t="n">
        <v>14</v>
      </c>
      <c r="D16" s="23" t="n">
        <v>14</v>
      </c>
    </row>
    <row r="17" customFormat="false" ht="15" hidden="false" customHeight="false" outlineLevel="0" collapsed="false">
      <c r="B17" s="22" t="s">
        <v>79</v>
      </c>
      <c r="C17" s="23" t="n">
        <v>2</v>
      </c>
      <c r="D17" s="23" t="n">
        <v>2</v>
      </c>
    </row>
    <row r="18" customFormat="false" ht="15" hidden="false" customHeight="false" outlineLevel="0" collapsed="false">
      <c r="B18" s="22" t="s">
        <v>80</v>
      </c>
      <c r="C18" s="24" t="n">
        <f aca="false">C12*C13+C14*C15</f>
        <v>3335640</v>
      </c>
      <c r="D18" s="23"/>
    </row>
    <row r="19" customFormat="false" ht="15" hidden="false" customHeight="false" outlineLevel="0" collapsed="false">
      <c r="B19" s="22" t="s">
        <v>81</v>
      </c>
      <c r="C19" s="23"/>
      <c r="D19" s="23" t="s">
        <v>82</v>
      </c>
    </row>
    <row r="20" customFormat="false" ht="15" hidden="false" customHeight="false" outlineLevel="0" collapsed="false">
      <c r="B20" s="22" t="s">
        <v>83</v>
      </c>
      <c r="C20" s="23" t="n">
        <v>14400</v>
      </c>
      <c r="D20" s="23" t="n">
        <v>14400</v>
      </c>
    </row>
    <row r="22" customFormat="false" ht="15.75" hidden="false" customHeight="true" outlineLevel="0" collapsed="false">
      <c r="B22" s="7" t="s">
        <v>84</v>
      </c>
      <c r="C22" s="7"/>
      <c r="D22" s="7"/>
      <c r="E22" s="7"/>
      <c r="F22" s="7"/>
      <c r="G22" s="7"/>
    </row>
    <row r="23" customFormat="false" ht="75" hidden="false" customHeight="true" outlineLevel="0" collapsed="false">
      <c r="B23" s="8" t="s">
        <v>85</v>
      </c>
      <c r="C23" s="8"/>
      <c r="D23" s="8"/>
      <c r="E23" s="8"/>
      <c r="F23" s="8"/>
      <c r="G23" s="8"/>
    </row>
    <row r="25" customFormat="false" ht="15" hidden="false" customHeight="true" outlineLevel="0" collapsed="false">
      <c r="B25" s="9" t="s">
        <v>86</v>
      </c>
      <c r="C25" s="9"/>
      <c r="D25" s="9"/>
      <c r="E25" s="9"/>
      <c r="F25" s="9"/>
      <c r="G25" s="9"/>
    </row>
    <row r="26" customFormat="false" ht="43.5" hidden="false" customHeight="true" outlineLevel="0" collapsed="false">
      <c r="B26" s="10" t="s">
        <v>87</v>
      </c>
      <c r="C26" s="17"/>
      <c r="D26" s="18" t="s">
        <v>50</v>
      </c>
      <c r="G26" s="12" t="str">
        <f aca="false">IF(C26="","Skriv svaret i den gule cellen.",IF(C26=(ROUND(3335640*1.2,0)),"Riktig.",IF(ABS(C26-(ROUND(3335640*0.2,0)))&lt;=0,"Det er økningen alene. Hovedmålet er hele omsetningen: fjoråret × 1,20.",IF(ABS(C26-(ROUND(3335640*1.02,0)))&lt;=0,"Du har regnet 2 %. 20 % er 0,20, så faktoren er 1,20.","Ikke riktig ennå. Se på regnestykket øverst på fanen, og sjekk at du har med alle leddene."))))</f>
        <v>Skriv svaret i den gule cellen.</v>
      </c>
    </row>
    <row r="27" customFormat="false" ht="43.5" hidden="false" customHeight="true" outlineLevel="0" collapsed="false">
      <c r="B27" s="10" t="s">
        <v>88</v>
      </c>
      <c r="C27" s="17"/>
      <c r="D27" s="18" t="s">
        <v>50</v>
      </c>
      <c r="G27" s="12" t="str">
        <f aca="false">IF(C27="","Skriv svaret i den gule cellen.",IF(C27=(42*51360+215*8830),"Riktig.",IF(ABS(C27-(42*51360))&lt;=0,"Det er bare solcelleanleggene. Legg til ladepunktene: 215 × 8 830.",IF(ABS(C27-(215*8830))&lt;=0,"Det er bare ladepunktene. Legg til anleggene: 42 × 51 360.",IF(ABS(C27-(3335640))&lt;=0,"Det er fjorårets tall. Bruk målene: 42 og 215.","Ikke riktig ennå. Se på regnestykket øverst på fanen, og sjekk at du har med alle leddene.")))))</f>
        <v>Skriv svaret i den gule cellen.</v>
      </c>
    </row>
    <row r="28" customFormat="false" ht="43.5" hidden="false" customHeight="true" outlineLevel="0" collapsed="false">
      <c r="B28" s="10" t="s">
        <v>89</v>
      </c>
      <c r="C28" s="17"/>
      <c r="D28" s="18" t="s">
        <v>50</v>
      </c>
      <c r="G28" s="12" t="str">
        <f aca="false">IF(C28="","Skriv svaret i den gule cellen.",IF(C28=((42*51360+215*8830)-ROUND(3335640*1.2,0)),"Riktig.",IF(ABS(C28-(ROUND(3335640*1.2,0)-(42*51360+215*8830)))&lt;=0,"Du har snudd regnestykket. Marginen er delmålene minus hovedmålet; her er den positiv, så delmålene bærer.",IF(ABS(C28-((42*51360+215*8830)-3335640))&lt;=0,"Du har trukket fra fjorårets omsetning, ikke hovedmålet. Hovedmålet er fjoråret × 1,20.","Ikke riktig ennå. Se på regnestykket øverst på fanen, og sjekk at du har med alle leddene."))))</f>
        <v>Skriv svaret i den gule cellen.</v>
      </c>
    </row>
    <row r="29" customFormat="false" ht="43.5" hidden="false" customHeight="true" outlineLevel="0" collapsed="false">
      <c r="B29" s="10" t="s">
        <v>90</v>
      </c>
      <c r="C29" s="25"/>
      <c r="D29" s="18" t="s">
        <v>91</v>
      </c>
      <c r="G29" s="12" t="str">
        <f aca="false">IF(C29="","Skriv svaret i den gule cellen.",IF(ABS(C29-(ROUND((42*51360+215*8830)/3335640*100-100,1)))&lt;=0.05,"Riktig.",IF(ABS(C29-(20))&lt;=0.05,"Det er hovedmålet. Her spør vi hva delmålene faktisk gir: 4 055 570 / 3 335 640.",IF(ABS(C29-(ROUND((42*51360+215*8830)/3335640*100-120,1)))&lt;=0.05,"Du har trukket fra 20 i stedet for 100. Veksten er delmålene delt på fjoråret, minus 1, ganger 100.","Ikke riktig ennå. Se på regnestykket øverst på fanen, og sjekk at du har med alle leddene."))))</f>
        <v>Skriv svaret i den gule cellen.</v>
      </c>
    </row>
    <row r="31" customFormat="false" ht="15" hidden="false" customHeight="true" outlineLevel="0" collapsed="false">
      <c r="B31" s="9" t="s">
        <v>92</v>
      </c>
      <c r="C31" s="9"/>
      <c r="D31" s="9"/>
      <c r="E31" s="9"/>
      <c r="F31" s="9"/>
      <c r="G31" s="9"/>
    </row>
    <row r="32" customFormat="false" ht="43.5" hidden="false" customHeight="true" outlineLevel="0" collapsed="false">
      <c r="B32" s="10" t="s">
        <v>93</v>
      </c>
      <c r="C32" s="17"/>
      <c r="D32" s="18" t="s">
        <v>94</v>
      </c>
      <c r="G32" s="12" t="str">
        <f aca="false">IF(C32="","Skriv svaret i den gule cellen.",IF(C32=(34*14+180*2),"Riktig.",IF(ABS(C32-(34*14))&lt;=0,"Det er bare anleggene. Legg til ladepunktene: 180 × 2.",IF(ABS(C32-(34+180))&lt;=0,"Du har lagt sammen antall jobber, ikke timer. Gang med timene per jobb først.","Ikke riktig ennå. Se på regnestykket øverst på fanen, og sjekk at du har med alle leddene."))))</f>
        <v>Skriv svaret i den gule cellen.</v>
      </c>
    </row>
    <row r="33" customFormat="false" ht="43.5" hidden="false" customHeight="true" outlineLevel="0" collapsed="false">
      <c r="B33" s="10" t="s">
        <v>95</v>
      </c>
      <c r="C33" s="17"/>
      <c r="D33" s="18" t="s">
        <v>94</v>
      </c>
      <c r="G33" s="12" t="str">
        <f aca="false">IF(C33="","Skriv svaret i den gule cellen.",IF(C33=(42*14+215*2),"Riktig.",IF(ABS(C33-(42*14))&lt;=0,"Det er bare anleggene. Legg til ladepunktene: 215 × 2.",IF(ABS(C33-(42+215))&lt;=0,"Du har lagt sammen antall jobber, ikke timer.","Ikke riktig ennå. Se på regnestykket øverst på fanen, og sjekk at du har med alle leddene."))))</f>
        <v>Skriv svaret i den gule cellen.</v>
      </c>
    </row>
    <row r="34" customFormat="false" ht="43.5" hidden="false" customHeight="true" outlineLevel="0" collapsed="false">
      <c r="B34" s="10" t="s">
        <v>96</v>
      </c>
      <c r="C34" s="17"/>
      <c r="D34" s="18" t="s">
        <v>94</v>
      </c>
      <c r="G34" s="12" t="str">
        <f aca="false">IF(C34="","Skriv svaret i den gule cellen.",IF(C34=((42*14+215*2)-(34*14+180*2)),"Riktig.",IF(ABS(C34-(42*14+215*2))&lt;=0,"Det er alle timene ved målet. Spørsmålet er hvor mange flere enn i fjor: trekk fra fjorårets timer.","Ikke riktig ennå. Se på regnestykket øverst på fanen, og sjekk at du har med alle leddene.")))</f>
        <v>Skriv svaret i den gule cellen.</v>
      </c>
    </row>
    <row r="35" customFormat="false" ht="43.5" hidden="false" customHeight="true" outlineLevel="0" collapsed="false">
      <c r="B35" s="10" t="s">
        <v>97</v>
      </c>
      <c r="C35" s="25"/>
      <c r="D35" s="18" t="s">
        <v>91</v>
      </c>
      <c r="G35" s="12" t="str">
        <f aca="false">IF(C35="","Skriv svaret i den gule cellen.",IF(ABS(C35-(ROUND(((42*14+215*2)-(34*14+180*2))/14400*100,1)))&lt;=0.05,"Riktig.",IF(ABS(C35-(ROUND((42*14+215*2)/14400*100,1)))&lt;=0.05,"Du har delt alle timene ved målet på 14 400. Det er de ekstra timene (g) som skal deles.",IF(ABS(C35-(ROUND(((42*14+215*2)-(34*14+180*2))/(34*14+180*2)*100,1)))&lt;=0.05,"Du har delt på fjorårets timer i avdelingen. Kapasiteten er hele Nordlys: 14 400 timer.","Ikke riktig ennå. Se på regnestykket øverst på fanen, og sjekk at du har med alle leddene."))))</f>
        <v>Skriv svaret i den gule cellen.</v>
      </c>
    </row>
    <row r="37" customFormat="false" ht="15" hidden="false" customHeight="true" outlineLevel="0" collapsed="false">
      <c r="B37" s="9" t="s">
        <v>98</v>
      </c>
      <c r="C37" s="9"/>
      <c r="D37" s="9"/>
      <c r="E37" s="9"/>
      <c r="F37" s="9"/>
      <c r="G37" s="9"/>
    </row>
    <row r="38" customFormat="false" ht="91.5" hidden="false" customHeight="true" outlineLevel="0" collapsed="false">
      <c r="B38" s="10" t="s">
        <v>99</v>
      </c>
      <c r="C38" s="11"/>
      <c r="G38" s="12" t="str">
        <f aca="false">IF(C38="","Velg i nedtrekksmenyen.",IF(C38="Nei. Markedet falt 70 %","Riktig. Realistisk betyr både kapasitet og marked (3.4). Timene holder, 182 timer er 1,3 % av 14 400. Men +23,5 % anlegg i et marked som falt 70 %, krever at Nordlys tar kunder fra konkurrenter som permitterer. Det er markedet som stopper målet, ikke montørene.","Ikke riktig. Realistisk betyr både kapasitet og marked (3.4). Timene holder, 182 timer er 1,3 % av 14 400. Men +23,5 % anlegg i et marked som falt 70 %, krever at Nordlys tar kunder fra konkurrenter som permitterer. Det er markedet som stopper målet, ikke montørene."))</f>
        <v>Velg i nedtrekksmenyen.</v>
      </c>
    </row>
    <row r="40" customFormat="false" ht="15" hidden="false" customHeight="true" outlineLevel="0" collapsed="false">
      <c r="B40" s="9" t="s">
        <v>100</v>
      </c>
      <c r="C40" s="9"/>
      <c r="D40" s="9"/>
      <c r="E40" s="9"/>
      <c r="F40" s="9"/>
      <c r="G40" s="9"/>
    </row>
    <row r="41" customFormat="false" ht="43.5" hidden="false" customHeight="true" outlineLevel="0" collapsed="false">
      <c r="B41" s="10" t="s">
        <v>101</v>
      </c>
      <c r="C41" s="19"/>
      <c r="D41" s="18" t="s">
        <v>58</v>
      </c>
      <c r="G41" s="12" t="str">
        <f aca="false">IF(C41="","Skriv svaret i den gule cellen.",IF(C41=(279),"Riktig.",IF(ABS(C41-(278))&lt;=0,"Du har rundet ned. 30 × 51 360 + 278 × 8 830 = 3 995 540 kr, og det når ikke opp til hovedmålet på 4 002 768. Rund opp.",IF(ABS(C41-(256))&lt;=0,"Du har beholdt 34 anlegg. Idas miks har 30 anlegg, så ladepunktene må dekke mer.",IF(ABS(C41-(215))&lt;=0,"Det er det gamle delmålet. Med 30 anlegg må ladepunktene dekke resten av hovedmålet: regn (4 002 768 − 30 × 51 360) / 8 830.",IF(ABS(C41-(30))&lt;=0,"Det er antall anlegg. Spørsmålet er antall ladepunkt.","Ikke riktig ennå. Se på regnestykket øverst på fanen, og sjekk at du har med alle leddene."))))))</f>
        <v>Skriv svaret i den gule cellen.</v>
      </c>
    </row>
    <row r="42" customFormat="false" ht="43.5" hidden="false" customHeight="true" outlineLevel="0" collapsed="false">
      <c r="B42" s="10" t="s">
        <v>102</v>
      </c>
      <c r="C42" s="17"/>
      <c r="D42" s="18" t="s">
        <v>94</v>
      </c>
      <c r="G42" s="12" t="str">
        <f aca="false">IF(C42="","Skriv svaret i den gule cellen.",IF(C42=((30*14+279*2)-(34*14+180*2)),"Riktig.",IF(ABS(C42-(30*14+279*2))&lt;=0,"Det er alle timene med den nye miksen. Trekk fra fjorårets 836 timer.",IF(ABS(C42-(279*2-180*2))&lt;=0,"Du har bare regnet ladepunktene. Anleggene går ned fra 34 til 30, og det sparer timer.","Ikke riktig ennå. Se på regnestykket øverst på fanen, og sjekk at du har med alle leddene."))))</f>
        <v>Skriv svaret i den gule cellen.</v>
      </c>
    </row>
    <row r="44" customFormat="false" ht="30" hidden="false" customHeight="true" outlineLevel="0" collapsed="false">
      <c r="B44" s="8" t="s">
        <v>103</v>
      </c>
      <c r="C44" s="8"/>
      <c r="D44" s="8"/>
      <c r="E44" s="8"/>
      <c r="F44" s="8"/>
      <c r="G44" s="8"/>
    </row>
    <row r="45" customFormat="false" ht="21.75" hidden="false" customHeight="true" outlineLevel="0" collapsed="false">
      <c r="B45" s="13"/>
      <c r="C45" s="13"/>
      <c r="D45" s="13"/>
      <c r="E45" s="13"/>
      <c r="F45" s="13"/>
      <c r="G45" s="13"/>
    </row>
    <row r="46" customFormat="false" ht="21.75" hidden="false" customHeight="true" outlineLevel="0" collapsed="false">
      <c r="B46" s="13"/>
      <c r="C46" s="13"/>
      <c r="D46" s="13"/>
      <c r="E46" s="13"/>
      <c r="F46" s="13"/>
      <c r="G46" s="13"/>
    </row>
    <row r="47" customFormat="false" ht="21.75" hidden="false" customHeight="true" outlineLevel="0" collapsed="false">
      <c r="B47" s="13"/>
      <c r="C47" s="13"/>
      <c r="D47" s="13"/>
      <c r="E47" s="13"/>
      <c r="F47" s="13"/>
      <c r="G47" s="13"/>
    </row>
    <row r="48" customFormat="false" ht="39.75" hidden="false" customHeight="true" outlineLevel="0" collapsed="false">
      <c r="B48" s="14" t="str">
        <f aca="false">IF(LEN(B45)&lt;40,"",IF(AND(ISNUMBER(SEARCH("ladepunkt",B45)),ISNUMBER(SEARCH("70",B45))),"Bra: du bruker tallet om solmarkedet og vurderer ladepunktene. Sjekk at du også sier hvem som eier målet og når det følges opp.",IF(OR(ISNUMBER(SEARCH("ladepunkt",B45)),ISNUMBER(SEARCH("70",B45))),"Du er på sporet. Bruk tallene: solmarkedet falt 70 %, og 279 ladepunkt mot 180 er +55 % i et marked der nesten alle nye biler er elbiler. Si hvem som eier målet.","Tips: 279 ladepunkt mot 180 er +55 %, i et marked der rundt 95 % av nye biler er elbiler og borettslagene ikke har løst ladingen. Det er mer realistisk enn 42 anlegg i et solmarked som falt 70 %, men ambisiøst. Kari eier hovedmålet, Ida følger opp hver måned, og målet revideres i juni hvis markedet ikke følger med.")))</f>
        <v/>
      </c>
      <c r="C48" s="14"/>
      <c r="D48" s="14"/>
      <c r="E48" s="14"/>
      <c r="F48" s="14"/>
      <c r="G48" s="14"/>
    </row>
    <row r="49" customFormat="false" ht="15" hidden="false" customHeight="false" outlineLevel="0" collapsed="false">
      <c r="B49" s="15" t="s">
        <v>36</v>
      </c>
      <c r="C49" s="11"/>
    </row>
    <row r="50" customFormat="false" ht="60" hidden="false" customHeight="true" outlineLevel="0" collapsed="false">
      <c r="B50" s="16" t="str">
        <f aca="false">IF(C49="JA","Hint: Hovedmålet: 3 335 640 × 1,20. Delmålene: 42 × 51 360 + 215 × 8 830. Bærer delmålene, er summen minst like stor som hovedmålet. Timer: i fjor 34 × 14 + 180 × 2; ved målet 42 × 14 + 215 × 2; forskjellen delt på 14 400. Ny miks: 30 × 51 360 er anleggene; resten av hovedmålet delt på 8 830 er ladepunktene, rundet opp. Timer: 30 × 14 + 279 × 2.","")</f>
        <v/>
      </c>
      <c r="C50" s="16"/>
      <c r="D50" s="16"/>
      <c r="E50" s="16"/>
      <c r="F50" s="16"/>
      <c r="G50" s="16"/>
    </row>
    <row r="52" customFormat="false" ht="30" hidden="false" customHeight="true" outlineLevel="0" collapsed="false">
      <c r="B52" s="6" t="s">
        <v>37</v>
      </c>
      <c r="C52" s="6"/>
      <c r="D52" s="6"/>
      <c r="E52" s="6"/>
      <c r="F52" s="6"/>
      <c r="G52" s="6"/>
    </row>
  </sheetData>
  <mergeCells count="19">
    <mergeCell ref="B2:G2"/>
    <mergeCell ref="B3:G3"/>
    <mergeCell ref="B4:G4"/>
    <mergeCell ref="B5:G5"/>
    <mergeCell ref="B6:G6"/>
    <mergeCell ref="B7:G7"/>
    <mergeCell ref="B9:G9"/>
    <mergeCell ref="B10:G10"/>
    <mergeCell ref="B22:G22"/>
    <mergeCell ref="B23:G23"/>
    <mergeCell ref="B25:G25"/>
    <mergeCell ref="B31:G31"/>
    <mergeCell ref="B37:G37"/>
    <mergeCell ref="B40:G40"/>
    <mergeCell ref="B44:G44"/>
    <mergeCell ref="B45:G47"/>
    <mergeCell ref="B48:G48"/>
    <mergeCell ref="B50:G50"/>
    <mergeCell ref="B52:G52"/>
  </mergeCells>
  <conditionalFormatting sqref="G26">
    <cfRule type="expression" priority="2" aboveAverage="0" equalAverage="0" bottom="0" percent="0" rank="0" text="" dxfId="0">
      <formula>LEFT(G26,6)="Riktig"</formula>
    </cfRule>
    <cfRule type="expression" priority="3" aboveAverage="0" equalAverage="0" bottom="0" percent="0" rank="0" text="" dxfId="1">
      <formula>AND(G26&lt;&gt;"",LEFT(G26,6)&lt;&gt;"Riktig",LEFT(G26,5)&lt;&gt;"Skriv")</formula>
    </cfRule>
  </conditionalFormatting>
  <conditionalFormatting sqref="G27">
    <cfRule type="expression" priority="4" aboveAverage="0" equalAverage="0" bottom="0" percent="0" rank="0" text="" dxfId="0">
      <formula>LEFT(G27,6)="Riktig"</formula>
    </cfRule>
    <cfRule type="expression" priority="5" aboveAverage="0" equalAverage="0" bottom="0" percent="0" rank="0" text="" dxfId="1">
      <formula>AND(G27&lt;&gt;"",LEFT(G27,6)&lt;&gt;"Riktig",LEFT(G27,5)&lt;&gt;"Skriv")</formula>
    </cfRule>
  </conditionalFormatting>
  <conditionalFormatting sqref="G28">
    <cfRule type="expression" priority="6" aboveAverage="0" equalAverage="0" bottom="0" percent="0" rank="0" text="" dxfId="0">
      <formula>LEFT(G28,6)="Riktig"</formula>
    </cfRule>
    <cfRule type="expression" priority="7" aboveAverage="0" equalAverage="0" bottom="0" percent="0" rank="0" text="" dxfId="1">
      <formula>AND(G28&lt;&gt;"",LEFT(G28,6)&lt;&gt;"Riktig",LEFT(G28,5)&lt;&gt;"Skriv")</formula>
    </cfRule>
  </conditionalFormatting>
  <conditionalFormatting sqref="G29">
    <cfRule type="expression" priority="8" aboveAverage="0" equalAverage="0" bottom="0" percent="0" rank="0" text="" dxfId="0">
      <formula>LEFT(G29,6)="Riktig"</formula>
    </cfRule>
    <cfRule type="expression" priority="9" aboveAverage="0" equalAverage="0" bottom="0" percent="0" rank="0" text="" dxfId="1">
      <formula>AND(G29&lt;&gt;"",LEFT(G29,6)&lt;&gt;"Riktig",LEFT(G29,5)&lt;&gt;"Skriv")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conditionalFormatting sqref="G33">
    <cfRule type="expression" priority="12" aboveAverage="0" equalAverage="0" bottom="0" percent="0" rank="0" text="" dxfId="0">
      <formula>LEFT(G33,6)="Riktig"</formula>
    </cfRule>
    <cfRule type="expression" priority="13" aboveAverage="0" equalAverage="0" bottom="0" percent="0" rank="0" text="" dxfId="1">
      <formula>AND(G33&lt;&gt;"",LEFT(G33,6)&lt;&gt;"Riktig",LEFT(G33,5)&lt;&gt;"Skriv")</formula>
    </cfRule>
  </conditionalFormatting>
  <conditionalFormatting sqref="G34">
    <cfRule type="expression" priority="14" aboveAverage="0" equalAverage="0" bottom="0" percent="0" rank="0" text="" dxfId="0">
      <formula>LEFT(G34,6)="Riktig"</formula>
    </cfRule>
    <cfRule type="expression" priority="15" aboveAverage="0" equalAverage="0" bottom="0" percent="0" rank="0" text="" dxfId="1">
      <formula>AND(G34&lt;&gt;"",LEFT(G34,6)&lt;&gt;"Riktig",LEFT(G34,5)&lt;&gt;"Skriv")</formula>
    </cfRule>
  </conditionalFormatting>
  <conditionalFormatting sqref="G35">
    <cfRule type="expression" priority="16" aboveAverage="0" equalAverage="0" bottom="0" percent="0" rank="0" text="" dxfId="0">
      <formula>LEFT(G35,6)="Riktig"</formula>
    </cfRule>
    <cfRule type="expression" priority="17" aboveAverage="0" equalAverage="0" bottom="0" percent="0" rank="0" text="" dxfId="1">
      <formula>AND(G35&lt;&gt;"",LEFT(G35,6)&lt;&gt;"Riktig",LEFT(G35,5)&lt;&gt;"Skriv")</formula>
    </cfRule>
  </conditionalFormatting>
  <conditionalFormatting sqref="G38">
    <cfRule type="expression" priority="18" aboveAverage="0" equalAverage="0" bottom="0" percent="0" rank="0" text="" dxfId="0">
      <formula>LEFT(G38,6)="Riktig"</formula>
    </cfRule>
    <cfRule type="expression" priority="19" aboveAverage="0" equalAverage="0" bottom="0" percent="0" rank="0" text="" dxfId="1">
      <formula>LEFT(G38,4)="Ikke"</formula>
    </cfRule>
  </conditionalFormatting>
  <conditionalFormatting sqref="G41">
    <cfRule type="expression" priority="20" aboveAverage="0" equalAverage="0" bottom="0" percent="0" rank="0" text="" dxfId="0">
      <formula>LEFT(G41,6)="Riktig"</formula>
    </cfRule>
    <cfRule type="expression" priority="21" aboveAverage="0" equalAverage="0" bottom="0" percent="0" rank="0" text="" dxfId="1">
      <formula>AND(G41&lt;&gt;"",LEFT(G41,6)&lt;&gt;"Riktig",LEFT(G41,5)&lt;&gt;"Skriv")</formula>
    </cfRule>
  </conditionalFormatting>
  <conditionalFormatting sqref="G42">
    <cfRule type="expression" priority="22" aboveAverage="0" equalAverage="0" bottom="0" percent="0" rank="0" text="" dxfId="0">
      <formula>LEFT(G42,6)="Riktig"</formula>
    </cfRule>
    <cfRule type="expression" priority="23" aboveAverage="0" equalAverage="0" bottom="0" percent="0" rank="0" text="" dxfId="1">
      <formula>AND(G42&lt;&gt;"",LEFT(G42,6)&lt;&gt;"Riktig",LEFT(G42,5)&lt;&gt;"Skriv")</formula>
    </cfRule>
  </conditionalFormatting>
  <dataValidations count="2">
    <dataValidation allowBlank="true" errorStyle="stop" operator="between" showDropDown="false" showErrorMessage="false" showInputMessage="false" sqref="C38" type="list">
      <formula1>"Ja. Kapasiteten holder,Nei. Markedet falt 70 %,Nei. Nordlys mangler montører"</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104</v>
      </c>
    </row>
    <row r="3" customFormat="false" ht="30" hidden="false" customHeight="true" outlineLevel="0" collapsed="false">
      <c r="B3" s="6" t="s">
        <v>105</v>
      </c>
      <c r="C3" s="6"/>
      <c r="D3" s="6"/>
    </row>
    <row r="5" customFormat="false" ht="15" hidden="false" customHeight="false" outlineLevel="0" collapsed="false">
      <c r="B5" s="27" t="s">
        <v>106</v>
      </c>
      <c r="C5" s="27" t="s">
        <v>107</v>
      </c>
      <c r="D5" s="27" t="s">
        <v>108</v>
      </c>
    </row>
    <row r="6" customFormat="false" ht="60" hidden="false" customHeight="true" outlineLevel="0" collapsed="false">
      <c r="B6" s="28" t="s">
        <v>109</v>
      </c>
      <c r="C6" s="24"/>
      <c r="D6" s="28" t="s">
        <v>110</v>
      </c>
    </row>
    <row r="7" customFormat="false" ht="45" hidden="false" customHeight="true" outlineLevel="0" collapsed="false">
      <c r="B7" s="28" t="s">
        <v>111</v>
      </c>
      <c r="C7" s="24"/>
      <c r="D7" s="28" t="s">
        <v>112</v>
      </c>
    </row>
    <row r="8" customFormat="false" ht="30" hidden="false" customHeight="true" outlineLevel="0" collapsed="false">
      <c r="B8" s="28" t="s">
        <v>113</v>
      </c>
      <c r="C8" s="24"/>
      <c r="D8" s="28" t="s">
        <v>114</v>
      </c>
    </row>
    <row r="9" customFormat="false" ht="30" hidden="false" customHeight="true" outlineLevel="0" collapsed="false">
      <c r="B9" s="28" t="s">
        <v>115</v>
      </c>
      <c r="C9" s="24" t="n">
        <v>4002768</v>
      </c>
      <c r="D9" s="28" t="s">
        <v>116</v>
      </c>
    </row>
    <row r="10" customFormat="false" ht="30" hidden="false" customHeight="true" outlineLevel="0" collapsed="false">
      <c r="B10" s="28" t="s">
        <v>117</v>
      </c>
      <c r="C10" s="24"/>
      <c r="D10" s="28" t="s">
        <v>118</v>
      </c>
    </row>
    <row r="11" customFormat="false" ht="30" hidden="false" customHeight="true" outlineLevel="0" collapsed="false">
      <c r="B11" s="28" t="s">
        <v>119</v>
      </c>
      <c r="C11" s="24"/>
      <c r="D11" s="28" t="s">
        <v>120</v>
      </c>
    </row>
    <row r="12" customFormat="false" ht="30" hidden="false" customHeight="true" outlineLevel="0" collapsed="false">
      <c r="B12" s="28" t="s">
        <v>121</v>
      </c>
      <c r="C12" s="24"/>
      <c r="D12" s="28" t="s">
        <v>122</v>
      </c>
    </row>
    <row r="13" customFormat="false" ht="30" hidden="false" customHeight="true" outlineLevel="0" collapsed="false">
      <c r="B13" s="28" t="s">
        <v>123</v>
      </c>
      <c r="C13" s="24" t="n">
        <v>4002768</v>
      </c>
      <c r="D13" s="28" t="s">
        <v>124</v>
      </c>
    </row>
    <row r="14" customFormat="false" ht="30" hidden="false" customHeight="true" outlineLevel="0" collapsed="false">
      <c r="B14" s="28" t="s">
        <v>125</v>
      </c>
      <c r="C14" s="24" t="n">
        <v>4055570</v>
      </c>
      <c r="D14" s="28" t="s">
        <v>126</v>
      </c>
    </row>
    <row r="15" customFormat="false" ht="30" hidden="false" customHeight="true" outlineLevel="0" collapsed="false">
      <c r="B15" s="28" t="s">
        <v>127</v>
      </c>
      <c r="C15" s="24" t="n">
        <v>52802</v>
      </c>
      <c r="D15" s="28" t="s">
        <v>128</v>
      </c>
    </row>
    <row r="16" customFormat="false" ht="30" hidden="false" customHeight="true" outlineLevel="0" collapsed="false">
      <c r="B16" s="28" t="s">
        <v>129</v>
      </c>
      <c r="C16" s="24" t="n">
        <v>21.6</v>
      </c>
      <c r="D16" s="28" t="s">
        <v>130</v>
      </c>
    </row>
    <row r="17" customFormat="false" ht="30" hidden="false" customHeight="true" outlineLevel="0" collapsed="false">
      <c r="B17" s="28" t="s">
        <v>131</v>
      </c>
      <c r="C17" s="24" t="n">
        <v>836</v>
      </c>
      <c r="D17" s="28" t="s">
        <v>132</v>
      </c>
    </row>
    <row r="18" customFormat="false" ht="30" hidden="false" customHeight="true" outlineLevel="0" collapsed="false">
      <c r="B18" s="28" t="s">
        <v>133</v>
      </c>
      <c r="C18" s="24" t="n">
        <v>1018</v>
      </c>
      <c r="D18" s="28" t="s">
        <v>134</v>
      </c>
    </row>
    <row r="19" customFormat="false" ht="30" hidden="false" customHeight="true" outlineLevel="0" collapsed="false">
      <c r="B19" s="28" t="s">
        <v>135</v>
      </c>
      <c r="C19" s="24" t="n">
        <v>182</v>
      </c>
      <c r="D19" s="28" t="s">
        <v>136</v>
      </c>
    </row>
    <row r="20" customFormat="false" ht="30" hidden="false" customHeight="true" outlineLevel="0" collapsed="false">
      <c r="B20" s="28" t="s">
        <v>137</v>
      </c>
      <c r="C20" s="24" t="n">
        <v>1.3</v>
      </c>
      <c r="D20" s="28" t="s">
        <v>138</v>
      </c>
    </row>
    <row r="21" customFormat="false" ht="30" hidden="false" customHeight="true" outlineLevel="0" collapsed="false">
      <c r="B21" s="28" t="s">
        <v>139</v>
      </c>
      <c r="C21" s="24"/>
      <c r="D21" s="28" t="s">
        <v>140</v>
      </c>
    </row>
    <row r="22" customFormat="false" ht="30" hidden="false" customHeight="true" outlineLevel="0" collapsed="false">
      <c r="B22" s="28" t="s">
        <v>141</v>
      </c>
      <c r="C22" s="24" t="n">
        <v>279</v>
      </c>
      <c r="D22" s="28" t="s">
        <v>142</v>
      </c>
    </row>
    <row r="23" customFormat="false" ht="30" hidden="false" customHeight="true" outlineLevel="0" collapsed="false">
      <c r="B23" s="28" t="s">
        <v>143</v>
      </c>
      <c r="C23" s="24" t="n">
        <v>142</v>
      </c>
      <c r="D23" s="28" t="s">
        <v>144</v>
      </c>
    </row>
    <row r="24" customFormat="false" ht="75" hidden="false" customHeight="true" outlineLevel="0" collapsed="false">
      <c r="B24" s="28" t="s">
        <v>145</v>
      </c>
      <c r="C24" s="24"/>
      <c r="D24" s="28" t="s">
        <v>146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2026-10-14T09:02:59Z</dcterms:created>
  <dc:creator>openpyxl</dc:creator>
  <dc:description/>
  <dc:language>en-US</dc:language>
  <cp:lastModifiedBy/>
  <dcterms:modified xsi:type="dcterms:W3CDTF">2026-10-14T09:02:59Z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