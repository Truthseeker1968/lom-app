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<sst xmlns="http://schemas.openxmlformats.org/spreadsheetml/2006/main" count="273" uniqueCount="172">
  <si>
    <t xml:space="preserve">Markedsplanen: analyse og mål. Oppgaver til kapittel 3</t>
  </si>
  <si>
    <t xml:space="preserve">Markedsføring, organisasjon og ledelse for LØM-emnet (Hjertnes), kapittel 3. Versjon 6, oktober 2026. Nordlys Elektro AS og Fjell Elektro AS er konstruerte casebedrifter; tallene er faktaarkene og casetallene for solcelle- og ladeavdelingen.</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</si>
  <si>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</si>
  <si>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</si>
  <si>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</si>
  <si>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</si>
  <si>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</si>
  <si>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</si>
  <si>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Tretten utsagn om avdelingen: hvilken rute hører hvert av dem hjemme i?</t>
  </si>
  <si>
    <t xml:space="preserve">1B  Måltabellen: hvilket krav mangler, og hvem eier målet?</t>
  </si>
  <si>
    <t xml:space="preserve">1C  Bærer delmålene hovedmålet, og er de realistiske når solmarkedet har falt om lag 70 %?</t>
  </si>
  <si>
    <t xml:space="preserve">Fasit  Alle svar med regnestykket skrevet ut</t>
  </si>
  <si>
    <t xml:space="preserve">Dette er øvingsmateriell til repetisjons- og øvingsstøtte. I besvarelser, caser, prosjektoppgaver og eksamen gjelder lærebøkene og oppgitte primærkilder.</t>
  </si>
  <si>
    <t xml:space="preserve">Sterk side (internt)</t>
  </si>
  <si>
    <t xml:space="preserve">Oppgave 1A: Tretten utsagn om avdelingen: hvilken rute hører hvert av dem hjemme i?</t>
  </si>
  <si>
    <t xml:space="preserve">Svak side (internt)</t>
  </si>
  <si>
    <t xml:space="preserve">Økt 1 av 3, analysen: forretningsidé og situasjonsanalyse. Alene, i par eller i gruppe, slik du vil.</t>
  </si>
  <si>
    <t xml:space="preserve">Mulighet (eksternt)</t>
  </si>
  <si>
    <t xml:space="preserve">Situasjonen</t>
  </si>
  <si>
    <t xml:space="preserve">Trussel (eksternt)</t>
  </si>
  <si>
    <t xml:space="preserve">Solcelle- og ladeavdelingen i Nordlys Elektro har aldri hatt en markedsplan. Kari (daglig leder) vil at avdelingen skal vokse 20 % i 2027, og Ida (kalkulatør) har satt delmålene 42 solcelleanlegg og 215 ladepunkt, uten at noen har sett på markedet. Før målene kommer situasjonsanalysen. Tretten utsagn om avdelingen ligger hulter til bulter under. Plasser hvert av dem i riktig rute, og svar så på hvilken trussel som treffer delmålet, og hvilken mulighet avdelingen kan flytte vekten mot.</t>
  </si>
  <si>
    <t xml:space="preserve">Begrepene du trenger</t>
  </si>
  <si>
    <t xml:space="preserve">Situasjonsanalysen er en analyse av bedriftens arbeidsbetingelser: forhold i og utenfor bedriften som påvirker mulighetene til å nå målene (3.3). Internanalysen kartlegger sterke og svake sider, det bedriften selv rår over: produktene, kostnadsnivået, kompetansen. Eksternanalysen kartlegger muligheter og trusler i markedet: etterspørsel, konkurranse, tilgang på råvarer og arbeidskraft. Bedriften skal utnytte de sterke sidene best mulig og la de svake hemme minst mulig. De fire rutene kalles i kapittel 10.2 en analyse av sterke sider, svake sider, muligheter og trusler (SOFT); på engelsk SWOT.</t>
  </si>
  <si>
    <t xml:space="preserve">Testen</t>
  </si>
  <si>
    <t xml:space="preserve">Spør for hvert utsagn: rår Nordlys over dette selv? Da er det internt, en sterk eller svak side. Skjer det i markedet, hos konkurrentene eller på arbeidsmarkedet? Da er det eksternt, en mulighet eller en trussel. Boka legger etterspørsel, konkurranse og tilgang på råvarer og arbeidskraft i eksternanalysen, og produktene, kostnadsnivået og kompetansen i internanalysen (3.3).</t>
  </si>
  <si>
    <t xml:space="preserve">Tretten utsagn om solcelle- og ladeavdelingen: hvilken rute hører hvert av dem hjemme i? (velg i nedtrekksmenyen)</t>
  </si>
  <si>
    <t xml:space="preserve">1 Markedet for solkraft på tak falt om lag 70 % i første del av 2026 (NHO Elektro, april 2026)</t>
  </si>
  <si>
    <t xml:space="preserve">2 Avdelingen har 34 solcelleanlegg og 180 ladepunkt fra 2026 som referanser i nærområdet</t>
  </si>
  <si>
    <t xml:space="preserve">3 Egenkapitalandelen er 28,4 %, mot 36,4 % i bransjen</t>
  </si>
  <si>
    <t xml:space="preserve">4 Over 90 % av nye biler i 2025 var elbiler, og hver av dem skal lades et sted</t>
  </si>
  <si>
    <t xml:space="preserve">5 Bransjen mangler fagarbeidere</t>
  </si>
  <si>
    <t xml:space="preserve">6 Nesten alt materiell kommer fra én grossist, Polarlys Elektro Grossist AS</t>
  </si>
  <si>
    <t xml:space="preserve">7 Borettslag og sameier i nedslagsfeltet har ikke løst ladingen</t>
  </si>
  <si>
    <t xml:space="preserve">8 Avdelingen har ingen egen leder; Kari har den ved siden av jobben som daglig leder</t>
  </si>
  <si>
    <t xml:space="preserve">9 Landsdekkende kjeder med standardpakker monterer et anlegg på færre timer enn Nordlys</t>
  </si>
  <si>
    <t xml:space="preserve">10 Montøren som er på taket med solcellene, kan selge ladepunktet i samme besøk</t>
  </si>
  <si>
    <t xml:space="preserve">11 Et solcelleanlegg gir 11 100 kr i dekningsbidrag på 14 montørtimer, 793 kr per time, mot 900 kr for et ladepunkt</t>
  </si>
  <si>
    <t xml:space="preserve">12 Nordlys har vært kjent lokalt siden 2019</t>
  </si>
  <si>
    <t xml:space="preserve">13 En hjemmelader faktureres til 8 000–20 000 kr med mva, og nesten alle nye biler er elbiler</t>
  </si>
  <si>
    <t xml:space="preserve">Hvilken trussel treffer delmålet om 42 solcelleanlegg hardest, og hvilken mulighet kan avdelingen flytte vekten mot? To setninger, med tall.</t>
  </si>
  <si>
    <t xml:space="preserve">Står du fast? Skriv JA i den gule cellen:</t>
  </si>
  <si>
    <t xml:space="preserve">Gule celler fyller du inn. Grønne regnes ut av arket. Sjekken til høyre forteller om svaret stemmer, og hva du bør se på hvis ikke.</t>
  </si>
  <si>
    <t xml:space="preserve">Realistisk</t>
  </si>
  <si>
    <t xml:space="preserve">Oppgave 1B: Måltabellen: hvilket krav mangler, og hvem eier målet?</t>
  </si>
  <si>
    <t xml:space="preserve">Hierarkisk</t>
  </si>
  <si>
    <t xml:space="preserve">Økt 2 av 3, markedsmålene: de fire kravene og måltabellen. Alene, i par eller i gruppe, slik du vil.</t>
  </si>
  <si>
    <t xml:space="preserve">Tallfestet</t>
  </si>
  <si>
    <t xml:space="preserve">I samsvar</t>
  </si>
  <si>
    <t xml:space="preserve">På ledermøtet kommer fire målformuleringer som hver bryter ett av bokas krav. Så skal måltabellen for avdelingen fylles ut: hovedmålet er minst 20 % vekst fra 3 698 440 kr i 2026, delmålene er 42 solcelleanlegg og 215 ladepunkt. Hvert mål trenger tall, frist og ansvar. Til slutt sorterer du tre setninger fra Kari, og skriver ett mål selv.</t>
  </si>
  <si>
    <t xml:space="preserve">Markedsmål styrer markedsbeslutningene, gir motivasjon og er standarden resultatene vurderes mot. De må være realistiske, hierarkiske, tallfestede og innbyrdes i samsvar (3.4). Bokas eksempel er Byggmester X i Trondheim: hovedmål 1 (omsetning +8 % i 2024), delmål 1.1 (timepris +2 % fra 01.01.24) og 1.1.1 (nye kalkylesatser innen 20.12.23). Hver linje har et tall og en frist. Kolonnen «Ansvar» i måltabellen står ikke i boka.</t>
  </si>
  <si>
    <t xml:space="preserve">Et markedsmål skal være realistisk (bedriften har kapasitet og marked for det), hierarkisk (ett hovedmål med delmål under), tallfestet (et tall og et tidspunkt) og i samsvar med de andre målene (delmålene bærer hovedmålet) (3.4). I måltabellen får hvert mål i tillegg en ansvarlig: det står ikke i bokas eksempel, men et mål uten en som følger det opp, blir sjelden fulgt opp.</t>
  </si>
  <si>
    <t xml:space="preserve">Fire målformuleringer fra ledermøtet. Hvilket av bokas fire krav mangler? (velg i nedtrekksmenyen)</t>
  </si>
  <si>
    <t xml:space="preserve">«Vi skal bli best på lading i Oslo øst.»</t>
  </si>
  <si>
    <t xml:space="preserve">«Omsetningen på solcelleanlegg skal dobles i 2027.» Markedet for solkraft på tak falt om lag 70 % i første del av 2026.</t>
  </si>
  <si>
    <t xml:space="preserve">«Omsetningen skal øke 20 %.» Delmålene som er satt, gir til sammen 12 % vekst.</t>
  </si>
  <si>
    <t xml:space="preserve">Fem mål står side om side på ett ark, uten et hovedmål over dem.</t>
  </si>
  <si>
    <t xml:space="preserve">31.12.2027</t>
  </si>
  <si>
    <t xml:space="preserve">Måltabellen for solcelle- og ladeavdelingen 2027</t>
  </si>
  <si>
    <t xml:space="preserve">Så snart som mulig</t>
  </si>
  <si>
    <t xml:space="preserve">Omsetningen i 2026 var 34 solcelleanlegg × 58 060 kr + 180 ladepunkt × 9 580 kr = 3 698 440 kr. Kari vil ha minst 20 % vekst. Ida har satt delmålene 42 anlegg og 215 ladepunkt. Fyll ut tall, frist og ansvar for hvert mål.</t>
  </si>
  <si>
    <t xml:space="preserve">Når markedet tar seg opp</t>
  </si>
  <si>
    <t xml:space="preserve">1 Hovedmålet: omsetningen i avdelingen i 2027, kroner (3 698 440 × 1,20)</t>
  </si>
  <si>
    <t xml:space="preserve">kr</t>
  </si>
  <si>
    <t xml:space="preserve">30.06.2027</t>
  </si>
  <si>
    <t xml:space="preserve">1 Hovedmålet: frist</t>
  </si>
  <si>
    <t xml:space="preserve">Kari Nordlund (daglig leder)</t>
  </si>
  <si>
    <t xml:space="preserve">1 Hovedmålet: ansvar</t>
  </si>
  <si>
    <t xml:space="preserve">Ida Haugen (kalkulatør)</t>
  </si>
  <si>
    <t xml:space="preserve">1.1 Delmål: solcelleanlegg montert i 2027, antall</t>
  </si>
  <si>
    <t xml:space="preserve">anlegg</t>
  </si>
  <si>
    <t xml:space="preserve">Tom Berg (driftsleder)</t>
  </si>
  <si>
    <t xml:space="preserve">1.1 Delmål solcelleanlegg: frist</t>
  </si>
  <si>
    <t xml:space="preserve">Ronny Fjeld (formann)</t>
  </si>
  <si>
    <t xml:space="preserve">1.1 Delmål solcelleanlegg: ansvar</t>
  </si>
  <si>
    <t xml:space="preserve">Alle i avdelingen</t>
  </si>
  <si>
    <t xml:space="preserve">1.2 Delmål: ladepunkt montert i 2027, antall</t>
  </si>
  <si>
    <t xml:space="preserve">ladepunkt</t>
  </si>
  <si>
    <t xml:space="preserve">1.2 Delmål ladepunkt: frist</t>
  </si>
  <si>
    <t xml:space="preserve">1.2 Delmål ladepunkt: ansvar</t>
  </si>
  <si>
    <t xml:space="preserve">Tre setninger fra Kari: hvilken er et markedsmål, hvilken et ønske, og hvilken en strategi? (velg i nedtrekksmenyen)</t>
  </si>
  <si>
    <t xml:space="preserve">«Vi skal bli den foretrukne leverandøren av solceller i bydelen.»</t>
  </si>
  <si>
    <t xml:space="preserve">«Vi skal selge 42 solcelleanlegg i 2027, mot 34 i 2026. Tom følger opp hver måned.»</t>
  </si>
  <si>
    <t xml:space="preserve">«Vi skal satse mer på borettslag, for der ligger pengene.»</t>
  </si>
  <si>
    <t xml:space="preserve">Skriv ett markedsmål for ladepunkt i borettslag, slik det kan stå i måltabellen: med tall, frist i 2027 og navnet på den som eier det.</t>
  </si>
  <si>
    <t xml:space="preserve">Markedsmål</t>
  </si>
  <si>
    <t xml:space="preserve">Ønske uten tall</t>
  </si>
  <si>
    <t xml:space="preserve">Strategi eller tiltak</t>
  </si>
  <si>
    <t xml:space="preserve">Ja. Kapasiteten holder</t>
  </si>
  <si>
    <t xml:space="preserve">Oppgave 1C: Bærer delmålene hovedmålet, og er de realistiske når solmarkedet har falt om lag 70 %?</t>
  </si>
  <si>
    <t xml:space="preserve">Nei. Markedet falt 70 %</t>
  </si>
  <si>
    <t xml:space="preserve">Økt 3 av 3, strategien: samsvar og realisme med tall. Alene, i par eller i gruppe, slik du vil.</t>
  </si>
  <si>
    <t xml:space="preserve">Nei. Nordlys mangler montører</t>
  </si>
  <si>
    <t xml:space="preserve">Avdelingen monterte 34 solcelleanlegg à 58 060 kr og 180 ladepunkt à 9 580 kr i 2026, til sammen 3 698 440 kr. Kari vil ha minst 20 % vekst i 2027. Ida har satt delmålene 42 anlegg og 215 ladepunkt, med samme priser. Et anlegg tar 14 montørtimer og et ladepunkt 2. Nordlys fakturerer 14 400 montørtimer i året (12 montører × 1 200); prosjekt og nybygg har full kalender, mens serviceavdelingen har ledige timer (210 av 400 oppdrag). Markedet for solkraft på tak falt om lag 70 % i første del av 2026 (NHO Elektro, bransjeforeningen for elektrobedriftene i Næringslivets Hovedorganisasjon, april 2026). Kontroller at målene er i samsvar og realistiske, og regn på Idas nye miks.</t>
  </si>
  <si>
    <t xml:space="preserve">To av bokas fire krav kan kontrolleres med tall (3.4). I samsvar: regn hovedmålet om til kroner (fjoråret × (1 + veksten)) og delmålene om til kroner (antall × pris, summert); delmålene skal være minst like store. Realistisk: regn timene delmålene krever og sammenlikn med kapasiteten, og se på markedet: vokser det, eller må bedriften ta kunder fra konkurrentene? Begge deler må holde.</t>
  </si>
  <si>
    <t xml:space="preserve">Tallene</t>
  </si>
  <si>
    <t xml:space="preserve">Antall og priser er avdelingens casetall; timer per jobb og de 14 400 fakturerbare timene er faktaarkets. Hvite celler er gitt; den grønne regnes ut av arket.</t>
  </si>
  <si>
    <t xml:space="preserve">Post</t>
  </si>
  <si>
    <t xml:space="preserve">2026 (i fjor)</t>
  </si>
  <si>
    <t xml:space="preserve">Mål 2027</t>
  </si>
  <si>
    <t xml:space="preserve">Solcelleanlegg, antall</t>
  </si>
  <si>
    <t xml:space="preserve">Pris per anlegg, kr uten merverdiavgift</t>
  </si>
  <si>
    <t xml:space="preserve">Ladepunkt, antall</t>
  </si>
  <si>
    <t xml:space="preserve">Pris per ladepunkt, kr uten merverdiavgift</t>
  </si>
  <si>
    <t xml:space="preserve">Montørtimer per anlegg</t>
  </si>
  <si>
    <t xml:space="preserve">Montørtimer per ladepunkt</t>
  </si>
  <si>
    <t xml:space="preserve">Omsetning, kr</t>
  </si>
  <si>
    <t xml:space="preserve">Hovedmål: vekst i omsetning</t>
  </si>
  <si>
    <t xml:space="preserve">minst 20 %</t>
  </si>
  <si>
    <t xml:space="preserve">Montørtimer Nordlys fakturerer i året (allerede i bruk)</t>
  </si>
  <si>
    <t xml:space="preserve">Oppgaven, trinn for trinn</t>
  </si>
  <si>
    <t xml:space="preserve">1. Regn hovedmålet i kroner (a) og delmålene i kroner (b). Sammenlikn: marginen (c) og veksten delmålene gir (d).
2. Regn montørtimene i fjor (e) og ved målet (f), hvor mange flere det er (g), og hvor mye det er i prosent av de 14 400 timene Nordlys fakturerer (h).
3. Velg om delmålet om 42 anlegg er realistisk når markedet for solkraft på tak falt om lag 70 % i første del av 2026 (i).
4. Ida foreslår en ny miks: 30 anlegg, og resten av hovedmålet i ladepunkt. Regn hvor mange ladepunkt som trengs (j) og hvor mange flere timer miksen krever enn i fjor (k).
5. Skriv svaret til Kari (l).</t>
  </si>
  <si>
    <t xml:space="preserve">Samsvar: bærer delmålene hovedmålet?</t>
  </si>
  <si>
    <t xml:space="preserve">a) Hovedmålet i kroner: omsetningen i fjor × 1,20</t>
  </si>
  <si>
    <t xml:space="preserve">b) Delmålene i kroner: 42 × 58 060 + 215 × 9 580</t>
  </si>
  <si>
    <t xml:space="preserve">c) Marginen: delmålene i kroner minus hovedmålet i kroner</t>
  </si>
  <si>
    <t xml:space="preserve">d) Veksten delmålene gir, i prosent av fjoråret, én desimal (delmålene / i fjor − 1) × 100</t>
  </si>
  <si>
    <t xml:space="preserve">prosent</t>
  </si>
  <si>
    <t xml:space="preserve">Realistisk i timer: har Nordlys kapasiteten?</t>
  </si>
  <si>
    <t xml:space="preserve">e) Montørtimer i fjor: 34 × 14 + 180 × 2</t>
  </si>
  <si>
    <t xml:space="preserve">timer</t>
  </si>
  <si>
    <t xml:space="preserve">f) Montørtimer ved målet: 42 × 14 + 215 × 2</t>
  </si>
  <si>
    <t xml:space="preserve">g) Flere montørtimer ved målet enn i fjor</t>
  </si>
  <si>
    <t xml:space="preserve">h) De ekstra timene i prosent av de 14 400 timene Nordlys fakturerer, én desimal</t>
  </si>
  <si>
    <t xml:space="preserve">Realistisk i markedet</t>
  </si>
  <si>
    <t xml:space="preserve">i) Markedet for solkraft på tak falt om lag 70 % i første del av 2026. Er delmålet om 42 anlegg (+23,5 % fra 34) realistisk? Velg: Ja fordi timene kan skaffes (182 timer er 1,3 % av 14 400). Nei fordi markedet falt 70 % og konkurrentene permitterer. Nei fordi Nordlys mangler montører.</t>
  </si>
  <si>
    <t xml:space="preserve">Idas nye miks: 30 solcelleanlegg, og resten av hovedmålet i ladepunkt</t>
  </si>
  <si>
    <t xml:space="preserve">j) Hvor mange ladepunkt trengs for å nå hovedmålet med 30 anlegg? (hovedmålet − 30 × 58 060) / 9 580, rundet opp til hele</t>
  </si>
  <si>
    <t xml:space="preserve">k) Flere montørtimer med den nye miksen enn i fjor: 30 × 14 + 282 × 2, minus timene i fjor</t>
  </si>
  <si>
    <t xml:space="preserve">l) Svar Kari: er den nye miksen realistisk? Bruk ett tall om markedet, og si hvem som eier målet og når det følges opp. To–tre setninger.</t>
  </si>
  <si>
    <t xml:space="preserve">Fasit, kapittel 3</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</si>
  <si>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</si>
  <si>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</si>
  <si>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</si>
  <si>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</si>
  <si>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Rutene</t>
  </si>
  <si>
    <t xml:space="preserve">Sterke sider: 2 referansene, 10 samme besøk, 12 kjent siden 2019. Svake sider: 3 egenkapitalandel 28,4 %, 6 én grossist, 8 ingen avdelingsleder, 11 793 kr per time på solcelleanlegg. Muligheter: 4 elbilene, 7 borettslagene, 13 hjemmeladeren. Trusler: 1 solmarkedet ned 70 %, 5 fagarbeidermangelen, 9 kjedene.</t>
  </si>
  <si>
    <t xml:space="preserve">1A Tekstsvaret</t>
  </si>
  <si>
    <t xml:space="preserve">Solmarkedet, ned om lag 70 % i første del av 2026, treffer delmålet om 42 anlegg (+23,5 %) hardest. Muligheten er elbilene (over 90 % av nybilsalget) og borettslagene som ikke har løst ladingen: flytt vekten mot ladepunkt.</t>
  </si>
  <si>
    <t xml:space="preserve">1B Kravet som mangler</t>
  </si>
  <si>
    <t xml:space="preserve">«Best på lading»: tallfestet. «Dobles i et marked som falt 70 %»: realistisk. «+20 % mens delmålene gir +12 %»: i samsvar. «Fem mål uten hovedmål»: hierarkisk.</t>
  </si>
  <si>
    <t xml:space="preserve">1B 1 Hovedmålet i kroner</t>
  </si>
  <si>
    <t xml:space="preserve">3 698 440 × 1,20 = 4 438 128 kr. Frist 31.12.2027. Ansvar: Kari Nordlund, daglig leder.</t>
  </si>
  <si>
    <t xml:space="preserve">1B 1.1 og 1.2 Delmålene</t>
  </si>
  <si>
    <t xml:space="preserve">42 solcelleanlegg og 215 ladepunkt innen 31.12.2027. Ansvar: Tom Berg, driftsleder, som følger opp hver måned. Ida følger opp pris og kalkyle.</t>
  </si>
  <si>
    <t xml:space="preserve">1B Karis tre setninger</t>
  </si>
  <si>
    <t xml:space="preserve">«Foretrukken leverandør»: ønske uten tall. «42 anlegg i 2027, Tom følger opp»: markedsmål. «Satse på borettslag»: strategi eller tiltak.</t>
  </si>
  <si>
    <t xml:space="preserve">1B Mål for ladepunkt i borettslag</t>
  </si>
  <si>
    <t xml:space="preserve">For eksempel: «Avdelingen skal montere ladeanlegg i minst 3 borettslag innen 31.12.2027. Tom Berg følger opp tilbudene hver måned.» Tall, frist og navn.</t>
  </si>
  <si>
    <t xml:space="preserve">1C a) Hovedmålet</t>
  </si>
  <si>
    <t xml:space="preserve">3 698 440 × 1,20 = 4 438 128 kr</t>
  </si>
  <si>
    <t xml:space="preserve">1C b) Delmålene</t>
  </si>
  <si>
    <t xml:space="preserve">42 × 58 060 + 215 × 9 580 = 2 438 520 + 2 059 700 = 4 498 220 kr</t>
  </si>
  <si>
    <t xml:space="preserve">1C c) Marginen</t>
  </si>
  <si>
    <t xml:space="preserve">4 498 220 − 4 438 128 = 60 092 kr. Delmålene bærer hovedmålet: i samsvar.</t>
  </si>
  <si>
    <t xml:space="preserve">1C d) Veksten delmålene gir</t>
  </si>
  <si>
    <t xml:space="preserve">4 498 220 / 3 698 440 = 1,216, altså 21,6 % mot hovedmålets 20 %</t>
  </si>
  <si>
    <t xml:space="preserve">1C e) Timer i fjor</t>
  </si>
  <si>
    <t xml:space="preserve">34 × 14 + 180 × 2 = 476 + 360 = 836 timer</t>
  </si>
  <si>
    <t xml:space="preserve">1C f) Timer ved målet</t>
  </si>
  <si>
    <t xml:space="preserve">42 × 14 + 215 × 2 = 588 + 430 = 1 018 timer</t>
  </si>
  <si>
    <t xml:space="preserve">1C g) Flere timer</t>
  </si>
  <si>
    <t xml:space="preserve">1 018 − 836 = 182 timer</t>
  </si>
  <si>
    <t xml:space="preserve">1C h) I prosent av 14 400</t>
  </si>
  <si>
    <t xml:space="preserve">182 / 14 400 × 100 = 1,3 % av timene Nordlys fakturerer. Prosjekt har full kalender; timene kan tas fra serviceavdelingen, som har ledige timer (210 av 400 oppdrag).</t>
  </si>
  <si>
    <t xml:space="preserve">1C i) Realistisk?</t>
  </si>
  <si>
    <t xml:space="preserve">Nei. Timene kan skaffes, men 42 anlegg mot 34 er +23,5 % i et marked som falt om lag 70 % i første del av 2026. Kundene må tas fra konkurrenter som permitterer.</t>
  </si>
  <si>
    <t xml:space="preserve">1C j) Ladepunkt i ny miks</t>
  </si>
  <si>
    <t xml:space="preserve">30 × 58 060 = 1 741 800 kr. Resten: 4 438 128 − 1 741 800 = 2 696 328 kr. Delt på 9 580 = 281,5, rundet opp til 282 ladepunkt (281 gir 4 433 780 kr og når ikke opp).</t>
  </si>
  <si>
    <t xml:space="preserve">1C k) Flere timer i ny miks</t>
  </si>
  <si>
    <t xml:space="preserve">30 × 14 + 282 × 2 = 420 + 558 = 984 timer. 984 − 836 = 148 timer mer enn i fjor.</t>
  </si>
  <si>
    <t xml:space="preserve">1C l) Svaret til Kari</t>
  </si>
  <si>
    <t xml:space="preserve">282 ladepunkt i boliger mot 180 er +57 %, i et marked der over 90 % av nye biler er elbiler. Det er mer realistisk enn 42 solcelleanlegg i et marked som har falt om lag 70 %, men ambisiøst; også 30 anlegg er mye i det markedet. Borettslag er et eget prosjekt (om lag 20 800 kr per plass) og hører i et eget delmål. Kari eier hovedmålet, Tom følger opp delmålene hver måned, og målet revideres i juni hvis markedet ikke følger med.</t>
  </si>
</sst>
</file>

<file path=xl/styles.xml><?xml version="1.0" encoding="utf-8"?>
<styleSheet xmlns="http://schemas.openxmlformats.org/spreadsheetml/2006/main">
  <numFmts count="4">
    <numFmt numFmtId="164" formatCode="General"/>
    <numFmt numFmtId="165" formatCode="#,##0"/>
    <numFmt numFmtId="166" formatCode="0"/>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7" fontId="0" fillId="2"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ht="17.25" customHeight="true" r="5" customFormat="false" hidden="fals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ht="17.25" customHeight="true" r="11" customFormat="false" hidden="false" outlineLevel="0" collapsed="false">
      <c r="B11" s="3" t="s">
        <v>7</v>
      </c>
    </row>
    <row ht="17.25" customHeight="true" r="12" customFormat="false" hidden="false" outlineLevel="0" collapsed="false">
      <c r="B12" s="2" t="s">
        <v>8</v>
      </c>
    </row>
    <row ht="17.25" customHeight="true" r="13" customFormat="false" hidden="false" outlineLevel="0" collapsed="false">
      <c r="B13" s="2" t="s">
        <v>9</v>
      </c>
    </row>
    <row ht="17.25" customHeight="true" r="14" customFormat="false" hidden="false" outlineLevel="0" collapsed="false">
      <c r="B14" s="2" t="s">
        <v>10</v>
      </c>
    </row>
    <row ht="17.25" customHeight="true" r="15" customFormat="false" hidden="fals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75" hidden="false" customHeight="true" outlineLevel="0" collapsed="false">
      <c r="B5" s="9" t="s">
        <v>20</v>
      </c>
      <c r="C5" s="9"/>
      <c r="D5" s="9"/>
      <c r="E5" s="9"/>
      <c r="F5" s="9"/>
      <c r="G5" s="9"/>
      <c r="Z5" s="6" t="s">
        <v>13</v>
      </c>
    </row>
    <row r="6" customFormat="false" ht="15.75" hidden="false" customHeight="true" outlineLevel="0" collapsed="false">
      <c r="B6" s="8" t="s">
        <v>21</v>
      </c>
      <c r="C6" s="8"/>
      <c r="D6" s="8"/>
      <c r="E6" s="8"/>
      <c r="F6" s="8"/>
      <c r="G6" s="8"/>
      <c r="Z6" s="6" t="s">
        <v>15</v>
      </c>
    </row>
    <row r="7" customFormat="false" ht="75" hidden="false" customHeight="true" outlineLevel="0" collapsed="false">
      <c r="B7" s="9" t="s">
        <v>22</v>
      </c>
      <c r="C7" s="9"/>
      <c r="D7" s="9"/>
      <c r="E7" s="9"/>
      <c r="F7" s="9"/>
      <c r="G7" s="9"/>
      <c r="Z7" s="6" t="s">
        <v>17</v>
      </c>
    </row>
    <row r="8" customFormat="false" ht="15" hidden="false" customHeight="false" outlineLevel="0" collapsed="false">
      <c r="Z8" s="0" t="s">
        <v>19</v>
      </c>
    </row>
    <row r="9" customFormat="false" ht="15.75" hidden="false" customHeight="true" outlineLevel="0" collapsed="false">
      <c r="B9" s="8" t="s">
        <v>23</v>
      </c>
      <c r="C9" s="8"/>
      <c r="D9" s="8"/>
      <c r="E9" s="8"/>
      <c r="F9" s="8"/>
      <c r="G9" s="8"/>
      <c r="Z9" s="6" t="s">
        <v>13</v>
      </c>
    </row>
    <row r="10" customFormat="false" ht="60" hidden="false" customHeight="true" outlineLevel="0" collapsed="false">
      <c r="B10" s="9" t="s">
        <v>24</v>
      </c>
      <c r="C10" s="9"/>
      <c r="D10" s="9"/>
      <c r="E10" s="9"/>
      <c r="F10" s="9"/>
      <c r="G10" s="9"/>
      <c r="Z10" s="6" t="s">
        <v>15</v>
      </c>
    </row>
    <row r="11" customFormat="false" ht="15" hidden="false" customHeight="false" outlineLevel="0" collapsed="false">
      <c r="Z11" s="0" t="s">
        <v>17</v>
      </c>
    </row>
    <row ht="17.25" customHeight="true" r="12" customFormat="false" hidden="false" outlineLevel="0" collapsed="false">
      <c r="B12" s="10" t="s">
        <v>25</v>
      </c>
      <c r="C12" s="10"/>
      <c r="D12" s="10"/>
      <c r="E12" s="10"/>
      <c r="F12" s="10"/>
      <c r="G12" s="10"/>
      <c r="Z12" s="6" t="s">
        <v>19</v>
      </c>
    </row>
    <row r="13" customFormat="false" ht="39.75" hidden="false" customHeight="true" outlineLevel="0" collapsed="false">
      <c r="B13" s="11" t="s">
        <v>26</v>
      </c>
      <c r="C13" s="12"/>
      <c r="G13" s="13" t="str">
        <f aca="false">IF(C13="","Velg i nedtrekksmenyen.",IF(C13="Trussel (eksternt)","Riktig. Etterspørselen i markedet faller. Det skjer utenfor bedriften og rår ikke Nordlys over: en trussel i eksternanalysen (3.3).","Ikke riktig. Etterspørselen i markedet faller. Det skjer utenfor bedriften og rår ikke Nordlys over: en trussel i eksternanalysen (3.3)."))</f>
        <v>Velg i nedtrekksmenyen.</v>
      </c>
      <c r="Z13" s="6" t="s">
        <v>13</v>
      </c>
    </row>
    <row r="14" customFormat="false" ht="39.75" hidden="false" customHeight="true" outlineLevel="0" collapsed="false">
      <c r="B14" s="11" t="s">
        <v>27</v>
      </c>
      <c r="C14" s="12"/>
      <c r="G14" s="13" t="str">
        <f aca="false">IF(C14="","Velg i nedtrekksmenyen.",IF(C14="Sterk side (internt)","Riktig. Jobber bedriften selv har gjort, og som hjelper den å selge: sterk side i internanalysen (3.3).","Ikke riktig. Jobber bedriften selv har gjort, og som hjelper den å selge: sterk side i internanalysen (3.3)."))</f>
        <v>Velg i nedtrekksmenyen.</v>
      </c>
      <c r="Z14" s="6" t="s">
        <v>15</v>
      </c>
    </row>
    <row r="15" customFormat="false" ht="39.75" hidden="false" customHeight="true" outlineLevel="0" collapsed="false">
      <c r="B15" s="11" t="s">
        <v>28</v>
      </c>
      <c r="C15" s="12"/>
      <c r="G15" s="13" t="str">
        <f aca="false">IF(C15="","Velg i nedtrekksmenyen.",IF(C15="Svak side (internt)","Riktig. Tallet står i Nordlys' egen balanse; det er bedriftens eget kostnads- og kapitalnivå. Svak side i internanalysen, ikke en trussel utenfra (3.3).","Ikke riktig. Tallet står i Nordlys' egen balanse; det er bedriftens eget kostnads- og kapitalnivå. Svak side i internanalysen, ikke en trussel utenfra (3.3)."))</f>
        <v>Velg i nedtrekksmenyen.</v>
      </c>
      <c r="Z15" s="6" t="s">
        <v>17</v>
      </c>
    </row>
    <row r="16" customFormat="false" ht="39.75" hidden="false" customHeight="true" outlineLevel="0" collapsed="false">
      <c r="B16" s="11" t="s">
        <v>29</v>
      </c>
      <c r="C16" s="12"/>
      <c r="G16" s="13" t="str">
        <f aca="false">IF(C16="","Velg i nedtrekksmenyen.",IF(C16="Mulighet (eksternt)","Riktig. Etterspørsel i markedet som bedriften ikke rår over, men kan utnytte: mulighet i eksternanalysen (3.3).","Ikke riktig. Etterspørsel i markedet som bedriften ikke rår over, men kan utnytte: mulighet i eksternanalysen (3.3)."))</f>
        <v>Velg i nedtrekksmenyen.</v>
      </c>
      <c r="Z16" s="6" t="s">
        <v>19</v>
      </c>
    </row>
    <row r="17" customFormat="false" ht="39.75" hidden="false" customHeight="true" outlineLevel="0" collapsed="false">
      <c r="B17" s="11" t="s">
        <v>30</v>
      </c>
      <c r="C17" s="12"/>
      <c r="G17" s="13" t="str">
        <f aca="false">IF(C17="","Velg i nedtrekksmenyen.",IF(C17="Trussel (eksternt)","Riktig. Boka legger tilgang på arbeidskraft i eksternanalysen (3.3). Mangelen er en trussel Nordlys ikke rår over. Følgen for Nordlys, hvis en stilling står tom, ville vært den interne svake siden.","Ikke riktig. Boka legger tilgang på arbeidskraft i eksternanalysen (3.3). Mangelen er en trussel Nordlys ikke rår over. Følgen for Nordlys, hvis en stilling står tom, ville vært den interne svake siden."))</f>
        <v>Velg i nedtrekksmenyen.</v>
      </c>
      <c r="Z17" s="6" t="s">
        <v>13</v>
      </c>
    </row>
    <row r="18" customFormat="false" ht="39.75" hidden="false" customHeight="true" outlineLevel="0" collapsed="false">
      <c r="B18" s="11" t="s">
        <v>31</v>
      </c>
      <c r="C18" s="12"/>
      <c r="G18" s="13" t="str">
        <f aca="false">IF(C18="","Velg i nedtrekksmenyen.",IF(C18="Svak side (internt)","Riktig. Hvem bedriften kjøper fra, er bedriftens eget valg og en sårbarhet den rår over: svak side (3.3).","Ikke riktig. Hvem bedriften kjøper fra, er bedriftens eget valg og en sårbarhet den rår over: svak side (3.3)."))</f>
        <v>Velg i nedtrekksmenyen.</v>
      </c>
      <c r="Z18" s="6" t="s">
        <v>15</v>
      </c>
    </row>
    <row r="19" customFormat="false" ht="39.75" hidden="false" customHeight="true" outlineLevel="0" collapsed="false">
      <c r="B19" s="11" t="s">
        <v>32</v>
      </c>
      <c r="C19" s="12"/>
      <c r="G19" s="13" t="str">
        <f aca="false">IF(C19="","Velg i nedtrekksmenyen.",IF(C19="Mulighet (eksternt)","Riktig. Et udekket behov i markedet: mulighet i eksternanalysen (3.3).","Ikke riktig. Et udekket behov i markedet: mulighet i eksternanalysen (3.3)."))</f>
        <v>Velg i nedtrekksmenyen.</v>
      </c>
      <c r="Z19" s="6" t="s">
        <v>17</v>
      </c>
    </row>
    <row r="20" customFormat="false" ht="39.75" hidden="false" customHeight="true" outlineLevel="0" collapsed="false">
      <c r="B20" s="11" t="s">
        <v>33</v>
      </c>
      <c r="C20" s="12"/>
      <c r="G20" s="13" t="str">
        <f aca="false">IF(C20="","Velg i nedtrekksmenyen.",IF(C20="Svak side (internt)","Riktig. Organisering og kompetanse er interne arbeidsbetingelser: svak side (3.3).","Ikke riktig. Organisering og kompetanse er interne arbeidsbetingelser: svak side (3.3)."))</f>
        <v>Velg i nedtrekksmenyen.</v>
      </c>
      <c r="Z20" s="6" t="s">
        <v>19</v>
      </c>
    </row>
    <row r="21" customFormat="false" ht="39.75" hidden="false" customHeight="true" outlineLevel="0" collapsed="false">
      <c r="B21" s="11" t="s">
        <v>34</v>
      </c>
      <c r="C21" s="12"/>
      <c r="G21" s="13" t="str">
        <f aca="false">IF(C21="","Velg i nedtrekksmenyen.",IF(C21="Trussel (eksternt)","Riktig. Konkurranseforholdene er eksterne: trussel (3.3).","Ikke riktig. Konkurranseforholdene er eksterne: trussel (3.3)."))</f>
        <v>Velg i nedtrekksmenyen.</v>
      </c>
      <c r="Z21" s="6" t="s">
        <v>13</v>
      </c>
    </row>
    <row r="22" customFormat="false" ht="39.75" hidden="false" customHeight="true" outlineLevel="0" collapsed="false">
      <c r="B22" s="11" t="s">
        <v>35</v>
      </c>
      <c r="C22" s="12"/>
      <c r="G22" s="13" t="str">
        <f aca="false">IF(C22="","Velg i nedtrekksmenyen.",IF(C22="Sterk side (internt)","Riktig. Noe bedriften selv kan gjøre med folkene den har: sterk side (3.3).","Ikke riktig. Noe bedriften selv kan gjøre med folkene den har: sterk side (3.3)."))</f>
        <v>Velg i nedtrekksmenyen.</v>
      </c>
      <c r="Z22" s="6" t="s">
        <v>15</v>
      </c>
    </row>
    <row ht="46.5" customHeight="true" r="23" customFormat="false" hidden="false" outlineLevel="0" collapsed="false">
      <c r="B23" s="11" t="s">
        <v>36</v>
      </c>
      <c r="C23" s="12"/>
      <c r="G23" s="13" t="str">
        <f aca="false">IF(C23="","Velg i nedtrekksmenyen.",IF(C23="Svak side (internt)","Riktig. Produktenes lønnsomhet per time er bedriftens egen kostnads- og prisstruktur: svak side i internanalysen (3.3).","Ikke riktig. Produktenes lønnsomhet per time er bedriftens egen kostnads- og prisstruktur: svak side i internanalysen (3.3)."))</f>
        <v>Velg i nedtrekksmenyen.</v>
      </c>
      <c r="Z23" s="6" t="s">
        <v>17</v>
      </c>
    </row>
    <row r="24" customFormat="false" ht="39.75" hidden="false" customHeight="true" outlineLevel="0" collapsed="false">
      <c r="B24" s="11" t="s">
        <v>37</v>
      </c>
      <c r="C24" s="12"/>
      <c r="G24" s="13" t="str">
        <f aca="false">IF(C24="","Velg i nedtrekksmenyen.",IF(C24="Sterk side (internt)","Riktig. Omdømmet bedriften har bygd selv: sterk side (3.3).","Ikke riktig. Omdømmet bedriften har bygd selv: sterk side (3.3)."))</f>
        <v>Velg i nedtrekksmenyen.</v>
      </c>
      <c r="Z24" s="6" t="s">
        <v>19</v>
      </c>
    </row>
    <row r="25" customFormat="false" ht="39.75" hidden="false" customHeight="true" outlineLevel="0" collapsed="false">
      <c r="B25" s="11" t="s">
        <v>38</v>
      </c>
      <c r="C25" s="12"/>
      <c r="G25" s="13" t="str">
        <f aca="false">IF(C25="","Velg i nedtrekksmenyen.",IF(C25="Mulighet (eksternt)","Riktig. Betalingsvilje og etterspørsel i markedet: mulighet (3.3).","Ikke riktig. Betalingsvilje og etterspørsel i markedet: mulighet (3.3)."))</f>
        <v>Velg i nedtrekksmenyen.</v>
      </c>
      <c r="Z25" s="6" t="s">
        <v>13</v>
      </c>
    </row>
    <row r="26" customFormat="false" ht="15" hidden="false" customHeight="false" outlineLevel="0" collapsed="false">
      <c r="Z26" s="0" t="s">
        <v>15</v>
      </c>
    </row>
    <row r="27" customFormat="false" ht="30" hidden="false" customHeight="true" outlineLevel="0" collapsed="false">
      <c r="B27" s="9" t="s">
        <v>39</v>
      </c>
      <c r="C27" s="9"/>
      <c r="D27" s="9"/>
      <c r="E27" s="9"/>
      <c r="F27" s="9"/>
      <c r="G27" s="9"/>
      <c r="Z27" s="6" t="s">
        <v>17</v>
      </c>
    </row>
    <row r="28" customFormat="false" ht="21.75" hidden="false" customHeight="true" outlineLevel="0" collapsed="false">
      <c r="B28" s="14"/>
      <c r="C28" s="14"/>
      <c r="D28" s="14"/>
      <c r="E28" s="14"/>
      <c r="F28" s="14"/>
      <c r="G28" s="14"/>
      <c r="Z28" s="6" t="s">
        <v>19</v>
      </c>
    </row>
    <row r="29" customFormat="false" ht="21.75" hidden="false" customHeight="true" outlineLevel="0" collapsed="false">
      <c r="B29" s="14"/>
      <c r="C29" s="14"/>
      <c r="D29" s="14"/>
      <c r="E29" s="14"/>
      <c r="F29" s="14"/>
      <c r="G29" s="14"/>
      <c r="Z29" s="6" t="s">
        <v>13</v>
      </c>
    </row>
    <row r="30" customFormat="false" ht="21.75" hidden="false" customHeight="true" outlineLevel="0" collapsed="false">
      <c r="B30" s="14"/>
      <c r="C30" s="14"/>
      <c r="D30" s="14"/>
      <c r="E30" s="14"/>
      <c r="F30" s="14"/>
      <c r="G30" s="14"/>
      <c r="Z30" s="6" t="s">
        <v>15</v>
      </c>
    </row>
    <row r="31" customFormat="false" ht="39.75" hidden="false" customHeight="true" outlineLevel="0" collapsed="false">
      <c r="B31" s="15" t="str">
        <f aca="false">IF(LEN(B28)&lt;40,"",IF(AND(ISNUMBER(SEARCH("sol",B28)),ISNUMBER(SEARCH("ladepunkt",B28))),"Bra: du peker på solmarkedet som trusselen og ladepunktene som muligheten. Sjekk at du har med tallene: ned om lag 70 %, og over 90 % elbiler.",IF(OR(ISNUMBER(SEARCH("sol",B28)),ISNUMBER(SEARCH("ladepunkt",B28))),"Du er på sporet. Trusselen som treffer solcelleanleggene, er markedet som har falt om lag 70 %. Muligheten ligger i elbilene: ladepunkt til boliger og borettslag.","Tips: markedet for solkraft på tak falt om lag 70 % i første del av 2026, og 42 anlegg mot 34 er +23,5 % i det markedet. Muligheten er elbilene (over 90 % av nybilsalget) og borettslagene som ikke har løst ladingen: flytt vekten mot ladepunkt.")))</f>
        <v/>
      </c>
      <c r="C31" s="15"/>
      <c r="D31" s="15"/>
      <c r="E31" s="15"/>
      <c r="F31" s="15"/>
      <c r="G31" s="15"/>
      <c r="Z31" s="6" t="s">
        <v>17</v>
      </c>
    </row>
    <row r="32" customFormat="false" ht="15" hidden="false" customHeight="false" outlineLevel="0" collapsed="false">
      <c r="B32" s="16" t="s">
        <v>40</v>
      </c>
      <c r="C32" s="12"/>
      <c r="Z32" s="6" t="s">
        <v>19</v>
      </c>
    </row>
    <row r="33" customFormat="false" ht="60" hidden="false" customHeight="true" outlineLevel="0" collapsed="false">
      <c r="B33" s="17" t="str">
        <f aca="false">IF(C32="JA","Hint: Spør for hvert utsagn: rår Nordlys over dette selv? Egenkapitalen, grossisten, lederen, omdømmet, montørene og lønnsomheten per time er Nordlys' egne: internt. Solmarkedet, elbilene, borettslagene, kjedene og fagarbeidermangelen skjer utenfor: eksternt. Hjelper det, er det sterk side eller mulighet; hemmer det, svak side eller trussel.","")</f>
        <v/>
      </c>
      <c r="C33" s="17"/>
      <c r="D33" s="17"/>
      <c r="E33" s="17"/>
      <c r="F33" s="17"/>
      <c r="G33" s="17"/>
      <c r="Z33" s="6" t="s">
        <v>13</v>
      </c>
    </row>
    <row r="34" customFormat="false" ht="15" hidden="false" customHeight="false" outlineLevel="0" collapsed="false">
      <c r="Z34" s="0" t="s">
        <v>15</v>
      </c>
    </row>
    <row r="35" customFormat="false" ht="30" hidden="false" customHeight="true" outlineLevel="0" collapsed="false">
      <c r="B35" s="7" t="s">
        <v>41</v>
      </c>
      <c r="C35" s="7"/>
      <c r="D35" s="7"/>
      <c r="E35" s="7"/>
      <c r="F35" s="7"/>
      <c r="G35" s="7"/>
      <c r="Z35" s="6" t="s">
        <v>17</v>
      </c>
    </row>
    <row r="36" customFormat="false" ht="15" hidden="false" customHeight="false" outlineLevel="0" collapsed="false">
      <c r="Z36" s="0" t="s">
        <v>19</v>
      </c>
    </row>
    <row r="37" customFormat="false" ht="15" hidden="false" customHeight="false" outlineLevel="0" collapsed="false">
      <c r="Z37" s="0" t="s">
        <v>13</v>
      </c>
    </row>
    <row r="38" customFormat="false" ht="15" hidden="false" customHeight="false" outlineLevel="0" collapsed="false">
      <c r="Z38" s="0" t="s">
        <v>15</v>
      </c>
    </row>
    <row r="39" customFormat="false" ht="15" hidden="false" customHeight="false" outlineLevel="0" collapsed="false">
      <c r="Z39" s="0" t="s">
        <v>17</v>
      </c>
    </row>
    <row r="40" customFormat="false" ht="15" hidden="false" customHeight="false" outlineLevel="0" collapsed="false">
      <c r="Z40" s="0" t="s">
        <v>19</v>
      </c>
    </row>
    <row r="41" customFormat="false" ht="15" hidden="false" customHeight="false" outlineLevel="0" collapsed="false">
      <c r="Z41" s="0" t="s">
        <v>13</v>
      </c>
    </row>
    <row r="42" customFormat="false" ht="15" hidden="false" customHeight="false" outlineLevel="0" collapsed="false">
      <c r="Z42" s="0" t="s">
        <v>15</v>
      </c>
    </row>
    <row r="43" customFormat="false" ht="15" hidden="false" customHeight="false" outlineLevel="0" collapsed="false">
      <c r="Z43" s="0" t="s">
        <v>17</v>
      </c>
    </row>
    <row r="44" customFormat="false" ht="15" hidden="false" customHeight="false" outlineLevel="0" collapsed="false">
      <c r="Z44" s="0" t="s">
        <v>19</v>
      </c>
    </row>
    <row r="45" customFormat="false" ht="15" hidden="false" customHeight="false" outlineLevel="0" collapsed="false">
      <c r="Z45" s="0" t="s">
        <v>13</v>
      </c>
    </row>
    <row r="46" customFormat="false" ht="15" hidden="false" customHeight="false" outlineLevel="0" collapsed="false">
      <c r="Z46" s="0" t="s">
        <v>15</v>
      </c>
    </row>
    <row r="47" customFormat="false" ht="15" hidden="false" customHeight="false" outlineLevel="0" collapsed="false">
      <c r="Z47" s="0" t="s">
        <v>17</v>
      </c>
    </row>
    <row r="48" customFormat="false" ht="15" hidden="false" customHeight="false" outlineLevel="0" collapsed="false">
      <c r="Z48" s="0" t="s">
        <v>19</v>
      </c>
    </row>
    <row r="49" customFormat="false" ht="15" hidden="false" customHeight="false" outlineLevel="0" collapsed="false">
      <c r="Z49" s="0" t="s">
        <v>13</v>
      </c>
    </row>
    <row r="50" customFormat="false" ht="15" hidden="false" customHeight="false" outlineLevel="0" collapsed="false">
      <c r="Z50" s="0" t="s">
        <v>15</v>
      </c>
    </row>
    <row r="51" customFormat="false" ht="15" hidden="false" customHeight="false" outlineLevel="0" collapsed="false">
      <c r="Z51" s="0" t="s">
        <v>17</v>
      </c>
    </row>
    <row r="52" customFormat="false" ht="15" hidden="false" customHeight="false" outlineLevel="0" collapsed="false">
      <c r="Z52" s="0" t="s">
        <v>19</v>
      </c>
    </row>
  </sheetData>
  <mergeCells count="14">
    <mergeCell ref="B2:G2"/>
    <mergeCell ref="B3:G3"/>
    <mergeCell ref="B4:G4"/>
    <mergeCell ref="B5:G5"/>
    <mergeCell ref="B6:G6"/>
    <mergeCell ref="B7:G7"/>
    <mergeCell ref="B9:G9"/>
    <mergeCell ref="B10:G10"/>
    <mergeCell ref="B12:G12"/>
    <mergeCell ref="B27:G27"/>
    <mergeCell ref="B28:G30"/>
    <mergeCell ref="B31:G31"/>
    <mergeCell ref="B33:G33"/>
    <mergeCell ref="B35:G35"/>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1">
    <cfRule type="expression" priority="18" aboveAverage="0" equalAverage="0" bottom="0" percent="0" rank="0" text="" dxfId="0">
      <formula>LEFT(G21,6)="Riktig"</formula>
    </cfRule>
    <cfRule type="expression" priority="19" aboveAverage="0" equalAverage="0" bottom="0" percent="0" rank="0" text="" dxfId="1">
      <formula>LEFT(G21,4)="Ikke"</formula>
    </cfRule>
  </conditionalFormatting>
  <conditionalFormatting sqref="G22">
    <cfRule type="expression" priority="20" aboveAverage="0" equalAverage="0" bottom="0" percent="0" rank="0" text="" dxfId="0">
      <formula>LEFT(G22,6)="Riktig"</formula>
    </cfRule>
    <cfRule type="expression" priority="21" aboveAverage="0" equalAverage="0" bottom="0" percent="0" rank="0" text="" dxfId="1">
      <formula>LEFT(G22,4)="Ikke"</formula>
    </cfRule>
  </conditionalFormatting>
  <conditionalFormatting sqref="G23">
    <cfRule type="expression" priority="22" aboveAverage="0" equalAverage="0" bottom="0" percent="0" rank="0" text="" dxfId="0">
      <formula>LEFT(G23,6)="Riktig"</formula>
    </cfRule>
    <cfRule type="expression" priority="23" aboveAverage="0" equalAverage="0" bottom="0" percent="0" rank="0" text="" dxfId="1">
      <formula>LEFT(G23,4)="Ikke"</formula>
    </cfRule>
  </conditionalFormatting>
  <conditionalFormatting sqref="G24">
    <cfRule type="expression" priority="24" aboveAverage="0" equalAverage="0" bottom="0" percent="0" rank="0" text="" dxfId="0">
      <formula>LEFT(G24,6)="Riktig"</formula>
    </cfRule>
    <cfRule type="expression" priority="25" aboveAverage="0" equalAverage="0" bottom="0" percent="0" rank="0" text="" dxfId="1">
      <formula>LEFT(G24,4)="Ikke"</formula>
    </cfRule>
  </conditionalFormatting>
  <conditionalFormatting sqref="G25">
    <cfRule type="expression" priority="26" aboveAverage="0" equalAverage="0" bottom="0" percent="0" rank="0" text="" dxfId="0">
      <formula>LEFT(G25,6)="Riktig"</formula>
    </cfRule>
    <cfRule type="expression" priority="27" aboveAverage="0" equalAverage="0" bottom="0" percent="0" rank="0" text="" dxfId="1">
      <formula>LEFT(G25,4)="Ikke"</formula>
    </cfRule>
  </conditionalFormatting>
  <dataValidations count="14">
    <dataValidation allowBlank="true" errorStyle="stop" operator="between" showDropDown="false" showErrorMessage="false" showInputMessage="false" sqref="C13" type="list">
      <formula1>$Z$1:$Z$4</formula1>
      <formula2>0</formula2>
    </dataValidation>
    <dataValidation allowBlank="true" errorStyle="stop" operator="between" showDropDown="false" showErrorMessage="false" showInputMessage="false" sqref="C14" type="list">
      <formula1>$Z$5:$Z$8</formula1>
      <formula2>0</formula2>
    </dataValidation>
    <dataValidation allowBlank="true" errorStyle="stop" operator="between" showDropDown="false" showErrorMessage="false" showInputMessage="false" sqref="C15" type="list">
      <formula1>$Z$9:$Z$12</formula1>
      <formula2>0</formula2>
    </dataValidation>
    <dataValidation allowBlank="true" errorStyle="stop" operator="between" showDropDown="false" showErrorMessage="false" showInputMessage="false" sqref="C16" type="list">
      <formula1>$Z$13:$Z$16</formula1>
      <formula2>0</formula2>
    </dataValidation>
    <dataValidation allowBlank="true" errorStyle="stop" operator="between" showDropDown="false" showErrorMessage="false" showInputMessage="false" sqref="C17" type="list">
      <formula1>$Z$17:$Z$20</formula1>
      <formula2>0</formula2>
    </dataValidation>
    <dataValidation allowBlank="true" errorStyle="stop" operator="between" showDropDown="false" showErrorMessage="false" showInputMessage="false" sqref="C18" type="list">
      <formula1>$Z$21:$Z$24</formula1>
      <formula2>0</formula2>
    </dataValidation>
    <dataValidation allowBlank="true" errorStyle="stop" operator="between" showDropDown="false" showErrorMessage="false" showInputMessage="false" sqref="C19" type="list">
      <formula1>$Z$25:$Z$28</formula1>
      <formula2>0</formula2>
    </dataValidation>
    <dataValidation allowBlank="true" errorStyle="stop" operator="between" showDropDown="false" showErrorMessage="false" showInputMessage="false" sqref="C20" type="list">
      <formula1>$Z$29:$Z$32</formula1>
      <formula2>0</formula2>
    </dataValidation>
    <dataValidation allowBlank="true" errorStyle="stop" operator="between" showDropDown="false" showErrorMessage="false" showInputMessage="false" sqref="C21" type="list">
      <formula1>$Z$33:$Z$36</formula1>
      <formula2>0</formula2>
    </dataValidation>
    <dataValidation allowBlank="true" errorStyle="stop" operator="between" showDropDown="false" showErrorMessage="false" showInputMessage="false" sqref="C22" type="list">
      <formula1>$Z$37:$Z$40</formula1>
      <formula2>0</formula2>
    </dataValidation>
    <dataValidation allowBlank="true" errorStyle="stop" operator="between" showDropDown="false" showErrorMessage="false" showInputMessage="false" sqref="C23" type="list">
      <formula1>$Z$41:$Z$44</formula1>
      <formula2>0</formula2>
    </dataValidation>
    <dataValidation allowBlank="true" errorStyle="stop" operator="between" showDropDown="false" showErrorMessage="false" showInputMessage="false" sqref="C24" type="list">
      <formula1>$Z$45:$Z$48</formula1>
      <formula2>0</formula2>
    </dataValidation>
    <dataValidation allowBlank="true" errorStyle="stop" operator="between" showDropDown="false" showErrorMessage="false" showInputMessage="false" sqref="C25" type="list">
      <formula1>$Z$49:$Z$52</formula1>
      <formula2>0</formula2>
    </dataValidation>
    <dataValidation allowBlank="true" errorStyle="stop" operator="between" showDropDown="false" showErrorMessage="false" showInputMessage="false" sqref="C3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42</v>
      </c>
    </row>
    <row r="2" customFormat="false" ht="25.5" hidden="false" customHeight="true" outlineLevel="0" collapsed="false">
      <c r="B2" s="5" t="s">
        <v>43</v>
      </c>
      <c r="C2" s="5"/>
      <c r="D2" s="5"/>
      <c r="E2" s="5"/>
      <c r="F2" s="5"/>
      <c r="G2" s="5"/>
      <c r="Z2" s="6" t="s">
        <v>44</v>
      </c>
    </row>
    <row r="3" customFormat="false" ht="15" hidden="false" customHeight="true" outlineLevel="0" collapsed="false">
      <c r="B3" s="7" t="s">
        <v>45</v>
      </c>
      <c r="C3" s="7"/>
      <c r="D3" s="7"/>
      <c r="E3" s="7"/>
      <c r="F3" s="7"/>
      <c r="G3" s="7"/>
      <c r="Z3" s="6" t="s">
        <v>46</v>
      </c>
    </row>
    <row r="4" customFormat="false" ht="15.75" hidden="false" customHeight="true" outlineLevel="0" collapsed="false">
      <c r="B4" s="8" t="s">
        <v>18</v>
      </c>
      <c r="C4" s="8"/>
      <c r="D4" s="8"/>
      <c r="E4" s="8"/>
      <c r="F4" s="8"/>
      <c r="G4" s="8"/>
      <c r="Z4" s="6" t="s">
        <v>47</v>
      </c>
    </row>
    <row r="5" customFormat="false" ht="45" hidden="false" customHeight="true" outlineLevel="0" collapsed="false">
      <c r="B5" s="9" t="s">
        <v>48</v>
      </c>
      <c r="C5" s="9"/>
      <c r="D5" s="9"/>
      <c r="E5" s="9"/>
      <c r="F5" s="9"/>
      <c r="G5" s="9"/>
      <c r="Z5" s="6" t="s">
        <v>42</v>
      </c>
    </row>
    <row r="6" customFormat="false" ht="15.75" hidden="false" customHeight="true" outlineLevel="0" collapsed="false">
      <c r="B6" s="8" t="s">
        <v>21</v>
      </c>
      <c r="C6" s="8"/>
      <c r="D6" s="8"/>
      <c r="E6" s="8"/>
      <c r="F6" s="8"/>
      <c r="G6" s="8"/>
      <c r="Z6" s="6" t="s">
        <v>44</v>
      </c>
    </row>
    <row r="7" customFormat="false" ht="60" hidden="false" customHeight="true" outlineLevel="0" collapsed="false">
      <c r="B7" s="9" t="s">
        <v>49</v>
      </c>
      <c r="C7" s="9"/>
      <c r="D7" s="9"/>
      <c r="E7" s="9"/>
      <c r="F7" s="9"/>
      <c r="G7" s="9"/>
      <c r="Z7" s="6" t="s">
        <v>46</v>
      </c>
    </row>
    <row r="8" customFormat="false" ht="15" hidden="false" customHeight="false" outlineLevel="0" collapsed="false">
      <c r="Z8" s="0" t="s">
        <v>47</v>
      </c>
    </row>
    <row r="9" customFormat="false" ht="15.75" hidden="false" customHeight="true" outlineLevel="0" collapsed="false">
      <c r="B9" s="8" t="s">
        <v>23</v>
      </c>
      <c r="C9" s="8"/>
      <c r="D9" s="8"/>
      <c r="E9" s="8"/>
      <c r="F9" s="8"/>
      <c r="G9" s="8"/>
      <c r="Z9" s="6" t="s">
        <v>42</v>
      </c>
    </row>
    <row r="10" customFormat="false" ht="60" hidden="false" customHeight="true" outlineLevel="0" collapsed="false">
      <c r="B10" s="9" t="s">
        <v>50</v>
      </c>
      <c r="C10" s="9"/>
      <c r="D10" s="9"/>
      <c r="E10" s="9"/>
      <c r="F10" s="9"/>
      <c r="G10" s="9"/>
      <c r="Z10" s="6" t="s">
        <v>44</v>
      </c>
    </row>
    <row r="11" customFormat="false" ht="15" hidden="false" customHeight="false" outlineLevel="0" collapsed="false">
      <c r="Z11" s="0" t="s">
        <v>46</v>
      </c>
    </row>
    <row ht="17.25" customHeight="true" r="12" customFormat="false" hidden="false" outlineLevel="0" collapsed="false">
      <c r="B12" s="10" t="s">
        <v>51</v>
      </c>
      <c r="C12" s="10"/>
      <c r="D12" s="10"/>
      <c r="E12" s="10"/>
      <c r="F12" s="10"/>
      <c r="G12" s="10"/>
      <c r="Z12" s="6" t="s">
        <v>47</v>
      </c>
    </row>
    <row r="13" customFormat="false" ht="39.75" hidden="false" customHeight="true" outlineLevel="0" collapsed="false">
      <c r="B13" s="11" t="s">
        <v>52</v>
      </c>
      <c r="C13" s="12"/>
      <c r="G13" s="13" t="str">
        <f aca="false">IF(C13="","Velg i nedtrekksmenyen.",IF(C13="Tallfestet","Riktig. Ingen kan måle «best», og det står ingen frist. Uten tall og tidspunkt kan målet verken nås eller bommes på (3.4).","Ikke riktig. Ingen kan måle «best», og det står ingen frist. Uten tall og tidspunkt kan målet verken nås eller bommes på (3.4)."))</f>
        <v>Velg i nedtrekksmenyen.</v>
      </c>
      <c r="Z13" s="6" t="s">
        <v>42</v>
      </c>
    </row>
    <row ht="46.5" customHeight="true" r="14" customFormat="false" hidden="false" outlineLevel="0" collapsed="false">
      <c r="B14" s="11" t="s">
        <v>53</v>
      </c>
      <c r="C14" s="12"/>
      <c r="G14" s="13" t="str">
        <f aca="false">IF(C14="","Velg i nedtrekksmenyen.",IF(C14="Realistisk","Riktig. Bedriften må ha kapasitet og marked for målet. En dobling i et marked som falt 70 %, krever kunder tatt fra konkurrenter som permitterer (3.4).","Ikke riktig. Bedriften må ha kapasitet og marked for målet. En dobling i et marked som falt 70 %, krever kunder tatt fra konkurrenter som permitterer (3.4)."))</f>
        <v>Velg i nedtrekksmenyen.</v>
      </c>
      <c r="Z14" s="6" t="s">
        <v>44</v>
      </c>
    </row>
    <row r="15" customFormat="false" ht="39.75" hidden="false" customHeight="true" outlineLevel="0" collapsed="false">
      <c r="B15" s="11" t="s">
        <v>54</v>
      </c>
      <c r="C15" s="12"/>
      <c r="G15" s="13" t="str">
        <f aca="false">IF(C15="","Velg i nedtrekksmenyen.",IF(C15="I samsvar","Riktig. Delmålene skal bære hovedmålet. Gir de 12 % når hovedmålet er 20 %, trekker ikke målene samme vei (3.4).","Ikke riktig. Delmålene skal bære hovedmålet. Gir de 12 % når hovedmålet er 20 %, trekker ikke målene samme vei (3.4)."))</f>
        <v>Velg i nedtrekksmenyen.</v>
      </c>
      <c r="Z15" s="6" t="s">
        <v>46</v>
      </c>
    </row>
    <row r="16" customFormat="false" ht="39.75" hidden="false" customHeight="true" outlineLevel="0" collapsed="false">
      <c r="B16" s="11" t="s">
        <v>55</v>
      </c>
      <c r="C16" s="12"/>
      <c r="G16" s="13" t="str">
        <f aca="false">IF(C16="","Velg i nedtrekksmenyen.",IF(C16="Hierarkisk","Riktig. Boka krever ett hovedmål med delmål under, slik Byggmester X har 1, 1.1, 1.1.1 (3.4).","Ikke riktig. Boka krever ett hovedmål med delmål under, slik Byggmester X har 1, 1.1, 1.1.1 (3.4)."))</f>
        <v>Velg i nedtrekksmenyen.</v>
      </c>
      <c r="Z16" s="6" t="s">
        <v>47</v>
      </c>
    </row>
    <row r="17" customFormat="false" ht="15" hidden="false" customHeight="false" outlineLevel="0" collapsed="false">
      <c r="Z17" s="0" t="s">
        <v>56</v>
      </c>
    </row>
    <row r="18" customFormat="false" ht="15.75" hidden="false" customHeight="true" outlineLevel="0" collapsed="false">
      <c r="B18" s="8" t="s">
        <v>57</v>
      </c>
      <c r="C18" s="8"/>
      <c r="D18" s="8"/>
      <c r="E18" s="8"/>
      <c r="F18" s="8"/>
      <c r="G18" s="8"/>
      <c r="Z18" s="6" t="s">
        <v>58</v>
      </c>
    </row>
    <row r="19" customFormat="false" ht="30" hidden="false" customHeight="true" outlineLevel="0" collapsed="false">
      <c r="B19" s="9" t="s">
        <v>59</v>
      </c>
      <c r="C19" s="9"/>
      <c r="D19" s="9"/>
      <c r="E19" s="9"/>
      <c r="F19" s="9"/>
      <c r="G19" s="9"/>
      <c r="Z19" s="6" t="s">
        <v>60</v>
      </c>
    </row>
    <row r="20" customFormat="false" ht="43.5" hidden="false" customHeight="true" outlineLevel="0" collapsed="false">
      <c r="B20" s="11" t="s">
        <v>61</v>
      </c>
      <c r="C20" s="18"/>
      <c r="D20" s="19" t="s">
        <v>62</v>
      </c>
      <c r="G20" s="13" t="str">
        <f aca="false">IF(C20="","Skriv svaret i den gule cellen.",IF(C20=(ROUND(3698440*1.2,0)),"Riktig.",IF(ABS(C20-(ROUND(3698440*0.2,0)))&lt;=0,"Det er økningen alene, 20 % av fjoråret. Målet er hele omsetningen: fjoråret pluss økningen, altså × 1,20.",IF(ABS(C20-(ROUND(3698440*1.02,0)))&lt;=0,"Du har regnet 2 %. 20 % er 0,20, så faktoren er 1,20.",IF(ABS(C20-(3698440))&lt;=0,"Det er omsetningen i 2026. Hovedmålet er 20 % mer.","Ikke riktig ennå. Se på regnestykket øverst på fanen, og sjekk at du har med alle leddene.")))))</f>
        <v>Skriv svaret i den gule cellen.</v>
      </c>
      <c r="Z20" s="6" t="s">
        <v>63</v>
      </c>
    </row>
    <row r="21" customFormat="false" ht="39.75" hidden="false" customHeight="true" outlineLevel="0" collapsed="false">
      <c r="B21" s="11" t="s">
        <v>64</v>
      </c>
      <c r="C21" s="12"/>
      <c r="G21" s="13" t="str">
        <f aca="false">IF(C21="","Velg i nedtrekksmenyen.",IF(C21="31.12.2027","Riktig. Hovedmålet gjelder hele 2027, og fristen er årets siste dag. «Så snart som mulig» og «når markedet tar seg opp» er ikke tidspunkter; 30.06.2027 er et tidspunkt for oppfølging, ikke for et årsmål (3.4).","Ikke riktig. Hovedmålet gjelder hele 2027, og fristen er årets siste dag. «Så snart som mulig» og «når markedet tar seg opp» er ikke tidspunkter; 30.06.2027 er et tidspunkt for oppfølging, ikke for et årsmål (3.4)."))</f>
        <v>Velg i nedtrekksmenyen.</v>
      </c>
      <c r="Z21" s="6" t="s">
        <v>65</v>
      </c>
    </row>
    <row r="22" customFormat="false" ht="39.75" hidden="false" customHeight="true" outlineLevel="0" collapsed="false">
      <c r="B22" s="11" t="s">
        <v>66</v>
      </c>
      <c r="C22" s="12"/>
      <c r="G22" s="13" t="str">
        <f aca="false">IF(C22="","Velg i nedtrekksmenyen.",IF(C22="Kari Nordlund (daglig leder)","Riktig. Hovedmålet for avdelingen eier daglig leder, som også har avdelingen ved siden av jobben. Et mål «alle» eier, eier ingen.","Ikke riktig. Hovedmålet for avdelingen eier daglig leder, som også har avdelingen ved siden av jobben. Et mål «alle» eier, eier ingen."))</f>
        <v>Velg i nedtrekksmenyen.</v>
      </c>
      <c r="Z22" s="6" t="s">
        <v>67</v>
      </c>
    </row>
    <row r="23" customFormat="false" ht="43.5" hidden="false" customHeight="true" outlineLevel="0" collapsed="false">
      <c r="B23" s="11" t="s">
        <v>68</v>
      </c>
      <c r="C23" s="20"/>
      <c r="D23" s="19" t="s">
        <v>69</v>
      </c>
      <c r="G23" s="13" t="str">
        <f aca="false">IF(C23="","Skriv svaret i den gule cellen.",IF(C23=(42),"Riktig.",IF(ABS(C23-(34))&lt;=0,"Det er antallet i 2026. Idas delmål for 2027 er høyere.",IF(ABS(C23-(215))&lt;=0,"Det er delmålet for ladepunkt. Solcelleanleggene har sitt eget tall.","Ikke riktig ennå. Se på regnestykket øverst på fanen, og sjekk at du har med alle leddene."))))</f>
        <v>Skriv svaret i den gule cellen.</v>
      </c>
      <c r="Z23" s="6" t="s">
        <v>70</v>
      </c>
    </row>
    <row r="24" customFormat="false" ht="39.75" hidden="false" customHeight="true" outlineLevel="0" collapsed="false">
      <c r="B24" s="11" t="s">
        <v>71</v>
      </c>
      <c r="C24" s="12"/>
      <c r="G24" s="13" t="str">
        <f aca="false">IF(C24="","Velg i nedtrekksmenyen.",IF(C24="31.12.2027","Riktig. Delmålet er et årstall for 2027, med samme frist som hovedmålet. Oppfølgingen skjer underveis, men målet måles 31.12.2027.","Ikke riktig. Delmålet er et årstall for 2027, med samme frist som hovedmålet. Oppfølgingen skjer underveis, men målet måles 31.12.2027."))</f>
        <v>Velg i nedtrekksmenyen.</v>
      </c>
      <c r="Z24" s="6" t="s">
        <v>72</v>
      </c>
    </row>
    <row r="25" customFormat="false" ht="39.75" hidden="false" customHeight="true" outlineLevel="0" collapsed="false">
      <c r="B25" s="11" t="s">
        <v>73</v>
      </c>
      <c r="C25" s="12"/>
      <c r="G25" s="13" t="str">
        <f aca="false">IF(C25="","Velg i nedtrekksmenyen.",IF(C25="Tom Berg (driftsleder)","Riktig. Tom Berg er driftsleder og følger opp antallet hver måned. Ida regnet ut delmålene, men en kalkulatør priser jobbene og eier ikke salgsvolumet. «Alle» er ingen eier.","Ikke riktig. Tom Berg er driftsleder og følger opp antallet hver måned. Ida regnet ut delmålene, men en kalkulatør priser jobbene og eier ikke salgsvolumet. «Alle» er ingen eier."))</f>
        <v>Velg i nedtrekksmenyen.</v>
      </c>
      <c r="Z25" s="6" t="s">
        <v>74</v>
      </c>
    </row>
    <row r="26" customFormat="false" ht="43.5" hidden="false" customHeight="true" outlineLevel="0" collapsed="false">
      <c r="B26" s="11" t="s">
        <v>75</v>
      </c>
      <c r="C26" s="20"/>
      <c r="D26" s="19" t="s">
        <v>76</v>
      </c>
      <c r="G26" s="13" t="str">
        <f aca="false">IF(C26="","Skriv svaret i den gule cellen.",IF(C26=(215),"Riktig.",IF(ABS(C26-(180))&lt;=0,"Det er antallet i 2026. Idas delmål for 2027 er høyere.",IF(ABS(C26-(42))&lt;=0,"Det er delmålet for solcelleanlegg. Ladepunktene har sitt eget tall.","Ikke riktig ennå. Se på regnestykket øverst på fanen, og sjekk at du har med alle leddene."))))</f>
        <v>Skriv svaret i den gule cellen.</v>
      </c>
      <c r="Z26" s="6" t="s">
        <v>56</v>
      </c>
    </row>
    <row r="27" customFormat="false" ht="39.75" hidden="false" customHeight="true" outlineLevel="0" collapsed="false">
      <c r="B27" s="11" t="s">
        <v>77</v>
      </c>
      <c r="C27" s="12"/>
      <c r="G27" s="13" t="str">
        <f aca="false">IF(C27="","Velg i nedtrekksmenyen.",IF(C27="31.12.2027","Riktig. Samme frist som hovedmålet: 31.12.2027. Et mål uten dato kan ikke måles (3.4).","Ikke riktig. Samme frist som hovedmålet: 31.12.2027. Et mål uten dato kan ikke måles (3.4)."))</f>
        <v>Velg i nedtrekksmenyen.</v>
      </c>
      <c r="Z27" s="6" t="s">
        <v>58</v>
      </c>
    </row>
    <row r="28" customFormat="false" ht="39.75" hidden="false" customHeight="true" outlineLevel="0" collapsed="false">
      <c r="B28" s="11" t="s">
        <v>78</v>
      </c>
      <c r="C28" s="12"/>
      <c r="G28" s="13" t="str">
        <f aca="false">IF(C28="","Velg i nedtrekksmenyen.",IF(C28="Tom Berg (driftsleder)","Riktig. Samme eier som delmål 1.1: driftsleder Tom Berg. Ida følger opp pris og kalkyle. Én person, ikke «alle».","Ikke riktig. Samme eier som delmål 1.1: driftsleder Tom Berg. Ida følger opp pris og kalkyle. Én person, ikke «alle»."))</f>
        <v>Velg i nedtrekksmenyen.</v>
      </c>
      <c r="Z28" s="6" t="s">
        <v>60</v>
      </c>
    </row>
    <row r="29" customFormat="false" ht="15" hidden="false" customHeight="false" outlineLevel="0" collapsed="false">
      <c r="Z29" s="0" t="s">
        <v>63</v>
      </c>
    </row>
    <row ht="17.25" customHeight="true" r="30" customFormat="false" hidden="false" outlineLevel="0" collapsed="false">
      <c r="B30" s="10" t="s">
        <v>79</v>
      </c>
      <c r="C30" s="10"/>
      <c r="D30" s="10"/>
      <c r="E30" s="10"/>
      <c r="F30" s="10"/>
      <c r="G30" s="10"/>
      <c r="Z30" s="6" t="s">
        <v>65</v>
      </c>
    </row>
    <row r="31" customFormat="false" ht="39.75" hidden="false" customHeight="true" outlineLevel="0" collapsed="false">
      <c r="B31" s="11" t="s">
        <v>80</v>
      </c>
      <c r="C31" s="12"/>
      <c r="G31" s="13" t="str">
        <f aca="false">IF(C31="","Velg i nedtrekksmenyen.",IF(C31="Ønske uten tall","Riktig. «Foretrukket» kan ingen måle, og det står ingen frist. Det ligner mer et særpreg i forretningsidéen enn et mål (3.4).","Ikke riktig. «Foretrukket» kan ingen måle, og det står ingen frist. Det ligner mer et særpreg i forretningsidéen enn et mål (3.4)."))</f>
        <v>Velg i nedtrekksmenyen.</v>
      </c>
      <c r="Z31" s="6" t="s">
        <v>67</v>
      </c>
    </row>
    <row r="32" customFormat="false" ht="39.75" hidden="false" customHeight="true" outlineLevel="0" collapsed="false">
      <c r="B32" s="11" t="s">
        <v>81</v>
      </c>
      <c r="C32" s="12"/>
      <c r="G32" s="13" t="str">
        <f aca="false">IF(C32="","Velg i nedtrekksmenyen.",IF(C32="Markedsmål","Riktig. Tall, sammenlikningsgrunnlag, frist og en som følger opp: et markedsmål etter bokas krav (3.4).","Ikke riktig. Tall, sammenlikningsgrunnlag, frist og en som følger opp: et markedsmål etter bokas krav (3.4)."))</f>
        <v>Velg i nedtrekksmenyen.</v>
      </c>
      <c r="Z32" s="6" t="s">
        <v>70</v>
      </c>
    </row>
    <row r="33" customFormat="false" ht="39.75" hidden="false" customHeight="true" outlineLevel="0" collapsed="false">
      <c r="B33" s="11" t="s">
        <v>82</v>
      </c>
      <c r="C33" s="12"/>
      <c r="G33" s="13" t="str">
        <f aca="false">IF(C33="","Velg i nedtrekksmenyen.",IF(C33="Strategi eller tiltak","Riktig. Det sier hvilken vei avdelingen skal gå, ikke hvor langt eller innen når. Det er et strategivalg eller et tiltak, ikke et mål (3.4 og 3.5).","Ikke riktig. Det sier hvilken vei avdelingen skal gå, ikke hvor langt eller innen når. Det er et strategivalg eller et tiltak, ikke et mål (3.4 og 3.5)."))</f>
        <v>Velg i nedtrekksmenyen.</v>
      </c>
      <c r="Z33" s="6" t="s">
        <v>72</v>
      </c>
    </row>
    <row r="34" customFormat="false" ht="15" hidden="false" customHeight="false" outlineLevel="0" collapsed="false">
      <c r="Z34" s="0" t="s">
        <v>74</v>
      </c>
    </row>
    <row r="35" customFormat="false" ht="30" hidden="false" customHeight="true" outlineLevel="0" collapsed="false">
      <c r="B35" s="9" t="s">
        <v>83</v>
      </c>
      <c r="C35" s="9"/>
      <c r="D35" s="9"/>
      <c r="E35" s="9"/>
      <c r="F35" s="9"/>
      <c r="G35" s="9"/>
      <c r="Z35" s="6" t="s">
        <v>56</v>
      </c>
    </row>
    <row r="36" customFormat="false" ht="21.75" hidden="false" customHeight="true" outlineLevel="0" collapsed="false">
      <c r="B36" s="14"/>
      <c r="C36" s="14"/>
      <c r="D36" s="14"/>
      <c r="E36" s="14"/>
      <c r="F36" s="14"/>
      <c r="G36" s="14"/>
      <c r="Z36" s="6" t="s">
        <v>58</v>
      </c>
    </row>
    <row r="37" customFormat="false" ht="21.75" hidden="false" customHeight="true" outlineLevel="0" collapsed="false">
      <c r="B37" s="14"/>
      <c r="C37" s="14"/>
      <c r="D37" s="14"/>
      <c r="E37" s="14"/>
      <c r="F37" s="14"/>
      <c r="G37" s="14"/>
      <c r="Z37" s="6" t="s">
        <v>60</v>
      </c>
    </row>
    <row r="38" customFormat="false" ht="21.75" hidden="false" customHeight="true" outlineLevel="0" collapsed="false">
      <c r="B38" s="14"/>
      <c r="C38" s="14"/>
      <c r="D38" s="14"/>
      <c r="E38" s="14"/>
      <c r="F38" s="14"/>
      <c r="G38" s="14"/>
      <c r="Z38" s="6" t="s">
        <v>63</v>
      </c>
    </row>
    <row r="39" customFormat="false" ht="39.75" hidden="false" customHeight="true" outlineLevel="0" collapsed="false">
      <c r="B39" s="15" t="str">
        <f aca="false">IF(LEN(B36)&lt;40,"",IF(AND(ISNUMBER(SEARCH("2027",B36)),ISNUMBER(SEARCH("borettslag",B36))),"Bra: du har frist i 2027 og borettslag som målgruppe. Sjekk at målet også har et tall (antall borettslag eller ladepunkt) og et navn som eier det.",IF(OR(ISNUMBER(SEARCH("2027",B36)),ISNUMBER(SEARCH("borettslag",B36))),"Du er på sporet. Et mål i måltabellen trenger et tall, en frist (en dato i 2027) og en som eier det. Se etter det som mangler i setningen din.","Tips: «Avdelingen skal montere ladeanlegg i minst 3 borettslag innen 31.12.2027. Tom Berg følger opp tilbudene hver måned.» Tall, frist og navn.")))</f>
        <v/>
      </c>
      <c r="C39" s="15"/>
      <c r="D39" s="15"/>
      <c r="E39" s="15"/>
      <c r="F39" s="15"/>
      <c r="G39" s="15"/>
      <c r="Z39" s="6" t="s">
        <v>65</v>
      </c>
    </row>
    <row r="40" customFormat="false" ht="15" hidden="false" customHeight="false" outlineLevel="0" collapsed="false">
      <c r="B40" s="16" t="s">
        <v>40</v>
      </c>
      <c r="C40" s="12"/>
      <c r="Z40" s="6" t="s">
        <v>67</v>
      </c>
    </row>
    <row r="41" customFormat="false" ht="60" hidden="false" customHeight="true" outlineLevel="0" collapsed="false">
      <c r="B41" s="17" t="str">
        <f aca="false">IF(C40="JA","Hint: Hovedmålet i kroner er fjorårets omsetning ganger 1,20. Fristen er en dato; «så snart som mulig» er ikke en frist. Ansvar er én person: daglig leder for hovedmålet, driftslederen for delmålene. Kalkulatøren priser jobbene, men eier ikke salgsvolumet. Et mål har tall og frist; «best» er et ønske; «satse på borettslag» er en strategi.","")</f>
        <v/>
      </c>
      <c r="C41" s="17"/>
      <c r="D41" s="17"/>
      <c r="E41" s="17"/>
      <c r="F41" s="17"/>
      <c r="G41" s="17"/>
      <c r="Z41" s="6" t="s">
        <v>70</v>
      </c>
    </row>
    <row r="42" customFormat="false" ht="15" hidden="false" customHeight="false" outlineLevel="0" collapsed="false">
      <c r="Z42" s="0" t="s">
        <v>72</v>
      </c>
    </row>
    <row r="43" customFormat="false" ht="30" hidden="false" customHeight="true" outlineLevel="0" collapsed="false">
      <c r="B43" s="7" t="s">
        <v>41</v>
      </c>
      <c r="C43" s="7"/>
      <c r="D43" s="7"/>
      <c r="E43" s="7"/>
      <c r="F43" s="7"/>
      <c r="G43" s="7"/>
      <c r="Z43" s="6" t="s">
        <v>74</v>
      </c>
    </row>
    <row r="44" customFormat="false" ht="15" hidden="false" customHeight="false" outlineLevel="0" collapsed="false">
      <c r="Z44" s="0" t="s">
        <v>84</v>
      </c>
    </row>
    <row r="45" customFormat="false" ht="15" hidden="false" customHeight="false" outlineLevel="0" collapsed="false">
      <c r="Z45" s="0" t="s">
        <v>85</v>
      </c>
    </row>
    <row r="46" customFormat="false" ht="15" hidden="false" customHeight="false" outlineLevel="0" collapsed="false">
      <c r="Z46" s="0" t="s">
        <v>86</v>
      </c>
    </row>
    <row r="47" customFormat="false" ht="15" hidden="false" customHeight="false" outlineLevel="0" collapsed="false">
      <c r="Z47" s="0" t="s">
        <v>84</v>
      </c>
    </row>
    <row r="48" customFormat="false" ht="15" hidden="false" customHeight="false" outlineLevel="0" collapsed="false">
      <c r="Z48" s="0" t="s">
        <v>85</v>
      </c>
    </row>
    <row r="49" customFormat="false" ht="15" hidden="false" customHeight="false" outlineLevel="0" collapsed="false">
      <c r="Z49" s="0" t="s">
        <v>86</v>
      </c>
    </row>
    <row r="50" customFormat="false" ht="15" hidden="false" customHeight="false" outlineLevel="0" collapsed="false">
      <c r="Z50" s="0" t="s">
        <v>84</v>
      </c>
    </row>
    <row r="51" customFormat="false" ht="15" hidden="false" customHeight="false" outlineLevel="0" collapsed="false">
      <c r="Z51" s="0" t="s">
        <v>85</v>
      </c>
    </row>
    <row r="52" customFormat="false" ht="15" hidden="false" customHeight="false" outlineLevel="0" collapsed="false">
      <c r="Z52" s="0" t="s">
        <v>86</v>
      </c>
    </row>
  </sheetData>
  <mergeCells count="17">
    <mergeCell ref="B2:G2"/>
    <mergeCell ref="B3:G3"/>
    <mergeCell ref="B4:G4"/>
    <mergeCell ref="B5:G5"/>
    <mergeCell ref="B6:G6"/>
    <mergeCell ref="B7:G7"/>
    <mergeCell ref="B9:G9"/>
    <mergeCell ref="B10:G10"/>
    <mergeCell ref="B12:G12"/>
    <mergeCell ref="B18:G18"/>
    <mergeCell ref="B19:G19"/>
    <mergeCell ref="B30:G30"/>
    <mergeCell ref="B35:G35"/>
    <mergeCell ref="B36:G38"/>
    <mergeCell ref="B39:G39"/>
    <mergeCell ref="B41:G41"/>
    <mergeCell ref="B43:G43"/>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20">
    <cfRule type="expression" priority="10" aboveAverage="0" equalAverage="0" bottom="0" percent="0" rank="0" text="" dxfId="0">
      <formula>LEFT(G20,6)="Riktig"</formula>
    </cfRule>
    <cfRule type="expression" priority="11" aboveAverage="0" equalAverage="0" bottom="0" percent="0" rank="0" text="" dxfId="1">
      <formula>AND(G20&lt;&gt;"",LEFT(G20,6)&lt;&gt;"Riktig",LEFT(G20,5)&lt;&gt;"Skriv")</formula>
    </cfRule>
  </conditionalFormatting>
  <conditionalFormatting sqref="G21">
    <cfRule type="expression" priority="12" aboveAverage="0" equalAverage="0" bottom="0" percent="0" rank="0" text="" dxfId="0">
      <formula>LEFT(G21,6)="Riktig"</formula>
    </cfRule>
    <cfRule type="expression" priority="13" aboveAverage="0" equalAverage="0" bottom="0" percent="0" rank="0" text="" dxfId="1">
      <formula>LEFT(G21,4)="Ikke"</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LEFT(G22,4)="Ikke"</formula>
    </cfRule>
  </conditionalFormatting>
  <conditionalFormatting sqref="G23">
    <cfRule type="expression" priority="16" aboveAverage="0" equalAverage="0" bottom="0" percent="0" rank="0" text="" dxfId="0">
      <formula>LEFT(G23,6)="Riktig"</formula>
    </cfRule>
    <cfRule type="expression" priority="17" aboveAverage="0" equalAverage="0" bottom="0" percent="0" rank="0" text="" dxfId="1">
      <formula>AND(G23&lt;&gt;"",LEFT(G23,6)&lt;&gt;"Riktig",LEFT(G23,5)&lt;&gt;"Skriv")</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LEFT(G24,4)="Ikke"</formula>
    </cfRule>
  </conditionalFormatting>
  <conditionalFormatting sqref="G25">
    <cfRule type="expression" priority="20" aboveAverage="0" equalAverage="0" bottom="0" percent="0" rank="0" text="" dxfId="0">
      <formula>LEFT(G25,6)="Riktig"</formula>
    </cfRule>
    <cfRule type="expression" priority="21" aboveAverage="0" equalAverage="0" bottom="0" percent="0" rank="0" text="" dxfId="1">
      <formula>LEFT(G25,4)="Ikke"</formula>
    </cfRule>
  </conditionalFormatting>
  <conditionalFormatting sqref="G26">
    <cfRule type="expression" priority="22" aboveAverage="0" equalAverage="0" bottom="0" percent="0" rank="0" text="" dxfId="0">
      <formula>LEFT(G26,6)="Riktig"</formula>
    </cfRule>
    <cfRule type="expression" priority="23" aboveAverage="0" equalAverage="0" bottom="0" percent="0" rank="0" text="" dxfId="1">
      <formula>AND(G26&lt;&gt;"",LEFT(G26,6)&lt;&gt;"Riktig",LEFT(G26,5)&lt;&gt;"Skriv")</formula>
    </cfRule>
  </conditionalFormatting>
  <conditionalFormatting sqref="G27">
    <cfRule type="expression" priority="24" aboveAverage="0" equalAverage="0" bottom="0" percent="0" rank="0" text="" dxfId="0">
      <formula>LEFT(G27,6)="Riktig"</formula>
    </cfRule>
    <cfRule type="expression" priority="25" aboveAverage="0" equalAverage="0" bottom="0" percent="0" rank="0" text="" dxfId="1">
      <formula>LEFT(G27,4)="Ikke"</formula>
    </cfRule>
  </conditionalFormatting>
  <conditionalFormatting sqref="G28">
    <cfRule type="expression" priority="26" aboveAverage="0" equalAverage="0" bottom="0" percent="0" rank="0" text="" dxfId="0">
      <formula>LEFT(G28,6)="Riktig"</formula>
    </cfRule>
    <cfRule type="expression" priority="27" aboveAverage="0" equalAverage="0" bottom="0" percent="0" rank="0" text="" dxfId="1">
      <formula>LEFT(G28,4)="Ikke"</formula>
    </cfRule>
  </conditionalFormatting>
  <conditionalFormatting sqref="G31">
    <cfRule type="expression" priority="28" aboveAverage="0" equalAverage="0" bottom="0" percent="0" rank="0" text="" dxfId="0">
      <formula>LEFT(G31,6)="Riktig"</formula>
    </cfRule>
    <cfRule type="expression" priority="29" aboveAverage="0" equalAverage="0" bottom="0" percent="0" rank="0" text="" dxfId="1">
      <formula>LEFT(G31,4)="Ikke"</formula>
    </cfRule>
  </conditionalFormatting>
  <conditionalFormatting sqref="G32">
    <cfRule type="expression" priority="30" aboveAverage="0" equalAverage="0" bottom="0" percent="0" rank="0" text="" dxfId="0">
      <formula>LEFT(G32,6)="Riktig"</formula>
    </cfRule>
    <cfRule type="expression" priority="31" aboveAverage="0" equalAverage="0" bottom="0" percent="0" rank="0" text="" dxfId="1">
      <formula>LEFT(G32,4)="Ikke"</formula>
    </cfRule>
  </conditionalFormatting>
  <conditionalFormatting sqref="G33">
    <cfRule type="expression" priority="32" aboveAverage="0" equalAverage="0" bottom="0" percent="0" rank="0" text="" dxfId="0">
      <formula>LEFT(G33,6)="Riktig"</formula>
    </cfRule>
    <cfRule type="expression" priority="33" aboveAverage="0" equalAverage="0" bottom="0" percent="0" rank="0" text="" dxfId="1">
      <formula>LEFT(G33,4)="Ikke"</formula>
    </cfRule>
  </conditionalFormatting>
  <dataValidations count="14">
    <dataValidation allowBlank="true" errorStyle="stop" operator="between" showDropDown="false" showErrorMessage="false" showInputMessage="false" sqref="C13" type="list">
      <formula1>$Z$1:$Z$4</formula1>
      <formula2>0</formula2>
    </dataValidation>
    <dataValidation allowBlank="true" errorStyle="stop" operator="between" showDropDown="false" showErrorMessage="false" showInputMessage="false" sqref="C14" type="list">
      <formula1>$Z$5:$Z$8</formula1>
      <formula2>0</formula2>
    </dataValidation>
    <dataValidation allowBlank="true" errorStyle="stop" operator="between" showDropDown="false" showErrorMessage="false" showInputMessage="false" sqref="C15" type="list">
      <formula1>$Z$9:$Z$12</formula1>
      <formula2>0</formula2>
    </dataValidation>
    <dataValidation allowBlank="true" errorStyle="stop" operator="between" showDropDown="false" showErrorMessage="false" showInputMessage="false" sqref="C16" type="list">
      <formula1>$Z$13:$Z$16</formula1>
      <formula2>0</formula2>
    </dataValidation>
    <dataValidation allowBlank="true" errorStyle="stop" operator="between" showDropDown="false" showErrorMessage="false" showInputMessage="false" sqref="C21" type="list">
      <formula1>$Z$17:$Z$20</formula1>
      <formula2>0</formula2>
    </dataValidation>
    <dataValidation allowBlank="true" errorStyle="stop" operator="between" showDropDown="false" showErrorMessage="false" showInputMessage="false" sqref="C22" type="list">
      <formula1>$Z$21:$Z$25</formula1>
      <formula2>0</formula2>
    </dataValidation>
    <dataValidation allowBlank="true" errorStyle="stop" operator="between" showDropDown="false" showErrorMessage="false" showInputMessage="false" sqref="C24" type="list">
      <formula1>$Z$26:$Z$29</formula1>
      <formula2>0</formula2>
    </dataValidation>
    <dataValidation allowBlank="true" errorStyle="stop" operator="between" showDropDown="false" showErrorMessage="false" showInputMessage="false" sqref="C25" type="list">
      <formula1>$Z$30:$Z$34</formula1>
      <formula2>0</formula2>
    </dataValidation>
    <dataValidation allowBlank="true" errorStyle="stop" operator="between" showDropDown="false" showErrorMessage="false" showInputMessage="false" sqref="C27" type="list">
      <formula1>$Z$35:$Z$38</formula1>
      <formula2>0</formula2>
    </dataValidation>
    <dataValidation allowBlank="true" errorStyle="stop" operator="between" showDropDown="false" showErrorMessage="false" showInputMessage="false" sqref="C28" type="list">
      <formula1>$Z$39:$Z$43</formula1>
      <formula2>0</formula2>
    </dataValidation>
    <dataValidation allowBlank="true" errorStyle="stop" operator="between" showDropDown="false" showErrorMessage="false" showInputMessage="false" sqref="C31" type="list">
      <formula1>$Z$44:$Z$46</formula1>
      <formula2>0</formula2>
    </dataValidation>
    <dataValidation allowBlank="true" errorStyle="stop" operator="between" showDropDown="false" showErrorMessage="false" showInputMessage="false" sqref="C32" type="list">
      <formula1>$Z$47:$Z$49</formula1>
      <formula2>0</formula2>
    </dataValidation>
    <dataValidation allowBlank="true" errorStyle="stop" operator="between" showDropDown="false" showErrorMessage="false" showInputMessage="false" sqref="C33" type="list">
      <formula1>$Z$50:$Z$52</formula1>
      <formula2>0</formula2>
    </dataValidation>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87</v>
      </c>
    </row>
    <row r="2" customFormat="false" ht="25.5" hidden="false" customHeight="true" outlineLevel="0" collapsed="false">
      <c r="B2" s="5" t="s">
        <v>88</v>
      </c>
      <c r="C2" s="5"/>
      <c r="D2" s="5"/>
      <c r="E2" s="5"/>
      <c r="F2" s="5"/>
      <c r="G2" s="5"/>
      <c r="Z2" s="6" t="s">
        <v>89</v>
      </c>
    </row>
    <row r="3" customFormat="false" ht="15" hidden="false" customHeight="true" outlineLevel="0" collapsed="false">
      <c r="B3" s="7" t="s">
        <v>90</v>
      </c>
      <c r="C3" s="7"/>
      <c r="D3" s="7"/>
      <c r="E3" s="7"/>
      <c r="F3" s="7"/>
      <c r="G3" s="7"/>
      <c r="Z3" s="6" t="s">
        <v>91</v>
      </c>
    </row>
    <row r="4" customFormat="false" ht="15.75" hidden="false" customHeight="true" outlineLevel="0" collapsed="false">
      <c r="B4" s="8" t="s">
        <v>18</v>
      </c>
      <c r="C4" s="8"/>
      <c r="D4" s="8"/>
      <c r="E4" s="8"/>
      <c r="F4" s="8"/>
      <c r="G4" s="8"/>
    </row>
    <row r="5" customFormat="false" ht="90" hidden="false" customHeight="true" outlineLevel="0" collapsed="false">
      <c r="B5" s="9" t="s">
        <v>92</v>
      </c>
      <c r="C5" s="9"/>
      <c r="D5" s="9"/>
      <c r="E5" s="9"/>
      <c r="F5" s="9"/>
      <c r="G5" s="9"/>
    </row>
    <row r="6" customFormat="false" ht="15.75" hidden="false" customHeight="true" outlineLevel="0" collapsed="false">
      <c r="B6" s="8" t="s">
        <v>21</v>
      </c>
      <c r="C6" s="8"/>
      <c r="D6" s="8"/>
      <c r="E6" s="8"/>
      <c r="F6" s="8"/>
      <c r="G6" s="8"/>
    </row>
    <row r="7" customFormat="false" ht="60" hidden="false" customHeight="true" outlineLevel="0" collapsed="false">
      <c r="B7" s="9" t="s">
        <v>93</v>
      </c>
      <c r="C7" s="9"/>
      <c r="D7" s="9"/>
      <c r="E7" s="9"/>
      <c r="F7" s="9"/>
      <c r="G7" s="9"/>
    </row>
    <row r="9" customFormat="false" ht="15.75" hidden="false" customHeight="true" outlineLevel="0" collapsed="false">
      <c r="B9" s="8" t="s">
        <v>94</v>
      </c>
      <c r="C9" s="8"/>
      <c r="D9" s="8"/>
      <c r="E9" s="8"/>
      <c r="F9" s="8"/>
      <c r="G9" s="8"/>
    </row>
    <row r="10" customFormat="false" ht="30" hidden="false" customHeight="true" outlineLevel="0" collapsed="false">
      <c r="B10" s="9" t="s">
        <v>95</v>
      </c>
      <c r="C10" s="9"/>
      <c r="D10" s="9"/>
      <c r="E10" s="9"/>
      <c r="F10" s="9"/>
      <c r="G10" s="9"/>
    </row>
    <row r="11" customFormat="false" ht="15" hidden="false" customHeight="false" outlineLevel="0" collapsed="false">
      <c r="B11" s="21" t="s">
        <v>96</v>
      </c>
      <c r="C11" s="22" t="s">
        <v>97</v>
      </c>
      <c r="D11" s="22" t="s">
        <v>98</v>
      </c>
    </row>
    <row r="12" customFormat="false" ht="15" hidden="false" customHeight="false" outlineLevel="0" collapsed="false">
      <c r="B12" s="23" t="s">
        <v>99</v>
      </c>
      <c r="C12" s="24" t="n">
        <v>34</v>
      </c>
      <c r="D12" s="24" t="n">
        <v>42</v>
      </c>
    </row>
    <row r="13" customFormat="false" ht="15" hidden="false" customHeight="false" outlineLevel="0" collapsed="false">
      <c r="B13" s="23" t="s">
        <v>100</v>
      </c>
      <c r="C13" s="24" t="n">
        <v>58060</v>
      </c>
      <c r="D13" s="24" t="n">
        <v>58060</v>
      </c>
    </row>
    <row r="14" customFormat="false" ht="15" hidden="false" customHeight="false" outlineLevel="0" collapsed="false">
      <c r="B14" s="23" t="s">
        <v>101</v>
      </c>
      <c r="C14" s="24" t="n">
        <v>180</v>
      </c>
      <c r="D14" s="24" t="n">
        <v>215</v>
      </c>
    </row>
    <row r="15" customFormat="false" ht="15" hidden="false" customHeight="false" outlineLevel="0" collapsed="false">
      <c r="B15" s="23" t="s">
        <v>102</v>
      </c>
      <c r="C15" s="24" t="n">
        <v>9580</v>
      </c>
      <c r="D15" s="24" t="n">
        <v>9580</v>
      </c>
    </row>
    <row r="16" customFormat="false" ht="15" hidden="false" customHeight="false" outlineLevel="0" collapsed="false">
      <c r="B16" s="23" t="s">
        <v>103</v>
      </c>
      <c r="C16" s="24" t="n">
        <v>14</v>
      </c>
      <c r="D16" s="24" t="n">
        <v>14</v>
      </c>
    </row>
    <row r="17" customFormat="false" ht="15" hidden="false" customHeight="false" outlineLevel="0" collapsed="false">
      <c r="B17" s="23" t="s">
        <v>104</v>
      </c>
      <c r="C17" s="24" t="n">
        <v>2</v>
      </c>
      <c r="D17" s="24" t="n">
        <v>2</v>
      </c>
    </row>
    <row r="18" customFormat="false" ht="15" hidden="false" customHeight="false" outlineLevel="0" collapsed="false">
      <c r="B18" s="23" t="s">
        <v>105</v>
      </c>
      <c r="C18" s="25" t="n">
        <f aca="false">C12*C13+C14*C15</f>
        <v>3698440</v>
      </c>
      <c r="D18" s="24"/>
    </row>
    <row r="19" customFormat="false" ht="15" hidden="false" customHeight="false" outlineLevel="0" collapsed="false">
      <c r="B19" s="23" t="s">
        <v>106</v>
      </c>
      <c r="C19" s="24"/>
      <c r="D19" s="24" t="s">
        <v>107</v>
      </c>
    </row>
    <row ht="31.5" customHeight="true" r="20" customFormat="false" hidden="false" outlineLevel="0" collapsed="false">
      <c s="30" r="B20" t="s">
        <v>108</v>
      </c>
      <c r="C20" s="24" t="n">
        <v>14400</v>
      </c>
      <c r="D20" s="24" t="n">
        <v>14400</v>
      </c>
    </row>
    <row r="22" customFormat="false" ht="15.75" hidden="false" customHeight="true" outlineLevel="0" collapsed="false">
      <c r="B22" s="8" t="s">
        <v>109</v>
      </c>
      <c r="C22" s="8"/>
      <c r="D22" s="8"/>
      <c r="E22" s="8"/>
      <c r="F22" s="8"/>
      <c r="G22" s="8"/>
    </row>
    <row ht="90" customHeight="true" r="23" customFormat="false" hidden="false" outlineLevel="0" collapsed="false">
      <c r="B23" s="9" t="s">
        <v>110</v>
      </c>
      <c r="C23" s="9"/>
      <c r="D23" s="9"/>
      <c r="E23" s="9"/>
      <c r="F23" s="9"/>
      <c r="G23" s="9"/>
    </row>
    <row ht="17.25" customHeight="true" r="25" customFormat="false" hidden="false" outlineLevel="0" collapsed="false">
      <c r="B25" s="10" t="s">
        <v>111</v>
      </c>
      <c r="C25" s="10"/>
      <c r="D25" s="10"/>
      <c r="E25" s="10"/>
      <c r="F25" s="10"/>
      <c r="G25" s="10"/>
    </row>
    <row r="26" customFormat="false" ht="43.5" hidden="false" customHeight="true" outlineLevel="0" collapsed="false">
      <c r="B26" s="11" t="s">
        <v>112</v>
      </c>
      <c r="C26" s="18"/>
      <c r="D26" s="19" t="s">
        <v>62</v>
      </c>
      <c r="G26" s="13" t="str">
        <f aca="false">IF(C26="","Skriv svaret i den gule cellen.",IF(C26=(ROUND(3698440*1.2,0)),"Riktig.",IF(ABS(C26-(ROUND(3698440*0.2,0)))&lt;=0,"Det er økningen alene. Hovedmålet er hele omsetningen: fjoråret × 1,20.",IF(ABS(C26-(ROUND(3698440*1.02,0)))&lt;=0,"Du har regnet 2 %. 20 % er 0,20, så faktoren er 1,20.","Ikke riktig ennå. Se på regnestykket øverst på fanen, og sjekk at du har med alle leddene."))))</f>
        <v>Skriv svaret i den gule cellen.</v>
      </c>
    </row>
    <row r="27" customFormat="false" ht="43.5" hidden="false" customHeight="true" outlineLevel="0" collapsed="false">
      <c r="B27" s="11" t="s">
        <v>113</v>
      </c>
      <c r="C27" s="18"/>
      <c r="D27" s="19" t="s">
        <v>62</v>
      </c>
      <c r="G27" s="13" t="str">
        <f aca="false">IF(C27="","Skriv svaret i den gule cellen.",IF(C27=(42*58060+215*9580),"Riktig.",IF(ABS(C27-(42*58060))&lt;=0,"Det er bare solcelleanleggene. Legg til ladepunktene: 215 × 9 580.",IF(ABS(C27-(215*9580))&lt;=0,"Det er bare ladepunktene. Legg til anleggene: 42 × 58 060.",IF(ABS(C27-(3698440))&lt;=0,"Det er fjorårets tall. Bruk målene: 42 og 215.","Ikke riktig ennå. Se på regnestykket øverst på fanen, og sjekk at du har med alle leddene.")))))</f>
        <v>Skriv svaret i den gule cellen.</v>
      </c>
    </row>
    <row r="28" customFormat="false" ht="43.5" hidden="false" customHeight="true" outlineLevel="0" collapsed="false">
      <c r="B28" s="11" t="s">
        <v>114</v>
      </c>
      <c r="C28" s="18"/>
      <c r="D28" s="19" t="s">
        <v>62</v>
      </c>
      <c r="G28" s="13" t="str">
        <f aca="false">IF(C28="","Skriv svaret i den gule cellen.",IF(C28=((42*58060+215*9580)-ROUND(3698440*1.2,0)),"Riktig.",IF(ABS(C28-(ROUND(3698440*1.2,0)-(42*58060+215*9580)))&lt;=0,"Du har snudd regnestykket. Marginen er delmålene minus hovedmålet; her er den positiv, så delmålene bærer.",IF(ABS(C28-((42*58060+215*9580)-3698440))&lt;=0,"Du har trukket fra fjorårets omsetning, ikke hovedmålet. Hovedmålet er fjoråret × 1,20.","Ikke riktig ennå. Se på regnestykket øverst på fanen, og sjekk at du har med alle leddene."))))</f>
        <v>Skriv svaret i den gule cellen.</v>
      </c>
    </row>
    <row r="29" customFormat="false" ht="43.5" hidden="false" customHeight="true" outlineLevel="0" collapsed="false">
      <c r="B29" s="11" t="s">
        <v>115</v>
      </c>
      <c r="C29" s="26"/>
      <c r="D29" s="19" t="s">
        <v>116</v>
      </c>
      <c r="G29" s="13" t="str">
        <f aca="false">IF(C29="","Skriv svaret i den gule cellen.",IF(ABS(C29-(ROUND((42*58060+215*9580)/3698440*100-100,1)))&lt;=0.05,"Riktig.",IF(ABS(C29-(20))&lt;=0.05,"Det er hovedmålet. Her spør vi hva delmålene faktisk gir: 4 498 220 / 3 698 440.",IF(ABS(C29-(ROUND((42*58060+215*9580)/3698440*100-120,1)))&lt;=0.05,"Du har trukket fra 20 i stedet for 100. Veksten er delmålene delt på fjoråret, minus 1, ganger 100.","Ikke riktig ennå. Se på regnestykket øverst på fanen, og sjekk at du har med alle leddene."))))</f>
        <v>Skriv svaret i den gule cellen.</v>
      </c>
    </row>
    <row ht="17.25" customHeight="true" r="31" customFormat="false" hidden="false" outlineLevel="0" collapsed="false">
      <c r="B31" s="10" t="s">
        <v>117</v>
      </c>
      <c r="C31" s="10"/>
      <c r="D31" s="10"/>
      <c r="E31" s="10"/>
      <c r="F31" s="10"/>
      <c r="G31" s="10"/>
    </row>
    <row r="32" customFormat="false" ht="43.5" hidden="false" customHeight="true" outlineLevel="0" collapsed="false">
      <c r="B32" s="11" t="s">
        <v>118</v>
      </c>
      <c r="C32" s="18"/>
      <c r="D32" s="19" t="s">
        <v>119</v>
      </c>
      <c r="G32" s="13" t="str">
        <f aca="false">IF(C32="","Skriv svaret i den gule cellen.",IF(C32=(34*14+180*2),"Riktig.",IF(ABS(C32-(34*14))&lt;=0,"Det er bare anleggene. Legg til ladepunktene: 180 × 2.",IF(ABS(C32-(34+180))&lt;=0,"Du har lagt sammen antall jobber, ikke timer. Gang med timene per jobb først.","Ikke riktig ennå. Se på regnestykket øverst på fanen, og sjekk at du har med alle leddene."))))</f>
        <v>Skriv svaret i den gule cellen.</v>
      </c>
    </row>
    <row r="33" customFormat="false" ht="43.5" hidden="false" customHeight="true" outlineLevel="0" collapsed="false">
      <c r="B33" s="11" t="s">
        <v>120</v>
      </c>
      <c r="C33" s="18"/>
      <c r="D33" s="19" t="s">
        <v>119</v>
      </c>
      <c r="G33" s="13" t="str">
        <f aca="false">IF(C33="","Skriv svaret i den gule cellen.",IF(C33=(42*14+215*2),"Riktig.",IF(ABS(C33-(42*14))&lt;=0,"Det er bare anleggene. Legg til ladepunktene: 215 × 2.",IF(ABS(C33-(42+215))&lt;=0,"Du har lagt sammen antall jobber, ikke timer.","Ikke riktig ennå. Se på regnestykket øverst på fanen, og sjekk at du har med alle leddene."))))</f>
        <v>Skriv svaret i den gule cellen.</v>
      </c>
    </row>
    <row r="34" customFormat="false" ht="43.5" hidden="false" customHeight="true" outlineLevel="0" collapsed="false">
      <c r="B34" s="11" t="s">
        <v>121</v>
      </c>
      <c r="C34" s="18"/>
      <c r="D34" s="19" t="s">
        <v>119</v>
      </c>
      <c r="G34" s="13" t="str">
        <f aca="false">IF(C34="","Skriv svaret i den gule cellen.",IF(C34=((42*14+215*2)-(34*14+180*2)),"Riktig.",IF(ABS(C34-(42*14+215*2))&lt;=0,"Det er alle timene ved målet. Spørsmålet er hvor mange flere enn i fjor: trekk fra fjorårets timer.","Ikke riktig ennå. Se på regnestykket øverst på fanen, og sjekk at du har med alle leddene.")))</f>
        <v>Skriv svaret i den gule cellen.</v>
      </c>
    </row>
    <row r="35" customFormat="false" ht="43.5" hidden="false" customHeight="true" outlineLevel="0" collapsed="false">
      <c r="B35" s="11" t="s">
        <v>122</v>
      </c>
      <c r="C35" s="26"/>
      <c r="D35" s="19" t="s">
        <v>116</v>
      </c>
      <c r="G35" s="13" t="str">
        <f aca="false">IF(C35="","Skriv svaret i den gule cellen.",IF(ABS(C35-(ROUND(((42*14+215*2)-(34*14+180*2))/14400*100,1)))&lt;=0.05,"Riktig.",IF(ABS(C35-(ROUND((42*14+215*2)/14400*100,1)))&lt;=0.05,"Du har delt alle timene ved målet på 14 400. Det er de ekstra timene (g) som skal deles.",IF(ABS(C35-(ROUND(((42*14+215*2)-(34*14+180*2))/(34*14+180*2)*100,1)))&lt;=0.05,"Du har delt på fjorårets timer i avdelingen. Sammenlikn med alle timene Nordlys fakturerer: 14 400.","Ikke riktig ennå. Se på regnestykket øverst på fanen, og sjekk at du har med alle leddene."))))</f>
        <v>Skriv svaret i den gule cellen.</v>
      </c>
    </row>
    <row ht="17.25" customHeight="true" r="37" customFormat="false" hidden="false" outlineLevel="0" collapsed="false">
      <c r="B37" s="10" t="s">
        <v>123</v>
      </c>
      <c r="C37" s="10"/>
      <c r="D37" s="10"/>
      <c r="E37" s="10"/>
      <c r="F37" s="10"/>
      <c r="G37" s="10"/>
    </row>
    <row r="38" customFormat="false" ht="91.5" hidden="false" customHeight="true" outlineLevel="0" collapsed="false">
      <c r="B38" s="11" t="s">
        <v>124</v>
      </c>
      <c r="C38" s="12"/>
      <c r="G38" s="13" t="str">
        <f aca="false">IF(C38="","Velg i nedtrekksmenyen.",IF(C38="Nei. Markedet falt 70 %","Riktig. Realistisk betyr både kapasitet og marked (3.4). Timene kan skaffes: 182 timer er 1,3 % av de 14 400 Nordlys fakturerer, og serviceavdelingen har ledige timer. Men +23,5 % anlegg i et marked som falt 70 %, krever at Nordlys tar kunder fra konkurrenter som permitterer. Det er markedet som stopper målet, ikke montørene.","Ikke riktig. Realistisk betyr både kapasitet og marked (3.4). Timene kan skaffes: 182 timer er 1,3 % av de 14 400 Nordlys fakturerer, og serviceavdelingen har ledige timer. Men +23,5 % anlegg i et marked som falt 70 %, krever at Nordlys tar kunder fra konkurrenter som permitterer. Det er markedet som stopper målet, ikke montørene."))</f>
        <v>Velg i nedtrekksmenyen.</v>
      </c>
    </row>
    <row ht="17.25" customHeight="true" r="40" customFormat="false" hidden="false" outlineLevel="0" collapsed="false">
      <c r="B40" s="10" t="s">
        <v>125</v>
      </c>
      <c r="C40" s="10"/>
      <c r="D40" s="10"/>
      <c r="E40" s="10"/>
      <c r="F40" s="10"/>
      <c r="G40" s="10"/>
    </row>
    <row ht="46.5" customHeight="true" r="41" customFormat="false" hidden="false" outlineLevel="0" collapsed="false">
      <c r="B41" s="11" t="s">
        <v>126</v>
      </c>
      <c r="C41" s="20"/>
      <c r="D41" s="19" t="s">
        <v>76</v>
      </c>
      <c r="G41" s="13" t="str">
        <f aca="false">IF(C41="","Skriv svaret i den gule cellen.",IF(C41=(282),"Riktig.",IF(ABS(C41-(281))&lt;=0,"Du har rundet ned. 30 × 58 060 + 281 × 9 580 = 4 433 780 kr, og det når ikke opp til hovedmålet på 4 438 128. Rund opp.",IF(ABS(C41-(258))&lt;=0,"Du har beholdt 34 anlegg. Idas miks har 30 anlegg, så ladepunktene må dekke mer.",IF(ABS(C41-(215))&lt;=0,"Det er det gamle delmålet. Med 30 anlegg må ladepunktene dekke resten av hovedmålet: regn (4 438 128 − 30 × 58 060) / 9 580.",IF(ABS(C41-(30))&lt;=0,"Det er antall anlegg. Spørsmålet er antall ladepunkt.","Ikke riktig ennå. Se på regnestykket øverst på fanen, og sjekk at du har med alle leddene."))))))</f>
        <v>Skriv svaret i den gule cellen.</v>
      </c>
    </row>
    <row r="42" customFormat="false" ht="43.5" hidden="false" customHeight="true" outlineLevel="0" collapsed="false">
      <c r="B42" s="11" t="s">
        <v>127</v>
      </c>
      <c r="C42" s="18"/>
      <c r="D42" s="19" t="s">
        <v>119</v>
      </c>
      <c r="G42" s="13" t="str">
        <f aca="false">IF(C42="","Skriv svaret i den gule cellen.",IF(C42=((30*14+282*2)-(34*14+180*2)),"Riktig.",IF(ABS(C42-(30*14+282*2))&lt;=0,"Det er alle timene med den nye miksen. Trekk fra fjorårets 836 timer.",IF(ABS(C42-(282*2-180*2))&lt;=0,"Du har bare regnet ladepunktene. Anleggene går ned fra 34 til 30, og det sparer timer.","Ikke riktig ennå. Se på regnestykket øverst på fanen, og sjekk at du har med alle leddene."))))</f>
        <v>Skriv svaret i den gule cellen.</v>
      </c>
    </row>
    <row r="44" customFormat="false" ht="30" hidden="false" customHeight="true" outlineLevel="0" collapsed="false">
      <c r="B44" s="9" t="s">
        <v>128</v>
      </c>
      <c r="C44" s="9"/>
      <c r="D44" s="9"/>
      <c r="E44" s="9"/>
      <c r="F44" s="9"/>
      <c r="G44" s="9"/>
    </row>
    <row r="45" customFormat="false" ht="21.75" hidden="false" customHeight="true" outlineLevel="0" collapsed="false">
      <c r="B45" s="14"/>
      <c r="C45" s="14"/>
      <c r="D45" s="14"/>
      <c r="E45" s="14"/>
      <c r="F45" s="14"/>
      <c r="G45" s="14"/>
    </row>
    <row r="46" customFormat="false" ht="21.75" hidden="false" customHeight="true" outlineLevel="0" collapsed="false">
      <c r="B46" s="14"/>
      <c r="C46" s="14"/>
      <c r="D46" s="14"/>
      <c r="E46" s="14"/>
      <c r="F46" s="14"/>
      <c r="G46" s="14"/>
    </row>
    <row r="47" customFormat="false" ht="21.75" hidden="false" customHeight="true" outlineLevel="0" collapsed="false">
      <c r="B47" s="14"/>
      <c r="C47" s="14"/>
      <c r="D47" s="14"/>
      <c r="E47" s="14"/>
      <c r="F47" s="14"/>
      <c r="G47" s="14"/>
    </row>
    <row r="48" customFormat="false" ht="39.75" hidden="false" customHeight="true" outlineLevel="0" collapsed="false">
      <c r="B48" s="15" t="str">
        <f aca="false">IF(LEN(B45)&lt;40,"",IF(AND(ISNUMBER(SEARCH("ladepunkt",B45)),ISNUMBER(SEARCH("70",B45))),"Bra: du bruker tallet om solmarkedet og vurderer ladepunktene. Sjekk at du også sier hvem som eier målet og når det følges opp.",IF(OR(ISNUMBER(SEARCH("ladepunkt",B45)),ISNUMBER(SEARCH("70",B45))),"Du er på sporet. Bruk tallene: solmarkedet har falt om lag 70 %, og 282 ladepunkt i boliger mot 180 er +57 % i et marked der nesten alle nye biler er elbiler. Si hvem som eier målet.","Tips: 282 ladepunkt i boliger mot 180 er +57 %, i et marked der over 90 % av nye biler er elbiler. Det er mer realistisk enn 42 anlegg i et solmarked som har falt om lag 70 %, men ambisiøst. Kari eier hovedmålet, Tom følger opp delmålene hver måned, og målet revideres i juni hvis markedet ikke følger med. Borettslag er et eget prosjekt (om lag 20 800 kr per plass) og hører i et eget delmål.")))</f>
        <v/>
      </c>
      <c r="C48" s="15"/>
      <c r="D48" s="15"/>
      <c r="E48" s="15"/>
      <c r="F48" s="15"/>
      <c r="G48" s="15"/>
    </row>
    <row r="49" customFormat="false" ht="15" hidden="false" customHeight="false" outlineLevel="0" collapsed="false">
      <c r="B49" s="16" t="s">
        <v>40</v>
      </c>
      <c r="C49" s="12"/>
    </row>
    <row r="50" customFormat="false" ht="60" hidden="false" customHeight="true" outlineLevel="0" collapsed="false">
      <c r="B50" s="17" t="str">
        <f aca="false">IF(C49="JA","Hint: Hovedmålet: 3 698 440 × 1,20. Delmålene: 42 × 58 060 + 215 × 9 580. Bærer delmålene, er summen minst like stor som hovedmålet. Timer: i fjor 34 × 14 + 180 × 2; ved målet 42 × 14 + 215 × 2; forskjellen delt på 14 400. Ny miks: 30 × 58 060 er anleggene; resten av hovedmålet delt på 9 580 er ladepunktene, rundet opp. Timer: 30 × 14 + 282 × 2.","")</f>
        <v/>
      </c>
      <c r="C50" s="17"/>
      <c r="D50" s="17"/>
      <c r="E50" s="17"/>
      <c r="F50" s="17"/>
      <c r="G50" s="17"/>
    </row>
    <row r="52" customFormat="false" ht="30" hidden="false" customHeight="true" outlineLevel="0" collapsed="false">
      <c r="B52" s="7" t="s">
        <v>41</v>
      </c>
      <c r="C52" s="7"/>
      <c r="D52" s="7"/>
      <c r="E52" s="7"/>
      <c r="F52" s="7"/>
      <c r="G52" s="7"/>
    </row>
  </sheetData>
  <mergeCells count="19">
    <mergeCell ref="B2:G2"/>
    <mergeCell ref="B3:G3"/>
    <mergeCell ref="B4:G4"/>
    <mergeCell ref="B5:G5"/>
    <mergeCell ref="B6:G6"/>
    <mergeCell ref="B7:G7"/>
    <mergeCell ref="B9:G9"/>
    <mergeCell ref="B10:G10"/>
    <mergeCell ref="B22:G22"/>
    <mergeCell ref="B23:G23"/>
    <mergeCell ref="B25:G25"/>
    <mergeCell ref="B31:G31"/>
    <mergeCell ref="B37:G37"/>
    <mergeCell ref="B40:G40"/>
    <mergeCell ref="B44:G44"/>
    <mergeCell ref="B45:G47"/>
    <mergeCell ref="B48:G48"/>
    <mergeCell ref="B50:G50"/>
    <mergeCell ref="B52:G52"/>
  </mergeCells>
  <conditionalFormatting sqref="G26">
    <cfRule type="expression" priority="2" aboveAverage="0" equalAverage="0" bottom="0" percent="0" rank="0" text="" dxfId="0">
      <formula>LEFT(G26,6)="Riktig"</formula>
    </cfRule>
    <cfRule type="expression" priority="3" aboveAverage="0" equalAverage="0" bottom="0" percent="0" rank="0" text="" dxfId="1">
      <formula>AND(G26&lt;&gt;"",LEFT(G26,6)&lt;&gt;"Riktig",LEFT(G26,5)&lt;&gt;"Skriv")</formula>
    </cfRule>
  </conditionalFormatting>
  <conditionalFormatting sqref="G27">
    <cfRule type="expression" priority="4" aboveAverage="0" equalAverage="0" bottom="0" percent="0" rank="0" text="" dxfId="0">
      <formula>LEFT(G27,6)="Riktig"</formula>
    </cfRule>
    <cfRule type="expression" priority="5" aboveAverage="0" equalAverage="0" bottom="0" percent="0" rank="0" text="" dxfId="1">
      <formula>AND(G27&lt;&gt;"",LEFT(G27,6)&lt;&gt;"Riktig",LEFT(G27,5)&lt;&gt;"Skriv")</formula>
    </cfRule>
  </conditionalFormatting>
  <conditionalFormatting sqref="G28">
    <cfRule type="expression" priority="6" aboveAverage="0" equalAverage="0" bottom="0" percent="0" rank="0" text="" dxfId="0">
      <formula>LEFT(G28,6)="Riktig"</formula>
    </cfRule>
    <cfRule type="expression" priority="7" aboveAverage="0" equalAverage="0" bottom="0" percent="0" rank="0" text="" dxfId="1">
      <formula>AND(G28&lt;&gt;"",LEFT(G28,6)&lt;&gt;"Riktig",LEFT(G28,5)&lt;&gt;"Skriv")</formula>
    </cfRule>
  </conditionalFormatting>
  <conditionalFormatting sqref="G29">
    <cfRule type="expression" priority="8" aboveAverage="0" equalAverage="0" bottom="0" percent="0" rank="0" text="" dxfId="0">
      <formula>LEFT(G29,6)="Riktig"</formula>
    </cfRule>
    <cfRule type="expression" priority="9" aboveAverage="0" equalAverage="0" bottom="0" percent="0" rank="0" text="" dxfId="1">
      <formula>AND(G29&lt;&gt;"",LEFT(G29,6)&lt;&gt;"Riktig",LEFT(G29,5)&lt;&gt;"Skriv")</formula>
    </cfRule>
  </conditionalFormatting>
  <conditionalFormatting sqref="G32">
    <cfRule type="expression" priority="10" aboveAverage="0" equalAverage="0" bottom="0" percent="0" rank="0" text="" dxfId="0">
      <formula>LEFT(G32,6)="Riktig"</formula>
    </cfRule>
    <cfRule type="expression" priority="11" aboveAverage="0" equalAverage="0" bottom="0" percent="0" rank="0" text="" dxfId="1">
      <formula>AND(G32&lt;&gt;"",LEFT(G32,6)&lt;&gt;"Riktig",LEFT(G32,5)&lt;&gt;"Skriv")</formula>
    </cfRule>
  </conditionalFormatting>
  <conditionalFormatting sqref="G33">
    <cfRule type="expression" priority="12" aboveAverage="0" equalAverage="0" bottom="0" percent="0" rank="0" text="" dxfId="0">
      <formula>LEFT(G33,6)="Riktig"</formula>
    </cfRule>
    <cfRule type="expression" priority="13" aboveAverage="0" equalAverage="0" bottom="0" percent="0" rank="0" text="" dxfId="1">
      <formula>AND(G33&lt;&gt;"",LEFT(G33,6)&lt;&gt;"Riktig",LEFT(G33,5)&lt;&gt;"Skriv")</formula>
    </cfRule>
  </conditionalFormatting>
  <conditionalFormatting sqref="G34">
    <cfRule type="expression" priority="14" aboveAverage="0" equalAverage="0" bottom="0" percent="0" rank="0" text="" dxfId="0">
      <formula>LEFT(G34,6)="Riktig"</formula>
    </cfRule>
    <cfRule type="expression" priority="15" aboveAverage="0" equalAverage="0" bottom="0" percent="0" rank="0" text="" dxfId="1">
      <formula>AND(G34&lt;&gt;"",LEFT(G34,6)&lt;&gt;"Riktig",LEFT(G34,5)&lt;&gt;"Skriv")</formula>
    </cfRule>
  </conditionalFormatting>
  <conditionalFormatting sqref="G35">
    <cfRule type="expression" priority="16" aboveAverage="0" equalAverage="0" bottom="0" percent="0" rank="0" text="" dxfId="0">
      <formula>LEFT(G35,6)="Riktig"</formula>
    </cfRule>
    <cfRule type="expression" priority="17" aboveAverage="0" equalAverage="0" bottom="0" percent="0" rank="0" text="" dxfId="1">
      <formula>AND(G35&lt;&gt;"",LEFT(G35,6)&lt;&gt;"Riktig",LEFT(G35,5)&lt;&gt;"Skriv")</formula>
    </cfRule>
  </conditionalFormatting>
  <conditionalFormatting sqref="G38">
    <cfRule type="expression" priority="18" aboveAverage="0" equalAverage="0" bottom="0" percent="0" rank="0" text="" dxfId="0">
      <formula>LEFT(G38,6)="Riktig"</formula>
    </cfRule>
    <cfRule type="expression" priority="19" aboveAverage="0" equalAverage="0" bottom="0" percent="0" rank="0" text="" dxfId="1">
      <formula>LEFT(G38,4)="Ikke"</formula>
    </cfRule>
  </conditionalFormatting>
  <conditionalFormatting sqref="G41">
    <cfRule type="expression" priority="20" aboveAverage="0" equalAverage="0" bottom="0" percent="0" rank="0" text="" dxfId="0">
      <formula>LEFT(G41,6)="Riktig"</formula>
    </cfRule>
    <cfRule type="expression" priority="21" aboveAverage="0" equalAverage="0" bottom="0" percent="0" rank="0" text="" dxfId="1">
      <formula>AND(G41&lt;&gt;"",LEFT(G41,6)&lt;&gt;"Riktig",LEFT(G41,5)&lt;&gt;"Skriv")</formula>
    </cfRule>
  </conditionalFormatting>
  <conditionalFormatting sqref="G42">
    <cfRule type="expression" priority="22" aboveAverage="0" equalAverage="0" bottom="0" percent="0" rank="0" text="" dxfId="0">
      <formula>LEFT(G42,6)="Riktig"</formula>
    </cfRule>
    <cfRule type="expression" priority="23" aboveAverage="0" equalAverage="0" bottom="0" percent="0" rank="0" text="" dxfId="1">
      <formula>AND(G42&lt;&gt;"",LEFT(G42,6)&lt;&gt;"Riktig",LEFT(G42,5)&lt;&gt;"Skriv")</formula>
    </cfRule>
  </conditionalFormatting>
  <dataValidations count="2">
    <dataValidation allowBlank="true" errorStyle="stop" operator="between" showDropDown="false" showErrorMessage="false" showInputMessage="false" sqref="C38" type="list">
      <formula1>$Z$1:$Z$3</formula1>
      <formula2>0</formula2>
    </dataValidation>
    <dataValidation allowBlank="true" errorStyle="stop" operator="between" showDropDown="false" showErrorMessage="false" showInputMessage="false" sqref="C4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7" t="s">
        <v>129</v>
      </c>
    </row>
    <row r="3" customFormat="false" ht="30" hidden="false" customHeight="true" outlineLevel="0" collapsed="false">
      <c r="B3" s="7" t="s">
        <v>130</v>
      </c>
      <c r="C3" s="7"/>
      <c r="D3" s="7"/>
    </row>
    <row r="5" customFormat="false" ht="15" hidden="false" customHeight="false" outlineLevel="0" collapsed="false">
      <c r="B5" s="28" t="s">
        <v>131</v>
      </c>
      <c r="C5" s="28" t="s">
        <v>132</v>
      </c>
      <c r="D5" s="28" t="s">
        <v>133</v>
      </c>
    </row>
    <row r="6" customFormat="false" ht="60" hidden="false" customHeight="true" outlineLevel="0" collapsed="false">
      <c r="B6" s="29" t="s">
        <v>134</v>
      </c>
      <c r="C6" s="25"/>
      <c r="D6" s="29" t="s">
        <v>135</v>
      </c>
    </row>
    <row r="7" customFormat="false" ht="45" hidden="false" customHeight="true" outlineLevel="0" collapsed="false">
      <c r="B7" s="29" t="s">
        <v>136</v>
      </c>
      <c r="C7" s="25"/>
      <c r="D7" s="29" t="s">
        <v>137</v>
      </c>
    </row>
    <row r="8" customFormat="false" ht="30" hidden="false" customHeight="true" outlineLevel="0" collapsed="false">
      <c r="B8" s="29" t="s">
        <v>138</v>
      </c>
      <c r="C8" s="25"/>
      <c r="D8" s="29" t="s">
        <v>139</v>
      </c>
    </row>
    <row r="9" customFormat="false" ht="30" hidden="false" customHeight="true" outlineLevel="0" collapsed="false">
      <c r="B9" s="29" t="s">
        <v>140</v>
      </c>
      <c r="C9" s="25" t="n">
        <v>4438128</v>
      </c>
      <c r="D9" s="29" t="s">
        <v>141</v>
      </c>
    </row>
    <row r="10" customFormat="false" ht="30" hidden="false" customHeight="true" outlineLevel="0" collapsed="false">
      <c r="B10" s="29" t="s">
        <v>142</v>
      </c>
      <c r="C10" s="25"/>
      <c r="D10" s="29" t="s">
        <v>143</v>
      </c>
    </row>
    <row r="11" customFormat="false" ht="30" hidden="false" customHeight="true" outlineLevel="0" collapsed="false">
      <c r="B11" s="29" t="s">
        <v>144</v>
      </c>
      <c r="C11" s="25"/>
      <c r="D11" s="29" t="s">
        <v>145</v>
      </c>
    </row>
    <row r="12" customFormat="false" ht="30" hidden="false" customHeight="true" outlineLevel="0" collapsed="false">
      <c r="B12" s="29" t="s">
        <v>146</v>
      </c>
      <c r="C12" s="25"/>
      <c r="D12" s="29" t="s">
        <v>147</v>
      </c>
    </row>
    <row r="13" customFormat="false" ht="30" hidden="false" customHeight="true" outlineLevel="0" collapsed="false">
      <c r="B13" s="29" t="s">
        <v>148</v>
      </c>
      <c r="C13" s="25" t="n">
        <v>4438128</v>
      </c>
      <c r="D13" s="29" t="s">
        <v>149</v>
      </c>
    </row>
    <row r="14" customFormat="false" ht="30" hidden="false" customHeight="true" outlineLevel="0" collapsed="false">
      <c r="B14" s="29" t="s">
        <v>150</v>
      </c>
      <c r="C14" s="25" t="n">
        <v>4498220</v>
      </c>
      <c r="D14" s="29" t="s">
        <v>151</v>
      </c>
    </row>
    <row r="15" customFormat="false" ht="30" hidden="false" customHeight="true" outlineLevel="0" collapsed="false">
      <c r="B15" s="29" t="s">
        <v>152</v>
      </c>
      <c r="C15" s="25" t="n">
        <v>60092</v>
      </c>
      <c r="D15" s="29" t="s">
        <v>153</v>
      </c>
    </row>
    <row r="16" customFormat="false" ht="30" hidden="false" customHeight="true" outlineLevel="0" collapsed="false">
      <c r="B16" s="29" t="s">
        <v>154</v>
      </c>
      <c r="C16" s="25" t="n">
        <v>21.6</v>
      </c>
      <c r="D16" s="29" t="s">
        <v>155</v>
      </c>
    </row>
    <row r="17" customFormat="false" ht="30" hidden="false" customHeight="true" outlineLevel="0" collapsed="false">
      <c r="B17" s="29" t="s">
        <v>156</v>
      </c>
      <c r="C17" s="25" t="n">
        <v>836</v>
      </c>
      <c r="D17" s="29" t="s">
        <v>157</v>
      </c>
    </row>
    <row r="18" customFormat="false" ht="30" hidden="false" customHeight="true" outlineLevel="0" collapsed="false">
      <c r="B18" s="29" t="s">
        <v>158</v>
      </c>
      <c r="C18" s="25" t="n">
        <v>1018</v>
      </c>
      <c r="D18" s="29" t="s">
        <v>159</v>
      </c>
    </row>
    <row r="19" customFormat="false" ht="30" hidden="false" customHeight="true" outlineLevel="0" collapsed="false">
      <c r="B19" s="29" t="s">
        <v>160</v>
      </c>
      <c r="C19" s="25" t="n">
        <v>182</v>
      </c>
      <c r="D19" s="29" t="s">
        <v>161</v>
      </c>
    </row>
    <row r="20" customFormat="false" ht="30" hidden="false" customHeight="true" outlineLevel="0" collapsed="false">
      <c r="B20" s="29" t="s">
        <v>162</v>
      </c>
      <c r="C20" s="25" t="n">
        <v>1.3</v>
      </c>
      <c r="D20" s="29" t="s">
        <v>163</v>
      </c>
    </row>
    <row r="21" customFormat="false" ht="30" hidden="false" customHeight="true" outlineLevel="0" collapsed="false">
      <c r="B21" s="29" t="s">
        <v>164</v>
      </c>
      <c r="C21" s="25"/>
      <c r="D21" s="29" t="s">
        <v>165</v>
      </c>
    </row>
    <row r="22" customFormat="false" ht="30" hidden="false" customHeight="true" outlineLevel="0" collapsed="false">
      <c r="B22" s="29" t="s">
        <v>166</v>
      </c>
      <c r="C22" s="25" t="n">
        <v>282</v>
      </c>
      <c r="D22" s="29" t="s">
        <v>167</v>
      </c>
    </row>
    <row r="23" customFormat="false" ht="30" hidden="false" customHeight="true" outlineLevel="0" collapsed="false">
      <c r="B23" s="29" t="s">
        <v>168</v>
      </c>
      <c r="C23" s="25" t="n">
        <v>148</v>
      </c>
      <c r="D23" s="29" t="s">
        <v>169</v>
      </c>
    </row>
    <row r="24" customFormat="false" ht="90" hidden="false" customHeight="true" outlineLevel="0" collapsed="false">
      <c r="B24" s="29" t="s">
        <v>170</v>
      </c>
      <c r="C24" s="25"/>
      <c r="D24" s="29" t="s">
        <v>171</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2026-10-22T16:43:13Z</dcterms:created>
  <dc:creator>openpyxl</dc:creator>
  <dc:description/>
  <dc:language>en-US</dc:language>
  <cp:lastModifiedBy/>
  <dcterms:modified xsi:type="dcterms:W3CDTF">2026-10-22T16:43:13Z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