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2A" sheetId="5" state="visible" r:id="rId7"/>
    <sheet name="2B" sheetId="6" state="visible" r:id="rId8"/>
    <sheet name="2C" sheetId="7" state="visible" r:id="rId9"/>
    <sheet name="Fasi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<sst xmlns="http://schemas.openxmlformats.org/spreadsheetml/2006/main" count="314" uniqueCount="265">
  <si>
    <t xml:space="preserve">Produkt som konkurransevirkemiddel: oppgaver til kapittel 6</t>
  </si>
  <si>
    <t xml:space="preserve">Markedsføring, organisasjon og ledelse for LØM-emnet (Hjertnes), kapittel 6. Versjon 6, oktober 2026. Nordlys Elektro AS og Fjell Elektro AS er konstruerte casebedrifter; tallene er faktaarkene og casetallene for tjenestene.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</si>
  <si>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</si>
  <si>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</si>
  <si>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</si>
  <si>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</si>
  <si>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</si>
  <si>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</si>
  <si>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Toms serviceavtale med termografering: hva kjøper gårdeieren?</t>
  </si>
  <si>
    <t xml:space="preserve">1B  Fjells ladepakke: tilleggene, garantien og hva de koster</t>
  </si>
  <si>
    <t xml:space="preserve">1C  Nordlys' produktmiks: hva henger sammen, og hva koster bredden?</t>
  </si>
  <si>
    <t xml:space="preserve">2A  Nordlys' tjenester i livssyklusen: hvilken fase, og hvilket tiltak?</t>
  </si>
  <si>
    <t xml:space="preserve">2B  Skal antenne og koaks ut av sortimentet? Regn per montørtime</t>
  </si>
  <si>
    <t xml:space="preserve">2C  Fjell Elektro: hvilken tjeneste skal bære merkevaren?</t>
  </si>
  <si>
    <t xml:space="preserve">Fasit  Alle svar med regnestykket skrevet ut</t>
  </si>
  <si>
    <t xml:space="preserve">Dette er øvingsmateriell til repetisjons- og øvingsstøtte. I besvarelser, caser, prosjektoppgaver og eksamen gjelder lærebøkene og oppgitte primærkilder.</t>
  </si>
  <si>
    <t xml:space="preserve">Oppgave 1A: Toms serviceavtale med termografering: hva kjøper gårdeieren?</t>
  </si>
  <si>
    <t xml:space="preserve">Alene, i par eller i gruppe, slik du vil.</t>
  </si>
  <si>
    <t xml:space="preserve">Situasjonen</t>
  </si>
  <si>
    <t xml:space="preserve">Tom Berg er driftsleder for service i Nordlys Elektro. Han vil gjøre serviceoppdraget på næringsbygg om til en fast årlig serviceavtale med termografering av tavlene. Kundene er gårdeiere og driftsledere i næringsbygg. En av montørene sier: «På dette er de eneste konkurrentene våre andre elektrobedrifter.»</t>
  </si>
  <si>
    <t xml:space="preserve">Begrepene du trenger</t>
  </si>
  <si>
    <t xml:space="preserve">Boka deler produktet i fire nivåer (figur 6.1): kjerneproduktet er behovet produktet først og fremst skal dekke; det konkrete produktet er de fysiske, objektive kjennetegnene; det utvidete produktet er tilleggsytelsene, som garantier, serviceavtaler og opplæring av kunden; det uspesifiserte produktet er verdien ut over dette, blant annet merkeverdiene. Kjerneproduktet viser hvem konkurrentene er: alle som dekker det samme behovet (6.2.1).</t>
  </si>
  <si>
    <t xml:space="preserve">Tallene</t>
  </si>
  <si>
    <t xml:space="preserve">Avtalen koster 18 500 kr i året uten merverdiavgift. Materiellet koster 7 360 kr, og jobben tar 6 montørtimer. I avtalen ligger termografering av tavlene med rapport og bilder, et gjennomgangsmøte der avvikene forklares for driftslederen, utrykning innen fire timer ved feil, og samme montør hvert år.</t>
  </si>
  <si>
    <t xml:space="preserve">Avtalen</t>
  </si>
  <si>
    <t xml:space="preserve">Kroner</t>
  </si>
  <si>
    <t xml:space="preserve">Pris per år, uten merverdiavgift</t>
  </si>
  <si>
    <t xml:space="preserve">Materiell</t>
  </si>
  <si>
    <t xml:space="preserve">Montørtimer</t>
  </si>
  <si>
    <t xml:space="preserve">Oppgaven, trinn for trinn</t>
  </si>
  <si>
    <t xml:space="preserve">1. Velg kjerneproduktet i a: det behovet avtalen først og fremst skal dekke.
2. Sorter de fem delene av avtalen på de fire nivåene i b. Spør for hver: er det behovet, tingen, tillegget eller inntrykket?
3. Regn i c hvor stor del av prisen som er materiell, i prosent med én desimal.
4. Vurder montørens påstand i d, og skriv to setninger i e.</t>
  </si>
  <si>
    <t xml:space="preserve">a) Hva er kjerneproduktet i serviceavtalen?</t>
  </si>
  <si>
    <t xml:space="preserve">b) Hvilket nivå hører delen til? Velg i nedtrekksmenyen</t>
  </si>
  <si>
    <t xml:space="preserve">Tryggheten for at bygget ikke brenner eller stanser</t>
  </si>
  <si>
    <t xml:space="preserve">Termografibildene og målingene i rapporten</t>
  </si>
  <si>
    <t xml:space="preserve">Utrykning innen fire timer ved feil</t>
  </si>
  <si>
    <t xml:space="preserve">Gjennomgangsmøtet der avvikene forklares for driftslederen</t>
  </si>
  <si>
    <t xml:space="preserve">At det står Nordlys på rapporten</t>
  </si>
  <si>
    <t xml:space="preserve">c) Materiell i prosent av prisen (én desimal)</t>
  </si>
  <si>
    <t xml:space="preserve">%</t>
  </si>
  <si>
    <t xml:space="preserve">d) En montør sier: «På dette er de eneste konkurrentene våre andre elektrobedrifter.» Stemmer det?</t>
  </si>
  <si>
    <t xml:space="preserve">e) Hvilket nivå bør Tom bygge avtalen på, og hvordan gjør han det synlig for gårdeieren? To setninger.</t>
  </si>
  <si>
    <t xml:space="preserve">Står du fast? Skriv JA i den gule cellen:</t>
  </si>
  <si>
    <t xml:space="preserve">Gule celler fyller du inn. Grønne regnes ut av arket. Sjekken til høyre forteller om svaret stemmer, og hva du bør se på hvis ikke.</t>
  </si>
  <si>
    <t xml:space="preserve">Oppgave 1B: Fjells ladepakke: tilleggene, garantien og hva de koster</t>
  </si>
  <si>
    <t xml:space="preserve">Fjell Elektro AS i Oslo har montert elbilladere i eneboliger siden starten. Mona Fjell, eieren, vil gjøre oppdraget til en fast pakke, «ladeboks med installasjon», og vurderer tre tillegg: 5 års garanti på arbeidet, en telefon etter to uker med gjennomgang av lade-appen, og at hun selv ser over sikringsskapet. Prisen skal være den samme.</t>
  </si>
  <si>
    <t xml:space="preserve">Et produkt er alle typer varer og tjenester og alle kombinasjoner av dem (6.1). En tjeneste er ikke-fysisk, lages og brukes samtidig, kan ikke lagres og har personavhengig kvalitet. Kvalitet er helheten av egenskaper og produktets evne til å tilfredsstille brukerens behov; god kvalitet er å møte eller overgå kundens forventninger (6.4). Garantier er det utvidete produktet (6.2.3), men forbrukerkjøpsloven § 27 og håndverkertjenesteloven § 22 gir kunden fem års reklamasjonsrett på ting og arbeid som er ment å vare lenge. En garanti må gi noe ut over loven.</t>
  </si>
  <si>
    <t xml:space="preserve">Et typisk oppdrag tar 3 montørtimer à 890 kr, og materiellet koster 8 000 kr i innkjøp og selges med 20 % påslag. Prisen er 12 270 kr uten merverdiavgift (3 × 890 + 8 000 × 1,20). Fjell regner at en montørtime koster 590 kr i oppdragskalkyler, så dekningsbidraget er 12 270 − 8 000 − 3 × 590 = 2 500 kr. De tre tilleggene tar til sammen 0,5 montørtime per jobb. Prisen skal være den samme.</t>
  </si>
  <si>
    <t xml:space="preserve">Ladepakken</t>
  </si>
  <si>
    <t xml:space="preserve">Pris, uten merverdiavgift</t>
  </si>
  <si>
    <t xml:space="preserve">Materiell, innkjøp</t>
  </si>
  <si>
    <t xml:space="preserve">Kostnad per montørtime</t>
  </si>
  <si>
    <t xml:space="preserve">Dekningsbidrag i dag</t>
  </si>
  <si>
    <t xml:space="preserve">Tilleggene, montørtimer per jobb</t>
  </si>
  <si>
    <t xml:space="preserve">1. Velg produktkategorien i a.
2. Sorter de seks påstandene i b: hører de til varen (boksen) eller tjenesten (installasjonen)?
3. Regn dekningsbidraget med tilleggene i c, og nedgangen i prosent av 2 500 i d (hele prosent).
4. Vurder Monas påstand om kvalitet i e, sorter de fire løftene i f, og skriv to setninger i g.</t>
  </si>
  <si>
    <t xml:space="preserve">a) Hvilken produktkategori er «ladeboks med installasjon»?</t>
  </si>
  <si>
    <t xml:space="preserve">b) Varen eller tjenesten? Velg i nedtrekksmenyen</t>
  </si>
  <si>
    <t xml:space="preserve">En ledig montørdag i dag kan ikke selges i morgen</t>
  </si>
  <si>
    <t xml:space="preserve">Jobben lages hjemme hos kunden, mens hun ser på</t>
  </si>
  <si>
    <t xml:space="preserve">Resultatet avhenger av hvem som kommer</t>
  </si>
  <si>
    <t xml:space="preserve">Boksen lader med 11 kilowatt</t>
  </si>
  <si>
    <t xml:space="preserve">Boksen har et typenummer fra produsenten</t>
  </si>
  <si>
    <t xml:space="preserve">Grossisten har 40 bokser på lager</t>
  </si>
  <si>
    <t xml:space="preserve">c) Dekningsbidrag per jobb med de tre tilleggene, prisen uendret</t>
  </si>
  <si>
    <t xml:space="preserve">kr</t>
  </si>
  <si>
    <t xml:space="preserve">d) Nedgangen i prosent av 2 500 kr (hele prosent)</t>
  </si>
  <si>
    <t xml:space="preserve">e) Mona sier: «Kvalitet er at anlegget er riktig etter forskriften. Resten er pynt.» Stemmer det etter boka?</t>
  </si>
  <si>
    <t xml:space="preserve">f) Gir loven kunden dette allerede, eller er det mer enn loven? Velg i nedtrekksmenyen</t>
  </si>
  <si>
    <t xml:space="preserve">Fem års reklamasjonsrett på arbeidet</t>
  </si>
  <si>
    <t xml:space="preserve">Feil rettes innen rimelig tid</t>
  </si>
  <si>
    <t xml:space="preserve">Ny boks uten diskusjon hvis den svikter innen sju år</t>
  </si>
  <si>
    <t xml:space="preserve">Utrykning innen 24 timer ved feil</t>
  </si>
  <si>
    <t xml:space="preserve">g) Skal tilleggene inn i pakken, og hvordan gjør Mona dem synlige for kunden? To setninger, med tallet 295 kr.</t>
  </si>
  <si>
    <t xml:space="preserve">Oppgave 1C: Nordlys' produktmiks: hva henger sammen, og hva koster bredden?</t>
  </si>
  <si>
    <t xml:space="preserve">Nordlys har seks tjenestegrupper med til sammen 20 varianter. Kari vil se hele sortimentet på ett ark: hvor bredt det er, hvor dypt, hva gruppene er verdt i kroner, og hva som henger sammen med hva.</t>
  </si>
  <si>
    <t xml:space="preserve">Bredde er hvor mange produktgrupper bedriften fører, dybde er antall varianter innenfor hver gruppe, og et konsistent vareutvalg består av produkter som forsterker salget av hverandre (6.5). Komplementære produkter utfyller hverandre i bruk. Substitutter erstatter hverandre og hører til dybden. Et stort vareutvalg koster lager, svinn og kapitalbinding; for en tjenesteyter koster bredden kompetanse.</t>
  </si>
  <si>
    <t xml:space="preserve">Oppstillingen</t>
  </si>
  <si>
    <t xml:space="preserve">Nordlys har seks tjenestegrupper. Andelen av salgsinntekten på 22 400 000 kr står i prosent, antall varianter i hver gruppe i siste kolonne. Fyll inn summene i de gule cellene.</t>
  </si>
  <si>
    <t xml:space="preserve">Tjenestegruppe</t>
  </si>
  <si>
    <t xml:space="preserve">Andel, prosent</t>
  </si>
  <si>
    <t xml:space="preserve">Varianter</t>
  </si>
  <si>
    <t xml:space="preserve">Boliginstallasjon og rehabilitering</t>
  </si>
  <si>
    <t xml:space="preserve">Prosjekt og nybygg</t>
  </si>
  <si>
    <t xml:space="preserve">Service og feilsøking</t>
  </si>
  <si>
    <t xml:space="preserve">El-kontroll og dokumentasjon</t>
  </si>
  <si>
    <t xml:space="preserve">Solcelle og lading</t>
  </si>
  <si>
    <t xml:space="preserve">Antenne- og koaksanlegg</t>
  </si>
  <si>
    <t xml:space="preserve">Sum</t>
  </si>
  <si>
    <t xml:space="preserve">1. Fyll inn summen av andelene og summen av variantene i tabellen (gule celler).
2. Regn bredden, dybden per gruppe (én desimal), og hva solcelle og lading og antenne er i kroner av 22 400 000 (a til d).
3. Sorter de seks parene i e: komplementære, substitutter eller ingen sammenheng.
4. Velg i f hva bredden koster en tjenesteyter, og skriv tre setninger i g.</t>
  </si>
  <si>
    <t xml:space="preserve">Sjekk av tabellen</t>
  </si>
  <si>
    <t xml:space="preserve">Summen av andelene:</t>
  </si>
  <si>
    <t xml:space="preserve">Summen av variantene:</t>
  </si>
  <si>
    <t xml:space="preserve">a) Bredden i sortimentet (antall tjenestegrupper)</t>
  </si>
  <si>
    <t xml:space="preserve">grupper</t>
  </si>
  <si>
    <t xml:space="preserve">b) Dybden: varianter per gruppe i snitt (én desimal)</t>
  </si>
  <si>
    <t xml:space="preserve">varianter per gruppe</t>
  </si>
  <si>
    <t xml:space="preserve">c) Solcelle og lading i kroner (15 % av 22 400 000)</t>
  </si>
  <si>
    <t xml:space="preserve">d) Antenne og koaks i kroner (2 % av 22 400 000)</t>
  </si>
  <si>
    <t xml:space="preserve">e) Hva slags sammenheng er det mellom de to? Velg i nedtrekksmenyen</t>
  </si>
  <si>
    <t xml:space="preserve">Ladepunkt og kursutvidelse i sikringsskapet</t>
  </si>
  <si>
    <t xml:space="preserve">To ladeboksmerker</t>
  </si>
  <si>
    <t xml:space="preserve">Solcelleanlegg og batterilagring</t>
  </si>
  <si>
    <t xml:space="preserve">Termografering og retting av avvikene den fant</t>
  </si>
  <si>
    <t xml:space="preserve">Antenneanlegg og ladepunkt</t>
  </si>
  <si>
    <t xml:space="preserve">Planlagt service og akutt utrykning</t>
  </si>
  <si>
    <t xml:space="preserve">f) Hva koster bredden en tjenesteyter som Nordlys først og fremst?</t>
  </si>
  <si>
    <t xml:space="preserve">g) Hvilken tjenestegruppe mangler konsistens med resten av sortimentet, og hva bør Nordlys gjøre med den? Tre setninger.</t>
  </si>
  <si>
    <t xml:space="preserve">Oppgave 2A: Nordlys' tjenester i livssyklusen: hvilken fase, og hvilket tiltak?</t>
  </si>
  <si>
    <t xml:space="preserve">Kari har fire tjenester som går hver sin vei, og to store som står stille. Hun må vite hvor i livsløpet hver tjeneste er før hun bestemmer hvor timene og markedsføringspengene skal gå.</t>
  </si>
  <si>
    <t xml:space="preserve">Ethvert produkt har et livsløp i fire faser (figur 6.2): introduksjon, vekst, modning (boka kaller den også metning) og tilbakegang. I introduksjonsfasen velger bedriften moderat pris for rask inntrengning, eller høy pris mens den er alene. I vekst kommer nye varianter. På toppen kan produktet få et løft med nye egenskaper. I tilbakegang holdes kostnadene nede (6.7). Fasen bestemmes av retningen på salget nå.</t>
  </si>
  <si>
    <t xml:space="preserve">Ladepunkt: 180 i fjor, mål 215 i år, og 95 % av nye biler er elbiler. Solcelleanlegg: forespørslene stuper, markedet er ned 70 % i 2026. Antenne og koaks: 96 oppdrag i 2022, 22 i 2026. Batterilagring: 0 solgt, mål 6. Boliginstallasjon og prosjekt og nybygg: 60 % av omsetningen til sammen, flatt.</t>
  </si>
  <si>
    <t xml:space="preserve">Tjeneste</t>
  </si>
  <si>
    <t xml:space="preserve">Før</t>
  </si>
  <si>
    <t xml:space="preserve">Nå eller mål</t>
  </si>
  <si>
    <t xml:space="preserve">Ladepunkt, oppdrag</t>
  </si>
  <si>
    <t xml:space="preserve">Antenne og koaks, oppdrag</t>
  </si>
  <si>
    <t xml:space="preserve">Batterilagring, anlegg</t>
  </si>
  <si>
    <t xml:space="preserve">1. Plasser de seks tjenestene i riktig fase i a. Spør: stiger salget, flater det ut, eller faller det?
2. Sorter de fem tiltakene på fasen de hører til i b.
3. Regn endringen i antenne og veksten i ladepunkt i hele prosent (c og d). Endring i prosent = (nå − før) / før × 100.
4. Velg i e hva boka sier om balansen, og skriv to setninger i f.</t>
  </si>
  <si>
    <t xml:space="preserve">a) Hvilken fase er tjenesten i? Velg i nedtrekksmenyen</t>
  </si>
  <si>
    <t xml:space="preserve">Batterilagring (0 solgt, mål 6)</t>
  </si>
  <si>
    <t xml:space="preserve">Ladepunkt (180 i fjor, mål 215)</t>
  </si>
  <si>
    <t xml:space="preserve">Boliginstallasjon (22 %, flatt)</t>
  </si>
  <si>
    <t xml:space="preserve">Prosjekt og nybygg (38 %, flatt)</t>
  </si>
  <si>
    <t xml:space="preserve">Antenne og koaks (96 i 2022, 22 i 2026)</t>
  </si>
  <si>
    <t xml:space="preserve">Solcelleanlegg (markedet ned 70 %)</t>
  </si>
  <si>
    <t xml:space="preserve">b) Hvilken fase hører tiltaket til? Velg i nedtrekksmenyen</t>
  </si>
  <si>
    <t xml:space="preserve">Moderat pris og referanseanlegg for rask inntrengning</t>
  </si>
  <si>
    <t xml:space="preserve">Høy pris mens bedriften er alene på markedet</t>
  </si>
  <si>
    <t xml:space="preserve">Nye varianter, og rette svakheter som viser seg i bruk</t>
  </si>
  <si>
    <t xml:space="preserve">Gi produktet et løft med fastpris og utvidet garanti</t>
  </si>
  <si>
    <t xml:space="preserve">Holde kostnadene nede så lenge avkastningen er rimelig</t>
  </si>
  <si>
    <t xml:space="preserve">c) Endringen i antenne fra 2022 til 2026, i hele prosent (negativt tall ved nedgang)</t>
  </si>
  <si>
    <t xml:space="preserve">d) Veksten i ladepunkt fra i fjor til målet i år, i hele prosent</t>
  </si>
  <si>
    <t xml:space="preserve">e) 60 % av Nordlys' omsetning er i modning. Hva sier boka om det?</t>
  </si>
  <si>
    <t xml:space="preserve">f) Hva gjør Nordlys med solcelle nå som tjenesten er i tilbakegang? To setninger.</t>
  </si>
  <si>
    <t xml:space="preserve">Oppgave 2B: Skal antenne og koaks ut av sortimentet? Regn per montørtime</t>
  </si>
  <si>
    <t xml:space="preserve">Antenne- og koaksanlegg har falt fra 96 oppdrag i 2022 til 22 i år. Kari vurderer å sanere gruppen, men sier at alt med positivt dekningsbidrag bidrar. Du regner på hva timene gir i dag, og hva de kunne gitt i service.</t>
  </si>
  <si>
    <t xml:space="preserve">Produktsanering er å luke ut produkter som ikke bidrar til lønnsomheten; produktutvikling er forbedring av det bedriften har og utvikling av nytt (6.8). Produktporteføljen overvåkes så kapasiteten brukes på det som gir best lønnsomhet over tid. Hos en installatør er kapasiteten montørtimene, så lønnsomheten regnes per montørtime: dekningsbidrag per oppdrag delt på timer (Økonomistyring kap. 7, knapp faktor).</t>
  </si>
  <si>
    <t xml:space="preserve">Antenne og koaks har falt fra 96 oppdrag i 2022 til 22 i år og er 2 % av omsetningen. Et antenneoppdrag koster 4 800 kr uten merverdiavgift, materiellet 1 500 kr, og det tar 4 montørtimer. Et serviceoppdrag på næringsbygg koster 18 500 kr, materiellet 7 360 kr, og det tar 6 timer. En montørtime koster Nordlys 640 kr. Nordlys fakturerer 14 400 timer i året og har i snitt 333 kr i dekningsbidrag per time: (bruttofortjenesten 14 010 000 kr − 14 400 × 640) / 14 400.</t>
  </si>
  <si>
    <t xml:space="preserve">Oppdragstype</t>
  </si>
  <si>
    <t xml:space="preserve">Pris</t>
  </si>
  <si>
    <t xml:space="preserve">Timer</t>
  </si>
  <si>
    <t xml:space="preserve">Antenne og koaks</t>
  </si>
  <si>
    <t xml:space="preserve">Service på næringsbygg</t>
  </si>
  <si>
    <t xml:space="preserve">Andre tall</t>
  </si>
  <si>
    <t xml:space="preserve">Verdi</t>
  </si>
  <si>
    <t xml:space="preserve">Antenneoppdrag i år (i 2022: 96)</t>
  </si>
  <si>
    <t xml:space="preserve">Kostnad per montørtime, kr</t>
  </si>
  <si>
    <t xml:space="preserve">Snitt hele Nordlys, dekningsbidrag per time, kr</t>
  </si>
  <si>
    <t xml:space="preserve">Fakturerte timer i året</t>
  </si>
  <si>
    <t xml:space="preserve">1. Regn dekningsbidraget per montørtime for antenne i a: (pris − materiell − timer × 640) / timer.
2. Regn i b hvor mange timer antenne brukte i år.
3. Regn i c hvor mye mer de samme timene ville gitt i service: service per time × timene, minus det antenne gir i dag.
4. Vurder Karis påstand i d, sorter tiltakene i e, og skriv tre setninger i f.</t>
  </si>
  <si>
    <t xml:space="preserve">a) Dekningsbidrag per montørtime for antenne</t>
  </si>
  <si>
    <t xml:space="preserve">kr per time</t>
  </si>
  <si>
    <t xml:space="preserve">b) Timer brukt på antenne i år</t>
  </si>
  <si>
    <t xml:space="preserve">timer</t>
  </si>
  <si>
    <t xml:space="preserve">c) Hvor mye mer ville de samme timene gitt i service? Hele kroner</t>
  </si>
  <si>
    <t xml:space="preserve">d) Kari sier: «Alt med positivt dekningsbidrag bidrar, så antenne blir.» Hva sier boka?</t>
  </si>
  <si>
    <t xml:space="preserve">e) Produktsanering eller produktutvikling? Velg i nedtrekksmenyen</t>
  </si>
  <si>
    <t xml:space="preserve">Slutte å markedsføre antenneanlegg</t>
  </si>
  <si>
    <t xml:space="preserve">Ikke sende flere montører på antennekurs</t>
  </si>
  <si>
    <t xml:space="preserve">Starte med batterilagring</t>
  </si>
  <si>
    <t xml:space="preserve">Legge termografering inn i serviceavtalen</t>
  </si>
  <si>
    <t xml:space="preserve">f) Skal antenne saneres, hva betyr det i praksis, og hvor flyttes kompetansen? Tre setninger.</t>
  </si>
  <si>
    <t xml:space="preserve">Oppgave 2C: Fjell Elektro: hvilken tjeneste skal bære merkevaren?</t>
  </si>
  <si>
    <t xml:space="preserve">Fjell Elektro har fire oppdragstyper. Mona vil bygge bedriften rundt én av dem og gjøre Fjell kjent for noe. Hun har 40 000 kr til markedsføring og vurderer ny bildekor med logo.</t>
  </si>
  <si>
    <t xml:space="preserve">Merkevarebygging er å tilføre et produkt, eller bedriften selv, én eller flere merkeverdier. Det er en ekstrem form for differensiering, og merkeverdiene bygger på produktegenskapene: håndfaste (funksjonalitet, holdbarhet) gir rasjonelle kjøpsfordeler, design og image gir emosjonelle (6.9). Bedrifter kjøper mer rasjonelt enn forbrukere. Substitutter erstatter hverandre og hører til dybden; komplementære produkter utfyller hverandre (6.5).</t>
  </si>
  <si>
    <t xml:space="preserve">Fjell regner dekningsbidraget per oppdrag som timer × (890 − 590) + materiell × 20 %. I snitt gir Fjell 380 kr i dekningsbidrag per fakturerbar time: (3 500 timer × (890 − 590) + 1 400 000 kr materiell × 20 %) / 3 500 timer. Mona vil bygge bedriften rundt én oppdragstype, og vurderer å bruke de 40 000 kronene til markedsføring på ny bildekor med logo.</t>
  </si>
  <si>
    <t xml:space="preserve">Dekningsbidrag</t>
  </si>
  <si>
    <t xml:space="preserve">Elbillader i enebolig</t>
  </si>
  <si>
    <t xml:space="preserve">Sikringsskapbytte</t>
  </si>
  <si>
    <t xml:space="preserve">Lite næringsoppdrag</t>
  </si>
  <si>
    <t xml:space="preserve">Snitt hele Fjell, per fakturerbar time</t>
  </si>
  <si>
    <t xml:space="preserve">1. Regn dekningsbidraget per montørtime for elbillader (a) og for service og feilsøking (b): dekningsbidrag delt på timer. Sammenlikn med snittet 380.
2. Velg i c hva en ladeboks av et annet merke er i sortimentet.
3. Sorter de fem merkeverdiene i d: rasjonell eller emosjonell kjøpsfordel.
4. Velg i e hva boka sier om Monas plan, og skriv to setninger i f.</t>
  </si>
  <si>
    <t xml:space="preserve">a) Dekningsbidrag per montørtime, elbillader i enebolig (hele kroner)</t>
  </si>
  <si>
    <t xml:space="preserve">b) Dekningsbidrag per montørtime, service og feilsøking</t>
  </si>
  <si>
    <t xml:space="preserve">c) En kunde vil ha en ladeboks av et annet merke enn den Fjell bruker. Hva er det i sortimentet?</t>
  </si>
  <si>
    <t xml:space="preserve">d) Rasjonell eller emosjonell kjøpsfordel? Velg i nedtrekksmenyen</t>
  </si>
  <si>
    <t xml:space="preserve">Garanti som gir mer enn loven</t>
  </si>
  <si>
    <t xml:space="preserve">Dokumentasjon av anlegget</t>
  </si>
  <si>
    <t xml:space="preserve">Installatøren selv på jobben</t>
  </si>
  <si>
    <t xml:space="preserve">Ny bildekor med logo</t>
  </si>
  <si>
    <t xml:space="preserve">«Naboen anbefalte dem»</t>
  </si>
  <si>
    <t xml:space="preserve">e) Mona sier: «Merkevaren vår er logoen. Vi bruker de 40 000 kronene på ny bildekor.» Hva sier boka?</t>
  </si>
  <si>
    <t xml:space="preserve">f) Hvilken oppdragstype skal Fjell bygge navnet på, og med hvilken merkeverdi? To setninger, med ett tall fra a eller b og fasen i livssyklusen.</t>
  </si>
  <si>
    <t xml:space="preserve">Fasit, kapittel 6</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</si>
  <si>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</si>
  <si>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</si>
  <si>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</si>
  <si>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</si>
  <si>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Kjerneproduktet</t>
  </si>
  <si>
    <t xml:space="preserve">Trygghet for at bygget ikke brenner eller stanser, og et papir som viser det (6.2.1)</t>
  </si>
  <si>
    <t xml:space="preserve">1A b) Nivåene</t>
  </si>
  <si>
    <t xml:space="preserve">Kjerne: tryggheten. Konkret: bildene og målingene. Utvidet: utrykning og gjennomgangsmøte. Uspesifisert: at det står Nordlys på rapporten</t>
  </si>
  <si>
    <t xml:space="preserve">1A c) Materiell i prosent</t>
  </si>
  <si>
    <t xml:space="preserve">7 360 / 18 500 × 100 = 39,8 %. Resten, 60,2 %, er timer, kompetanse og alt rundt</t>
  </si>
  <si>
    <t xml:space="preserve">1A d) Montørens påstand</t>
  </si>
  <si>
    <t xml:space="preserve">For snevert. Kjernen er trygghet, så Nordlys konkurrerer også med gårdeierens internkontroll, driftsteknikeren og med å la være</t>
  </si>
  <si>
    <t xml:space="preserve">1A e) Nivået</t>
  </si>
  <si>
    <t xml:space="preserve">Det utvidete produktet: utrykning, møte og fast montør er det gårdeieren kan se. Det må stå i tilbudet</t>
  </si>
  <si>
    <t xml:space="preserve">1B a) Kategori</t>
  </si>
  <si>
    <t xml:space="preserve">Varig forbruksvare pluss tjeneste (6.1)</t>
  </si>
  <si>
    <t xml:space="preserve">1B b) Varen eller tjenesten</t>
  </si>
  <si>
    <t xml:space="preserve">Tjenesten: kan ikke lagres, lages hos kunden, avhenger av hvem som kommer. Varen: effekt, typenummer, lager</t>
  </si>
  <si>
    <t xml:space="preserve">1B c) Dekningsbidrag med tilleggene</t>
  </si>
  <si>
    <t xml:space="preserve">0,5 × 590 = 295 kr. 2 500 − 295 = 2 205 kr</t>
  </si>
  <si>
    <t xml:space="preserve">1B d) Nedgang i prosent</t>
  </si>
  <si>
    <t xml:space="preserve">295 / 2 500 × 100 = 11,8 %, avrundet 12</t>
  </si>
  <si>
    <t xml:space="preserve">1B e) Monas påstand</t>
  </si>
  <si>
    <t xml:space="preserve">Nei: kvalitet måles mot kundens behov og forventninger (6.4)</t>
  </si>
  <si>
    <t xml:space="preserve">1B f) Garantien</t>
  </si>
  <si>
    <t xml:space="preserve">Loven gir: fem års reklamasjon på arbeidet, retting innen rimelig tid. Mer enn loven: ny boks uten diskusjon i sju år, utrykning innen 24 timer</t>
  </si>
  <si>
    <t xml:space="preserve">1B g) Pakken</t>
  </si>
  <si>
    <t xml:space="preserve">Tilleggene koster 295 kr per jobb, lite mot 2 400 kr i forskjell hos Lunde. De skal stå i tilbudet med navn, og garantien må si hva den gir ut over loven</t>
  </si>
  <si>
    <t xml:space="preserve">1C Summene i tabellen</t>
  </si>
  <si>
    <t xml:space="preserve">Andelene: 100 %. Variantene: 20</t>
  </si>
  <si>
    <t xml:space="preserve">1C a) Bredden</t>
  </si>
  <si>
    <t xml:space="preserve">Seks tjenestegrupper</t>
  </si>
  <si>
    <t xml:space="preserve">1C b) Dybden</t>
  </si>
  <si>
    <t xml:space="preserve">20 / 6 = 3,3 varianter per gruppe</t>
  </si>
  <si>
    <t xml:space="preserve">1C c) Solcelle og lading</t>
  </si>
  <si>
    <t xml:space="preserve">0,15 × 22 400 000 = 3 360 000 kr</t>
  </si>
  <si>
    <t xml:space="preserve">1C d) Antenne og koaks</t>
  </si>
  <si>
    <t xml:space="preserve">0,02 × 22 400 000 = 448 000 kr</t>
  </si>
  <si>
    <t xml:space="preserve">1C e) Parene</t>
  </si>
  <si>
    <t xml:space="preserve">Komplementære: ladepunkt og kursutvidelse, solcelle og batteri, termografering og retting. Substitutter: to ladeboksmerker, planlagt service og akutt utrykning. Ingen sammenheng: antenne og ladepunkt</t>
  </si>
  <si>
    <t xml:space="preserve">1C f) Bredden koster</t>
  </si>
  <si>
    <t xml:space="preserve">Kompetanse: kurs, sertifikater og utstyr</t>
  </si>
  <si>
    <t xml:space="preserve">1C g) Konsistens</t>
  </si>
  <si>
    <t xml:space="preserve">Antenne: 2 %, to varianter, henger ikke sammen med noe. Slutt å investere, ikke å svare</t>
  </si>
  <si>
    <t xml:space="preserve">2A a) Fasene</t>
  </si>
  <si>
    <t xml:space="preserve">Introduksjon: batterilagring. Vekst: ladepunkt. Modning: boliginstallasjon, prosjekt og nybygg. Tilbakegang: antenne, solcelle</t>
  </si>
  <si>
    <t xml:space="preserve">2A b) Tiltakene</t>
  </si>
  <si>
    <t xml:space="preserve">Introduksjon: moderat pris, eller høy pris mens bedriften er alene. Vekst: nye varianter, rette svakheter. Modning: løft. Tilbakegang: kostnadene nede</t>
  </si>
  <si>
    <t xml:space="preserve">2A c) Antenne</t>
  </si>
  <si>
    <t xml:space="preserve">(22 − 96) / 96 × 100 = −77 %</t>
  </si>
  <si>
    <t xml:space="preserve">2A d) Ladepunkt</t>
  </si>
  <si>
    <t xml:space="preserve">(215 − 180) / 180 × 100 = 19 %</t>
  </si>
  <si>
    <t xml:space="preserve">2A e) Balansen</t>
  </si>
  <si>
    <t xml:space="preserve">Et problem på sikt bare hvis ikke noe nytt kommer til. Batteri og ladepunkt er det nye</t>
  </si>
  <si>
    <t xml:space="preserve">2A f) Solcelle</t>
  </si>
  <si>
    <t xml:space="preserve">Holde kostnadene nede: ingen nye kurs, utstyr eller markedsføring. Ta jobben når den kommer, behold kompetansen for batteriets skyld</t>
  </si>
  <si>
    <t xml:space="preserve">2B a) Antenne per time</t>
  </si>
  <si>
    <t xml:space="preserve">(4 800 − 1 500 − 4 × 640) / 4 = 740 / 4 = 185 kr. Snittet er 333</t>
  </si>
  <si>
    <t xml:space="preserve">2B b) Timer i år</t>
  </si>
  <si>
    <t xml:space="preserve">22 × 4 = 88 timer, 0,6 % av 14 400</t>
  </si>
  <si>
    <t xml:space="preserve">2B c) Mer i service</t>
  </si>
  <si>
    <t xml:space="preserve">88 × 1 216,67 = 107 067 − 22 × 740 = 16 280. Forskjell 90 787 kr</t>
  </si>
  <si>
    <t xml:space="preserve">2B d) Karis påstand</t>
  </si>
  <si>
    <t xml:space="preserve">Per jobb, ja. Når timen er knapp, sammenliknes per time: 185 mot 333 (6.8, Økonomistyring kap. 7)</t>
  </si>
  <si>
    <t xml:space="preserve">2B e) Tiltakene</t>
  </si>
  <si>
    <t xml:space="preserve">Sanering: slutte å markedsføre, ingen antennekurs. Utvikling: batterilagring, termografering i serviceavtalen</t>
  </si>
  <si>
    <t xml:space="preserve">2B f) Saneringen</t>
  </si>
  <si>
    <t xml:space="preserve">Slutt å investere, ikke å svare. Ta oppdraget når montøren likevel er der. Flytt kurspenger og kompetanse til batterilagring</t>
  </si>
  <si>
    <t xml:space="preserve">2C a) Elbillader per time</t>
  </si>
  <si>
    <t xml:space="preserve">2 500 / 3 = 833 kr. Mer enn dobbelt av snittet 380</t>
  </si>
  <si>
    <t xml:space="preserve">2C b) Service per time</t>
  </si>
  <si>
    <t xml:space="preserve">700 / 2 = 350 kr. Litt under snittet</t>
  </si>
  <si>
    <t xml:space="preserve">2C c) Annet ladeboksmerke</t>
  </si>
  <si>
    <t xml:space="preserve">Substitutt, og det hører til dybden (6.5)</t>
  </si>
  <si>
    <t xml:space="preserve">2C d) Merkeverdiene</t>
  </si>
  <si>
    <t xml:space="preserve">Rasjonelle: garanti ut over loven, dokumentasjon, installatøren selv. Emosjonelle: bildekor, naboens anbefaling</t>
  </si>
  <si>
    <t xml:space="preserve">2C e) Monas plan</t>
  </si>
  <si>
    <t xml:space="preserve">For snevert: merkevaren er merkeverdiene, bygd på produktegenskapene. Logoen er innpakning (6.9, 6.6)</t>
  </si>
  <si>
    <t xml:space="preserve">2C f) Navnet</t>
  </si>
  <si>
    <t xml:space="preserve">Laderen: 833 kr per time, i vekst. Merkeverdi: installatøren selv, garanti ut over loven, dokumentasjon. Sikringsskapbyttet er komplementært og følger med</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</si>
</sst>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7" fontId="0" fillId="3" borderId="1" xfId="0" applyFont="false" applyBorder="true" applyAlignment="true" applyProtection="false">
      <alignment horizontal="right" vertical="center" textRotation="0" wrapText="false" indent="0" shrinkToFit="false"/>
      <protection locked="true" hidden="false"/>
    </xf>
    <xf numFmtId="167" fontId="0" fillId="0" borderId="1" xfId="0" applyFont="false" applyBorder="true" applyAlignment="true" applyProtection="false">
      <alignment horizontal="right" vertical="center" textRotation="0" wrapText="fals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6" customFormat="false" ht="15" hidden="false" customHeight="true" outlineLevel="0" collapsed="false">
      <c r="B16" s="2" t="s">
        <v>12</v>
      </c>
    </row>
    <row r="17" customFormat="false" ht="15" hidden="false" customHeight="true" outlineLevel="0" collapsed="false">
      <c r="B17" s="2" t="s">
        <v>13</v>
      </c>
    </row>
    <row r="18" customFormat="false" ht="15" hidden="false" customHeight="true" outlineLevel="0" collapsed="false">
      <c r="B18" s="2" t="s">
        <v>14</v>
      </c>
    </row>
    <row r="20" customFormat="false" ht="30" hidden="false" customHeight="true" outlineLevel="0" collapsed="false">
      <c r="B20" s="4" t="s">
        <v>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16</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45" hidden="false" customHeight="true" outlineLevel="0" collapsed="false">
      <c r="B5" s="8" t="s">
        <v>19</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21</v>
      </c>
      <c r="C7" s="8"/>
      <c r="D7" s="8"/>
      <c r="E7" s="8"/>
      <c r="F7" s="8"/>
      <c r="G7" s="8"/>
    </row>
    <row r="9" customFormat="false" ht="15.75" hidden="false" customHeight="true" outlineLevel="0" collapsed="false">
      <c r="B9" s="7" t="s">
        <v>22</v>
      </c>
      <c r="C9" s="7"/>
      <c r="D9" s="7"/>
      <c r="E9" s="7"/>
      <c r="F9" s="7"/>
      <c r="G9" s="7"/>
    </row>
    <row r="10" customFormat="false" ht="45" hidden="false" customHeight="true" outlineLevel="0" collapsed="false">
      <c r="B10" s="8" t="s">
        <v>23</v>
      </c>
      <c r="C10" s="8"/>
      <c r="D10" s="8"/>
      <c r="E10" s="8"/>
      <c r="F10" s="8"/>
      <c r="G10" s="8"/>
    </row>
    <row r="11" customFormat="false" ht="15" hidden="false" customHeight="false" outlineLevel="0" collapsed="false">
      <c r="B11" s="9" t="s">
        <v>24</v>
      </c>
      <c r="C11" s="10" t="s">
        <v>25</v>
      </c>
    </row>
    <row r="12" customFormat="false" ht="15" hidden="false" customHeight="false" outlineLevel="0" collapsed="false">
      <c r="B12" s="11" t="s">
        <v>26</v>
      </c>
      <c r="C12" s="12" t="n">
        <v>18500</v>
      </c>
    </row>
    <row r="13" customFormat="false" ht="15" hidden="false" customHeight="false" outlineLevel="0" collapsed="false">
      <c r="B13" s="11" t="s">
        <v>27</v>
      </c>
      <c r="C13" s="12" t="n">
        <v>7360</v>
      </c>
    </row>
    <row r="14" customFormat="false" ht="15" hidden="false" customHeight="false" outlineLevel="0" collapsed="false">
      <c r="B14" s="11" t="s">
        <v>28</v>
      </c>
      <c r="C14" s="12" t="n">
        <v>6</v>
      </c>
    </row>
    <row r="16" customFormat="false" ht="15.75" hidden="false" customHeight="true" outlineLevel="0" collapsed="false">
      <c r="B16" s="7" t="s">
        <v>29</v>
      </c>
      <c r="C16" s="7"/>
      <c r="D16" s="7"/>
      <c r="E16" s="7"/>
      <c r="F16" s="7"/>
      <c r="G16" s="7"/>
    </row>
    <row r="17" customFormat="false" ht="45" hidden="false" customHeight="true" outlineLevel="0" collapsed="false">
      <c r="B17" s="8" t="s">
        <v>30</v>
      </c>
      <c r="C17" s="8"/>
      <c r="D17" s="8"/>
      <c r="E17" s="8"/>
      <c r="F17" s="8"/>
      <c r="G17" s="8"/>
    </row>
    <row r="19" customFormat="false" ht="39.75" hidden="false" customHeight="true" outlineLevel="0" collapsed="false">
      <c r="B19" s="13" t="s">
        <v>31</v>
      </c>
      <c r="C19" s="14"/>
      <c r="G19" s="15" t="str">
        <f aca="false">IF(C19="","Velg i nedtrekksmenyen.",IF(C19="Trygghet for at bygget ikke brenner eller stanser, og et papir som viser det","Riktig. Kjerneproduktet er det behovet produktet først og fremst skal dekke (6.2.1). Gårdeieren kjøper trygghet. Bildene er det konkrete produktet, utrykningen det utvidete.","Ikke riktig. Kjerneproduktet er det behovet produktet først og fremst skal dekke (6.2.1). Gårdeieren kjøper trygghet. Bildene er det konkrete produktet, utrykningen det utvidete."))</f>
        <v>Velg i nedtrekksmenyen.</v>
      </c>
    </row>
    <row r="21" customFormat="false" ht="15" hidden="false" customHeight="false" outlineLevel="0" collapsed="false">
      <c r="B21" s="16" t="s">
        <v>32</v>
      </c>
    </row>
    <row r="22" customFormat="false" ht="39.75" hidden="false" customHeight="true" outlineLevel="0" collapsed="false">
      <c r="B22" s="13" t="s">
        <v>33</v>
      </c>
      <c r="C22" s="14"/>
      <c r="G22" s="15" t="str">
        <f aca="false">IF(C22="","Velg i nedtrekksmenyen.",IF(C22="Kjerneproduktet","Riktig. Behovet avtalen skal dekke. Det er kjernen (6.2.1).","Ikke riktig. Behovet avtalen skal dekke. Det er kjernen (6.2.1)."))</f>
        <v>Velg i nedtrekksmenyen.</v>
      </c>
    </row>
    <row r="23" customFormat="false" ht="39.75" hidden="false" customHeight="true" outlineLevel="0" collapsed="false">
      <c r="B23" s="13" t="s">
        <v>34</v>
      </c>
      <c r="C23" s="14"/>
      <c r="G23" s="15" t="str">
        <f aca="false">IF(C23="","Velg i nedtrekksmenyen.",IF(C23="Det konkrete produktet","Riktig. Det fysiske, objektive innholdet i leveransen: bilder, tall, rapport (6.2.2).","Ikke riktig. Det fysiske, objektive innholdet i leveransen: bilder, tall, rapport (6.2.2)."))</f>
        <v>Velg i nedtrekksmenyen.</v>
      </c>
    </row>
    <row r="24" customFormat="false" ht="39.75" hidden="false" customHeight="true" outlineLevel="0" collapsed="false">
      <c r="B24" s="13" t="s">
        <v>35</v>
      </c>
      <c r="C24" s="14"/>
      <c r="G24" s="15" t="str">
        <f aca="false">IF(C24="","Velg i nedtrekksmenyen.",IF(C24="Det utvidete produktet","Riktig. En tilleggsytelse, en serviceavtale (6.2.3).","Ikke riktig. En tilleggsytelse, en serviceavtale (6.2.3)."))</f>
        <v>Velg i nedtrekksmenyen.</v>
      </c>
    </row>
    <row r="25" customFormat="false" ht="39.75" hidden="false" customHeight="true" outlineLevel="0" collapsed="false">
      <c r="B25" s="13" t="s">
        <v>36</v>
      </c>
      <c r="C25" s="14"/>
      <c r="G25" s="15" t="str">
        <f aca="false">IF(C25="","Velg i nedtrekksmenyen.",IF(C25="Det utvidete produktet","Riktig. Leverandørens opplæring av kunden er en tilleggsytelse (6.2.3).","Ikke riktig. Leverandørens opplæring av kunden er en tilleggsytelse (6.2.3)."))</f>
        <v>Velg i nedtrekksmenyen.</v>
      </c>
    </row>
    <row r="26" customFormat="false" ht="39.75" hidden="false" customHeight="true" outlineLevel="0" collapsed="false">
      <c r="B26" s="13" t="s">
        <v>37</v>
      </c>
      <c r="C26" s="14"/>
      <c r="G26" s="15" t="str">
        <f aca="false">IF(C26="","Velg i nedtrekksmenyen.",IF(C26="Det uspesifiserte produktet","Riktig. Verdien ut over det konkrete og tilleggene: helhetsinntrykk og merkeverdi (6.2.4).","Ikke riktig. Verdien ut over det konkrete og tilleggene: helhetsinntrykk og merkeverdi (6.2.4)."))</f>
        <v>Velg i nedtrekksmenyen.</v>
      </c>
    </row>
    <row r="28" customFormat="false" ht="43.5" hidden="false" customHeight="true" outlineLevel="0" collapsed="false">
      <c r="B28" s="13" t="s">
        <v>38</v>
      </c>
      <c r="C28" s="17"/>
      <c r="D28" s="18" t="s">
        <v>39</v>
      </c>
      <c r="G28" s="15" t="str">
        <f aca="false">IF(C28="","Skriv svaret i den gule cellen.",IF(ABS(C28-(ROUND(7360/18500*100,1)))&lt;=0.06,"Riktig.",IF(ABS(C28-(ROUND(18500/7360*100,1)))&lt;=0.06,"Du har delt motsatt vei. Det er materiellet som skal deles på prisen.",IF(ABS(C28-(ROUND(100-7360/18500*100,1)))&lt;=0.06,"Du har regnet resten, altså timer og kompetanse. Spørsmålet er materiellets andel.",IF(ABS(C28-(ROUND(7360/18500,1)))&lt;=0.06,"Du har brøken, men ikke ganget med 100 for å få prosent.","Ikke riktig ennå. Se på regnestykket øverst på fanen, og sjekk at du har med alle leddene.")))))</f>
        <v>Skriv svaret i den gule cellen.</v>
      </c>
    </row>
    <row r="30" customFormat="false" ht="39.75" hidden="false" customHeight="true" outlineLevel="0" collapsed="false">
      <c r="B30" s="13" t="s">
        <v>40</v>
      </c>
      <c r="C30" s="14"/>
      <c r="G30" s="15" t="str">
        <f aca="false">IF(C30="","Velg i nedtrekksmenyen.",IF(C30="Nei: når kjernen er trygghet, konkurrerer Nordlys også med gårdeierens egen internkontroll, driftsteknikeren som tar en runde selv, og med å la være","Riktig. Boka: kunnskap om kjerneproduktet klargjør hvem konkurrentene er. Den som selger biler, konkurrerer med alle som selger transport (6.2.1). Den som selger trygghet, konkurrerer med alt som gir trygghet, også å la være.","Ikke riktig. Boka: kunnskap om kjerneproduktet klargjør hvem konkurrentene er. Den som selger biler, konkurrerer med alle som selger transport (6.2.1). Den som selger trygghet, konkurrerer med alt som gir trygghet, også å la være."))</f>
        <v>Velg i nedtrekksmenyen.</v>
      </c>
    </row>
    <row r="32" customFormat="false" ht="15" hidden="false" customHeight="true" outlineLevel="0" collapsed="false">
      <c r="B32" s="8" t="s">
        <v>41</v>
      </c>
      <c r="C32" s="8"/>
      <c r="D32" s="8"/>
      <c r="E32" s="8"/>
      <c r="F32" s="8"/>
      <c r="G32" s="8"/>
    </row>
    <row r="33" customFormat="false" ht="21.75" hidden="false" customHeight="true" outlineLevel="0" collapsed="false">
      <c r="B33" s="19"/>
      <c r="C33" s="19"/>
      <c r="D33" s="19"/>
      <c r="E33" s="19"/>
      <c r="F33" s="19"/>
      <c r="G33" s="19"/>
    </row>
    <row r="34" customFormat="false" ht="21.75" hidden="false" customHeight="true" outlineLevel="0" collapsed="false">
      <c r="B34" s="19"/>
      <c r="C34" s="19"/>
      <c r="D34" s="19"/>
      <c r="E34" s="19"/>
      <c r="F34" s="19"/>
      <c r="G34" s="19"/>
    </row>
    <row r="35" customFormat="false" ht="21.75" hidden="false" customHeight="true" outlineLevel="0" collapsed="false">
      <c r="B35" s="19"/>
      <c r="C35" s="19"/>
      <c r="D35" s="19"/>
      <c r="E35" s="19"/>
      <c r="F35" s="19"/>
      <c r="G35" s="19"/>
    </row>
    <row r="36" customFormat="false" ht="39.75" hidden="false" customHeight="true" outlineLevel="0" collapsed="false">
      <c r="B36" s="20" t="str">
        <f aca="false">IF(LEN(B33)&lt;40,"",IF(AND(ISNUMBER(SEARCH("utvid",B33)),ISNUMBER(SEARCH("tilbud",B33))),"Bra: du peker på det utvidete produktet og på at det må stå i tilbudet. Utrykningen, møtet og fast montør er det gårdeieren kan se og sammenlikne.",IF(OR(ISNUMBER(SEARCH("utvid",B33)),ISNUMBER(SEARCH("tilbud",B33))),"Du er på sporet. Si både hvilket nivå (det utvidete produktet) og hvor kunden skal se det (i tilbudet og avtalen, med navn).","Tips: gårdeieren kan vanskelig vurdere målingene selv, så han dømmer på det han ser. Det utvidete produktet, utrykning, møte og fast montør, må stå i tilbudet, ellers finnes det ikke for kunden.")))</f>
        <v/>
      </c>
      <c r="C36" s="20"/>
      <c r="D36" s="20"/>
      <c r="E36" s="20"/>
      <c r="F36" s="20"/>
      <c r="G36" s="20"/>
    </row>
    <row r="37" customFormat="false" ht="15" hidden="false" customHeight="false" outlineLevel="0" collapsed="false">
      <c r="B37" s="16" t="s">
        <v>42</v>
      </c>
      <c r="C37" s="14"/>
    </row>
    <row r="38" customFormat="false" ht="45" hidden="false" customHeight="true" outlineLevel="0" collapsed="false">
      <c r="B38" s="21" t="str">
        <f aca="false">IF(C37="JA","Hint: Kjernen er behovet: trygghet. Det konkrete er det du kan ta på: bildene. Det utvidete er tilleggene: utrykning og møte. Det uspesifiserte er inntrykket: navnet. Materiell i prosent: 7 360 delt på 18 500, ganger 100, gir 39,8.","")</f>
        <v/>
      </c>
      <c r="C38" s="21"/>
      <c r="D38" s="21"/>
      <c r="E38" s="21"/>
      <c r="F38" s="21"/>
      <c r="G38" s="21"/>
    </row>
    <row r="40" customFormat="false" ht="30" hidden="false" customHeight="true" outlineLevel="0" collapsed="false">
      <c r="B40" s="6" t="s">
        <v>43</v>
      </c>
      <c r="C40" s="6"/>
      <c r="D40" s="6"/>
      <c r="E40" s="6"/>
      <c r="F40" s="6"/>
      <c r="G40" s="6"/>
    </row>
  </sheetData>
  <mergeCells count="15">
    <mergeCell ref="B2:G2"/>
    <mergeCell ref="B3:G3"/>
    <mergeCell ref="B4:G4"/>
    <mergeCell ref="B5:G5"/>
    <mergeCell ref="B6:G6"/>
    <mergeCell ref="B7:G7"/>
    <mergeCell ref="B9:G9"/>
    <mergeCell ref="B10:G10"/>
    <mergeCell ref="B16:G16"/>
    <mergeCell ref="B17:G17"/>
    <mergeCell ref="B32:G32"/>
    <mergeCell ref="B33:G35"/>
    <mergeCell ref="B36:G36"/>
    <mergeCell ref="B38:G38"/>
    <mergeCell ref="B40:G40"/>
  </mergeCells>
  <conditionalFormatting sqref="G19">
    <cfRule type="expression" priority="2" aboveAverage="0" equalAverage="0" bottom="0" percent="0" rank="0" text="" dxfId="0">
      <formula>LEFT(G19,6)="Riktig"</formula>
    </cfRule>
    <cfRule type="expression" priority="3" aboveAverage="0" equalAverage="0" bottom="0" percent="0" rank="0" text="" dxfId="1">
      <formula>LEFT(G19,4)="Ikke"</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LEFT(G22,4)="Ikke"</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LEFT(G23,4)="Ikke"</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LEFT(G24,4)="Ikke"</formula>
    </cfRule>
  </conditionalFormatting>
  <conditionalFormatting sqref="G25">
    <cfRule type="expression" priority="10" aboveAverage="0" equalAverage="0" bottom="0" percent="0" rank="0" text="" dxfId="0">
      <formula>LEFT(G25,6)="Riktig"</formula>
    </cfRule>
    <cfRule type="expression" priority="11" aboveAverage="0" equalAverage="0" bottom="0" percent="0" rank="0" text="" dxfId="1">
      <formula>LEFT(G25,4)="Ikke"</formula>
    </cfRule>
  </conditionalFormatting>
  <conditionalFormatting sqref="G26">
    <cfRule type="expression" priority="12" aboveAverage="0" equalAverage="0" bottom="0" percent="0" rank="0" text="" dxfId="0">
      <formula>LEFT(G26,6)="Riktig"</formula>
    </cfRule>
    <cfRule type="expression" priority="13" aboveAverage="0" equalAverage="0" bottom="0" percent="0" rank="0" text="" dxfId="1">
      <formula>LEFT(G26,4)="Ikke"</formula>
    </cfRule>
  </conditionalFormatting>
  <conditionalFormatting sqref="G28">
    <cfRule type="expression" priority="14" aboveAverage="0" equalAverage="0" bottom="0" percent="0" rank="0" text="" dxfId="0">
      <formula>LEFT(G28,6)="Riktig"</formula>
    </cfRule>
    <cfRule type="expression" priority="15" aboveAverage="0" equalAverage="0" bottom="0" percent="0" rank="0" text="" dxfId="1">
      <formula>AND(G28&lt;&gt;"",LEFT(G28,6)&lt;&gt;"Riktig",LEFT(G28,5)&lt;&gt;"Skriv")</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LEFT(G30,4)="Ikke"</formula>
    </cfRule>
  </conditionalFormatting>
  <dataValidations count="8">
    <dataValidation allowBlank="true" errorStyle="stop" operator="between" showDropDown="false" showErrorMessage="false" showInputMessage="false" sqref="C19" type="list">
      <formula1>"Termografibildene og rapporten,Trygghet for at bygget ikke brenner eller stanser,og et papir som viser det,Utrykning innen fire timer"</formula1>
      <formula2>0</formula2>
    </dataValidation>
    <dataValidation allowBlank="true" errorStyle="stop" operator="between" showDropDown="false" showErrorMessage="false" showInputMessage="false" sqref="C22" type="list">
      <formula1>"Kjerneproduktet,Det konkrete produktet,Det utvidete produktet,Det uspesifiserte produktet"</formula1>
      <formula2>0</formula2>
    </dataValidation>
    <dataValidation allowBlank="true" errorStyle="stop" operator="between" showDropDown="false" showErrorMessage="false" showInputMessage="false" sqref="C23" type="list">
      <formula1>"Kjerneproduktet,Det konkrete produktet,Det utvidete produktet,Det uspesifiserte produktet"</formula1>
      <formula2>0</formula2>
    </dataValidation>
    <dataValidation allowBlank="true" errorStyle="stop" operator="between" showDropDown="false" showErrorMessage="false" showInputMessage="false" sqref="C24" type="list">
      <formula1>"Kjerneproduktet,Det konkrete produktet,Det utvidete produktet,Det uspesifiserte produktet"</formula1>
      <formula2>0</formula2>
    </dataValidation>
    <dataValidation allowBlank="true" errorStyle="stop" operator="between" showDropDown="false" showErrorMessage="false" showInputMessage="false" sqref="C25" type="list">
      <formula1>"Kjerneproduktet,Det konkrete produktet,Det utvidete produktet,Det uspesifiserte produktet"</formula1>
      <formula2>0</formula2>
    </dataValidation>
    <dataValidation allowBlank="true" errorStyle="stop" operator="between" showDropDown="false" showErrorMessage="false" showInputMessage="false" sqref="C26" type="list">
      <formula1>"Kjerneproduktet,Det konkrete produktet,Det utvidete produktet,Det uspesifiserte produktet"</formula1>
      <formula2>0</formula2>
    </dataValidation>
    <dataValidation allowBlank="true" errorStyle="stop" operator="between" showDropDown="false" showErrorMessage="false" showInputMessage="false" sqref="C30" type="list">
      <formula1>"Ja: bare elektrobedrifter kan termografere tavler,Nei: når kjernen er trygghet,konkurrerer Nordlys også med gårdeierens egen internkontroll,driftsteknikeren som tar en runde selv,og med å la være,Nei: konkurrentene er bare leverandørene av termografikamer"</formula1>
      <formula2>0</formula2>
    </dataValidation>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44</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45" hidden="false" customHeight="true" outlineLevel="0" collapsed="false">
      <c r="B5" s="8" t="s">
        <v>45</v>
      </c>
      <c r="C5" s="8"/>
      <c r="D5" s="8"/>
      <c r="E5" s="8"/>
      <c r="F5" s="8"/>
      <c r="G5" s="8"/>
    </row>
    <row r="6" customFormat="false" ht="15.75" hidden="false" customHeight="true" outlineLevel="0" collapsed="false">
      <c r="B6" s="7" t="s">
        <v>20</v>
      </c>
      <c r="C6" s="7"/>
      <c r="D6" s="7"/>
      <c r="E6" s="7"/>
      <c r="F6" s="7"/>
      <c r="G6" s="7"/>
    </row>
    <row r="7" customFormat="false" ht="75" hidden="false" customHeight="true" outlineLevel="0" collapsed="false">
      <c r="B7" s="8" t="s">
        <v>46</v>
      </c>
      <c r="C7" s="8"/>
      <c r="D7" s="8"/>
      <c r="E7" s="8"/>
      <c r="F7" s="8"/>
      <c r="G7" s="8"/>
    </row>
    <row r="9" customFormat="false" ht="15.75" hidden="false" customHeight="true" outlineLevel="0" collapsed="false">
      <c r="B9" s="7" t="s">
        <v>22</v>
      </c>
      <c r="C9" s="7"/>
      <c r="D9" s="7"/>
      <c r="E9" s="7"/>
      <c r="F9" s="7"/>
      <c r="G9" s="7"/>
    </row>
    <row r="10" customFormat="false" ht="60" hidden="false" customHeight="true" outlineLevel="0" collapsed="false">
      <c r="B10" s="8" t="s">
        <v>47</v>
      </c>
      <c r="C10" s="8"/>
      <c r="D10" s="8"/>
      <c r="E10" s="8"/>
      <c r="F10" s="8"/>
      <c r="G10" s="8"/>
    </row>
    <row r="11" customFormat="false" ht="15" hidden="false" customHeight="false" outlineLevel="0" collapsed="false">
      <c r="B11" s="9" t="s">
        <v>48</v>
      </c>
      <c r="C11" s="10" t="s">
        <v>25</v>
      </c>
    </row>
    <row r="12" customFormat="false" ht="15" hidden="false" customHeight="false" outlineLevel="0" collapsed="false">
      <c r="B12" s="11" t="s">
        <v>49</v>
      </c>
      <c r="C12" s="12" t="n">
        <v>12270</v>
      </c>
    </row>
    <row r="13" customFormat="false" ht="15" hidden="false" customHeight="false" outlineLevel="0" collapsed="false">
      <c r="B13" s="11" t="s">
        <v>50</v>
      </c>
      <c r="C13" s="12" t="n">
        <v>8000</v>
      </c>
    </row>
    <row r="14" customFormat="false" ht="15" hidden="false" customHeight="false" outlineLevel="0" collapsed="false">
      <c r="B14" s="11" t="s">
        <v>28</v>
      </c>
      <c r="C14" s="12" t="n">
        <v>3</v>
      </c>
    </row>
    <row r="15" customFormat="false" ht="15" hidden="false" customHeight="false" outlineLevel="0" collapsed="false">
      <c r="B15" s="11" t="s">
        <v>51</v>
      </c>
      <c r="C15" s="12" t="n">
        <v>590</v>
      </c>
    </row>
    <row r="16" customFormat="false" ht="15" hidden="false" customHeight="false" outlineLevel="0" collapsed="false">
      <c r="B16" s="11" t="s">
        <v>52</v>
      </c>
      <c r="C16" s="12" t="n">
        <v>2500</v>
      </c>
    </row>
    <row r="17" customFormat="false" ht="15" hidden="false" customHeight="false" outlineLevel="0" collapsed="false">
      <c r="B17" s="11" t="s">
        <v>53</v>
      </c>
      <c r="C17" s="12" t="n">
        <v>0.5</v>
      </c>
    </row>
    <row r="19" customFormat="false" ht="15.75" hidden="false" customHeight="true" outlineLevel="0" collapsed="false">
      <c r="B19" s="7" t="s">
        <v>29</v>
      </c>
      <c r="C19" s="7"/>
      <c r="D19" s="7"/>
      <c r="E19" s="7"/>
      <c r="F19" s="7"/>
      <c r="G19" s="7"/>
    </row>
    <row r="20" customFormat="false" ht="45" hidden="false" customHeight="true" outlineLevel="0" collapsed="false">
      <c r="B20" s="8" t="s">
        <v>54</v>
      </c>
      <c r="C20" s="8"/>
      <c r="D20" s="8"/>
      <c r="E20" s="8"/>
      <c r="F20" s="8"/>
      <c r="G20" s="8"/>
    </row>
    <row r="22" customFormat="false" ht="39.75" hidden="false" customHeight="true" outlineLevel="0" collapsed="false">
      <c r="B22" s="13" t="s">
        <v>55</v>
      </c>
      <c r="C22" s="14"/>
      <c r="G22" s="15" t="str">
        <f aca="false">IF(C22="","Velg i nedtrekksmenyen.",IF(C22="Varig forbruksvare pluss tjeneste","Riktig. Boksen er en varig forbruksvare, installasjonen en tjeneste. Boka: et produkt er alle kombinasjoner av varer og tjenester, som sykkelen med garanti (6.1).","Ikke riktig. Boksen er en varig forbruksvare, installasjonen en tjeneste. Boka: et produkt er alle kombinasjoner av varer og tjenester, som sykkelen med garanti (6.1)."))</f>
        <v>Velg i nedtrekksmenyen.</v>
      </c>
    </row>
    <row r="24" customFormat="false" ht="15" hidden="false" customHeight="false" outlineLevel="0" collapsed="false">
      <c r="B24" s="16" t="s">
        <v>56</v>
      </c>
    </row>
    <row r="25" customFormat="false" ht="39.75" hidden="false" customHeight="true" outlineLevel="0" collapsed="false">
      <c r="B25" s="13" t="s">
        <v>57</v>
      </c>
      <c r="C25" s="14"/>
      <c r="G25" s="15" t="str">
        <f aca="false">IF(C25="","Velg i nedtrekksmenyen.",IF(C25="Tjenesten","Riktig. Tjenester kan ikke lagres (6.1).","Ikke riktig. Tjenester kan ikke lagres (6.1)."))</f>
        <v>Velg i nedtrekksmenyen.</v>
      </c>
    </row>
    <row r="26" customFormat="false" ht="39.75" hidden="false" customHeight="true" outlineLevel="0" collapsed="false">
      <c r="B26" s="13" t="s">
        <v>58</v>
      </c>
      <c r="C26" s="14"/>
      <c r="G26" s="15" t="str">
        <f aca="false">IF(C26="","Velg i nedtrekksmenyen.",IF(C26="Tjenesten","Riktig. Produksjon og forbruk skjer samtidig (6.1).","Ikke riktig. Produksjon og forbruk skjer samtidig (6.1)."))</f>
        <v>Velg i nedtrekksmenyen.</v>
      </c>
    </row>
    <row r="27" customFormat="false" ht="39.75" hidden="false" customHeight="true" outlineLevel="0" collapsed="false">
      <c r="B27" s="13" t="s">
        <v>59</v>
      </c>
      <c r="C27" s="14"/>
      <c r="G27" s="15" t="str">
        <f aca="false">IF(C27="","Velg i nedtrekksmenyen.",IF(C27="Tjenesten","Riktig. Kvaliteten er personavhengig og derfor variabel (6.1).","Ikke riktig. Kvaliteten er personavhengig og derfor variabel (6.1)."))</f>
        <v>Velg i nedtrekksmenyen.</v>
      </c>
    </row>
    <row r="28" customFormat="false" ht="39.75" hidden="false" customHeight="true" outlineLevel="0" collapsed="false">
      <c r="B28" s="13" t="s">
        <v>60</v>
      </c>
      <c r="C28" s="14"/>
      <c r="G28" s="15" t="str">
        <f aca="false">IF(C28="","Velg i nedtrekksmenyen.",IF(C28="Varen","Riktig. Effekten er et fysisk, objektivt kjennetegn ved varen (6.2.2).","Ikke riktig. Effekten er et fysisk, objektivt kjennetegn ved varen (6.2.2)."))</f>
        <v>Velg i nedtrekksmenyen.</v>
      </c>
    </row>
    <row r="29" customFormat="false" ht="39.75" hidden="false" customHeight="true" outlineLevel="0" collapsed="false">
      <c r="B29" s="13" t="s">
        <v>61</v>
      </c>
      <c r="C29" s="14"/>
      <c r="G29" s="15" t="str">
        <f aca="false">IF(C29="","Velg i nedtrekksmenyen.",IF(C29="Varen","Riktig. Typenummeret hører til varen, ikke til arbeidet.","Ikke riktig. Typenummeret hører til varen, ikke til arbeidet."))</f>
        <v>Velg i nedtrekksmenyen.</v>
      </c>
    </row>
    <row r="30" customFormat="false" ht="39.75" hidden="false" customHeight="true" outlineLevel="0" collapsed="false">
      <c r="B30" s="13" t="s">
        <v>62</v>
      </c>
      <c r="C30" s="14"/>
      <c r="G30" s="15" t="str">
        <f aca="false">IF(C30="","Velg i nedtrekksmenyen.",IF(C30="Varen","Riktig. Varer kan lagres. Tjenester kan det ikke (6.1).","Ikke riktig. Varer kan lagres. Tjenester kan det ikke (6.1)."))</f>
        <v>Velg i nedtrekksmenyen.</v>
      </c>
    </row>
    <row r="32" customFormat="false" ht="43.5" hidden="false" customHeight="true" outlineLevel="0" collapsed="false">
      <c r="B32" s="13" t="s">
        <v>63</v>
      </c>
      <c r="C32" s="22"/>
      <c r="D32" s="18" t="s">
        <v>64</v>
      </c>
      <c r="G32" s="15" t="str">
        <f aca="false">IF(C32="","Skriv svaret i den gule cellen.",IF(C32=(12270-8000-3*590-0.5*590),"Riktig.",IF(ABS(C32-(12270-8000-3*590-0.5*890))&lt;=0,"Du har regnet tilleggene med timeprisen 890 kr. Det er kostnaden, 590 kr per time, som trekkes fra dekningsbidraget.",IF(ABS(C32-(12270-8000-3*590+0.5*590))&lt;=0,"Du har lagt kostnaden til. Prisen er uendret, så tilleggene trekkes fra dekningsbidraget.",IF(ABS(C32-(12270-8000-3*590))&lt;=0,"Det er dekningsbidraget i dag. Tilleggene tar 0,5 time à 590 kr; trekk det fra.",IF(ABS(C32-(12270-8000-3.5*890))&lt;=0,"Du har brukt 890 kr som timekostnad. Timeprisen er 890, kostnaden 590.","Ikke riktig ennå. Se på regnestykket øverst på fanen, og sjekk at du har med alle leddene."))))))</f>
        <v>Skriv svaret i den gule cellen.</v>
      </c>
    </row>
    <row r="33" customFormat="false" ht="43.5" hidden="false" customHeight="true" outlineLevel="0" collapsed="false">
      <c r="B33" s="13" t="s">
        <v>65</v>
      </c>
      <c r="C33" s="23"/>
      <c r="D33" s="18" t="s">
        <v>39</v>
      </c>
      <c r="G33" s="15" t="str">
        <f aca="false">IF(C33="","Skriv svaret i den gule cellen.",IF(ABS(C33-(ROUND(0.5*590/2500*100,0)))&lt;=0.5,"Riktig.",IF(ABS(C33-(ROUND(0.5*590/12270*100,0)))&lt;=0.5,"Du har delt på prisen. Spørsmålet er nedgangen i prosent av dekningsbidraget, 2 500.",IF(ABS(C33-(ROUND((12270-8000-3*590-0.5*590)/2500*100,0)))&lt;=0.5,"Du har regnet hvor mye som er igjen i prosent. Spørsmålet er nedgangen: 295 delt på 2 500.","Ikke riktig ennå. Se på regnestykket øverst på fanen, og sjekk at du har med alle leddene."))))</f>
        <v>Skriv svaret i den gule cellen.</v>
      </c>
    </row>
    <row r="35" customFormat="false" ht="39.75" hidden="false" customHeight="true" outlineLevel="0" collapsed="false">
      <c r="B35" s="13" t="s">
        <v>66</v>
      </c>
      <c r="C35" s="14"/>
      <c r="G35" s="15" t="str">
        <f aca="false">IF(C35="","Velg i nedtrekksmenyen.",IF(C35="Nei: boka måler kvalitet mot kundens behov og forventninger, så et forskriftsriktig anlegg kan likevel ha dårlig kvalitet for kunden","Riktig. Kvalitet er helheten av egenskaper og produktets evne til å tilfredsstille brukerens behov; god kvalitet er å møte eller overgå forventningene (6.4). Forskriften sier hva anlegget må være, ikke om kunden er fornøyd.","Ikke riktig. Kvalitet er helheten av egenskaper og produktets evne til å tilfredsstille brukerens behov; god kvalitet er å møte eller overgå forventningene (6.4). Forskriften sier hva anlegget må være, ikke om kunden er fornøyd."))</f>
        <v>Velg i nedtrekksmenyen.</v>
      </c>
    </row>
    <row r="37" customFormat="false" ht="15" hidden="false" customHeight="false" outlineLevel="0" collapsed="false">
      <c r="B37" s="16" t="s">
        <v>67</v>
      </c>
    </row>
    <row r="38" customFormat="false" ht="39.75" hidden="false" customHeight="true" outlineLevel="0" collapsed="false">
      <c r="B38" s="13" t="s">
        <v>68</v>
      </c>
      <c r="C38" s="14"/>
      <c r="G38" s="15" t="str">
        <f aca="false">IF(C38="","Velg i nedtrekksmenyen.",IF(C38="Loven gir det allerede","Riktig. Håndverkertjenesteloven § 22 gir fem år når resultatet er ment å vare vesentlig lenger enn to år, som en installasjon i boligen.","Ikke riktig. Håndverkertjenesteloven § 22 gir fem år når resultatet er ment å vare vesentlig lenger enn to år, som en installasjon i boligen."))</f>
        <v>Velg i nedtrekksmenyen.</v>
      </c>
    </row>
    <row r="39" customFormat="false" ht="39.75" hidden="false" customHeight="true" outlineLevel="0" collapsed="false">
      <c r="B39" s="13" t="s">
        <v>69</v>
      </c>
      <c r="C39" s="14"/>
      <c r="G39" s="15" t="str">
        <f aca="false">IF(C39="","Velg i nedtrekksmenyen.",IF(C39="Loven gir det allerede","Riktig. Retting innen rimelig tid er kundens rett etter loven når det er en mangel.","Ikke riktig. Retting innen rimelig tid er kundens rett etter loven når det er en mangel."))</f>
        <v>Velg i nedtrekksmenyen.</v>
      </c>
    </row>
    <row r="40" customFormat="false" ht="39.75" hidden="false" customHeight="true" outlineLevel="0" collapsed="false">
      <c r="B40" s="13" t="s">
        <v>70</v>
      </c>
      <c r="C40" s="14"/>
      <c r="G40" s="15" t="str">
        <f aca="false">IF(C40="","Velg i nedtrekksmenyen.",IF(C40="Mer enn loven","Riktig. Sju år er lenger enn lovens fem, og «uten diskusjon» er mer enn kundens bevisbyrde etter loven. Det er en garanti.","Ikke riktig. Sju år er lenger enn lovens fem, og «uten diskusjon» er mer enn kundens bevisbyrde etter loven. Det er en garanti."))</f>
        <v>Velg i nedtrekksmenyen.</v>
      </c>
    </row>
    <row r="41" customFormat="false" ht="39.75" hidden="false" customHeight="true" outlineLevel="0" collapsed="false">
      <c r="B41" s="13" t="s">
        <v>71</v>
      </c>
      <c r="C41" s="14"/>
      <c r="G41" s="15" t="str">
        <f aca="false">IF(C41="","Velg i nedtrekksmenyen.",IF(C41="Mer enn loven","Riktig. Loven sier rimelig tid, ikke 24 timer. En frist kunden kan måle, er en tilleggsytelse (6.2.3).","Ikke riktig. Loven sier rimelig tid, ikke 24 timer. En frist kunden kan måle, er en tilleggsytelse (6.2.3)."))</f>
        <v>Velg i nedtrekksmenyen.</v>
      </c>
    </row>
    <row r="43" customFormat="false" ht="15" hidden="false" customHeight="true" outlineLevel="0" collapsed="false">
      <c r="B43" s="8" t="s">
        <v>72</v>
      </c>
      <c r="C43" s="8"/>
      <c r="D43" s="8"/>
      <c r="E43" s="8"/>
      <c r="F43" s="8"/>
      <c r="G43" s="8"/>
    </row>
    <row r="44" customFormat="false" ht="21.75" hidden="false" customHeight="true" outlineLevel="0" collapsed="false">
      <c r="B44" s="19"/>
      <c r="C44" s="19"/>
      <c r="D44" s="19"/>
      <c r="E44" s="19"/>
      <c r="F44" s="19"/>
      <c r="G44" s="19"/>
    </row>
    <row r="45" customFormat="false" ht="21.75" hidden="false" customHeight="true" outlineLevel="0" collapsed="false">
      <c r="B45" s="19"/>
      <c r="C45" s="19"/>
      <c r="D45" s="19"/>
      <c r="E45" s="19"/>
      <c r="F45" s="19"/>
      <c r="G45" s="19"/>
    </row>
    <row r="46" customFormat="false" ht="21.75" hidden="false" customHeight="true" outlineLevel="0" collapsed="false">
      <c r="B46" s="19"/>
      <c r="C46" s="19"/>
      <c r="D46" s="19"/>
      <c r="E46" s="19"/>
      <c r="F46" s="19"/>
      <c r="G46" s="19"/>
    </row>
    <row r="47" customFormat="false" ht="39.75" hidden="false" customHeight="true" outlineLevel="0" collapsed="false">
      <c r="B47" s="20" t="str">
        <f aca="false">IF(LEN(B44)&lt;40,"",IF(AND(ISNUMBER(SEARCH("295",B44)),ISNUMBER(SEARCH("tilbud",B44))),"Bra: du bruker kostnaden 295 kr per jobb og sier at tilleggene skal stå i tilbudet. Det er slik det utvidete produktet blir synlig.",IF(OR(ISNUMBER(SEARCH("295",B44)),ISNUMBER(SEARCH("tilbud",B44))),"Du er på sporet. Ta med tallet 295 kr per jobb, og si hvor kunden skal se tilleggene: i tilbudet, med navn.","Tips: tilleggene koster 295 kr per jobb, mot 2 400 kr i forskjell hos familien Lunde. Skal de inn, må de stå i tilbudet med navn, og garantien må si hva den gir ut over loven.")))</f>
        <v/>
      </c>
      <c r="C47" s="20"/>
      <c r="D47" s="20"/>
      <c r="E47" s="20"/>
      <c r="F47" s="20"/>
      <c r="G47" s="20"/>
    </row>
    <row r="48" customFormat="false" ht="15" hidden="false" customHeight="false" outlineLevel="0" collapsed="false">
      <c r="B48" s="16" t="s">
        <v>42</v>
      </c>
      <c r="C48" s="14"/>
    </row>
    <row r="49" customFormat="false" ht="45" hidden="false" customHeight="true" outlineLevel="0" collapsed="false">
      <c r="B49" s="21" t="str">
        <f aca="false">IF(C48="JA","Hint: c: tilleggene koster 0,5 × 590 = 295 kr. Prisen er uendret, så 2 500 − 295 = 2 205 kr. d: 295 / 2 500 × 100 = 11,8, avrundet 12 %. Garantien: fem års reklamasjon og retting innen rimelig tid gir loven. Sju år uten diskusjon og 24 timers utrykning er mer.","")</f>
        <v/>
      </c>
      <c r="C49" s="21"/>
      <c r="D49" s="21"/>
      <c r="E49" s="21"/>
      <c r="F49" s="21"/>
      <c r="G49" s="21"/>
    </row>
    <row r="51" customFormat="false" ht="30" hidden="false" customHeight="true" outlineLevel="0" collapsed="false">
      <c r="B51" s="6" t="s">
        <v>43</v>
      </c>
      <c r="C51" s="6"/>
      <c r="D51" s="6"/>
      <c r="E51" s="6"/>
      <c r="F51" s="6"/>
      <c r="G51" s="6"/>
    </row>
  </sheetData>
  <mergeCells count="15">
    <mergeCell ref="B2:G2"/>
    <mergeCell ref="B3:G3"/>
    <mergeCell ref="B4:G4"/>
    <mergeCell ref="B5:G5"/>
    <mergeCell ref="B6:G6"/>
    <mergeCell ref="B7:G7"/>
    <mergeCell ref="B9:G9"/>
    <mergeCell ref="B10:G10"/>
    <mergeCell ref="B19:G19"/>
    <mergeCell ref="B20:G20"/>
    <mergeCell ref="B43:G43"/>
    <mergeCell ref="B44:G46"/>
    <mergeCell ref="B47:G47"/>
    <mergeCell ref="B49:G49"/>
    <mergeCell ref="B51:G51"/>
  </mergeCells>
  <conditionalFormatting sqref="G22">
    <cfRule type="expression" priority="2" aboveAverage="0" equalAverage="0" bottom="0" percent="0" rank="0" text="" dxfId="0">
      <formula>LEFT(G22,6)="Riktig"</formula>
    </cfRule>
    <cfRule type="expression" priority="3" aboveAverage="0" equalAverage="0" bottom="0" percent="0" rank="0" text="" dxfId="1">
      <formula>LEFT(G22,4)="Ikke"</formula>
    </cfRule>
  </conditionalFormatting>
  <conditionalFormatting sqref="G25">
    <cfRule type="expression" priority="4" aboveAverage="0" equalAverage="0" bottom="0" percent="0" rank="0" text="" dxfId="0">
      <formula>LEFT(G25,6)="Riktig"</formula>
    </cfRule>
    <cfRule type="expression" priority="5" aboveAverage="0" equalAverage="0" bottom="0" percent="0" rank="0" text="" dxfId="1">
      <formula>LEFT(G25,4)="Ikke"</formula>
    </cfRule>
  </conditionalFormatting>
  <conditionalFormatting sqref="G26">
    <cfRule type="expression" priority="6" aboveAverage="0" equalAverage="0" bottom="0" percent="0" rank="0" text="" dxfId="0">
      <formula>LEFT(G26,6)="Riktig"</formula>
    </cfRule>
    <cfRule type="expression" priority="7" aboveAverage="0" equalAverage="0" bottom="0" percent="0" rank="0" text="" dxfId="1">
      <formula>LEFT(G26,4)="Ikke"</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LEFT(G27,4)="Ikke"</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LEFT(G28,4)="Ikke"</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conditionalFormatting sqref="G30">
    <cfRule type="expression" priority="14" aboveAverage="0" equalAverage="0" bottom="0" percent="0" rank="0" text="" dxfId="0">
      <formula>LEFT(G30,6)="Riktig"</formula>
    </cfRule>
    <cfRule type="expression" priority="15" aboveAverage="0" equalAverage="0" bottom="0" percent="0" rank="0" text="" dxfId="1">
      <formula>LEFT(G30,4)="Ikke"</formula>
    </cfRule>
  </conditionalFormatting>
  <conditionalFormatting sqref="G32">
    <cfRule type="expression" priority="16" aboveAverage="0" equalAverage="0" bottom="0" percent="0" rank="0" text="" dxfId="0">
      <formula>LEFT(G32,6)="Riktig"</formula>
    </cfRule>
    <cfRule type="expression" priority="17" aboveAverage="0" equalAverage="0" bottom="0" percent="0" rank="0" text="" dxfId="1">
      <formula>AND(G32&lt;&gt;"",LEFT(G32,6)&lt;&gt;"Riktig",LEFT(G32,5)&lt;&gt;"Skriv")</formula>
    </cfRule>
  </conditionalFormatting>
  <conditionalFormatting sqref="G33">
    <cfRule type="expression" priority="18" aboveAverage="0" equalAverage="0" bottom="0" percent="0" rank="0" text="" dxfId="0">
      <formula>LEFT(G33,6)="Riktig"</formula>
    </cfRule>
    <cfRule type="expression" priority="19" aboveAverage="0" equalAverage="0" bottom="0" percent="0" rank="0" text="" dxfId="1">
      <formula>AND(G33&lt;&gt;"",LEFT(G33,6)&lt;&gt;"Riktig",LEFT(G33,5)&lt;&gt;"Skriv")</formula>
    </cfRule>
  </conditionalFormatting>
  <conditionalFormatting sqref="G35">
    <cfRule type="expression" priority="20" aboveAverage="0" equalAverage="0" bottom="0" percent="0" rank="0" text="" dxfId="0">
      <formula>LEFT(G35,6)="Riktig"</formula>
    </cfRule>
    <cfRule type="expression" priority="21" aboveAverage="0" equalAverage="0" bottom="0" percent="0" rank="0" text="" dxfId="1">
      <formula>LEFT(G35,4)="Ikke"</formula>
    </cfRule>
  </conditionalFormatting>
  <conditionalFormatting sqref="G38">
    <cfRule type="expression" priority="22" aboveAverage="0" equalAverage="0" bottom="0" percent="0" rank="0" text="" dxfId="0">
      <formula>LEFT(G38,6)="Riktig"</formula>
    </cfRule>
    <cfRule type="expression" priority="23" aboveAverage="0" equalAverage="0" bottom="0" percent="0" rank="0" text="" dxfId="1">
      <formula>LEFT(G38,4)="Ikke"</formula>
    </cfRule>
  </conditionalFormatting>
  <conditionalFormatting sqref="G39">
    <cfRule type="expression" priority="24" aboveAverage="0" equalAverage="0" bottom="0" percent="0" rank="0" text="" dxfId="0">
      <formula>LEFT(G39,6)="Riktig"</formula>
    </cfRule>
    <cfRule type="expression" priority="25" aboveAverage="0" equalAverage="0" bottom="0" percent="0" rank="0" text="" dxfId="1">
      <formula>LEFT(G39,4)="Ikke"</formula>
    </cfRule>
  </conditionalFormatting>
  <conditionalFormatting sqref="G40">
    <cfRule type="expression" priority="26" aboveAverage="0" equalAverage="0" bottom="0" percent="0" rank="0" text="" dxfId="0">
      <formula>LEFT(G40,6)="Riktig"</formula>
    </cfRule>
    <cfRule type="expression" priority="27" aboveAverage="0" equalAverage="0" bottom="0" percent="0" rank="0" text="" dxfId="1">
      <formula>LEFT(G40,4)="Ikke"</formula>
    </cfRule>
  </conditionalFormatting>
  <conditionalFormatting sqref="G41">
    <cfRule type="expression" priority="28" aboveAverage="0" equalAverage="0" bottom="0" percent="0" rank="0" text="" dxfId="0">
      <formula>LEFT(G41,6)="Riktig"</formula>
    </cfRule>
    <cfRule type="expression" priority="29" aboveAverage="0" equalAverage="0" bottom="0" percent="0" rank="0" text="" dxfId="1">
      <formula>LEFT(G41,4)="Ikke"</formula>
    </cfRule>
  </conditionalFormatting>
  <dataValidations count="13">
    <dataValidation allowBlank="true" errorStyle="stop" operator="between" showDropDown="false" showErrorMessage="false" showInputMessage="false" sqref="C22" type="list">
      <formula1>"Dagligvare,Varig forbruksvare pluss tjeneste,Spesialvare,Ren tjeneste"</formula1>
      <formula2>0</formula2>
    </dataValidation>
    <dataValidation allowBlank="true" errorStyle="stop" operator="between" showDropDown="false" showErrorMessage="false" showInputMessage="false" sqref="C25" type="list">
      <formula1>"Varen,Tjenesten"</formula1>
      <formula2>0</formula2>
    </dataValidation>
    <dataValidation allowBlank="true" errorStyle="stop" operator="between" showDropDown="false" showErrorMessage="false" showInputMessage="false" sqref="C26" type="list">
      <formula1>"Varen,Tjenesten"</formula1>
      <formula2>0</formula2>
    </dataValidation>
    <dataValidation allowBlank="true" errorStyle="stop" operator="between" showDropDown="false" showErrorMessage="false" showInputMessage="false" sqref="C27" type="list">
      <formula1>"Varen,Tjenesten"</formula1>
      <formula2>0</formula2>
    </dataValidation>
    <dataValidation allowBlank="true" errorStyle="stop" operator="between" showDropDown="false" showErrorMessage="false" showInputMessage="false" sqref="C28" type="list">
      <formula1>"Varen,Tjenesten"</formula1>
      <formula2>0</formula2>
    </dataValidation>
    <dataValidation allowBlank="true" errorStyle="stop" operator="between" showDropDown="false" showErrorMessage="false" showInputMessage="false" sqref="C29" type="list">
      <formula1>"Varen,Tjenesten"</formula1>
      <formula2>0</formula2>
    </dataValidation>
    <dataValidation allowBlank="true" errorStyle="stop" operator="between" showDropDown="false" showErrorMessage="false" showInputMessage="false" sqref="C30" type="list">
      <formula1>"Varen,Tjenesten"</formula1>
      <formula2>0</formula2>
    </dataValidation>
    <dataValidation allowBlank="true" errorStyle="stop" operator="between" showDropDown="false" showErrorMessage="false" showInputMessage="false" sqref="C35" type="list">
      <formula1>"Ja: kvalitet er det fagfolk kan måle,Nei: boka måler kvalitet mot kundens behov og forventninger,så et forskriftsriktig anlegg kan likevel ha dårlig kvalitet for kunden,Nei: kvalitet er det samme som høy pris og et kjent merke"</formula1>
      <formula2>0</formula2>
    </dataValidation>
    <dataValidation allowBlank="true" errorStyle="stop" operator="between" showDropDown="false" showErrorMessage="false" showInputMessage="false" sqref="C38" type="list">
      <formula1>"Loven gir det allerede,Mer enn loven"</formula1>
      <formula2>0</formula2>
    </dataValidation>
    <dataValidation allowBlank="true" errorStyle="stop" operator="between" showDropDown="false" showErrorMessage="false" showInputMessage="false" sqref="C39" type="list">
      <formula1>"Loven gir det allerede,Mer enn loven"</formula1>
      <formula2>0</formula2>
    </dataValidation>
    <dataValidation allowBlank="true" errorStyle="stop" operator="between" showDropDown="false" showErrorMessage="false" showInputMessage="false" sqref="C40" type="list">
      <formula1>"Loven gir det allerede,Mer enn loven"</formula1>
      <formula2>0</formula2>
    </dataValidation>
    <dataValidation allowBlank="true" errorStyle="stop" operator="between" showDropDown="false" showErrorMessage="false" showInputMessage="false" sqref="C41" type="list">
      <formula1>"Loven gir det allerede,Mer enn loven"</formula1>
      <formula2>0</formula2>
    </dataValidation>
    <dataValidation allowBlank="true" errorStyle="stop" operator="between" showDropDown="false" showErrorMessage="false" showInputMessage="false" sqref="C48"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73</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74</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75</v>
      </c>
      <c r="C7" s="8"/>
      <c r="D7" s="8"/>
      <c r="E7" s="8"/>
      <c r="F7" s="8"/>
      <c r="G7" s="8"/>
    </row>
    <row r="9" customFormat="false" ht="15.75" hidden="false" customHeight="true" outlineLevel="0" collapsed="false">
      <c r="B9" s="7" t="s">
        <v>76</v>
      </c>
      <c r="C9" s="7"/>
      <c r="D9" s="7"/>
      <c r="E9" s="7"/>
      <c r="F9" s="7"/>
      <c r="G9" s="7"/>
    </row>
    <row r="10" customFormat="false" ht="30" hidden="false" customHeight="true" outlineLevel="0" collapsed="false">
      <c r="B10" s="8" t="s">
        <v>77</v>
      </c>
      <c r="C10" s="8"/>
      <c r="D10" s="8"/>
      <c r="E10" s="8"/>
      <c r="F10" s="8"/>
      <c r="G10" s="8"/>
    </row>
    <row r="11" customFormat="false" ht="15" hidden="false" customHeight="false" outlineLevel="0" collapsed="false">
      <c r="B11" s="9" t="s">
        <v>78</v>
      </c>
      <c r="C11" s="10" t="s">
        <v>79</v>
      </c>
      <c r="D11" s="10" t="s">
        <v>80</v>
      </c>
    </row>
    <row r="12" customFormat="false" ht="15" hidden="false" customHeight="false" outlineLevel="0" collapsed="false">
      <c r="B12" s="11" t="s">
        <v>81</v>
      </c>
      <c r="C12" s="24" t="n">
        <v>22</v>
      </c>
      <c r="D12" s="24" t="n">
        <v>5</v>
      </c>
    </row>
    <row r="13" customFormat="false" ht="15" hidden="false" customHeight="false" outlineLevel="0" collapsed="false">
      <c r="B13" s="11" t="s">
        <v>82</v>
      </c>
      <c r="C13" s="24" t="n">
        <v>38</v>
      </c>
      <c r="D13" s="24" t="n">
        <v>3</v>
      </c>
    </row>
    <row r="14" customFormat="false" ht="15" hidden="false" customHeight="false" outlineLevel="0" collapsed="false">
      <c r="B14" s="11" t="s">
        <v>83</v>
      </c>
      <c r="C14" s="24" t="n">
        <v>17</v>
      </c>
      <c r="D14" s="24" t="n">
        <v>3</v>
      </c>
    </row>
    <row r="15" customFormat="false" ht="15" hidden="false" customHeight="false" outlineLevel="0" collapsed="false">
      <c r="B15" s="11" t="s">
        <v>84</v>
      </c>
      <c r="C15" s="24" t="n">
        <v>6</v>
      </c>
      <c r="D15" s="24" t="n">
        <v>3</v>
      </c>
    </row>
    <row r="16" customFormat="false" ht="15" hidden="false" customHeight="false" outlineLevel="0" collapsed="false">
      <c r="B16" s="11" t="s">
        <v>85</v>
      </c>
      <c r="C16" s="24" t="n">
        <v>15</v>
      </c>
      <c r="D16" s="24" t="n">
        <v>4</v>
      </c>
    </row>
    <row r="17" customFormat="false" ht="15" hidden="false" customHeight="false" outlineLevel="0" collapsed="false">
      <c r="B17" s="11" t="s">
        <v>86</v>
      </c>
      <c r="C17" s="24" t="n">
        <v>2</v>
      </c>
      <c r="D17" s="24" t="n">
        <v>2</v>
      </c>
    </row>
    <row r="18" customFormat="false" ht="15" hidden="false" customHeight="false" outlineLevel="0" collapsed="false">
      <c r="B18" s="11" t="s">
        <v>87</v>
      </c>
      <c r="C18" s="23"/>
      <c r="D18" s="23"/>
    </row>
    <row r="20" customFormat="false" ht="15.75" hidden="false" customHeight="true" outlineLevel="0" collapsed="false">
      <c r="B20" s="7" t="s">
        <v>29</v>
      </c>
      <c r="C20" s="7"/>
      <c r="D20" s="7"/>
      <c r="E20" s="7"/>
      <c r="F20" s="7"/>
      <c r="G20" s="7"/>
    </row>
    <row r="21" customFormat="false" ht="60" hidden="false" customHeight="true" outlineLevel="0" collapsed="false">
      <c r="B21" s="8" t="s">
        <v>88</v>
      </c>
      <c r="C21" s="8"/>
      <c r="D21" s="8"/>
      <c r="E21" s="8"/>
      <c r="F21" s="8"/>
      <c r="G21" s="8"/>
    </row>
    <row r="23" customFormat="false" ht="15" hidden="false" customHeight="false" outlineLevel="0" collapsed="false">
      <c r="B23" s="16" t="s">
        <v>89</v>
      </c>
    </row>
    <row r="24" customFormat="false" ht="36" hidden="false" customHeight="true" outlineLevel="0" collapsed="false">
      <c r="B24" s="0" t="s">
        <v>90</v>
      </c>
      <c r="C24" s="25" t="str">
        <f aca="false">IF(C18="","Skriv svaret i cellen C18.",IF(C18=(SUM(C12:C17)),"Riktig.",IF(C18=(SUM(C12:C16)),"Du har ikke fått med antenne, 2 %.",IF(C18=(SUM(D12:D17)),"Du har summert variantene i andelskolonnen.","Ikke riktig ennå. Legg sammen de seks andelene. Hele omsetningen er 100 %."))))</f>
        <v>Skriv svaret i cellen C18.</v>
      </c>
      <c r="D24" s="25"/>
      <c r="E24" s="25"/>
      <c r="F24" s="25"/>
      <c r="G24" s="25"/>
    </row>
    <row r="25" customFormat="false" ht="36" hidden="false" customHeight="true" outlineLevel="0" collapsed="false">
      <c r="B25" s="0" t="s">
        <v>91</v>
      </c>
      <c r="C25" s="25" t="str">
        <f aca="false">IF(D18="","Skriv svaret i cellen D18.",IF(D18=(SUM(D12:D17)),"Riktig.",IF(D18=(SUM(D12:D16)),"Du har ikke fått med antenne, 2 varianter.",IF(D18=(6),"Det er antall grupper, altså bredden. Variantene er tallene i siste kolonne.","Ikke riktig ennå. Legg sammen variantene i de seks gruppene."))))</f>
        <v>Skriv svaret i cellen D18.</v>
      </c>
      <c r="D25" s="25"/>
      <c r="E25" s="25"/>
      <c r="F25" s="25"/>
      <c r="G25" s="25"/>
    </row>
    <row r="27" customFormat="false" ht="43.5" hidden="false" customHeight="true" outlineLevel="0" collapsed="false">
      <c r="B27" s="13" t="s">
        <v>92</v>
      </c>
      <c r="C27" s="23"/>
      <c r="D27" s="18" t="s">
        <v>93</v>
      </c>
      <c r="G27" s="15" t="str">
        <f aca="false">IF(C27="","Skriv svaret i den gule cellen.",IF(C27=(6),"Riktig.",IF(ABS(C27-(20))&lt;=0,"Det er antall varianter. Bredden er antall grupper.",IF(ABS(C27-(100))&lt;=0,"Det er summen av andelene. Bredden er antall grupper.","Ikke riktig ennå. Se på regnestykket øverst på fanen, og sjekk at du har med alle leddene."))))</f>
        <v>Skriv svaret i den gule cellen.</v>
      </c>
    </row>
    <row r="28" customFormat="false" ht="43.5" hidden="false" customHeight="true" outlineLevel="0" collapsed="false">
      <c r="B28" s="13" t="s">
        <v>94</v>
      </c>
      <c r="C28" s="17"/>
      <c r="D28" s="18" t="s">
        <v>95</v>
      </c>
      <c r="G28" s="15" t="str">
        <f aca="false">IF(C28="","Skriv svaret i den gule cellen.",IF(ABS(C28-(ROUND(20/6,1)))&lt;=0.06,"Riktig.",IF(ABS(C28-(20))&lt;=0.06,"Det er alle variantene. Del på antall grupper for å få snittet per gruppe.",IF(ABS(C28-(ROUND(6/20,1)))&lt;=0.06,"Du har delt motsatt vei. Det er variantene som deles på gruppene.","Ikke riktig ennå. Se på regnestykket øverst på fanen, og sjekk at du har med alle leddene."))))</f>
        <v>Skriv svaret i den gule cellen.</v>
      </c>
    </row>
    <row r="29" customFormat="false" ht="43.5" hidden="false" customHeight="true" outlineLevel="0" collapsed="false">
      <c r="B29" s="13" t="s">
        <v>96</v>
      </c>
      <c r="C29" s="22"/>
      <c r="D29" s="18" t="s">
        <v>64</v>
      </c>
      <c r="G29" s="15" t="str">
        <f aca="false">IF(C29="","Skriv svaret i den gule cellen.",IF(C29=(0.15*22400000),"Riktig.",IF(ABS(C29-(15))&lt;=0,"Det er prosenten. Spørsmålet er kronebeløpet: 15 % av 22 400 000.",IF(ABS(C29-(0.15*14010000))&lt;=0,"Du har brukt bruttofortjenesten. Andelene gjelder salgsinntekten, 22 400 000.",IF(ABS(C29-(22400000/15))&lt;=0,"Du har delt på 15. 15 % er 0,15 ganger beløpet.","Ikke riktig ennå. Se på regnestykket øverst på fanen, og sjekk at du har med alle leddene.")))))</f>
        <v>Skriv svaret i den gule cellen.</v>
      </c>
    </row>
    <row r="30" customFormat="false" ht="43.5" hidden="false" customHeight="true" outlineLevel="0" collapsed="false">
      <c r="B30" s="13" t="s">
        <v>97</v>
      </c>
      <c r="C30" s="22"/>
      <c r="D30" s="18" t="s">
        <v>64</v>
      </c>
      <c r="G30" s="15" t="str">
        <f aca="false">IF(C30="","Skriv svaret i den gule cellen.",IF(C30=(0.02*22400000),"Riktig.",IF(ABS(C30-(0.2*22400000))&lt;=0,"Du har regnet 20 %. Antenne er 2 %, altså 0,02.",IF(ABS(C30-(22400000/2))&lt;=0,"Du har delt på 2. 2 % er 0,02 ganger beløpet.","Ikke riktig ennå. Se på regnestykket øverst på fanen, og sjekk at du har med alle leddene."))))</f>
        <v>Skriv svaret i den gule cellen.</v>
      </c>
    </row>
    <row r="32" customFormat="false" ht="15" hidden="false" customHeight="false" outlineLevel="0" collapsed="false">
      <c r="B32" s="16" t="s">
        <v>98</v>
      </c>
    </row>
    <row r="33" customFormat="false" ht="39.75" hidden="false" customHeight="true" outlineLevel="0" collapsed="false">
      <c r="B33" s="13" t="s">
        <v>99</v>
      </c>
      <c r="C33" s="14"/>
      <c r="G33" s="15" t="str">
        <f aca="false">IF(C33="","Velg i nedtrekksmenyen.",IF(C33="Komplementære","Riktig. Trengs det ene, trengs ofte det andre samtidig: komplementære produkter (6.5).","Ikke riktig. Trengs det ene, trengs ofte det andre samtidig: komplementære produkter (6.5)."))</f>
        <v>Velg i nedtrekksmenyen.</v>
      </c>
    </row>
    <row r="34" customFormat="false" ht="39.75" hidden="false" customHeight="true" outlineLevel="0" collapsed="false">
      <c r="B34" s="13" t="s">
        <v>100</v>
      </c>
      <c r="C34" s="14"/>
      <c r="G34" s="15" t="str">
        <f aca="false">IF(C34="","Velg i nedtrekksmenyen.",IF(C34="Substitutter","Riktig. De erstatter hverandre i bruk. Varianter i samme gruppe, altså dybden (6.5).","Ikke riktig. De erstatter hverandre i bruk. Varianter i samme gruppe, altså dybden (6.5)."))</f>
        <v>Velg i nedtrekksmenyen.</v>
      </c>
    </row>
    <row r="35" customFormat="false" ht="39.75" hidden="false" customHeight="true" outlineLevel="0" collapsed="false">
      <c r="B35" s="13" t="s">
        <v>101</v>
      </c>
      <c r="C35" s="14"/>
      <c r="G35" s="15" t="str">
        <f aca="false">IF(C35="","Velg i nedtrekksmenyen.",IF(C35="Komplementære","Riktig. Batteriet utfyller anlegget i bruk. Komplementære (6.5).","Ikke riktig. Batteriet utfyller anlegget i bruk. Komplementære (6.5)."))</f>
        <v>Velg i nedtrekksmenyen.</v>
      </c>
    </row>
    <row r="36" customFormat="false" ht="39.75" hidden="false" customHeight="true" outlineLevel="0" collapsed="false">
      <c r="B36" s="13" t="s">
        <v>102</v>
      </c>
      <c r="C36" s="14"/>
      <c r="G36" s="15" t="str">
        <f aca="false">IF(C36="","Velg i nedtrekksmenyen.",IF(C36="Komplementære","Riktig. Rapporten skaper behovet for rettingen. Komplementære (6.5).","Ikke riktig. Rapporten skaper behovet for rettingen. Komplementære (6.5)."))</f>
        <v>Velg i nedtrekksmenyen.</v>
      </c>
    </row>
    <row r="37" customFormat="false" ht="39.75" hidden="false" customHeight="true" outlineLevel="0" collapsed="false">
      <c r="B37" s="13" t="s">
        <v>103</v>
      </c>
      <c r="C37" s="14"/>
      <c r="G37" s="15" t="str">
        <f aca="false">IF(C37="","Velg i nedtrekksmenyen.",IF(C37="Ingen sammenheng","Riktig. Ingen av dem skaper behov for den andre. Antenne henger ikke sammen med noe annet Nordlys gjør.","Ikke riktig. Ingen av dem skaper behov for den andre. Antenne henger ikke sammen med noe annet Nordlys gjør."))</f>
        <v>Velg i nedtrekksmenyen.</v>
      </c>
    </row>
    <row r="38" customFormat="false" ht="39.75" hidden="false" customHeight="true" outlineLevel="0" collapsed="false">
      <c r="B38" s="13" t="s">
        <v>104</v>
      </c>
      <c r="C38" s="14"/>
      <c r="G38" s="15" t="str">
        <f aca="false">IF(C38="","Velg i nedtrekksmenyen.",IF(C38="Substitutter","Riktig. To varianter i samme gruppe, service: kunden velger den ene eller den andre. Dybden (6.5).","Ikke riktig. To varianter i samme gruppe, service: kunden velger den ene eller den andre. Dybden (6.5)."))</f>
        <v>Velg i nedtrekksmenyen.</v>
      </c>
    </row>
    <row r="40" customFormat="false" ht="39.75" hidden="false" customHeight="true" outlineLevel="0" collapsed="false">
      <c r="B40" s="13" t="s">
        <v>105</v>
      </c>
      <c r="C40" s="14"/>
      <c r="G40" s="15" t="str">
        <f aca="false">IF(C40="","Velg i nedtrekksmenyen.",IF(C40="Kompetanse: kurs, sertifikater og utstyr som må holdes ved like også for tjenester som sjelden selges","Riktig. Boka regner opp lager, svinn og kapitalbinding for vareselgeren (6.5). For tjenesteyteren sitter produktet i egne hender: kunnskapen. Bredden koster derfor kompetanse, som termografiutstyret til 480 000 kr.","Ikke riktig. Boka regner opp lager, svinn og kapitalbinding for vareselgeren (6.5). For tjenesteyteren sitter produktet i egne hender: kunnskapen. Bredden koster derfor kompetanse, som termografiutstyret til 480 000 kr."))</f>
        <v>Velg i nedtrekksmenyen.</v>
      </c>
    </row>
    <row r="42" customFormat="false" ht="30" hidden="false" customHeight="true" outlineLevel="0" collapsed="false">
      <c r="B42" s="8" t="s">
        <v>106</v>
      </c>
      <c r="C42" s="8"/>
      <c r="D42" s="8"/>
      <c r="E42" s="8"/>
      <c r="F42" s="8"/>
      <c r="G42" s="8"/>
    </row>
    <row r="43" customFormat="false" ht="21.75" hidden="false" customHeight="true" outlineLevel="0" collapsed="false">
      <c r="B43" s="19"/>
      <c r="C43" s="19"/>
      <c r="D43" s="19"/>
      <c r="E43" s="19"/>
      <c r="F43" s="19"/>
      <c r="G43" s="19"/>
    </row>
    <row r="44" customFormat="false" ht="21.75" hidden="false" customHeight="true" outlineLevel="0" collapsed="false">
      <c r="B44" s="19"/>
      <c r="C44" s="19"/>
      <c r="D44" s="19"/>
      <c r="E44" s="19"/>
      <c r="F44" s="19"/>
      <c r="G44" s="19"/>
    </row>
    <row r="45" customFormat="false" ht="21.75" hidden="false" customHeight="true" outlineLevel="0" collapsed="false">
      <c r="B45" s="19"/>
      <c r="C45" s="19"/>
      <c r="D45" s="19"/>
      <c r="E45" s="19"/>
      <c r="F45" s="19"/>
      <c r="G45" s="19"/>
    </row>
    <row r="46" customFormat="false" ht="39.75" hidden="false" customHeight="true" outlineLevel="0" collapsed="false">
      <c r="B46" s="20" t="str">
        <f aca="false">IF(LEN(B43)&lt;40,"",IF(AND(ISNUMBER(SEARCH("antenne",B43)),ISNUMBER(SEARCH("sammen",B43))),"Bra: du peker på antenne og på at gruppen ikke henger sammen med resten. Hva det betyr i kroner per montørtime, regner vi i økt 2.",IF(OR(ISNUMBER(SEARCH("antenne",B43)),ISNUMBER(SEARCH("sammen",B43))),"Du er på sporet. Si hvilken gruppe det gjelder (antenne), og at den ikke henger sammen med noe annet Nordlys leverer.","Tips: antenne og koaks er 2 % av omsetningen, har to varianter og henger ikke sammen med noe annet Nordlys gjør. Nordlys kan slutte å investere i gruppen uten å slutte å svare når kunden ringer.")))</f>
        <v/>
      </c>
      <c r="C46" s="20"/>
      <c r="D46" s="20"/>
      <c r="E46" s="20"/>
      <c r="F46" s="20"/>
      <c r="G46" s="20"/>
    </row>
    <row r="47" customFormat="false" ht="15" hidden="false" customHeight="false" outlineLevel="0" collapsed="false">
      <c r="B47" s="16" t="s">
        <v>42</v>
      </c>
      <c r="C47" s="14"/>
    </row>
    <row r="48" customFormat="false" ht="31.5" hidden="false" customHeight="true" outlineLevel="0" collapsed="false">
      <c r="B48" s="21" t="str">
        <f aca="false">IF(C47="JA","Hint: Summene er 100 % og 20 varianter. Bredde: 6 grupper. Dybde: 20 / 6 = 3,3 varianter per gruppe. Solcelle og lading: 0,15 × 22 400 000 = 3 360 000 kr. Antenne: 0,02 × 22 400 000 = 448 000 kr.","")</f>
        <v/>
      </c>
      <c r="C48" s="21"/>
      <c r="D48" s="21"/>
      <c r="E48" s="21"/>
      <c r="F48" s="21"/>
      <c r="G48" s="21"/>
    </row>
    <row r="50" customFormat="false" ht="30" hidden="false" customHeight="true" outlineLevel="0" collapsed="false">
      <c r="B50" s="6" t="s">
        <v>43</v>
      </c>
      <c r="C50" s="6"/>
      <c r="D50" s="6"/>
      <c r="E50" s="6"/>
      <c r="F50" s="6"/>
      <c r="G50" s="6"/>
    </row>
  </sheetData>
  <mergeCells count="17">
    <mergeCell ref="B2:G2"/>
    <mergeCell ref="B3:G3"/>
    <mergeCell ref="B4:G4"/>
    <mergeCell ref="B5:G5"/>
    <mergeCell ref="B6:G6"/>
    <mergeCell ref="B7:G7"/>
    <mergeCell ref="B9:G9"/>
    <mergeCell ref="B10:G10"/>
    <mergeCell ref="B20:G20"/>
    <mergeCell ref="B21:G21"/>
    <mergeCell ref="C24:G24"/>
    <mergeCell ref="C25:G25"/>
    <mergeCell ref="B42:G42"/>
    <mergeCell ref="B43:G45"/>
    <mergeCell ref="B46:G46"/>
    <mergeCell ref="B48:G48"/>
    <mergeCell ref="B50:G50"/>
  </mergeCells>
  <conditionalFormatting sqref="C24">
    <cfRule type="expression" priority="2" aboveAverage="0" equalAverage="0" bottom="0" percent="0" rank="0" text="" dxfId="0">
      <formula>LEFT(C24,6)="Riktig"</formula>
    </cfRule>
    <cfRule type="expression" priority="3" aboveAverage="0" equalAverage="0" bottom="0" percent="0" rank="0" text="" dxfId="1">
      <formula>AND(C24&lt;&gt;"",LEFT(C24,6)&lt;&gt;"Riktig",LEFT(C24,5)&lt;&gt;"Skriv")</formula>
    </cfRule>
  </conditionalFormatting>
  <conditionalFormatting sqref="C25">
    <cfRule type="expression" priority="4" aboveAverage="0" equalAverage="0" bottom="0" percent="0" rank="0" text="" dxfId="0">
      <formula>LEFT(C25,6)="Riktig"</formula>
    </cfRule>
    <cfRule type="expression" priority="5" aboveAverage="0" equalAverage="0" bottom="0" percent="0" rank="0" text="" dxfId="1">
      <formula>AND(C25&lt;&gt;"",LEFT(C25,6)&lt;&gt;"Riktig",LEFT(C25,5)&lt;&gt;"Skriv")</formula>
    </cfRule>
  </conditionalFormatting>
  <conditionalFormatting sqref="G27">
    <cfRule type="expression" priority="6" aboveAverage="0" equalAverage="0" bottom="0" percent="0" rank="0" text="" dxfId="0">
      <formula>LEFT(G27,6)="Riktig"</formula>
    </cfRule>
    <cfRule type="expression" priority="7" aboveAverage="0" equalAverage="0" bottom="0" percent="0" rank="0" text="" dxfId="1">
      <formula>AND(G27&lt;&gt;"",LEFT(G27,6)&lt;&gt;"Riktig",LEFT(G27,5)&lt;&gt;"Skriv")</formula>
    </cfRule>
  </conditionalFormatting>
  <conditionalFormatting sqref="G28">
    <cfRule type="expression" priority="8" aboveAverage="0" equalAverage="0" bottom="0" percent="0" rank="0" text="" dxfId="0">
      <formula>LEFT(G28,6)="Riktig"</formula>
    </cfRule>
    <cfRule type="expression" priority="9" aboveAverage="0" equalAverage="0" bottom="0" percent="0" rank="0" text="" dxfId="1">
      <formula>AND(G28&lt;&gt;"",LEFT(G28,6)&lt;&gt;"Riktig",LEFT(G28,5)&lt;&gt;"Skriv")</formula>
    </cfRule>
  </conditionalFormatting>
  <conditionalFormatting sqref="G29">
    <cfRule type="expression" priority="10" aboveAverage="0" equalAverage="0" bottom="0" percent="0" rank="0" text="" dxfId="0">
      <formula>LEFT(G29,6)="Riktig"</formula>
    </cfRule>
    <cfRule type="expression" priority="11" aboveAverage="0" equalAverage="0" bottom="0" percent="0" rank="0" text="" dxfId="1">
      <formula>AND(G29&lt;&gt;"",LEFT(G29,6)&lt;&gt;"Riktig",LEFT(G29,5)&lt;&gt;"Skriv")</formula>
    </cfRule>
  </conditionalFormatting>
  <conditionalFormatting sqref="G30">
    <cfRule type="expression" priority="12" aboveAverage="0" equalAverage="0" bottom="0" percent="0" rank="0" text="" dxfId="0">
      <formula>LEFT(G30,6)="Riktig"</formula>
    </cfRule>
    <cfRule type="expression" priority="13" aboveAverage="0" equalAverage="0" bottom="0" percent="0" rank="0" text="" dxfId="1">
      <formula>AND(G30&lt;&gt;"",LEFT(G30,6)&lt;&gt;"Riktig",LEFT(G30,5)&lt;&gt;"Skriv")</formula>
    </cfRule>
  </conditionalFormatting>
  <conditionalFormatting sqref="G33">
    <cfRule type="expression" priority="14" aboveAverage="0" equalAverage="0" bottom="0" percent="0" rank="0" text="" dxfId="0">
      <formula>LEFT(G33,6)="Riktig"</formula>
    </cfRule>
    <cfRule type="expression" priority="15" aboveAverage="0" equalAverage="0" bottom="0" percent="0" rank="0" text="" dxfId="1">
      <formula>LEFT(G33,4)="Ikke"</formula>
    </cfRule>
  </conditionalFormatting>
  <conditionalFormatting sqref="G34">
    <cfRule type="expression" priority="16" aboveAverage="0" equalAverage="0" bottom="0" percent="0" rank="0" text="" dxfId="0">
      <formula>LEFT(G34,6)="Riktig"</formula>
    </cfRule>
    <cfRule type="expression" priority="17" aboveAverage="0" equalAverage="0" bottom="0" percent="0" rank="0" text="" dxfId="1">
      <formula>LEFT(G34,4)="Ikke"</formula>
    </cfRule>
  </conditionalFormatting>
  <conditionalFormatting sqref="G35">
    <cfRule type="expression" priority="18" aboveAverage="0" equalAverage="0" bottom="0" percent="0" rank="0" text="" dxfId="0">
      <formula>LEFT(G35,6)="Riktig"</formula>
    </cfRule>
    <cfRule type="expression" priority="19" aboveAverage="0" equalAverage="0" bottom="0" percent="0" rank="0" text="" dxfId="1">
      <formula>LEFT(G35,4)="Ikke"</formula>
    </cfRule>
  </conditionalFormatting>
  <conditionalFormatting sqref="G36">
    <cfRule type="expression" priority="20" aboveAverage="0" equalAverage="0" bottom="0" percent="0" rank="0" text="" dxfId="0">
      <formula>LEFT(G36,6)="Riktig"</formula>
    </cfRule>
    <cfRule type="expression" priority="21" aboveAverage="0" equalAverage="0" bottom="0" percent="0" rank="0" text="" dxfId="1">
      <formula>LEFT(G36,4)="Ikke"</formula>
    </cfRule>
  </conditionalFormatting>
  <conditionalFormatting sqref="G37">
    <cfRule type="expression" priority="22" aboveAverage="0" equalAverage="0" bottom="0" percent="0" rank="0" text="" dxfId="0">
      <formula>LEFT(G37,6)="Riktig"</formula>
    </cfRule>
    <cfRule type="expression" priority="23" aboveAverage="0" equalAverage="0" bottom="0" percent="0" rank="0" text="" dxfId="1">
      <formula>LEFT(G37,4)="Ikke"</formula>
    </cfRule>
  </conditionalFormatting>
  <conditionalFormatting sqref="G38">
    <cfRule type="expression" priority="24" aboveAverage="0" equalAverage="0" bottom="0" percent="0" rank="0" text="" dxfId="0">
      <formula>LEFT(G38,6)="Riktig"</formula>
    </cfRule>
    <cfRule type="expression" priority="25" aboveAverage="0" equalAverage="0" bottom="0" percent="0" rank="0" text="" dxfId="1">
      <formula>LEFT(G38,4)="Ikke"</formula>
    </cfRule>
  </conditionalFormatting>
  <conditionalFormatting sqref="G40">
    <cfRule type="expression" priority="26" aboveAverage="0" equalAverage="0" bottom="0" percent="0" rank="0" text="" dxfId="0">
      <formula>LEFT(G40,6)="Riktig"</formula>
    </cfRule>
    <cfRule type="expression" priority="27" aboveAverage="0" equalAverage="0" bottom="0" percent="0" rank="0" text="" dxfId="1">
      <formula>LEFT(G40,4)="Ikke"</formula>
    </cfRule>
  </conditionalFormatting>
  <dataValidations count="8">
    <dataValidation allowBlank="true" errorStyle="stop" operator="between" showDropDown="false" showErrorMessage="false" showInputMessage="false" sqref="C33" type="list">
      <formula1>"Komplementære,Substitutter,Ingen sammenheng"</formula1>
      <formula2>0</formula2>
    </dataValidation>
    <dataValidation allowBlank="true" errorStyle="stop" operator="between" showDropDown="false" showErrorMessage="false" showInputMessage="false" sqref="C34" type="list">
      <formula1>"Komplementære,Substitutter,Ingen sammenheng"</formula1>
      <formula2>0</formula2>
    </dataValidation>
    <dataValidation allowBlank="true" errorStyle="stop" operator="between" showDropDown="false" showErrorMessage="false" showInputMessage="false" sqref="C35" type="list">
      <formula1>"Komplementære,Substitutter,Ingen sammenheng"</formula1>
      <formula2>0</formula2>
    </dataValidation>
    <dataValidation allowBlank="true" errorStyle="stop" operator="between" showDropDown="false" showErrorMessage="false" showInputMessage="false" sqref="C36" type="list">
      <formula1>"Komplementære,Substitutter,Ingen sammenheng"</formula1>
      <formula2>0</formula2>
    </dataValidation>
    <dataValidation allowBlank="true" errorStyle="stop" operator="between" showDropDown="false" showErrorMessage="false" showInputMessage="false" sqref="C37" type="list">
      <formula1>"Komplementære,Substitutter,Ingen sammenheng"</formula1>
      <formula2>0</formula2>
    </dataValidation>
    <dataValidation allowBlank="true" errorStyle="stop" operator="between" showDropDown="false" showErrorMessage="false" showInputMessage="false" sqref="C38" type="list">
      <formula1>"Komplementære,Substitutter,Ingen sammenheng"</formula1>
      <formula2>0</formula2>
    </dataValidation>
    <dataValidation allowBlank="true" errorStyle="stop" operator="between" showDropDown="false" showErrorMessage="false" showInputMessage="false" sqref="C40" type="list">
      <formula1>"Lager,svinn og kapitalbinding,slik boka regner det for vareselgeren,Kompetanse: kurs,sertifikater og utstyr som må holdes ved like også for tjenester som sjelden selges,Ingenting: tjenester har ingen kostnad ved bredde"</formula1>
      <formula2>0</formula2>
    </dataValidation>
    <dataValidation allowBlank="true" errorStyle="stop" operator="between" showDropDown="false" showErrorMessage="false" showInputMessage="false" sqref="C4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107</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108</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109</v>
      </c>
      <c r="C7" s="8"/>
      <c r="D7" s="8"/>
      <c r="E7" s="8"/>
      <c r="F7" s="8"/>
      <c r="G7" s="8"/>
    </row>
    <row r="9" customFormat="false" ht="15.75" hidden="false" customHeight="true" outlineLevel="0" collapsed="false">
      <c r="B9" s="7" t="s">
        <v>22</v>
      </c>
      <c r="C9" s="7"/>
      <c r="D9" s="7"/>
      <c r="E9" s="7"/>
      <c r="F9" s="7"/>
      <c r="G9" s="7"/>
    </row>
    <row r="10" customFormat="false" ht="45" hidden="false" customHeight="true" outlineLevel="0" collapsed="false">
      <c r="B10" s="8" t="s">
        <v>110</v>
      </c>
      <c r="C10" s="8"/>
      <c r="D10" s="8"/>
      <c r="E10" s="8"/>
      <c r="F10" s="8"/>
      <c r="G10" s="8"/>
    </row>
    <row r="11" customFormat="false" ht="15" hidden="false" customHeight="false" outlineLevel="0" collapsed="false">
      <c r="B11" s="9" t="s">
        <v>111</v>
      </c>
      <c r="C11" s="10" t="s">
        <v>112</v>
      </c>
      <c r="D11" s="10" t="s">
        <v>113</v>
      </c>
    </row>
    <row r="12" customFormat="false" ht="15" hidden="false" customHeight="false" outlineLevel="0" collapsed="false">
      <c r="B12" s="11" t="s">
        <v>114</v>
      </c>
      <c r="C12" s="24" t="n">
        <v>180</v>
      </c>
      <c r="D12" s="24" t="n">
        <v>215</v>
      </c>
    </row>
    <row r="13" customFormat="false" ht="15" hidden="false" customHeight="false" outlineLevel="0" collapsed="false">
      <c r="B13" s="11" t="s">
        <v>115</v>
      </c>
      <c r="C13" s="24" t="n">
        <v>96</v>
      </c>
      <c r="D13" s="24" t="n">
        <v>22</v>
      </c>
    </row>
    <row r="14" customFormat="false" ht="15" hidden="false" customHeight="false" outlineLevel="0" collapsed="false">
      <c r="B14" s="11" t="s">
        <v>116</v>
      </c>
      <c r="C14" s="24" t="n">
        <v>0</v>
      </c>
      <c r="D14" s="24" t="n">
        <v>6</v>
      </c>
    </row>
    <row r="16" customFormat="false" ht="15.75" hidden="false" customHeight="true" outlineLevel="0" collapsed="false">
      <c r="B16" s="7" t="s">
        <v>29</v>
      </c>
      <c r="C16" s="7"/>
      <c r="D16" s="7"/>
      <c r="E16" s="7"/>
      <c r="F16" s="7"/>
      <c r="G16" s="7"/>
    </row>
    <row r="17" customFormat="false" ht="45" hidden="false" customHeight="true" outlineLevel="0" collapsed="false">
      <c r="B17" s="8" t="s">
        <v>117</v>
      </c>
      <c r="C17" s="8"/>
      <c r="D17" s="8"/>
      <c r="E17" s="8"/>
      <c r="F17" s="8"/>
      <c r="G17" s="8"/>
    </row>
    <row r="19" customFormat="false" ht="15" hidden="false" customHeight="false" outlineLevel="0" collapsed="false">
      <c r="B19" s="16" t="s">
        <v>118</v>
      </c>
    </row>
    <row r="20" customFormat="false" ht="39.75" hidden="false" customHeight="true" outlineLevel="0" collapsed="false">
      <c r="B20" s="13" t="s">
        <v>119</v>
      </c>
      <c r="C20" s="14"/>
      <c r="G20" s="15" t="str">
        <f aca="false">IF(C20="","Velg i nedtrekksmenyen.",IF(C20="Introduksjon","Riktig. Produktet bringes på markedet; salget er lite og usikkert (6.7).","Ikke riktig. Produktet bringes på markedet; salget er lite og usikkert (6.7)."))</f>
        <v>Velg i nedtrekksmenyen.</v>
      </c>
    </row>
    <row r="21" customFormat="false" ht="39.75" hidden="false" customHeight="true" outlineLevel="0" collapsed="false">
      <c r="B21" s="13" t="s">
        <v>120</v>
      </c>
      <c r="C21" s="14"/>
      <c r="G21" s="15" t="str">
        <f aca="false">IF(C21="","Velg i nedtrekksmenyen.",IF(C21="Vekst","Riktig. Salget stiger, og markedet vokser: 95 % av nye biler er elbiler (6.7).","Ikke riktig. Salget stiger, og markedet vokser: 95 % av nye biler er elbiler (6.7)."))</f>
        <v>Velg i nedtrekksmenyen.</v>
      </c>
    </row>
    <row r="22" customFormat="false" ht="39.75" hidden="false" customHeight="true" outlineLevel="0" collapsed="false">
      <c r="B22" s="13" t="s">
        <v>121</v>
      </c>
      <c r="C22" s="14"/>
      <c r="G22" s="15" t="str">
        <f aca="false">IF(C22="","Velg i nedtrekksmenyen.",IF(C22="Modning","Riktig. Veksten har flatet ut. Boka kaller fasen både modning og metning (6.7).","Ikke riktig. Veksten har flatet ut. Boka kaller fasen både modning og metning (6.7)."))</f>
        <v>Velg i nedtrekksmenyen.</v>
      </c>
    </row>
    <row r="23" customFormat="false" ht="39.75" hidden="false" customHeight="true" outlineLevel="0" collapsed="false">
      <c r="B23" s="13" t="s">
        <v>122</v>
      </c>
      <c r="C23" s="14"/>
      <c r="G23" s="15" t="str">
        <f aca="false">IF(C23="","Velg i nedtrekksmenyen.",IF(C23="Modning","Riktig. Stor, men flat. Modning (6.7).","Ikke riktig. Stor, men flat. Modning (6.7)."))</f>
        <v>Velg i nedtrekksmenyen.</v>
      </c>
    </row>
    <row r="24" customFormat="false" ht="39.75" hidden="false" customHeight="true" outlineLevel="0" collapsed="false">
      <c r="B24" s="13" t="s">
        <v>123</v>
      </c>
      <c r="C24" s="14"/>
      <c r="G24" s="15" t="str">
        <f aca="false">IF(C24="","Velg i nedtrekksmenyen.",IF(C24="Tilbakegang","Riktig. Salget faller (6.7).","Ikke riktig. Salget faller (6.7)."))</f>
        <v>Velg i nedtrekksmenyen.</v>
      </c>
    </row>
    <row r="25" customFormat="false" ht="39.75" hidden="false" customHeight="true" outlineLevel="0" collapsed="false">
      <c r="B25" s="13" t="s">
        <v>124</v>
      </c>
      <c r="C25" s="14"/>
      <c r="G25" s="15" t="str">
        <f aca="false">IF(C25="","Velg i nedtrekksmenyen.",IF(C25="Tilbakegang","Riktig. Fasen bestemmes av retningen på salget nå, ikke av størrelsen i fjor. Markedet faller: tilbakegang (6.7).","Ikke riktig. Fasen bestemmes av retningen på salget nå, ikke av størrelsen i fjor. Markedet faller: tilbakegang (6.7)."))</f>
        <v>Velg i nedtrekksmenyen.</v>
      </c>
    </row>
    <row r="27" customFormat="false" ht="15" hidden="false" customHeight="false" outlineLevel="0" collapsed="false">
      <c r="B27" s="16" t="s">
        <v>125</v>
      </c>
    </row>
    <row r="28" customFormat="false" ht="39.75" hidden="false" customHeight="true" outlineLevel="0" collapsed="false">
      <c r="B28" s="13" t="s">
        <v>126</v>
      </c>
      <c r="C28" s="14"/>
      <c r="G28" s="15" t="str">
        <f aca="false">IF(C28="","Velg i nedtrekksmenyen.",IF(C28="Introduksjon","Riktig. Bokas første prisstrategi i introduksjonsfasen: moderat pris, rask spredning, høy markedsandel (6.7).","Ikke riktig. Bokas første prisstrategi i introduksjonsfasen: moderat pris, rask spredning, høy markedsandel (6.7)."))</f>
        <v>Velg i nedtrekksmenyen.</v>
      </c>
    </row>
    <row r="29" customFormat="false" ht="39.75" hidden="false" customHeight="true" outlineLevel="0" collapsed="false">
      <c r="B29" s="13" t="s">
        <v>127</v>
      </c>
      <c r="C29" s="14"/>
      <c r="G29" s="15" t="str">
        <f aca="false">IF(C29="","Velg i nedtrekksmenyen.",IF(C29="Introduksjon","Riktig. Bokas andre prisstrategi i introduksjonsfasen: fortjeneste nå, men lokker konkurrenter (6.7).","Ikke riktig. Bokas andre prisstrategi i introduksjonsfasen: fortjeneste nå, men lokker konkurrenter (6.7)."))</f>
        <v>Velg i nedtrekksmenyen.</v>
      </c>
    </row>
    <row r="30" customFormat="false" ht="39.75" hidden="false" customHeight="true" outlineLevel="0" collapsed="false">
      <c r="B30" s="13" t="s">
        <v>128</v>
      </c>
      <c r="C30" s="14"/>
      <c r="G30" s="15" t="str">
        <f aca="false">IF(C30="","Velg i nedtrekksmenyen.",IF(C30="Vekst","Riktig. I vekstfasen åpner segmenteringsmuligheter seg, nye varianter utvikles og svakheter rettes (6.7).","Ikke riktig. I vekstfasen åpner segmenteringsmuligheter seg, nye varianter utvikles og svakheter rettes (6.7)."))</f>
        <v>Velg i nedtrekksmenyen.</v>
      </c>
    </row>
    <row r="31" customFormat="false" ht="39.75" hidden="false" customHeight="true" outlineLevel="0" collapsed="false">
      <c r="B31" s="13" t="s">
        <v>129</v>
      </c>
      <c r="C31" s="14"/>
      <c r="G31" s="15" t="str">
        <f aca="false">IF(C31="","Velg i nedtrekksmenyen.",IF(C31="Modning","Riktig. På toppen av kurven kan bedriften gi produktet et løft med nye eller forbedrede egenskaper (6.7).","Ikke riktig. På toppen av kurven kan bedriften gi produktet et løft med nye eller forbedrede egenskaper (6.7)."))</f>
        <v>Velg i nedtrekksmenyen.</v>
      </c>
    </row>
    <row r="32" customFormat="false" ht="39.75" hidden="false" customHeight="true" outlineLevel="0" collapsed="false">
      <c r="B32" s="13" t="s">
        <v>130</v>
      </c>
      <c r="C32" s="14"/>
      <c r="G32" s="15" t="str">
        <f aca="false">IF(C32="","Velg i nedtrekksmenyen.",IF(C32="Tilbakegang","Riktig. I tilbakegangsfasen er bedriften først og fremst opptatt av å holde kostnadene nede (6.7).","Ikke riktig. I tilbakegangsfasen er bedriften først og fremst opptatt av å holde kostnadene nede (6.7)."))</f>
        <v>Velg i nedtrekksmenyen.</v>
      </c>
    </row>
    <row r="34" customFormat="false" ht="43.5" hidden="false" customHeight="true" outlineLevel="0" collapsed="false">
      <c r="B34" s="13" t="s">
        <v>131</v>
      </c>
      <c r="C34" s="23"/>
      <c r="D34" s="18" t="s">
        <v>39</v>
      </c>
      <c r="G34" s="15" t="str">
        <f aca="false">IF(C34="","Skriv svaret i den gule cellen.",IF(ABS(C34-(ROUND((22-96)/96*100,0)))&lt;=0.5,"Riktig.",IF(ABS(C34-(ROUND((96-22)/96*100,0)))&lt;=0.5,"Riktig størrelse, men antenne har gått ned. Svaret skal være negativt.",IF(ABS(C34-(ROUND((22-96)/22*100,0)))&lt;=0.5,"Du har delt på 22. Endringen deles på utgangspunktet, 96.",IF(ABS(C34-(22-96))&lt;=0.5,"Det er endringen i antall oppdrag. Del på 96 og gang med 100 for å få prosent.","Ikke riktig ennå. Se på regnestykket øverst på fanen, og sjekk at du har med alle leddene.")))))</f>
        <v>Skriv svaret i den gule cellen.</v>
      </c>
    </row>
    <row r="35" customFormat="false" ht="43.5" hidden="false" customHeight="true" outlineLevel="0" collapsed="false">
      <c r="B35" s="13" t="s">
        <v>132</v>
      </c>
      <c r="C35" s="23"/>
      <c r="D35" s="18" t="s">
        <v>39</v>
      </c>
      <c r="G35" s="15" t="str">
        <f aca="false">IF(C35="","Skriv svaret i den gule cellen.",IF(ABS(C35-(ROUND((215-180)/180*100,0)))&lt;=0.5,"Riktig.",IF(ABS(C35-(ROUND((215-180)/215*100,0)))&lt;=0.5,"Du har delt på målet, 215. Veksten deles på utgangspunktet, 180.",IF(ABS(C35-(215-180))&lt;=0.5,"Det er veksten i antall. Del på 180 og gang med 100 for å få prosent.","Ikke riktig ennå. Se på regnestykket øverst på fanen, og sjekk at du har med alle leddene."))))</f>
        <v>Skriv svaret i den gule cellen.</v>
      </c>
    </row>
    <row r="37" customFormat="false" ht="39.75" hidden="false" customHeight="true" outlineLevel="0" collapsed="false">
      <c r="B37" s="13" t="s">
        <v>133</v>
      </c>
      <c r="C37" s="14"/>
      <c r="G37" s="15" t="str">
        <f aca="false">IF(C37="","Velg i nedtrekksmenyen.",IF(C37="Det blir et problem på sikt bare hvis bedriften ikke samtidig utvikler nytt. Nordlys har batteri og ladepunkt, så den er ikke i ubalanse ennå","Riktig. Boka: mange produkter i metnings- eller tilbakegangsfasen kan bli et problem på lengre sikt dersom bedriften ikke samtidig er aktiv i utviklingen av nye produkter. For mange i introduksjon og vekst er også en ubalanse (6.7).","Ikke riktig. Boka: mange produkter i metnings- eller tilbakegangsfasen kan bli et problem på lengre sikt dersom bedriften ikke samtidig er aktiv i utviklingen av nye produkter. For mange i introduksjon og vekst er også en ubalanse (6.7)."))</f>
        <v>Velg i nedtrekksmenyen.</v>
      </c>
    </row>
    <row r="39" customFormat="false" ht="15" hidden="false" customHeight="true" outlineLevel="0" collapsed="false">
      <c r="B39" s="8" t="s">
        <v>134</v>
      </c>
      <c r="C39" s="8"/>
      <c r="D39" s="8"/>
      <c r="E39" s="8"/>
      <c r="F39" s="8"/>
      <c r="G39" s="8"/>
    </row>
    <row r="40" customFormat="false" ht="21.75" hidden="false" customHeight="true" outlineLevel="0" collapsed="false">
      <c r="B40" s="19"/>
      <c r="C40" s="19"/>
      <c r="D40" s="19"/>
      <c r="E40" s="19"/>
      <c r="F40" s="19"/>
      <c r="G40" s="19"/>
    </row>
    <row r="41" customFormat="false" ht="21.75" hidden="false" customHeight="true" outlineLevel="0" collapsed="false">
      <c r="B41" s="19"/>
      <c r="C41" s="19"/>
      <c r="D41" s="19"/>
      <c r="E41" s="19"/>
      <c r="F41" s="19"/>
      <c r="G41" s="19"/>
    </row>
    <row r="42" customFormat="false" ht="21.75" hidden="false" customHeight="true" outlineLevel="0" collapsed="false">
      <c r="B42" s="19"/>
      <c r="C42" s="19"/>
      <c r="D42" s="19"/>
      <c r="E42" s="19"/>
      <c r="F42" s="19"/>
      <c r="G42" s="19"/>
    </row>
    <row r="43" customFormat="false" ht="39.75" hidden="false" customHeight="true" outlineLevel="0" collapsed="false">
      <c r="B43" s="20" t="str">
        <f aca="false">IF(LEN(B40)&lt;40,"",IF(AND(ISNUMBER(SEARCH("kostnad",B40)),ISNUMBER(SEARCH("kompetanse",B40))),"Bra: du har med både å holde kostnadene nede og å beholde kompetansen. Batterilagring henger sammen med sol, så kunnskapen trengs videre.",IF(OR(ISNUMBER(SEARCH("kostnad",B40)),ISNUMBER(SEARCH("kompetanse",B40))),"Du har med noe av det. Si både hva Nordlys slutter med (kurs, utstyr, markedsføring) og hva de beholder (kompetansen, for batteriets skyld).","Tips: i tilbakegang holder bedriften kostnadene nede: ingen nye kurs, ikke nytt utstyr, ingen markedsføring. Men ta jobben når den kommer, og behold kompetansen, for batterilagring henger sammen med sol.")))</f>
        <v/>
      </c>
      <c r="C43" s="20"/>
      <c r="D43" s="20"/>
      <c r="E43" s="20"/>
      <c r="F43" s="20"/>
      <c r="G43" s="20"/>
    </row>
    <row r="44" customFormat="false" ht="15" hidden="false" customHeight="false" outlineLevel="0" collapsed="false">
      <c r="B44" s="16" t="s">
        <v>42</v>
      </c>
      <c r="C44" s="14"/>
    </row>
    <row r="45" customFormat="false" ht="31.5" hidden="false" customHeight="true" outlineLevel="0" collapsed="false">
      <c r="B45" s="21" t="str">
        <f aca="false">IF(C44="JA","Hint: Fasen bestemmes av retningen på salget nå. c: (22 − 96) / 96 × 100 = −77 %. d: (215 − 180) / 180 × 100 = 19 %.","")</f>
        <v/>
      </c>
      <c r="C45" s="21"/>
      <c r="D45" s="21"/>
      <c r="E45" s="21"/>
      <c r="F45" s="21"/>
      <c r="G45" s="21"/>
    </row>
    <row r="47" customFormat="false" ht="30" hidden="false" customHeight="true" outlineLevel="0" collapsed="false">
      <c r="B47" s="6" t="s">
        <v>43</v>
      </c>
      <c r="C47" s="6"/>
      <c r="D47" s="6"/>
      <c r="E47" s="6"/>
      <c r="F47" s="6"/>
      <c r="G47" s="6"/>
    </row>
  </sheetData>
  <mergeCells count="15">
    <mergeCell ref="B2:G2"/>
    <mergeCell ref="B3:G3"/>
    <mergeCell ref="B4:G4"/>
    <mergeCell ref="B5:G5"/>
    <mergeCell ref="B6:G6"/>
    <mergeCell ref="B7:G7"/>
    <mergeCell ref="B9:G9"/>
    <mergeCell ref="B10:G10"/>
    <mergeCell ref="B16:G16"/>
    <mergeCell ref="B17:G17"/>
    <mergeCell ref="B39:G39"/>
    <mergeCell ref="B40:G42"/>
    <mergeCell ref="B43:G43"/>
    <mergeCell ref="B45:G45"/>
    <mergeCell ref="B47:G47"/>
  </mergeCells>
  <conditionalFormatting sqref="G20">
    <cfRule type="expression" priority="2" aboveAverage="0" equalAverage="0" bottom="0" percent="0" rank="0" text="" dxfId="0">
      <formula>LEFT(G20,6)="Riktig"</formula>
    </cfRule>
    <cfRule type="expression" priority="3" aboveAverage="0" equalAverage="0" bottom="0" percent="0" rank="0" text="" dxfId="1">
      <formula>LEFT(G20,4)="Ikke"</formula>
    </cfRule>
  </conditionalFormatting>
  <conditionalFormatting sqref="G21">
    <cfRule type="expression" priority="4" aboveAverage="0" equalAverage="0" bottom="0" percent="0" rank="0" text="" dxfId="0">
      <formula>LEFT(G21,6)="Riktig"</formula>
    </cfRule>
    <cfRule type="expression" priority="5" aboveAverage="0" equalAverage="0" bottom="0" percent="0" rank="0" text="" dxfId="1">
      <formula>LEFT(G21,4)="Ikke"</formula>
    </cfRule>
  </conditionalFormatting>
  <conditionalFormatting sqref="G22">
    <cfRule type="expression" priority="6" aboveAverage="0" equalAverage="0" bottom="0" percent="0" rank="0" text="" dxfId="0">
      <formula>LEFT(G22,6)="Riktig"</formula>
    </cfRule>
    <cfRule type="expression" priority="7" aboveAverage="0" equalAverage="0" bottom="0" percent="0" rank="0" text="" dxfId="1">
      <formula>LEFT(G22,4)="Ikke"</formula>
    </cfRule>
  </conditionalFormatting>
  <conditionalFormatting sqref="G23">
    <cfRule type="expression" priority="8" aboveAverage="0" equalAverage="0" bottom="0" percent="0" rank="0" text="" dxfId="0">
      <formula>LEFT(G23,6)="Riktig"</formula>
    </cfRule>
    <cfRule type="expression" priority="9" aboveAverage="0" equalAverage="0" bottom="0" percent="0" rank="0" text="" dxfId="1">
      <formula>LEFT(G23,4)="Ikke"</formula>
    </cfRule>
  </conditionalFormatting>
  <conditionalFormatting sqref="G24">
    <cfRule type="expression" priority="10" aboveAverage="0" equalAverage="0" bottom="0" percent="0" rank="0" text="" dxfId="0">
      <formula>LEFT(G24,6)="Riktig"</formula>
    </cfRule>
    <cfRule type="expression" priority="11" aboveAverage="0" equalAverage="0" bottom="0" percent="0" rank="0" text="" dxfId="1">
      <formula>LEFT(G24,4)="Ikke"</formula>
    </cfRule>
  </conditionalFormatting>
  <conditionalFormatting sqref="G25">
    <cfRule type="expression" priority="12" aboveAverage="0" equalAverage="0" bottom="0" percent="0" rank="0" text="" dxfId="0">
      <formula>LEFT(G25,6)="Riktig"</formula>
    </cfRule>
    <cfRule type="expression" priority="13" aboveAverage="0" equalAverage="0" bottom="0" percent="0" rank="0" text="" dxfId="1">
      <formula>LEFT(G25,4)="Ikke"</formula>
    </cfRule>
  </conditionalFormatting>
  <conditionalFormatting sqref="G28">
    <cfRule type="expression" priority="14" aboveAverage="0" equalAverage="0" bottom="0" percent="0" rank="0" text="" dxfId="0">
      <formula>LEFT(G28,6)="Riktig"</formula>
    </cfRule>
    <cfRule type="expression" priority="15" aboveAverage="0" equalAverage="0" bottom="0" percent="0" rank="0" text="" dxfId="1">
      <formula>LEFT(G28,4)="Ikke"</formula>
    </cfRule>
  </conditionalFormatting>
  <conditionalFormatting sqref="G29">
    <cfRule type="expression" priority="16" aboveAverage="0" equalAverage="0" bottom="0" percent="0" rank="0" text="" dxfId="0">
      <formula>LEFT(G29,6)="Riktig"</formula>
    </cfRule>
    <cfRule type="expression" priority="17" aboveAverage="0" equalAverage="0" bottom="0" percent="0" rank="0" text="" dxfId="1">
      <formula>LEFT(G29,4)="Ikke"</formula>
    </cfRule>
  </conditionalFormatting>
  <conditionalFormatting sqref="G30">
    <cfRule type="expression" priority="18" aboveAverage="0" equalAverage="0" bottom="0" percent="0" rank="0" text="" dxfId="0">
      <formula>LEFT(G30,6)="Riktig"</formula>
    </cfRule>
    <cfRule type="expression" priority="19" aboveAverage="0" equalAverage="0" bottom="0" percent="0" rank="0" text="" dxfId="1">
      <formula>LEFT(G30,4)="Ikke"</formula>
    </cfRule>
  </conditionalFormatting>
  <conditionalFormatting sqref="G31">
    <cfRule type="expression" priority="20" aboveAverage="0" equalAverage="0" bottom="0" percent="0" rank="0" text="" dxfId="0">
      <formula>LEFT(G31,6)="Riktig"</formula>
    </cfRule>
    <cfRule type="expression" priority="21" aboveAverage="0" equalAverage="0" bottom="0" percent="0" rank="0" text="" dxfId="1">
      <formula>LEFT(G31,4)="Ikke"</formula>
    </cfRule>
  </conditionalFormatting>
  <conditionalFormatting sqref="G32">
    <cfRule type="expression" priority="22" aboveAverage="0" equalAverage="0" bottom="0" percent="0" rank="0" text="" dxfId="0">
      <formula>LEFT(G32,6)="Riktig"</formula>
    </cfRule>
    <cfRule type="expression" priority="23" aboveAverage="0" equalAverage="0" bottom="0" percent="0" rank="0" text="" dxfId="1">
      <formula>LEFT(G32,4)="Ikke"</formula>
    </cfRule>
  </conditionalFormatting>
  <conditionalFormatting sqref="G34">
    <cfRule type="expression" priority="24" aboveAverage="0" equalAverage="0" bottom="0" percent="0" rank="0" text="" dxfId="0">
      <formula>LEFT(G34,6)="Riktig"</formula>
    </cfRule>
    <cfRule type="expression" priority="25" aboveAverage="0" equalAverage="0" bottom="0" percent="0" rank="0" text="" dxfId="1">
      <formula>AND(G34&lt;&gt;"",LEFT(G34,6)&lt;&gt;"Riktig",LEFT(G34,5)&lt;&gt;"Skriv")</formula>
    </cfRule>
  </conditionalFormatting>
  <conditionalFormatting sqref="G35">
    <cfRule type="expression" priority="26" aboveAverage="0" equalAverage="0" bottom="0" percent="0" rank="0" text="" dxfId="0">
      <formula>LEFT(G35,6)="Riktig"</formula>
    </cfRule>
    <cfRule type="expression" priority="27" aboveAverage="0" equalAverage="0" bottom="0" percent="0" rank="0" text="" dxfId="1">
      <formula>AND(G35&lt;&gt;"",LEFT(G35,6)&lt;&gt;"Riktig",LEFT(G35,5)&lt;&gt;"Skriv")</formula>
    </cfRule>
  </conditionalFormatting>
  <conditionalFormatting sqref="G37">
    <cfRule type="expression" priority="28" aboveAverage="0" equalAverage="0" bottom="0" percent="0" rank="0" text="" dxfId="0">
      <formula>LEFT(G37,6)="Riktig"</formula>
    </cfRule>
    <cfRule type="expression" priority="29" aboveAverage="0" equalAverage="0" bottom="0" percent="0" rank="0" text="" dxfId="1">
      <formula>LEFT(G37,4)="Ikke"</formula>
    </cfRule>
  </conditionalFormatting>
  <dataValidations count="13">
    <dataValidation allowBlank="true" errorStyle="stop" operator="between" showDropDown="false" showErrorMessage="false" showInputMessage="false" sqref="C20" type="list">
      <formula1>"Introduksjon,Vekst,Modning,Tilbakegang"</formula1>
      <formula2>0</formula2>
    </dataValidation>
    <dataValidation allowBlank="true" errorStyle="stop" operator="between" showDropDown="false" showErrorMessage="false" showInputMessage="false" sqref="C21" type="list">
      <formula1>"Introduksjon,Vekst,Modning,Tilbakegang"</formula1>
      <formula2>0</formula2>
    </dataValidation>
    <dataValidation allowBlank="true" errorStyle="stop" operator="between" showDropDown="false" showErrorMessage="false" showInputMessage="false" sqref="C22" type="list">
      <formula1>"Introduksjon,Vekst,Modning,Tilbakegang"</formula1>
      <formula2>0</formula2>
    </dataValidation>
    <dataValidation allowBlank="true" errorStyle="stop" operator="between" showDropDown="false" showErrorMessage="false" showInputMessage="false" sqref="C23" type="list">
      <formula1>"Introduksjon,Vekst,Modning,Tilbakegang"</formula1>
      <formula2>0</formula2>
    </dataValidation>
    <dataValidation allowBlank="true" errorStyle="stop" operator="between" showDropDown="false" showErrorMessage="false" showInputMessage="false" sqref="C24" type="list">
      <formula1>"Introduksjon,Vekst,Modning,Tilbakegang"</formula1>
      <formula2>0</formula2>
    </dataValidation>
    <dataValidation allowBlank="true" errorStyle="stop" operator="between" showDropDown="false" showErrorMessage="false" showInputMessage="false" sqref="C25" type="list">
      <formula1>"Introduksjon,Vekst,Modning,Tilbakegang"</formula1>
      <formula2>0</formula2>
    </dataValidation>
    <dataValidation allowBlank="true" errorStyle="stop" operator="between" showDropDown="false" showErrorMessage="false" showInputMessage="false" sqref="C28" type="list">
      <formula1>"Introduksjon,Vekst,Modning,Tilbakegang"</formula1>
      <formula2>0</formula2>
    </dataValidation>
    <dataValidation allowBlank="true" errorStyle="stop" operator="between" showDropDown="false" showErrorMessage="false" showInputMessage="false" sqref="C29" type="list">
      <formula1>"Introduksjon,Vekst,Modning,Tilbakegang"</formula1>
      <formula2>0</formula2>
    </dataValidation>
    <dataValidation allowBlank="true" errorStyle="stop" operator="between" showDropDown="false" showErrorMessage="false" showInputMessage="false" sqref="C30" type="list">
      <formula1>"Introduksjon,Vekst,Modning,Tilbakegang"</formula1>
      <formula2>0</formula2>
    </dataValidation>
    <dataValidation allowBlank="true" errorStyle="stop" operator="between" showDropDown="false" showErrorMessage="false" showInputMessage="false" sqref="C31" type="list">
      <formula1>"Introduksjon,Vekst,Modning,Tilbakegang"</formula1>
      <formula2>0</formula2>
    </dataValidation>
    <dataValidation allowBlank="true" errorStyle="stop" operator="between" showDropDown="false" showErrorMessage="false" showInputMessage="false" sqref="C32" type="list">
      <formula1>"Introduksjon,Vekst,Modning,Tilbakegang"</formula1>
      <formula2>0</formula2>
    </dataValidation>
    <dataValidation allowBlank="true" errorStyle="stop" operator="between" showDropDown="false" showErrorMessage="false" showInputMessage="false" sqref="C37" type="list">
      <formula1>"Det er et problem uansett: alt i modning må saneres,Det blir et problem på sikt bare hvis bedriften ikke samtidig utvikler nytt. Nordlys har batteri og ladepunkt,så den er ikke i ubalanse ennå,Det er ideelt: modne produkter trenger ingen oppfølging"</formula1>
      <formula2>0</formula2>
    </dataValidation>
    <dataValidation allowBlank="true" errorStyle="stop" operator="between" showDropDown="false" showErrorMessage="false" showInputMessage="false" sqref="C44"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135</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136</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137</v>
      </c>
      <c r="C7" s="8"/>
      <c r="D7" s="8"/>
      <c r="E7" s="8"/>
      <c r="F7" s="8"/>
      <c r="G7" s="8"/>
    </row>
    <row r="9" customFormat="false" ht="15.75" hidden="false" customHeight="true" outlineLevel="0" collapsed="false">
      <c r="B9" s="7" t="s">
        <v>22</v>
      </c>
      <c r="C9" s="7"/>
      <c r="D9" s="7"/>
      <c r="E9" s="7"/>
      <c r="F9" s="7"/>
      <c r="G9" s="7"/>
    </row>
    <row r="10" customFormat="false" ht="60" hidden="false" customHeight="true" outlineLevel="0" collapsed="false">
      <c r="B10" s="8" t="s">
        <v>138</v>
      </c>
      <c r="C10" s="8"/>
      <c r="D10" s="8"/>
      <c r="E10" s="8"/>
      <c r="F10" s="8"/>
      <c r="G10" s="8"/>
    </row>
    <row r="11" customFormat="false" ht="15" hidden="false" customHeight="false" outlineLevel="0" collapsed="false">
      <c r="B11" s="9" t="s">
        <v>139</v>
      </c>
      <c r="C11" s="10" t="s">
        <v>140</v>
      </c>
      <c r="D11" s="10" t="s">
        <v>27</v>
      </c>
      <c r="E11" s="10" t="s">
        <v>141</v>
      </c>
    </row>
    <row r="12" customFormat="false" ht="15" hidden="false" customHeight="false" outlineLevel="0" collapsed="false">
      <c r="B12" s="11" t="s">
        <v>142</v>
      </c>
      <c r="C12" s="12" t="n">
        <v>4800</v>
      </c>
      <c r="D12" s="12" t="n">
        <v>1500</v>
      </c>
      <c r="E12" s="12" t="n">
        <v>4</v>
      </c>
    </row>
    <row r="13" customFormat="false" ht="15" hidden="false" customHeight="false" outlineLevel="0" collapsed="false">
      <c r="B13" s="11" t="s">
        <v>143</v>
      </c>
      <c r="C13" s="12" t="n">
        <v>18500</v>
      </c>
      <c r="D13" s="12" t="n">
        <v>7360</v>
      </c>
      <c r="E13" s="12" t="n">
        <v>6</v>
      </c>
    </row>
    <row r="14" customFormat="false" ht="15" hidden="false" customHeight="false" outlineLevel="0" collapsed="false">
      <c r="B14" s="9" t="s">
        <v>144</v>
      </c>
      <c r="C14" s="10" t="s">
        <v>145</v>
      </c>
    </row>
    <row r="15" customFormat="false" ht="15" hidden="false" customHeight="false" outlineLevel="0" collapsed="false">
      <c r="B15" s="11" t="s">
        <v>146</v>
      </c>
      <c r="C15" s="12" t="n">
        <v>22</v>
      </c>
    </row>
    <row r="16" customFormat="false" ht="15" hidden="false" customHeight="false" outlineLevel="0" collapsed="false">
      <c r="B16" s="11" t="s">
        <v>147</v>
      </c>
      <c r="C16" s="12" t="n">
        <v>640</v>
      </c>
    </row>
    <row r="17" customFormat="false" ht="15" hidden="false" customHeight="false" outlineLevel="0" collapsed="false">
      <c r="B17" s="11" t="s">
        <v>148</v>
      </c>
      <c r="C17" s="12" t="n">
        <v>333</v>
      </c>
    </row>
    <row r="18" customFormat="false" ht="15" hidden="false" customHeight="false" outlineLevel="0" collapsed="false">
      <c r="B18" s="11" t="s">
        <v>149</v>
      </c>
      <c r="C18" s="12" t="n">
        <v>14400</v>
      </c>
    </row>
    <row r="20" customFormat="false" ht="15.75" hidden="false" customHeight="true" outlineLevel="0" collapsed="false">
      <c r="B20" s="7" t="s">
        <v>29</v>
      </c>
      <c r="C20" s="7"/>
      <c r="D20" s="7"/>
      <c r="E20" s="7"/>
      <c r="F20" s="7"/>
      <c r="G20" s="7"/>
    </row>
    <row r="21" customFormat="false" ht="45" hidden="false" customHeight="true" outlineLevel="0" collapsed="false">
      <c r="B21" s="8" t="s">
        <v>150</v>
      </c>
      <c r="C21" s="8"/>
      <c r="D21" s="8"/>
      <c r="E21" s="8"/>
      <c r="F21" s="8"/>
      <c r="G21" s="8"/>
    </row>
    <row r="23" customFormat="false" ht="43.5" hidden="false" customHeight="true" outlineLevel="0" collapsed="false">
      <c r="B23" s="13" t="s">
        <v>151</v>
      </c>
      <c r="C23" s="22"/>
      <c r="D23" s="18" t="s">
        <v>152</v>
      </c>
      <c r="G23" s="15" t="str">
        <f aca="false">IF(C23="","Skriv svaret i den gule cellen.",IF(ABS(C23-((4800-1500-4*640)/4))&lt;=0.5,"Riktig.",IF(ABS(C23-(4800-1500-4*640))&lt;=0.5,"Det er dekningsbidraget per jobb, 740 kr. Del på 4 timer for å få per time.",IF(ABS(C23-((4800-1500)/4))&lt;=0.5,"Du har glemt timekostnaden, 4 × 640 kr. Trekk den fra før du deler.",IF(ABS(C23-(ROUND((4800-1500-4*640)/22,0)))&lt;=0.5,"Du har delt på antall oppdrag. Del på timene i ett oppdrag, 4.","Ikke riktig ennå. Se på regnestykket øverst på fanen, og sjekk at du har med alle leddene.")))))</f>
        <v>Skriv svaret i den gule cellen.</v>
      </c>
    </row>
    <row r="24" customFormat="false" ht="43.5" hidden="false" customHeight="true" outlineLevel="0" collapsed="false">
      <c r="B24" s="13" t="s">
        <v>153</v>
      </c>
      <c r="C24" s="23"/>
      <c r="D24" s="18" t="s">
        <v>154</v>
      </c>
      <c r="G24" s="15" t="str">
        <f aca="false">IF(C24="","Skriv svaret i den gule cellen.",IF(C24=(22*4),"Riktig.",IF(ABS(C24-(96*4))&lt;=0,"Du har brukt 2022-tallet, 96 oppdrag. I år er det 22.",IF(ABS(C24-(22))&lt;=0,"Det er antall oppdrag. Hvert tar 4 timer.","Ikke riktig ennå. Se på regnestykket øverst på fanen, og sjekk at du har med alle leddene."))))</f>
        <v>Skriv svaret i den gule cellen.</v>
      </c>
    </row>
    <row r="25" customFormat="false" ht="43.5" hidden="false" customHeight="true" outlineLevel="0" collapsed="false">
      <c r="B25" s="13" t="s">
        <v>155</v>
      </c>
      <c r="C25" s="22"/>
      <c r="D25" s="18" t="s">
        <v>64</v>
      </c>
      <c r="G25" s="15" t="str">
        <f aca="false">IF(C25="","Skriv svaret i den gule cellen.",IF(ABS(C25-(ROUND(22*4*(18500-7360-6*640)/6-22*(4800-1500-4*640),0)))&lt;=1,"Riktig.",IF(ABS(C25-(ROUND(22*4*(18500-7360-6*640)/6,0)))&lt;=1,"Det er det service ville gitt på 88 timer. Trekk fra det antenne gir i dag, 22 × 740 = 16 280.",IF(ABS(C25-(22*((18500-7360-6*640)-(4800-1500-4*640))))&lt;=1,"Du har sammenliknet per oppdrag. Service tar 6 timer, antenne 4; regn per time og gang med 88 timer.",IF(ABS(C25-(ROUND(22*4*(333-(4800-1500-4*640)/4),0)))&lt;=1,"Du har brukt snittet 333 i stedet for service per time, 1 216,67.","Ikke riktig ennå. Service per time: (18 500 − 7 360 − 6 × 640) / 6 = 1 216,67. Gang med 88 timer, og trekk fra 22 × 740.")))))</f>
        <v>Skriv svaret i den gule cellen.</v>
      </c>
    </row>
    <row r="27" customFormat="false" ht="39.75" hidden="false" customHeight="true" outlineLevel="0" collapsed="false">
      <c r="B27" s="13" t="s">
        <v>156</v>
      </c>
      <c r="C27" s="14"/>
      <c r="G27" s="15" t="str">
        <f aca="false">IF(C27="","Velg i nedtrekksmenyen.",IF(C27="Per jobb, ja. Men boka sier at kapasiteten skal brukes på det som gir best lønnsomhet over tid, og når montørtimen er knapp, sammenliknes tjenestene per time: 185 mot 333","Riktig. Produktporteføljen må overvåkes så bedriften bruker kapasiteten på de produktene som gir best lønnsomhet over tid (6.8). Kapasiteten hos en installatør er montørtimene; derfor regnes per time (Økonomistyring kap. 7).","Ikke riktig. Produktporteføljen må overvåkes så bedriften bruker kapasiteten på de produktene som gir best lønnsomhet over tid (6.8). Kapasiteten hos en installatør er montørtimene; derfor regnes per time (Økonomistyring kap. 7)."))</f>
        <v>Velg i nedtrekksmenyen.</v>
      </c>
    </row>
    <row r="29" customFormat="false" ht="15" hidden="false" customHeight="false" outlineLevel="0" collapsed="false">
      <c r="B29" s="16" t="s">
        <v>157</v>
      </c>
    </row>
    <row r="30" customFormat="false" ht="39.75" hidden="false" customHeight="true" outlineLevel="0" collapsed="false">
      <c r="B30" s="13" t="s">
        <v>158</v>
      </c>
      <c r="C30" s="14"/>
      <c r="G30" s="15" t="str">
        <f aca="false">IF(C30="","Velg i nedtrekksmenyen.",IF(C30="Produktsanering","Riktig. Å luke ut det som ikke bidrar til lønnsomheten (6.8).","Ikke riktig. Å luke ut det som ikke bidrar til lønnsomheten (6.8)."))</f>
        <v>Velg i nedtrekksmenyen.</v>
      </c>
    </row>
    <row r="31" customFormat="false" ht="39.75" hidden="false" customHeight="true" outlineLevel="0" collapsed="false">
      <c r="B31" s="13" t="s">
        <v>159</v>
      </c>
      <c r="C31" s="14"/>
      <c r="G31" s="15" t="str">
        <f aca="false">IF(C31="","Velg i nedtrekksmenyen.",IF(C31="Produktsanering","Riktig. Å slutte å investere i gruppen er sanering, selv om Nordlys fortsatt tar oppdraget når det kommer (6.8).","Ikke riktig. Å slutte å investere i gruppen er sanering, selv om Nordlys fortsatt tar oppdraget når det kommer (6.8)."))</f>
        <v>Velg i nedtrekksmenyen.</v>
      </c>
    </row>
    <row r="32" customFormat="false" ht="39.75" hidden="false" customHeight="true" outlineLevel="0" collapsed="false">
      <c r="B32" s="13" t="s">
        <v>160</v>
      </c>
      <c r="C32" s="14"/>
      <c r="G32" s="15" t="str">
        <f aca="false">IF(C32="","Velg i nedtrekksmenyen.",IF(C32="Produktutvikling","Riktig. Et nytt produkt for Nordlys, kopiert fra markedet. Boka: de fleste videreutvikler det andre har funnet opp (6.8).","Ikke riktig. Et nytt produkt for Nordlys, kopiert fra markedet. Boka: de fleste videreutvikler det andre har funnet opp (6.8)."))</f>
        <v>Velg i nedtrekksmenyen.</v>
      </c>
    </row>
    <row r="33" customFormat="false" ht="39.75" hidden="false" customHeight="true" outlineLevel="0" collapsed="false">
      <c r="B33" s="13" t="s">
        <v>161</v>
      </c>
      <c r="C33" s="14"/>
      <c r="G33" s="15" t="str">
        <f aca="false">IF(C33="","Velg i nedtrekksmenyen.",IF(C33="Produktutvikling","Riktig. Forbedring av et eksisterende produkt, noe alle bedrifter driver med (6.8).","Ikke riktig. Forbedring av et eksisterende produkt, noe alle bedrifter driver med (6.8)."))</f>
        <v>Velg i nedtrekksmenyen.</v>
      </c>
    </row>
    <row r="35" customFormat="false" ht="15" hidden="false" customHeight="true" outlineLevel="0" collapsed="false">
      <c r="B35" s="8" t="s">
        <v>162</v>
      </c>
      <c r="C35" s="8"/>
      <c r="D35" s="8"/>
      <c r="E35" s="8"/>
      <c r="F35" s="8"/>
      <c r="G35" s="8"/>
    </row>
    <row r="36" customFormat="false" ht="21.75" hidden="false" customHeight="true" outlineLevel="0" collapsed="false">
      <c r="B36" s="19"/>
      <c r="C36" s="19"/>
      <c r="D36" s="19"/>
      <c r="E36" s="19"/>
      <c r="F36" s="19"/>
      <c r="G36" s="19"/>
    </row>
    <row r="37" customFormat="false" ht="21.75" hidden="false" customHeight="true" outlineLevel="0" collapsed="false">
      <c r="B37" s="19"/>
      <c r="C37" s="19"/>
      <c r="D37" s="19"/>
      <c r="E37" s="19"/>
      <c r="F37" s="19"/>
      <c r="G37" s="19"/>
    </row>
    <row r="38" customFormat="false" ht="21.75" hidden="false" customHeight="true" outlineLevel="0" collapsed="false">
      <c r="B38" s="19"/>
      <c r="C38" s="19"/>
      <c r="D38" s="19"/>
      <c r="E38" s="19"/>
      <c r="F38" s="19"/>
      <c r="G38" s="19"/>
    </row>
    <row r="39" customFormat="false" ht="39.75" hidden="false" customHeight="true" outlineLevel="0" collapsed="false">
      <c r="B39" s="20" t="str">
        <f aca="false">IF(LEN(B36)&lt;40,"",IF(AND(ISNUMBER(SEARCH("saner",B36)),ISNUMBER(SEARCH("kompetanse",B36))),"Bra: du tar stilling til saneringen og sier hvor kompetansen flyttes. Sanering betyr her å slutte å investere, ikke å slutte å svare.",IF(OR(ISNUMBER(SEARCH("saner",B36)),ISNUMBER(SEARCH("kompetanse",B36))),"Du har med noe av det. Si både om antenne skal saneres (og hva det betyr i praksis), og hvor kompetansen og kurspengene flyttes.","Tips: antenne gir 185 kr per time mot snittet 333 og er i tilbakegang. Sanering betyr her ingen kurs, utstyr eller markedsføring, men ta oppdraget når montøren likevel står i bygget. Flytt kurspengene og kompetansen til batterilagring, som henger sammen med sol.")))</f>
        <v/>
      </c>
      <c r="C39" s="20"/>
      <c r="D39" s="20"/>
      <c r="E39" s="20"/>
      <c r="F39" s="20"/>
      <c r="G39" s="20"/>
    </row>
    <row r="40" customFormat="false" ht="15" hidden="false" customHeight="false" outlineLevel="0" collapsed="false">
      <c r="B40" s="16" t="s">
        <v>42</v>
      </c>
      <c r="C40" s="14"/>
    </row>
    <row r="41" customFormat="false" ht="45" hidden="false" customHeight="true" outlineLevel="0" collapsed="false">
      <c r="B41" s="21" t="str">
        <f aca="false">IF(C40="JA","Hint: a: 4 800 − 1 500 − 4 × 640 = 740 kr per jobb; 740 / 4 = 185 kr per time. b: 22 × 4 = 88 timer. c: service gir (18 500 − 7 360 − 6 × 640) / 6 = 1 216,67 kr per time; 88 × 1 216,67 = 107 067; minus 22 × 740 = 16 280; forskjell 90 787 kr.","")</f>
        <v/>
      </c>
      <c r="C41" s="21"/>
      <c r="D41" s="21"/>
      <c r="E41" s="21"/>
      <c r="F41" s="21"/>
      <c r="G41" s="21"/>
    </row>
    <row r="43" customFormat="false" ht="30" hidden="false" customHeight="true" outlineLevel="0" collapsed="false">
      <c r="B43" s="6" t="s">
        <v>43</v>
      </c>
      <c r="C43" s="6"/>
      <c r="D43" s="6"/>
      <c r="E43" s="6"/>
      <c r="F43" s="6"/>
      <c r="G43" s="6"/>
    </row>
  </sheetData>
  <mergeCells count="15">
    <mergeCell ref="B2:G2"/>
    <mergeCell ref="B3:G3"/>
    <mergeCell ref="B4:G4"/>
    <mergeCell ref="B5:G5"/>
    <mergeCell ref="B6:G6"/>
    <mergeCell ref="B7:G7"/>
    <mergeCell ref="B9:G9"/>
    <mergeCell ref="B10:G10"/>
    <mergeCell ref="B20:G20"/>
    <mergeCell ref="B21:G21"/>
    <mergeCell ref="B35:G35"/>
    <mergeCell ref="B36:G38"/>
    <mergeCell ref="B39:G39"/>
    <mergeCell ref="B41:G41"/>
    <mergeCell ref="B43:G43"/>
  </mergeCells>
  <conditionalFormatting sqref="G23">
    <cfRule type="expression" priority="2" aboveAverage="0" equalAverage="0" bottom="0" percent="0" rank="0" text="" dxfId="0">
      <formula>LEFT(G23,6)="Riktig"</formula>
    </cfRule>
    <cfRule type="expression" priority="3" aboveAverage="0" equalAverage="0" bottom="0" percent="0" rank="0" text="" dxfId="1">
      <formula>AND(G23&lt;&gt;"",LEFT(G23,6)&lt;&gt;"Riktig",LEFT(G23,5)&lt;&gt;"Skriv")</formula>
    </cfRule>
  </conditionalFormatting>
  <conditionalFormatting sqref="G24">
    <cfRule type="expression" priority="4" aboveAverage="0" equalAverage="0" bottom="0" percent="0" rank="0" text="" dxfId="0">
      <formula>LEFT(G24,6)="Riktig"</formula>
    </cfRule>
    <cfRule type="expression" priority="5" aboveAverage="0" equalAverage="0" bottom="0" percent="0" rank="0" text="" dxfId="1">
      <formula>AND(G24&lt;&gt;"",LEFT(G24,6)&lt;&gt;"Riktig",LEFT(G24,5)&lt;&gt;"Skriv")</formula>
    </cfRule>
  </conditionalFormatting>
  <conditionalFormatting sqref="G25">
    <cfRule type="expression" priority="6" aboveAverage="0" equalAverage="0" bottom="0" percent="0" rank="0" text="" dxfId="0">
      <formula>LEFT(G25,6)="Riktig"</formula>
    </cfRule>
    <cfRule type="expression" priority="7" aboveAverage="0" equalAverage="0" bottom="0" percent="0" rank="0" text="" dxfId="1">
      <formula>AND(G25&lt;&gt;"",LEFT(G25,6)&lt;&gt;"Riktig",LEFT(G25,5)&lt;&gt;"Skriv")</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LEFT(G27,4)="Ikke"</formula>
    </cfRule>
  </conditionalFormatting>
  <conditionalFormatting sqref="G30">
    <cfRule type="expression" priority="10" aboveAverage="0" equalAverage="0" bottom="0" percent="0" rank="0" text="" dxfId="0">
      <formula>LEFT(G30,6)="Riktig"</formula>
    </cfRule>
    <cfRule type="expression" priority="11" aboveAverage="0" equalAverage="0" bottom="0" percent="0" rank="0" text="" dxfId="1">
      <formula>LEFT(G30,4)="Ikke"</formula>
    </cfRule>
  </conditionalFormatting>
  <conditionalFormatting sqref="G31">
    <cfRule type="expression" priority="12" aboveAverage="0" equalAverage="0" bottom="0" percent="0" rank="0" text="" dxfId="0">
      <formula>LEFT(G31,6)="Riktig"</formula>
    </cfRule>
    <cfRule type="expression" priority="13" aboveAverage="0" equalAverage="0" bottom="0" percent="0" rank="0" text="" dxfId="1">
      <formula>LEFT(G31,4)="Ikke"</formula>
    </cfRule>
  </conditionalFormatting>
  <conditionalFormatting sqref="G32">
    <cfRule type="expression" priority="14" aboveAverage="0" equalAverage="0" bottom="0" percent="0" rank="0" text="" dxfId="0">
      <formula>LEFT(G32,6)="Riktig"</formula>
    </cfRule>
    <cfRule type="expression" priority="15" aboveAverage="0" equalAverage="0" bottom="0" percent="0" rank="0" text="" dxfId="1">
      <formula>LEFT(G32,4)="Ikke"</formula>
    </cfRule>
  </conditionalFormatting>
  <conditionalFormatting sqref="G33">
    <cfRule type="expression" priority="16" aboveAverage="0" equalAverage="0" bottom="0" percent="0" rank="0" text="" dxfId="0">
      <formula>LEFT(G33,6)="Riktig"</formula>
    </cfRule>
    <cfRule type="expression" priority="17" aboveAverage="0" equalAverage="0" bottom="0" percent="0" rank="0" text="" dxfId="1">
      <formula>LEFT(G33,4)="Ikke"</formula>
    </cfRule>
  </conditionalFormatting>
  <dataValidations count="6">
    <dataValidation allowBlank="true" errorStyle="stop" operator="between" showDropDown="false" showErrorMessage="false" showInputMessage="false" sqref="C27" type="list">
      <formula1>"Riktig: 740 kr per jobb er bedre enn ingenting,Per jobb,ja. Men boka sier at kapasiteten skal brukes på det som gir best lønnsomhet over tid,og når montørtimen er knapp,sammenliknes tjenestene per time: 185 mot 333,Feil: alt under snittet skal legges ned "</formula1>
      <formula2>0</formula2>
    </dataValidation>
    <dataValidation allowBlank="true" errorStyle="stop" operator="between" showDropDown="false" showErrorMessage="false" showInputMessage="false" sqref="C30" type="list">
      <formula1>"Produktsanering,Produktutvikling"</formula1>
      <formula2>0</formula2>
    </dataValidation>
    <dataValidation allowBlank="true" errorStyle="stop" operator="between" showDropDown="false" showErrorMessage="false" showInputMessage="false" sqref="C31" type="list">
      <formula1>"Produktsanering,Produktutvikling"</formula1>
      <formula2>0</formula2>
    </dataValidation>
    <dataValidation allowBlank="true" errorStyle="stop" operator="between" showDropDown="false" showErrorMessage="false" showInputMessage="false" sqref="C32" type="list">
      <formula1>"Produktsanering,Produktutvikling"</formula1>
      <formula2>0</formula2>
    </dataValidation>
    <dataValidation allowBlank="true" errorStyle="stop" operator="between" showDropDown="false" showErrorMessage="false" showInputMessage="false" sqref="C33" type="list">
      <formula1>"Produktsanering,Produktutvikling"</formula1>
      <formula2>0</formula2>
    </dataValidation>
    <dataValidation allowBlank="true" errorStyle="stop" operator="between" showDropDown="false" showErrorMessage="false" showInputMessage="false" sqref="C4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163</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164</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165</v>
      </c>
      <c r="C7" s="8"/>
      <c r="D7" s="8"/>
      <c r="E7" s="8"/>
      <c r="F7" s="8"/>
      <c r="G7" s="8"/>
    </row>
    <row r="9" customFormat="false" ht="15.75" hidden="false" customHeight="true" outlineLevel="0" collapsed="false">
      <c r="B9" s="7" t="s">
        <v>22</v>
      </c>
      <c r="C9" s="7"/>
      <c r="D9" s="7"/>
      <c r="E9" s="7"/>
      <c r="F9" s="7"/>
      <c r="G9" s="7"/>
    </row>
    <row r="10" customFormat="false" ht="45" hidden="false" customHeight="true" outlineLevel="0" collapsed="false">
      <c r="B10" s="8" t="s">
        <v>166</v>
      </c>
      <c r="C10" s="8"/>
      <c r="D10" s="8"/>
      <c r="E10" s="8"/>
      <c r="F10" s="8"/>
      <c r="G10" s="8"/>
    </row>
    <row r="11" customFormat="false" ht="15" hidden="false" customHeight="false" outlineLevel="0" collapsed="false">
      <c r="B11" s="9" t="s">
        <v>139</v>
      </c>
      <c r="C11" s="10" t="s">
        <v>141</v>
      </c>
      <c r="D11" s="10" t="s">
        <v>27</v>
      </c>
      <c r="E11" s="10" t="s">
        <v>167</v>
      </c>
    </row>
    <row r="12" customFormat="false" ht="15" hidden="false" customHeight="false" outlineLevel="0" collapsed="false">
      <c r="B12" s="11" t="s">
        <v>168</v>
      </c>
      <c r="C12" s="12" t="n">
        <v>3</v>
      </c>
      <c r="D12" s="12" t="n">
        <v>8000</v>
      </c>
      <c r="E12" s="12" t="n">
        <v>2500</v>
      </c>
    </row>
    <row r="13" customFormat="false" ht="15" hidden="false" customHeight="false" outlineLevel="0" collapsed="false">
      <c r="B13" s="11" t="s">
        <v>169</v>
      </c>
      <c r="C13" s="12" t="n">
        <v>6</v>
      </c>
      <c r="D13" s="12" t="n">
        <v>6000</v>
      </c>
      <c r="E13" s="12" t="n">
        <v>3000</v>
      </c>
    </row>
    <row r="14" customFormat="false" ht="15" hidden="false" customHeight="false" outlineLevel="0" collapsed="false">
      <c r="B14" s="11" t="s">
        <v>83</v>
      </c>
      <c r="C14" s="12" t="n">
        <v>2</v>
      </c>
      <c r="D14" s="12" t="n">
        <v>500</v>
      </c>
      <c r="E14" s="12" t="n">
        <v>700</v>
      </c>
    </row>
    <row r="15" customFormat="false" ht="15" hidden="false" customHeight="false" outlineLevel="0" collapsed="false">
      <c r="B15" s="11" t="s">
        <v>170</v>
      </c>
      <c r="C15" s="12" t="n">
        <v>20</v>
      </c>
      <c r="D15" s="12" t="n">
        <v>2000</v>
      </c>
      <c r="E15" s="12" t="n">
        <v>6400</v>
      </c>
    </row>
    <row r="16" customFormat="false" ht="15" hidden="false" customHeight="false" outlineLevel="0" collapsed="false">
      <c r="B16" s="11" t="s">
        <v>171</v>
      </c>
      <c r="C16" s="12"/>
      <c r="D16" s="12"/>
      <c r="E16" s="12" t="n">
        <v>380</v>
      </c>
    </row>
    <row r="18" customFormat="false" ht="15.75" hidden="false" customHeight="true" outlineLevel="0" collapsed="false">
      <c r="B18" s="7" t="s">
        <v>29</v>
      </c>
      <c r="C18" s="7"/>
      <c r="D18" s="7"/>
      <c r="E18" s="7"/>
      <c r="F18" s="7"/>
      <c r="G18" s="7"/>
    </row>
    <row r="19" customFormat="false" ht="45" hidden="false" customHeight="true" outlineLevel="0" collapsed="false">
      <c r="B19" s="8" t="s">
        <v>172</v>
      </c>
      <c r="C19" s="8"/>
      <c r="D19" s="8"/>
      <c r="E19" s="8"/>
      <c r="F19" s="8"/>
      <c r="G19" s="8"/>
    </row>
    <row r="21" customFormat="false" ht="43.5" hidden="false" customHeight="true" outlineLevel="0" collapsed="false">
      <c r="B21" s="13" t="s">
        <v>173</v>
      </c>
      <c r="C21" s="22"/>
      <c r="D21" s="18" t="s">
        <v>152</v>
      </c>
      <c r="G21" s="15" t="str">
        <f aca="false">IF(C21="","Skriv svaret i den gule cellen.",IF(ABS(C21-(ROUND(2500/3,0)))&lt;=1,"Riktig.",IF(ABS(C21-(2500))&lt;=1,"Det er dekningsbidraget per oppdrag. Del på 3 timer.",IF(ABS(C21-(ROUND(12270/3,0)))&lt;=1,"Du har delt prisen på timene. Det er dekningsbidraget, 2 500, som skal deles.",IF(ABS(C21-(ROUND(3*(890-590),0)))&lt;=1,"Det er bare timenes dekningsbidrag. Materiellet gir 20 % påslag i tillegg, og alt deles på 3 timer.","Ikke riktig ennå. Se på regnestykket øverst på fanen, og sjekk at du har med alle leddene.")))))</f>
        <v>Skriv svaret i den gule cellen.</v>
      </c>
    </row>
    <row r="22" customFormat="false" ht="43.5" hidden="false" customHeight="true" outlineLevel="0" collapsed="false">
      <c r="B22" s="13" t="s">
        <v>174</v>
      </c>
      <c r="C22" s="22"/>
      <c r="D22" s="18" t="s">
        <v>152</v>
      </c>
      <c r="G22" s="15" t="str">
        <f aca="false">IF(C22="","Skriv svaret i den gule cellen.",IF(ABS(C22-(700/2))&lt;=0.5,"Riktig.",IF(ABS(C22-(700))&lt;=0.5,"Det er per oppdrag. Del på 2 timer.",IF(ABS(C22-(ROUND(2*(890-590)+500,0)))&lt;=0.5,"Du har lagt til hele materiellet. Dekningsbidraget er gitt: 700. Del på 2 timer.","Ikke riktig ennå. Se på regnestykket øverst på fanen, og sjekk at du har med alle leddene."))))</f>
        <v>Skriv svaret i den gule cellen.</v>
      </c>
    </row>
    <row r="24" customFormat="false" ht="39.75" hidden="false" customHeight="true" outlineLevel="0" collapsed="false">
      <c r="B24" s="13" t="s">
        <v>175</v>
      </c>
      <c r="C24" s="14"/>
      <c r="G24" s="15" t="str">
        <f aca="false">IF(C24="","Velg i nedtrekksmenyen.",IF(C24="Substitutt, og det hører til dybden","Riktig. To ladebokser erstatter hverandre i bruk: substitutter, varianter innenfor samme produktgruppe, altså dybden (6.5). Komplementært til laderen er sikringsskapbyttet.","Ikke riktig. To ladebokser erstatter hverandre i bruk: substitutter, varianter innenfor samme produktgruppe, altså dybden (6.5). Komplementært til laderen er sikringsskapbyttet."))</f>
        <v>Velg i nedtrekksmenyen.</v>
      </c>
    </row>
    <row r="26" customFormat="false" ht="15" hidden="false" customHeight="false" outlineLevel="0" collapsed="false">
      <c r="B26" s="16" t="s">
        <v>176</v>
      </c>
    </row>
    <row r="27" customFormat="false" ht="39.75" hidden="false" customHeight="true" outlineLevel="0" collapsed="false">
      <c r="B27" s="13" t="s">
        <v>177</v>
      </c>
      <c r="C27" s="14"/>
      <c r="G27" s="15" t="str">
        <f aca="false">IF(C27="","Velg i nedtrekksmenyen.",IF(C27="Rasjonell","Riktig. Håndfast: kunden kan regne på den (6.9).","Ikke riktig. Håndfast: kunden kan regne på den (6.9)."))</f>
        <v>Velg i nedtrekksmenyen.</v>
      </c>
    </row>
    <row r="28" customFormat="false" ht="39.75" hidden="false" customHeight="true" outlineLevel="0" collapsed="false">
      <c r="B28" s="13" t="s">
        <v>178</v>
      </c>
      <c r="C28" s="14"/>
      <c r="G28" s="15" t="str">
        <f aca="false">IF(C28="","Velg i nedtrekksmenyen.",IF(C28="Rasjonell","Riktig. Håndfast og etterprøvbar: funksjonalitet og holdbarhet (6.9).","Ikke riktig. Håndfast og etterprøvbar: funksjonalitet og holdbarhet (6.9)."))</f>
        <v>Velg i nedtrekksmenyen.</v>
      </c>
    </row>
    <row r="29" customFormat="false" ht="39.75" hidden="false" customHeight="true" outlineLevel="0" collapsed="false">
      <c r="B29" s="13" t="s">
        <v>179</v>
      </c>
      <c r="C29" s="14"/>
      <c r="G29" s="15" t="str">
        <f aca="false">IF(C29="","Velg i nedtrekksmenyen.",IF(C29="Rasjonell","Riktig. Kompetanse kunden kan sjekke i Elvirksomhetsregisteret. Håndfast (6.9).","Ikke riktig. Kompetanse kunden kan sjekke i Elvirksomhetsregisteret. Håndfast (6.9)."))</f>
        <v>Velg i nedtrekksmenyen.</v>
      </c>
    </row>
    <row r="30" customFormat="false" ht="39.75" hidden="false" customHeight="true" outlineLevel="0" collapsed="false">
      <c r="B30" s="13" t="s">
        <v>180</v>
      </c>
      <c r="C30" s="14"/>
      <c r="G30" s="15" t="str">
        <f aca="false">IF(C30="","Velg i nedtrekksmenyen.",IF(C30="Emosjonell","Riktig. Design og image: emosjonell kjøpsfordel (6.9).","Ikke riktig. Design og image: emosjonell kjøpsfordel (6.9)."))</f>
        <v>Velg i nedtrekksmenyen.</v>
      </c>
    </row>
    <row r="31" customFormat="false" ht="39.75" hidden="false" customHeight="true" outlineLevel="0" collapsed="false">
      <c r="B31" s="13" t="s">
        <v>181</v>
      </c>
      <c r="C31" s="14"/>
      <c r="G31" s="15" t="str">
        <f aca="false">IF(C31="","Velg i nedtrekksmenyen.",IF(C31="Emosjonell","Riktig. Image og posisjon i kundens hode: emosjonell kjøpsfordel (6.3.4, 6.9).","Ikke riktig. Image og posisjon i kundens hode: emosjonell kjøpsfordel (6.3.4, 6.9)."))</f>
        <v>Velg i nedtrekksmenyen.</v>
      </c>
    </row>
    <row r="33" customFormat="false" ht="39.75" hidden="false" customHeight="true" outlineLevel="0" collapsed="false">
      <c r="B33" s="13" t="s">
        <v>182</v>
      </c>
      <c r="C33" s="14"/>
      <c r="G33" s="15" t="str">
        <f aca="false">IF(C33="","Velg i nedtrekksmenyen.",IF(C33="For snevert: merkevarebygging er å gi produktet merkeverdier som bygger på produktegenskapene, og logoen forteller bare om dem","Riktig. Merkevarebygging er å tilføre et produkt én eller flere merkeverdier, og merkeverdien bygger på produktegenskapene (6.9). Logoen er innpakningen (6.6). Boka sier at merkevarebygging er viktig også på bedriftsmarkedet.","Ikke riktig. Merkevarebygging er å tilføre et produkt én eller flere merkeverdier, og merkeverdien bygger på produktegenskapene (6.9). Logoen er innpakningen (6.6). Boka sier at merkevarebygging er viktig også på bedriftsmarkedet."))</f>
        <v>Velg i nedtrekksmenyen.</v>
      </c>
    </row>
    <row r="35" customFormat="false" ht="30" hidden="false" customHeight="true" outlineLevel="0" collapsed="false">
      <c r="B35" s="8" t="s">
        <v>183</v>
      </c>
      <c r="C35" s="8"/>
      <c r="D35" s="8"/>
      <c r="E35" s="8"/>
      <c r="F35" s="8"/>
      <c r="G35" s="8"/>
    </row>
    <row r="36" customFormat="false" ht="21.75" hidden="false" customHeight="true" outlineLevel="0" collapsed="false">
      <c r="B36" s="19"/>
      <c r="C36" s="19"/>
      <c r="D36" s="19"/>
      <c r="E36" s="19"/>
      <c r="F36" s="19"/>
      <c r="G36" s="19"/>
    </row>
    <row r="37" customFormat="false" ht="21.75" hidden="false" customHeight="true" outlineLevel="0" collapsed="false">
      <c r="B37" s="19"/>
      <c r="C37" s="19"/>
      <c r="D37" s="19"/>
      <c r="E37" s="19"/>
      <c r="F37" s="19"/>
      <c r="G37" s="19"/>
    </row>
    <row r="38" customFormat="false" ht="21.75" hidden="false" customHeight="true" outlineLevel="0" collapsed="false">
      <c r="B38" s="19"/>
      <c r="C38" s="19"/>
      <c r="D38" s="19"/>
      <c r="E38" s="19"/>
      <c r="F38" s="19"/>
      <c r="G38" s="19"/>
    </row>
    <row r="39" customFormat="false" ht="39.75" hidden="false" customHeight="true" outlineLevel="0" collapsed="false">
      <c r="B39" s="20" t="str">
        <f aca="false">IF(LEN(B36)&lt;40,"",IF(AND(ISNUMBER(SEARCH("833",B36)),ISNUMBER(SEARCH("vekst",B36))),"Bra: du bruker 833 kr per time og vekstfasen. Merkeverdien bør være rasjonell: installatøren selv, garanti ut over loven, dokumentasjon. Sikringsskapbyttet følger med.",IF(OR(ISNUMBER(SEARCH("833",B36)),ISNUMBER(SEARCH("vekst",B36))),"Du er på sporet. Ta med tallet 833 kr per montørtime, og at laderen er i vekstfasen.","Tips: laderen gir 833 kr per time, mer enn dobbelt av snittet 380, i et marked i vekst. Bygg navnet der, med en rasjonell merkeverdi: installatøren selv på jobben, garanti ut over loven og dokumentasjon.")))</f>
        <v/>
      </c>
      <c r="C39" s="20"/>
      <c r="D39" s="20"/>
      <c r="E39" s="20"/>
      <c r="F39" s="20"/>
      <c r="G39" s="20"/>
    </row>
    <row r="40" customFormat="false" ht="15" hidden="false" customHeight="false" outlineLevel="0" collapsed="false">
      <c r="B40" s="16" t="s">
        <v>42</v>
      </c>
      <c r="C40" s="14"/>
    </row>
    <row r="41" customFormat="false" ht="31.5" hidden="false" customHeight="true" outlineLevel="0" collapsed="false">
      <c r="B41" s="21" t="str">
        <f aca="false">IF(C40="JA","Hint: a: 2 500 / 3 = 833 kr per time. b: 700 / 2 = 350 kr per time. Snittet er 380. Substitutter erstatter hverandre (dybde), komplementære utfyller hverandre (konsistens). Merkevaren er merkeverdiene, ikke logoen.","")</f>
        <v/>
      </c>
      <c r="C41" s="21"/>
      <c r="D41" s="21"/>
      <c r="E41" s="21"/>
      <c r="F41" s="21"/>
      <c r="G41" s="21"/>
    </row>
    <row r="43" customFormat="false" ht="30" hidden="false" customHeight="true" outlineLevel="0" collapsed="false">
      <c r="B43" s="6" t="s">
        <v>43</v>
      </c>
      <c r="C43" s="6"/>
      <c r="D43" s="6"/>
      <c r="E43" s="6"/>
      <c r="F43" s="6"/>
      <c r="G43" s="6"/>
    </row>
  </sheetData>
  <mergeCells count="15">
    <mergeCell ref="B2:G2"/>
    <mergeCell ref="B3:G3"/>
    <mergeCell ref="B4:G4"/>
    <mergeCell ref="B5:G5"/>
    <mergeCell ref="B6:G6"/>
    <mergeCell ref="B7:G7"/>
    <mergeCell ref="B9:G9"/>
    <mergeCell ref="B10:G10"/>
    <mergeCell ref="B18:G18"/>
    <mergeCell ref="B19:G19"/>
    <mergeCell ref="B35:G35"/>
    <mergeCell ref="B36:G38"/>
    <mergeCell ref="B39:G39"/>
    <mergeCell ref="B41:G41"/>
    <mergeCell ref="B43:G43"/>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AND(G22&lt;&gt;"",LEFT(G22,6)&lt;&gt;"Riktig",LEFT(G22,5)&lt;&gt;"Skriv")</formula>
    </cfRule>
  </conditionalFormatting>
  <conditionalFormatting sqref="G24">
    <cfRule type="expression" priority="6" aboveAverage="0" equalAverage="0" bottom="0" percent="0" rank="0" text="" dxfId="0">
      <formula>LEFT(G24,6)="Riktig"</formula>
    </cfRule>
    <cfRule type="expression" priority="7" aboveAverage="0" equalAverage="0" bottom="0" percent="0" rank="0" text="" dxfId="1">
      <formula>LEFT(G24,4)="Ikke"</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LEFT(G27,4)="Ikke"</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LEFT(G28,4)="Ikke"</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conditionalFormatting sqref="G30">
    <cfRule type="expression" priority="14" aboveAverage="0" equalAverage="0" bottom="0" percent="0" rank="0" text="" dxfId="0">
      <formula>LEFT(G30,6)="Riktig"</formula>
    </cfRule>
    <cfRule type="expression" priority="15" aboveAverage="0" equalAverage="0" bottom="0" percent="0" rank="0" text="" dxfId="1">
      <formula>LEFT(G30,4)="Ikke"</formula>
    </cfRule>
  </conditionalFormatting>
  <conditionalFormatting sqref="G31">
    <cfRule type="expression" priority="16" aboveAverage="0" equalAverage="0" bottom="0" percent="0" rank="0" text="" dxfId="0">
      <formula>LEFT(G31,6)="Riktig"</formula>
    </cfRule>
    <cfRule type="expression" priority="17" aboveAverage="0" equalAverage="0" bottom="0" percent="0" rank="0" text="" dxfId="1">
      <formula>LEFT(G31,4)="Ikke"</formula>
    </cfRule>
  </conditionalFormatting>
  <conditionalFormatting sqref="G33">
    <cfRule type="expression" priority="18" aboveAverage="0" equalAverage="0" bottom="0" percent="0" rank="0" text="" dxfId="0">
      <formula>LEFT(G33,6)="Riktig"</formula>
    </cfRule>
    <cfRule type="expression" priority="19" aboveAverage="0" equalAverage="0" bottom="0" percent="0" rank="0" text="" dxfId="1">
      <formula>LEFT(G33,4)="Ikke"</formula>
    </cfRule>
  </conditionalFormatting>
  <dataValidations count="8">
    <dataValidation allowBlank="true" errorStyle="stop" operator="between" showDropDown="false" showErrorMessage="false" showInputMessage="false" sqref="C24" type="list">
      <formula1>"Komplementært produkt,og det øker bredden,Substitutt,og det hører til dybden,Substitutt,og det øker bredden"</formula1>
      <formula2>0</formula2>
    </dataValidation>
    <dataValidation allowBlank="true" errorStyle="stop" operator="between" showDropDown="false" showErrorMessage="false" showInputMessage="false" sqref="C27" type="list">
      <formula1>"Rasjonell,Emosjonell"</formula1>
      <formula2>0</formula2>
    </dataValidation>
    <dataValidation allowBlank="true" errorStyle="stop" operator="between" showDropDown="false" showErrorMessage="false" showInputMessage="false" sqref="C28" type="list">
      <formula1>"Rasjonell,Emosjonell"</formula1>
      <formula2>0</formula2>
    </dataValidation>
    <dataValidation allowBlank="true" errorStyle="stop" operator="between" showDropDown="false" showErrorMessage="false" showInputMessage="false" sqref="C29" type="list">
      <formula1>"Rasjonell,Emosjonell"</formula1>
      <formula2>0</formula2>
    </dataValidation>
    <dataValidation allowBlank="true" errorStyle="stop" operator="between" showDropDown="false" showErrorMessage="false" showInputMessage="false" sqref="C30" type="list">
      <formula1>"Rasjonell,Emosjonell"</formula1>
      <formula2>0</formula2>
    </dataValidation>
    <dataValidation allowBlank="true" errorStyle="stop" operator="between" showDropDown="false" showErrorMessage="false" showInputMessage="false" sqref="C31" type="list">
      <formula1>"Rasjonell,Emosjonell"</formula1>
      <formula2>0</formula2>
    </dataValidation>
    <dataValidation allowBlank="true" errorStyle="stop" operator="between" showDropDown="false" showErrorMessage="false" showInputMessage="false" sqref="C33" type="list">
      <formula1>"Riktig: merkevaren er navnet og logoen kunden ser,For snevert: merkevarebygging er å gi produktet merkeverdier som bygger på produktegenskapene,og logoen forteller bare om dem,Merkevarer finnes bare på forbrukermarkedet,ikke for el-bedrifter"</formula1>
      <formula2>0</formula2>
    </dataValidation>
    <dataValidation allowBlank="true" errorStyle="stop" operator="between" showDropDown="false" showErrorMessage="false" showInputMessage="false" sqref="C4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6" t="s">
        <v>184</v>
      </c>
    </row>
    <row r="3" customFormat="false" ht="30" hidden="false" customHeight="true" outlineLevel="0" collapsed="false">
      <c r="B3" s="6" t="s">
        <v>185</v>
      </c>
      <c r="C3" s="6"/>
      <c r="D3" s="6"/>
    </row>
    <row r="5" customFormat="false" ht="15" hidden="false" customHeight="false" outlineLevel="0" collapsed="false">
      <c r="B5" s="27" t="s">
        <v>186</v>
      </c>
      <c r="C5" s="27" t="s">
        <v>187</v>
      </c>
      <c r="D5" s="27" t="s">
        <v>188</v>
      </c>
    </row>
    <row r="6" customFormat="false" ht="30" hidden="false" customHeight="true" outlineLevel="0" collapsed="false">
      <c r="B6" s="28" t="s">
        <v>189</v>
      </c>
      <c r="C6" s="29"/>
      <c r="D6" s="28" t="s">
        <v>190</v>
      </c>
    </row>
    <row r="7" customFormat="false" ht="30" hidden="false" customHeight="true" outlineLevel="0" collapsed="false">
      <c r="B7" s="28" t="s">
        <v>191</v>
      </c>
      <c r="C7" s="29"/>
      <c r="D7" s="28" t="s">
        <v>192</v>
      </c>
    </row>
    <row r="8" customFormat="false" ht="30" hidden="false" customHeight="true" outlineLevel="0" collapsed="false">
      <c r="B8" s="28" t="s">
        <v>193</v>
      </c>
      <c r="C8" s="29" t="n">
        <v>39.8</v>
      </c>
      <c r="D8" s="28" t="s">
        <v>194</v>
      </c>
    </row>
    <row r="9" customFormat="false" ht="30" hidden="false" customHeight="true" outlineLevel="0" collapsed="false">
      <c r="B9" s="28" t="s">
        <v>195</v>
      </c>
      <c r="C9" s="29"/>
      <c r="D9" s="28" t="s">
        <v>196</v>
      </c>
    </row>
    <row r="10" customFormat="false" ht="30" hidden="false" customHeight="true" outlineLevel="0" collapsed="false">
      <c r="B10" s="28" t="s">
        <v>197</v>
      </c>
      <c r="C10" s="29"/>
      <c r="D10" s="28" t="s">
        <v>198</v>
      </c>
    </row>
    <row r="11" customFormat="false" ht="30" hidden="false" customHeight="true" outlineLevel="0" collapsed="false">
      <c r="B11" s="28" t="s">
        <v>199</v>
      </c>
      <c r="C11" s="29"/>
      <c r="D11" s="28" t="s">
        <v>200</v>
      </c>
    </row>
    <row r="12" customFormat="false" ht="30" hidden="false" customHeight="true" outlineLevel="0" collapsed="false">
      <c r="B12" s="28" t="s">
        <v>201</v>
      </c>
      <c r="C12" s="29"/>
      <c r="D12" s="28" t="s">
        <v>202</v>
      </c>
    </row>
    <row r="13" customFormat="false" ht="30" hidden="false" customHeight="true" outlineLevel="0" collapsed="false">
      <c r="B13" s="28" t="s">
        <v>203</v>
      </c>
      <c r="C13" s="29" t="n">
        <v>2205</v>
      </c>
      <c r="D13" s="28" t="s">
        <v>204</v>
      </c>
    </row>
    <row r="14" customFormat="false" ht="30" hidden="false" customHeight="true" outlineLevel="0" collapsed="false">
      <c r="B14" s="28" t="s">
        <v>205</v>
      </c>
      <c r="C14" s="29" t="n">
        <v>12</v>
      </c>
      <c r="D14" s="28" t="s">
        <v>206</v>
      </c>
    </row>
    <row r="15" customFormat="false" ht="30" hidden="false" customHeight="true" outlineLevel="0" collapsed="false">
      <c r="B15" s="28" t="s">
        <v>207</v>
      </c>
      <c r="C15" s="29"/>
      <c r="D15" s="28" t="s">
        <v>208</v>
      </c>
    </row>
    <row r="16" customFormat="false" ht="30" hidden="false" customHeight="true" outlineLevel="0" collapsed="false">
      <c r="B16" s="28" t="s">
        <v>209</v>
      </c>
      <c r="C16" s="29"/>
      <c r="D16" s="28" t="s">
        <v>210</v>
      </c>
    </row>
    <row r="17" customFormat="false" ht="30" hidden="false" customHeight="true" outlineLevel="0" collapsed="false">
      <c r="B17" s="28" t="s">
        <v>211</v>
      </c>
      <c r="C17" s="29"/>
      <c r="D17" s="28" t="s">
        <v>212</v>
      </c>
    </row>
    <row r="18" customFormat="false" ht="30" hidden="false" customHeight="true" outlineLevel="0" collapsed="false">
      <c r="B18" s="28" t="s">
        <v>213</v>
      </c>
      <c r="C18" s="29"/>
      <c r="D18" s="28" t="s">
        <v>214</v>
      </c>
    </row>
    <row r="19" customFormat="false" ht="30" hidden="false" customHeight="true" outlineLevel="0" collapsed="false">
      <c r="B19" s="28" t="s">
        <v>215</v>
      </c>
      <c r="C19" s="29" t="n">
        <v>6</v>
      </c>
      <c r="D19" s="28" t="s">
        <v>216</v>
      </c>
    </row>
    <row r="20" customFormat="false" ht="30" hidden="false" customHeight="true" outlineLevel="0" collapsed="false">
      <c r="B20" s="28" t="s">
        <v>217</v>
      </c>
      <c r="C20" s="29" t="n">
        <v>3.3</v>
      </c>
      <c r="D20" s="28" t="s">
        <v>218</v>
      </c>
    </row>
    <row r="21" customFormat="false" ht="30" hidden="false" customHeight="true" outlineLevel="0" collapsed="false">
      <c r="B21" s="28" t="s">
        <v>219</v>
      </c>
      <c r="C21" s="29" t="n">
        <v>3360000</v>
      </c>
      <c r="D21" s="28" t="s">
        <v>220</v>
      </c>
    </row>
    <row r="22" customFormat="false" ht="30" hidden="false" customHeight="true" outlineLevel="0" collapsed="false">
      <c r="B22" s="28" t="s">
        <v>221</v>
      </c>
      <c r="C22" s="29" t="n">
        <v>448000</v>
      </c>
      <c r="D22" s="28" t="s">
        <v>222</v>
      </c>
    </row>
    <row r="23" customFormat="false" ht="45" hidden="false" customHeight="true" outlineLevel="0" collapsed="false">
      <c r="B23" s="28" t="s">
        <v>223</v>
      </c>
      <c r="C23" s="29"/>
      <c r="D23" s="28" t="s">
        <v>224</v>
      </c>
    </row>
    <row r="24" customFormat="false" ht="30" hidden="false" customHeight="true" outlineLevel="0" collapsed="false">
      <c r="B24" s="28" t="s">
        <v>225</v>
      </c>
      <c r="C24" s="29"/>
      <c r="D24" s="28" t="s">
        <v>226</v>
      </c>
    </row>
    <row r="25" customFormat="false" ht="30" hidden="false" customHeight="true" outlineLevel="0" collapsed="false">
      <c r="B25" s="28" t="s">
        <v>227</v>
      </c>
      <c r="C25" s="29"/>
      <c r="D25" s="28" t="s">
        <v>228</v>
      </c>
    </row>
    <row r="26" customFormat="false" ht="30" hidden="false" customHeight="true" outlineLevel="0" collapsed="false">
      <c r="B26" s="28" t="s">
        <v>229</v>
      </c>
      <c r="C26" s="29"/>
      <c r="D26" s="28" t="s">
        <v>230</v>
      </c>
    </row>
    <row r="27" customFormat="false" ht="30" hidden="false" customHeight="true" outlineLevel="0" collapsed="false">
      <c r="B27" s="28" t="s">
        <v>231</v>
      </c>
      <c r="C27" s="29"/>
      <c r="D27" s="28" t="s">
        <v>232</v>
      </c>
    </row>
    <row r="28" customFormat="false" ht="30" hidden="false" customHeight="true" outlineLevel="0" collapsed="false">
      <c r="B28" s="28" t="s">
        <v>233</v>
      </c>
      <c r="C28" s="29" t="n">
        <v>-77</v>
      </c>
      <c r="D28" s="28" t="s">
        <v>234</v>
      </c>
    </row>
    <row r="29" customFormat="false" ht="30" hidden="false" customHeight="true" outlineLevel="0" collapsed="false">
      <c r="B29" s="28" t="s">
        <v>235</v>
      </c>
      <c r="C29" s="29" t="n">
        <v>19</v>
      </c>
      <c r="D29" s="28" t="s">
        <v>236</v>
      </c>
    </row>
    <row r="30" customFormat="false" ht="30" hidden="false" customHeight="true" outlineLevel="0" collapsed="false">
      <c r="B30" s="28" t="s">
        <v>237</v>
      </c>
      <c r="C30" s="29"/>
      <c r="D30" s="28" t="s">
        <v>238</v>
      </c>
    </row>
    <row r="31" customFormat="false" ht="30" hidden="false" customHeight="true" outlineLevel="0" collapsed="false">
      <c r="B31" s="28" t="s">
        <v>239</v>
      </c>
      <c r="C31" s="29"/>
      <c r="D31" s="28" t="s">
        <v>240</v>
      </c>
    </row>
    <row r="32" customFormat="false" ht="30" hidden="false" customHeight="true" outlineLevel="0" collapsed="false">
      <c r="B32" s="28" t="s">
        <v>241</v>
      </c>
      <c r="C32" s="29" t="n">
        <v>185</v>
      </c>
      <c r="D32" s="28" t="s">
        <v>242</v>
      </c>
    </row>
    <row r="33" customFormat="false" ht="30" hidden="false" customHeight="true" outlineLevel="0" collapsed="false">
      <c r="B33" s="28" t="s">
        <v>243</v>
      </c>
      <c r="C33" s="29" t="n">
        <v>88</v>
      </c>
      <c r="D33" s="28" t="s">
        <v>244</v>
      </c>
    </row>
    <row r="34" customFormat="false" ht="30" hidden="false" customHeight="true" outlineLevel="0" collapsed="false">
      <c r="B34" s="28" t="s">
        <v>245</v>
      </c>
      <c r="C34" s="29" t="n">
        <v>90787</v>
      </c>
      <c r="D34" s="28" t="s">
        <v>246</v>
      </c>
    </row>
    <row r="35" customFormat="false" ht="30" hidden="false" customHeight="true" outlineLevel="0" collapsed="false">
      <c r="B35" s="28" t="s">
        <v>247</v>
      </c>
      <c r="C35" s="29"/>
      <c r="D35" s="28" t="s">
        <v>248</v>
      </c>
    </row>
    <row r="36" customFormat="false" ht="30" hidden="false" customHeight="true" outlineLevel="0" collapsed="false">
      <c r="B36" s="28" t="s">
        <v>249</v>
      </c>
      <c r="C36" s="29"/>
      <c r="D36" s="28" t="s">
        <v>250</v>
      </c>
    </row>
    <row r="37" customFormat="false" ht="30" hidden="false" customHeight="true" outlineLevel="0" collapsed="false">
      <c r="B37" s="28" t="s">
        <v>251</v>
      </c>
      <c r="C37" s="29"/>
      <c r="D37" s="28" t="s">
        <v>252</v>
      </c>
    </row>
    <row r="38" customFormat="false" ht="30" hidden="false" customHeight="true" outlineLevel="0" collapsed="false">
      <c r="B38" s="28" t="s">
        <v>253</v>
      </c>
      <c r="C38" s="29" t="n">
        <v>833</v>
      </c>
      <c r="D38" s="28" t="s">
        <v>254</v>
      </c>
    </row>
    <row r="39" customFormat="false" ht="30" hidden="false" customHeight="true" outlineLevel="0" collapsed="false">
      <c r="B39" s="28" t="s">
        <v>255</v>
      </c>
      <c r="C39" s="29" t="n">
        <v>350</v>
      </c>
      <c r="D39" s="28" t="s">
        <v>256</v>
      </c>
    </row>
    <row r="40" customFormat="false" ht="30" hidden="false" customHeight="true" outlineLevel="0" collapsed="false">
      <c r="B40" s="28" t="s">
        <v>257</v>
      </c>
      <c r="C40" s="29"/>
      <c r="D40" s="28" t="s">
        <v>258</v>
      </c>
    </row>
    <row r="41" customFormat="false" ht="30" hidden="false" customHeight="true" outlineLevel="0" collapsed="false">
      <c r="B41" s="28" t="s">
        <v>259</v>
      </c>
      <c r="C41" s="29"/>
      <c r="D41" s="28" t="s">
        <v>260</v>
      </c>
    </row>
    <row r="42" customFormat="false" ht="30" hidden="false" customHeight="true" outlineLevel="0" collapsed="false">
      <c r="B42" s="28" t="s">
        <v>261</v>
      </c>
      <c r="C42" s="29"/>
      <c r="D42" s="28" t="s">
        <v>262</v>
      </c>
    </row>
    <row r="43" customFormat="false" ht="30" hidden="false" customHeight="true" outlineLevel="0" collapsed="false">
      <c r="B43" s="28" t="s">
        <v>263</v>
      </c>
      <c r="C43" s="29"/>
      <c r="D43" s="28" t="s">
        <v>264</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2026-10-14T09:06:06Z</dcterms:created>
  <dc:creator>openpyxl</dc:creator>
  <dc:description/>
  <dc:language>en-US</dc:language>
  <cp:lastModifiedBy/>
  <dcterms:modified xsi:type="dcterms:W3CDTF">2026-10-14T09:06:06Z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