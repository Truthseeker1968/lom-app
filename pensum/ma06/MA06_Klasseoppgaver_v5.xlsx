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<sst xmlns="http://schemas.openxmlformats.org/spreadsheetml/2006/main" count="197" uniqueCount="163">
  <si>
    <t xml:space="preserve">Klasseoppgaver til Markedsføring kapittel 6: Produkt som konkurransevirkemiddel (versjon 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</si>
  <si>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</si>
  <si>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</si>
  <si>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</si>
  <si>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</si>
  <si>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</si>
  <si>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</si>
  <si>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</si>
  <si>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</si>
  <si>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serviceavtale med termografering, hva kjøper kunden? (Nordlys)</t>
  </si>
  <si>
    <t xml:space="preserve">A2</t>
  </si>
  <si>
    <t xml:space="preserve">Fjell Elektro: ladeboks med installasjon som fast pakke (Egen el-bedrift)</t>
  </si>
  <si>
    <t xml:space="preserve">B1</t>
  </si>
  <si>
    <t xml:space="preserve">Nordlys: skal antenne og koaks ut av sortimentet? (Nordlys)</t>
  </si>
  <si>
    <t xml:space="preserve">B2</t>
  </si>
  <si>
    <t xml:space="preserve">Fjell Elektro: hvilken tjeneste skal bære merkevaren? (Egen el-bedrift)</t>
  </si>
  <si>
    <t xml:space="preserve">Læreboka</t>
  </si>
  <si>
    <t xml:space="preserve">Hjertnes, F.: Markedsføring, organisasjon og ledelse for LØM-emnet, kapittel 6.</t>
  </si>
  <si>
    <t xml:space="preserve">Appen</t>
  </si>
  <si>
    <t xml:space="preserve">Markedsføring kap. 6 → Øv → Klasseoppgaver gir fasit per deloppgave.</t>
  </si>
  <si>
    <t xml:space="preserve">A1 · Nordlys: serviceavtale med termografering, hva kjøper kunden?</t>
  </si>
  <si>
    <t xml:space="preserve">25 minutter · Helst alene. Sammen med sidemannen eller flere hvis du vil. Ark og blyant, appen (PC eller mobil) eller læreboka.</t>
  </si>
  <si>
    <t xml:space="preserve">Kort oppsummert: Et produkt er alle typer varer og tjenester og alle kombinasjoner av dem (6.1). Boka deler produktet i fire nivåer (figur 6.1): kjerneproduktet er behovet produktet først og fremst skal dekke; det konkrete produktet er de fysiske, objektive kjennetegnene; det utvidete produktet er tilleggsytelsene, som garantier, serviceavtaler og opplæring av kunden; det uspesifiserte produktet er verdien ut over dette, blant annet merkeverdiene. Kjerneproduktet viser hvem konkurrentene er: alle som dekker det samme behovet (6.2.1).</t>
  </si>
  <si>
    <t xml:space="preserve">Casen er lagt til 2026/2027. Tom Berg, driftsleder for service i Nordlys, vil gjøre serviceoppdraget på næringsbygg om til en fast årlig serviceavtale. Avtalen koster 18 500 kr uten merverdiavgift i året. Materiellet koster 7 360 kr, og jobben tar 6 montørtimer. I avtalen ligger termografering av tavlene med rapport og bilder, et gjennomgangsmøte der avvikene forklares for driftslederen, utrykning innen fire timer ved feil og samme montør hvert år. Kundene er gårdeiere og driftsledere i næringsbygg. En av montørene sier: «På dette er de eneste konkurrentene våre andre elektrobedrifter.» Gå fram slik: finn kjerneproduktet, sorter innholdet i avtalen etter produktnivå, regn hvor stor del av prisen som er materiell, og vurder montørens påstand.</t>
  </si>
  <si>
    <t xml:space="preserve">Forutsetning</t>
  </si>
  <si>
    <t xml:space="preserve">Verdi</t>
  </si>
  <si>
    <t xml:space="preserve">Pris per år</t>
  </si>
  <si>
    <t xml:space="preserve">18 500 kr uten merverdiavgift</t>
  </si>
  <si>
    <t xml:space="preserve">Materiell</t>
  </si>
  <si>
    <t xml:space="preserve">7 360 kr</t>
  </si>
  <si>
    <t xml:space="preserve">Montørtimer</t>
  </si>
  <si>
    <t xml:space="preserve">6 timer</t>
  </si>
  <si>
    <t xml:space="preserve">I avtalen</t>
  </si>
  <si>
    <t xml:space="preserve">Termografering av tavlene, rapport med bilder</t>
  </si>
  <si>
    <t xml:space="preserve">Også i avtalen</t>
  </si>
  <si>
    <t xml:space="preserve">Gjennomgangsmøte, utrykning innen 4 timer</t>
  </si>
  <si>
    <t xml:space="preserve">Montøren</t>
  </si>
  <si>
    <t xml:space="preserve">Samme montør hvert år</t>
  </si>
  <si>
    <t xml:space="preserve">Kundene</t>
  </si>
  <si>
    <t xml:space="preserve">Gårdeiere og driftsledere i næringsbygg</t>
  </si>
  <si>
    <t xml:space="preserve">En montør sier</t>
  </si>
  <si>
    <t xml:space="preserve">«Konkurrentene er andre elektrobedrifter»</t>
  </si>
  <si>
    <t xml:space="preserve">Deloppgave</t>
  </si>
  <si>
    <t xml:space="preserve">Ditt svar</t>
  </si>
  <si>
    <t xml:space="preserve">Sjekk</t>
  </si>
  <si>
    <t xml:space="preserve">a)  Hva er kjerneproduktet i serviceavtalen, slik boka bruker begrepet?   A: Termografibildene og rapporten   B: Trygghet for at bygget ikke brenner eller stanser, og et papir som viser det   C: Utrykning innen fire timer   (skriv bokstaven)</t>
  </si>
  <si>
    <t xml:space="preserve">b)  Sorter innholdet i avtalen. Hører dette til det utvidete produktet (tilleggsytelsene)? Svar ja eller nei for hver.</t>
  </si>
  <si>
    <t xml:space="preserve">      Utrykning innen fire timer ved feil   (Ja eller Nei)</t>
  </si>
  <si>
    <t xml:space="preserve">      Gjennomgangsmøte der avvikene forklares for driftslederen   (Ja eller Nei)</t>
  </si>
  <si>
    <t xml:space="preserve">      Termografibilder og målinger av tavlene   (Ja eller Nei)</t>
  </si>
  <si>
    <t xml:space="preserve">      Trygghet for at bygget ikke brenner eller stanser   (Ja eller Nei)</t>
  </si>
  <si>
    <t xml:space="preserve">      At det står Nordlys på rapporten, et navn gårdeieren stoler på   (Ja eller Nei)</t>
  </si>
  <si>
    <t xml:space="preserve">c)  Hvor mange prosent av prisen på 18 500 kr er materiell? Svar med én desimal.</t>
  </si>
  <si>
    <t xml:space="preserve">Formel og begrep</t>
  </si>
  <si>
    <t xml:space="preserve">Andel i prosent = del / helhet × 100 (regnestykket står ikke i boka). Tjenester er ikke-fysiske, produseres og forbrukes samtidig, kan ikke lagres og har personavhengig kvalitet (Markedsføring 6.1).</t>
  </si>
  <si>
    <t xml:space="preserve">d)  En montør sier at de eneste konkurrentene på denne avtalen er andre elektrobedrifter. Hva er det beste svaret, med lærebokas begreper?   A: Han har rett: bare elektrobedrifter har termograferingsutstyr   B: For snevert: kjernen er trygghet, så Nordlys konkurrerer med alt som gir gårdeieren den samme tryggheten   C: Spørsmålet hører ikke til produktet, men til prisen (kap. 7)   (skriv bokstaven)</t>
  </si>
  <si>
    <t xml:space="preserve">e)  Hvilket produktnivå bør Tom bygge avtalen på for å skille Nordlys fra konkurrentene, og hvordan gjør han det synlig for kunden? To setninger.</t>
  </si>
  <si>
    <t xml:space="preserve">Det utvidete produktet (Markedsføring 6.2.3), kvalitet målt mot brukerens behov (6.4), tjenestens personavhengige kvalitet (6.1) og merkeverdier over tid (6.2.4, 6.9).</t>
  </si>
  <si>
    <t xml:space="preserve">Hint, hvis du står fast</t>
  </si>
  <si>
    <t xml:space="preserve">Fire nivåer</t>
  </si>
  <si>
    <t xml:space="preserve">Spør for hver post: er det behovet (kjerne), tingen kunden får i hånda (konkret), et tillegg (utvidet) eller inntrykket og navnet (uspesifisert)? Utrykning og møte er tillegg.</t>
  </si>
  <si>
    <t xml:space="preserve">Materiell og konkurrenter</t>
  </si>
  <si>
    <t xml:space="preserve">Materiell delt på pris, ganger 100. For konkurrentene: finn kjernen først. Hvem andre kan gi gårdeieren den samme tryggheten?</t>
  </si>
  <si>
    <t xml:space="preserve">Kilde: Hjertnes, F.: Markedsføring, organisasjon og ledelse for LØM-emnet, kap. 6, avsnitt 6.1 (tjenester), 6.2 med figur 6.1 (produktnivåer) og 6.4 (kvalitet). Serviceoppdraget (18 500 kr, materiell 7 360 kr, 6 timer): faktaarket og v4. Nordlys Elektro AS er en konstruert casebedrift.</t>
  </si>
  <si>
    <t xml:space="preserve">Regnearket er øvingsstøtte. Det kan ikke siteres eller vises til i besvarelser, prosjektoppgaver eller eksamen; der gjelder læreboka og oppgitte primærkilder.</t>
  </si>
  <si>
    <t xml:space="preserve">A2 · Fjell Elektro: ladeboks med installasjon som fast pakke</t>
  </si>
  <si>
    <t xml:space="preserve">Kort oppsummert: Med produkt menes alle typer varer og tjenester og alle kombinasjoner av dem, som en sykkel med garanti (6.1). En tjeneste er ikke-fysisk, produseres og forbrukes samtidig, kan ikke lagres og har personavhengig kvalitet. Kvalitet er den helheten av egenskaper som gjør at produktet tilfredsstiller brukerens behov; et produkt har god kvalitet når det møter eller overgår kundens forventninger (6.4). Tilleggsytelser som garanti og oppfølging er det utvidete produktet (6.2.3).</t>
  </si>
  <si>
    <t xml:space="preserve">Fjell Elektro har montert elbilladere i eneboliger siden starten. Et typisk oppdrag tar 3 montørtimer à 890 kr, og materiellet koster 8 000 kr i innkjøp og selges med 20 % påslag. Prisen er 12 270 kr uten merverdiavgift (3 × 890 + 8 000 × 1,20). Fjell regner at en montørtime koster 590 kr i oppdragskalkyler, så dekningsbidraget er 12 270 − 8 000 − 3 × 590 = 2 500 kr. Mona vil gjøre oppdraget til en fast pakke, «ladeboks med installasjon», og vurderer tre tillegg: 5 års garanti på arbeidet, en telefon etter to uker med gjennomgang av lade-appen, og at hun selv ser over sikringsskapet. Tilleggene tar til sammen 0,5 montørtime per jobb i snitt. Prisen skal være den samme. Gå fram slik: finn produktkategorien, sorter tjenestens kjennetegn, regn dekningsbidraget med tilleggene, og vurder hva kvalitet er.</t>
  </si>
  <si>
    <t xml:space="preserve">Oppdraget i dag</t>
  </si>
  <si>
    <t xml:space="preserve">Ladeboks i enebolig, 3 montørtimer</t>
  </si>
  <si>
    <t xml:space="preserve">Timepris</t>
  </si>
  <si>
    <t xml:space="preserve">890 kr uten merverdiavgift</t>
  </si>
  <si>
    <t xml:space="preserve">8 000 kr innkjøp, 20 % påslag</t>
  </si>
  <si>
    <t xml:space="preserve">Pris i dag</t>
  </si>
  <si>
    <t xml:space="preserve">12 270 kr uten mva (3 × 890 + 9 600)</t>
  </si>
  <si>
    <t xml:space="preserve">Kostnad per montørtime</t>
  </si>
  <si>
    <t xml:space="preserve">590 kr (Fjells oppdragskalkyle)</t>
  </si>
  <si>
    <t xml:space="preserve">Dekningsbidrag i dag</t>
  </si>
  <si>
    <t xml:space="preserve">2 500 kr (12 270 − 8 000 − 3 × 590)</t>
  </si>
  <si>
    <t xml:space="preserve">Tre tillegg</t>
  </si>
  <si>
    <t xml:space="preserve">5 års garanti, telefon etter to uker, skapsjekk</t>
  </si>
  <si>
    <t xml:space="preserve">Tid for tilleggene</t>
  </si>
  <si>
    <t xml:space="preserve">0,5 montørtime per jobb i snitt</t>
  </si>
  <si>
    <t xml:space="preserve">Prisen</t>
  </si>
  <si>
    <t xml:space="preserve">Uendret</t>
  </si>
  <si>
    <t xml:space="preserve">a)  Hvilken produktkategori på forbrukermarkedet er «ladeboks med installasjon», slik boka bruker kategoriene?   A: En dagligvare, fordi mange kjøper ladebokser   B: En kombinasjon: en varig forbruksvare (boksen) og en tjeneste (installasjonen)   C: En institusjonsvare, fordi den brukes i hjemmet   (skriv bokstaven)</t>
  </si>
  <si>
    <t xml:space="preserve">b)  Sorter påstandene. Er dette et kjennetegn ved tjenesten, altså installasjonen, og ikke ved ladeboksen? Svar ja eller nei for hver.</t>
  </si>
  <si>
    <t xml:space="preserve">      En ledig montørdag i Fjell kan ikke selges i morgen   (Ja eller Nei)</t>
  </si>
  <si>
    <t xml:space="preserve">      Jobben lages hjemme hos kunden, mens kunden bruker huset   (Ja eller Nei)</t>
  </si>
  <si>
    <t xml:space="preserve">      Resultatet avhenger av hvem av de tre som kommer   (Ja eller Nei)</t>
  </si>
  <si>
    <t xml:space="preserve">      Boksen har oppgitt ladeeffekt og typenummer   (Ja eller Nei)</t>
  </si>
  <si>
    <t xml:space="preserve">      Boksen kan ligge på lager hos grossisten til den trengs   (Ja eller Nei)</t>
  </si>
  <si>
    <t xml:space="preserve">c)  Hva blir dekningsbidraget per jobb med de tre tilleggene, når prisen er den samme? Tilleggene tar 0,5 montørtime à 590 kr.</t>
  </si>
  <si>
    <t xml:space="preserve">Dekningsbidrag = pris − variable kostnader (Økonomistyring kap. 2 og 7). Tilleggene er det utvidete produktet (Markedsføring 6.2.3).</t>
  </si>
  <si>
    <t xml:space="preserve">d)  Mona sier: «Kvalitet er at anlegget er riktig etter forskriften. Resten er pynt.» Stemmer det etter lærebokas definisjon?   A: Ja: kvalitet er det fagfolk kan måle   B: Nei: boka måler kvalitet mot kundens behov og forventninger, så et forskriftsriktig anlegg kan likevel ha dårlig kvalitet for kunden   C: Nei: kvalitet er det samme som høy pris og et kjent merke   (skriv bokstaven)</t>
  </si>
  <si>
    <t xml:space="preserve">e)  Skal de tre tilleggene inn i pakken, og hvordan gjør Mona dem synlige for kunden? To setninger, med minst ett tall fra c.</t>
  </si>
  <si>
    <t xml:space="preserve">Det utvidete produktet (Markedsføring 6.2.3), produktdifferensiering (6.4) og merkeverdier (6.2.4 og 6.9).</t>
  </si>
  <si>
    <t xml:space="preserve">Kategori og kjennetegn</t>
  </si>
  <si>
    <t xml:space="preserve">Boka: en sykkel med garanti er en vare og en tjeneste i ett produkt. For sorteringen: kan det lagres, lages det hos kunden, avhenger det av hvem som kommer?</t>
  </si>
  <si>
    <t xml:space="preserve">Dekningsbidraget</t>
  </si>
  <si>
    <t xml:space="preserve">Tilleggene tar 0,5 time. Gang med 590 kr (kostnaden per montørtime), og trekk fra 2 500. Prisen endres ikke, så hele kostnaden går av dekningsbidraget.</t>
  </si>
  <si>
    <t xml:space="preserve">Kilde: Hjertnes, F.: Markedsføring, organisasjon og ledelse for LØM-emnet, kap. 6, avsnitt 6.1 (produktkategorier og tjenester), 6.2.3 (det utvidete produktet) og 6.4 (kvalitet og produktdifferensiering). Oppdragstypen og dekningsbidraget: Økonomistyring kap. 7. Fjell Elektro AS er en konstruert casebedrift.</t>
  </si>
  <si>
    <t xml:space="preserve">B1 · Nordlys: skal antenne og koaks ut av sortimentet?</t>
  </si>
  <si>
    <t xml:space="preserve">Kort oppsummert: Produktsanering er å luke ut produkter fra vareutvalget som ikke bidrar til bedriftens lønnsomhet (6.8). Boka sier at like viktig som å produsere lønnsomme produkter, er det å la være å produsere ulønnsomme, og at bedriften skal bruke kapasiteten sin på de produktene som gir best lønnsomhet over tid. Hos en installatør er montørtimen den knappe ressursen, så tjenestene sammenliknes på dekningsbidrag per montørtime: (pris − materiell − timer × kostnad per time) / timer. I tilbakegangsfasen skal kostnadene holdes nede (6.7).</t>
  </si>
  <si>
    <t xml:space="preserve">Nordlys har seks tjenestegrupper. Antenne- og koaksanlegg har falt fra 96 oppdrag i 2022 til 22 i år og er 2 % av omsetningen. Et typisk antenneoppdrag koster 4 800 kr uten merverdiavgift, materiellet 1 500 kr, og det tar 4 montørtimer. Et serviceoppdrag på næringsbygg koster 18 500 kr, materiellet 7 360 kr, og det tar 6 timer. En montørtime koster Nordlys 640 kr. Nordlys fakturerer 14 400 montørtimer i året og har i snitt 333 kr i dekningsbidrag per time: (bruttofortjenesten 14 010 000 kr − 14 400 × 640) / 14 400. Kari vurderer å sanere antenne. Gå fram slik: regn dekningsbidraget per montørtime for antenne, regn hvor mange timer antenne brukte i år, og regn hva de samme timene ville gitt i service.</t>
  </si>
  <si>
    <t xml:space="preserve">Post</t>
  </si>
  <si>
    <t xml:space="preserve">Antenne</t>
  </si>
  <si>
    <t xml:space="preserve">Service</t>
  </si>
  <si>
    <t xml:space="preserve">Nordlys</t>
  </si>
  <si>
    <t xml:space="preserve">Pris uten merverdiavgift, kr</t>
  </si>
  <si>
    <t xml:space="preserve">Materiell per oppdrag, kr</t>
  </si>
  <si>
    <t xml:space="preserve">Montørtimer per oppdrag</t>
  </si>
  <si>
    <t xml:space="preserve">Kostnad per montørtime, kr</t>
  </si>
  <si>
    <t xml:space="preserve">Oppdrag i år (i 2022)</t>
  </si>
  <si>
    <t xml:space="preserve">22 (96)</t>
  </si>
  <si>
    <t xml:space="preserve">Fakturerte montørtimer i året</t>
  </si>
  <si>
    <t xml:space="preserve">Dekningsbidrag per montørtime, kr</t>
  </si>
  <si>
    <t xml:space="preserve">333 (snitt, slide 29)</t>
  </si>
  <si>
    <t xml:space="preserve">Andel av omsetningen</t>
  </si>
  <si>
    <t xml:space="preserve">2 %</t>
  </si>
  <si>
    <t xml:space="preserve">17 %</t>
  </si>
  <si>
    <t xml:space="preserve">100 %</t>
  </si>
  <si>
    <t xml:space="preserve">Gule celler med spørsmålstegn kan du fylle inn selv mens du regner.</t>
  </si>
  <si>
    <t xml:space="preserve">a)  Hva er dekningsbidraget per montørtime for et typisk antenneoppdrag? Pris minus materiell minus timer × 640, delt på timene.</t>
  </si>
  <si>
    <t xml:space="preserve">Dekningsbidrag per montørtime = (pris − materiell − timer × kostnad per time) / timer. Dekningsbidrag = salgsinntekt − variable kostnader (Økonomistyring kap. 2); knapp faktor (kap. 7). Ikke fra Markedsføring kap. 6.</t>
  </si>
  <si>
    <t xml:space="preserve">b)  Hvor mange montørtimer brukte Nordlys på antenne- og koaksoppdrag i år?</t>
  </si>
  <si>
    <t xml:space="preserve">Timer = antall oppdrag × timer per oppdrag. Kapasiteten skal brukes på produktene som gir best lønnsomhet over tid (Markedsføring 6.8).</t>
  </si>
  <si>
    <t xml:space="preserve">c)  Hvor mye mer dekningsbidrag ville de samme 88 timene (fra b) gitt hvis de ble brukt på serviceoppdrag? Regn dekningsbidraget per time for service først. Svar i hele kroner.</t>
  </si>
  <si>
    <t xml:space="preserve">Gevinst ved å flytte timer = timer × dekningsbidrag per time i det nye alternativet − dagens dekningsbidrag. Knapp faktor (Økonomistyring kap. 7); sanering for å bruke kapasiteten best (Markedsføring 6.8).</t>
  </si>
  <si>
    <t xml:space="preserve">d)  Kari sier: «Antenne gir 740 kr i dekningsbidrag per jobb. Alt med positivt dekningsbidrag bidrar, så den kan bli.» Hva er det beste svaret?   A: Riktig: alt med positivt dekningsbidrag er like lønnsomt å beholde   B: Nei: montørtimen er den knappe ressursen; per time gir antenne 185 kr mot snittet 333, så timene gir mer andre steder   C: Nei: antenne må ut fordi den er i tilbakegangsfasen, uansett hva tallene sier   (skriv bokstaven)</t>
  </si>
  <si>
    <t xml:space="preserve">e)  Skal Nordlys sanere antenne og koaks? Hva betyr det i praksis, og hvor bør kompetansen flyttes? To–tre setninger med tallene fra a–c.</t>
  </si>
  <si>
    <t xml:space="preserve">Produktsanering (Markedsføring 6.8), tilbakegangsfasen (6.7), konsistens i vareutvalget (6.5) og knapp faktor (Økonomistyring kap. 7).</t>
  </si>
  <si>
    <t xml:space="preserve">Per montørtime</t>
  </si>
  <si>
    <t xml:space="preserve">Merkostnad = materiell + timer × 640. Dekningsbidrag = pris − merkostnad. Del dekningsbidraget på timene. Gjør det samme for service, og sammenlikn begge med snittet på 333.</t>
  </si>
  <si>
    <t xml:space="preserve">De samme timene</t>
  </si>
  <si>
    <t xml:space="preserve">Timer i år: oppdrag × timer per oppdrag. Gang timene med dekningsbidraget per time i service, og trekk fra det antenne faktisk ga (22 × 740).</t>
  </si>
  <si>
    <t xml:space="preserve">Kilde: Hjertnes, F.: Markedsføring, organisasjon og ledelse for LØM-emnet, kap. 6, avsnitt 6.5 (vareutvalg), 6.7 (livssyklus) og 6.8 (produktsanering). Dekningsbidrag per montørtime: Økonomistyring kap. 7. Tallene er de samme som i v4, regnearket «Produktbidrag og sortiment» og appen. Nordlys Elektro AS er en konstruert casebedrift.</t>
  </si>
  <si>
    <t xml:space="preserve">B2 · Fjell Elektro: hvilken tjeneste skal bære merkevaren?</t>
  </si>
  <si>
    <t xml:space="preserve">Kort oppsummert: Bredde er hvor mange produktgrupper bedriften fører, dybde er antall varianter innenfor hver gruppe, og et konsistent vareutvalg består av produkter som forsterker salget av hverandre (6.5). Komplementære produkter utfyller hverandre i bruk; substitutter erstatter hverandre og hører til dybden. Merkevarebygging er å tilføre produktet én eller flere merkeverdier. Det er en ekstrem form for differensiering, og merkeverdiene bygger på produktegenskapene: håndfaste (rasjonelle kjøpsfordeler) eller design og image (emosjonelle) (6.9).</t>
  </si>
  <si>
    <t xml:space="preserve">Fjell Elektro har fire oppdragstyper. Dekningsbidraget regnes som timer × (890 − 590) + materiell × 20 %. I snitt gir Fjell 380 kr i dekningsbidrag per fakturerbar time: (3 500 timer × (890 − 590) + 1 400 000 kr materiell × 20 %) / 3 500 timer. Markedet for ladepunkt i boliger i Oslo øst ventes å vokse 15 % i år. Mona vil bygge bedriften rundt én oppdragstype og vurderer å bruke de 40 000 kronene til markedsføring på ny bildekor med logo. Gå fram slik: regn dekningsbidraget per montørtime for laderen og for service, plasser en ladeboks av et annet merke i sortimentet, og vurder hva en merkevare er for Fjell.</t>
  </si>
  <si>
    <t xml:space="preserve">Oppdragstype</t>
  </si>
  <si>
    <t xml:space="preserve">Timer</t>
  </si>
  <si>
    <t xml:space="preserve">Deknings­bidrag, kr</t>
  </si>
  <si>
    <t xml:space="preserve">Elbillader i enebolig</t>
  </si>
  <si>
    <t xml:space="preserve">Sikringsskapbytte</t>
  </si>
  <si>
    <t xml:space="preserve">Service og feilsøking</t>
  </si>
  <si>
    <t xml:space="preserve">Lite næringsoppdrag</t>
  </si>
  <si>
    <t xml:space="preserve">Snitt hele Fjell per fakturerbar time</t>
  </si>
  <si>
    <t xml:space="preserve">Markedsføring i budsjettet</t>
  </si>
  <si>
    <t xml:space="preserve">Ladepunkt i Oslo øst i år</t>
  </si>
  <si>
    <t xml:space="preserve">+15 %</t>
  </si>
  <si>
    <t xml:space="preserve">a)  Hva er dekningsbidraget per montørtime for elbillader i enebolig? Svar i hele kroner.</t>
  </si>
  <si>
    <t xml:space="preserve">Dekningsbidrag per montørtime = dekningsbidrag per oppdrag / timer. Fjells dekningsbidrag = timer × (890 − 590) + materiell × 20 % (Økonomistyring kap. 7).</t>
  </si>
  <si>
    <t xml:space="preserve">b)  Hva er dekningsbidraget per montørtime for service og feilsøking?</t>
  </si>
  <si>
    <t xml:space="preserve">Dekningsbidrag per montørtime = dekningsbidrag / timer (Økonomistyring kap. 7).</t>
  </si>
  <si>
    <t xml:space="preserve">c)  En kunde vil ha en ladeboks av et annet merke enn den Fjell bruker. Er det et komplementært produkt eller et substitutt, og hører det til bredden eller dybden i sortimentet?   A: Komplementært produkt, og det øker bredden   B: Substitutt, og det hører til dybden   C: Substitutt, og det øker bredden   (skriv bokstaven)</t>
  </si>
  <si>
    <t xml:space="preserve">d)  Mona sier: «Merkevaren vår er logoen. Vi bruker de 40 000 kronene på ny bildekor.» Hva sier boka om merkevarebygging?   A: Riktig: merkevaren er navnet og logoen kunden ser   B: For snevert: merkevarebygging er å gi produktet merkeverdier som bygger på produktegenskapene, og logoen forteller bare om dem   C: Merkevarer finnes bare på forbrukermarkedet, ikke for el-bedrifter   (skriv bokstaven)</t>
  </si>
  <si>
    <t xml:space="preserve">e)  Hvilken oppdragstype bør Fjell bygge merkevaren rundt, og hvilken merkeverdi skal den ha? Bruk minst ett tall fra a–b og hvor i livssyklusen tjenesten er. To–tre setninger.</t>
  </si>
  <si>
    <t xml:space="preserve">Livssyklusen og vekstfasen (Markedsføring 6.7), konsistens og komplementære produkter (6.5) og merkevarebygging med rasjonelle kjøpsfordeler (6.9).</t>
  </si>
  <si>
    <t xml:space="preserve">Dekningsbidraget delt på timer for hver oppdragstype. Sammenlikn med snittet på 380 kr: (3 500 × 300 + 280 000) / 3 500. Laderen: 2 500 / 3. Service: 700 / 2.</t>
  </si>
  <si>
    <t xml:space="preserve">Sortiment og merkevare</t>
  </si>
  <si>
    <t xml:space="preserve">Substitutter erstatter hverandre (dybde), komplementære produkter utfyller hverandre (konsistens). Merkevaren er merkeverdiene, ikke logoen: hva kan kunden stole på hver gang?</t>
  </si>
  <si>
    <t xml:space="preserve">Kilde: Hjertnes, F.: Markedsføring, organisasjon og ledelse for LØM-emnet, kap. 6, avsnitt 6.5 (bredde, dybde, konsistens, komplementære produkter og substitutter), 6.7 (livssyklus) og 6.9 (merkevarebygging og posisjonering). Oppdragstypene: Økonomistyring kap. 7. Ladepunktmarkedet i Oslo øst er konstruert (Markedsføring kap. 3). Fjell Elektro AS er en konstruert casebedrift.</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</si>
</sst>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
      <patternFill patternType="solid">
        <fgColor rgb="FFF4F6FA"/>
        <bgColor rgb="FFEEF2F8"/>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2" fillId="5" borderId="0" xfId="0" applyFont="true" applyBorder="true" applyAlignment="fals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top" textRotation="0" wrapText="true" indent="0" shrinkToFit="false"/>
      <protection locked="true" hidden="false"/>
    </xf>
    <xf numFmtId="164" fontId="11" fillId="6"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7" borderId="1" xfId="0" applyFont="true" applyBorder="true" applyAlignment="true" applyProtection="false">
      <alignment horizontal="left" vertical="bottom" textRotation="0" wrapText="true" indent="0" shrinkToFit="false"/>
      <protection locked="true" hidden="false"/>
    </xf>
    <xf numFmtId="165" fontId="7" fillId="7" borderId="1" xfId="0" applyFont="true" applyBorder="true" applyAlignment="true" applyProtection="false">
      <alignment horizontal="right" vertical="bottom" textRotation="0" wrapText="false" indent="0" shrinkToFit="false"/>
      <protection locked="true" hidden="false"/>
    </xf>
    <xf numFmtId="164" fontId="7" fillId="7" borderId="1" xfId="0" applyFont="true" applyBorder="true" applyAlignment="true" applyProtection="fals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78.75" hidden="false" customHeight="true" outlineLevel="0" collapsed="false">
      <c r="A4" s="6" t="s">
        <v>22</v>
      </c>
      <c r="B4" s="6"/>
      <c r="C4" s="6"/>
      <c r="D4" s="6"/>
      <c r="E4" s="6"/>
      <c r="F4" s="6"/>
      <c r="G4" s="6"/>
    </row>
    <row r="5" customFormat="false" ht="108.75" hidden="false" customHeight="true" outlineLevel="0" collapsed="false">
      <c r="A5" s="7" t="s">
        <v>23</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26</v>
      </c>
      <c r="B8" s="7" t="s">
        <v>27</v>
      </c>
      <c r="C8" s="7"/>
      <c r="D8" s="7"/>
      <c r="E8" s="7"/>
      <c r="F8" s="7"/>
      <c r="G8" s="7"/>
    </row>
    <row r="9" customFormat="false" ht="18.75" hidden="false" customHeight="true" outlineLevel="0" collapsed="false">
      <c r="A9" s="9" t="s">
        <v>28</v>
      </c>
      <c r="B9" s="7" t="s">
        <v>29</v>
      </c>
      <c r="C9" s="7"/>
      <c r="D9" s="7"/>
      <c r="E9" s="7"/>
      <c r="F9" s="7"/>
      <c r="G9" s="7"/>
    </row>
    <row r="10" customFormat="false" ht="18.75" hidden="false" customHeight="true" outlineLevel="0" collapsed="false">
      <c r="A10" s="9" t="s">
        <v>30</v>
      </c>
      <c r="B10" s="7" t="s">
        <v>31</v>
      </c>
      <c r="C10" s="7"/>
      <c r="D10" s="7"/>
      <c r="E10" s="7"/>
      <c r="F10" s="7"/>
      <c r="G10" s="7"/>
    </row>
    <row r="11" customFormat="false" ht="18.75" hidden="false" customHeight="true" outlineLevel="0" collapsed="false">
      <c r="A11" s="9" t="s">
        <v>32</v>
      </c>
      <c r="B11" s="7" t="s">
        <v>33</v>
      </c>
      <c r="C11" s="7"/>
      <c r="D11" s="7"/>
      <c r="E11" s="7"/>
      <c r="F11" s="7"/>
      <c r="G11" s="7"/>
    </row>
    <row r="12" customFormat="false" ht="18.75" hidden="false" customHeight="true" outlineLevel="0" collapsed="false">
      <c r="A12" s="9" t="s">
        <v>34</v>
      </c>
      <c r="B12" s="7" t="s">
        <v>35</v>
      </c>
      <c r="C12" s="7"/>
      <c r="D12" s="7"/>
      <c r="E12" s="7"/>
      <c r="F12" s="7"/>
      <c r="G12" s="7"/>
    </row>
    <row r="13" customFormat="false" ht="18.75" hidden="false" customHeight="true" outlineLevel="0" collapsed="false">
      <c r="A13" s="9" t="s">
        <v>36</v>
      </c>
      <c r="B13" s="7" t="s">
        <v>37</v>
      </c>
      <c r="C13" s="7"/>
      <c r="D13" s="7"/>
      <c r="E13" s="7"/>
      <c r="F13" s="7"/>
      <c r="G13" s="7"/>
    </row>
    <row r="14" customFormat="false" ht="18.75" hidden="false" customHeight="true" outlineLevel="0" collapsed="false">
      <c r="A14" s="9" t="s">
        <v>38</v>
      </c>
      <c r="B14" s="7" t="s">
        <v>39</v>
      </c>
      <c r="C14" s="7"/>
      <c r="D14" s="7"/>
      <c r="E14" s="7"/>
      <c r="F14" s="7"/>
      <c r="G14" s="7"/>
    </row>
    <row r="15" customFormat="false" ht="18.75" hidden="false" customHeight="true" outlineLevel="0" collapsed="false">
      <c r="A15" s="9" t="s">
        <v>40</v>
      </c>
      <c r="B15" s="7" t="s">
        <v>41</v>
      </c>
      <c r="C15" s="7"/>
      <c r="D15" s="7"/>
      <c r="E15" s="7"/>
      <c r="F15" s="7"/>
      <c r="G15" s="7"/>
    </row>
    <row r="17" customFormat="false" ht="15" hidden="false" customHeight="false" outlineLevel="0" collapsed="false">
      <c r="A17" s="8" t="s">
        <v>42</v>
      </c>
      <c r="B17" s="8"/>
      <c r="C17" s="8"/>
      <c r="D17" s="8"/>
      <c r="E17" s="8"/>
      <c r="F17" s="8" t="s">
        <v>43</v>
      </c>
      <c r="G17" s="8" t="s">
        <v>44</v>
      </c>
    </row>
    <row r="18" customFormat="false" ht="48.75" hidden="false" customHeight="true" outlineLevel="0" collapsed="false">
      <c r="A18" s="7" t="s">
        <v>45</v>
      </c>
      <c r="B18" s="7"/>
      <c r="C18" s="7"/>
      <c r="D18" s="7"/>
      <c r="E18" s="7"/>
      <c r="F18" s="10"/>
      <c r="G18" s="11" t="str">
        <f aca="false">IF(F18="","",IF(UPPER(TRIM(F18))="B","Riktig","Prøv igjen"))</f>
        <v/>
      </c>
    </row>
    <row r="19" customFormat="false" ht="33.75" hidden="false" customHeight="true" outlineLevel="0" collapsed="false">
      <c r="A19" s="7" t="s">
        <v>46</v>
      </c>
      <c r="B19" s="7"/>
      <c r="C19" s="7"/>
      <c r="D19" s="7"/>
      <c r="E19" s="7"/>
    </row>
    <row r="20" customFormat="false" ht="15" hidden="false" customHeight="true" outlineLevel="0" collapsed="false">
      <c r="A20" s="7" t="s">
        <v>47</v>
      </c>
      <c r="B20" s="7"/>
      <c r="C20" s="7"/>
      <c r="D20" s="7"/>
      <c r="E20" s="7"/>
      <c r="F20" s="10"/>
      <c r="G20" s="11" t="str">
        <f aca="false">IF(F20="","",IF(UPPER(TRIM(F20))="JA","Riktig","Prøv igjen"))</f>
        <v/>
      </c>
    </row>
    <row r="21" customFormat="false" ht="15" hidden="false" customHeight="true" outlineLevel="0" collapsed="false">
      <c r="A21" s="7" t="s">
        <v>48</v>
      </c>
      <c r="B21" s="7"/>
      <c r="C21" s="7"/>
      <c r="D21" s="7"/>
      <c r="E21" s="7"/>
      <c r="F21" s="10"/>
      <c r="G21" s="11" t="str">
        <f aca="false">IF(F21="","",IF(UPPER(TRIM(F21))="JA","Riktig","Prøv igjen"))</f>
        <v/>
      </c>
    </row>
    <row r="22" customFormat="false" ht="15" hidden="false" customHeight="true" outlineLevel="0" collapsed="false">
      <c r="A22" s="7" t="s">
        <v>49</v>
      </c>
      <c r="B22" s="7"/>
      <c r="C22" s="7"/>
      <c r="D22" s="7"/>
      <c r="E22" s="7"/>
      <c r="F22" s="10"/>
      <c r="G22" s="11" t="str">
        <f aca="false">IF(F22="","",IF(UPPER(TRIM(F22))="NEI","Riktig","Prøv igjen"))</f>
        <v/>
      </c>
    </row>
    <row r="23" customFormat="false" ht="15" hidden="false" customHeight="true" outlineLevel="0" collapsed="false">
      <c r="A23" s="7" t="s">
        <v>50</v>
      </c>
      <c r="B23" s="7"/>
      <c r="C23" s="7"/>
      <c r="D23" s="7"/>
      <c r="E23" s="7"/>
      <c r="F23" s="10"/>
      <c r="G23" s="11" t="str">
        <f aca="false">IF(F23="","",IF(UPPER(TRIM(F23))="NEI","Riktig","Prøv igjen"))</f>
        <v/>
      </c>
    </row>
    <row r="24" customFormat="false" ht="15" hidden="false" customHeight="true" outlineLevel="0" collapsed="false">
      <c r="A24" s="7" t="s">
        <v>51</v>
      </c>
      <c r="B24" s="7"/>
      <c r="C24" s="7"/>
      <c r="D24" s="7"/>
      <c r="E24" s="7"/>
      <c r="F24" s="10"/>
      <c r="G24" s="11" t="str">
        <f aca="false">IF(F24="","",IF(UPPER(TRIM(F24))="NEI","Riktig","Prøv igjen"))</f>
        <v/>
      </c>
    </row>
    <row r="25" customFormat="false" ht="18.75" hidden="false" customHeight="true" outlineLevel="0" collapsed="false">
      <c r="A25" s="7" t="s">
        <v>52</v>
      </c>
      <c r="B25" s="7"/>
      <c r="C25" s="7"/>
      <c r="D25" s="7"/>
      <c r="E25" s="7"/>
      <c r="F25" s="12"/>
      <c r="G25" s="11" t="str">
        <f aca="false">IF(F25="","",IF(ABS(F25-(39.8))&lt;=0.1,"Riktig","Prøv igjen"))</f>
        <v/>
      </c>
    </row>
    <row r="26" customFormat="false" ht="42.75" hidden="false" customHeight="true" outlineLevel="0" collapsed="false">
      <c r="A26" s="13" t="s">
        <v>53</v>
      </c>
      <c r="B26" s="14" t="s">
        <v>54</v>
      </c>
      <c r="C26" s="14"/>
      <c r="D26" s="14"/>
      <c r="E26" s="14"/>
      <c r="F26" s="14"/>
      <c r="G26" s="14"/>
    </row>
    <row r="28" customFormat="false" ht="78.75" hidden="false" customHeight="true" outlineLevel="0" collapsed="false">
      <c r="A28" s="7" t="s">
        <v>55</v>
      </c>
      <c r="B28" s="7"/>
      <c r="C28" s="7"/>
      <c r="D28" s="7"/>
      <c r="E28" s="7"/>
      <c r="F28" s="10"/>
      <c r="G28" s="11" t="str">
        <f aca="false">IF(F28="","",IF(UPPER(TRIM(F28))="B","Riktig","Prøv igjen"))</f>
        <v/>
      </c>
    </row>
    <row r="29" customFormat="false" ht="33.75" hidden="false" customHeight="true" outlineLevel="0" collapsed="false">
      <c r="A29" s="7" t="s">
        <v>56</v>
      </c>
      <c r="B29" s="7"/>
      <c r="C29" s="7"/>
      <c r="D29" s="7"/>
      <c r="E29" s="7"/>
    </row>
    <row r="30" customFormat="false" ht="15" hidden="false" customHeight="false" outlineLevel="0" collapsed="false">
      <c r="A30" s="15"/>
      <c r="B30" s="15"/>
      <c r="C30" s="15"/>
      <c r="D30" s="15"/>
      <c r="E30" s="15"/>
      <c r="F30" s="15"/>
      <c r="G30" s="15"/>
    </row>
    <row r="31" customFormat="false" ht="15" hidden="false" customHeight="false" outlineLevel="0" collapsed="false">
      <c r="A31" s="15"/>
      <c r="B31" s="15"/>
      <c r="C31" s="15"/>
      <c r="D31" s="15"/>
      <c r="E31" s="15"/>
      <c r="F31" s="15"/>
      <c r="G31" s="15"/>
    </row>
    <row r="32" customFormat="false" ht="15" hidden="false" customHeight="false" outlineLevel="0" collapsed="false">
      <c r="A32" s="15"/>
      <c r="B32" s="15"/>
      <c r="C32" s="15"/>
      <c r="D32" s="15"/>
      <c r="E32" s="15"/>
      <c r="F32" s="15"/>
      <c r="G32" s="15"/>
    </row>
    <row r="33" customFormat="false" ht="30" hidden="false" customHeight="true" outlineLevel="0" collapsed="false">
      <c r="A33" s="13" t="s">
        <v>53</v>
      </c>
      <c r="B33" s="14" t="s">
        <v>57</v>
      </c>
      <c r="C33" s="14"/>
      <c r="D33" s="14"/>
      <c r="E33" s="14"/>
      <c r="F33" s="14"/>
      <c r="G33" s="14"/>
    </row>
    <row r="36" customFormat="false" ht="15" hidden="false" customHeight="false" outlineLevel="0" collapsed="false">
      <c r="A36" s="16" t="s">
        <v>58</v>
      </c>
      <c r="B36" s="16"/>
      <c r="C36" s="16"/>
      <c r="D36" s="16"/>
      <c r="E36" s="16"/>
      <c r="F36" s="16"/>
      <c r="G36" s="16"/>
    </row>
    <row r="37" customFormat="false" ht="30" hidden="false" customHeight="true" outlineLevel="0" collapsed="false">
      <c r="A37" s="17" t="s">
        <v>59</v>
      </c>
      <c r="B37" s="18" t="s">
        <v>60</v>
      </c>
      <c r="C37" s="18"/>
      <c r="D37" s="18"/>
      <c r="E37" s="18"/>
      <c r="F37" s="18"/>
      <c r="G37" s="18"/>
    </row>
    <row r="38" customFormat="false" ht="30" hidden="false" customHeight="true" outlineLevel="0" collapsed="false">
      <c r="A38" s="17" t="s">
        <v>61</v>
      </c>
      <c r="B38" s="18" t="s">
        <v>62</v>
      </c>
      <c r="C38" s="18"/>
      <c r="D38" s="18"/>
      <c r="E38" s="18"/>
      <c r="F38" s="18"/>
      <c r="G38" s="18"/>
    </row>
    <row r="40" customFormat="false" ht="48.75" hidden="false" customHeight="true" outlineLevel="0" collapsed="false">
      <c r="A40" s="6" t="s">
        <v>63</v>
      </c>
      <c r="B40" s="6"/>
      <c r="C40" s="6"/>
      <c r="D40" s="6"/>
      <c r="E40" s="6"/>
      <c r="F40" s="6"/>
      <c r="G40" s="6"/>
    </row>
    <row r="41" customFormat="false" ht="15" hidden="false" customHeight="true" outlineLevel="0" collapsed="false">
      <c r="A41" s="6" t="s">
        <v>64</v>
      </c>
      <c r="B41" s="6"/>
      <c r="C41" s="6"/>
      <c r="D41" s="6"/>
      <c r="E41" s="6"/>
      <c r="F41" s="6"/>
      <c r="G41" s="6"/>
    </row>
  </sheetData>
  <mergeCells count="3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B26:G26"/>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65</v>
      </c>
    </row>
    <row r="2" customFormat="false" ht="15" hidden="false" customHeight="false" outlineLevel="0" collapsed="false">
      <c r="A2" s="2" t="s">
        <v>21</v>
      </c>
    </row>
    <row r="4" customFormat="false" ht="78.75" hidden="false" customHeight="true" outlineLevel="0" collapsed="false">
      <c r="A4" s="6" t="s">
        <v>66</v>
      </c>
      <c r="B4" s="6"/>
      <c r="C4" s="6"/>
      <c r="D4" s="6"/>
      <c r="E4" s="6"/>
      <c r="F4" s="6"/>
      <c r="G4" s="6"/>
    </row>
    <row r="5" customFormat="false" ht="123.75" hidden="false" customHeight="true" outlineLevel="0" collapsed="false">
      <c r="A5" s="7" t="s">
        <v>67</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68</v>
      </c>
      <c r="B8" s="7" t="s">
        <v>69</v>
      </c>
      <c r="C8" s="7"/>
      <c r="D8" s="7"/>
      <c r="E8" s="7"/>
      <c r="F8" s="7"/>
      <c r="G8" s="7"/>
    </row>
    <row r="9" customFormat="false" ht="18.75" hidden="false" customHeight="true" outlineLevel="0" collapsed="false">
      <c r="A9" s="9" t="s">
        <v>70</v>
      </c>
      <c r="B9" s="7" t="s">
        <v>71</v>
      </c>
      <c r="C9" s="7"/>
      <c r="D9" s="7"/>
      <c r="E9" s="7"/>
      <c r="F9" s="7"/>
      <c r="G9" s="7"/>
    </row>
    <row r="10" customFormat="false" ht="18.75" hidden="false" customHeight="true" outlineLevel="0" collapsed="false">
      <c r="A10" s="9" t="s">
        <v>28</v>
      </c>
      <c r="B10" s="7" t="s">
        <v>72</v>
      </c>
      <c r="C10" s="7"/>
      <c r="D10" s="7"/>
      <c r="E10" s="7"/>
      <c r="F10" s="7"/>
      <c r="G10" s="7"/>
    </row>
    <row r="11" customFormat="false" ht="18.75" hidden="false" customHeight="true" outlineLevel="0" collapsed="false">
      <c r="A11" s="9" t="s">
        <v>73</v>
      </c>
      <c r="B11" s="7" t="s">
        <v>74</v>
      </c>
      <c r="C11" s="7"/>
      <c r="D11" s="7"/>
      <c r="E11" s="7"/>
      <c r="F11" s="7"/>
      <c r="G11" s="7"/>
    </row>
    <row r="12" customFormat="false" ht="18.75" hidden="false" customHeight="true" outlineLevel="0" collapsed="false">
      <c r="A12" s="9" t="s">
        <v>75</v>
      </c>
      <c r="B12" s="7" t="s">
        <v>76</v>
      </c>
      <c r="C12" s="7"/>
      <c r="D12" s="7"/>
      <c r="E12" s="7"/>
      <c r="F12" s="7"/>
      <c r="G12" s="7"/>
    </row>
    <row r="13" customFormat="false" ht="18.75" hidden="false" customHeight="true" outlineLevel="0" collapsed="false">
      <c r="A13" s="9" t="s">
        <v>77</v>
      </c>
      <c r="B13" s="7" t="s">
        <v>78</v>
      </c>
      <c r="C13" s="7"/>
      <c r="D13" s="7"/>
      <c r="E13" s="7"/>
      <c r="F13" s="7"/>
      <c r="G13" s="7"/>
    </row>
    <row r="14" customFormat="false" ht="18.75" hidden="false" customHeight="true" outlineLevel="0" collapsed="false">
      <c r="A14" s="9" t="s">
        <v>79</v>
      </c>
      <c r="B14" s="7" t="s">
        <v>80</v>
      </c>
      <c r="C14" s="7"/>
      <c r="D14" s="7"/>
      <c r="E14" s="7"/>
      <c r="F14" s="7"/>
      <c r="G14" s="7"/>
    </row>
    <row r="15" customFormat="false" ht="18.75" hidden="false" customHeight="true" outlineLevel="0" collapsed="false">
      <c r="A15" s="9" t="s">
        <v>81</v>
      </c>
      <c r="B15" s="7" t="s">
        <v>82</v>
      </c>
      <c r="C15" s="7"/>
      <c r="D15" s="7"/>
      <c r="E15" s="7"/>
      <c r="F15" s="7"/>
      <c r="G15" s="7"/>
    </row>
    <row r="16" customFormat="false" ht="18.75" hidden="false" customHeight="true" outlineLevel="0" collapsed="false">
      <c r="A16" s="9" t="s">
        <v>83</v>
      </c>
      <c r="B16" s="7" t="s">
        <v>84</v>
      </c>
      <c r="C16" s="7"/>
      <c r="D16" s="7"/>
      <c r="E16" s="7"/>
      <c r="F16" s="7"/>
      <c r="G16" s="7"/>
    </row>
    <row r="18" customFormat="false" ht="15" hidden="false" customHeight="false" outlineLevel="0" collapsed="false">
      <c r="A18" s="8" t="s">
        <v>42</v>
      </c>
      <c r="B18" s="8"/>
      <c r="C18" s="8"/>
      <c r="D18" s="8"/>
      <c r="E18" s="8"/>
      <c r="F18" s="8" t="s">
        <v>43</v>
      </c>
      <c r="G18" s="8" t="s">
        <v>44</v>
      </c>
    </row>
    <row r="19" customFormat="false" ht="63.75" hidden="false" customHeight="true" outlineLevel="0" collapsed="false">
      <c r="A19" s="7" t="s">
        <v>85</v>
      </c>
      <c r="B19" s="7"/>
      <c r="C19" s="7"/>
      <c r="D19" s="7"/>
      <c r="E19" s="7"/>
      <c r="F19" s="10"/>
      <c r="G19" s="11" t="str">
        <f aca="false">IF(F19="","",IF(UPPER(TRIM(F19))="B","Riktig","Prøv igjen"))</f>
        <v/>
      </c>
    </row>
    <row r="20" customFormat="false" ht="33.75" hidden="false" customHeight="true" outlineLevel="0" collapsed="false">
      <c r="A20" s="7" t="s">
        <v>86</v>
      </c>
      <c r="B20" s="7"/>
      <c r="C20" s="7"/>
      <c r="D20" s="7"/>
      <c r="E20" s="7"/>
    </row>
    <row r="21" customFormat="false" ht="15" hidden="false" customHeight="true" outlineLevel="0" collapsed="false">
      <c r="A21" s="7" t="s">
        <v>87</v>
      </c>
      <c r="B21" s="7"/>
      <c r="C21" s="7"/>
      <c r="D21" s="7"/>
      <c r="E21" s="7"/>
      <c r="F21" s="10"/>
      <c r="G21" s="11" t="str">
        <f aca="false">IF(F21="","",IF(UPPER(TRIM(F21))="JA","Riktig","Prøv igjen"))</f>
        <v/>
      </c>
    </row>
    <row r="22" customFormat="false" ht="15" hidden="false" customHeight="true" outlineLevel="0" collapsed="false">
      <c r="A22" s="7" t="s">
        <v>88</v>
      </c>
      <c r="B22" s="7"/>
      <c r="C22" s="7"/>
      <c r="D22" s="7"/>
      <c r="E22" s="7"/>
      <c r="F22" s="10"/>
      <c r="G22" s="11" t="str">
        <f aca="false">IF(F22="","",IF(UPPER(TRIM(F22))="JA","Riktig","Prøv igjen"))</f>
        <v/>
      </c>
    </row>
    <row r="23" customFormat="false" ht="15" hidden="false" customHeight="true" outlineLevel="0" collapsed="false">
      <c r="A23" s="7" t="s">
        <v>89</v>
      </c>
      <c r="B23" s="7"/>
      <c r="C23" s="7"/>
      <c r="D23" s="7"/>
      <c r="E23" s="7"/>
      <c r="F23" s="10"/>
      <c r="G23" s="11" t="str">
        <f aca="false">IF(F23="","",IF(UPPER(TRIM(F23))="JA","Riktig","Prøv igjen"))</f>
        <v/>
      </c>
    </row>
    <row r="24" customFormat="false" ht="15" hidden="false" customHeight="true" outlineLevel="0" collapsed="false">
      <c r="A24" s="7" t="s">
        <v>90</v>
      </c>
      <c r="B24" s="7"/>
      <c r="C24" s="7"/>
      <c r="D24" s="7"/>
      <c r="E24" s="7"/>
      <c r="F24" s="10"/>
      <c r="G24" s="11" t="str">
        <f aca="false">IF(F24="","",IF(UPPER(TRIM(F24))="NEI","Riktig","Prøv igjen"))</f>
        <v/>
      </c>
    </row>
    <row r="25" customFormat="false" ht="15" hidden="false" customHeight="true" outlineLevel="0" collapsed="false">
      <c r="A25" s="7" t="s">
        <v>91</v>
      </c>
      <c r="B25" s="7"/>
      <c r="C25" s="7"/>
      <c r="D25" s="7"/>
      <c r="E25" s="7"/>
      <c r="F25" s="10"/>
      <c r="G25" s="11" t="str">
        <f aca="false">IF(F25="","",IF(UPPER(TRIM(F25))="NEI","Riktig","Prøv igjen"))</f>
        <v/>
      </c>
    </row>
    <row r="26" customFormat="false" ht="33.75" hidden="false" customHeight="true" outlineLevel="0" collapsed="false">
      <c r="A26" s="7" t="s">
        <v>92</v>
      </c>
      <c r="B26" s="7"/>
      <c r="C26" s="7"/>
      <c r="D26" s="7"/>
      <c r="E26" s="7"/>
      <c r="F26" s="12"/>
      <c r="G26" s="11" t="str">
        <f aca="false">IF(F26="","",IF(ABS(F26-(2205))&lt;=0.000000001,"Riktig","Prøv igjen"))</f>
        <v/>
      </c>
    </row>
    <row r="27" customFormat="false" ht="30" hidden="false" customHeight="true" outlineLevel="0" collapsed="false">
      <c r="A27" s="13" t="s">
        <v>53</v>
      </c>
      <c r="B27" s="14" t="s">
        <v>93</v>
      </c>
      <c r="C27" s="14"/>
      <c r="D27" s="14"/>
      <c r="E27" s="14"/>
      <c r="F27" s="14"/>
      <c r="G27" s="14"/>
    </row>
    <row r="29" customFormat="false" ht="78.75" hidden="false" customHeight="true" outlineLevel="0" collapsed="false">
      <c r="A29" s="7" t="s">
        <v>94</v>
      </c>
      <c r="B29" s="7"/>
      <c r="C29" s="7"/>
      <c r="D29" s="7"/>
      <c r="E29" s="7"/>
      <c r="F29" s="10"/>
      <c r="G29" s="11" t="str">
        <f aca="false">IF(F29="","",IF(UPPER(TRIM(F29))="B","Riktig","Prøv igjen"))</f>
        <v/>
      </c>
    </row>
    <row r="30" customFormat="false" ht="33.75" hidden="false" customHeight="true" outlineLevel="0" collapsed="false">
      <c r="A30" s="7" t="s">
        <v>95</v>
      </c>
      <c r="B30" s="7"/>
      <c r="C30" s="7"/>
      <c r="D30" s="7"/>
      <c r="E30" s="7"/>
    </row>
    <row r="31" customFormat="false" ht="15" hidden="false" customHeight="false" outlineLevel="0" collapsed="false">
      <c r="A31" s="15"/>
      <c r="B31" s="15"/>
      <c r="C31" s="15"/>
      <c r="D31" s="15"/>
      <c r="E31" s="15"/>
      <c r="F31" s="15"/>
      <c r="G31" s="15"/>
    </row>
    <row r="32" customFormat="false" ht="15" hidden="false" customHeight="false" outlineLevel="0" collapsed="false">
      <c r="A32" s="15"/>
      <c r="B32" s="15"/>
      <c r="C32" s="15"/>
      <c r="D32" s="15"/>
      <c r="E32" s="15"/>
      <c r="F32" s="15"/>
      <c r="G32" s="15"/>
    </row>
    <row r="33" customFormat="false" ht="15" hidden="false" customHeight="false" outlineLevel="0" collapsed="false">
      <c r="A33" s="15"/>
      <c r="B33" s="15"/>
      <c r="C33" s="15"/>
      <c r="D33" s="15"/>
      <c r="E33" s="15"/>
      <c r="F33" s="15"/>
      <c r="G33" s="15"/>
    </row>
    <row r="34" customFormat="false" ht="30" hidden="false" customHeight="true" outlineLevel="0" collapsed="false">
      <c r="A34" s="13" t="s">
        <v>53</v>
      </c>
      <c r="B34" s="14" t="s">
        <v>96</v>
      </c>
      <c r="C34" s="14"/>
      <c r="D34" s="14"/>
      <c r="E34" s="14"/>
      <c r="F34" s="14"/>
      <c r="G34" s="14"/>
    </row>
    <row r="37" customFormat="false" ht="15" hidden="false" customHeight="false" outlineLevel="0" collapsed="false">
      <c r="A37" s="16" t="s">
        <v>58</v>
      </c>
      <c r="B37" s="16"/>
      <c r="C37" s="16"/>
      <c r="D37" s="16"/>
      <c r="E37" s="16"/>
      <c r="F37" s="16"/>
      <c r="G37" s="16"/>
    </row>
    <row r="38" customFormat="false" ht="30" hidden="false" customHeight="true" outlineLevel="0" collapsed="false">
      <c r="A38" s="17" t="s">
        <v>97</v>
      </c>
      <c r="B38" s="18" t="s">
        <v>98</v>
      </c>
      <c r="C38" s="18"/>
      <c r="D38" s="18"/>
      <c r="E38" s="18"/>
      <c r="F38" s="18"/>
      <c r="G38" s="18"/>
    </row>
    <row r="39" customFormat="false" ht="30" hidden="false" customHeight="true" outlineLevel="0" collapsed="false">
      <c r="A39" s="17" t="s">
        <v>99</v>
      </c>
      <c r="B39" s="18" t="s">
        <v>100</v>
      </c>
      <c r="C39" s="18"/>
      <c r="D39" s="18"/>
      <c r="E39" s="18"/>
      <c r="F39" s="18"/>
      <c r="G39" s="18"/>
    </row>
    <row r="41" customFormat="false" ht="48.75" hidden="false" customHeight="true" outlineLevel="0" collapsed="false">
      <c r="A41" s="6" t="s">
        <v>101</v>
      </c>
      <c r="B41" s="6"/>
      <c r="C41" s="6"/>
      <c r="D41" s="6"/>
      <c r="E41" s="6"/>
      <c r="F41" s="6"/>
      <c r="G41" s="6"/>
    </row>
    <row r="42" customFormat="false" ht="15" hidden="false" customHeight="true" outlineLevel="0" collapsed="false">
      <c r="A42" s="6" t="s">
        <v>64</v>
      </c>
      <c r="B42" s="6"/>
      <c r="C42" s="6"/>
      <c r="D42" s="6"/>
      <c r="E42" s="6"/>
      <c r="F42" s="6"/>
      <c r="G42" s="6"/>
    </row>
  </sheetData>
  <mergeCells count="31">
    <mergeCell ref="A4:G4"/>
    <mergeCell ref="A5:G5"/>
    <mergeCell ref="B7:G7"/>
    <mergeCell ref="B8:G8"/>
    <mergeCell ref="B9:G9"/>
    <mergeCell ref="B10:G10"/>
    <mergeCell ref="B11:G11"/>
    <mergeCell ref="B12:G12"/>
    <mergeCell ref="B13:G13"/>
    <mergeCell ref="B14:G14"/>
    <mergeCell ref="B15:G15"/>
    <mergeCell ref="B16:G16"/>
    <mergeCell ref="A18:E18"/>
    <mergeCell ref="A19:E19"/>
    <mergeCell ref="A20:E20"/>
    <mergeCell ref="A21:E21"/>
    <mergeCell ref="A22:E22"/>
    <mergeCell ref="A23:E23"/>
    <mergeCell ref="A24:E24"/>
    <mergeCell ref="A25:E25"/>
    <mergeCell ref="A26:E26"/>
    <mergeCell ref="B27:G27"/>
    <mergeCell ref="A29:E29"/>
    <mergeCell ref="A30:E30"/>
    <mergeCell ref="A31:G33"/>
    <mergeCell ref="B34:G34"/>
    <mergeCell ref="A37:G37"/>
    <mergeCell ref="B38:G38"/>
    <mergeCell ref="B39:G39"/>
    <mergeCell ref="A41:G41"/>
    <mergeCell ref="A42:G4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102</v>
      </c>
    </row>
    <row r="2" customFormat="false" ht="15" hidden="false" customHeight="false" outlineLevel="0" collapsed="false">
      <c r="A2" s="2" t="s">
        <v>21</v>
      </c>
    </row>
    <row r="4" customFormat="false" ht="78.75" hidden="false" customHeight="true" outlineLevel="0" collapsed="false">
      <c r="A4" s="6" t="s">
        <v>103</v>
      </c>
      <c r="B4" s="6"/>
      <c r="C4" s="6"/>
      <c r="D4" s="6"/>
      <c r="E4" s="6"/>
      <c r="F4" s="6"/>
      <c r="G4" s="6"/>
    </row>
    <row r="5" customFormat="false" ht="108.75" hidden="false" customHeight="true" outlineLevel="0" collapsed="false">
      <c r="A5" s="7" t="s">
        <v>104</v>
      </c>
      <c r="B5" s="7"/>
      <c r="C5" s="7"/>
      <c r="D5" s="7"/>
      <c r="E5" s="7"/>
      <c r="F5" s="7"/>
      <c r="G5" s="7"/>
    </row>
    <row r="7" customFormat="false" ht="15" hidden="false" customHeight="false" outlineLevel="0" collapsed="false">
      <c r="A7" s="19" t="s">
        <v>105</v>
      </c>
      <c r="B7" s="20" t="s">
        <v>106</v>
      </c>
      <c r="C7" s="20" t="s">
        <v>107</v>
      </c>
      <c r="D7" s="20" t="s">
        <v>108</v>
      </c>
    </row>
    <row r="8" customFormat="false" ht="15" hidden="false" customHeight="false" outlineLevel="0" collapsed="false">
      <c r="A8" s="21" t="s">
        <v>109</v>
      </c>
      <c r="B8" s="22" t="n">
        <v>4800</v>
      </c>
      <c r="C8" s="22" t="n">
        <v>18500</v>
      </c>
      <c r="D8" s="23"/>
    </row>
    <row r="9" customFormat="false" ht="15" hidden="false" customHeight="false" outlineLevel="0" collapsed="false">
      <c r="A9" s="24" t="s">
        <v>110</v>
      </c>
      <c r="B9" s="25" t="n">
        <v>1500</v>
      </c>
      <c r="C9" s="25" t="n">
        <v>7360</v>
      </c>
      <c r="D9" s="26"/>
    </row>
    <row r="10" customFormat="false" ht="15" hidden="false" customHeight="false" outlineLevel="0" collapsed="false">
      <c r="A10" s="21" t="s">
        <v>111</v>
      </c>
      <c r="B10" s="22" t="n">
        <v>4</v>
      </c>
      <c r="C10" s="22" t="n">
        <v>6</v>
      </c>
      <c r="D10" s="23"/>
    </row>
    <row r="11" customFormat="false" ht="15" hidden="false" customHeight="false" outlineLevel="0" collapsed="false">
      <c r="A11" s="24" t="s">
        <v>112</v>
      </c>
      <c r="B11" s="25" t="n">
        <v>640</v>
      </c>
      <c r="C11" s="25" t="n">
        <v>640</v>
      </c>
      <c r="D11" s="25" t="n">
        <v>640</v>
      </c>
    </row>
    <row r="12" customFormat="false" ht="15" hidden="false" customHeight="false" outlineLevel="0" collapsed="false">
      <c r="A12" s="21" t="s">
        <v>113</v>
      </c>
      <c r="B12" s="23" t="s">
        <v>114</v>
      </c>
      <c r="C12" s="23"/>
      <c r="D12" s="23"/>
    </row>
    <row r="13" customFormat="false" ht="15" hidden="false" customHeight="false" outlineLevel="0" collapsed="false">
      <c r="A13" s="24" t="s">
        <v>115</v>
      </c>
      <c r="B13" s="26"/>
      <c r="C13" s="26"/>
      <c r="D13" s="25" t="n">
        <v>14400</v>
      </c>
    </row>
    <row r="14" customFormat="false" ht="26.85" hidden="false" customHeight="false" outlineLevel="0" collapsed="false">
      <c r="A14" s="21" t="s">
        <v>116</v>
      </c>
      <c r="B14" s="12"/>
      <c r="C14" s="12"/>
      <c r="D14" s="23" t="s">
        <v>117</v>
      </c>
    </row>
    <row r="15" customFormat="false" ht="15" hidden="false" customHeight="false" outlineLevel="0" collapsed="false">
      <c r="A15" s="24" t="s">
        <v>118</v>
      </c>
      <c r="B15" s="26" t="s">
        <v>119</v>
      </c>
      <c r="C15" s="26" t="s">
        <v>120</v>
      </c>
      <c r="D15" s="26" t="s">
        <v>121</v>
      </c>
    </row>
    <row r="16" customFormat="false" ht="15" hidden="false" customHeight="true" outlineLevel="0" collapsed="false">
      <c r="A16" s="6" t="s">
        <v>122</v>
      </c>
      <c r="B16" s="6"/>
      <c r="C16" s="6"/>
      <c r="D16" s="6"/>
      <c r="E16" s="6"/>
      <c r="F16" s="6"/>
      <c r="G16" s="6"/>
    </row>
    <row r="18" customFormat="false" ht="15" hidden="false" customHeight="false" outlineLevel="0" collapsed="false">
      <c r="A18" s="8" t="s">
        <v>42</v>
      </c>
      <c r="B18" s="8"/>
      <c r="C18" s="8"/>
      <c r="D18" s="8"/>
      <c r="E18" s="8"/>
      <c r="F18" s="8" t="s">
        <v>43</v>
      </c>
      <c r="G18" s="8" t="s">
        <v>44</v>
      </c>
    </row>
    <row r="19" customFormat="false" ht="33.75" hidden="false" customHeight="true" outlineLevel="0" collapsed="false">
      <c r="A19" s="7" t="s">
        <v>123</v>
      </c>
      <c r="B19" s="7"/>
      <c r="C19" s="7"/>
      <c r="D19" s="7"/>
      <c r="E19" s="7"/>
      <c r="F19" s="12"/>
      <c r="G19" s="11" t="str">
        <f aca="false">IF(F19="","",IF(ABS(F19-(185))&lt;=1,"Riktig","Prøv igjen"))</f>
        <v/>
      </c>
    </row>
    <row r="20" customFormat="false" ht="42.75" hidden="false" customHeight="true" outlineLevel="0" collapsed="false">
      <c r="A20" s="13" t="s">
        <v>53</v>
      </c>
      <c r="B20" s="14" t="s">
        <v>124</v>
      </c>
      <c r="C20" s="14"/>
      <c r="D20" s="14"/>
      <c r="E20" s="14"/>
      <c r="F20" s="14"/>
      <c r="G20" s="14"/>
    </row>
    <row r="22" customFormat="false" ht="18.75" hidden="false" customHeight="true" outlineLevel="0" collapsed="false">
      <c r="A22" s="7" t="s">
        <v>125</v>
      </c>
      <c r="B22" s="7"/>
      <c r="C22" s="7"/>
      <c r="D22" s="7"/>
      <c r="E22" s="7"/>
      <c r="F22" s="12"/>
      <c r="G22" s="11" t="str">
        <f aca="false">IF(F22="","",IF(ABS(F22-(88))&lt;=0.000000001,"Riktig","Prøv igjen"))</f>
        <v/>
      </c>
    </row>
    <row r="23" customFormat="false" ht="30" hidden="false" customHeight="true" outlineLevel="0" collapsed="false">
      <c r="A23" s="13" t="s">
        <v>53</v>
      </c>
      <c r="B23" s="14" t="s">
        <v>126</v>
      </c>
      <c r="C23" s="14"/>
      <c r="D23" s="14"/>
      <c r="E23" s="14"/>
      <c r="F23" s="14"/>
      <c r="G23" s="14"/>
    </row>
    <row r="25" customFormat="false" ht="33.75" hidden="false" customHeight="true" outlineLevel="0" collapsed="false">
      <c r="A25" s="7" t="s">
        <v>127</v>
      </c>
      <c r="B25" s="7"/>
      <c r="C25" s="7"/>
      <c r="D25" s="7"/>
      <c r="E25" s="7"/>
      <c r="F25" s="12"/>
      <c r="G25" s="11" t="str">
        <f aca="false">IF(F25="","",IF(ABS(F25-(90787))&lt;=2,"Riktig","Prøv igjen"))</f>
        <v/>
      </c>
    </row>
    <row r="26" customFormat="false" ht="42.75" hidden="false" customHeight="true" outlineLevel="0" collapsed="false">
      <c r="A26" s="13" t="s">
        <v>53</v>
      </c>
      <c r="B26" s="14" t="s">
        <v>128</v>
      </c>
      <c r="C26" s="14"/>
      <c r="D26" s="14"/>
      <c r="E26" s="14"/>
      <c r="F26" s="14"/>
      <c r="G26" s="14"/>
    </row>
    <row r="28" customFormat="false" ht="78.75" hidden="false" customHeight="true" outlineLevel="0" collapsed="false">
      <c r="A28" s="7" t="s">
        <v>129</v>
      </c>
      <c r="B28" s="7"/>
      <c r="C28" s="7"/>
      <c r="D28" s="7"/>
      <c r="E28" s="7"/>
      <c r="F28" s="10"/>
      <c r="G28" s="11" t="str">
        <f aca="false">IF(F28="","",IF(UPPER(TRIM(F28))="B","Riktig","Prøv igjen"))</f>
        <v/>
      </c>
    </row>
    <row r="29" customFormat="false" ht="33.75" hidden="false" customHeight="true" outlineLevel="0" collapsed="false">
      <c r="A29" s="7" t="s">
        <v>130</v>
      </c>
      <c r="B29" s="7"/>
      <c r="C29" s="7"/>
      <c r="D29" s="7"/>
      <c r="E29" s="7"/>
    </row>
    <row r="30" customFormat="false" ht="15" hidden="false" customHeight="false" outlineLevel="0" collapsed="false">
      <c r="A30" s="15"/>
      <c r="B30" s="15"/>
      <c r="C30" s="15"/>
      <c r="D30" s="15"/>
      <c r="E30" s="15"/>
      <c r="F30" s="15"/>
      <c r="G30" s="15"/>
    </row>
    <row r="31" customFormat="false" ht="15" hidden="false" customHeight="false" outlineLevel="0" collapsed="false">
      <c r="A31" s="15"/>
      <c r="B31" s="15"/>
      <c r="C31" s="15"/>
      <c r="D31" s="15"/>
      <c r="E31" s="15"/>
      <c r="F31" s="15"/>
      <c r="G31" s="15"/>
    </row>
    <row r="32" customFormat="false" ht="15" hidden="false" customHeight="false" outlineLevel="0" collapsed="false">
      <c r="A32" s="15"/>
      <c r="B32" s="15"/>
      <c r="C32" s="15"/>
      <c r="D32" s="15"/>
      <c r="E32" s="15"/>
      <c r="F32" s="15"/>
      <c r="G32" s="15"/>
    </row>
    <row r="33" customFormat="false" ht="30" hidden="false" customHeight="true" outlineLevel="0" collapsed="false">
      <c r="A33" s="13" t="s">
        <v>53</v>
      </c>
      <c r="B33" s="14" t="s">
        <v>131</v>
      </c>
      <c r="C33" s="14"/>
      <c r="D33" s="14"/>
      <c r="E33" s="14"/>
      <c r="F33" s="14"/>
      <c r="G33" s="14"/>
    </row>
    <row r="36" customFormat="false" ht="15" hidden="false" customHeight="false" outlineLevel="0" collapsed="false">
      <c r="A36" s="16" t="s">
        <v>58</v>
      </c>
      <c r="B36" s="16"/>
      <c r="C36" s="16"/>
      <c r="D36" s="16"/>
      <c r="E36" s="16"/>
      <c r="F36" s="16"/>
      <c r="G36" s="16"/>
    </row>
    <row r="37" customFormat="false" ht="30" hidden="false" customHeight="true" outlineLevel="0" collapsed="false">
      <c r="A37" s="17" t="s">
        <v>132</v>
      </c>
      <c r="B37" s="18" t="s">
        <v>133</v>
      </c>
      <c r="C37" s="18"/>
      <c r="D37" s="18"/>
      <c r="E37" s="18"/>
      <c r="F37" s="18"/>
      <c r="G37" s="18"/>
    </row>
    <row r="38" customFormat="false" ht="30" hidden="false" customHeight="true" outlineLevel="0" collapsed="false">
      <c r="A38" s="17" t="s">
        <v>134</v>
      </c>
      <c r="B38" s="18" t="s">
        <v>135</v>
      </c>
      <c r="C38" s="18"/>
      <c r="D38" s="18"/>
      <c r="E38" s="18"/>
      <c r="F38" s="18"/>
      <c r="G38" s="18"/>
    </row>
    <row r="40" customFormat="false" ht="48.75" hidden="false" customHeight="true" outlineLevel="0" collapsed="false">
      <c r="A40" s="6" t="s">
        <v>136</v>
      </c>
      <c r="B40" s="6"/>
      <c r="C40" s="6"/>
      <c r="D40" s="6"/>
      <c r="E40" s="6"/>
      <c r="F40" s="6"/>
      <c r="G40" s="6"/>
    </row>
    <row r="41" customFormat="false" ht="15" hidden="false" customHeight="true" outlineLevel="0" collapsed="false">
      <c r="A41" s="6" t="s">
        <v>64</v>
      </c>
      <c r="B41" s="6"/>
      <c r="C41" s="6"/>
      <c r="D41" s="6"/>
      <c r="E41" s="6"/>
      <c r="F41" s="6"/>
      <c r="G41" s="6"/>
    </row>
  </sheetData>
  <mergeCells count="19">
    <mergeCell ref="A4:G4"/>
    <mergeCell ref="A5:G5"/>
    <mergeCell ref="A16:G16"/>
    <mergeCell ref="A18:E18"/>
    <mergeCell ref="A19:E19"/>
    <mergeCell ref="B20:G20"/>
    <mergeCell ref="A22:E22"/>
    <mergeCell ref="B23:G23"/>
    <mergeCell ref="A25:E25"/>
    <mergeCell ref="B26:G26"/>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137</v>
      </c>
    </row>
    <row r="2" customFormat="false" ht="15" hidden="false" customHeight="false" outlineLevel="0" collapsed="false">
      <c r="A2" s="2" t="s">
        <v>21</v>
      </c>
    </row>
    <row r="4" customFormat="false" ht="78.75" hidden="false" customHeight="true" outlineLevel="0" collapsed="false">
      <c r="A4" s="6" t="s">
        <v>138</v>
      </c>
      <c r="B4" s="6"/>
      <c r="C4" s="6"/>
      <c r="D4" s="6"/>
      <c r="E4" s="6"/>
      <c r="F4" s="6"/>
      <c r="G4" s="6"/>
    </row>
    <row r="5" customFormat="false" ht="93.75" hidden="false" customHeight="true" outlineLevel="0" collapsed="false">
      <c r="A5" s="7" t="s">
        <v>139</v>
      </c>
      <c r="B5" s="7"/>
      <c r="C5" s="7"/>
      <c r="D5" s="7"/>
      <c r="E5" s="7"/>
      <c r="F5" s="7"/>
      <c r="G5" s="7"/>
    </row>
    <row r="7" customFormat="false" ht="26.85" hidden="false" customHeight="false" outlineLevel="0" collapsed="false">
      <c r="A7" s="19" t="s">
        <v>140</v>
      </c>
      <c r="B7" s="20" t="s">
        <v>141</v>
      </c>
      <c r="C7" s="20" t="s">
        <v>28</v>
      </c>
      <c r="D7" s="20" t="s">
        <v>142</v>
      </c>
    </row>
    <row r="8" customFormat="false" ht="15" hidden="false" customHeight="false" outlineLevel="0" collapsed="false">
      <c r="A8" s="21" t="s">
        <v>143</v>
      </c>
      <c r="B8" s="22" t="n">
        <v>3</v>
      </c>
      <c r="C8" s="22" t="n">
        <v>8000</v>
      </c>
      <c r="D8" s="22" t="n">
        <v>2500</v>
      </c>
    </row>
    <row r="9" customFormat="false" ht="15" hidden="false" customHeight="false" outlineLevel="0" collapsed="false">
      <c r="A9" s="24" t="s">
        <v>144</v>
      </c>
      <c r="B9" s="25" t="n">
        <v>6</v>
      </c>
      <c r="C9" s="25" t="n">
        <v>6000</v>
      </c>
      <c r="D9" s="25" t="n">
        <v>3000</v>
      </c>
    </row>
    <row r="10" customFormat="false" ht="15" hidden="false" customHeight="false" outlineLevel="0" collapsed="false">
      <c r="A10" s="21" t="s">
        <v>145</v>
      </c>
      <c r="B10" s="22" t="n">
        <v>2</v>
      </c>
      <c r="C10" s="22" t="n">
        <v>500</v>
      </c>
      <c r="D10" s="22" t="n">
        <v>700</v>
      </c>
    </row>
    <row r="11" customFormat="false" ht="15" hidden="false" customHeight="false" outlineLevel="0" collapsed="false">
      <c r="A11" s="24" t="s">
        <v>146</v>
      </c>
      <c r="B11" s="25" t="n">
        <v>20</v>
      </c>
      <c r="C11" s="25" t="n">
        <v>2000</v>
      </c>
      <c r="D11" s="25" t="n">
        <v>6400</v>
      </c>
    </row>
    <row r="12" customFormat="false" ht="15" hidden="false" customHeight="false" outlineLevel="0" collapsed="false">
      <c r="A12" s="21" t="s">
        <v>147</v>
      </c>
      <c r="B12" s="23"/>
      <c r="C12" s="23"/>
      <c r="D12" s="22" t="n">
        <v>380</v>
      </c>
    </row>
    <row r="13" customFormat="false" ht="15" hidden="false" customHeight="false" outlineLevel="0" collapsed="false">
      <c r="A13" s="24" t="s">
        <v>148</v>
      </c>
      <c r="B13" s="26"/>
      <c r="C13" s="26"/>
      <c r="D13" s="25" t="n">
        <v>40000</v>
      </c>
    </row>
    <row r="14" customFormat="false" ht="15" hidden="false" customHeight="false" outlineLevel="0" collapsed="false">
      <c r="A14" s="21" t="s">
        <v>149</v>
      </c>
      <c r="B14" s="23"/>
      <c r="C14" s="23"/>
      <c r="D14" s="23" t="s">
        <v>150</v>
      </c>
    </row>
    <row r="15" customFormat="false" ht="15" hidden="false" customHeight="true" outlineLevel="0" collapsed="false">
      <c r="A15" s="6" t="s">
        <v>122</v>
      </c>
      <c r="B15" s="6"/>
      <c r="C15" s="6"/>
      <c r="D15" s="6"/>
      <c r="E15" s="6"/>
      <c r="F15" s="6"/>
      <c r="G15" s="6"/>
    </row>
    <row r="17" customFormat="false" ht="15" hidden="false" customHeight="false" outlineLevel="0" collapsed="false">
      <c r="A17" s="8" t="s">
        <v>42</v>
      </c>
      <c r="B17" s="8"/>
      <c r="C17" s="8"/>
      <c r="D17" s="8"/>
      <c r="E17" s="8"/>
      <c r="F17" s="8" t="s">
        <v>43</v>
      </c>
      <c r="G17" s="8" t="s">
        <v>44</v>
      </c>
    </row>
    <row r="18" customFormat="false" ht="18.75" hidden="false" customHeight="true" outlineLevel="0" collapsed="false">
      <c r="A18" s="7" t="s">
        <v>151</v>
      </c>
      <c r="B18" s="7"/>
      <c r="C18" s="7"/>
      <c r="D18" s="7"/>
      <c r="E18" s="7"/>
      <c r="F18" s="12"/>
      <c r="G18" s="11" t="str">
        <f aca="false">IF(F18="","",IF(ABS(F18-(833))&lt;=1,"Riktig","Prøv igjen"))</f>
        <v/>
      </c>
    </row>
    <row r="19" customFormat="false" ht="30" hidden="false" customHeight="true" outlineLevel="0" collapsed="false">
      <c r="A19" s="13" t="s">
        <v>53</v>
      </c>
      <c r="B19" s="14" t="s">
        <v>152</v>
      </c>
      <c r="C19" s="14"/>
      <c r="D19" s="14"/>
      <c r="E19" s="14"/>
      <c r="F19" s="14"/>
      <c r="G19" s="14"/>
    </row>
    <row r="21" customFormat="false" ht="18.75" hidden="false" customHeight="true" outlineLevel="0" collapsed="false">
      <c r="A21" s="7" t="s">
        <v>153</v>
      </c>
      <c r="B21" s="7"/>
      <c r="C21" s="7"/>
      <c r="D21" s="7"/>
      <c r="E21" s="7"/>
      <c r="F21" s="12"/>
      <c r="G21" s="11" t="str">
        <f aca="false">IF(F21="","",IF(ABS(F21-(350))&lt;=0.000000001,"Riktig","Prøv igjen"))</f>
        <v/>
      </c>
    </row>
    <row r="22" customFormat="false" ht="16.5" hidden="false" customHeight="true" outlineLevel="0" collapsed="false">
      <c r="A22" s="13" t="s">
        <v>53</v>
      </c>
      <c r="B22" s="14" t="s">
        <v>154</v>
      </c>
      <c r="C22" s="14"/>
      <c r="D22" s="14"/>
      <c r="E22" s="14"/>
      <c r="F22" s="14"/>
      <c r="G22" s="14"/>
    </row>
    <row r="24" customFormat="false" ht="63.75" hidden="false" customHeight="true" outlineLevel="0" collapsed="false">
      <c r="A24" s="7" t="s">
        <v>155</v>
      </c>
      <c r="B24" s="7"/>
      <c r="C24" s="7"/>
      <c r="D24" s="7"/>
      <c r="E24" s="7"/>
      <c r="F24" s="10"/>
      <c r="G24" s="11" t="str">
        <f aca="false">IF(F24="","",IF(UPPER(TRIM(F24))="B","Riktig","Prøv igjen"))</f>
        <v/>
      </c>
    </row>
    <row r="25" customFormat="false" ht="78.75" hidden="false" customHeight="true" outlineLevel="0" collapsed="false">
      <c r="A25" s="7" t="s">
        <v>156</v>
      </c>
      <c r="B25" s="7"/>
      <c r="C25" s="7"/>
      <c r="D25" s="7"/>
      <c r="E25" s="7"/>
      <c r="F25" s="10"/>
      <c r="G25" s="11" t="str">
        <f aca="false">IF(F25="","",IF(UPPER(TRIM(F25))="B","Riktig","Prøv igjen"))</f>
        <v/>
      </c>
    </row>
    <row r="26" customFormat="false" ht="33.75" hidden="false" customHeight="true" outlineLevel="0" collapsed="false">
      <c r="A26" s="7" t="s">
        <v>157</v>
      </c>
      <c r="B26" s="7"/>
      <c r="C26" s="7"/>
      <c r="D26" s="7"/>
      <c r="E26" s="7"/>
    </row>
    <row r="27" customFormat="false" ht="15" hidden="false" customHeight="false" outlineLevel="0" collapsed="false">
      <c r="A27" s="15"/>
      <c r="B27" s="15"/>
      <c r="C27" s="15"/>
      <c r="D27" s="15"/>
      <c r="E27" s="15"/>
      <c r="F27" s="15"/>
      <c r="G27" s="15"/>
    </row>
    <row r="28" customFormat="false" ht="15" hidden="false" customHeight="false" outlineLevel="0" collapsed="false">
      <c r="A28" s="15"/>
      <c r="B28" s="15"/>
      <c r="C28" s="15"/>
      <c r="D28" s="15"/>
      <c r="E28" s="15"/>
      <c r="F28" s="15"/>
      <c r="G28" s="15"/>
    </row>
    <row r="29" customFormat="false" ht="15" hidden="false" customHeight="false" outlineLevel="0" collapsed="false">
      <c r="A29" s="15"/>
      <c r="B29" s="15"/>
      <c r="C29" s="15"/>
      <c r="D29" s="15"/>
      <c r="E29" s="15"/>
      <c r="F29" s="15"/>
      <c r="G29" s="15"/>
    </row>
    <row r="30" customFormat="false" ht="30" hidden="false" customHeight="true" outlineLevel="0" collapsed="false">
      <c r="A30" s="13" t="s">
        <v>53</v>
      </c>
      <c r="B30" s="14" t="s">
        <v>158</v>
      </c>
      <c r="C30" s="14"/>
      <c r="D30" s="14"/>
      <c r="E30" s="14"/>
      <c r="F30" s="14"/>
      <c r="G30" s="14"/>
    </row>
    <row r="33" customFormat="false" ht="15" hidden="false" customHeight="false" outlineLevel="0" collapsed="false">
      <c r="A33" s="16" t="s">
        <v>58</v>
      </c>
      <c r="B33" s="16"/>
      <c r="C33" s="16"/>
      <c r="D33" s="16"/>
      <c r="E33" s="16"/>
      <c r="F33" s="16"/>
      <c r="G33" s="16"/>
    </row>
    <row r="34" customFormat="false" ht="30" hidden="false" customHeight="true" outlineLevel="0" collapsed="false">
      <c r="A34" s="17" t="s">
        <v>132</v>
      </c>
      <c r="B34" s="18" t="s">
        <v>159</v>
      </c>
      <c r="C34" s="18"/>
      <c r="D34" s="18"/>
      <c r="E34" s="18"/>
      <c r="F34" s="18"/>
      <c r="G34" s="18"/>
    </row>
    <row r="35" customFormat="false" ht="30" hidden="false" customHeight="true" outlineLevel="0" collapsed="false">
      <c r="A35" s="17" t="s">
        <v>160</v>
      </c>
      <c r="B35" s="18" t="s">
        <v>161</v>
      </c>
      <c r="C35" s="18"/>
      <c r="D35" s="18"/>
      <c r="E35" s="18"/>
      <c r="F35" s="18"/>
      <c r="G35" s="18"/>
    </row>
    <row r="37" customFormat="false" ht="63.75" hidden="false" customHeight="true" outlineLevel="0" collapsed="false">
      <c r="A37" s="6" t="s">
        <v>162</v>
      </c>
      <c r="B37" s="6"/>
      <c r="C37" s="6"/>
      <c r="D37" s="6"/>
      <c r="E37" s="6"/>
      <c r="F37" s="6"/>
      <c r="G37" s="6"/>
    </row>
    <row r="38" customFormat="false" ht="15" hidden="false" customHeight="true" outlineLevel="0" collapsed="false">
      <c r="A38" s="6" t="s">
        <v>64</v>
      </c>
      <c r="B38" s="6"/>
      <c r="C38" s="6"/>
      <c r="D38" s="6"/>
      <c r="E38" s="6"/>
      <c r="F38" s="6"/>
      <c r="G38" s="6"/>
    </row>
  </sheetData>
  <mergeCells count="18">
    <mergeCell ref="A4:G4"/>
    <mergeCell ref="A5:G5"/>
    <mergeCell ref="A15:G15"/>
    <mergeCell ref="A17:E17"/>
    <mergeCell ref="A18:E18"/>
    <mergeCell ref="B19:G19"/>
    <mergeCell ref="A21:E21"/>
    <mergeCell ref="B22:G22"/>
    <mergeCell ref="A24:E24"/>
    <mergeCell ref="A25:E25"/>
    <mergeCell ref="A26:E26"/>
    <mergeCell ref="A27:G29"/>
    <mergeCell ref="B30:G30"/>
    <mergeCell ref="A33:G33"/>
    <mergeCell ref="B34:G34"/>
    <mergeCell ref="B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2026-10-13T12:12:36Z</dcterms:created>
  <dc:creator>openpyxl</dc:creator>
  <dc:description/>
  <dc:language>en-US</dc:language>
  <cp:lastModifiedBy/>
  <dcterms:modified xsi:type="dcterms:W3CDTF">2026-10-13T12:12:36Z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