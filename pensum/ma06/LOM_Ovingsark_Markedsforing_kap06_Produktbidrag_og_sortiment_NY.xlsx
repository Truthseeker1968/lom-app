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Sortimentet" sheetId="3" state="visible" r:id="rId5"/>
    <sheet name="Produktbidrag" sheetId="4" state="visible" r:id="rId6"/>
    <sheet name="Scenario" sheetId="5" state="visible" r:id="rId7"/>
    <sheet name="Din egen men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<sst xmlns="http://schemas.openxmlformats.org/spreadsheetml/2006/main" count="271" uniqueCount="238">
  <si>
    <t xml:space="preserve">Hva gir ett oppdrag per montørtime? Den enkle versjonen</t>
  </si>
  <si>
    <t xml:space="preserve">Fyll inn de seks gule cellene. Svaret står i den grønne. Alt annet regner seg selv. Vil du gå dypere, ligger hele modellen i arkene bak.</t>
  </si>
  <si>
    <t xml:space="preserve">Det du vet</t>
  </si>
  <si>
    <t xml:space="preserve">Hva betaler kunden for oppdraget, uten mva.?</t>
  </si>
  <si>
    <t xml:space="preserve">Tallet som ligger inne, er et typisk boligoppdrag.</t>
  </si>
  <si>
    <t xml:space="preserve">Hva koster materiellet?</t>
  </si>
  <si>
    <t xml:space="preserve">Innkjøpsprisen for materiellet på jobben.</t>
  </si>
  <si>
    <t xml:space="preserve">Hvor mange montørtimer tar jobben?</t>
  </si>
  <si>
    <t xml:space="preserve">Timene montøren står på jobben.</t>
  </si>
  <si>
    <t xml:space="preserve">Hva koster en montørtime bedriften?</t>
  </si>
  <si>
    <t xml:space="preserve">Lønn med feriepenger, arbeidsgiveravgift og pensjon. Ikke timeprisen til kunden.</t>
  </si>
  <si>
    <t xml:space="preserve">Hva er dekningsbidraget for hele bedriften i året?</t>
  </si>
  <si>
    <t xml:space="preserve">Brukes bare til å finne snittet per time.</t>
  </si>
  <si>
    <t xml:space="preserve">Hvor mange montørtimer fakturerer bedriften i året?</t>
  </si>
  <si>
    <t xml:space="preserve">Den knappe faktoren.</t>
  </si>
  <si>
    <t xml:space="preserve">Regnestykket</t>
  </si>
  <si>
    <t xml:space="preserve">Det montørtimene koster</t>
  </si>
  <si>
    <t xml:space="preserve">Timer ganger det en time koster bedriften.</t>
  </si>
  <si>
    <t xml:space="preserve">Materiell og timer til sammen</t>
  </si>
  <si>
    <t xml:space="preserve">Det jobben selv koster. Kalles merkost.</t>
  </si>
  <si>
    <t xml:space="preserve">Dekningsbidrag på oppdraget</t>
  </si>
  <si>
    <t xml:space="preserve">Det som er igjen av prisen.</t>
  </si>
  <si>
    <t xml:space="preserve">DEKNINGSBIDRAG PER MONTØRTIME</t>
  </si>
  <si>
    <t xml:space="preserve">Kroner per time av det bedriften har minst av.</t>
  </si>
  <si>
    <t xml:space="preserve">Snittet for hele bedriften per montørtime</t>
  </si>
  <si>
    <t xml:space="preserve">Ligger oppdraget under dette, bæres det av de andre tjenestene.</t>
  </si>
  <si>
    <t xml:space="preserve">Hva svaret betyr</t>
  </si>
  <si>
    <t xml:space="preserve">Prøv selv</t>
  </si>
  <si>
    <t xml:space="preserve">1. Regn serviceoppdraget på et næringsbygg: sett B5 til 18 500, B6 til 7 360 og B7 til 6.</t>
  </si>
  <si>
    <t xml:space="preserve">2. Regn antenneoppdraget: sett B5 til 4 800, B6 til 1 500 og B7 til 4. Over eller under snittet?</t>
  </si>
  <si>
    <t xml:space="preserve">3. Tilbake til boligoppdraget. En konkurrent er 10 % billigere. Sett B5 til 6 138. Hva er igjen per time?</t>
  </si>
  <si>
    <t xml:space="preserve">Tallene er Nordlys Elektro AS sine for 2026 (regnearket «Produktbidrag og sortiment» og presentasjonen til kap. 6). Kilde: Markedsføring, organisasjon og ledelse for LØM-emnet, kap. 6, og Økonomistyring for LØM-emnet, kap. 7. Nordlys Elektro AS er en konstruert casebedrift.</t>
  </si>
  <si>
    <t xml:space="preserve">Produktbidrag og sortiment</t>
  </si>
  <si>
    <t xml:space="preserve">LØM Markedsføring kap. 6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</si>
  <si>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</si>
  <si>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</si>
  <si>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</si>
  <si>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</si>
  <si>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</si>
  <si>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</si>
  <si>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</si>
  <si>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</si>
  <si>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</si>
  <si>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</si>
  <si>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ett oppdrag gir per montørtime, regnet på den enkleste måten.</t>
  </si>
  <si>
    <t xml:space="preserve">Sortimentet</t>
  </si>
  <si>
    <t xml:space="preserve">Bredden, dybden og hvordan omsetningen fordeler seg på de seks tjenestegruppene. Her ser du hvor kronene ligger.</t>
  </si>
  <si>
    <t xml:space="preserve">Produktbidrag</t>
  </si>
  <si>
    <t xml:space="preserve">DET VIKTIGSTE ARKET. Dekningsbidrag per montørtime for ett typeoppdrag fra hver tjeneste, målt mot bedriftens eget snitt. Her ser du hvem som bærer hvem.</t>
  </si>
  <si>
    <t xml:space="preserve">Scenario</t>
  </si>
  <si>
    <t xml:space="preserve">Tre spørsmål: skal antenneanlegg saneres, skal en billigere konkurrent møtes med pris eller med produkt, og hva koster det å satse på en ny tjeneste.</t>
  </si>
  <si>
    <t xml:space="preserve">Din egen meny</t>
  </si>
  <si>
    <t xml:space="preserve">Samme oppsett, tomt. Legg inn tjenestene til din egen bedrift.</t>
  </si>
  <si>
    <t xml:space="preserve">Tallene som ligger inne er Nordlys Elektro AS sine egne for 2026.</t>
  </si>
  <si>
    <t xml:space="preserve">Omsetningen, dekningsbidraget og de fakturerte montørtimene er de samme som i Økonomistyring kapittel 2, 3 og 5.</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</si>
  <si>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</si>
  <si>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</si>
  <si>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innsikten</t>
  </si>
  <si>
    <t xml:space="preserve">Produktbidrag!B8</t>
  </si>
  <si>
    <t xml:space="preserve">Dekningsbidrag per fakturert montørtime</t>
  </si>
  <si>
    <t xml:space="preserve">Bedriftens eget snitt. En tjeneste som gir mindre enn dette per montørtime, blir båret av de andre. Sortimentet forteller hvor omsetningen ligger; denne cellen forteller hvor lønnsomheten ligger.</t>
  </si>
  <si>
    <t xml:space="preserve">De to er ikke det samme, og det er hele grunnen til at arket finnes: den største tjenestegruppen i omsetning er den svakeste per montørtime.</t>
  </si>
  <si>
    <t xml:space="preserve">Hvilken oppgave bruker hvilket ark</t>
  </si>
  <si>
    <t xml:space="preserve">Oppgave i øvingsheftet</t>
  </si>
  <si>
    <t xml:space="preserve">Ark</t>
  </si>
  <si>
    <t xml:space="preserve">Celler du endrer og leser av</t>
  </si>
  <si>
    <t xml:space="preserve">A2 · Klasseoppgave: plasser tjenestene i kurven</t>
  </si>
  <si>
    <t xml:space="preserve">Les kolonne E. Prøv å endre andelene i kolonne B og se hva som skjer med omsetningen i kolonne C.</t>
  </si>
  <si>
    <t xml:space="preserve">3 · Bredde, dybde og konsistens</t>
  </si>
  <si>
    <t xml:space="preserve">Endre B8 til B13 og D8 til D13. Les av B17, B18 og B19.</t>
  </si>
  <si>
    <t xml:space="preserve">4 · Plasser tjenestene i livssyklusen</t>
  </si>
  <si>
    <t xml:space="preserve">Sortimentet og Scenario</t>
  </si>
  <si>
    <t xml:space="preserve">Sortimentet kolonne E. Saneringsspørsmålet regnes i scenario A: B7 til B15.</t>
  </si>
  <si>
    <t xml:space="preserve">5 · Eksamensnær: konkurrenten er billigere</t>
  </si>
  <si>
    <t xml:space="preserve">Scenario B: endre B30 og C30, og les av B33, C33, B35, C35 og dommen i E39.</t>
  </si>
  <si>
    <t xml:space="preserve">Alle oppgaver</t>
  </si>
  <si>
    <t xml:space="preserve">Endre C12 til E19. Les av kolonne G, I og J, og oppsummeringen i B23 til B29.</t>
  </si>
  <si>
    <t xml:space="preserve">Kontrollradene</t>
  </si>
  <si>
    <t xml:space="preserve">Hvert ark har en kontrollblokk nederst. Står det OK, henger tallene sammen. Står det AVVIK, farges cellen rød, og teksten sier hva som ikke går opp.</t>
  </si>
  <si>
    <t xml:space="preserve">Ett unntak: kontrollen i arket «Din egen meny» står på AVVIK til du har fylt inn dine egne tall. Arket er tomt når du får det.</t>
  </si>
  <si>
    <t xml:space="preserve">Kontroller i arbeidsboka: Sortimentet C24, Sortimentet C25, Sortimentet C26, Sortimentet C27, Produktbidrag C32, Produktbidrag C33, Produktbidrag C34, Produktbidrag C35, Scenario C18, Scenario C42, Scenario C43, Scenario C59, Scenario C60, Din egen meny C22, Din egen meny C23</t>
  </si>
  <si>
    <t xml:space="preserve">Kilder</t>
  </si>
  <si>
    <t xml:space="preserve">Hjertnes, Frode: Markedsføring, organisasjon og ledelse for LØM-emnet, 4. utgave, kapittel 6 «Produkt som konkurransevirkemiddel», avsnitt 6.1 til 6.9.</t>
  </si>
  <si>
    <t xml:space="preserve">Dekningsbidrag, montørtimer og kostsats: Bok 1 kapittel 2 og 5. 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</si>
  <si>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begge bøkene.</t>
  </si>
  <si>
    <t xml:space="preserve">Sortimentet: bredde, dybde og omsetning</t>
  </si>
  <si>
    <t xml:space="preserve">Seks tjenestegrupper. Endre de gule cellene — alt annet regner seg selv.</t>
  </si>
  <si>
    <t xml:space="preserve">Salgsinntekt 2026 (Bok 1 kap. 3)</t>
  </si>
  <si>
    <t xml:space="preserve">Nordlys Elektro AS sin egen omsetning. Gruppene deler denne summen.</t>
  </si>
  <si>
    <t xml:space="preserve">1 · Bredden og dybden</t>
  </si>
  <si>
    <t xml:space="preserve">Tjenestegruppe</t>
  </si>
  <si>
    <t xml:space="preserve">Andel av omsetningen</t>
  </si>
  <si>
    <t xml:space="preserve">Omsetning 2026</t>
  </si>
  <si>
    <t xml:space="preserve">Varianter (dybde)</t>
  </si>
  <si>
    <t xml:space="preserve">Fase i livssyklusen</t>
  </si>
  <si>
    <t xml:space="preserve">Kjernebehovet gruppen dekker</t>
  </si>
  <si>
    <t xml:space="preserve">Boliginstallasjon og rehabilitering</t>
  </si>
  <si>
    <t xml:space="preserve">Modning</t>
  </si>
  <si>
    <t xml:space="preserve">Trygghet for at det ikke begynner å brenne, og strøm nok til det familien faktisk bruker.</t>
  </si>
  <si>
    <t xml:space="preserve">Prosjekt og nybygg</t>
  </si>
  <si>
    <t xml:space="preserve">At byggeprosjektet blir ferdig til avtalt dato uten avvik ved overtakelsen.</t>
  </si>
  <si>
    <t xml:space="preserve">Service og feilsøking</t>
  </si>
  <si>
    <t xml:space="preserve">At bygget er i drift igjen i dag, ikke på fredag.</t>
  </si>
  <si>
    <t xml:space="preserve">El-kontroll og dokumentasjon</t>
  </si>
  <si>
    <t xml:space="preserve">Et papir som holder overfor forsikringsselskapet og tilsynsmyndigheten.</t>
  </si>
  <si>
    <t xml:space="preserve">Solcelle og lading</t>
  </si>
  <si>
    <t xml:space="preserve">Vekst</t>
  </si>
  <si>
    <t xml:space="preserve">Lavere strømregning, og en bil som er ladet når den skal brukes.</t>
  </si>
  <si>
    <t xml:space="preserve">Antenne- og koaksanlegg</t>
  </si>
  <si>
    <t xml:space="preserve">Tilbakegang</t>
  </si>
  <si>
    <t xml:space="preserve">Et bilde på skjermen — et behov fiberen nå dekker bedre.</t>
  </si>
  <si>
    <t xml:space="preserve">= Sum</t>
  </si>
  <si>
    <t xml:space="preserve">2 · Bredde, dybde og konsistens i tall</t>
  </si>
  <si>
    <t xml:space="preserve">Bredde — antall tjenestegrupper</t>
  </si>
  <si>
    <t xml:space="preserve">Antall forskjellige behov bedriften dekker.</t>
  </si>
  <si>
    <t xml:space="preserve">Dybde — antall varianter til sammen</t>
  </si>
  <si>
    <t xml:space="preserve">Antall varianter innenfor gruppene til sammen.</t>
  </si>
  <si>
    <t xml:space="preserve">Gjennomsnittlig dybde per gruppe</t>
  </si>
  <si>
    <t xml:space="preserve">Allmennpraktikeren har stor bredde og liten dybde. Øyelegen har det motsatte. Hvor ligger din bedrift?</t>
  </si>
  <si>
    <t xml:space="preserve">Største gruppe, andel av omsetningen</t>
  </si>
  <si>
    <t xml:space="preserve">Minste gruppe, andel av omsetningen</t>
  </si>
  <si>
    <t xml:space="preserve">Den minste gruppen er den som er i tilbakegang. Se arket Produktbidrag før du bestemmer deg for hva du gjør med den.</t>
  </si>
  <si>
    <t xml:space="preserve">Kontroll</t>
  </si>
  <si>
    <t xml:space="preserve">Summerer andelene seg til hundre prosent?</t>
  </si>
  <si>
    <t xml:space="preserve">Stemmer summen med salgsinntekten?</t>
  </si>
  <si>
    <t xml:space="preserve">Er tjenesten i tilbakegang den minste?</t>
  </si>
  <si>
    <t xml:space="preserve">Har alle gruppene noe dybde?</t>
  </si>
  <si>
    <t xml:space="preserve">Prøv dette: sett andelen til antenne- og koaksanlegg til null og fordel de to prosentene på solcelle og lading. Det er saneringsvedtaket, uttrykt i tall.</t>
  </si>
  <si>
    <t xml:space="preserve">Kilde: Hjertnes, Markedsføring, organisasjon og ledelse for LØM-emnet, 4. utg., kap. 6.5 om sortimentets bredde, dybde og konsistens. Omsetningen er Nordlys Elektro AS sin egen for 2026.</t>
  </si>
  <si>
    <t xml:space="preserve">Hvilke tjenester bærer bedriften?</t>
  </si>
  <si>
    <t xml:space="preserve">Dekningsbidrag per montørtime. Montørtimene er det knappe, ikke kronene.</t>
  </si>
  <si>
    <t xml:space="preserve">1 · Forutsetninger</t>
  </si>
  <si>
    <t xml:space="preserve">Kostsats per montørtime</t>
  </si>
  <si>
    <t xml:space="preserve">Dekningsbidrag 2026, hele bedriften (Bok 1 kap. 2)</t>
  </si>
  <si>
    <t xml:space="preserve">Fakturerte montørtimer 2026</t>
  </si>
  <si>
    <t xml:space="preserve">= Dekningsbidrag per fakturert montørtime</t>
  </si>
  <si>
    <t xml:space="preserve">Målestokken. Alt som ligger under denne, tapper bedriften for bidrag hver time montøren bruker på det.</t>
  </si>
  <si>
    <t xml:space="preserve">2 · Ett typeoppdrag fra hver tjeneste</t>
  </si>
  <si>
    <t xml:space="preserve">Typeoppdrag</t>
  </si>
  <si>
    <t xml:space="preserve">Fase</t>
  </si>
  <si>
    <t xml:space="preserve">Pris uten mva.</t>
  </si>
  <si>
    <t xml:space="preserve">Materiell</t>
  </si>
  <si>
    <t xml:space="preserve">Montørtimer</t>
  </si>
  <si>
    <t xml:space="preserve">Merkost (VEK)</t>
  </si>
  <si>
    <t xml:space="preserve">Dekningsbidrag</t>
  </si>
  <si>
    <t xml:space="preserve">Dekningsgrad</t>
  </si>
  <si>
    <t xml:space="preserve">DB per montørtime</t>
  </si>
  <si>
    <t xml:space="preserve">Mot snittet</t>
  </si>
  <si>
    <t xml:space="preserve">Boliginstallasjon, typisk oppdrag</t>
  </si>
  <si>
    <t xml:space="preserve">Nybygg, én boenhet i et felt</t>
  </si>
  <si>
    <t xml:space="preserve">Serviceoppdrag på næringsbygg</t>
  </si>
  <si>
    <t xml:space="preserve">El-kontroll av bolig</t>
  </si>
  <si>
    <t xml:space="preserve">Solcelleanlegg på enebolig</t>
  </si>
  <si>
    <t xml:space="preserve">Ladepunkt i garasje</t>
  </si>
  <si>
    <t xml:space="preserve">Batterilagring og energistyring (ikke levert ennå)</t>
  </si>
  <si>
    <t xml:space="preserve">Introduksjon</t>
  </si>
  <si>
    <t xml:space="preserve">Anslag. Timetallet er høyt fordi den første jobben av et slag alltid går langsomt.</t>
  </si>
  <si>
    <t xml:space="preserve">3 · Hva tabellen sier</t>
  </si>
  <si>
    <t xml:space="preserve">Beste dekningsbidrag per montørtime</t>
  </si>
  <si>
    <t xml:space="preserve">Svakeste dekningsbidrag per montørtime</t>
  </si>
  <si>
    <t xml:space="preserve">Forskjell mellom beste og svakeste</t>
  </si>
  <si>
    <t xml:space="preserve">Så mye betyr det hvilken jobb montøren står på — per time, hele året.</t>
  </si>
  <si>
    <t xml:space="preserve">Typeoppdrag over snittet</t>
  </si>
  <si>
    <t xml:space="preserve">Typeoppdrag under snittet</t>
  </si>
  <si>
    <t xml:space="preserve">Hva ett år med bare den beste tjenesten ville gitt</t>
  </si>
  <si>
    <t xml:space="preserve">Et umulig tall — markedet er ikke så stort. Men det viser hvor mye sammensetningen av oppdragene betyr.</t>
  </si>
  <si>
    <t xml:space="preserve">Hva ett år med bare den svakeste ville gitt</t>
  </si>
  <si>
    <t xml:space="preserve">Har alle tjenestene positivt dekningsbidrag?</t>
  </si>
  <si>
    <t xml:space="preserve">Stemmer snittet med regnskapet for 2026?</t>
  </si>
  <si>
    <t xml:space="preserve">Ligger noen over og noen under snittet?</t>
  </si>
  <si>
    <t xml:space="preserve">Gir tjenesten i tilbakegang det svakeste bidraget?</t>
  </si>
  <si>
    <t xml:space="preserve">Prøv dette: sett montørtimene på nybygg i E13 ned med to. Se hva som skjer med DB per montørtime — og hvor lite som skal til før den svakeste tjenesten er en av de beste.</t>
  </si>
  <si>
    <t xml:space="preserve">Kilde: Hjertnes kap. 6 om produktnivåer, kvalitet og sortiment. Dekningsbidrag og montørtimer: Bok 1 kap. 2 og 5. Prisene på typeoppdragene er Nordlys Elektro AS sine egne.</t>
  </si>
  <si>
    <t xml:space="preserve">Tre scenarioer</t>
  </si>
  <si>
    <t xml:space="preserve">Endre de gule cellene og se hva som skjer. Alle tall hentes fra de andre arkene.</t>
  </si>
  <si>
    <t xml:space="preserve">Scenario A · saneres antenne- og koaksanlegg?</t>
  </si>
  <si>
    <t xml:space="preserve">Tjenesten er i tilbakegang og gir det svakeste bidraget per montørtime. Hva er den verdt, og hva ville timene gitt et annet sted?</t>
  </si>
  <si>
    <t xml:space="preserve">Antenneoppdrag i 2026</t>
  </si>
  <si>
    <t xml:space="preserve">Var 96 i 2022. Fiberen har overtatt behovet.</t>
  </si>
  <si>
    <t xml:space="preserve">Montørtimer per oppdrag</t>
  </si>
  <si>
    <t xml:space="preserve">Dekningsbidrag per oppdrag</t>
  </si>
  <si>
    <t xml:space="preserve">= Montørtimer tjenesten binder i året</t>
  </si>
  <si>
    <t xml:space="preserve">Andel av de fakturerte montørtimene</t>
  </si>
  <si>
    <t xml:space="preserve">Legg merke til hvor lite det er. Sanering handler om oppmerksomhet og kompetanse, ikke om kapasitet.</t>
  </si>
  <si>
    <t xml:space="preserve">= Dekningsbidrag tjenesten gir i året</t>
  </si>
  <si>
    <t xml:space="preserve">Dekningsbidrag per montørtime, beste tjeneste</t>
  </si>
  <si>
    <t xml:space="preserve">Hva de samme timene ville gitt der</t>
  </si>
  <si>
    <t xml:space="preserve">= Gevinst ved å flytte timene</t>
  </si>
  <si>
    <t xml:space="preserve">Forutsetter at det finnes oppdrag å flytte timene til. Gjør det ikke det, er gevinsten null og oppdraget verdt å ta.</t>
  </si>
  <si>
    <t xml:space="preserve">Lønner det seg å flytte timene?</t>
  </si>
  <si>
    <t xml:space="preserve">Scenario B · konkurrenten er billigere. Pris eller produkt?</t>
  </si>
  <si>
    <t xml:space="preserve">Den eksamensnære oppgaven i kapitlet. To svar på det samme presset, regnet mot hverandre.</t>
  </si>
  <si>
    <t xml:space="preserve">Oppdraget vi regner på: boliginstallasjon</t>
  </si>
  <si>
    <t xml:space="preserve">Pris uten mva., hentet fra arket Produktbidrag.</t>
  </si>
  <si>
    <t xml:space="preserve">Merkost på oppdraget</t>
  </si>
  <si>
    <t xml:space="preserve">Dekningsbidrag i dag</t>
  </si>
  <si>
    <t xml:space="preserve">Montørtimer på oppdraget</t>
  </si>
  <si>
    <t xml:space="preserve">Svar med prisen</t>
  </si>
  <si>
    <t xml:space="preserve">Svar med produktet</t>
  </si>
  <si>
    <t xml:space="preserve">Hva raden betyr</t>
  </si>
  <si>
    <t xml:space="preserve">Konkurrentens priskutt / produktløftets kostnad</t>
  </si>
  <si>
    <t xml:space="preserve">De to gule cellene er tiltaket. Til venstre en prosent av prisen, til høyre kroner per oppdrag.</t>
  </si>
  <si>
    <t xml:space="preserve">Pris til kunden etter tiltaket</t>
  </si>
  <si>
    <t xml:space="preserve">Produktløftet endrer ikke prisen. Det er hele forskjellen.</t>
  </si>
  <si>
    <t xml:space="preserve">Merkost etter tiltaket</t>
  </si>
  <si>
    <t xml:space="preserve">= Dekningsbidrag etter tiltaket</t>
  </si>
  <si>
    <t xml:space="preserve">Endring i dekningsbidrag</t>
  </si>
  <si>
    <t xml:space="preserve">= Nødvendig volumfaktor for å komme ut likt</t>
  </si>
  <si>
    <t xml:space="preserve">Gammelt dekningsbidrag delt på nytt. Så mange ganger så mange oppdrag må til.</t>
  </si>
  <si>
    <t xml:space="preserve">Nødvendig volumøkning</t>
  </si>
  <si>
    <t xml:space="preserve">Dekningsbidrag per montørtime etter tiltaket</t>
  </si>
  <si>
    <t xml:space="preserve">Mot snittet i bedriften</t>
  </si>
  <si>
    <t xml:space="preserve">Dom</t>
  </si>
  <si>
    <t xml:space="preserve">Er det fortsatt dekningsbidrag igjen etter prisavslaget?</t>
  </si>
  <si>
    <t xml:space="preserve">Koster produktløftet mindre enn bidraget?</t>
  </si>
  <si>
    <t xml:space="preserve">Scenario C · den nye tjenesten i introduksjonsfasen</t>
  </si>
  <si>
    <t xml:space="preserve">Batterilagring er ikke levert ennå. Prisen er et anslag, og den første jobben går langsomt.</t>
  </si>
  <si>
    <t xml:space="preserve">Mål for 2027, antall anlegg</t>
  </si>
  <si>
    <t xml:space="preserve">Dekningsbidrag per anlegg</t>
  </si>
  <si>
    <t xml:space="preserve">Montørtimer per anlegg</t>
  </si>
  <si>
    <t xml:space="preserve">= Dekningsbidrag i 2027</t>
  </si>
  <si>
    <t xml:space="preserve">= Montørtimer det binder</t>
  </si>
  <si>
    <t xml:space="preserve">Hva de samme timene ville gitt i den beste tjenesten</t>
  </si>
  <si>
    <t xml:space="preserve">= Alternativkostnaden ved å satse</t>
  </si>
  <si>
    <t xml:space="preserve">Dette er prisen på å bygge kompetanse. Den skal betales, men den skal være synlig når styret sier ja.</t>
  </si>
  <si>
    <t xml:space="preserve">Kostnad per anlegg for å lære</t>
  </si>
  <si>
    <t xml:space="preserve">Gir den nye tjenesten positivt bidrag fra første anlegg?</t>
  </si>
  <si>
    <t xml:space="preserve">Er alternativkostnaden synlig?</t>
  </si>
  <si>
    <t xml:space="preserve">Her SKAL det stå OK med tallene som ligger inne. Et anslag som gir bedre bidrag enn alt annet fra dag én, er nesten alltid for optimistisk.</t>
  </si>
  <si>
    <t xml:space="preserve">Kilde: Hjertnes kap. 6.6 om produktutvikling, 6.7 om livssyklusen og 6.8 om produktsanering. Dekningsbidrag per montørtime: Bok 1 kap. 2. Markedstall: NVE, «Solkraft», nve.no/energi/energisystem/solkraft (tall per 31.12.2024, hentet 09.09.2026).</t>
  </si>
  <si>
    <t xml:space="preserve">Din egen bedrift</t>
  </si>
  <si>
    <t xml:space="preserve">Samme oppsett, tomt. Fyll inn dine egne tjenester.</t>
  </si>
  <si>
    <t xml:space="preserve">Dekningsbidrag i fjor, hele bedriften</t>
  </si>
  <si>
    <t xml:space="preserve">Fakturerte montørtimer i fjor</t>
  </si>
  <si>
    <t xml:space="preserve">Målestokken din. Alt under denne bæres av noe annet.</t>
  </si>
  <si>
    <t xml:space="preserve">Er målestokken fylt ut?</t>
  </si>
  <si>
    <t xml:space="preserve">Har alle tjenestene du har lagt inn positivt bidrag?</t>
  </si>
  <si>
    <t xml:space="preserve">Ta med tre til fem av tjenestene dine, ikke alle. Det er rekkefølgen som er poenget, ikke fullstendigheten.</t>
  </si>
</sst>
</file>

<file path=xl/styles.xml><?xml version="1.0" encoding="utf-8"?>
<styleSheet xmlns="http://schemas.openxmlformats.org/spreadsheetml/2006/main">
  <numFmts count="7">
    <numFmt numFmtId="164" formatCode="General"/>
    <numFmt numFmtId="165" formatCode="#,##0"/>
    <numFmt numFmtId="166" formatCode="0"/>
    <numFmt numFmtId="167" formatCode="#,##0.00"/>
    <numFmt numFmtId="168" formatCode="#,##0&quot; kr&quot;"/>
    <numFmt numFmtId="169" formatCode="0.0%"/>
    <numFmt numFmtId="170"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6820</v>
      </c>
      <c r="C5" s="7" t="s">
        <v>4</v>
      </c>
    </row>
    <row r="6" customFormat="false" ht="15" hidden="false" customHeight="true" outlineLevel="0" collapsed="false">
      <c r="A6" s="5" t="s">
        <v>5</v>
      </c>
      <c r="B6" s="6" t="n">
        <v>4000</v>
      </c>
      <c r="C6" s="7" t="s">
        <v>6</v>
      </c>
    </row>
    <row r="7" customFormat="false" ht="15" hidden="false" customHeight="true" outlineLevel="0" collapsed="false">
      <c r="A7" s="5" t="s">
        <v>7</v>
      </c>
      <c r="B7" s="8" t="n">
        <v>3</v>
      </c>
      <c r="C7" s="7" t="s">
        <v>8</v>
      </c>
    </row>
    <row r="8" customFormat="false" ht="15" hidden="false" customHeight="true" outlineLevel="0" collapsed="false">
      <c r="A8" s="5" t="s">
        <v>9</v>
      </c>
      <c r="B8" s="6" t="n">
        <v>640</v>
      </c>
      <c r="C8" s="7" t="s">
        <v>10</v>
      </c>
    </row>
    <row r="9" customFormat="false" ht="15" hidden="false" customHeight="true" outlineLevel="0" collapsed="false">
      <c r="A9" s="5" t="s">
        <v>11</v>
      </c>
      <c r="B9" s="6" t="n">
        <v>5184000</v>
      </c>
      <c r="C9" s="7" t="s">
        <v>12</v>
      </c>
    </row>
    <row r="10" customFormat="false" ht="15" hidden="false" customHeight="true" outlineLevel="0" collapsed="false">
      <c r="A10" s="5" t="s">
        <v>13</v>
      </c>
      <c r="B10" s="6" t="n">
        <v>14400</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9" t="n">
        <f aca="false">B7*B8</f>
        <v>1920</v>
      </c>
      <c r="C13" s="7" t="s">
        <v>17</v>
      </c>
    </row>
    <row r="14" customFormat="false" ht="15" hidden="false" customHeight="true" outlineLevel="0" collapsed="false">
      <c r="A14" s="5" t="s">
        <v>18</v>
      </c>
      <c r="B14" s="9" t="n">
        <f aca="false">B6+B13</f>
        <v>5920</v>
      </c>
      <c r="C14" s="7" t="s">
        <v>19</v>
      </c>
    </row>
    <row r="15" customFormat="false" ht="15" hidden="false" customHeight="true" outlineLevel="0" collapsed="false">
      <c r="A15" s="5" t="s">
        <v>20</v>
      </c>
      <c r="B15" s="9" t="n">
        <f aca="false">B5-B14</f>
        <v>900</v>
      </c>
      <c r="C15" s="7" t="s">
        <v>21</v>
      </c>
    </row>
    <row r="16" customFormat="false" ht="15" hidden="false" customHeight="true" outlineLevel="0" collapsed="false"/>
    <row r="17" customFormat="false" ht="21" hidden="false" customHeight="true" outlineLevel="0" collapsed="false">
      <c r="A17" s="10" t="s">
        <v>22</v>
      </c>
      <c r="B17" s="11" t="n">
        <f aca="false">B15/B7</f>
        <v>300</v>
      </c>
      <c r="C17" s="7" t="s">
        <v>23</v>
      </c>
    </row>
    <row r="18" customFormat="false" ht="15" hidden="false" customHeight="true" outlineLevel="0" collapsed="false">
      <c r="A18" s="5" t="s">
        <v>24</v>
      </c>
      <c r="B18" s="12" t="n">
        <f aca="false">B9/B10</f>
        <v>360</v>
      </c>
      <c r="C18" s="7" t="s">
        <v>25</v>
      </c>
    </row>
    <row r="19" customFormat="false" ht="15" hidden="false" customHeight="true" outlineLevel="0" collapsed="false"/>
    <row r="20" customFormat="false" ht="15" hidden="false" customHeight="true" outlineLevel="0" collapsed="false">
      <c r="A20" s="3" t="s">
        <v>26</v>
      </c>
      <c r="B20" s="4"/>
      <c r="C20" s="4"/>
    </row>
    <row r="21" customFormat="false" ht="33.75" hidden="false" customHeight="true" outlineLevel="0" collapsed="false">
      <c r="A21" s="13" t="str">
        <f aca="false">"Hver montørtime på dette oppdraget gir "&amp;TEXT(ROUND(B17,2),"#,##0.00")&amp;" kroner i dekningsbidrag. Snittet for hele bedriften er "&amp;TEXT(ROUND(B18,2),"#,##0.00")&amp;" kroner. Ligger oppdraget under snittet, bæres det av de andre tjenestene."</f>
        <v>Hver montørtime på dette oppdraget gir 300.00 kroner i dekningsbidrag. Snittet for hele bedriften er 360.00 kroner. Ligger oppdraget under snittet, bæres det av de andre tjenestene.</v>
      </c>
      <c r="B21" s="13"/>
      <c r="C21" s="13"/>
    </row>
    <row r="22" customFormat="false" ht="15" hidden="false" customHeight="true" outlineLevel="0" collapsed="false"/>
    <row r="23" customFormat="false" ht="15" hidden="false" customHeight="true" outlineLevel="0" collapsed="false">
      <c r="A23" s="3" t="s">
        <v>27</v>
      </c>
      <c r="B23" s="4"/>
      <c r="C23" s="4"/>
    </row>
    <row r="24" customFormat="false" ht="27" hidden="false" customHeight="true" outlineLevel="0" collapsed="false">
      <c r="A24" s="14" t="s">
        <v>28</v>
      </c>
      <c r="B24" s="14"/>
      <c r="C24" s="14"/>
    </row>
    <row r="25" customFormat="false" ht="27" hidden="false" customHeight="true" outlineLevel="0" collapsed="false">
      <c r="A25" s="14" t="s">
        <v>29</v>
      </c>
      <c r="B25" s="14"/>
      <c r="C25" s="14"/>
    </row>
    <row r="26" customFormat="false" ht="27" hidden="false" customHeight="true" outlineLevel="0" collapsed="false">
      <c r="A26" s="14" t="s">
        <v>30</v>
      </c>
      <c r="B26" s="14"/>
      <c r="C26" s="14"/>
    </row>
    <row r="27" customFormat="false" ht="15" hidden="false" customHeight="true" outlineLevel="0" collapsed="false"/>
    <row r="28" customFormat="false" ht="27" hidden="false" customHeight="true" outlineLevel="0" collapsed="false">
      <c r="A28" s="2" t="s">
        <v>31</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32</v>
      </c>
    </row>
    <row r="2" customFormat="false" ht="15" hidden="false" customHeight="false" outlineLevel="0" collapsed="false">
      <c r="A2" s="15" t="s">
        <v>33</v>
      </c>
    </row>
    <row r="3" customFormat="false" ht="15" hidden="false" customHeight="false" outlineLevel="0" collapsed="false">
      <c r="A3" s="16" t="s">
        <v>34</v>
      </c>
    </row>
    <row r="4" customFormat="false" ht="15" hidden="false" customHeight="false" outlineLevel="0" collapsed="false">
      <c r="A4" s="17" t="s">
        <v>35</v>
      </c>
    </row>
    <row r="5" customFormat="false" ht="15" hidden="false" customHeight="false" outlineLevel="0" collapsed="false">
      <c r="A5" s="18" t="s">
        <v>36</v>
      </c>
      <c r="B5" s="19" t="s">
        <v>37</v>
      </c>
    </row>
    <row r="6" customFormat="false" ht="15" hidden="false" customHeight="false" outlineLevel="0" collapsed="false">
      <c r="A6" s="20" t="s">
        <v>38</v>
      </c>
      <c r="B6" s="19" t="s">
        <v>39</v>
      </c>
    </row>
    <row r="7" customFormat="false" ht="15" hidden="false" customHeight="false" outlineLevel="0" collapsed="false">
      <c r="A7" s="20" t="s">
        <v>40</v>
      </c>
      <c r="B7" s="19" t="s">
        <v>41</v>
      </c>
    </row>
    <row r="9" customFormat="false" ht="15" hidden="false" customHeight="false" outlineLevel="0" collapsed="false">
      <c r="A9" s="17" t="s">
        <v>42</v>
      </c>
    </row>
    <row r="10" customFormat="false" ht="15" hidden="false" customHeight="false" outlineLevel="0" collapsed="false">
      <c r="A10" s="21" t="s">
        <v>43</v>
      </c>
      <c r="B10" s="19" t="s">
        <v>44</v>
      </c>
    </row>
    <row r="11" customFormat="false" ht="15" hidden="false" customHeight="false" outlineLevel="0" collapsed="false">
      <c r="A11" s="21" t="s">
        <v>45</v>
      </c>
      <c r="B11" s="19" t="s">
        <v>46</v>
      </c>
    </row>
    <row r="12" customFormat="false" ht="15" hidden="false" customHeight="false" outlineLevel="0" collapsed="false">
      <c r="A12" s="21" t="s">
        <v>47</v>
      </c>
      <c r="B12" s="19" t="s">
        <v>48</v>
      </c>
    </row>
    <row r="13" customFormat="false" ht="15" hidden="false" customHeight="false" outlineLevel="0" collapsed="false">
      <c r="A13" s="21" t="s">
        <v>49</v>
      </c>
      <c r="B13" s="19" t="s">
        <v>50</v>
      </c>
    </row>
    <row r="14" customFormat="false" ht="15" hidden="false" customHeight="false" outlineLevel="0" collapsed="false">
      <c r="A14" s="21" t="s">
        <v>51</v>
      </c>
      <c r="B14" s="19" t="s">
        <v>52</v>
      </c>
    </row>
    <row r="16" customFormat="false" ht="15" hidden="false" customHeight="false" outlineLevel="0" collapsed="false">
      <c r="A16" s="16" t="s">
        <v>53</v>
      </c>
    </row>
    <row r="17" customFormat="false" ht="15" hidden="false" customHeight="false" outlineLevel="0" collapsed="false">
      <c r="A17" s="16" t="s">
        <v>54</v>
      </c>
    </row>
    <row r="19" customFormat="false" ht="15" hidden="false" customHeight="false" outlineLevel="0" collapsed="false">
      <c r="A19" s="16" t="s">
        <v>55</v>
      </c>
    </row>
    <row r="20" customFormat="false" ht="15" hidden="false" customHeight="false" outlineLevel="0" collapsed="false">
      <c r="A20" s="16" t="s">
        <v>56</v>
      </c>
    </row>
    <row r="22" customFormat="false" ht="15" hidden="false" customHeight="false" outlineLevel="0" collapsed="false">
      <c r="A22" s="17" t="s">
        <v>57</v>
      </c>
    </row>
    <row r="23" customFormat="false" ht="15" hidden="false" customHeight="false" outlineLevel="0" collapsed="false">
      <c r="A23" s="19" t="s">
        <v>58</v>
      </c>
      <c r="B23" s="19" t="s">
        <v>59</v>
      </c>
      <c r="C23" s="19" t="s">
        <v>60</v>
      </c>
    </row>
    <row r="24" customFormat="false" ht="15" hidden="false" customHeight="false" outlineLevel="0" collapsed="false">
      <c r="A24" s="19" t="s">
        <v>61</v>
      </c>
    </row>
    <row r="26" customFormat="false" ht="15" hidden="false" customHeight="false" outlineLevel="0" collapsed="false">
      <c r="A26" s="17" t="s">
        <v>62</v>
      </c>
    </row>
    <row r="27" customFormat="false" ht="27.75" hidden="false" customHeight="true" outlineLevel="0" collapsed="false">
      <c r="A27" s="22" t="s">
        <v>63</v>
      </c>
      <c r="B27" s="22" t="s">
        <v>64</v>
      </c>
      <c r="C27" s="22" t="s">
        <v>65</v>
      </c>
    </row>
    <row r="28" customFormat="false" ht="15" hidden="false" customHeight="false" outlineLevel="0" collapsed="false">
      <c r="A28" s="19" t="s">
        <v>66</v>
      </c>
      <c r="B28" s="21" t="s">
        <v>45</v>
      </c>
      <c r="C28" s="19" t="s">
        <v>67</v>
      </c>
    </row>
    <row r="29" customFormat="false" ht="15" hidden="false" customHeight="false" outlineLevel="0" collapsed="false">
      <c r="A29" s="19" t="s">
        <v>68</v>
      </c>
      <c r="B29" s="21" t="s">
        <v>45</v>
      </c>
      <c r="C29" s="19" t="s">
        <v>69</v>
      </c>
    </row>
    <row r="30" customFormat="false" ht="15" hidden="false" customHeight="false" outlineLevel="0" collapsed="false">
      <c r="A30" s="19" t="s">
        <v>70</v>
      </c>
      <c r="B30" s="21" t="s">
        <v>71</v>
      </c>
      <c r="C30" s="19" t="s">
        <v>72</v>
      </c>
    </row>
    <row r="31" customFormat="false" ht="15" hidden="false" customHeight="false" outlineLevel="0" collapsed="false">
      <c r="A31" s="19" t="s">
        <v>73</v>
      </c>
      <c r="B31" s="21" t="s">
        <v>49</v>
      </c>
      <c r="C31" s="19" t="s">
        <v>74</v>
      </c>
    </row>
    <row r="32" customFormat="false" ht="15" hidden="false" customHeight="false" outlineLevel="0" collapsed="false">
      <c r="A32" s="19" t="s">
        <v>75</v>
      </c>
      <c r="B32" s="21" t="s">
        <v>47</v>
      </c>
      <c r="C32" s="19" t="s">
        <v>76</v>
      </c>
    </row>
    <row r="34" customFormat="false" ht="15" hidden="false" customHeight="false" outlineLevel="0" collapsed="false">
      <c r="A34" s="17" t="s">
        <v>77</v>
      </c>
    </row>
    <row r="35" customFormat="false" ht="15" hidden="false" customHeight="false" outlineLevel="0" collapsed="false">
      <c r="A35" s="19" t="s">
        <v>78</v>
      </c>
    </row>
    <row r="36" customFormat="false" ht="15" hidden="false" customHeight="false" outlineLevel="0" collapsed="false">
      <c r="A36" s="19" t="s">
        <v>79</v>
      </c>
    </row>
    <row r="37" customFormat="false" ht="15" hidden="false" customHeight="false" outlineLevel="0" collapsed="false">
      <c r="A37" s="16" t="s">
        <v>80</v>
      </c>
    </row>
    <row r="39" customFormat="false" ht="15" hidden="false" customHeight="false" outlineLevel="0" collapsed="false">
      <c r="A39" s="17" t="s">
        <v>81</v>
      </c>
    </row>
    <row r="40" customFormat="false" ht="15" hidden="false" customHeight="false" outlineLevel="0" collapsed="false">
      <c r="A40" s="16" t="s">
        <v>82</v>
      </c>
    </row>
    <row r="41" customFormat="false" ht="15" hidden="false" customHeight="false" outlineLevel="0" collapsed="false">
      <c r="A41" s="16" t="s">
        <v>83</v>
      </c>
    </row>
    <row r="42" customFormat="false" ht="15" hidden="false" customHeight="false" outlineLevel="0" collapsed="false">
      <c r="A42" s="16" t="s">
        <v>84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3" min="3" style="0" width="16"/>
    <col collapsed="false" customWidth="true" hidden="false" outlineLevel="0" max="4" min="4" style="0" width="12"/>
    <col collapsed="false" customWidth="true" hidden="false" outlineLevel="0" max="5" min="5" style="0" width="15"/>
    <col collapsed="false" customWidth="true" hidden="false" outlineLevel="0" max="6" min="6" style="0" width="54"/>
  </cols>
  <sheetData>
    <row r="1" customFormat="false" ht="17.35" hidden="false" customHeight="false" outlineLevel="0" collapsed="false">
      <c r="A1" s="1" t="s">
        <v>85</v>
      </c>
    </row>
    <row r="2" customFormat="false" ht="15" hidden="false" customHeight="false" outlineLevel="0" collapsed="false">
      <c r="A2" s="15" t="s">
        <v>86</v>
      </c>
    </row>
    <row r="4" customFormat="false" ht="15" hidden="false" customHeight="false" outlineLevel="0" collapsed="false">
      <c r="A4" s="19" t="s">
        <v>87</v>
      </c>
      <c r="B4" s="23" t="n">
        <v>22400000</v>
      </c>
      <c r="F4" s="19" t="s">
        <v>88</v>
      </c>
    </row>
    <row r="6" customFormat="false" ht="15" hidden="false" customHeight="false" outlineLevel="0" collapsed="false">
      <c r="A6" s="17" t="s">
        <v>89</v>
      </c>
    </row>
    <row r="7" customFormat="false" ht="27.75" hidden="false" customHeight="true" outlineLevel="0" collapsed="false">
      <c r="A7" s="22" t="s">
        <v>90</v>
      </c>
      <c r="B7" s="22" t="s">
        <v>91</v>
      </c>
      <c r="C7" s="22" t="s">
        <v>92</v>
      </c>
      <c r="D7" s="22" t="s">
        <v>93</v>
      </c>
      <c r="E7" s="22" t="s">
        <v>94</v>
      </c>
      <c r="F7" s="22" t="s">
        <v>95</v>
      </c>
    </row>
    <row r="8" customFormat="false" ht="15" hidden="false" customHeight="false" outlineLevel="0" collapsed="false">
      <c r="A8" s="19" t="s">
        <v>96</v>
      </c>
      <c r="B8" s="24" t="n">
        <v>0.22</v>
      </c>
      <c r="C8" s="25" t="n">
        <f aca="false">B8*$B$4</f>
        <v>4928000</v>
      </c>
      <c r="D8" s="26" t="n">
        <v>5</v>
      </c>
      <c r="E8" s="19" t="s">
        <v>97</v>
      </c>
      <c r="F8" s="19" t="s">
        <v>98</v>
      </c>
    </row>
    <row r="9" customFormat="false" ht="15" hidden="false" customHeight="false" outlineLevel="0" collapsed="false">
      <c r="A9" s="19" t="s">
        <v>99</v>
      </c>
      <c r="B9" s="24" t="n">
        <v>0.3810875</v>
      </c>
      <c r="C9" s="25" t="n">
        <f aca="false">B9*$B$4</f>
        <v>8536360</v>
      </c>
      <c r="D9" s="26" t="n">
        <v>3</v>
      </c>
      <c r="E9" s="19" t="s">
        <v>97</v>
      </c>
      <c r="F9" s="19" t="s">
        <v>100</v>
      </c>
    </row>
    <row r="10" customFormat="false" ht="15" hidden="false" customHeight="false" outlineLevel="0" collapsed="false">
      <c r="A10" s="19" t="s">
        <v>101</v>
      </c>
      <c r="B10" s="24" t="n">
        <v>0.17</v>
      </c>
      <c r="C10" s="25" t="n">
        <f aca="false">B10*$B$4</f>
        <v>3808000</v>
      </c>
      <c r="D10" s="26" t="n">
        <v>3</v>
      </c>
      <c r="E10" s="19" t="s">
        <v>97</v>
      </c>
      <c r="F10" s="19" t="s">
        <v>102</v>
      </c>
    </row>
    <row r="11" customFormat="false" ht="15" hidden="false" customHeight="false" outlineLevel="0" collapsed="false">
      <c r="A11" s="19" t="s">
        <v>103</v>
      </c>
      <c r="B11" s="24" t="n">
        <v>0.06</v>
      </c>
      <c r="C11" s="25" t="n">
        <f aca="false">B11*$B$4</f>
        <v>1344000</v>
      </c>
      <c r="D11" s="26" t="n">
        <v>3</v>
      </c>
      <c r="E11" s="19" t="s">
        <v>97</v>
      </c>
      <c r="F11" s="19" t="s">
        <v>104</v>
      </c>
    </row>
    <row r="12" customFormat="false" ht="15" hidden="false" customHeight="false" outlineLevel="0" collapsed="false">
      <c r="A12" s="19" t="s">
        <v>105</v>
      </c>
      <c r="B12" s="24" t="n">
        <v>0.1489125</v>
      </c>
      <c r="C12" s="25" t="n">
        <f aca="false">B12*$B$4</f>
        <v>3335640</v>
      </c>
      <c r="D12" s="26" t="n">
        <v>4</v>
      </c>
      <c r="E12" s="19" t="s">
        <v>106</v>
      </c>
      <c r="F12" s="19" t="s">
        <v>107</v>
      </c>
    </row>
    <row r="13" customFormat="false" ht="15" hidden="false" customHeight="false" outlineLevel="0" collapsed="false">
      <c r="A13" s="19" t="s">
        <v>108</v>
      </c>
      <c r="B13" s="24" t="n">
        <v>0.02</v>
      </c>
      <c r="C13" s="25" t="n">
        <f aca="false">B13*$B$4</f>
        <v>448000</v>
      </c>
      <c r="D13" s="26" t="n">
        <v>2</v>
      </c>
      <c r="E13" s="19" t="s">
        <v>109</v>
      </c>
      <c r="F13" s="19" t="s">
        <v>110</v>
      </c>
    </row>
    <row r="14" customFormat="false" ht="15" hidden="false" customHeight="false" outlineLevel="0" collapsed="false">
      <c r="A14" s="21" t="s">
        <v>111</v>
      </c>
      <c r="B14" s="27" t="n">
        <f aca="false">SUM(B8:B13)</f>
        <v>1</v>
      </c>
      <c r="C14" s="28" t="n">
        <f aca="false">SUM(C8:C13)</f>
        <v>22400000</v>
      </c>
      <c r="D14" s="29" t="n">
        <f aca="false">SUM(D8:D13)</f>
        <v>20</v>
      </c>
    </row>
    <row r="16" customFormat="false" ht="15" hidden="false" customHeight="false" outlineLevel="0" collapsed="false">
      <c r="A16" s="17" t="s">
        <v>112</v>
      </c>
    </row>
    <row r="17" customFormat="false" ht="15" hidden="false" customHeight="false" outlineLevel="0" collapsed="false">
      <c r="A17" s="19" t="s">
        <v>113</v>
      </c>
      <c r="B17" s="30" t="n">
        <f aca="false">COUNTA(A8:A13)</f>
        <v>6</v>
      </c>
      <c r="F17" s="19" t="s">
        <v>114</v>
      </c>
    </row>
    <row r="18" customFormat="false" ht="15" hidden="false" customHeight="false" outlineLevel="0" collapsed="false">
      <c r="A18" s="19" t="s">
        <v>115</v>
      </c>
      <c r="B18" s="30" t="n">
        <f aca="false">D14</f>
        <v>20</v>
      </c>
      <c r="F18" s="19" t="s">
        <v>116</v>
      </c>
    </row>
    <row r="19" customFormat="false" ht="15" hidden="false" customHeight="false" outlineLevel="0" collapsed="false">
      <c r="A19" s="19" t="s">
        <v>117</v>
      </c>
      <c r="B19" s="31" t="n">
        <f aca="false">B18/B17</f>
        <v>3.33333333333333</v>
      </c>
      <c r="F19" s="19" t="s">
        <v>118</v>
      </c>
    </row>
    <row r="20" customFormat="false" ht="15" hidden="false" customHeight="false" outlineLevel="0" collapsed="false">
      <c r="A20" s="19" t="s">
        <v>119</v>
      </c>
      <c r="B20" s="32" t="n">
        <f aca="false">MAX(B8:B13)</f>
        <v>0.3810875</v>
      </c>
    </row>
    <row r="21" customFormat="false" ht="15" hidden="false" customHeight="false" outlineLevel="0" collapsed="false">
      <c r="A21" s="19" t="s">
        <v>120</v>
      </c>
      <c r="B21" s="32" t="n">
        <f aca="false">MIN(B8:B13)</f>
        <v>0.02</v>
      </c>
      <c r="F21" s="19" t="s">
        <v>121</v>
      </c>
    </row>
    <row r="23" customFormat="false" ht="15" hidden="false" customHeight="false" outlineLevel="0" collapsed="false">
      <c r="A23" s="17" t="s">
        <v>122</v>
      </c>
    </row>
    <row r="24" customFormat="false" ht="15" hidden="false" customHeight="false" outlineLevel="0" collapsed="false">
      <c r="A24" s="19" t="s">
        <v>123</v>
      </c>
      <c r="C24" s="33" t="str">
        <f aca="false">IF(ABS(B14-1)&lt;0.0001,"OK — gruppene deler hele omsetningen mellom seg","AVVIK: andelene summerer seg ikke til 100 prosent")</f>
        <v>OK — gruppene deler hele omsetningen mellom seg</v>
      </c>
    </row>
    <row r="25" customFormat="false" ht="15" hidden="false" customHeight="false" outlineLevel="0" collapsed="false">
      <c r="A25" s="19" t="s">
        <v>124</v>
      </c>
      <c r="C25" s="33" t="str">
        <f aca="false">IF(ABS(C14-B4)&lt;1,"OK — gruppenes omsetning summerer seg til salgsinntekten","AVVIK: gruppenes omsetning summerer seg ikke til salgsinntekten")</f>
        <v>OK — gruppenes omsetning summerer seg til salgsinntekten</v>
      </c>
    </row>
    <row r="26" customFormat="false" ht="15" hidden="false" customHeight="false" outlineLevel="0" collapsed="false">
      <c r="A26" s="19" t="s">
        <v>125</v>
      </c>
      <c r="C26" s="33" t="str">
        <f aca="false">IF(B13=MIN(B8:B13),"OK — gruppen i tilbakegang er den minste i omsetning","AVVIK: en gruppe i tilbakegang som ikke er den minste, er en gruppe som er på vei ned og fortsatt betyr mye")</f>
        <v>OK — gruppen i tilbakegang er den minste i omsetning</v>
      </c>
    </row>
    <row r="27" customFormat="false" ht="15" hidden="false" customHeight="false" outlineLevel="0" collapsed="false">
      <c r="A27" s="19" t="s">
        <v>126</v>
      </c>
      <c r="C27" s="33" t="str">
        <f aca="false">IF(MIN(D8:D13)&gt;=2,"OK — alle gruppene har minst to varianter","AVVIK: en gruppe med bare én variant har ingen dybde")</f>
        <v>OK — alle gruppene har minst to varianter</v>
      </c>
    </row>
    <row r="29" customFormat="false" ht="15" hidden="false" customHeight="false" outlineLevel="0" collapsed="false">
      <c r="A29" s="21" t="s">
        <v>127</v>
      </c>
    </row>
    <row r="30" customFormat="false" ht="15" hidden="false" customHeight="false" outlineLevel="0" collapsed="false">
      <c r="A30" s="16" t="s">
        <v>128</v>
      </c>
    </row>
  </sheetData>
  <conditionalFormatting sqref="C24">
    <cfRule type="expression" priority="2" aboveAverage="0" equalAverage="0" bottom="0" percent="0" rank="0" text="" dxfId="0">
      <formula>LEFT(C24,5)="AVVIK"</formula>
    </cfRule>
  </conditionalFormatting>
  <conditionalFormatting sqref="C25">
    <cfRule type="expression" priority="3" aboveAverage="0" equalAverage="0" bottom="0" percent="0" rank="0" text="" dxfId="0">
      <formula>LEFT(C25,5)="AVVIK"</formula>
    </cfRule>
  </conditionalFormatting>
  <conditionalFormatting sqref="C26">
    <cfRule type="expression" priority="4" aboveAverage="0" equalAverage="0" bottom="0" percent="0" rank="0" text="" dxfId="0">
      <formula>LEFT(C26,5)="AVVIK"</formula>
    </cfRule>
  </conditionalFormatting>
  <conditionalFormatting sqref="C27">
    <cfRule type="expression" priority="5" aboveAverage="0" equalAverage="0" bottom="0" percent="0" rank="0" text="" dxfId="0">
      <formula>LEFT(C27,5)="AVVIK"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5"/>
    <col collapsed="false" customWidth="true" hidden="false" outlineLevel="0" max="5" min="4" style="0" width="13"/>
    <col collapsed="false" customWidth="true" hidden="false" outlineLevel="0" max="6" min="6" style="0" width="15"/>
    <col collapsed="false" customWidth="true" hidden="false" outlineLevel="0" max="7" min="7" style="0" width="16"/>
    <col collapsed="false" customWidth="true" hidden="false" outlineLevel="0" max="8" min="8" style="0" width="13"/>
    <col collapsed="false" customWidth="true" hidden="false" outlineLevel="0" max="9" min="9" style="0" width="18"/>
    <col collapsed="false" customWidth="true" hidden="false" outlineLevel="0" max="10" min="10" style="0" width="30"/>
  </cols>
  <sheetData>
    <row r="1" customFormat="false" ht="17.35" hidden="false" customHeight="false" outlineLevel="0" collapsed="false">
      <c r="A1" s="1" t="s">
        <v>129</v>
      </c>
    </row>
    <row r="2" customFormat="false" ht="15" hidden="false" customHeight="false" outlineLevel="0" collapsed="false">
      <c r="A2" s="15" t="s">
        <v>130</v>
      </c>
    </row>
    <row r="4" customFormat="false" ht="15" hidden="false" customHeight="false" outlineLevel="0" collapsed="false">
      <c r="A4" s="17" t="s">
        <v>131</v>
      </c>
    </row>
    <row r="5" customFormat="false" ht="15" hidden="false" customHeight="false" outlineLevel="0" collapsed="false">
      <c r="A5" s="19" t="s">
        <v>132</v>
      </c>
      <c r="B5" s="23" t="n">
        <v>640</v>
      </c>
      <c r="J5" s="19" t="s">
        <v>10</v>
      </c>
    </row>
    <row r="6" customFormat="false" ht="15" hidden="false" customHeight="false" outlineLevel="0" collapsed="false">
      <c r="A6" s="19" t="s">
        <v>133</v>
      </c>
      <c r="B6" s="23" t="n">
        <v>5184000</v>
      </c>
    </row>
    <row r="7" customFormat="false" ht="15" hidden="false" customHeight="false" outlineLevel="0" collapsed="false">
      <c r="A7" s="19" t="s">
        <v>134</v>
      </c>
      <c r="B7" s="26" t="n">
        <v>14400</v>
      </c>
    </row>
    <row r="8" customFormat="false" ht="15" hidden="false" customHeight="false" outlineLevel="0" collapsed="false">
      <c r="A8" s="21" t="s">
        <v>135</v>
      </c>
      <c r="B8" s="34" t="n">
        <f aca="false">B6/B7</f>
        <v>360</v>
      </c>
      <c r="J8" s="19" t="s">
        <v>136</v>
      </c>
    </row>
    <row r="10" customFormat="false" ht="15" hidden="false" customHeight="false" outlineLevel="0" collapsed="false">
      <c r="A10" s="17" t="s">
        <v>137</v>
      </c>
    </row>
    <row r="11" customFormat="false" ht="27.75" hidden="false" customHeight="true" outlineLevel="0" collapsed="false">
      <c r="A11" s="22" t="s">
        <v>138</v>
      </c>
      <c r="B11" s="22" t="s">
        <v>139</v>
      </c>
      <c r="C11" s="22" t="s">
        <v>140</v>
      </c>
      <c r="D11" s="22" t="s">
        <v>141</v>
      </c>
      <c r="E11" s="22" t="s">
        <v>142</v>
      </c>
      <c r="F11" s="22" t="s">
        <v>143</v>
      </c>
      <c r="G11" s="22" t="s">
        <v>144</v>
      </c>
      <c r="H11" s="22" t="s">
        <v>145</v>
      </c>
      <c r="I11" s="22" t="s">
        <v>146</v>
      </c>
      <c r="J11" s="22" t="s">
        <v>147</v>
      </c>
    </row>
    <row r="12" customFormat="false" ht="15" hidden="false" customHeight="false" outlineLevel="0" collapsed="false">
      <c r="A12" s="19" t="s">
        <v>148</v>
      </c>
      <c r="B12" s="19" t="s">
        <v>97</v>
      </c>
      <c r="C12" s="23" t="n">
        <v>6820</v>
      </c>
      <c r="D12" s="23" t="n">
        <v>4000</v>
      </c>
      <c r="E12" s="35" t="n">
        <v>3</v>
      </c>
      <c r="F12" s="25" t="n">
        <f aca="false">D12+E12*$B$5</f>
        <v>5920</v>
      </c>
      <c r="G12" s="28" t="n">
        <f aca="false">C12-F12</f>
        <v>900</v>
      </c>
      <c r="H12" s="32" t="n">
        <f aca="false">G12/C12</f>
        <v>0.131964809384164</v>
      </c>
      <c r="I12" s="34" t="n">
        <f aca="false">G12/E12</f>
        <v>300</v>
      </c>
      <c r="J12" s="20" t="str">
        <f aca="false">IF(I12&gt;=$B$8,"Over snittet — bærer bedriften","Under snittet — bæres av de andre")</f>
        <v>Under snittet — bæres av de andre</v>
      </c>
    </row>
    <row r="13" customFormat="false" ht="15" hidden="false" customHeight="false" outlineLevel="0" collapsed="false">
      <c r="A13" s="19" t="s">
        <v>149</v>
      </c>
      <c r="B13" s="19" t="s">
        <v>97</v>
      </c>
      <c r="C13" s="23" t="n">
        <v>29860</v>
      </c>
      <c r="D13" s="23" t="n">
        <v>22000</v>
      </c>
      <c r="E13" s="35" t="n">
        <v>9</v>
      </c>
      <c r="F13" s="25" t="n">
        <f aca="false">D13+E13*$B$5</f>
        <v>27760</v>
      </c>
      <c r="G13" s="28" t="n">
        <f aca="false">C13-F13</f>
        <v>2100</v>
      </c>
      <c r="H13" s="32" t="n">
        <f aca="false">G13/C13</f>
        <v>0.0703281982585399</v>
      </c>
      <c r="I13" s="34" t="n">
        <f aca="false">G13/E13</f>
        <v>233.333333333333</v>
      </c>
      <c r="J13" s="20" t="str">
        <f aca="false">IF(I13&gt;=$B$8,"Over snittet — bærer bedriften","Under snittet — bæres av de andre")</f>
        <v>Under snittet — bæres av de andre</v>
      </c>
    </row>
    <row r="14" customFormat="false" ht="15" hidden="false" customHeight="false" outlineLevel="0" collapsed="false">
      <c r="A14" s="19" t="s">
        <v>150</v>
      </c>
      <c r="B14" s="19" t="s">
        <v>97</v>
      </c>
      <c r="C14" s="23" t="n">
        <v>18500</v>
      </c>
      <c r="D14" s="23" t="n">
        <v>7360</v>
      </c>
      <c r="E14" s="35" t="n">
        <v>6</v>
      </c>
      <c r="F14" s="25" t="n">
        <f aca="false">D14+E14*$B$5</f>
        <v>11200</v>
      </c>
      <c r="G14" s="28" t="n">
        <f aca="false">C14-F14</f>
        <v>7300</v>
      </c>
      <c r="H14" s="32" t="n">
        <f aca="false">G14/C14</f>
        <v>0.394594594594595</v>
      </c>
      <c r="I14" s="34" t="n">
        <f aca="false">G14/E14</f>
        <v>1216.66666666667</v>
      </c>
      <c r="J14" s="20" t="str">
        <f aca="false">IF(I14&gt;=$B$8,"Over snittet — bærer bedriften","Under snittet — bæres av de andre")</f>
        <v>Over snittet — bærer bedriften</v>
      </c>
    </row>
    <row r="15" customFormat="false" ht="15" hidden="false" customHeight="false" outlineLevel="0" collapsed="false">
      <c r="A15" s="19" t="s">
        <v>151</v>
      </c>
      <c r="B15" s="19" t="s">
        <v>97</v>
      </c>
      <c r="C15" s="23" t="n">
        <v>3200</v>
      </c>
      <c r="D15" s="23" t="n">
        <v>300</v>
      </c>
      <c r="E15" s="35" t="n">
        <v>2</v>
      </c>
      <c r="F15" s="25" t="n">
        <f aca="false">D15+E15*$B$5</f>
        <v>1580</v>
      </c>
      <c r="G15" s="28" t="n">
        <f aca="false">C15-F15</f>
        <v>1620</v>
      </c>
      <c r="H15" s="32" t="n">
        <f aca="false">G15/C15</f>
        <v>0.50625</v>
      </c>
      <c r="I15" s="34" t="n">
        <f aca="false">G15/E15</f>
        <v>810</v>
      </c>
      <c r="J15" s="20" t="str">
        <f aca="false">IF(I15&gt;=$B$8,"Over snittet — bærer bedriften","Under snittet — bæres av de andre")</f>
        <v>Over snittet — bærer bedriften</v>
      </c>
    </row>
    <row r="16" customFormat="false" ht="15" hidden="false" customHeight="false" outlineLevel="0" collapsed="false">
      <c r="A16" s="19" t="s">
        <v>152</v>
      </c>
      <c r="B16" s="19" t="s">
        <v>106</v>
      </c>
      <c r="C16" s="23" t="n">
        <v>51360</v>
      </c>
      <c r="D16" s="23" t="n">
        <v>38000</v>
      </c>
      <c r="E16" s="35" t="n">
        <v>14</v>
      </c>
      <c r="F16" s="25" t="n">
        <f aca="false">D16+E16*$B$5</f>
        <v>46960</v>
      </c>
      <c r="G16" s="28" t="n">
        <f aca="false">C16-F16</f>
        <v>4400</v>
      </c>
      <c r="H16" s="32" t="n">
        <f aca="false">G16/C16</f>
        <v>0.0856697819314642</v>
      </c>
      <c r="I16" s="34" t="n">
        <f aca="false">G16/E16</f>
        <v>314.285714285714</v>
      </c>
      <c r="J16" s="20" t="str">
        <f aca="false">IF(I16&gt;=$B$8,"Over snittet — bærer bedriften","Under snittet — bæres av de andre")</f>
        <v>Under snittet — bæres av de andre</v>
      </c>
    </row>
    <row r="17" customFormat="false" ht="15" hidden="false" customHeight="false" outlineLevel="0" collapsed="false">
      <c r="A17" s="19" t="s">
        <v>153</v>
      </c>
      <c r="B17" s="19" t="s">
        <v>106</v>
      </c>
      <c r="C17" s="23" t="n">
        <v>8830</v>
      </c>
      <c r="D17" s="23" t="n">
        <v>6500</v>
      </c>
      <c r="E17" s="35" t="n">
        <v>2</v>
      </c>
      <c r="F17" s="25" t="n">
        <f aca="false">D17+E17*$B$5</f>
        <v>7780</v>
      </c>
      <c r="G17" s="28" t="n">
        <f aca="false">C17-F17</f>
        <v>1050</v>
      </c>
      <c r="H17" s="32" t="n">
        <f aca="false">G17/C17</f>
        <v>0.118912797281993</v>
      </c>
      <c r="I17" s="34" t="n">
        <f aca="false">G17/E17</f>
        <v>525</v>
      </c>
      <c r="J17" s="20" t="str">
        <f aca="false">IF(I17&gt;=$B$8,"Over snittet — bærer bedriften","Under snittet — bæres av de andre")</f>
        <v>Over snittet — bærer bedriften</v>
      </c>
    </row>
    <row r="18" customFormat="false" ht="15" hidden="false" customHeight="false" outlineLevel="0" collapsed="false">
      <c r="A18" s="19" t="s">
        <v>108</v>
      </c>
      <c r="B18" s="19" t="s">
        <v>109</v>
      </c>
      <c r="C18" s="23" t="n">
        <v>4800</v>
      </c>
      <c r="D18" s="23" t="n">
        <v>1500</v>
      </c>
      <c r="E18" s="35" t="n">
        <v>4</v>
      </c>
      <c r="F18" s="25" t="n">
        <f aca="false">D18+E18*$B$5</f>
        <v>4060</v>
      </c>
      <c r="G18" s="28" t="n">
        <f aca="false">C18-F18</f>
        <v>740</v>
      </c>
      <c r="H18" s="32" t="n">
        <f aca="false">G18/C18</f>
        <v>0.154166666666667</v>
      </c>
      <c r="I18" s="34" t="n">
        <f aca="false">G18/E18</f>
        <v>185</v>
      </c>
      <c r="J18" s="20" t="str">
        <f aca="false">IF(I18&gt;=$B$8,"Over snittet — bærer bedriften","Under snittet — bæres av de andre")</f>
        <v>Under snittet — bæres av de andre</v>
      </c>
    </row>
    <row r="19" customFormat="false" ht="15" hidden="false" customHeight="false" outlineLevel="0" collapsed="false">
      <c r="A19" s="19" t="s">
        <v>154</v>
      </c>
      <c r="B19" s="19" t="s">
        <v>155</v>
      </c>
      <c r="C19" s="23" t="n">
        <v>84000</v>
      </c>
      <c r="D19" s="23" t="n">
        <v>62000</v>
      </c>
      <c r="E19" s="35" t="n">
        <v>24</v>
      </c>
      <c r="F19" s="25" t="n">
        <f aca="false">D19+E19*$B$5</f>
        <v>77360</v>
      </c>
      <c r="G19" s="25" t="n">
        <f aca="false">C19-F19</f>
        <v>6640</v>
      </c>
      <c r="H19" s="32" t="n">
        <f aca="false">G19/C19</f>
        <v>0.0790476190476191</v>
      </c>
      <c r="I19" s="36" t="n">
        <f aca="false">G19/E19</f>
        <v>276.666666666667</v>
      </c>
      <c r="J19" s="20" t="str">
        <f aca="false">IF(I19&gt;=$B$8,"Over snittet allerede første året","Under snittet — som en ny tjeneste pleier å være")</f>
        <v>Under snittet — som en ny tjeneste pleier å være</v>
      </c>
    </row>
    <row r="20" customFormat="false" ht="15" hidden="false" customHeight="false" outlineLevel="0" collapsed="false">
      <c r="J20" s="16" t="s">
        <v>156</v>
      </c>
    </row>
    <row r="22" customFormat="false" ht="15" hidden="false" customHeight="false" outlineLevel="0" collapsed="false">
      <c r="A22" s="17" t="s">
        <v>157</v>
      </c>
    </row>
    <row r="23" customFormat="false" ht="15" hidden="false" customHeight="false" outlineLevel="0" collapsed="false">
      <c r="A23" s="19" t="s">
        <v>158</v>
      </c>
      <c r="B23" s="34" t="n">
        <f aca="false">MAX(I12:I18)</f>
        <v>1216.66666666667</v>
      </c>
    </row>
    <row r="24" customFormat="false" ht="15" hidden="false" customHeight="false" outlineLevel="0" collapsed="false">
      <c r="A24" s="19" t="s">
        <v>159</v>
      </c>
      <c r="B24" s="34" t="n">
        <f aca="false">MIN(I12:I18)</f>
        <v>185</v>
      </c>
    </row>
    <row r="25" customFormat="false" ht="15" hidden="false" customHeight="false" outlineLevel="0" collapsed="false">
      <c r="A25" s="19" t="s">
        <v>160</v>
      </c>
      <c r="B25" s="36" t="n">
        <f aca="false">B23-B24</f>
        <v>1031.66666666667</v>
      </c>
      <c r="J25" s="19" t="s">
        <v>161</v>
      </c>
    </row>
    <row r="26" customFormat="false" ht="15" hidden="false" customHeight="false" outlineLevel="0" collapsed="false">
      <c r="A26" s="19" t="s">
        <v>162</v>
      </c>
      <c r="B26" s="30" t="n">
        <f aca="false">COUNTIF(I12:I18,"&gt;="&amp;$B$8)</f>
        <v>3</v>
      </c>
    </row>
    <row r="27" customFormat="false" ht="15" hidden="false" customHeight="false" outlineLevel="0" collapsed="false">
      <c r="A27" s="19" t="s">
        <v>163</v>
      </c>
      <c r="B27" s="30" t="n">
        <f aca="false">COUNTIF(I12:I18,"&lt;"&amp;$B$8)</f>
        <v>4</v>
      </c>
    </row>
    <row r="28" customFormat="false" ht="15" hidden="false" customHeight="false" outlineLevel="0" collapsed="false">
      <c r="A28" s="19" t="s">
        <v>164</v>
      </c>
      <c r="B28" s="25" t="n">
        <f aca="false">B23*B7</f>
        <v>17520000</v>
      </c>
      <c r="J28" s="19" t="s">
        <v>165</v>
      </c>
    </row>
    <row r="29" customFormat="false" ht="15" hidden="false" customHeight="false" outlineLevel="0" collapsed="false">
      <c r="A29" s="19" t="s">
        <v>166</v>
      </c>
      <c r="B29" s="25" t="n">
        <f aca="false">B24*B7</f>
        <v>2664000</v>
      </c>
    </row>
    <row r="31" customFormat="false" ht="15" hidden="false" customHeight="false" outlineLevel="0" collapsed="false">
      <c r="A31" s="17" t="s">
        <v>122</v>
      </c>
    </row>
    <row r="32" customFormat="false" ht="15" hidden="false" customHeight="false" outlineLevel="0" collapsed="false">
      <c r="A32" s="19" t="s">
        <v>167</v>
      </c>
      <c r="C32" s="33" t="str">
        <f aca="false">IF(MIN(G12:G19)&gt;0,"OK — alle tjenestene dekker sin egen merkost","AVVIK: en tjeneste med negativt dekningsbidrag taper penger på hvert eneste oppdrag")</f>
        <v>OK — alle tjenestene dekker sin egen merkost</v>
      </c>
    </row>
    <row r="33" customFormat="false" ht="15" hidden="false" customHeight="false" outlineLevel="0" collapsed="false">
      <c r="A33" s="19" t="s">
        <v>168</v>
      </c>
      <c r="C33" s="33" t="str">
        <f aca="false">IF(ABS(B8*B7-B6)&lt;1,"OK — snittet er dekningsbidraget delt på de fakturerte timene","AVVIK: snittet henger ikke sammen med dekningsbidraget i B6")</f>
        <v>OK — snittet er dekningsbidraget delt på de fakturerte timene</v>
      </c>
    </row>
    <row r="34" customFormat="false" ht="15" hidden="false" customHeight="false" outlineLevel="0" collapsed="false">
      <c r="A34" s="19" t="s">
        <v>169</v>
      </c>
      <c r="C34" s="33" t="str">
        <f aca="false">IF(AND(B26&gt;0,B27&gt;0),"OK — noen tjenester bærer bedriften og noen blir båret. Det er hele poenget med tabellen","AVVIK: ligger alle på samme side av snittet, er det ingenting å prioritere mellom")</f>
        <v>OK — noen tjenester bærer bedriften og noen blir båret. Det er hele poenget med tabellen</v>
      </c>
    </row>
    <row r="35" customFormat="false" ht="15" hidden="false" customHeight="false" outlineLevel="0" collapsed="false">
      <c r="A35" s="19" t="s">
        <v>170</v>
      </c>
      <c r="C35" s="33" t="str">
        <f aca="false">IF(I18=MIN(I12:I18),"OK — tjenesten i tilbakegang gir svakest bidrag per montørtime","AVVIK: en tjeneste i tilbakegang som gir godt bidrag, skal ikke saneres uten videre")</f>
        <v>OK — tjenesten i tilbakegang gir svakest bidrag per montørtime</v>
      </c>
    </row>
    <row r="37" customFormat="false" ht="15" hidden="false" customHeight="false" outlineLevel="0" collapsed="false">
      <c r="A37" s="21" t="s">
        <v>171</v>
      </c>
    </row>
    <row r="38" customFormat="false" ht="15" hidden="false" customHeight="false" outlineLevel="0" collapsed="false">
      <c r="A38" s="16" t="s">
        <v>172</v>
      </c>
    </row>
  </sheetData>
  <conditionalFormatting sqref="C32">
    <cfRule type="expression" priority="2" aboveAverage="0" equalAverage="0" bottom="0" percent="0" rank="0" text="" dxfId="0">
      <formula>LEFT(C32,5)="AVVIK"</formula>
    </cfRule>
  </conditionalFormatting>
  <conditionalFormatting sqref="C33">
    <cfRule type="expression" priority="3" aboveAverage="0" equalAverage="0" bottom="0" percent="0" rank="0" text="" dxfId="0">
      <formula>LEFT(C33,5)="AVVIK"</formula>
    </cfRule>
  </conditionalFormatting>
  <conditionalFormatting sqref="C34">
    <cfRule type="expression" priority="4" aboveAverage="0" equalAverage="0" bottom="0" percent="0" rank="0" text="" dxfId="0">
      <formula>LEFT(C34,5)="AVVIK"</formula>
    </cfRule>
  </conditionalFormatting>
  <conditionalFormatting sqref="C35">
    <cfRule type="expression" priority="5" aboveAverage="0" equalAverage="0" bottom="0" percent="0" rank="0" text="" dxfId="0">
      <formula>LEFT(C35,5)="AVVIK"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8"/>
    <col collapsed="false" customWidth="true" hidden="false" outlineLevel="0" max="4" min="4" style="0" width="16"/>
    <col collapsed="false" customWidth="true" hidden="false" outlineLevel="0" max="5" min="5" style="0" width="54"/>
  </cols>
  <sheetData>
    <row r="1" customFormat="false" ht="17.35" hidden="false" customHeight="false" outlineLevel="0" collapsed="false">
      <c r="A1" s="1" t="s">
        <v>173</v>
      </c>
    </row>
    <row r="2" customFormat="false" ht="15" hidden="false" customHeight="false" outlineLevel="0" collapsed="false">
      <c r="A2" s="15" t="s">
        <v>174</v>
      </c>
    </row>
    <row r="4" customFormat="false" ht="15" hidden="false" customHeight="false" outlineLevel="0" collapsed="false">
      <c r="A4" s="17" t="s">
        <v>175</v>
      </c>
    </row>
    <row r="5" customFormat="false" ht="15" hidden="false" customHeight="false" outlineLevel="0" collapsed="false">
      <c r="A5" s="16" t="s">
        <v>176</v>
      </c>
    </row>
    <row r="7" customFormat="false" ht="15" hidden="false" customHeight="false" outlineLevel="0" collapsed="false">
      <c r="A7" s="19" t="s">
        <v>177</v>
      </c>
      <c r="B7" s="26" t="n">
        <v>22</v>
      </c>
      <c r="E7" s="19" t="s">
        <v>178</v>
      </c>
    </row>
    <row r="8" customFormat="false" ht="15" hidden="false" customHeight="false" outlineLevel="0" collapsed="false">
      <c r="A8" s="19" t="s">
        <v>179</v>
      </c>
      <c r="B8" s="31" t="n">
        <f aca="false">Produktbidrag!E18</f>
        <v>4</v>
      </c>
    </row>
    <row r="9" customFormat="false" ht="15" hidden="false" customHeight="false" outlineLevel="0" collapsed="false">
      <c r="A9" s="19" t="s">
        <v>180</v>
      </c>
      <c r="B9" s="36" t="n">
        <f aca="false">Produktbidrag!G18</f>
        <v>740</v>
      </c>
    </row>
    <row r="10" customFormat="false" ht="15" hidden="false" customHeight="false" outlineLevel="0" collapsed="false">
      <c r="A10" s="21" t="s">
        <v>181</v>
      </c>
      <c r="B10" s="37" t="n">
        <f aca="false">B7*B8</f>
        <v>88</v>
      </c>
    </row>
    <row r="11" customFormat="false" ht="15" hidden="false" customHeight="false" outlineLevel="0" collapsed="false">
      <c r="A11" s="19" t="s">
        <v>182</v>
      </c>
      <c r="B11" s="32" t="n">
        <f aca="false">B10/Produktbidrag!B7</f>
        <v>0.00611111111111111</v>
      </c>
      <c r="E11" s="19" t="s">
        <v>183</v>
      </c>
    </row>
    <row r="12" customFormat="false" ht="15" hidden="false" customHeight="false" outlineLevel="0" collapsed="false">
      <c r="A12" s="21" t="s">
        <v>184</v>
      </c>
      <c r="B12" s="28" t="n">
        <f aca="false">B7*B9</f>
        <v>16280</v>
      </c>
    </row>
    <row r="13" customFormat="false" ht="15" hidden="false" customHeight="false" outlineLevel="0" collapsed="false">
      <c r="A13" s="19" t="s">
        <v>185</v>
      </c>
      <c r="B13" s="36" t="n">
        <f aca="false">Produktbidrag!B23</f>
        <v>1216.66666666667</v>
      </c>
    </row>
    <row r="14" customFormat="false" ht="15" hidden="false" customHeight="false" outlineLevel="0" collapsed="false">
      <c r="A14" s="19" t="s">
        <v>186</v>
      </c>
      <c r="B14" s="28" t="n">
        <f aca="false">B10*B13</f>
        <v>107066.666666667</v>
      </c>
    </row>
    <row r="15" customFormat="false" ht="15" hidden="false" customHeight="false" outlineLevel="0" collapsed="false">
      <c r="A15" s="21" t="s">
        <v>187</v>
      </c>
      <c r="B15" s="28" t="n">
        <f aca="false">B14-B12</f>
        <v>90786.6666666667</v>
      </c>
      <c r="E15" s="19" t="s">
        <v>188</v>
      </c>
    </row>
    <row r="17" customFormat="false" ht="15" hidden="false" customHeight="false" outlineLevel="0" collapsed="false">
      <c r="A17" s="17" t="s">
        <v>122</v>
      </c>
    </row>
    <row r="18" customFormat="false" ht="15" hidden="false" customHeight="false" outlineLevel="0" collapsed="false">
      <c r="A18" s="19" t="s">
        <v>189</v>
      </c>
      <c r="C18" s="33" t="str">
        <f aca="false">IF(B15&gt;0,"OK — timene gir mer et annet sted, forutsatt at det finnes oppdrag å flytte dem til","AVVIK: tjenesten gir mer per time enn alternativet — da skal den ikke saneres")</f>
        <v>OK — timene gir mer et annet sted, forutsatt at det finnes oppdrag å flytte dem til</v>
      </c>
    </row>
    <row r="21" customFormat="false" ht="15" hidden="false" customHeight="false" outlineLevel="0" collapsed="false">
      <c r="A21" s="17" t="s">
        <v>190</v>
      </c>
    </row>
    <row r="22" customFormat="false" ht="15" hidden="false" customHeight="false" outlineLevel="0" collapsed="false">
      <c r="A22" s="16" t="s">
        <v>191</v>
      </c>
    </row>
    <row r="24" customFormat="false" ht="15" hidden="false" customHeight="false" outlineLevel="0" collapsed="false">
      <c r="A24" s="19" t="s">
        <v>192</v>
      </c>
      <c r="B24" s="36" t="n">
        <f aca="false">Produktbidrag!C12</f>
        <v>6820</v>
      </c>
      <c r="E24" s="19" t="s">
        <v>193</v>
      </c>
    </row>
    <row r="25" customFormat="false" ht="15" hidden="false" customHeight="false" outlineLevel="0" collapsed="false">
      <c r="A25" s="19" t="s">
        <v>194</v>
      </c>
      <c r="B25" s="36" t="n">
        <f aca="false">Produktbidrag!F12</f>
        <v>5920</v>
      </c>
    </row>
    <row r="26" customFormat="false" ht="15" hidden="false" customHeight="false" outlineLevel="0" collapsed="false">
      <c r="A26" s="19" t="s">
        <v>195</v>
      </c>
      <c r="B26" s="34" t="n">
        <f aca="false">B24-B25</f>
        <v>900</v>
      </c>
    </row>
    <row r="27" customFormat="false" ht="15" hidden="false" customHeight="false" outlineLevel="0" collapsed="false">
      <c r="A27" s="19" t="s">
        <v>196</v>
      </c>
      <c r="B27" s="31" t="n">
        <f aca="false">Produktbidrag!E12</f>
        <v>3</v>
      </c>
    </row>
    <row r="29" customFormat="false" ht="27.75" hidden="false" customHeight="true" outlineLevel="0" collapsed="false">
      <c r="A29" s="22"/>
      <c r="B29" s="22" t="s">
        <v>197</v>
      </c>
      <c r="C29" s="22" t="s">
        <v>198</v>
      </c>
      <c r="D29" s="22"/>
      <c r="E29" s="22" t="s">
        <v>199</v>
      </c>
    </row>
    <row r="30" customFormat="false" ht="15" hidden="false" customHeight="false" outlineLevel="0" collapsed="false">
      <c r="A30" s="19" t="s">
        <v>200</v>
      </c>
      <c r="B30" s="24" t="n">
        <v>0.1</v>
      </c>
      <c r="C30" s="38" t="n">
        <v>250</v>
      </c>
      <c r="E30" s="19" t="s">
        <v>201</v>
      </c>
    </row>
    <row r="31" customFormat="false" ht="15" hidden="false" customHeight="false" outlineLevel="0" collapsed="false">
      <c r="A31" s="19" t="s">
        <v>202</v>
      </c>
      <c r="B31" s="36" t="n">
        <f aca="false">$B$24*(1-B30)</f>
        <v>6138</v>
      </c>
      <c r="C31" s="36" t="n">
        <f aca="false">$B$24</f>
        <v>6820</v>
      </c>
      <c r="E31" s="19" t="s">
        <v>203</v>
      </c>
    </row>
    <row r="32" customFormat="false" ht="15" hidden="false" customHeight="false" outlineLevel="0" collapsed="false">
      <c r="A32" s="19" t="s">
        <v>204</v>
      </c>
      <c r="B32" s="36" t="n">
        <f aca="false">$B$25</f>
        <v>5920</v>
      </c>
      <c r="C32" s="36" t="n">
        <f aca="false">$B$25+C30</f>
        <v>6170</v>
      </c>
    </row>
    <row r="33" customFormat="false" ht="15" hidden="false" customHeight="false" outlineLevel="0" collapsed="false">
      <c r="A33" s="21" t="s">
        <v>205</v>
      </c>
      <c r="B33" s="34" t="n">
        <f aca="false">B31-B32</f>
        <v>218</v>
      </c>
      <c r="C33" s="34" t="n">
        <f aca="false">C31-C32</f>
        <v>650</v>
      </c>
    </row>
    <row r="34" customFormat="false" ht="15" hidden="false" customHeight="false" outlineLevel="0" collapsed="false">
      <c r="A34" s="19" t="s">
        <v>206</v>
      </c>
      <c r="B34" s="32" t="n">
        <f aca="false">B33/$B$26-1</f>
        <v>-0.757777777777778</v>
      </c>
      <c r="C34" s="32" t="n">
        <f aca="false">C33/$B$26-1</f>
        <v>-0.277777777777778</v>
      </c>
    </row>
    <row r="35" customFormat="false" ht="15" hidden="false" customHeight="false" outlineLevel="0" collapsed="false">
      <c r="A35" s="21" t="s">
        <v>207</v>
      </c>
      <c r="B35" s="37" t="n">
        <f aca="false">IF(B33&lt;=0,"umulig",$B$26/B33)</f>
        <v>4.12844036697248</v>
      </c>
      <c r="C35" s="37" t="n">
        <f aca="false">IF(C33&lt;=0,"umulig",$B$26/C33)</f>
        <v>1.38461538461538</v>
      </c>
      <c r="E35" s="19" t="s">
        <v>208</v>
      </c>
    </row>
    <row r="36" customFormat="false" ht="15" hidden="false" customHeight="false" outlineLevel="0" collapsed="false">
      <c r="A36" s="19" t="s">
        <v>209</v>
      </c>
      <c r="B36" s="32" t="n">
        <f aca="false">IF(B33&lt;=0,"umulig",B35-1)</f>
        <v>3.12844036697248</v>
      </c>
      <c r="C36" s="32" t="n">
        <f aca="false">IF(C33&lt;=0,"umulig",C35-1)</f>
        <v>0.384615384615385</v>
      </c>
    </row>
    <row r="37" customFormat="false" ht="15" hidden="false" customHeight="false" outlineLevel="0" collapsed="false">
      <c r="A37" s="19" t="s">
        <v>210</v>
      </c>
      <c r="B37" s="36" t="n">
        <f aca="false">B33/$B$27</f>
        <v>72.6666666666667</v>
      </c>
      <c r="C37" s="36" t="n">
        <f aca="false">C33/$B$27</f>
        <v>216.666666666667</v>
      </c>
    </row>
    <row r="38" customFormat="false" ht="15" hidden="false" customHeight="false" outlineLevel="0" collapsed="false">
      <c r="A38" s="19" t="s">
        <v>211</v>
      </c>
      <c r="B38" s="20" t="str">
        <f aca="false">IF(B37&gt;=Produktbidrag!$B$8,"over","under")</f>
        <v>under</v>
      </c>
      <c r="C38" s="20" t="str">
        <f aca="false">IF(C37&gt;=Produktbidrag!$B$8,"over","under")</f>
        <v>under</v>
      </c>
    </row>
    <row r="39" customFormat="false" ht="15" hidden="false" customHeight="false" outlineLevel="0" collapsed="false">
      <c r="A39" s="21" t="s">
        <v>212</v>
      </c>
      <c r="E39" s="39" t="str">
        <f aca="false">IF(C35&lt;B35,"Produktløftet krever minst volumøkning. Svar med produktet, ikke med prisen","Prisavslaget krever minst volumøkning. Sjekk om produktløftet er priset for dyrt")</f>
        <v>Produktløftet krever minst volumøkning. Svar med produktet, ikke med prisen</v>
      </c>
    </row>
    <row r="41" customFormat="false" ht="15" hidden="false" customHeight="false" outlineLevel="0" collapsed="false">
      <c r="A41" s="17" t="s">
        <v>122</v>
      </c>
    </row>
    <row r="42" customFormat="false" ht="15" hidden="false" customHeight="false" outlineLevel="0" collapsed="false">
      <c r="A42" s="19" t="s">
        <v>213</v>
      </c>
      <c r="C42" s="33" t="str">
        <f aca="false">IF(B33&gt;0,"OK — avslaget spiser ikke hele bidraget","AVVIK: prisavslaget gir null eller negativt dekningsbidrag — da finnes det ingen volumøkning som redder jobben")</f>
        <v>OK — avslaget spiser ikke hele bidraget</v>
      </c>
    </row>
    <row r="43" customFormat="false" ht="15" hidden="false" customHeight="false" outlineLevel="0" collapsed="false">
      <c r="A43" s="19" t="s">
        <v>214</v>
      </c>
      <c r="C43" s="33" t="str">
        <f aca="false">IF(C30&lt;B26,"OK — produktløftet koster mindre enn dekningsbidraget på oppdraget","AVVIK: et produktløft som koster mer enn bidraget, er en prisreduksjon i forkledning")</f>
        <v>OK — produktløftet koster mindre enn dekningsbidraget på oppdraget</v>
      </c>
    </row>
    <row r="46" customFormat="false" ht="15" hidden="false" customHeight="false" outlineLevel="0" collapsed="false">
      <c r="A46" s="17" t="s">
        <v>215</v>
      </c>
    </row>
    <row r="47" customFormat="false" ht="15" hidden="false" customHeight="false" outlineLevel="0" collapsed="false">
      <c r="A47" s="16" t="s">
        <v>216</v>
      </c>
    </row>
    <row r="49" customFormat="false" ht="15" hidden="false" customHeight="false" outlineLevel="0" collapsed="false">
      <c r="A49" s="19" t="s">
        <v>217</v>
      </c>
      <c r="B49" s="26" t="n">
        <v>6</v>
      </c>
    </row>
    <row r="50" customFormat="false" ht="15" hidden="false" customHeight="false" outlineLevel="0" collapsed="false">
      <c r="A50" s="19" t="s">
        <v>218</v>
      </c>
      <c r="B50" s="36" t="n">
        <f aca="false">Produktbidrag!G19</f>
        <v>6640</v>
      </c>
    </row>
    <row r="51" customFormat="false" ht="15" hidden="false" customHeight="false" outlineLevel="0" collapsed="false">
      <c r="A51" s="19" t="s">
        <v>219</v>
      </c>
      <c r="B51" s="31" t="n">
        <f aca="false">Produktbidrag!E19</f>
        <v>24</v>
      </c>
    </row>
    <row r="52" customFormat="false" ht="15" hidden="false" customHeight="false" outlineLevel="0" collapsed="false">
      <c r="A52" s="21" t="s">
        <v>220</v>
      </c>
      <c r="B52" s="28" t="n">
        <f aca="false">B49*B50</f>
        <v>39840</v>
      </c>
    </row>
    <row r="53" customFormat="false" ht="15" hidden="false" customHeight="false" outlineLevel="0" collapsed="false">
      <c r="A53" s="21" t="s">
        <v>221</v>
      </c>
      <c r="B53" s="37" t="n">
        <f aca="false">B49*B51</f>
        <v>144</v>
      </c>
    </row>
    <row r="54" customFormat="false" ht="15" hidden="false" customHeight="false" outlineLevel="0" collapsed="false">
      <c r="A54" s="19" t="s">
        <v>222</v>
      </c>
      <c r="B54" s="25" t="n">
        <f aca="false">B53*Produktbidrag!B23</f>
        <v>175200</v>
      </c>
    </row>
    <row r="55" customFormat="false" ht="15" hidden="false" customHeight="false" outlineLevel="0" collapsed="false">
      <c r="A55" s="21" t="s">
        <v>223</v>
      </c>
      <c r="B55" s="28" t="n">
        <f aca="false">B54-B52</f>
        <v>135360</v>
      </c>
      <c r="E55" s="19" t="s">
        <v>224</v>
      </c>
    </row>
    <row r="56" customFormat="false" ht="15" hidden="false" customHeight="false" outlineLevel="0" collapsed="false">
      <c r="A56" s="19" t="s">
        <v>225</v>
      </c>
      <c r="B56" s="36" t="n">
        <f aca="false">B55/B49</f>
        <v>22560</v>
      </c>
    </row>
    <row r="58" customFormat="false" ht="15" hidden="false" customHeight="false" outlineLevel="0" collapsed="false">
      <c r="A58" s="17" t="s">
        <v>122</v>
      </c>
    </row>
    <row r="59" customFormat="false" ht="15" hidden="false" customHeight="false" outlineLevel="0" collapsed="false">
      <c r="A59" s="19" t="s">
        <v>226</v>
      </c>
      <c r="C59" s="33" t="str">
        <f aca="false">IF(B50&gt;0,"OK — anlegget dekker sin egen merkost fra første jobb","AVVIK: prisen dekker ikke engang materiell og montørtimer")</f>
        <v>OK — anlegget dekker sin egen merkost fra første jobb</v>
      </c>
    </row>
    <row r="60" customFormat="false" ht="15" hidden="false" customHeight="false" outlineLevel="0" collapsed="false">
      <c r="A60" s="19" t="s">
        <v>227</v>
      </c>
      <c r="C60" s="33" t="str">
        <f aca="false">IF(B55&gt;0,"OK — satsingen koster bidrag på kort sikt, og det er normalt i introduksjonsfasen","AVVIK: den nye tjenesten gir bedre bidrag per time enn den beste etablerte allerede første året — kontroller anslagene")</f>
        <v>OK — satsingen koster bidrag på kort sikt, og det er normalt i introduksjonsfasen</v>
      </c>
    </row>
    <row r="61" customFormat="false" ht="15" hidden="false" customHeight="false" outlineLevel="0" collapsed="false">
      <c r="A61" s="16" t="s">
        <v>228</v>
      </c>
    </row>
    <row r="62" customFormat="false" ht="15" hidden="false" customHeight="false" outlineLevel="0" collapsed="false">
      <c r="A62" s="16" t="s">
        <v>229</v>
      </c>
    </row>
  </sheetData>
  <conditionalFormatting sqref="C18">
    <cfRule type="expression" priority="2" aboveAverage="0" equalAverage="0" bottom="0" percent="0" rank="0" text="" dxfId="0">
      <formula>LEFT(C18,5)="AVVIK"</formula>
    </cfRule>
  </conditionalFormatting>
  <conditionalFormatting sqref="C42">
    <cfRule type="expression" priority="3" aboveAverage="0" equalAverage="0" bottom="0" percent="0" rank="0" text="" dxfId="0">
      <formula>LEFT(C42,5)="AVVIK"</formula>
    </cfRule>
  </conditionalFormatting>
  <conditionalFormatting sqref="C43">
    <cfRule type="expression" priority="4" aboveAverage="0" equalAverage="0" bottom="0" percent="0" rank="0" text="" dxfId="0">
      <formula>LEFT(C43,5)="AVVIK"</formula>
    </cfRule>
  </conditionalFormatting>
  <conditionalFormatting sqref="C59">
    <cfRule type="expression" priority="5" aboveAverage="0" equalAverage="0" bottom="0" percent="0" rank="0" text="" dxfId="0">
      <formula>LEFT(C59,5)="AVVIK"</formula>
    </cfRule>
  </conditionalFormatting>
  <conditionalFormatting sqref="C60">
    <cfRule type="expression" priority="6" aboveAverage="0" equalAverage="0" bottom="0" percent="0" rank="0" text="" dxfId="0">
      <formula>LEFT(C60,5)="AVVIK"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5"/>
    <col collapsed="false" customWidth="true" hidden="false" outlineLevel="0" max="5" min="4" style="0" width="13"/>
    <col collapsed="false" customWidth="true" hidden="false" outlineLevel="0" max="6" min="6" style="0" width="15"/>
    <col collapsed="false" customWidth="true" hidden="false" outlineLevel="0" max="7" min="7" style="0" width="16"/>
    <col collapsed="false" customWidth="true" hidden="false" outlineLevel="0" max="8" min="8" style="0" width="13"/>
    <col collapsed="false" customWidth="true" hidden="false" outlineLevel="0" max="9" min="9" style="0" width="18"/>
    <col collapsed="false" customWidth="true" hidden="false" outlineLevel="0" max="10" min="10" style="0" width="30"/>
  </cols>
  <sheetData>
    <row r="1" customFormat="false" ht="17.35" hidden="false" customHeight="false" outlineLevel="0" collapsed="false">
      <c r="A1" s="1" t="s">
        <v>230</v>
      </c>
    </row>
    <row r="2" customFormat="false" ht="15" hidden="false" customHeight="false" outlineLevel="0" collapsed="false">
      <c r="A2" s="15" t="s">
        <v>231</v>
      </c>
    </row>
    <row r="4" customFormat="false" ht="15" hidden="false" customHeight="false" outlineLevel="0" collapsed="false">
      <c r="A4" s="19" t="s">
        <v>132</v>
      </c>
      <c r="B4" s="23" t="n">
        <v>0</v>
      </c>
    </row>
    <row r="5" customFormat="false" ht="15" hidden="false" customHeight="false" outlineLevel="0" collapsed="false">
      <c r="A5" s="19" t="s">
        <v>232</v>
      </c>
      <c r="B5" s="23" t="n">
        <v>0</v>
      </c>
    </row>
    <row r="6" customFormat="false" ht="15" hidden="false" customHeight="false" outlineLevel="0" collapsed="false">
      <c r="A6" s="19" t="s">
        <v>233</v>
      </c>
      <c r="B6" s="26" t="n">
        <v>0</v>
      </c>
    </row>
    <row r="7" customFormat="false" ht="15" hidden="false" customHeight="false" outlineLevel="0" collapsed="false">
      <c r="A7" s="21" t="s">
        <v>135</v>
      </c>
      <c r="B7" s="34" t="str">
        <f aca="false">IF(B6=0,"",B5/B6)</f>
        <v/>
      </c>
      <c r="J7" s="19" t="s">
        <v>234</v>
      </c>
    </row>
    <row r="9" customFormat="false" ht="27.75" hidden="false" customHeight="true" outlineLevel="0" collapsed="false">
      <c r="A9" s="22" t="s">
        <v>138</v>
      </c>
      <c r="B9" s="22" t="s">
        <v>139</v>
      </c>
      <c r="C9" s="22" t="s">
        <v>140</v>
      </c>
      <c r="D9" s="22" t="s">
        <v>141</v>
      </c>
      <c r="E9" s="22" t="s">
        <v>142</v>
      </c>
      <c r="F9" s="22" t="s">
        <v>143</v>
      </c>
      <c r="G9" s="22" t="s">
        <v>144</v>
      </c>
      <c r="H9" s="22" t="s">
        <v>145</v>
      </c>
      <c r="I9" s="22" t="s">
        <v>146</v>
      </c>
      <c r="J9" s="22" t="s">
        <v>147</v>
      </c>
    </row>
    <row r="10" customFormat="false" ht="15" hidden="false" customHeight="false" outlineLevel="0" collapsed="false">
      <c r="A10" s="18"/>
      <c r="B10" s="18"/>
      <c r="C10" s="23" t="n">
        <v>0</v>
      </c>
      <c r="D10" s="23" t="n">
        <v>0</v>
      </c>
      <c r="E10" s="35" t="n">
        <v>0</v>
      </c>
      <c r="F10" s="25" t="n">
        <f aca="false">D10+E10*$B$4</f>
        <v>0</v>
      </c>
      <c r="G10" s="25" t="str">
        <f aca="false">IF(C10=0,"",C10-F10)</f>
        <v/>
      </c>
      <c r="H10" s="32" t="str">
        <f aca="false">IF(C10=0,"",G10/C10)</f>
        <v/>
      </c>
      <c r="I10" s="36" t="str">
        <f aca="false">IF(E10=0,"",G10/E10)</f>
        <v/>
      </c>
      <c r="J10" s="20" t="str">
        <f aca="false">IF(OR(E10=0,$B$7=""),"",IF(I10&gt;=$B$7,"Over snittet","Under snittet"))</f>
        <v/>
      </c>
    </row>
    <row r="11" customFormat="false" ht="15" hidden="false" customHeight="false" outlineLevel="0" collapsed="false">
      <c r="A11" s="18"/>
      <c r="B11" s="18"/>
      <c r="C11" s="23" t="n">
        <v>0</v>
      </c>
      <c r="D11" s="23" t="n">
        <v>0</v>
      </c>
      <c r="E11" s="35" t="n">
        <v>0</v>
      </c>
      <c r="F11" s="25" t="n">
        <f aca="false">D11+E11*$B$4</f>
        <v>0</v>
      </c>
      <c r="G11" s="25" t="str">
        <f aca="false">IF(C11=0,"",C11-F11)</f>
        <v/>
      </c>
      <c r="H11" s="32" t="str">
        <f aca="false">IF(C11=0,"",G11/C11)</f>
        <v/>
      </c>
      <c r="I11" s="36" t="str">
        <f aca="false">IF(E11=0,"",G11/E11)</f>
        <v/>
      </c>
      <c r="J11" s="20" t="str">
        <f aca="false">IF(OR(E11=0,$B$7=""),"",IF(I11&gt;=$B$7,"Over snittet","Under snittet"))</f>
        <v/>
      </c>
    </row>
    <row r="12" customFormat="false" ht="15" hidden="false" customHeight="false" outlineLevel="0" collapsed="false">
      <c r="A12" s="18"/>
      <c r="B12" s="18"/>
      <c r="C12" s="23" t="n">
        <v>0</v>
      </c>
      <c r="D12" s="23" t="n">
        <v>0</v>
      </c>
      <c r="E12" s="35" t="n">
        <v>0</v>
      </c>
      <c r="F12" s="25" t="n">
        <f aca="false">D12+E12*$B$4</f>
        <v>0</v>
      </c>
      <c r="G12" s="25" t="str">
        <f aca="false">IF(C12=0,"",C12-F12)</f>
        <v/>
      </c>
      <c r="H12" s="32" t="str">
        <f aca="false">IF(C12=0,"",G12/C12)</f>
        <v/>
      </c>
      <c r="I12" s="36" t="str">
        <f aca="false">IF(E12=0,"",G12/E12)</f>
        <v/>
      </c>
      <c r="J12" s="20" t="str">
        <f aca="false">IF(OR(E12=0,$B$7=""),"",IF(I12&gt;=$B$7,"Over snittet","Under snittet"))</f>
        <v/>
      </c>
    </row>
    <row r="13" customFormat="false" ht="15" hidden="false" customHeight="false" outlineLevel="0" collapsed="false">
      <c r="A13" s="18"/>
      <c r="B13" s="18"/>
      <c r="C13" s="23" t="n">
        <v>0</v>
      </c>
      <c r="D13" s="23" t="n">
        <v>0</v>
      </c>
      <c r="E13" s="35" t="n">
        <v>0</v>
      </c>
      <c r="F13" s="25" t="n">
        <f aca="false">D13+E13*$B$4</f>
        <v>0</v>
      </c>
      <c r="G13" s="25" t="str">
        <f aca="false">IF(C13=0,"",C13-F13)</f>
        <v/>
      </c>
      <c r="H13" s="32" t="str">
        <f aca="false">IF(C13=0,"",G13/C13)</f>
        <v/>
      </c>
      <c r="I13" s="36" t="str">
        <f aca="false">IF(E13=0,"",G13/E13)</f>
        <v/>
      </c>
      <c r="J13" s="20" t="str">
        <f aca="false">IF(OR(E13=0,$B$7=""),"",IF(I13&gt;=$B$7,"Over snittet","Under snittet"))</f>
        <v/>
      </c>
    </row>
    <row r="14" customFormat="false" ht="15" hidden="false" customHeight="false" outlineLevel="0" collapsed="false">
      <c r="A14" s="18"/>
      <c r="B14" s="18"/>
      <c r="C14" s="23" t="n">
        <v>0</v>
      </c>
      <c r="D14" s="23" t="n">
        <v>0</v>
      </c>
      <c r="E14" s="35" t="n">
        <v>0</v>
      </c>
      <c r="F14" s="25" t="n">
        <f aca="false">D14+E14*$B$4</f>
        <v>0</v>
      </c>
      <c r="G14" s="25" t="str">
        <f aca="false">IF(C14=0,"",C14-F14)</f>
        <v/>
      </c>
      <c r="H14" s="32" t="str">
        <f aca="false">IF(C14=0,"",G14/C14)</f>
        <v/>
      </c>
      <c r="I14" s="36" t="str">
        <f aca="false">IF(E14=0,"",G14/E14)</f>
        <v/>
      </c>
      <c r="J14" s="20" t="str">
        <f aca="false">IF(OR(E14=0,$B$7=""),"",IF(I14&gt;=$B$7,"Over snittet","Under snittet"))</f>
        <v/>
      </c>
    </row>
    <row r="15" customFormat="false" ht="15" hidden="false" customHeight="false" outlineLevel="0" collapsed="false">
      <c r="A15" s="18"/>
      <c r="B15" s="18"/>
      <c r="C15" s="23" t="n">
        <v>0</v>
      </c>
      <c r="D15" s="23" t="n">
        <v>0</v>
      </c>
      <c r="E15" s="35" t="n">
        <v>0</v>
      </c>
      <c r="F15" s="25" t="n">
        <f aca="false">D15+E15*$B$4</f>
        <v>0</v>
      </c>
      <c r="G15" s="25" t="str">
        <f aca="false">IF(C15=0,"",C15-F15)</f>
        <v/>
      </c>
      <c r="H15" s="32" t="str">
        <f aca="false">IF(C15=0,"",G15/C15)</f>
        <v/>
      </c>
      <c r="I15" s="36" t="str">
        <f aca="false">IF(E15=0,"",G15/E15)</f>
        <v/>
      </c>
      <c r="J15" s="20" t="str">
        <f aca="false">IF(OR(E15=0,$B$7=""),"",IF(I15&gt;=$B$7,"Over snittet","Under snittet"))</f>
        <v/>
      </c>
    </row>
    <row r="16" customFormat="false" ht="15" hidden="false" customHeight="false" outlineLevel="0" collapsed="false">
      <c r="A16" s="18"/>
      <c r="B16" s="18"/>
      <c r="C16" s="23" t="n">
        <v>0</v>
      </c>
      <c r="D16" s="23" t="n">
        <v>0</v>
      </c>
      <c r="E16" s="35" t="n">
        <v>0</v>
      </c>
      <c r="F16" s="25" t="n">
        <f aca="false">D16+E16*$B$4</f>
        <v>0</v>
      </c>
      <c r="G16" s="25" t="str">
        <f aca="false">IF(C16=0,"",C16-F16)</f>
        <v/>
      </c>
      <c r="H16" s="32" t="str">
        <f aca="false">IF(C16=0,"",G16/C16)</f>
        <v/>
      </c>
      <c r="I16" s="36" t="str">
        <f aca="false">IF(E16=0,"",G16/E16)</f>
        <v/>
      </c>
      <c r="J16" s="20" t="str">
        <f aca="false">IF(OR(E16=0,$B$7=""),"",IF(I16&gt;=$B$7,"Over snittet","Under snittet"))</f>
        <v/>
      </c>
    </row>
    <row r="17" customFormat="false" ht="15" hidden="false" customHeight="false" outlineLevel="0" collapsed="false">
      <c r="A17" s="18"/>
      <c r="B17" s="18"/>
      <c r="C17" s="23" t="n">
        <v>0</v>
      </c>
      <c r="D17" s="23" t="n">
        <v>0</v>
      </c>
      <c r="E17" s="35" t="n">
        <v>0</v>
      </c>
      <c r="F17" s="25" t="n">
        <f aca="false">D17+E17*$B$4</f>
        <v>0</v>
      </c>
      <c r="G17" s="25" t="str">
        <f aca="false">IF(C17=0,"",C17-F17)</f>
        <v/>
      </c>
      <c r="H17" s="32" t="str">
        <f aca="false">IF(C17=0,"",G17/C17)</f>
        <v/>
      </c>
      <c r="I17" s="36" t="str">
        <f aca="false">IF(E17=0,"",G17/E17)</f>
        <v/>
      </c>
      <c r="J17" s="20" t="str">
        <f aca="false">IF(OR(E17=0,$B$7=""),"",IF(I17&gt;=$B$7,"Over snittet","Under snittet"))</f>
        <v/>
      </c>
    </row>
    <row r="18" customFormat="false" ht="15" hidden="false" customHeight="false" outlineLevel="0" collapsed="false">
      <c r="A18" s="18"/>
      <c r="B18" s="18"/>
      <c r="C18" s="23" t="n">
        <v>0</v>
      </c>
      <c r="D18" s="23" t="n">
        <v>0</v>
      </c>
      <c r="E18" s="35" t="n">
        <v>0</v>
      </c>
      <c r="F18" s="25" t="n">
        <f aca="false">D18+E18*$B$4</f>
        <v>0</v>
      </c>
      <c r="G18" s="25" t="str">
        <f aca="false">IF(C18=0,"",C18-F18)</f>
        <v/>
      </c>
      <c r="H18" s="32" t="str">
        <f aca="false">IF(C18=0,"",G18/C18)</f>
        <v/>
      </c>
      <c r="I18" s="36" t="str">
        <f aca="false">IF(E18=0,"",G18/E18)</f>
        <v/>
      </c>
      <c r="J18" s="20" t="str">
        <f aca="false">IF(OR(E18=0,$B$7=""),"",IF(I18&gt;=$B$7,"Over snittet","Under snittet"))</f>
        <v/>
      </c>
    </row>
    <row r="19" customFormat="false" ht="15" hidden="false" customHeight="false" outlineLevel="0" collapsed="false">
      <c r="A19" s="18"/>
      <c r="B19" s="18"/>
      <c r="C19" s="23" t="n">
        <v>0</v>
      </c>
      <c r="D19" s="23" t="n">
        <v>0</v>
      </c>
      <c r="E19" s="35" t="n">
        <v>0</v>
      </c>
      <c r="F19" s="25" t="n">
        <f aca="false">D19+E19*$B$4</f>
        <v>0</v>
      </c>
      <c r="G19" s="25" t="str">
        <f aca="false">IF(C19=0,"",C19-F19)</f>
        <v/>
      </c>
      <c r="H19" s="32" t="str">
        <f aca="false">IF(C19=0,"",G19/C19)</f>
        <v/>
      </c>
      <c r="I19" s="36" t="str">
        <f aca="false">IF(E19=0,"",G19/E19)</f>
        <v/>
      </c>
      <c r="J19" s="20" t="str">
        <f aca="false">IF(OR(E19=0,$B$7=""),"",IF(I19&gt;=$B$7,"Over snittet","Under snittet"))</f>
        <v/>
      </c>
    </row>
    <row r="21" customFormat="false" ht="15" hidden="false" customHeight="false" outlineLevel="0" collapsed="false">
      <c r="A21" s="17" t="s">
        <v>122</v>
      </c>
    </row>
    <row r="22" customFormat="false" ht="15" hidden="false" customHeight="false" outlineLevel="0" collapsed="false">
      <c r="A22" s="19" t="s">
        <v>235</v>
      </c>
      <c r="C22" s="33" t="str">
        <f aca="false">IF(B6&gt;0,"OK — målestokken er på plass, og kolonne J kan svare","AVVIK: fyll inn dekningsbidrag og fakturerte timer i B5 og B6 først — uten en målestokk er tabellen bare tall")</f>
        <v>AVVIK: fyll inn dekningsbidrag og fakturerte timer i B5 og B6 først — uten en målestokk er tabellen bare tall</v>
      </c>
    </row>
    <row r="23" customFormat="false" ht="15" hidden="false" customHeight="false" outlineLevel="0" collapsed="false">
      <c r="A23" s="19" t="s">
        <v>236</v>
      </c>
      <c r="C23" s="33" t="str">
        <f aca="false">IF(COUNTIF(G10:G19,"&lt;0")=0,"OK — ingen av tjenestene taper penger på hvert oppdrag","AVVIK: minst én tjeneste har negativt dekningsbidrag. Den skal du enten prise om eller slutte med")</f>
        <v>OK — ingen av tjenestene taper penger på hvert oppdrag</v>
      </c>
    </row>
    <row r="25" customFormat="false" ht="15" hidden="false" customHeight="false" outlineLevel="0" collapsed="false">
      <c r="A25" s="21" t="s">
        <v>237</v>
      </c>
    </row>
  </sheetData>
  <conditionalFormatting sqref="C22">
    <cfRule type="expression" priority="2" aboveAverage="0" equalAverage="0" bottom="0" percent="0" rank="0" text="" dxfId="0">
      <formula>LEFT(C22,5)="AVVIK"</formula>
    </cfRule>
  </conditionalFormatting>
  <conditionalFormatting sqref="C23">
    <cfRule type="expression" priority="3" aboveAverage="0" equalAverage="0" bottom="0" percent="0" rank="0" text="" dxfId="0">
      <formula>LEFT(C23,5)="AVVIK"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2026-09-11T09:30:08Z</dcterms:created>
  <dc:creator>openpyxl</dc:creator>
  <dc:description/>
  <dc:language>en-US</dc:language>
  <cp:lastModifiedBy/>
  <dcterms:modified xsi:type="dcterms:W3CDTF">2026-10-07T06:05:33Z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