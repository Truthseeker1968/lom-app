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<sst xmlns="http://schemas.openxmlformats.org/spreadsheetml/2006/main" count="201" uniqueCount="170">
  <si>
    <t xml:space="preserve">Klasseoppgaver til Organisasjon og ledelse kapittel 15: Nyere organisasjonsteorier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</si>
  <si>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</si>
  <si>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</si>
  <si>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</si>
  <si>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</si>
  <si>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</si>
  <si>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</si>
  <si>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</si>
  <si>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</si>
  <si>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timeregistreringen virker, eller gjør den? (Nordlys)</t>
  </si>
  <si>
    <t xml:space="preserve">A2</t>
  </si>
  <si>
    <t xml:space="preserve">Fjell Elektro: et valg på én ettermiddag, og to montører med ulike behov (Egen el-bedrift)</t>
  </si>
  <si>
    <t xml:space="preserve">B1</t>
  </si>
  <si>
    <t xml:space="preserve">Nordlys: ett prosjekt på tvers av tre avdelinger (Nordlys)</t>
  </si>
  <si>
    <t xml:space="preserve">B2</t>
  </si>
  <si>
    <t xml:space="preserve">Fjell Elektro: entreprenørorganisasjonen som skal vokse (Egen el-bedrift)</t>
  </si>
  <si>
    <t xml:space="preserve">Læreboka</t>
  </si>
  <si>
    <t xml:space="preserve">Hjertnes, F.: Markedsføring, organisasjon og ledelse for LØM-emnet, kapittel 15.</t>
  </si>
  <si>
    <t xml:space="preserve">Appen</t>
  </si>
  <si>
    <t xml:space="preserve">Organisasjon og ledelse kap. 15 → Øv → Klasseoppgaver gir fasit per deloppgave.</t>
  </si>
  <si>
    <t xml:space="preserve">A1 · Nordlys: timeregistreringen virker, eller gjør den?</t>
  </si>
  <si>
    <t xml:space="preserve">25 minutter · Helst alene. Sammen med sidemannen eller flere hvis du vil. Ark og blyant, appen (PC eller mobil) eller læreboka.</t>
  </si>
  <si>
    <t xml:space="preserve">Kort oppsummert: Hawthorne-undersøkelsene (15.1) skulle måle virkningen av det fysiske arbeidsmiljøet, men produktiviteten økte uansett hva forskerne endret, også i kontrollgruppen. Arbeiderne svarte at de gjorde sitt beste fordi de ble viet oppmerksomhet. Hawthorne-effekten: de som deltar i et forsøk, forsterker den atferden de tror forventes. McGregor (15.3) viste at de ansattes atferd langt på vei er et resultat av ledelsens menneskesyn: teori X (folk må kontrolleres og tvinges) eller teori Y (folk søker ansvar og styrer seg selv når de deler målene).</t>
  </si>
  <si>
    <t xml:space="preserve">Casen er lagt til 2026/2027. Serviceavdelingen i Nordlys har 210 oppdrag i året, og et oppdrag har tatt 6 montørtimer. Kari innfører timeregistrering på mobil, og montørene vet at tidsbruken nå følges for hvert oppdrag. Første måned faller tiden per oppdrag til 5 timer. Kari vil utvide systemet til prosjekt og legge gevinsten inn i neste års budsjett. Timeprisen er 890 kr uten merverdiavgift. Tom sier: «Det viser at de må overvåkes. Nå ser vi hvem som har latet seg.» Gå fram slik: regn nedgangen i prosent, regn hva gevinsten er verdt i året hvis den varer og timene selges, og vurder så med Hawthorne og McGregor hva tallet egentlig sier.</t>
  </si>
  <si>
    <t xml:space="preserve">Post</t>
  </si>
  <si>
    <t xml:space="preserve">Før</t>
  </si>
  <si>
    <t xml:space="preserve">Første måned</t>
  </si>
  <si>
    <t xml:space="preserve">Serviceoppdrag i året</t>
  </si>
  <si>
    <t xml:space="preserve">Montørtimer per oppdrag</t>
  </si>
  <si>
    <t xml:space="preserve">Timepris, kr uten merverdiavgift</t>
  </si>
  <si>
    <t xml:space="preserve">Tidsbruken følges per oppdrag</t>
  </si>
  <si>
    <t xml:space="preserve">nei</t>
  </si>
  <si>
    <t xml:space="preserve">ja</t>
  </si>
  <si>
    <t xml:space="preserve">Nedgang i tid per oppdrag, %</t>
  </si>
  <si>
    <t xml:space="preserve">Gevinst i året hvis den varer, kr</t>
  </si>
  <si>
    <t xml:space="preserve">Gule celler med spørsmålstegn kan du fylle inn selv mens du regner.</t>
  </si>
  <si>
    <t xml:space="preserve">Deloppgave</t>
  </si>
  <si>
    <t xml:space="preserve">Ditt svar</t>
  </si>
  <si>
    <t xml:space="preserve">Sjekk</t>
  </si>
  <si>
    <t xml:space="preserve">a)  Hvor mange prosent falt tiden per serviceoppdrag den første måneden? (Før − etter) delt på før, i prosent med én desimal.</t>
  </si>
  <si>
    <t xml:space="preserve">Formel og begrep</t>
  </si>
  <si>
    <t xml:space="preserve">Endring i prosent = (før − etter) / før × 100. Hawthorne-effekten: de som deltar i et forsøk, har en tendens til å forsterke den atferden de tror forventes (Organisasjon og ledelse 15.1).</t>
  </si>
  <si>
    <t xml:space="preserve">b)  Hvor mange kroner i året er gevinsten verdt hvis nedgangen varer, og de frigjorte timene selges til andre kunder? Oppdrag × spart tid × timepris.</t>
  </si>
  <si>
    <t xml:space="preserve">Gevinst = antall oppdrag × spart tid × timepris. Forbeholdet bygger på Hawthorne-effekten (Organisasjon og ledelse 15.1).</t>
  </si>
  <si>
    <t xml:space="preserve">c)  Hva er den mest sannsynlige forklaringen på nedgangen etter bare én måned, hvis vi bruker funnene fra Hawthorne-undersøkelsene?   A: Systemet gjør selve arbeidet raskere   B: Montørene vet at noen følger med: Hawthorne-effekten   C: Gruppenormene i avdelingen har brutt sammen   (skriv bokstaven)</t>
  </si>
  <si>
    <t xml:space="preserve">d)  Kari og Tom foreslår fem ting. Ja eller nei: er dette i tråd med det Hawthorne-undersøkelsene og human relations-bevegelsen lærte oss?</t>
  </si>
  <si>
    <t xml:space="preserve">      Måle over flere måneder før tallet går inn i budsjettet   (Ja eller Nei)</t>
  </si>
  <si>
    <t xml:space="preserve">      Spørre montørene hva som har endret seg   (Ja eller Nei)</t>
  </si>
  <si>
    <t xml:space="preserve">      Legge 186 900 kr inn i neste års budsjett nå   (Ja eller Nei)</t>
  </si>
  <si>
    <t xml:space="preserve">      Konkludere at montørene bare styres av lønn og kontroll   (Ja eller Nei)</t>
  </si>
  <si>
    <t xml:space="preserve">      Tom: «Nå ser vi hvem som har latet seg»   (Ja eller Nei)</t>
  </si>
  <si>
    <t xml:space="preserve">e)  Tom sier: «Det viser at de må overvåkes. Nå ser vi hvem som har latet seg.» Hvilket menneskesyn uttrykker han, hva kan det gjøre med montørene ifølge McGregor og Argyris, og hva bør Kari gjøre med systemet og tallet? Tre setninger.</t>
  </si>
  <si>
    <t xml:space="preserve">Teori X og teori Y (McGregor, Organisasjon og ledelse 15.3), pyramidale verdier og vi-mot-dem-holdning (Argyris, 15.2), Hawthorne-effekten (15.1).</t>
  </si>
  <si>
    <t xml:space="preserve">Hint, hvis du står fast</t>
  </si>
  <si>
    <t xml:space="preserve">Tallene</t>
  </si>
  <si>
    <t xml:space="preserve">Nedgang i prosent: (6 − 5) / 6 × 100. Gevinsten i året: 210 oppdrag × 1 spart time × 890 kr. Spør deg så: hva er det tallet bygger på?</t>
  </si>
  <si>
    <t xml:space="preserve">Hawthorne</t>
  </si>
  <si>
    <t xml:space="preserve">Hva var det eneste nye den første måneden? Forskerne fant at produktiviteten steg også i kontrollgruppen, der ingenting ble endret. Hva fikk arbeiderne der?</t>
  </si>
  <si>
    <t xml:space="preserve">Kilde: Hjertnes, F.: Markedsføring, organisasjon og ledelse for LØM-emnet, kap. 15, avsnitt 15.1 (Hawthorne-undersøkelsene, Hawthorne-effekten) og 15.3 (teori X og teori Y). Timepris og serviceoppdrag: faktaarket. Nordlys Elektro AS er en konstruert casebedrift.</t>
  </si>
  <si>
    <t xml:space="preserve">Regnearket er øvingsstøtte. Det kan ikke siteres eller vises til i besvarelser, prosjektoppgaver eller eksamen; der gjelder læreboka og oppgitte primærkilder.</t>
  </si>
  <si>
    <t xml:space="preserve">A2 · Fjell Elektro: et valg på én ettermiddag, og to montører med ulike behov</t>
  </si>
  <si>
    <t xml:space="preserve">Kort oppsummert: En fullt rasjonell beslutning krever at problemet er klart, at beslutningstakeren kjenner alle alternativene og alle konsekvensene, og kan rangere dem (15.4). Simon pekte på at vi mangler kunnskap om problemet, alternativene og konsekvensene, og tid og ressurser: begrenset rasjonalitet. Det administrative mennesket ser begrensningene og søker et tilfredsstillende resultat innenfor dem, mens det økonomiske mennesket maksimerer. Argyris og McGregor (15.2–15.3) handler om selvrealisering og lederens menneskesyn.</t>
  </si>
  <si>
    <t xml:space="preserve">Fjell Elektro AS har vært i drift i ett år. Mona Fjell er eier, daglig leder og faglig ansvarlig, og jobber halve tiden ute på oppdrag. Et sameie vil ha pris på et felles ladeanlegg innen fredag. Mona har én ettermiddag til tilbudet. Det finnes 6 ladeboks-fabrikater på markedet; Mona kjenner 2 av dem. Å undersøke et ukjent fabrikat grundig tar 2 timer, og timene tas fra oppdrag hun ellers ville fakturert til 890 kr per time. Hun velger fabrikatet Fjell har montert før: kjent kvalitet og levering fra grossisten. Samtidig har hun to montører med ulike ønsker: den ene vil planlegge uka selv og snakke med kundene, den andre vil helst få arbeidsordren og jobbe i fred. Gå fram slik: plasser valget hos Simon, sorter begrensningene, regn hva full undersøkelse ville kostet, og vurder til slutt hvordan Mona bør lede de to.</t>
  </si>
  <si>
    <t xml:space="preserve">Forutsetning</t>
  </si>
  <si>
    <t xml:space="preserve">Verdi</t>
  </si>
  <si>
    <t xml:space="preserve">Frist</t>
  </si>
  <si>
    <t xml:space="preserve">Sameiet vil ha pris innen fredag</t>
  </si>
  <si>
    <t xml:space="preserve">Monas tid</t>
  </si>
  <si>
    <t xml:space="preserve">Én ettermiddag til tilbudet</t>
  </si>
  <si>
    <t xml:space="preserve">Fabrikater</t>
  </si>
  <si>
    <t xml:space="preserve">6 på markedet; Mona kjenner 2</t>
  </si>
  <si>
    <t xml:space="preserve">Undersøke ett ukjent fabrikat</t>
  </si>
  <si>
    <t xml:space="preserve">2 timer (datablad, leverandør, erfaringer)</t>
  </si>
  <si>
    <t xml:space="preserve">Timepris</t>
  </si>
  <si>
    <t xml:space="preserve">890 kr; timene tas fra oppdrag hun ellers ville fakturert</t>
  </si>
  <si>
    <t xml:space="preserve">Valget</t>
  </si>
  <si>
    <t xml:space="preserve">Fabrikatet Fjell har montert før: kjent kvalitet, levering</t>
  </si>
  <si>
    <t xml:space="preserve">Montør 1</t>
  </si>
  <si>
    <t xml:space="preserve">Vil planlegge uka selv og snakke med kundene</t>
  </si>
  <si>
    <t xml:space="preserve">Montør 2</t>
  </si>
  <si>
    <t xml:space="preserve">Vil helst få arbeidsordren og jobbe i fred</t>
  </si>
  <si>
    <t xml:space="preserve">a)  Mona velger fabrikatet hun kjenner, fordi det er godt nok innenfor fristen, ikke fordi hun vet at det er best. Hva kaller Simon en slik leder?   A: Det økonomiske mennesket   B: Det administrative mennesket   C: En leder med pyramidale verdier   (skriv bokstaven)</t>
  </si>
  <si>
    <t xml:space="preserve">b)  Ja eller nei: er dette en av begrensningene i rasjonaliteten som Simon peker på (manglende kunnskap om problemet, alternativene eller konsekvensene, eller mangel på tid og ressurser)?</t>
  </si>
  <si>
    <t xml:space="preserve">      Mona har bare én ettermiddag   (Ja eller Nei)</t>
  </si>
  <si>
    <t xml:space="preserve">      Hun kjenner bare 2 av 6 fabrikater   (Ja eller Nei)</t>
  </si>
  <si>
    <t xml:space="preserve">      Hun vet ikke hvordan de 4 ukjente fungerer over tid   (Ja eller Nei)</t>
  </si>
  <si>
    <t xml:space="preserve">      Sameiet har sagt hva det vil ha, og når   (Ja eller Nei)</t>
  </si>
  <si>
    <t xml:space="preserve">      Mona er installatør med fagskole   (Ja eller Nei)</t>
  </si>
  <si>
    <t xml:space="preserve">c)  Hvor mange kroner i fakturerbar tid koster det å undersøke de 4 ukjente fabrikatene grundig, 2 timer hver, når timene ellers ville vært fakturert til 890 kr?</t>
  </si>
  <si>
    <t xml:space="preserve">Kostnad = antall alternativer × timer per alternativ × timepris. Mangel på tid og ressurser er en av Simons begrensninger (Organisasjon og ledelse 15.4).</t>
  </si>
  <si>
    <t xml:space="preserve">d)  En student sier: «Begrenset rasjonalitet betyr at Mona ikke trenger å vurdere alternativer.» Hva er riktig?   A: Studenten har rett: Simon fritar lederen fra å undersøke   B: Valget er irrasjonelt og bør gjøres om   C: Ingen beslutning er fullt rasjonell; lederen søker et tilfredsstillende resultat innenfor begrensningene   (skriv bokstaven)</t>
  </si>
  <si>
    <t xml:space="preserve">e)  Den ene montøren vil planlegge uka selv og snakke med kundene; den andre vil helst få arbeidsordren og jobbe i fred. Hvordan bør Mona lede de to? Bruk McGregor og Argyris. Tre setninger.</t>
  </si>
  <si>
    <t xml:space="preserve">Teori Y (McGregor, Organisasjon og ledelse 15.3), selvrealisering og stillingsutvidelse (Argyris, 15.2).</t>
  </si>
  <si>
    <t xml:space="preserve">Simon</t>
  </si>
  <si>
    <t xml:space="preserve">Det økonomiske mennesket maksimerer. Det administrative mennesket søker et tilfredsstillende resultat innenfor begrensningene. Begrensningene er kunnskap om problemet, alternativene og konsekvensene, og tid og ressurser.</t>
  </si>
  <si>
    <t xml:space="preserve">Regningen</t>
  </si>
  <si>
    <t xml:space="preserve">4 ukjente fabrikater × 2 timer × 890 kr. For e: les teori Y hos McGregor, og Argyris' eget forbehold om at ikke alle er opptatt av selvrealisering.</t>
  </si>
  <si>
    <t xml:space="preserve">Kilde: Hjertnes, F.: Markedsføring, organisasjon og ledelse for LØM-emnet, kap. 15, avsnitt 15.4 (Simon: begrenset rasjonalitet, det administrative mennesket), 15.2 (Argyris) og 15.3 (McGregor). Fjell Elektro AS er en konstruert casebedrift.</t>
  </si>
  <si>
    <t xml:space="preserve">B1 · Nordlys: ett prosjekt på tvers av tre avdelinger</t>
  </si>
  <si>
    <t xml:space="preserve">Kort oppsummert: En prosjektoppgave (15.8.5) er en engangsoppgave med klart definert mål, som kan skilles ut som eget styringsobjekt, skal løses innenfor en bestemt tids- og kostnadsramme, ofte krever tverrfaglig innsats, og legges ned når oppgaven er løst. I en matrise går kommunikasjon, autoritet og kontroll både vertikalt og horisontalt. Når prosjektet ligger innenfor en fast struktur, skiller boka mellom prosjektorganisasjon med kontrollerende autoritet (ansvaret blir i basisorganisasjonen) og med full autoritet (egen organisasjon utenfor basisorganisasjonen).</t>
  </si>
  <si>
    <t xml:space="preserve">Nordlys har vunnet sitt største oppdrag så langt: rehabilitering av et næringsbygg med ny hovedtavle, solcelleanlegg på taket og ladeanlegg i garasjen. Jobben er beregnet til 2 400 montørtimer over 8 måneder. Nordlys fakturerer 14 400 montørtimer i året og har 14 utførende (12 montører og 2 lærlinger). Prosjektet trenger 2 fra service, 4 fra prosjekt og nybygg og 2 fra solcelle og lading. Folkene beholder sin faste plass i avdelingen mens prosjektet pågår. Tom leder service og Ronny prosjekt; solcelle og lading har ingen egen leder. Gå fram slik: regn hvor stor del av kapasiteten prosjektet binder, sorter kjennetegnene, gi formen navn, og gi styret en anbefaling.</t>
  </si>
  <si>
    <t xml:space="preserve">Oppdraget</t>
  </si>
  <si>
    <t xml:space="preserve">Ny hovedtavle, solceller på taket, lading i garasjen</t>
  </si>
  <si>
    <t xml:space="preserve">Omfang</t>
  </si>
  <si>
    <t xml:space="preserve">2 400 montørtimer over 8 måneder</t>
  </si>
  <si>
    <t xml:space="preserve">Nordlys i året</t>
  </si>
  <si>
    <t xml:space="preserve">14 400 fakturerbare timer</t>
  </si>
  <si>
    <t xml:space="preserve">Utførende</t>
  </si>
  <si>
    <t xml:space="preserve">14: 12 montører og 2 lærlinger</t>
  </si>
  <si>
    <t xml:space="preserve">Folk til prosjektet</t>
  </si>
  <si>
    <t xml:space="preserve">2 service, 4 prosjekt og nybygg, 2 solcelle og lading</t>
  </si>
  <si>
    <t xml:space="preserve">Ledere i dag</t>
  </si>
  <si>
    <t xml:space="preserve">Tom (service), Ronny (prosjekt); solcelle og lading: ingen</t>
  </si>
  <si>
    <t xml:space="preserve">Folkenes faste plass</t>
  </si>
  <si>
    <t xml:space="preserve">Beholdes i avdelingen mens prosjektet pågår</t>
  </si>
  <si>
    <t xml:space="preserve">a)  Hvor mange prosent av Nordlys' 14 400 fakturerbare timer i året binder prosjektet? Én desimal.</t>
  </si>
  <si>
    <t xml:space="preserve">Andel = del / helhet × 100. Et prosjekt skal løses innenfor en bestemt tids- og kostnadsramme (Organisasjon og ledelse 15.8.5).</t>
  </si>
  <si>
    <t xml:space="preserve">b)  Hvor mange prosent av de 14 utførende trenger prosjektet? Én desimal.</t>
  </si>
  <si>
    <t xml:space="preserve">Andel = del / helhet × 100. Prosjektoppgaven krever ofte tverrfaglig innsats (Organisasjon og ledelse 15.8.5).</t>
  </si>
  <si>
    <t xml:space="preserve">c)  Ja eller nei: kjennetegner dette rehabiliteringen som en prosjektoppgave slik boka beskriver den (15.8.5)?</t>
  </si>
  <si>
    <t xml:space="preserve">      Det er en engangsoppgave   (Ja eller Nei)</t>
  </si>
  <si>
    <t xml:space="preserve">      Den har egen tids- og kostnadsramme: 8 måneder, 2 400 timer   (Ja eller Nei)</t>
  </si>
  <si>
    <t xml:space="preserve">      Den krever tavle, solceller og lading: flere fag   (Ja eller Nei)</t>
  </si>
  <si>
    <t xml:space="preserve">      Prosjektorganisasjonen legges ned når bygget er ferdig   (Ja eller Nei)</t>
  </si>
  <si>
    <t xml:space="preserve">      Den løses etter faste regler og sjekklister, som de 210 serviceoppdragene   (Ja eller Nei)</t>
  </si>
  <si>
    <t xml:space="preserve">      Hver montør har bare én sjef mens prosjektet pågår   (Ja eller Nei)</t>
  </si>
  <si>
    <t xml:space="preserve">d)  En montør på prosjektet får beskjed fra Ronny om faget og fra prosjektlederen om framdriften, og begge kan kreve noe av ham. Hva kalles denne strukturen?   A: Linje og stab: prosjektlederen gir råd, Ronny bestemmer   B: Matrise: autoritet både vertikalt og horisontalt   C: Enhetlig ledelse: én direkte overordnet   (skriv bokstaven)</t>
  </si>
  <si>
    <t xml:space="preserve">e)  Styret spør hvordan prosjektet bør organiseres, og hva som er den største risikoen. Gi en anbefaling med minst ett tall. Tre–fire setninger.</t>
  </si>
  <si>
    <t xml:space="preserve">Prosjektorganisasjon med kontrollerende eller full autoritet, og matrise (Organisasjon og ledelse 15.8.5, figur 15.7–15.9). Enhetlig ledelse (14.2).</t>
  </si>
  <si>
    <t xml:space="preserve">Andelene</t>
  </si>
  <si>
    <t xml:space="preserve">Kapasiteten: 2 400 delt på 14 400. Folkene: 2 + 4 + 2 delt på 14. Svar i prosent med én desimal.</t>
  </si>
  <si>
    <t xml:space="preserve">Formen</t>
  </si>
  <si>
    <t xml:space="preserve">Boka gir seks kjennetegn på en prosjektoppgave (15.8.5). Faste regler er maskinbyråkratiet. Når folk har både en fast sjef og en prosjektleder, går autoriteten to veier.</t>
  </si>
  <si>
    <t xml:space="preserve">Kilde: Hjertnes, F.: Markedsføring, organisasjon og ledelse for LØM-emnet, kap. 15, avsnitt 15.8.5 (den innovative organisasjonen, prosjektoppgavens kjennetegn, matrise, prosjektorganisasjon med kontrollerende og full autoritet) og kap. 14.2 (enhetlig ledelse). Tallene er fra appens eksamensoppgave og faktaarket. Nordlys Elektro AS er en konstruert casebedrift.</t>
  </si>
  <si>
    <t xml:space="preserve">B2 · Fjell Elektro: entreprenørorganisasjonen som skal vokse</t>
  </si>
  <si>
    <t xml:space="preserve">Kort oppsummert: Entreprenørorganisasjonen (15.8.1) er liten, har ingen fast arbeidsdeling og liten formalisering, og bare to deler: toppledelse og operativ kjerne. Den er fleksibel, men mangelen på formalisering kan gi uklare ansvars- og myndighetsforhold. Den operative kjernen (15.7) er der produksjonen skjer, og den driver også markedsføring og salg. Mintzberg (15.6): jo større organisasjonen er, jo større behov for formalisering (hvem gjør hva, hvem har myndighet, hvem rapporterer til hvem). Makt følger knapphet: den som kontrollerer en knapp ressurs, har makt.</t>
  </si>
  <si>
    <t xml:space="preserve">Fjell Elektro AS har to montører og eieren Mona Fjell, som er daglig leder og faglig ansvarlig og jobber halve tiden ute på oppdrag: 700 av bedriftens 3 500 fakturerbare timer. Det finnes ingen faste roller; den som er ledig, tar jobben. Det finnes ingen stillingsinstrukser, og Mona avgjør alt selv. Regnskapsfører, telefon og IT er kjøpt utenfra. Mona planlegger å ansette en tredje montør og en lærling innen to år, men bransjen mangler fagarbeidere, og ingen søkte sist. Gå fram slik: plasser Fjell blant Mintzbergs typer, sorter hvem som hører til den operative kjernen, regn Monas andel av timene, og vurder hva som må formaliseres når Fjell vokser.</t>
  </si>
  <si>
    <t xml:space="preserve">Folk</t>
  </si>
  <si>
    <t xml:space="preserve">Mona (eier, daglig leder, faglig ansvarlig) og 2 montører</t>
  </si>
  <si>
    <t xml:space="preserve">Monas timer</t>
  </si>
  <si>
    <t xml:space="preserve">700 av Fjells 3 500 fakturerbare timer</t>
  </si>
  <si>
    <t xml:space="preserve">Arbeidsdeling</t>
  </si>
  <si>
    <t xml:space="preserve">Ingen faste roller: den som er ledig, tar jobben</t>
  </si>
  <si>
    <t xml:space="preserve">Skrevne rutiner</t>
  </si>
  <si>
    <t xml:space="preserve">Ingen stillingsinstrukser; Mona avgjør alt</t>
  </si>
  <si>
    <t xml:space="preserve">Kjøpt utenfra</t>
  </si>
  <si>
    <t xml:space="preserve">Regnskapsfører, telefon og IT (110 000 kr i året)</t>
  </si>
  <si>
    <t xml:space="preserve">Planen</t>
  </si>
  <si>
    <t xml:space="preserve">En tredje montør og en lærling innen to år</t>
  </si>
  <si>
    <t xml:space="preserve">Arbeidsmarkedet</t>
  </si>
  <si>
    <t xml:space="preserve">Bransjen mangler fagarbeidere; ingen søkte sist</t>
  </si>
  <si>
    <t xml:space="preserve">Konkurrenter</t>
  </si>
  <si>
    <t xml:space="preserve">Nordlys og landsdekkende kjeder</t>
  </si>
  <si>
    <t xml:space="preserve">a)  Hvilken av Mintzbergs fem organisasjonstyper passer best på Fjell Elektro i dag?   A: Maskinbyråkratiet   B: Entreprenørorganisasjonen   C: Den innovative organisasjonen   (skriv bokstaven)</t>
  </si>
  <si>
    <t xml:space="preserve">b)  Ja eller nei: hører dette til Fjells operative kjerne, slik boka beskriver den (15.7)?</t>
  </si>
  <si>
    <t xml:space="preserve">      Montørene som monterer ladebokser hos kunden   (Ja eller Nei)</t>
  </si>
  <si>
    <t xml:space="preserve">      Mona når hun er ute på oppdrag   (Ja eller Nei)</t>
  </si>
  <si>
    <t xml:space="preserve">      Mona når hun møter kunden og selger en ladebokspakke   (Ja eller Nei)</t>
  </si>
  <si>
    <t xml:space="preserve">      Regnskapsføreren som fører Fjells regnskap   (Ja eller Nei)</t>
  </si>
  <si>
    <t xml:space="preserve">      Mona når hun setter opp budsjettet for neste år   (Ja eller Nei)</t>
  </si>
  <si>
    <t xml:space="preserve">c)  Hvor mange prosent av Fjells 3 500 fakturerbare timer står Mona selv for?</t>
  </si>
  <si>
    <t xml:space="preserve">Andel = del / helhet × 100. I entreprenørorganisasjonen er toppledelsen også en del av den operative kjernen (Organisasjon og ledelse 15.8.1 og 15.7).</t>
  </si>
  <si>
    <t xml:space="preserve">d)  Hva sier Mintzbergs situasjonsteori om formalisering hos Fjell?   A: Fjell bør skrive stillingsinstrukser og regler for alt nå, fordi formalisering alltid er riktig   B: Fjell bør aldri formalisere, fordi entreprenørorganisasjonen er fleksibel   C: Behovet for formalisering øker med størrelsen; det er lite nå, men vokser når Fjell ansetter flere   (skriv bokstaven)</t>
  </si>
  <si>
    <t xml:space="preserve">e)  Mona skal ansette en tredje montør og en lærling. Bruk to av Mintzbergs situasjonsvariabler og si hva hun bør formalisere først, og hva hun kan la være. Tre setninger.</t>
  </si>
  <si>
    <t xml:space="preserve">Mintzbergs situasjonsvariabler: alder, størrelse, produksjonsprosess, maktforhold og omgivelser (Organisasjon og ledelse 15.6.1–15.6.5).</t>
  </si>
  <si>
    <t xml:space="preserve">Typen og delene</t>
  </si>
  <si>
    <t xml:space="preserve">Hvor mange av Mintzbergs fem deler har Fjell? Den operative kjernen er der inntektene skapes, og boka legger markedsføring og salg dit. Planlegging og økonomistyring er teknostrukturens oppgave.</t>
  </si>
  <si>
    <t xml:space="preserve">Formalisering</t>
  </si>
  <si>
    <t xml:space="preserve">Monas andel: 700 / 3 500. Mintzberg: behovet for formalisering øker med størrelsen. Hva endrer seg når tre blir fem, og hvem er knapp i arbeidsmarkedet?</t>
  </si>
  <si>
    <t xml:space="preserve">Kilde: Hjertnes, F.: Markedsføring, organisasjon og ledelse for LØM-emnet, kap. 15, avsnitt 15.6 (situasjonsvariablene, særlig størrelse og maktforhold), 15.7 (organisasjonens fem hoveddeler) og 15.8.1 (entreprenørorganisasjonen).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</si>
</sst>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t="n">
        <v>210</v>
      </c>
      <c r="C8" s="11" t="n">
        <v>210</v>
      </c>
    </row>
    <row r="9" customFormat="false" ht="15" hidden="false" customHeight="false" outlineLevel="0" collapsed="false">
      <c r="A9" s="12" t="s">
        <v>28</v>
      </c>
      <c r="B9" s="13" t="n">
        <v>6</v>
      </c>
      <c r="C9" s="13" t="n">
        <v>5</v>
      </c>
    </row>
    <row r="10" customFormat="false" ht="15" hidden="false" customHeight="false" outlineLevel="0" collapsed="false">
      <c r="A10" s="10" t="s">
        <v>29</v>
      </c>
      <c r="B10" s="11" t="n">
        <v>890</v>
      </c>
      <c r="C10" s="11" t="n">
        <v>890</v>
      </c>
    </row>
    <row r="11" customFormat="false" ht="15" hidden="false" customHeight="false" outlineLevel="0" collapsed="false">
      <c r="A11" s="12" t="s">
        <v>30</v>
      </c>
      <c r="B11" s="14" t="s">
        <v>31</v>
      </c>
      <c r="C11" s="14" t="s">
        <v>32</v>
      </c>
    </row>
    <row r="12" customFormat="false" ht="15" hidden="false" customHeight="false" outlineLevel="0" collapsed="false">
      <c r="A12" s="10" t="s">
        <v>33</v>
      </c>
      <c r="B12" s="15"/>
      <c r="C12" s="16"/>
    </row>
    <row r="13" customFormat="false" ht="15" hidden="false" customHeight="false" outlineLevel="0" collapsed="false">
      <c r="A13" s="12" t="s">
        <v>34</v>
      </c>
      <c r="B13" s="14"/>
      <c r="C13" s="16"/>
    </row>
    <row r="14" customFormat="false" ht="15" hidden="false" customHeight="true" outlineLevel="0" collapsed="false">
      <c r="A14" s="6" t="s">
        <v>35</v>
      </c>
      <c r="B14" s="6"/>
      <c r="C14" s="6"/>
      <c r="D14" s="6"/>
      <c r="E14" s="6"/>
      <c r="F14" s="6"/>
      <c r="G14" s="6"/>
    </row>
    <row r="16" customFormat="false" ht="15" hidden="false" customHeight="false" outlineLevel="0" collapsed="false">
      <c r="A16" s="17" t="s">
        <v>36</v>
      </c>
      <c r="B16" s="17"/>
      <c r="C16" s="17"/>
      <c r="D16" s="17"/>
      <c r="E16" s="17"/>
      <c r="F16" s="17" t="s">
        <v>37</v>
      </c>
      <c r="G16" s="17" t="s">
        <v>38</v>
      </c>
    </row>
    <row r="17" customFormat="false" ht="33.75" hidden="false" customHeight="true" outlineLevel="0" collapsed="false">
      <c r="A17" s="7" t="s">
        <v>39</v>
      </c>
      <c r="B17" s="7"/>
      <c r="C17" s="7"/>
      <c r="D17" s="7"/>
      <c r="E17" s="7"/>
      <c r="F17" s="16"/>
      <c r="G17" s="18" t="str">
        <f aca="false">IF(F17="","",IF(ABS(F17-(16.7))&lt;=0.1,"Riktig","Prøv igjen"))</f>
        <v/>
      </c>
    </row>
    <row r="18" customFormat="false" ht="30" hidden="false" customHeight="true" outlineLevel="0" collapsed="false">
      <c r="A18" s="19" t="s">
        <v>40</v>
      </c>
      <c r="B18" s="20" t="s">
        <v>41</v>
      </c>
      <c r="C18" s="20"/>
      <c r="D18" s="20"/>
      <c r="E18" s="20"/>
      <c r="F18" s="20"/>
      <c r="G18" s="20"/>
    </row>
    <row r="20" customFormat="false" ht="33.75" hidden="false" customHeight="true" outlineLevel="0" collapsed="false">
      <c r="A20" s="7" t="s">
        <v>42</v>
      </c>
      <c r="B20" s="7"/>
      <c r="C20" s="7"/>
      <c r="D20" s="7"/>
      <c r="E20" s="7"/>
      <c r="F20" s="16"/>
      <c r="G20" s="18" t="str">
        <f aca="false">IF(F20="","",IF(ABS(F20-(186900))&lt;=1,"Riktig","Prøv igjen"))</f>
        <v/>
      </c>
    </row>
    <row r="21" customFormat="false" ht="30" hidden="false" customHeight="true" outlineLevel="0" collapsed="false">
      <c r="A21" s="19" t="s">
        <v>40</v>
      </c>
      <c r="B21" s="20" t="s">
        <v>43</v>
      </c>
      <c r="C21" s="20"/>
      <c r="D21" s="20"/>
      <c r="E21" s="20"/>
      <c r="F21" s="20"/>
      <c r="G21" s="20"/>
    </row>
    <row r="23" customFormat="false" ht="63.75" hidden="false" customHeight="true" outlineLevel="0" collapsed="false">
      <c r="A23" s="7" t="s">
        <v>44</v>
      </c>
      <c r="B23" s="7"/>
      <c r="C23" s="7"/>
      <c r="D23" s="7"/>
      <c r="E23" s="7"/>
      <c r="F23" s="21"/>
      <c r="G23" s="18" t="str">
        <f aca="false">IF(F23="","",IF(UPPER(TRIM(F23))="B","Riktig","Prøv igjen"))</f>
        <v/>
      </c>
    </row>
    <row r="24" customFormat="false" ht="33.75" hidden="false" customHeight="true" outlineLevel="0" collapsed="false">
      <c r="A24" s="7" t="s">
        <v>45</v>
      </c>
      <c r="B24" s="7"/>
      <c r="C24" s="7"/>
      <c r="D24" s="7"/>
      <c r="E24" s="7"/>
    </row>
    <row r="25" customFormat="false" ht="15" hidden="false" customHeight="true" outlineLevel="0" collapsed="false">
      <c r="A25" s="7" t="s">
        <v>46</v>
      </c>
      <c r="B25" s="7"/>
      <c r="C25" s="7"/>
      <c r="D25" s="7"/>
      <c r="E25" s="7"/>
      <c r="F25" s="21"/>
      <c r="G25" s="18" t="str">
        <f aca="false">IF(F25="","",IF(UPPER(TRIM(F25))="JA","Riktig","Prøv igjen"))</f>
        <v/>
      </c>
    </row>
    <row r="26" customFormat="false" ht="15" hidden="false" customHeight="true" outlineLevel="0" collapsed="false">
      <c r="A26" s="7" t="s">
        <v>47</v>
      </c>
      <c r="B26" s="7"/>
      <c r="C26" s="7"/>
      <c r="D26" s="7"/>
      <c r="E26" s="7"/>
      <c r="F26" s="21"/>
      <c r="G26" s="18" t="str">
        <f aca="false">IF(F26="","",IF(UPPER(TRIM(F26))="JA","Riktig","Prøv igjen"))</f>
        <v/>
      </c>
    </row>
    <row r="27" customFormat="false" ht="15" hidden="false" customHeight="true" outlineLevel="0" collapsed="false">
      <c r="A27" s="7" t="s">
        <v>48</v>
      </c>
      <c r="B27" s="7"/>
      <c r="C27" s="7"/>
      <c r="D27" s="7"/>
      <c r="E27" s="7"/>
      <c r="F27" s="21"/>
      <c r="G27" s="18" t="str">
        <f aca="false">IF(F27="","",IF(UPPER(TRIM(F27))="NEI","Riktig","Prøv igjen"))</f>
        <v/>
      </c>
    </row>
    <row r="28" customFormat="false" ht="15" hidden="false" customHeight="true" outlineLevel="0" collapsed="false">
      <c r="A28" s="7" t="s">
        <v>49</v>
      </c>
      <c r="B28" s="7"/>
      <c r="C28" s="7"/>
      <c r="D28" s="7"/>
      <c r="E28" s="7"/>
      <c r="F28" s="21"/>
      <c r="G28" s="18" t="str">
        <f aca="false">IF(F28="","",IF(UPPER(TRIM(F28))="NEI","Riktig","Prøv igjen"))</f>
        <v/>
      </c>
    </row>
    <row r="29" customFormat="false" ht="15" hidden="false" customHeight="true" outlineLevel="0" collapsed="false">
      <c r="A29" s="7" t="s">
        <v>50</v>
      </c>
      <c r="B29" s="7"/>
      <c r="C29" s="7"/>
      <c r="D29" s="7"/>
      <c r="E29" s="7"/>
      <c r="F29" s="21"/>
      <c r="G29" s="18" t="str">
        <f aca="false">IF(F29="","",IF(UPPER(TRIM(F29))="NEI","Riktig","Prøv igjen"))</f>
        <v/>
      </c>
    </row>
    <row r="30" customFormat="false" ht="48.75" hidden="false" customHeight="true" outlineLevel="0" collapsed="false">
      <c r="A30" s="7" t="s">
        <v>51</v>
      </c>
      <c r="B30" s="7"/>
      <c r="C30" s="7"/>
      <c r="D30" s="7"/>
      <c r="E30" s="7"/>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30" hidden="false" customHeight="true" outlineLevel="0" collapsed="false">
      <c r="A34" s="19" t="s">
        <v>40</v>
      </c>
      <c r="B34" s="20" t="s">
        <v>52</v>
      </c>
      <c r="C34" s="20"/>
      <c r="D34" s="20"/>
      <c r="E34" s="20"/>
      <c r="F34" s="20"/>
      <c r="G34" s="20"/>
    </row>
    <row r="37" customFormat="false" ht="15" hidden="false" customHeight="false" outlineLevel="0" collapsed="false">
      <c r="A37" s="23" t="s">
        <v>53</v>
      </c>
      <c r="B37" s="23"/>
      <c r="C37" s="23"/>
      <c r="D37" s="23"/>
      <c r="E37" s="23"/>
      <c r="F37" s="23"/>
      <c r="G37" s="23"/>
    </row>
    <row r="38" customFormat="false" ht="30" hidden="false" customHeight="true" outlineLevel="0" collapsed="false">
      <c r="A38" s="24" t="s">
        <v>54</v>
      </c>
      <c r="B38" s="25" t="s">
        <v>55</v>
      </c>
      <c r="C38" s="25"/>
      <c r="D38" s="25"/>
      <c r="E38" s="25"/>
      <c r="F38" s="25"/>
      <c r="G38" s="25"/>
    </row>
    <row r="39" customFormat="false" ht="30" hidden="false" customHeight="true" outlineLevel="0" collapsed="false">
      <c r="A39" s="24" t="s">
        <v>56</v>
      </c>
      <c r="B39" s="25" t="s">
        <v>57</v>
      </c>
      <c r="C39" s="25"/>
      <c r="D39" s="25"/>
      <c r="E39" s="25"/>
      <c r="F39" s="25"/>
      <c r="G39" s="25"/>
    </row>
    <row r="41" customFormat="false" ht="48.75" hidden="false" customHeight="true" outlineLevel="0" collapsed="false">
      <c r="A41" s="6" t="s">
        <v>58</v>
      </c>
      <c r="B41" s="6"/>
      <c r="C41" s="6"/>
      <c r="D41" s="6"/>
      <c r="E41" s="6"/>
      <c r="F41" s="6"/>
      <c r="G41" s="6"/>
    </row>
    <row r="42" customFormat="false" ht="15" hidden="false" customHeight="true" outlineLevel="0" collapsed="false">
      <c r="A42" s="6" t="s">
        <v>59</v>
      </c>
      <c r="B42" s="6"/>
      <c r="C42" s="6"/>
      <c r="D42" s="6"/>
      <c r="E42" s="6"/>
      <c r="F42" s="6"/>
      <c r="G42" s="6"/>
    </row>
  </sheetData>
  <mergeCells count="23">
    <mergeCell ref="A4:G4"/>
    <mergeCell ref="A5:G5"/>
    <mergeCell ref="A14:G14"/>
    <mergeCell ref="A16:E16"/>
    <mergeCell ref="A17:E17"/>
    <mergeCell ref="B18:G18"/>
    <mergeCell ref="A20:E20"/>
    <mergeCell ref="B21:G21"/>
    <mergeCell ref="A23:E23"/>
    <mergeCell ref="A24:E24"/>
    <mergeCell ref="A25:E25"/>
    <mergeCell ref="A26:E26"/>
    <mergeCell ref="A27:E27"/>
    <mergeCell ref="A28:E28"/>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60</v>
      </c>
    </row>
    <row r="2" customFormat="false" ht="15" hidden="false" customHeight="false" outlineLevel="0" collapsed="false">
      <c r="A2" s="2" t="s">
        <v>21</v>
      </c>
    </row>
    <row r="4" customFormat="false" ht="78.75" hidden="false" customHeight="true" outlineLevel="0" collapsed="false">
      <c r="A4" s="6" t="s">
        <v>61</v>
      </c>
      <c r="B4" s="6"/>
      <c r="C4" s="6"/>
      <c r="D4" s="6"/>
      <c r="E4" s="6"/>
      <c r="F4" s="6"/>
      <c r="G4" s="6"/>
    </row>
    <row r="5" customFormat="false" ht="123.75" hidden="false" customHeight="true" outlineLevel="0" collapsed="false">
      <c r="A5" s="7" t="s">
        <v>62</v>
      </c>
      <c r="B5" s="7"/>
      <c r="C5" s="7"/>
      <c r="D5" s="7"/>
      <c r="E5" s="7"/>
      <c r="F5" s="7"/>
      <c r="G5" s="7"/>
    </row>
    <row r="7" customFormat="false" ht="15" hidden="false" customHeight="false" outlineLevel="0" collapsed="false">
      <c r="A7" s="17" t="s">
        <v>63</v>
      </c>
      <c r="B7" s="17" t="s">
        <v>64</v>
      </c>
      <c r="C7" s="17"/>
      <c r="D7" s="17"/>
      <c r="E7" s="17"/>
      <c r="F7" s="17"/>
      <c r="G7" s="17"/>
    </row>
    <row r="8" customFormat="false" ht="18.75" hidden="false" customHeight="true" outlineLevel="0" collapsed="false">
      <c r="A8" s="26" t="s">
        <v>65</v>
      </c>
      <c r="B8" s="7" t="s">
        <v>66</v>
      </c>
      <c r="C8" s="7"/>
      <c r="D8" s="7"/>
      <c r="E8" s="7"/>
      <c r="F8" s="7"/>
      <c r="G8" s="7"/>
    </row>
    <row r="9" customFormat="false" ht="18.75" hidden="false" customHeight="true" outlineLevel="0" collapsed="false">
      <c r="A9" s="26" t="s">
        <v>67</v>
      </c>
      <c r="B9" s="7" t="s">
        <v>68</v>
      </c>
      <c r="C9" s="7"/>
      <c r="D9" s="7"/>
      <c r="E9" s="7"/>
      <c r="F9" s="7"/>
      <c r="G9" s="7"/>
    </row>
    <row r="10" customFormat="false" ht="18.75" hidden="false" customHeight="true" outlineLevel="0" collapsed="false">
      <c r="A10" s="26" t="s">
        <v>69</v>
      </c>
      <c r="B10" s="7" t="s">
        <v>70</v>
      </c>
      <c r="C10" s="7"/>
      <c r="D10" s="7"/>
      <c r="E10" s="7"/>
      <c r="F10" s="7"/>
      <c r="G10" s="7"/>
    </row>
    <row r="11" customFormat="false" ht="18.75" hidden="false" customHeight="true" outlineLevel="0" collapsed="false">
      <c r="A11" s="26" t="s">
        <v>71</v>
      </c>
      <c r="B11" s="7" t="s">
        <v>72</v>
      </c>
      <c r="C11" s="7"/>
      <c r="D11" s="7"/>
      <c r="E11" s="7"/>
      <c r="F11" s="7"/>
      <c r="G11" s="7"/>
    </row>
    <row r="12" customFormat="false" ht="18.75" hidden="false" customHeight="true" outlineLevel="0" collapsed="false">
      <c r="A12" s="26" t="s">
        <v>73</v>
      </c>
      <c r="B12" s="7" t="s">
        <v>74</v>
      </c>
      <c r="C12" s="7"/>
      <c r="D12" s="7"/>
      <c r="E12" s="7"/>
      <c r="F12" s="7"/>
      <c r="G12" s="7"/>
    </row>
    <row r="13" customFormat="false" ht="18.75" hidden="false" customHeight="true" outlineLevel="0" collapsed="false">
      <c r="A13" s="26" t="s">
        <v>75</v>
      </c>
      <c r="B13" s="7" t="s">
        <v>76</v>
      </c>
      <c r="C13" s="7"/>
      <c r="D13" s="7"/>
      <c r="E13" s="7"/>
      <c r="F13" s="7"/>
      <c r="G13" s="7"/>
    </row>
    <row r="14" customFormat="false" ht="18.75" hidden="false" customHeight="true" outlineLevel="0" collapsed="false">
      <c r="A14" s="26" t="s">
        <v>77</v>
      </c>
      <c r="B14" s="7" t="s">
        <v>78</v>
      </c>
      <c r="C14" s="7"/>
      <c r="D14" s="7"/>
      <c r="E14" s="7"/>
      <c r="F14" s="7"/>
      <c r="G14" s="7"/>
    </row>
    <row r="15" customFormat="false" ht="18.75" hidden="false" customHeight="true" outlineLevel="0" collapsed="false">
      <c r="A15" s="26" t="s">
        <v>79</v>
      </c>
      <c r="B15" s="7" t="s">
        <v>80</v>
      </c>
      <c r="C15" s="7"/>
      <c r="D15" s="7"/>
      <c r="E15" s="7"/>
      <c r="F15" s="7"/>
      <c r="G15" s="7"/>
    </row>
    <row r="17" customFormat="false" ht="15" hidden="false" customHeight="false" outlineLevel="0" collapsed="false">
      <c r="A17" s="17" t="s">
        <v>36</v>
      </c>
      <c r="B17" s="17"/>
      <c r="C17" s="17"/>
      <c r="D17" s="17"/>
      <c r="E17" s="17"/>
      <c r="F17" s="17" t="s">
        <v>37</v>
      </c>
      <c r="G17" s="17" t="s">
        <v>38</v>
      </c>
    </row>
    <row r="18" customFormat="false" ht="48.75" hidden="false" customHeight="true" outlineLevel="0" collapsed="false">
      <c r="A18" s="7" t="s">
        <v>81</v>
      </c>
      <c r="B18" s="7"/>
      <c r="C18" s="7"/>
      <c r="D18" s="7"/>
      <c r="E18" s="7"/>
      <c r="F18" s="21"/>
      <c r="G18" s="18" t="str">
        <f aca="false">IF(F18="","",IF(UPPER(TRIM(F18))="B","Riktig","Prøv igjen"))</f>
        <v/>
      </c>
    </row>
    <row r="19" customFormat="false" ht="33.75" hidden="false" customHeight="true" outlineLevel="0" collapsed="false">
      <c r="A19" s="7" t="s">
        <v>82</v>
      </c>
      <c r="B19" s="7"/>
      <c r="C19" s="7"/>
      <c r="D19" s="7"/>
      <c r="E19" s="7"/>
    </row>
    <row r="20" customFormat="false" ht="15" hidden="false" customHeight="true" outlineLevel="0" collapsed="false">
      <c r="A20" s="7" t="s">
        <v>83</v>
      </c>
      <c r="B20" s="7"/>
      <c r="C20" s="7"/>
      <c r="D20" s="7"/>
      <c r="E20" s="7"/>
      <c r="F20" s="21"/>
      <c r="G20" s="18" t="str">
        <f aca="false">IF(F20="","",IF(UPPER(TRIM(F20))="JA","Riktig","Prøv igjen"))</f>
        <v/>
      </c>
    </row>
    <row r="21" customFormat="false" ht="15" hidden="false" customHeight="true" outlineLevel="0" collapsed="false">
      <c r="A21" s="7" t="s">
        <v>84</v>
      </c>
      <c r="B21" s="7"/>
      <c r="C21" s="7"/>
      <c r="D21" s="7"/>
      <c r="E21" s="7"/>
      <c r="F21" s="21"/>
      <c r="G21" s="18" t="str">
        <f aca="false">IF(F21="","",IF(UPPER(TRIM(F21))="JA","Riktig","Prøv igjen"))</f>
        <v/>
      </c>
    </row>
    <row r="22" customFormat="false" ht="15" hidden="false" customHeight="true" outlineLevel="0" collapsed="false">
      <c r="A22" s="7" t="s">
        <v>85</v>
      </c>
      <c r="B22" s="7"/>
      <c r="C22" s="7"/>
      <c r="D22" s="7"/>
      <c r="E22" s="7"/>
      <c r="F22" s="21"/>
      <c r="G22" s="18" t="str">
        <f aca="false">IF(F22="","",IF(UPPER(TRIM(F22))="JA","Riktig","Prøv igjen"))</f>
        <v/>
      </c>
    </row>
    <row r="23" customFormat="false" ht="15" hidden="false" customHeight="true" outlineLevel="0" collapsed="false">
      <c r="A23" s="7" t="s">
        <v>86</v>
      </c>
      <c r="B23" s="7"/>
      <c r="C23" s="7"/>
      <c r="D23" s="7"/>
      <c r="E23" s="7"/>
      <c r="F23" s="21"/>
      <c r="G23" s="18" t="str">
        <f aca="false">IF(F23="","",IF(UPPER(TRIM(F23))="NEI","Riktig","Prøv igjen"))</f>
        <v/>
      </c>
    </row>
    <row r="24" customFormat="false" ht="15" hidden="false" customHeight="true" outlineLevel="0" collapsed="false">
      <c r="A24" s="7" t="s">
        <v>87</v>
      </c>
      <c r="B24" s="7"/>
      <c r="C24" s="7"/>
      <c r="D24" s="7"/>
      <c r="E24" s="7"/>
      <c r="F24" s="21"/>
      <c r="G24" s="18" t="str">
        <f aca="false">IF(F24="","",IF(UPPER(TRIM(F24))="NEI","Riktig","Prøv igjen"))</f>
        <v/>
      </c>
    </row>
    <row r="25" customFormat="false" ht="33.75" hidden="false" customHeight="true" outlineLevel="0" collapsed="false">
      <c r="A25" s="7" t="s">
        <v>88</v>
      </c>
      <c r="B25" s="7"/>
      <c r="C25" s="7"/>
      <c r="D25" s="7"/>
      <c r="E25" s="7"/>
      <c r="F25" s="16"/>
      <c r="G25" s="18" t="str">
        <f aca="false">IF(F25="","",IF(ABS(F25-(7120))&lt;=1,"Riktig","Prøv igjen"))</f>
        <v/>
      </c>
    </row>
    <row r="26" customFormat="false" ht="30" hidden="false" customHeight="true" outlineLevel="0" collapsed="false">
      <c r="A26" s="19" t="s">
        <v>40</v>
      </c>
      <c r="B26" s="20" t="s">
        <v>89</v>
      </c>
      <c r="C26" s="20"/>
      <c r="D26" s="20"/>
      <c r="E26" s="20"/>
      <c r="F26" s="20"/>
      <c r="G26" s="20"/>
    </row>
    <row r="28" customFormat="false" ht="63.75" hidden="false" customHeight="true" outlineLevel="0" collapsed="false">
      <c r="A28" s="7" t="s">
        <v>90</v>
      </c>
      <c r="B28" s="7"/>
      <c r="C28" s="7"/>
      <c r="D28" s="7"/>
      <c r="E28" s="7"/>
      <c r="F28" s="21"/>
      <c r="G28" s="18" t="str">
        <f aca="false">IF(F28="","",IF(UPPER(TRIM(F28))="C","Riktig","Prøv igjen"))</f>
        <v/>
      </c>
    </row>
    <row r="29" customFormat="false" ht="33.75" hidden="false" customHeight="true" outlineLevel="0" collapsed="false">
      <c r="A29" s="7" t="s">
        <v>91</v>
      </c>
      <c r="B29" s="7"/>
      <c r="C29" s="7"/>
      <c r="D29" s="7"/>
      <c r="E29" s="7"/>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30" hidden="false" customHeight="true" outlineLevel="0" collapsed="false">
      <c r="A33" s="19" t="s">
        <v>40</v>
      </c>
      <c r="B33" s="20" t="s">
        <v>92</v>
      </c>
      <c r="C33" s="20"/>
      <c r="D33" s="20"/>
      <c r="E33" s="20"/>
      <c r="F33" s="20"/>
      <c r="G33" s="20"/>
    </row>
    <row r="36" customFormat="false" ht="15" hidden="false" customHeight="false" outlineLevel="0" collapsed="false">
      <c r="A36" s="23" t="s">
        <v>53</v>
      </c>
      <c r="B36" s="23"/>
      <c r="C36" s="23"/>
      <c r="D36" s="23"/>
      <c r="E36" s="23"/>
      <c r="F36" s="23"/>
      <c r="G36" s="23"/>
    </row>
    <row r="37" customFormat="false" ht="42.75" hidden="false" customHeight="true" outlineLevel="0" collapsed="false">
      <c r="A37" s="24" t="s">
        <v>93</v>
      </c>
      <c r="B37" s="25" t="s">
        <v>94</v>
      </c>
      <c r="C37" s="25"/>
      <c r="D37" s="25"/>
      <c r="E37" s="25"/>
      <c r="F37" s="25"/>
      <c r="G37" s="25"/>
    </row>
    <row r="38" customFormat="false" ht="30" hidden="false" customHeight="true" outlineLevel="0" collapsed="false">
      <c r="A38" s="24" t="s">
        <v>95</v>
      </c>
      <c r="B38" s="25" t="s">
        <v>96</v>
      </c>
      <c r="C38" s="25"/>
      <c r="D38" s="25"/>
      <c r="E38" s="25"/>
      <c r="F38" s="25"/>
      <c r="G38" s="25"/>
    </row>
    <row r="40" customFormat="false" ht="48.75" hidden="false" customHeight="true" outlineLevel="0" collapsed="false">
      <c r="A40" s="6" t="s">
        <v>97</v>
      </c>
      <c r="B40" s="6"/>
      <c r="C40" s="6"/>
      <c r="D40" s="6"/>
      <c r="E40" s="6"/>
      <c r="F40" s="6"/>
      <c r="G40" s="6"/>
    </row>
    <row r="41" customFormat="false" ht="15" hidden="false" customHeight="true" outlineLevel="0" collapsed="false">
      <c r="A41" s="6" t="s">
        <v>59</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98</v>
      </c>
    </row>
    <row r="2" customFormat="false" ht="15" hidden="false" customHeight="false" outlineLevel="0" collapsed="false">
      <c r="A2" s="2" t="s">
        <v>21</v>
      </c>
    </row>
    <row r="4" customFormat="false" ht="93.75" hidden="false" customHeight="true" outlineLevel="0" collapsed="false">
      <c r="A4" s="6" t="s">
        <v>99</v>
      </c>
      <c r="B4" s="6"/>
      <c r="C4" s="6"/>
      <c r="D4" s="6"/>
      <c r="E4" s="6"/>
      <c r="F4" s="6"/>
      <c r="G4" s="6"/>
    </row>
    <row r="5" customFormat="false" ht="108.75" hidden="false" customHeight="true" outlineLevel="0" collapsed="false">
      <c r="A5" s="7" t="s">
        <v>100</v>
      </c>
      <c r="B5" s="7"/>
      <c r="C5" s="7"/>
      <c r="D5" s="7"/>
      <c r="E5" s="7"/>
      <c r="F5" s="7"/>
      <c r="G5" s="7"/>
    </row>
    <row r="7" customFormat="false" ht="15" hidden="false" customHeight="false" outlineLevel="0" collapsed="false">
      <c r="A7" s="17" t="s">
        <v>63</v>
      </c>
      <c r="B7" s="17" t="s">
        <v>64</v>
      </c>
      <c r="C7" s="17"/>
      <c r="D7" s="17"/>
      <c r="E7" s="17"/>
      <c r="F7" s="17"/>
      <c r="G7" s="17"/>
    </row>
    <row r="8" customFormat="false" ht="18.75" hidden="false" customHeight="true" outlineLevel="0" collapsed="false">
      <c r="A8" s="26" t="s">
        <v>101</v>
      </c>
      <c r="B8" s="7" t="s">
        <v>102</v>
      </c>
      <c r="C8" s="7"/>
      <c r="D8" s="7"/>
      <c r="E8" s="7"/>
      <c r="F8" s="7"/>
      <c r="G8" s="7"/>
    </row>
    <row r="9" customFormat="false" ht="18.75" hidden="false" customHeight="true" outlineLevel="0" collapsed="false">
      <c r="A9" s="26" t="s">
        <v>103</v>
      </c>
      <c r="B9" s="7" t="s">
        <v>104</v>
      </c>
      <c r="C9" s="7"/>
      <c r="D9" s="7"/>
      <c r="E9" s="7"/>
      <c r="F9" s="7"/>
      <c r="G9" s="7"/>
    </row>
    <row r="10" customFormat="false" ht="18.75" hidden="false" customHeight="true" outlineLevel="0" collapsed="false">
      <c r="A10" s="26" t="s">
        <v>105</v>
      </c>
      <c r="B10" s="7" t="s">
        <v>106</v>
      </c>
      <c r="C10" s="7"/>
      <c r="D10" s="7"/>
      <c r="E10" s="7"/>
      <c r="F10" s="7"/>
      <c r="G10" s="7"/>
    </row>
    <row r="11" customFormat="false" ht="18.75" hidden="false" customHeight="true" outlineLevel="0" collapsed="false">
      <c r="A11" s="26" t="s">
        <v>107</v>
      </c>
      <c r="B11" s="7" t="s">
        <v>108</v>
      </c>
      <c r="C11" s="7"/>
      <c r="D11" s="7"/>
      <c r="E11" s="7"/>
      <c r="F11" s="7"/>
      <c r="G11" s="7"/>
    </row>
    <row r="12" customFormat="false" ht="18.75" hidden="false" customHeight="true" outlineLevel="0" collapsed="false">
      <c r="A12" s="26" t="s">
        <v>109</v>
      </c>
      <c r="B12" s="7" t="s">
        <v>110</v>
      </c>
      <c r="C12" s="7"/>
      <c r="D12" s="7"/>
      <c r="E12" s="7"/>
      <c r="F12" s="7"/>
      <c r="G12" s="7"/>
    </row>
    <row r="13" customFormat="false" ht="18.75" hidden="false" customHeight="true" outlineLevel="0" collapsed="false">
      <c r="A13" s="26" t="s">
        <v>111</v>
      </c>
      <c r="B13" s="7" t="s">
        <v>112</v>
      </c>
      <c r="C13" s="7"/>
      <c r="D13" s="7"/>
      <c r="E13" s="7"/>
      <c r="F13" s="7"/>
      <c r="G13" s="7"/>
    </row>
    <row r="14" customFormat="false" ht="18.75" hidden="false" customHeight="true" outlineLevel="0" collapsed="false">
      <c r="A14" s="26" t="s">
        <v>113</v>
      </c>
      <c r="B14" s="7" t="s">
        <v>114</v>
      </c>
      <c r="C14" s="7"/>
      <c r="D14" s="7"/>
      <c r="E14" s="7"/>
      <c r="F14" s="7"/>
      <c r="G14" s="7"/>
    </row>
    <row r="16" customFormat="false" ht="15" hidden="false" customHeight="false" outlineLevel="0" collapsed="false">
      <c r="A16" s="17" t="s">
        <v>36</v>
      </c>
      <c r="B16" s="17"/>
      <c r="C16" s="17"/>
      <c r="D16" s="17"/>
      <c r="E16" s="17"/>
      <c r="F16" s="17" t="s">
        <v>37</v>
      </c>
      <c r="G16" s="17" t="s">
        <v>38</v>
      </c>
    </row>
    <row r="17" customFormat="false" ht="33.75" hidden="false" customHeight="true" outlineLevel="0" collapsed="false">
      <c r="A17" s="7" t="s">
        <v>115</v>
      </c>
      <c r="B17" s="7"/>
      <c r="C17" s="7"/>
      <c r="D17" s="7"/>
      <c r="E17" s="7"/>
      <c r="F17" s="16"/>
      <c r="G17" s="18" t="str">
        <f aca="false">IF(F17="","",IF(ABS(F17-(16.7))&lt;=0.1,"Riktig","Prøv igjen"))</f>
        <v/>
      </c>
    </row>
    <row r="18" customFormat="false" ht="30" hidden="false" customHeight="true" outlineLevel="0" collapsed="false">
      <c r="A18" s="19" t="s">
        <v>40</v>
      </c>
      <c r="B18" s="20" t="s">
        <v>116</v>
      </c>
      <c r="C18" s="20"/>
      <c r="D18" s="20"/>
      <c r="E18" s="20"/>
      <c r="F18" s="20"/>
      <c r="G18" s="20"/>
    </row>
    <row r="20" customFormat="false" ht="18.75" hidden="false" customHeight="true" outlineLevel="0" collapsed="false">
      <c r="A20" s="7" t="s">
        <v>117</v>
      </c>
      <c r="B20" s="7"/>
      <c r="C20" s="7"/>
      <c r="D20" s="7"/>
      <c r="E20" s="7"/>
      <c r="F20" s="16"/>
      <c r="G20" s="18" t="str">
        <f aca="false">IF(F20="","",IF(ABS(F20-(57.1))&lt;=0.1,"Riktig","Prøv igjen"))</f>
        <v/>
      </c>
    </row>
    <row r="21" customFormat="false" ht="30" hidden="false" customHeight="true" outlineLevel="0" collapsed="false">
      <c r="A21" s="19" t="s">
        <v>40</v>
      </c>
      <c r="B21" s="20" t="s">
        <v>118</v>
      </c>
      <c r="C21" s="20"/>
      <c r="D21" s="20"/>
      <c r="E21" s="20"/>
      <c r="F21" s="20"/>
      <c r="G21" s="20"/>
    </row>
    <row r="23" customFormat="false" ht="33.75" hidden="false" customHeight="true" outlineLevel="0" collapsed="false">
      <c r="A23" s="7" t="s">
        <v>119</v>
      </c>
      <c r="B23" s="7"/>
      <c r="C23" s="7"/>
      <c r="D23" s="7"/>
      <c r="E23" s="7"/>
    </row>
    <row r="24" customFormat="false" ht="15" hidden="false" customHeight="true" outlineLevel="0" collapsed="false">
      <c r="A24" s="7" t="s">
        <v>120</v>
      </c>
      <c r="B24" s="7"/>
      <c r="C24" s="7"/>
      <c r="D24" s="7"/>
      <c r="E24" s="7"/>
      <c r="F24" s="21"/>
      <c r="G24" s="18" t="str">
        <f aca="false">IF(F24="","",IF(UPPER(TRIM(F24))="JA","Riktig","Prøv igjen"))</f>
        <v/>
      </c>
    </row>
    <row r="25" customFormat="false" ht="15" hidden="false" customHeight="true" outlineLevel="0" collapsed="false">
      <c r="A25" s="7" t="s">
        <v>121</v>
      </c>
      <c r="B25" s="7"/>
      <c r="C25" s="7"/>
      <c r="D25" s="7"/>
      <c r="E25" s="7"/>
      <c r="F25" s="21"/>
      <c r="G25" s="18" t="str">
        <f aca="false">IF(F25="","",IF(UPPER(TRIM(F25))="JA","Riktig","Prøv igjen"))</f>
        <v/>
      </c>
    </row>
    <row r="26" customFormat="false" ht="15" hidden="false" customHeight="true" outlineLevel="0" collapsed="false">
      <c r="A26" s="7" t="s">
        <v>122</v>
      </c>
      <c r="B26" s="7"/>
      <c r="C26" s="7"/>
      <c r="D26" s="7"/>
      <c r="E26" s="7"/>
      <c r="F26" s="21"/>
      <c r="G26" s="18" t="str">
        <f aca="false">IF(F26="","",IF(UPPER(TRIM(F26))="JA","Riktig","Prøv igjen"))</f>
        <v/>
      </c>
    </row>
    <row r="27" customFormat="false" ht="15" hidden="false" customHeight="true" outlineLevel="0" collapsed="false">
      <c r="A27" s="7" t="s">
        <v>123</v>
      </c>
      <c r="B27" s="7"/>
      <c r="C27" s="7"/>
      <c r="D27" s="7"/>
      <c r="E27" s="7"/>
      <c r="F27" s="21"/>
      <c r="G27" s="18" t="str">
        <f aca="false">IF(F27="","",IF(UPPER(TRIM(F27))="JA","Riktig","Prøv igjen"))</f>
        <v/>
      </c>
    </row>
    <row r="28" customFormat="false" ht="15" hidden="false" customHeight="true" outlineLevel="0" collapsed="false">
      <c r="A28" s="7" t="s">
        <v>124</v>
      </c>
      <c r="B28" s="7"/>
      <c r="C28" s="7"/>
      <c r="D28" s="7"/>
      <c r="E28" s="7"/>
      <c r="F28" s="21"/>
      <c r="G28" s="18" t="str">
        <f aca="false">IF(F28="","",IF(UPPER(TRIM(F28))="NEI","Riktig","Prøv igjen"))</f>
        <v/>
      </c>
    </row>
    <row r="29" customFormat="false" ht="15" hidden="false" customHeight="true" outlineLevel="0" collapsed="false">
      <c r="A29" s="7" t="s">
        <v>125</v>
      </c>
      <c r="B29" s="7"/>
      <c r="C29" s="7"/>
      <c r="D29" s="7"/>
      <c r="E29" s="7"/>
      <c r="F29" s="21"/>
      <c r="G29" s="18" t="str">
        <f aca="false">IF(F29="","",IF(UPPER(TRIM(F29))="NEI","Riktig","Prøv igjen"))</f>
        <v/>
      </c>
    </row>
    <row r="30" customFormat="false" ht="63.75" hidden="false" customHeight="true" outlineLevel="0" collapsed="false">
      <c r="A30" s="7" t="s">
        <v>126</v>
      </c>
      <c r="B30" s="7"/>
      <c r="C30" s="7"/>
      <c r="D30" s="7"/>
      <c r="E30" s="7"/>
      <c r="F30" s="21"/>
      <c r="G30" s="18" t="str">
        <f aca="false">IF(F30="","",IF(UPPER(TRIM(F30))="B","Riktig","Prøv igjen"))</f>
        <v/>
      </c>
    </row>
    <row r="31" customFormat="false" ht="33.75" hidden="false" customHeight="true" outlineLevel="0" collapsed="false">
      <c r="A31" s="7" t="s">
        <v>127</v>
      </c>
      <c r="B31" s="7"/>
      <c r="C31" s="7"/>
      <c r="D31" s="7"/>
      <c r="E31" s="7"/>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30" hidden="false" customHeight="true" outlineLevel="0" collapsed="false">
      <c r="A35" s="19" t="s">
        <v>40</v>
      </c>
      <c r="B35" s="20" t="s">
        <v>128</v>
      </c>
      <c r="C35" s="20"/>
      <c r="D35" s="20"/>
      <c r="E35" s="20"/>
      <c r="F35" s="20"/>
      <c r="G35" s="20"/>
    </row>
    <row r="38" customFormat="false" ht="15" hidden="false" customHeight="false" outlineLevel="0" collapsed="false">
      <c r="A38" s="23" t="s">
        <v>53</v>
      </c>
      <c r="B38" s="23"/>
      <c r="C38" s="23"/>
      <c r="D38" s="23"/>
      <c r="E38" s="23"/>
      <c r="F38" s="23"/>
      <c r="G38" s="23"/>
    </row>
    <row r="39" customFormat="false" ht="30" hidden="false" customHeight="true" outlineLevel="0" collapsed="false">
      <c r="A39" s="24" t="s">
        <v>129</v>
      </c>
      <c r="B39" s="25" t="s">
        <v>130</v>
      </c>
      <c r="C39" s="25"/>
      <c r="D39" s="25"/>
      <c r="E39" s="25"/>
      <c r="F39" s="25"/>
      <c r="G39" s="25"/>
    </row>
    <row r="40" customFormat="false" ht="30" hidden="false" customHeight="true" outlineLevel="0" collapsed="false">
      <c r="A40" s="24" t="s">
        <v>131</v>
      </c>
      <c r="B40" s="25" t="s">
        <v>132</v>
      </c>
      <c r="C40" s="25"/>
      <c r="D40" s="25"/>
      <c r="E40" s="25"/>
      <c r="F40" s="25"/>
      <c r="G40" s="25"/>
    </row>
    <row r="42" customFormat="false" ht="63.75" hidden="false" customHeight="true" outlineLevel="0" collapsed="false">
      <c r="A42" s="6" t="s">
        <v>133</v>
      </c>
      <c r="B42" s="6"/>
      <c r="C42" s="6"/>
      <c r="D42" s="6"/>
      <c r="E42" s="6"/>
      <c r="F42" s="6"/>
      <c r="G42" s="6"/>
    </row>
    <row r="43" customFormat="false" ht="15" hidden="false" customHeight="true" outlineLevel="0" collapsed="false">
      <c r="A43" s="6" t="s">
        <v>59</v>
      </c>
      <c r="B43" s="6"/>
      <c r="C43" s="6"/>
      <c r="D43" s="6"/>
      <c r="E43" s="6"/>
      <c r="F43" s="6"/>
      <c r="G43" s="6"/>
    </row>
  </sheetData>
  <mergeCells count="31">
    <mergeCell ref="A4:G4"/>
    <mergeCell ref="A5:G5"/>
    <mergeCell ref="B7:G7"/>
    <mergeCell ref="B8:G8"/>
    <mergeCell ref="B9:G9"/>
    <mergeCell ref="B10:G10"/>
    <mergeCell ref="B11:G11"/>
    <mergeCell ref="B12:G12"/>
    <mergeCell ref="B13:G13"/>
    <mergeCell ref="B14:G14"/>
    <mergeCell ref="A16:E16"/>
    <mergeCell ref="A17:E17"/>
    <mergeCell ref="B18:G18"/>
    <mergeCell ref="A20:E20"/>
    <mergeCell ref="B21:G21"/>
    <mergeCell ref="A23:E23"/>
    <mergeCell ref="A24:E24"/>
    <mergeCell ref="A25:E25"/>
    <mergeCell ref="A26:E26"/>
    <mergeCell ref="A27:E27"/>
    <mergeCell ref="A28:E28"/>
    <mergeCell ref="A29:E29"/>
    <mergeCell ref="A30:E30"/>
    <mergeCell ref="A31:E31"/>
    <mergeCell ref="A32:G34"/>
    <mergeCell ref="B35:G35"/>
    <mergeCell ref="A38:G38"/>
    <mergeCell ref="B39:G39"/>
    <mergeCell ref="B40:G40"/>
    <mergeCell ref="A42:G42"/>
    <mergeCell ref="A43:G4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134</v>
      </c>
    </row>
    <row r="2" customFormat="false" ht="15" hidden="false" customHeight="false" outlineLevel="0" collapsed="false">
      <c r="A2" s="2" t="s">
        <v>21</v>
      </c>
    </row>
    <row r="4" customFormat="false" ht="93.75" hidden="false" customHeight="true" outlineLevel="0" collapsed="false">
      <c r="A4" s="6" t="s">
        <v>135</v>
      </c>
      <c r="B4" s="6"/>
      <c r="C4" s="6"/>
      <c r="D4" s="6"/>
      <c r="E4" s="6"/>
      <c r="F4" s="6"/>
      <c r="G4" s="6"/>
    </row>
    <row r="5" customFormat="false" ht="93.75" hidden="false" customHeight="true" outlineLevel="0" collapsed="false">
      <c r="A5" s="7" t="s">
        <v>136</v>
      </c>
      <c r="B5" s="7"/>
      <c r="C5" s="7"/>
      <c r="D5" s="7"/>
      <c r="E5" s="7"/>
      <c r="F5" s="7"/>
      <c r="G5" s="7"/>
    </row>
    <row r="7" customFormat="false" ht="15" hidden="false" customHeight="false" outlineLevel="0" collapsed="false">
      <c r="A7" s="17" t="s">
        <v>63</v>
      </c>
      <c r="B7" s="17" t="s">
        <v>64</v>
      </c>
      <c r="C7" s="17"/>
      <c r="D7" s="17"/>
      <c r="E7" s="17"/>
      <c r="F7" s="17"/>
      <c r="G7" s="17"/>
    </row>
    <row r="8" customFormat="false" ht="18.75" hidden="false" customHeight="true" outlineLevel="0" collapsed="false">
      <c r="A8" s="26" t="s">
        <v>137</v>
      </c>
      <c r="B8" s="7" t="s">
        <v>138</v>
      </c>
      <c r="C8" s="7"/>
      <c r="D8" s="7"/>
      <c r="E8" s="7"/>
      <c r="F8" s="7"/>
      <c r="G8" s="7"/>
    </row>
    <row r="9" customFormat="false" ht="18.75" hidden="false" customHeight="true" outlineLevel="0" collapsed="false">
      <c r="A9" s="26" t="s">
        <v>139</v>
      </c>
      <c r="B9" s="7" t="s">
        <v>140</v>
      </c>
      <c r="C9" s="7"/>
      <c r="D9" s="7"/>
      <c r="E9" s="7"/>
      <c r="F9" s="7"/>
      <c r="G9" s="7"/>
    </row>
    <row r="10" customFormat="false" ht="18.75" hidden="false" customHeight="true" outlineLevel="0" collapsed="false">
      <c r="A10" s="26" t="s">
        <v>141</v>
      </c>
      <c r="B10" s="7" t="s">
        <v>142</v>
      </c>
      <c r="C10" s="7"/>
      <c r="D10" s="7"/>
      <c r="E10" s="7"/>
      <c r="F10" s="7"/>
      <c r="G10" s="7"/>
    </row>
    <row r="11" customFormat="false" ht="18.75" hidden="false" customHeight="true" outlineLevel="0" collapsed="false">
      <c r="A11" s="26" t="s">
        <v>143</v>
      </c>
      <c r="B11" s="7" t="s">
        <v>144</v>
      </c>
      <c r="C11" s="7"/>
      <c r="D11" s="7"/>
      <c r="E11" s="7"/>
      <c r="F11" s="7"/>
      <c r="G11" s="7"/>
    </row>
    <row r="12" customFormat="false" ht="18.75" hidden="false" customHeight="true" outlineLevel="0" collapsed="false">
      <c r="A12" s="26" t="s">
        <v>145</v>
      </c>
      <c r="B12" s="7" t="s">
        <v>146</v>
      </c>
      <c r="C12" s="7"/>
      <c r="D12" s="7"/>
      <c r="E12" s="7"/>
      <c r="F12" s="7"/>
      <c r="G12" s="7"/>
    </row>
    <row r="13" customFormat="false" ht="18.75" hidden="false" customHeight="true" outlineLevel="0" collapsed="false">
      <c r="A13" s="26" t="s">
        <v>147</v>
      </c>
      <c r="B13" s="7" t="s">
        <v>148</v>
      </c>
      <c r="C13" s="7"/>
      <c r="D13" s="7"/>
      <c r="E13" s="7"/>
      <c r="F13" s="7"/>
      <c r="G13" s="7"/>
    </row>
    <row r="14" customFormat="false" ht="18.75" hidden="false" customHeight="true" outlineLevel="0" collapsed="false">
      <c r="A14" s="26" t="s">
        <v>149</v>
      </c>
      <c r="B14" s="7" t="s">
        <v>150</v>
      </c>
      <c r="C14" s="7"/>
      <c r="D14" s="7"/>
      <c r="E14" s="7"/>
      <c r="F14" s="7"/>
      <c r="G14" s="7"/>
    </row>
    <row r="15" customFormat="false" ht="18.75" hidden="false" customHeight="true" outlineLevel="0" collapsed="false">
      <c r="A15" s="26" t="s">
        <v>151</v>
      </c>
      <c r="B15" s="7" t="s">
        <v>152</v>
      </c>
      <c r="C15" s="7"/>
      <c r="D15" s="7"/>
      <c r="E15" s="7"/>
      <c r="F15" s="7"/>
      <c r="G15" s="7"/>
    </row>
    <row r="17" customFormat="false" ht="15" hidden="false" customHeight="false" outlineLevel="0" collapsed="false">
      <c r="A17" s="17" t="s">
        <v>36</v>
      </c>
      <c r="B17" s="17"/>
      <c r="C17" s="17"/>
      <c r="D17" s="17"/>
      <c r="E17" s="17"/>
      <c r="F17" s="17" t="s">
        <v>37</v>
      </c>
      <c r="G17" s="17" t="s">
        <v>38</v>
      </c>
    </row>
    <row r="18" customFormat="false" ht="48.75" hidden="false" customHeight="true" outlineLevel="0" collapsed="false">
      <c r="A18" s="7" t="s">
        <v>153</v>
      </c>
      <c r="B18" s="7"/>
      <c r="C18" s="7"/>
      <c r="D18" s="7"/>
      <c r="E18" s="7"/>
      <c r="F18" s="21"/>
      <c r="G18" s="18" t="str">
        <f aca="false">IF(F18="","",IF(UPPER(TRIM(F18))="B","Riktig","Prøv igjen"))</f>
        <v/>
      </c>
    </row>
    <row r="19" customFormat="false" ht="18.75" hidden="false" customHeight="true" outlineLevel="0" collapsed="false">
      <c r="A19" s="7" t="s">
        <v>154</v>
      </c>
      <c r="B19" s="7"/>
      <c r="C19" s="7"/>
      <c r="D19" s="7"/>
      <c r="E19" s="7"/>
    </row>
    <row r="20" customFormat="false" ht="15" hidden="false" customHeight="true" outlineLevel="0" collapsed="false">
      <c r="A20" s="7" t="s">
        <v>155</v>
      </c>
      <c r="B20" s="7"/>
      <c r="C20" s="7"/>
      <c r="D20" s="7"/>
      <c r="E20" s="7"/>
      <c r="F20" s="21"/>
      <c r="G20" s="18" t="str">
        <f aca="false">IF(F20="","",IF(UPPER(TRIM(F20))="JA","Riktig","Prøv igjen"))</f>
        <v/>
      </c>
    </row>
    <row r="21" customFormat="false" ht="15" hidden="false" customHeight="true" outlineLevel="0" collapsed="false">
      <c r="A21" s="7" t="s">
        <v>156</v>
      </c>
      <c r="B21" s="7"/>
      <c r="C21" s="7"/>
      <c r="D21" s="7"/>
      <c r="E21" s="7"/>
      <c r="F21" s="21"/>
      <c r="G21" s="18" t="str">
        <f aca="false">IF(F21="","",IF(UPPER(TRIM(F21))="JA","Riktig","Prøv igjen"))</f>
        <v/>
      </c>
    </row>
    <row r="22" customFormat="false" ht="15" hidden="false" customHeight="true" outlineLevel="0" collapsed="false">
      <c r="A22" s="7" t="s">
        <v>157</v>
      </c>
      <c r="B22" s="7"/>
      <c r="C22" s="7"/>
      <c r="D22" s="7"/>
      <c r="E22" s="7"/>
      <c r="F22" s="21"/>
      <c r="G22" s="18" t="str">
        <f aca="false">IF(F22="","",IF(UPPER(TRIM(F22))="JA","Riktig","Prøv igjen"))</f>
        <v/>
      </c>
    </row>
    <row r="23" customFormat="false" ht="15" hidden="false" customHeight="true" outlineLevel="0" collapsed="false">
      <c r="A23" s="7" t="s">
        <v>158</v>
      </c>
      <c r="B23" s="7"/>
      <c r="C23" s="7"/>
      <c r="D23" s="7"/>
      <c r="E23" s="7"/>
      <c r="F23" s="21"/>
      <c r="G23" s="18" t="str">
        <f aca="false">IF(F23="","",IF(UPPER(TRIM(F23))="NEI","Riktig","Prøv igjen"))</f>
        <v/>
      </c>
    </row>
    <row r="24" customFormat="false" ht="15" hidden="false" customHeight="true" outlineLevel="0" collapsed="false">
      <c r="A24" s="7" t="s">
        <v>159</v>
      </c>
      <c r="B24" s="7"/>
      <c r="C24" s="7"/>
      <c r="D24" s="7"/>
      <c r="E24" s="7"/>
      <c r="F24" s="21"/>
      <c r="G24" s="18" t="str">
        <f aca="false">IF(F24="","",IF(UPPER(TRIM(F24))="NEI","Riktig","Prøv igjen"))</f>
        <v/>
      </c>
    </row>
    <row r="25" customFormat="false" ht="18.75" hidden="false" customHeight="true" outlineLevel="0" collapsed="false">
      <c r="A25" s="7" t="s">
        <v>160</v>
      </c>
      <c r="B25" s="7"/>
      <c r="C25" s="7"/>
      <c r="D25" s="7"/>
      <c r="E25" s="7"/>
      <c r="F25" s="16"/>
      <c r="G25" s="18" t="str">
        <f aca="false">IF(F25="","",IF(ABS(F25-(20))&lt;=0.1,"Riktig","Prøv igjen"))</f>
        <v/>
      </c>
    </row>
    <row r="26" customFormat="false" ht="30" hidden="false" customHeight="true" outlineLevel="0" collapsed="false">
      <c r="A26" s="19" t="s">
        <v>40</v>
      </c>
      <c r="B26" s="20" t="s">
        <v>161</v>
      </c>
      <c r="C26" s="20"/>
      <c r="D26" s="20"/>
      <c r="E26" s="20"/>
      <c r="F26" s="20"/>
      <c r="G26" s="20"/>
    </row>
    <row r="28" customFormat="false" ht="63.75" hidden="false" customHeight="true" outlineLevel="0" collapsed="false">
      <c r="A28" s="7" t="s">
        <v>162</v>
      </c>
      <c r="B28" s="7"/>
      <c r="C28" s="7"/>
      <c r="D28" s="7"/>
      <c r="E28" s="7"/>
      <c r="F28" s="21"/>
      <c r="G28" s="18" t="str">
        <f aca="false">IF(F28="","",IF(UPPER(TRIM(F28))="C","Riktig","Prøv igjen"))</f>
        <v/>
      </c>
    </row>
    <row r="29" customFormat="false" ht="33.75" hidden="false" customHeight="true" outlineLevel="0" collapsed="false">
      <c r="A29" s="7" t="s">
        <v>163</v>
      </c>
      <c r="B29" s="7"/>
      <c r="C29" s="7"/>
      <c r="D29" s="7"/>
      <c r="E29" s="7"/>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30" hidden="false" customHeight="true" outlineLevel="0" collapsed="false">
      <c r="A33" s="19" t="s">
        <v>40</v>
      </c>
      <c r="B33" s="20" t="s">
        <v>164</v>
      </c>
      <c r="C33" s="20"/>
      <c r="D33" s="20"/>
      <c r="E33" s="20"/>
      <c r="F33" s="20"/>
      <c r="G33" s="20"/>
    </row>
    <row r="36" customFormat="false" ht="15" hidden="false" customHeight="false" outlineLevel="0" collapsed="false">
      <c r="A36" s="23" t="s">
        <v>53</v>
      </c>
      <c r="B36" s="23"/>
      <c r="C36" s="23"/>
      <c r="D36" s="23"/>
      <c r="E36" s="23"/>
      <c r="F36" s="23"/>
      <c r="G36" s="23"/>
    </row>
    <row r="37" customFormat="false" ht="42.75" hidden="false" customHeight="true" outlineLevel="0" collapsed="false">
      <c r="A37" s="24" t="s">
        <v>165</v>
      </c>
      <c r="B37" s="25" t="s">
        <v>166</v>
      </c>
      <c r="C37" s="25"/>
      <c r="D37" s="25"/>
      <c r="E37" s="25"/>
      <c r="F37" s="25"/>
      <c r="G37" s="25"/>
    </row>
    <row r="38" customFormat="false" ht="30" hidden="false" customHeight="true" outlineLevel="0" collapsed="false">
      <c r="A38" s="24" t="s">
        <v>167</v>
      </c>
      <c r="B38" s="25" t="s">
        <v>168</v>
      </c>
      <c r="C38" s="25"/>
      <c r="D38" s="25"/>
      <c r="E38" s="25"/>
      <c r="F38" s="25"/>
      <c r="G38" s="25"/>
    </row>
    <row r="40" customFormat="false" ht="48.75" hidden="false" customHeight="true" outlineLevel="0" collapsed="false">
      <c r="A40" s="6" t="s">
        <v>169</v>
      </c>
      <c r="B40" s="6"/>
      <c r="C40" s="6"/>
      <c r="D40" s="6"/>
      <c r="E40" s="6"/>
      <c r="F40" s="6"/>
      <c r="G40" s="6"/>
    </row>
    <row r="41" customFormat="false" ht="15" hidden="false" customHeight="true" outlineLevel="0" collapsed="false">
      <c r="A41" s="6" t="s">
        <v>59</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2026-10-13T12:21:02Z</dcterms:created>
  <dc:creator>openpyxl</dc:creator>
  <dc:description/>
  <dc:language>en-US</dc:language>
  <cp:lastModifiedBy/>
  <dcterms:modified xsi:type="dcterms:W3CDTF">2026-10-13T12:21:02Z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