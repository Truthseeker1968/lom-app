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<sst xmlns="http://schemas.openxmlformats.org/spreadsheetml/2006/main" count="231" uniqueCount="155">
  <si>
    <t xml:space="preserve">Nyere organisasjonsteorier: oppgaver til kapittel 15</t>
  </si>
  <si>
    <t xml:space="preserve">Markedsføring, organisasjon og ledelse for LØM-emnet (Hjertnes), kapittel 15. Versjon 6, oktober 2026. Nordlys Elektro AS og Fjell Elektro AS er konstruerte casebedrifter; tallene er faktaarkenes og casefakta for kapittel 15.</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</si>
  <si>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</si>
  <si>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</si>
  <si>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</si>
  <si>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</si>
  <si>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</si>
  <si>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</si>
  <si>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Timeregistreringen hos Nordlys virker. Eller gjør den?</t>
  </si>
  <si>
    <t xml:space="preserve">1B  Fjell Elektro: fire utsagn, et valg på én ettermiddag, og to montører</t>
  </si>
  <si>
    <t xml:space="preserve">1C  Nordlys' største oppdrag, på tvers av tre avdelinger: hvilken form, og hvem avgjør?</t>
  </si>
  <si>
    <t xml:space="preserve">Fasit  Alle svar med regnestykket skrevet ut</t>
  </si>
  <si>
    <t xml:space="preserve">Dette er øvingsmateriell til repetisjons- og øvingsstøtte. I besvarelser, caser, prosjektoppgaver og eksamen gjelder lærebøkene og oppgitte primærkilder.</t>
  </si>
  <si>
    <t xml:space="preserve">Systemet gjør selve arbeidet raskere</t>
  </si>
  <si>
    <t xml:space="preserve">Oppgave 1A: Timeregistreringen hos Nordlys virker. Eller gjør den?</t>
  </si>
  <si>
    <t xml:space="preserve">Montørene vet at noen følger med: Hawthorne-effekten</t>
  </si>
  <si>
    <t xml:space="preserve">Alene, i par eller i gruppe, slik du vil.</t>
  </si>
  <si>
    <t xml:space="preserve">Gruppenormene i avdelingen har brutt sammen</t>
  </si>
  <si>
    <t xml:space="preserve">Situasjonen</t>
  </si>
  <si>
    <t xml:space="preserve">Ja</t>
  </si>
  <si>
    <t xml:space="preserve">Serviceavdelingen i Nordlys Elektro AS har 210 oppdrag i året, og et oppdrag har tatt 6 montørtimer. Kari Nordlund, daglig leder, innfører timeregistrering på mobil, og montørene vet at tidsbruken nå følges for hvert oppdrag. Første måned faller tiden per oppdrag til 5 timer. Kari vil utvide systemet til prosjekt og legge gevinsten inn i neste års budsjett. Timeprisen er 890 kr uten merverdiavgift. Tom Berg, driftsleder service, sier: «Det viser at de må overvåkes. Nå ser vi hvem som har latet seg.»</t>
  </si>
  <si>
    <t xml:space="preserve">Nei</t>
  </si>
  <si>
    <t xml:space="preserve">Begrepene du trenger</t>
  </si>
  <si>
    <t xml:space="preserve">Hawthorne-undersøkelsene (15.1) skulle måle virkningen av det fysiske arbeidsmiljøet, men produktiviteten økte uansett hva forskerne endret, også i kontrollgruppen. Arbeiderne gjorde sitt beste fordi de ble viet oppmerksomhet. Hawthorne-effekten: de som deltar i et forsøk, forsterker den atferden de tror forventes. Human relations-bevegelsen: arbeideren er først og fremst et sosialt vesen. McGregor (15.3): de ansattes atferd er langt på vei et resultat av ledelsens menneskesyn; teori X (folk må kontrolleres og tvinges) eller teori Y (folk søker ansvar og styrer seg selv når de deler målene).</t>
  </si>
  <si>
    <t xml:space="preserve">Tallene</t>
  </si>
  <si>
    <t xml:space="preserve">Serviceavdelingen har 210 oppdrag i året. Før timeregistreringen tok et oppdrag 6 montørtimer; første måned med registrering tok det 5. Timeprisen er 890 kr uten merverdiavgift.</t>
  </si>
  <si>
    <t xml:space="preserve">Post</t>
  </si>
  <si>
    <t xml:space="preserve">Før</t>
  </si>
  <si>
    <t xml:space="preserve">Første måned</t>
  </si>
  <si>
    <t xml:space="preserve">Serviceoppdrag i året</t>
  </si>
  <si>
    <t xml:space="preserve">Montørtimer per oppdrag</t>
  </si>
  <si>
    <t xml:space="preserve">Timepris, kr uten merverdiavgift</t>
  </si>
  <si>
    <t xml:space="preserve">Oppgaven, trinn for trinn</t>
  </si>
  <si>
    <t xml:space="preserve">1. Regn nedgangen i tid per oppdrag i prosent av det opprinnelige (a), med én desimal.
2. Regn hva gevinsten er verdt i året hvis nedgangen varer og de sparte timene selges til andre kunder (b): oppdrag × sparte timer × timepris.
3. Velg den mest sannsynlige forklaringen etter én måned (c), og ta stilling til fem forslag fra Kari og Tom (d).
4. Skriv til Kari om Toms setning og hva hun bør gjøre (e).</t>
  </si>
  <si>
    <t xml:space="preserve">a) Nedgang i tid per oppdrag, i prosent av 6 timer (én desimal, skriv 16,7 for 16,7 %)</t>
  </si>
  <si>
    <t xml:space="preserve">prosent</t>
  </si>
  <si>
    <t xml:space="preserve">b) Gevinst i året hvis nedgangen varer og timene selges: 210 oppdrag × 1 time × 890 kr</t>
  </si>
  <si>
    <t xml:space="preserve">kr</t>
  </si>
  <si>
    <t xml:space="preserve">c) Hva er den mest sannsynlige forklaringen på nedgangen etter bare én måned, ifølge Hawthorne-undersøkelsene?</t>
  </si>
  <si>
    <t xml:space="preserve">d) Kari og Tom foreslår fem ting. Ja eller nei: er dette i tråd med det Hawthorne-undersøkelsene og human relations-bevegelsen lærte oss? (velg i nedtrekksmenyen)</t>
  </si>
  <si>
    <t xml:space="preserve">Måle over flere måneder før tallet går inn i budsjettet</t>
  </si>
  <si>
    <t xml:space="preserve">Spørre montørene hva som har endret seg</t>
  </si>
  <si>
    <t xml:space="preserve">Legge 186 900 kr inn i neste års budsjett nå</t>
  </si>
  <si>
    <t xml:space="preserve">Konkludere at montørene bare styres av lønn og kontroll</t>
  </si>
  <si>
    <t xml:space="preserve">Tom: «Nå ser vi hvem som har latet seg»</t>
  </si>
  <si>
    <t xml:space="preserve">e) Tom sier: «Det viser at de må overvåkes. Nå ser vi hvem som har latet seg.» Hvilket menneskesyn er det (McGregor), hva kan det gjøre med montørene, og hva bør Kari gjøre med systemet og tallet? Tre setninger. Bruk ordene teori X og måle.</t>
  </si>
  <si>
    <t xml:space="preserve">Står du fast? Skriv JA i den gule cellen:</t>
  </si>
  <si>
    <t xml:space="preserve">Gule celler fyller du inn. Grønne regnes ut av arket. Sjekken til høyre forteller om svaret stemmer, og hva du bør se på hvis ikke.</t>
  </si>
  <si>
    <t xml:space="preserve">Hawthorne-effekten</t>
  </si>
  <si>
    <t xml:space="preserve">Oppgave 1B: Fjell Elektro: fire utsagn, et valg på én ettermiddag, og to montører</t>
  </si>
  <si>
    <t xml:space="preserve">Pyramidale verdier</t>
  </si>
  <si>
    <t xml:space="preserve">Teori X</t>
  </si>
  <si>
    <t xml:space="preserve">Begrenset rasjonalitet</t>
  </si>
  <si>
    <t xml:space="preserve">Fjell Elektro AS har vært i drift i ett år. Mona Fjell er eier, daglig leder og faglig ansvarlig, og jobber halve tiden ute på oppdrag. Timeprisen er 890 kr uten merverdiavgift. Hun har to montører med ulike ønsker: den ene vil planlegge uka selv og snakke med kundene, den andre vil helst få arbeidsordren og jobbe i fred. Først fire utsagn fra bransjen, så et valg Mona må ta på én ettermiddag, og til slutt hvordan hun bør lede de to.</t>
  </si>
  <si>
    <t xml:space="preserve">Pyramidale verdier (15.2): ledelsens tro på at bare det saklige teller, og at folk styres best med påbud, kontroll, belønning og straff. Teori X og teori Y (15.3): to menneskesyn hos lederen. Begrenset rasjonalitet (15.4): ingen kjenner problemet, alle alternativene og alle konsekvensene fullt ut, og tiden strekker ikke til. Det økonomiske mennesket maksimerer; det administrative mennesket ser begrensningene og søker et tilfredsstillende resultat innenfor dem.</t>
  </si>
  <si>
    <t xml:space="preserve">a) Fire utsagn fra el-bransjen: hvilket begrep fra kapittel 15 hører til hvert? (velg i nedtrekksmenyen)</t>
  </si>
  <si>
    <t xml:space="preserve">«Første måned med timeregistrering falt tiden per oppdrag, men etter et halvt år var vi tilbake der vi var.»</t>
  </si>
  <si>
    <t xml:space="preserve">«Formannen sier alltid: vi tar det senere, nå haster det. Så nå melder ingen fra om noe.»</t>
  </si>
  <si>
    <t xml:space="preserve">«Montørene må overvåkes, ellers går det i stå.»</t>
  </si>
  <si>
    <t xml:space="preserve">«Ida hadde to timer, rakk 3 av 14 leverandører og valgte Polarlys. Det var godt nok.»</t>
  </si>
  <si>
    <t xml:space="preserve">Mona og ladeboksene</t>
  </si>
  <si>
    <t xml:space="preserve">Et sameie vil ha pris på et felles ladeanlegg innen fredag. Mona har én ettermiddag til tilbudet. Det finnes 6 ladeboks-fabrikater på markedet; Mona kjenner 2 av dem. Å undersøke ett ukjent fabrikat grundig tar 2 timer, og timene tas fra oppdrag hun ellers ville fakturert til 890 kr per time. Hun velger fabrikatet Fjell har montert før: kjent kvalitet og levering fra grossisten.</t>
  </si>
  <si>
    <t xml:space="preserve">Det økonomiske mennesket</t>
  </si>
  <si>
    <t xml:space="preserve">b) Mona velger fabrikatet hun kjenner, fordi det er godt nok innenfor fristen, ikke fordi hun vet at det er best. Hva kaller Simon en slik leder?</t>
  </si>
  <si>
    <t xml:space="preserve">Det administrative mennesket</t>
  </si>
  <si>
    <t xml:space="preserve">En leder med pyramidale verdier</t>
  </si>
  <si>
    <t xml:space="preserve">c) Ja eller nei: er dette en av begrensningene i rasjonaliteten som Simon peker på (manglende kunnskap om problemet, alternativene eller konsekvensene, eller mangel på tid og ressurser)?</t>
  </si>
  <si>
    <t xml:space="preserve">Mona har bare én ettermiddag</t>
  </si>
  <si>
    <t xml:space="preserve">Hun kjenner bare 2 av 6 fabrikater</t>
  </si>
  <si>
    <t xml:space="preserve">Hun vet ikke hvordan de 4 ukjente fabrikatene holder over tid</t>
  </si>
  <si>
    <t xml:space="preserve">Sameiet har sagt hva det vil ha, og når</t>
  </si>
  <si>
    <t xml:space="preserve">Mona er installatør med fagskole</t>
  </si>
  <si>
    <t xml:space="preserve">d) Hva koster det i tapt fakturering å undersøke de 4 ukjente fabrikatene grundig, 2 timer hver, til 890 kr per time?</t>
  </si>
  <si>
    <t xml:space="preserve">e) En student sier: «Begrenset rasjonalitet betyr at Mona ikke trenger å vurdere alternativer.» Hva er riktig?</t>
  </si>
  <si>
    <t xml:space="preserve">Studenten har rett: Simon fritar lederen fra å undersøke</t>
  </si>
  <si>
    <t xml:space="preserve">f) Den ene montøren vil planlegge uka selv og snakke med kundene; den andre vil helst få arbeidsordren og jobbe i fred. Hvordan bør Mona lede de to? Bruk McGregor og Argyris. Tre setninger. Bruk ordene teori Y og ansvar.</t>
  </si>
  <si>
    <t xml:space="preserve">Valget er irrasjonelt og bør gjøres om</t>
  </si>
  <si>
    <t xml:space="preserve">Ingen beslutning er fullt rasjonell; lederen søker et tilfredsstillende resultat innenfor begrensningene</t>
  </si>
  <si>
    <t xml:space="preserve">Entreprenørorganisasjonen</t>
  </si>
  <si>
    <t xml:space="preserve">Oppgave 1C: Nordlys' største oppdrag, på tvers av tre avdelinger: hvilken form, og hvem avgjør?</t>
  </si>
  <si>
    <t xml:space="preserve">Maskinbyråkratiet</t>
  </si>
  <si>
    <t xml:space="preserve">Det profesjonelle byråkratiet</t>
  </si>
  <si>
    <t xml:space="preserve">Divisjonsorganisasjonen</t>
  </si>
  <si>
    <t xml:space="preserve">Mintzberg (15.6) sier at den perfekte organisasjonsformen ikke finnes; den beste vokser fram av situasjonen. Boka beskriver fem typer (15.8): entreprenørorganisasjonen, maskinbyråkratiet, det profesjonelle byråkratiet, divisjonsorganisasjonen og den innovative organisasjonen, og den innovative jobber i prosjekter og matrise. Først plasserer du fem av bokas egne eksempler, så bruker du prosjektkjennetegnene og matrisen på Nordlys' største oppdrag.</t>
  </si>
  <si>
    <t xml:space="preserve">Den innovative organisasjonen</t>
  </si>
  <si>
    <t xml:space="preserve">Prosjektoppgave (15.8.5): en engangsoppgave med klart mål, eget styringsobjekt, bestemt tids- og kostnadsramme, ofte tverrfaglig, og prosjektorganisasjonen legges ned når oppgaven er løst. Matrise (figur 15.7): kommunikasjon, autoritet og kontroll går både vertikalt og horisontalt; montøren svarer til avdelingen på faget og til prosjektet på framdriften. Kontrollerende autoritet (figur 15.8): det administrative ansvaret ligger i basisorganisasjonen. Full autoritet (figur 15.9): egen prosjektorganisasjon utenfor. Enhetlig ledelse (14.2): hver ansatt har én sjef; matrisen bryter med det.</t>
  </si>
  <si>
    <t xml:space="preserve">a) Fem av bokas eksempler: hvilken av Mintzbergs fem typer hører hver hjemme i? (velg i nedtrekksmenyen)</t>
  </si>
  <si>
    <t xml:space="preserve">En kiosk med eieren og to deltidsansatte</t>
  </si>
  <si>
    <t xml:space="preserve">Et forsikringsselskap</t>
  </si>
  <si>
    <t xml:space="preserve">Et sykehus</t>
  </si>
  <si>
    <t xml:space="preserve">Equinor ASA</t>
  </si>
  <si>
    <t xml:space="preserve">Et reklamebyrå</t>
  </si>
  <si>
    <t xml:space="preserve">Rehabiliteringen av næringsbygget</t>
  </si>
  <si>
    <t xml:space="preserve">Nordlys har vunnet sitt største oppdrag så langt: rehabilitering av et næringsbygg med ny hovedtavle, solcelleanlegg på taket og ladeanlegg i garasjen. Jobben er beregnet til 2 400 montørtimer over 8 måneder. Nordlys fakturerer 14 400 montørtimer i året og har 14 utførende (12 montører og 2 lærlinger). Prosjektet trenger 2 fra service, 4 fra prosjekt og nybygg og 2 fra solcelle og lading. Folkene beholder sin faste plass i avdelingen mens prosjektet pågår. Tom leder service og Ronny prosjekt; solcelle og lading har ingen egen leder.</t>
  </si>
  <si>
    <t xml:space="preserve">Tall</t>
  </si>
  <si>
    <t xml:space="preserve">Montørtimer i prosjektet</t>
  </si>
  <si>
    <t xml:space="preserve">Måneder</t>
  </si>
  <si>
    <t xml:space="preserve">Fakturerbare montørtimer i året hos Nordlys</t>
  </si>
  <si>
    <t xml:space="preserve">Utførende hos Nordlys (12 montører + 2 lærlinger)</t>
  </si>
  <si>
    <t xml:space="preserve">Fra service</t>
  </si>
  <si>
    <t xml:space="preserve">Fra prosjekt og nybygg</t>
  </si>
  <si>
    <t xml:space="preserve">Fra solcelle og lading</t>
  </si>
  <si>
    <t xml:space="preserve">b) Hvor mange prosent av Nordlys' 14 400 fakturerbare timer i året binder prosjektet? Én desimal (skriv 16,7 for 16,7 %)</t>
  </si>
  <si>
    <t xml:space="preserve">c) Hvor mange prosent av de 14 utførende trenger prosjektet? Én desimal</t>
  </si>
  <si>
    <t xml:space="preserve">d) Ja eller nei: kjennetegner dette rehabiliteringen som en prosjektoppgave slik boka beskriver den (15.8.5)?</t>
  </si>
  <si>
    <t xml:space="preserve">Det er en engangsoppgave</t>
  </si>
  <si>
    <t xml:space="preserve">Den har egen tids- og kostnadsramme: 8 måneder, 2 400 timer</t>
  </si>
  <si>
    <t xml:space="preserve">Den krever tavle, solceller og lading: flere fag</t>
  </si>
  <si>
    <t xml:space="preserve">Prosjektorganisasjonen legges ned når bygget er ferdig</t>
  </si>
  <si>
    <t xml:space="preserve">Den løses etter faste regler og sjekklister, som de 210 serviceoppdragene</t>
  </si>
  <si>
    <t xml:space="preserve">Hver montør har bare én sjef mens prosjektet pågår</t>
  </si>
  <si>
    <t xml:space="preserve">e) En montør på prosjektet får beskjed fra Ronny om faget og fra prosjektlederen om framdriften, og begge kan kreve noe av ham. Hva kalles denne strukturen?</t>
  </si>
  <si>
    <t xml:space="preserve">Linje og stab: prosjektlederen gir råd, Ronny bestemmer</t>
  </si>
  <si>
    <t xml:space="preserve">Matrise: autoritet både vertikalt og horisontalt</t>
  </si>
  <si>
    <t xml:space="preserve">f) Styret spør hvordan prosjektet bør organiseres, og hva som er den største risikoen. Gi en anbefaling med minst ett tall. Tre–fire setninger. Bruk ordene prosjektleder og myndighet.</t>
  </si>
  <si>
    <t xml:space="preserve">Enhetlig ledelse: én direkte overordnet</t>
  </si>
  <si>
    <t xml:space="preserve">Fasit, kapittel 15</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</si>
  <si>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</si>
  <si>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</si>
  <si>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</si>
  <si>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</si>
  <si>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Nedgang i prosent</t>
  </si>
  <si>
    <t xml:space="preserve">(6 − 5) / 6 × 100 = 16,7 %</t>
  </si>
  <si>
    <t xml:space="preserve">1A b) Gevinst i året</t>
  </si>
  <si>
    <t xml:space="preserve">210 oppdrag × 1 time × 890 kr = 186 900 kr, hvis nedgangen varer og timene selges</t>
  </si>
  <si>
    <t xml:space="preserve">1A c) Forklaringen</t>
  </si>
  <si>
    <t xml:space="preserve">Montørene vet at noen følger med: Hawthorne-effekten (15.1)</t>
  </si>
  <si>
    <t xml:space="preserve">1A d) Fem forslag</t>
  </si>
  <si>
    <t xml:space="preserve">Ja: måle over flere måneder, spørre montørene. Nei: budsjettere nå, konkludere at folk bare styres av lønn og kontroll, «nå ser vi hvem som har latet seg»</t>
  </si>
  <si>
    <t xml:space="preserve">1A e) Til Kari</t>
  </si>
  <si>
    <t xml:space="preserve">Tom uttrykker teori X. Kontroll gjør folk passive og gir vi-mot-dem (Argyris). Kari bør måle over flere måneder, spørre montørene og bruke tallene som et felles verktøy, ikke som kontroll</t>
  </si>
  <si>
    <t xml:space="preserve">1B a) Fire utsagn</t>
  </si>
  <si>
    <t xml:space="preserve">Hawthorne-effekten, pyramidale verdier, teori X, begrenset rasjonalitet</t>
  </si>
  <si>
    <t xml:space="preserve">1B b) Monas valg</t>
  </si>
  <si>
    <t xml:space="preserve">Det administrative mennesket (15.4)</t>
  </si>
  <si>
    <t xml:space="preserve">1B c) Begrensningene</t>
  </si>
  <si>
    <t xml:space="preserve">Ja: én ettermiddag (tid), 2 av 6 (alternativer), ukjent holdbarhet (konsekvenser). Nei: sameiets klare bestilling (problemet er klart), Monas kompetanse (noe hun har)</t>
  </si>
  <si>
    <t xml:space="preserve">1B d) Full undersøkelse</t>
  </si>
  <si>
    <t xml:space="preserve">4 ukjente fabrikater × 2 timer × 890 kr = 7 120 kr, og 8 timer hun ikke har før fredag</t>
  </si>
  <si>
    <t xml:space="preserve">1B e) Begrenset rasjonalitet</t>
  </si>
  <si>
    <t xml:space="preserve">En grense, ikke en fritakelse: lederen søker et tilfredsstillende resultat innenfor begrensningene</t>
  </si>
  <si>
    <t xml:space="preserve">1B f) To montører</t>
  </si>
  <si>
    <t xml:space="preserve">Teori Y til den som vil planlegge selv, med klare mål og frister. Tydelige arbeidsordrer til den som vil ha dem; han er ikke lat (Argyris). Samme krav til kvalitet og sikkerhet. Fella er å lede begge likt</t>
  </si>
  <si>
    <t xml:space="preserve">1C a) Fem eksempler</t>
  </si>
  <si>
    <t xml:space="preserve">Kiosk: entreprenørorganisasjonen. Forsikringsselskap: maskinbyråkratiet. Sykehus: det profesjonelle byråkratiet. Equinor: divisjonsorganisasjonen. Reklamebyrå: den innovative organisasjonen</t>
  </si>
  <si>
    <t xml:space="preserve">1C b) Andel av timene</t>
  </si>
  <si>
    <t xml:space="preserve">2 400 / 14 400 × 100 = 16,7 %</t>
  </si>
  <si>
    <t xml:space="preserve">1C c) Andel av de utførende</t>
  </si>
  <si>
    <t xml:space="preserve">(2 + 4 + 2) / 14 × 100 = 57,1 %</t>
  </si>
  <si>
    <t xml:space="preserve">1C d) Kjennetegn</t>
  </si>
  <si>
    <t xml:space="preserve">Ja: engangsoppgave, egen ramme, flere fag, legges ned. Nei: faste regler (maskinbyråkratiet), én sjef (matrise)</t>
  </si>
  <si>
    <t xml:space="preserve">1C e) Strukturen</t>
  </si>
  <si>
    <t xml:space="preserve">Matrise: autoritet både vertikalt og horisontalt (15.8.5)</t>
  </si>
  <si>
    <t xml:space="preserve">1C f) Til styret</t>
  </si>
  <si>
    <t xml:space="preserve">Prosjektorganisasjon i matrise, kontrollerende eller full autoritet. Kapasiteten (16,7 % av timene, 57,1 % av folkene) lar seg planlegge. Risikoen er uavklart myndighet: én navngitt prosjektleder med myndighet over bemanningen, skriftlig før oppstart, og en fagansvarlig i solcelle og lading nå</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</si>
</sst>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b val="true"/>
      <sz val="11"/>
      <color theme="1"/>
      <name val="Calibri"/>
      <family val="2"/>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75"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19</v>
      </c>
    </row>
    <row r="7" customFormat="false" ht="75" hidden="false" customHeight="true" outlineLevel="0" collapsed="false">
      <c r="B7" s="9" t="s">
        <v>23</v>
      </c>
      <c r="C7" s="9"/>
      <c r="D7" s="9"/>
      <c r="E7" s="9"/>
      <c r="F7" s="9"/>
      <c r="G7" s="9"/>
      <c r="Z7" s="6" t="s">
        <v>21</v>
      </c>
    </row>
    <row r="8" customFormat="false" ht="15" hidden="false" customHeight="false" outlineLevel="0" collapsed="false">
      <c r="Z8" s="0" t="s">
        <v>19</v>
      </c>
    </row>
    <row r="9" customFormat="false" ht="15.75" hidden="false" customHeight="true" outlineLevel="0" collapsed="false">
      <c r="B9" s="8" t="s">
        <v>24</v>
      </c>
      <c r="C9" s="8"/>
      <c r="D9" s="8"/>
      <c r="E9" s="8"/>
      <c r="F9" s="8"/>
      <c r="G9" s="8"/>
      <c r="Z9" s="6" t="s">
        <v>21</v>
      </c>
    </row>
    <row r="10" customFormat="false" ht="30" hidden="false" customHeight="true" outlineLevel="0" collapsed="false">
      <c r="B10" s="9" t="s">
        <v>25</v>
      </c>
      <c r="C10" s="9"/>
      <c r="D10" s="9"/>
      <c r="E10" s="9"/>
      <c r="F10" s="9"/>
      <c r="G10" s="9"/>
      <c r="Z10" s="6" t="s">
        <v>19</v>
      </c>
    </row>
    <row r="11" customFormat="false" ht="15" hidden="false" customHeight="false" outlineLevel="0" collapsed="false">
      <c r="B11" s="10" t="s">
        <v>26</v>
      </c>
      <c r="C11" s="11" t="s">
        <v>27</v>
      </c>
      <c r="D11" s="11" t="s">
        <v>28</v>
      </c>
      <c r="Z11" s="6" t="s">
        <v>21</v>
      </c>
    </row>
    <row r="12" customFormat="false" ht="15" hidden="false" customHeight="false" outlineLevel="0" collapsed="false">
      <c r="B12" s="12" t="s">
        <v>29</v>
      </c>
      <c r="C12" s="13" t="n">
        <v>210</v>
      </c>
      <c r="D12" s="13" t="n">
        <v>210</v>
      </c>
      <c r="Z12" s="6" t="s">
        <v>19</v>
      </c>
    </row>
    <row r="13" customFormat="false" ht="15" hidden="false" customHeight="false" outlineLevel="0" collapsed="false">
      <c r="B13" s="12" t="s">
        <v>30</v>
      </c>
      <c r="C13" s="13" t="n">
        <v>6</v>
      </c>
      <c r="D13" s="13" t="n">
        <v>5</v>
      </c>
      <c r="Z13" s="6" t="s">
        <v>21</v>
      </c>
    </row>
    <row r="14" customFormat="false" ht="15" hidden="false" customHeight="false" outlineLevel="0" collapsed="false">
      <c r="B14" s="12" t="s">
        <v>31</v>
      </c>
      <c r="C14" s="13" t="n">
        <v>890</v>
      </c>
      <c r="D14" s="13" t="n">
        <v>890</v>
      </c>
    </row>
    <row r="16" customFormat="false" ht="15.75" hidden="false" customHeight="true" outlineLevel="0" collapsed="false">
      <c r="B16" s="8" t="s">
        <v>32</v>
      </c>
      <c r="C16" s="8"/>
      <c r="D16" s="8"/>
      <c r="E16" s="8"/>
      <c r="F16" s="8"/>
      <c r="G16" s="8"/>
    </row>
    <row r="17" customFormat="false" ht="60" hidden="false" customHeight="true" outlineLevel="0" collapsed="false">
      <c r="B17" s="9" t="s">
        <v>33</v>
      </c>
      <c r="C17" s="9"/>
      <c r="D17" s="9"/>
      <c r="E17" s="9"/>
      <c r="F17" s="9"/>
      <c r="G17" s="9"/>
    </row>
    <row r="19" customFormat="false" ht="43.5" hidden="false" customHeight="true" outlineLevel="0" collapsed="false">
      <c r="B19" s="14" t="s">
        <v>34</v>
      </c>
      <c r="C19" s="15"/>
      <c r="D19" s="16" t="s">
        <v>35</v>
      </c>
      <c r="G19" s="17" t="str">
        <f aca="false">IF(C19="","Skriv svaret i den gule cellen.",IF(ABS(C19-(ROUND((6-5)/6*100,1)))&lt;=0.1,"Riktig.",IF(ABS(C19-(ROUND((6-5)/5*100,1)))&lt;=0.1,"Du har delt på det nye tallet, 5. Nedgangen regnes av det opprinnelige: (6 − 5) / 6.",IF(ABS(C19-(1))&lt;=0.1,"Du har svart timene som ble spart, ikke prosenten. Del på 6 og gang med 100.",IF(ABS(C19-(ROUND((6-5)/6,1)))&lt;=0.1,"Du har svart brøken, 0,2. Skriv svaret i prosent: gang med 100.","Ikke riktig ennå. Se på regnestykket øverst på fanen, og sjekk at du har med alle leddene.")))))</f>
        <v>Skriv svaret i den gule cellen.</v>
      </c>
    </row>
    <row r="20" customFormat="false" ht="43.5" hidden="false" customHeight="true" outlineLevel="0" collapsed="false">
      <c r="B20" s="14" t="s">
        <v>36</v>
      </c>
      <c r="C20" s="18"/>
      <c r="D20" s="16" t="s">
        <v>37</v>
      </c>
      <c r="G20" s="17" t="str">
        <f aca="false">IF(C20="","Skriv svaret i den gule cellen.",IF(C20=(210*1*890),"Riktig.",IF(ABS(C20-(210*5*890))&lt;=0,"Du har regnet hele inntekten for de nye timene. Gevinsten er bare den sparte timen per oppdrag.",IF(ABS(C20-(210*6*890))&lt;=0,"Du har regnet inntekten før endringen. Gevinsten er 1 spart time per oppdrag × 210 × 890.",IF(ABS(C20-(1*890))&lt;=0,"Det er gevinsten for ett oppdrag. Det er 210 oppdrag i året.","Ikke riktig ennå. Se på regnestykket øverst på fanen, og sjekk at du har med alle leddene.")))))</f>
        <v>Skriv svaret i den gule cellen.</v>
      </c>
    </row>
    <row r="22" customFormat="false" ht="39.75" hidden="false" customHeight="true" outlineLevel="0" collapsed="false">
      <c r="B22" s="14" t="s">
        <v>38</v>
      </c>
      <c r="C22" s="19"/>
      <c r="G22" s="17" t="str">
        <f aca="false">IF(C22="","Velg i nedtrekksmenyen.",IF(C22="Montørene vet at noen følger med: Hawthorne-effekten","Riktig. Hawthorne-effekten (15.1): produktiviteten økte uansett hva forskerne endret, også i kontrollgruppen, fordi arbeiderne ble viet oppmerksomhet. En app endrer ikke hvordan et sikringsskap byttes; den endrer at noen ser på.","Ikke riktig. Hawthorne-effekten (15.1): produktiviteten økte uansett hva forskerne endret, også i kontrollgruppen, fordi arbeiderne ble viet oppmerksomhet. En app endrer ikke hvordan et sikringsskap byttes; den endrer at noen ser på."))</f>
        <v>Velg i nedtrekksmenyen.</v>
      </c>
    </row>
    <row r="24" customFormat="false" ht="30" hidden="false" customHeight="true" outlineLevel="0" collapsed="false">
      <c r="B24" s="20" t="s">
        <v>39</v>
      </c>
      <c r="C24" s="20"/>
      <c r="D24" s="20"/>
      <c r="E24" s="20"/>
      <c r="F24" s="20"/>
      <c r="G24" s="20"/>
    </row>
    <row r="25" customFormat="false" ht="39.75" hidden="false" customHeight="true" outlineLevel="0" collapsed="false">
      <c r="B25" s="14" t="s">
        <v>40</v>
      </c>
      <c r="C25" s="19"/>
      <c r="G25" s="17" t="str">
        <f aca="false">IF(C25="","Velg i nedtrekksmenyen.",IF(C25="Ja","Riktig. Effekten kan skyldes oppmerksomheten, ikke systemet (15.1). Om systemet virker, vet Kari først når hun har målt over tid.","Ikke riktig. Effekten kan skyldes oppmerksomheten, ikke systemet (15.1). Om systemet virker, vet Kari først når hun har målt over tid."))</f>
        <v>Velg i nedtrekksmenyen.</v>
      </c>
    </row>
    <row r="26" customFormat="false" ht="39.75" hidden="false" customHeight="true" outlineLevel="0" collapsed="false">
      <c r="B26" s="14" t="s">
        <v>41</v>
      </c>
      <c r="C26" s="19"/>
      <c r="G26" s="17" t="str">
        <f aca="false">IF(C26="","Velg i nedtrekksmenyen.",IF(C26="Ja","Riktig. Hawthorne-forskerne fant forklaringen da de spurte arbeiderne direkte (15.1).","Ikke riktig. Hawthorne-forskerne fant forklaringen da de spurte arbeiderne direkte (15.1)."))</f>
        <v>Velg i nedtrekksmenyen.</v>
      </c>
    </row>
    <row r="27" customFormat="false" ht="39.75" hidden="false" customHeight="true" outlineLevel="0" collapsed="false">
      <c r="B27" s="14" t="s">
        <v>42</v>
      </c>
      <c r="C27" s="19"/>
      <c r="G27" s="17" t="str">
        <f aca="false">IF(C27="","Velg i nedtrekksmenyen.",IF(C27="Nei","Riktig. Tallet bygger på én måned med oppmerksomhet, og forutsetter at timene faktisk selges.","Ikke riktig. Tallet bygger på én måned med oppmerksomhet, og forutsetter at timene faktisk selges."))</f>
        <v>Velg i nedtrekksmenyen.</v>
      </c>
    </row>
    <row r="28" customFormat="false" ht="39.75" hidden="false" customHeight="true" outlineLevel="0" collapsed="false">
      <c r="B28" s="14" t="s">
        <v>43</v>
      </c>
      <c r="C28" s="19"/>
      <c r="G28" s="17" t="str">
        <f aca="false">IF(C28="","Velg i nedtrekksmenyen.",IF(C28="Nei","Riktig. Hawthorne slo hull på myten om den økonomisk rasjonelle arbeideren; arbeideren er et sosialt vesen (15.1).","Ikke riktig. Hawthorne slo hull på myten om den økonomisk rasjonelle arbeideren; arbeideren er et sosialt vesen (15.1)."))</f>
        <v>Velg i nedtrekksmenyen.</v>
      </c>
    </row>
    <row r="29" customFormat="false" ht="39.75" hidden="false" customHeight="true" outlineLevel="0" collapsed="false">
      <c r="B29" s="14" t="s">
        <v>44</v>
      </c>
      <c r="C29" s="19"/>
      <c r="G29" s="17" t="str">
        <f aca="false">IF(C29="","Velg i nedtrekksmenyen.",IF(C29="Nei","Riktig. Det er teori X (15.3), og det leser tallet feil vei: nedgangen kan være oppmerksomhet, ikke latskap.","Ikke riktig. Det er teori X (15.3), og det leser tallet feil vei: nedgangen kan være oppmerksomhet, ikke latskap."))</f>
        <v>Velg i nedtrekksmenyen.</v>
      </c>
    </row>
    <row r="31" customFormat="false" ht="45" hidden="false" customHeight="true" outlineLevel="0" collapsed="false">
      <c r="B31" s="9" t="s">
        <v>45</v>
      </c>
      <c r="C31" s="9"/>
      <c r="D31" s="9"/>
      <c r="E31" s="9"/>
      <c r="F31" s="9"/>
      <c r="G31" s="9"/>
    </row>
    <row r="32" customFormat="false" ht="21.75" hidden="false" customHeight="true" outlineLevel="0" collapsed="false">
      <c r="B32" s="21"/>
      <c r="C32" s="21"/>
      <c r="D32" s="21"/>
      <c r="E32" s="21"/>
      <c r="F32" s="21"/>
      <c r="G32" s="21"/>
    </row>
    <row r="33" customFormat="false" ht="21.75" hidden="false" customHeight="true" outlineLevel="0" collapsed="false">
      <c r="B33" s="21"/>
      <c r="C33" s="21"/>
      <c r="D33" s="21"/>
      <c r="E33" s="21"/>
      <c r="F33" s="21"/>
      <c r="G33" s="21"/>
    </row>
    <row r="34" customFormat="false" ht="21.75" hidden="false" customHeight="true" outlineLevel="0" collapsed="false">
      <c r="B34" s="21"/>
      <c r="C34" s="21"/>
      <c r="D34" s="21"/>
      <c r="E34" s="21"/>
      <c r="F34" s="21"/>
      <c r="G34" s="21"/>
    </row>
    <row r="35" customFormat="false" ht="39.75" hidden="false" customHeight="true" outlineLevel="0" collapsed="false">
      <c r="B35" s="22" t="str">
        <f aca="false">IF(LEN(B32)&lt;40,"",IF(AND(ISNUMBER(SEARCH("teori X",B32)),ISNUMBER(SEARCH("måle",B32))),"Bra: du har med både teori X og at Kari bør måle over tid. Sjekk at du også sier hva kontrollen kan gjøre med montørene (Argyris: passive, og en vi-mot-dem-holdning), og at Kari bør spørre dem.",IF(OR(ISNUMBER(SEARCH("teori X",B32)),ISNUMBER(SEARCH("måle",B32))),"Du er på sporet. Tom uttrykker teori X (folk må kontrolleres). Si også hva Kari bør gjøre: måle over flere måneder og spørre montørene før tallet brukes.","Tips: Tom uttrykker teori X: folk vil egentlig ikke arbeide og må kontrolleres (15.3). Kontroll og minimal innflytelse gjør folk passive og gir lett en vi-mot-dem-holdning (15.2). Kari bør måle over flere måneder, spørre montørene og bruke tallene som et felles verktøy, ikke som kontroll.")))</f>
        <v/>
      </c>
      <c r="C35" s="22"/>
      <c r="D35" s="22"/>
      <c r="E35" s="22"/>
      <c r="F35" s="22"/>
      <c r="G35" s="22"/>
    </row>
    <row r="36" customFormat="false" ht="15" hidden="false" customHeight="false" outlineLevel="0" collapsed="false">
      <c r="B36" s="23" t="s">
        <v>46</v>
      </c>
      <c r="C36" s="19"/>
    </row>
    <row r="37" customFormat="false" ht="31.5" hidden="false" customHeight="true" outlineLevel="0" collapsed="false">
      <c r="B37" s="24" t="str">
        <f aca="false">IF(C36="JA","Hint: a: (6 − 5) / 6 × 100 = 16,7 %. b: 210 × 1 × 890 = 186 900 kr. c: Hawthorne-effekten. d: ja på å måle over tid og å spørre montørene; nei på de tre siste. e: teori X; mål over tid, spør, bruk tallene som felles verktøy.","")</f>
        <v/>
      </c>
      <c r="C37" s="24"/>
      <c r="D37" s="24"/>
      <c r="E37" s="24"/>
      <c r="F37" s="24"/>
      <c r="G37" s="24"/>
    </row>
    <row r="39" customFormat="false" ht="30" hidden="false" customHeight="true" outlineLevel="0" collapsed="false">
      <c r="B39" s="7" t="s">
        <v>47</v>
      </c>
      <c r="C39" s="7"/>
      <c r="D39" s="7"/>
      <c r="E39" s="7"/>
      <c r="F39" s="7"/>
      <c r="G39" s="7"/>
    </row>
  </sheetData>
  <mergeCells count="16">
    <mergeCell ref="B2:G2"/>
    <mergeCell ref="B3:G3"/>
    <mergeCell ref="B4:G4"/>
    <mergeCell ref="B5:G5"/>
    <mergeCell ref="B6:G6"/>
    <mergeCell ref="B7:G7"/>
    <mergeCell ref="B9:G9"/>
    <mergeCell ref="B10:G10"/>
    <mergeCell ref="B16:G16"/>
    <mergeCell ref="B17:G17"/>
    <mergeCell ref="B24:G24"/>
    <mergeCell ref="B31:G31"/>
    <mergeCell ref="B32:G34"/>
    <mergeCell ref="B35:G35"/>
    <mergeCell ref="B37:G37"/>
    <mergeCell ref="B39:G39"/>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0">
    <cfRule type="expression" priority="4" aboveAverage="0" equalAverage="0" bottom="0" percent="0" rank="0" text="" dxfId="0">
      <formula>LEFT(G20,6)="Riktig"</formula>
    </cfRule>
    <cfRule type="expression" priority="5" aboveAverage="0" equalAverage="0" bottom="0" percent="0" rank="0" text="" dxfId="1">
      <formula>AND(G20&lt;&gt;"",LEFT(G20,6)&lt;&gt;"Riktig",LEFT(G20,5)&lt;&gt;"Skriv")</formula>
    </cfRule>
  </conditionalFormatting>
  <conditionalFormatting sqref="G22">
    <cfRule type="expression" priority="6" aboveAverage="0" equalAverage="0" bottom="0" percent="0" rank="0" text="" dxfId="0">
      <formula>LEFT(G22,6)="Riktig"</formula>
    </cfRule>
    <cfRule type="expression" priority="7" aboveAverage="0" equalAverage="0" bottom="0" percent="0" rank="0" text="" dxfId="1">
      <formula>LEFT(G22,4)="Ikke"</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LEFT(G26,4)="Ikke"</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LEFT(G27,4)="Ikke"</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LEFT(G29,4)="Ikke"</formula>
    </cfRule>
  </conditionalFormatting>
  <dataValidations count="7">
    <dataValidation allowBlank="true" errorStyle="stop" operator="between" showDropDown="false" showErrorMessage="false" showInputMessage="false" sqref="C22" type="list">
      <formula1>$Z$1:$Z$3</formula1>
      <formula2>0</formula2>
    </dataValidation>
    <dataValidation allowBlank="true" errorStyle="stop" operator="between" showDropDown="false" showErrorMessage="false" showInputMessage="false" sqref="C25" type="list">
      <formula1>$Z$4:$Z$5</formula1>
      <formula2>0</formula2>
    </dataValidation>
    <dataValidation allowBlank="true" errorStyle="stop" operator="between" showDropDown="false" showErrorMessage="false" showInputMessage="false" sqref="C26" type="list">
      <formula1>$Z$6:$Z$7</formula1>
      <formula2>0</formula2>
    </dataValidation>
    <dataValidation allowBlank="true" errorStyle="stop" operator="between" showDropDown="false" showErrorMessage="false" showInputMessage="false" sqref="C27" type="list">
      <formula1>$Z$8:$Z$9</formula1>
      <formula2>0</formula2>
    </dataValidation>
    <dataValidation allowBlank="true" errorStyle="stop" operator="between" showDropDown="false" showErrorMessage="false" showInputMessage="false" sqref="C28" type="list">
      <formula1>$Z$10:$Z$11</formula1>
      <formula2>0</formula2>
    </dataValidation>
    <dataValidation allowBlank="true" errorStyle="stop" operator="between" showDropDown="false" showErrorMessage="false" showInputMessage="false" sqref="C29" type="list">
      <formula1>$Z$12:$Z$13</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48</v>
      </c>
    </row>
    <row r="2" customFormat="false" ht="25.5" hidden="false" customHeight="true" outlineLevel="0" collapsed="false">
      <c r="B2" s="5" t="s">
        <v>49</v>
      </c>
      <c r="C2" s="5"/>
      <c r="D2" s="5"/>
      <c r="E2" s="5"/>
      <c r="F2" s="5"/>
      <c r="G2" s="5"/>
      <c r="Z2" s="6" t="s">
        <v>50</v>
      </c>
    </row>
    <row r="3" customFormat="false" ht="15" hidden="false" customHeight="true" outlineLevel="0" collapsed="false">
      <c r="B3" s="7" t="s">
        <v>16</v>
      </c>
      <c r="C3" s="7"/>
      <c r="D3" s="7"/>
      <c r="E3" s="7"/>
      <c r="F3" s="7"/>
      <c r="G3" s="7"/>
      <c r="Z3" s="6" t="s">
        <v>51</v>
      </c>
    </row>
    <row r="4" customFormat="false" ht="15.75" hidden="false" customHeight="true" outlineLevel="0" collapsed="false">
      <c r="B4" s="8" t="s">
        <v>18</v>
      </c>
      <c r="C4" s="8"/>
      <c r="D4" s="8"/>
      <c r="E4" s="8"/>
      <c r="F4" s="8"/>
      <c r="G4" s="8"/>
      <c r="Z4" s="6" t="s">
        <v>52</v>
      </c>
    </row>
    <row r="5" customFormat="false" ht="60" hidden="false" customHeight="true" outlineLevel="0" collapsed="false">
      <c r="B5" s="9" t="s">
        <v>53</v>
      </c>
      <c r="C5" s="9"/>
      <c r="D5" s="9"/>
      <c r="E5" s="9"/>
      <c r="F5" s="9"/>
      <c r="G5" s="9"/>
      <c r="Z5" s="6" t="s">
        <v>48</v>
      </c>
    </row>
    <row r="6" customFormat="false" ht="15.75" hidden="false" customHeight="true" outlineLevel="0" collapsed="false">
      <c r="B6" s="8" t="s">
        <v>22</v>
      </c>
      <c r="C6" s="8"/>
      <c r="D6" s="8"/>
      <c r="E6" s="8"/>
      <c r="F6" s="8"/>
      <c r="G6" s="8"/>
      <c r="Z6" s="6" t="s">
        <v>50</v>
      </c>
    </row>
    <row r="7" customFormat="false" ht="60" hidden="false" customHeight="true" outlineLevel="0" collapsed="false">
      <c r="B7" s="9" t="s">
        <v>54</v>
      </c>
      <c r="C7" s="9"/>
      <c r="D7" s="9"/>
      <c r="E7" s="9"/>
      <c r="F7" s="9"/>
      <c r="G7" s="9"/>
      <c r="Z7" s="6" t="s">
        <v>51</v>
      </c>
    </row>
    <row r="8" customFormat="false" ht="15" hidden="false" customHeight="false" outlineLevel="0" collapsed="false">
      <c r="Z8" s="0" t="s">
        <v>52</v>
      </c>
    </row>
    <row r="9" customFormat="false" ht="15" hidden="false" customHeight="true" outlineLevel="0" collapsed="false">
      <c r="B9" s="20" t="s">
        <v>55</v>
      </c>
      <c r="C9" s="20"/>
      <c r="D9" s="20"/>
      <c r="E9" s="20"/>
      <c r="F9" s="20"/>
      <c r="G9" s="20"/>
      <c r="Z9" s="6" t="s">
        <v>48</v>
      </c>
    </row>
    <row r="10" customFormat="false" ht="39.75" hidden="false" customHeight="true" outlineLevel="0" collapsed="false">
      <c r="B10" s="14" t="s">
        <v>56</v>
      </c>
      <c r="C10" s="19"/>
      <c r="G10" s="17" t="str">
        <f aca="false">IF(C10="","Velg i nedtrekksmenyen.",IF(C10="Hawthorne-effekten","Riktig. Hawthorne-effekten (15.1): de som følges med på, forsterker den atferden de tror forventes. Oppmerksomheten virker, og den avtar.","Ikke riktig. Hawthorne-effekten (15.1): de som følges med på, forsterker den atferden de tror forventes. Oppmerksomheten virker, og den avtar."))</f>
        <v>Velg i nedtrekksmenyen.</v>
      </c>
      <c r="Z10" s="6" t="s">
        <v>50</v>
      </c>
    </row>
    <row r="11" customFormat="false" ht="39.75" hidden="false" customHeight="true" outlineLevel="0" collapsed="false">
      <c r="B11" s="14" t="s">
        <v>57</v>
      </c>
      <c r="C11" s="19"/>
      <c r="G11" s="17" t="str">
        <f aca="false">IF(C11="","Velg i nedtrekksmenyen.",IF(C11="Pyramidale verdier","Riktig. Pyramidale verdier (15.2): bare kontakten om å få jobben gjort teller. Utilsiktet virkning: ingen tør si fra.","Ikke riktig. Pyramidale verdier (15.2): bare kontakten om å få jobben gjort teller. Utilsiktet virkning: ingen tør si fra."))</f>
        <v>Velg i nedtrekksmenyen.</v>
      </c>
      <c r="Z11" s="6" t="s">
        <v>51</v>
      </c>
    </row>
    <row r="12" customFormat="false" ht="39.75" hidden="false" customHeight="true" outlineLevel="0" collapsed="false">
      <c r="B12" s="14" t="s">
        <v>58</v>
      </c>
      <c r="C12" s="19"/>
      <c r="G12" s="17" t="str">
        <f aca="false">IF(C12="","Velg i nedtrekksmenyen.",IF(C12="Teori X","Riktig. Teori X (15.3): folk vil egentlig ikke arbeide og må kontrolleres og tvinges.","Ikke riktig. Teori X (15.3): folk vil egentlig ikke arbeide og må kontrolleres og tvinges."))</f>
        <v>Velg i nedtrekksmenyen.</v>
      </c>
      <c r="Z12" s="6" t="s">
        <v>52</v>
      </c>
    </row>
    <row r="13" customFormat="false" ht="39.75" hidden="false" customHeight="true" outlineLevel="0" collapsed="false">
      <c r="B13" s="14" t="s">
        <v>59</v>
      </c>
      <c r="C13" s="19"/>
      <c r="G13" s="17" t="str">
        <f aca="false">IF(C13="","Velg i nedtrekksmenyen.",IF(C13="Begrenset rasjonalitet","Riktig. Begrenset rasjonalitet (15.4): manglende oversikt over alternativer og konsekvenser, og for lite tid. Det administrative mennesket velger godt nok.","Ikke riktig. Begrenset rasjonalitet (15.4): manglende oversikt over alternativer og konsekvenser, og for lite tid. Det administrative mennesket velger godt nok."))</f>
        <v>Velg i nedtrekksmenyen.</v>
      </c>
      <c r="Z13" s="6" t="s">
        <v>48</v>
      </c>
    </row>
    <row r="14" customFormat="false" ht="15" hidden="false" customHeight="false" outlineLevel="0" collapsed="false">
      <c r="Z14" s="0" t="s">
        <v>50</v>
      </c>
    </row>
    <row r="15" customFormat="false" ht="15.75" hidden="false" customHeight="true" outlineLevel="0" collapsed="false">
      <c r="B15" s="8" t="s">
        <v>60</v>
      </c>
      <c r="C15" s="8"/>
      <c r="D15" s="8"/>
      <c r="E15" s="8"/>
      <c r="F15" s="8"/>
      <c r="G15" s="8"/>
      <c r="Z15" s="6" t="s">
        <v>51</v>
      </c>
    </row>
    <row r="16" customFormat="false" ht="60" hidden="false" customHeight="true" outlineLevel="0" collapsed="false">
      <c r="B16" s="9" t="s">
        <v>61</v>
      </c>
      <c r="C16" s="9"/>
      <c r="D16" s="9"/>
      <c r="E16" s="9"/>
      <c r="F16" s="9"/>
      <c r="G16" s="9"/>
      <c r="Z16" s="6" t="s">
        <v>52</v>
      </c>
    </row>
    <row r="17" customFormat="false" ht="15" hidden="false" customHeight="false" outlineLevel="0" collapsed="false">
      <c r="Z17" s="0" t="s">
        <v>62</v>
      </c>
    </row>
    <row r="18" customFormat="false" ht="39.75" hidden="false" customHeight="true" outlineLevel="0" collapsed="false">
      <c r="B18" s="14" t="s">
        <v>63</v>
      </c>
      <c r="C18" s="19"/>
      <c r="G18" s="17" t="str">
        <f aca="false">IF(C18="","Velg i nedtrekksmenyen.",IF(C18="Det administrative mennesket","Riktig. Det administrative mennesket (15.4) ser begrensningene og søker et tilfredsstillende resultat innenfor dem. Det økonomiske mennesket maksimerer. Pyramidale verdier er Argyris' begrep om ledelsens syn på kommunikasjon og styring (15.2).","Ikke riktig. Det administrative mennesket (15.4) ser begrensningene og søker et tilfredsstillende resultat innenfor dem. Det økonomiske mennesket maksimerer. Pyramidale verdier er Argyris' begrep om ledelsens syn på kommunikasjon og styring (15.2)."))</f>
        <v>Velg i nedtrekksmenyen.</v>
      </c>
      <c r="Z18" s="6" t="s">
        <v>64</v>
      </c>
    </row>
    <row r="19" customFormat="false" ht="15" hidden="false" customHeight="false" outlineLevel="0" collapsed="false">
      <c r="Z19" s="0" t="s">
        <v>65</v>
      </c>
    </row>
    <row r="20" customFormat="false" ht="30" hidden="false" customHeight="true" outlineLevel="0" collapsed="false">
      <c r="B20" s="20" t="s">
        <v>66</v>
      </c>
      <c r="C20" s="20"/>
      <c r="D20" s="20"/>
      <c r="E20" s="20"/>
      <c r="F20" s="20"/>
      <c r="G20" s="20"/>
      <c r="Z20" s="6" t="s">
        <v>19</v>
      </c>
    </row>
    <row r="21" customFormat="false" ht="39.75" hidden="false" customHeight="true" outlineLevel="0" collapsed="false">
      <c r="B21" s="14" t="s">
        <v>67</v>
      </c>
      <c r="C21" s="19"/>
      <c r="G21" s="17" t="str">
        <f aca="false">IF(C21="","Velg i nedtrekksmenyen.",IF(C21="Ja","Riktig. Mangel på tid og ressurser til å utrede grundig (15.4).","Ikke riktig. Mangel på tid og ressurser til å utrede grundig (15.4)."))</f>
        <v>Velg i nedtrekksmenyen.</v>
      </c>
      <c r="Z21" s="6" t="s">
        <v>21</v>
      </c>
    </row>
    <row r="22" customFormat="false" ht="39.75" hidden="false" customHeight="true" outlineLevel="0" collapsed="false">
      <c r="B22" s="14" t="s">
        <v>68</v>
      </c>
      <c r="C22" s="19"/>
      <c r="G22" s="17" t="str">
        <f aca="false">IF(C22="","Velg i nedtrekksmenyen.",IF(C22="Ja","Riktig. Manglende kunnskap om hvilke alternativer som faktisk finnes (15.4).","Ikke riktig. Manglende kunnskap om hvilke alternativer som faktisk finnes (15.4)."))</f>
        <v>Velg i nedtrekksmenyen.</v>
      </c>
      <c r="Z22" s="6" t="s">
        <v>19</v>
      </c>
    </row>
    <row r="23" customFormat="false" ht="39.75" hidden="false" customHeight="true" outlineLevel="0" collapsed="false">
      <c r="B23" s="14" t="s">
        <v>69</v>
      </c>
      <c r="C23" s="19"/>
      <c r="G23" s="17" t="str">
        <f aca="false">IF(C23="","Velg i nedtrekksmenyen.",IF(C23="Ja","Riktig. Manglende kunnskap om konsekvensene av hvert alternativ (15.4).","Ikke riktig. Manglende kunnskap om konsekvensene av hvert alternativ (15.4)."))</f>
        <v>Velg i nedtrekksmenyen.</v>
      </c>
      <c r="Z23" s="6" t="s">
        <v>21</v>
      </c>
    </row>
    <row r="24" customFormat="false" ht="39.75" hidden="false" customHeight="true" outlineLevel="0" collapsed="false">
      <c r="B24" s="14" t="s">
        <v>70</v>
      </c>
      <c r="C24" s="19"/>
      <c r="G24" s="17" t="str">
        <f aca="false">IF(C24="","Velg i nedtrekksmenyen.",IF(C24="Nei","Riktig. Her er problemet klart identifisert. Det er en forutsetning som er oppfylt, ikke en begrensning.","Ikke riktig. Her er problemet klart identifisert. Det er en forutsetning som er oppfylt, ikke en begrensning."))</f>
        <v>Velg i nedtrekksmenyen.</v>
      </c>
      <c r="Z24" s="6" t="s">
        <v>19</v>
      </c>
    </row>
    <row r="25" customFormat="false" ht="39.75" hidden="false" customHeight="true" outlineLevel="0" collapsed="false">
      <c r="B25" s="14" t="s">
        <v>71</v>
      </c>
      <c r="C25" s="19"/>
      <c r="G25" s="17" t="str">
        <f aca="false">IF(C25="","Velg i nedtrekksmenyen.",IF(C25="Nei","Riktig. Det er kompetanse hun har, ikke en begrensning. Simon sier ikke at lederen er dum; han sier at ingen har full oversikt.","Ikke riktig. Det er kompetanse hun har, ikke en begrensning. Simon sier ikke at lederen er dum; han sier at ingen har full oversikt."))</f>
        <v>Velg i nedtrekksmenyen.</v>
      </c>
      <c r="Z25" s="6" t="s">
        <v>21</v>
      </c>
    </row>
    <row r="26" customFormat="false" ht="15" hidden="false" customHeight="false" outlineLevel="0" collapsed="false">
      <c r="Z26" s="0" t="s">
        <v>19</v>
      </c>
    </row>
    <row r="27" customFormat="false" ht="43.5" hidden="false" customHeight="true" outlineLevel="0" collapsed="false">
      <c r="B27" s="14" t="s">
        <v>72</v>
      </c>
      <c r="C27" s="18"/>
      <c r="D27" s="16" t="s">
        <v>37</v>
      </c>
      <c r="G27" s="17" t="str">
        <f aca="false">IF(C27="","Skriv svaret i den gule cellen.",IF(C27=(4*2*890),"Riktig.",IF(ABS(C27-(6*2*890))&lt;=0,"Du har regnet alle 6 fabrikatene. Mona kjenner 2 av dem; det er 4 ukjente.",IF(ABS(C27-(4*890))&lt;=0,"Du har glemt at hvert fabrikat tar 2 timer: 4 × 2 × 890.",IF(ABS(C27-(2*890))&lt;=0,"Det er kostnaden for ett fabrikat. Det er 4 ukjente.","Ikke riktig ennå. Se på regnestykket øverst på fanen, og sjekk at du har med alle leddene.")))))</f>
        <v>Skriv svaret i den gule cellen.</v>
      </c>
      <c r="Z27" s="6" t="s">
        <v>21</v>
      </c>
    </row>
    <row r="28" customFormat="false" ht="15" hidden="false" customHeight="false" outlineLevel="0" collapsed="false">
      <c r="Z28" s="0" t="s">
        <v>19</v>
      </c>
    </row>
    <row r="29" customFormat="false" ht="39.75" hidden="false" customHeight="true" outlineLevel="0" collapsed="false">
      <c r="B29" s="14" t="s">
        <v>73</v>
      </c>
      <c r="C29" s="19"/>
      <c r="G29" s="17" t="str">
        <f aca="false">IF(C29="","Velg i nedtrekksmenyen.",IF(C29="Ingen beslutning er fullt rasjonell; lederen søker et tilfredsstillende resultat innenfor begrensningene","Riktig. Simon (15.4) beskriver en grense, ikke en fritakelse. Det administrative mennesket vurderer innenfor begrensningene som finnes. Et valg innenfor begrensningene er ikke irrasjonelt.","Ikke riktig. Simon (15.4) beskriver en grense, ikke en fritakelse. Det administrative mennesket vurderer innenfor begrensningene som finnes. Et valg innenfor begrensningene er ikke irrasjonelt."))</f>
        <v>Velg i nedtrekksmenyen.</v>
      </c>
      <c r="Z29" s="6" t="s">
        <v>21</v>
      </c>
    </row>
    <row r="30" customFormat="false" ht="15" hidden="false" customHeight="false" outlineLevel="0" collapsed="false">
      <c r="Z30" s="0" t="s">
        <v>74</v>
      </c>
    </row>
    <row r="31" customFormat="false" ht="30" hidden="false" customHeight="true" outlineLevel="0" collapsed="false">
      <c r="B31" s="9" t="s">
        <v>75</v>
      </c>
      <c r="C31" s="9"/>
      <c r="D31" s="9"/>
      <c r="E31" s="9"/>
      <c r="F31" s="9"/>
      <c r="G31" s="9"/>
      <c r="Z31" s="6" t="s">
        <v>76</v>
      </c>
    </row>
    <row r="32" customFormat="false" ht="21.75" hidden="false" customHeight="true" outlineLevel="0" collapsed="false">
      <c r="B32" s="21"/>
      <c r="C32" s="21"/>
      <c r="D32" s="21"/>
      <c r="E32" s="21"/>
      <c r="F32" s="21"/>
      <c r="G32" s="21"/>
      <c r="Z32" s="6" t="s">
        <v>77</v>
      </c>
    </row>
    <row r="33" customFormat="false" ht="21.75" hidden="false" customHeight="true" outlineLevel="0" collapsed="false">
      <c r="B33" s="21"/>
      <c r="C33" s="21"/>
      <c r="D33" s="21"/>
      <c r="E33" s="21"/>
      <c r="F33" s="21"/>
      <c r="G33" s="21"/>
    </row>
    <row r="34" customFormat="false" ht="21.75" hidden="false" customHeight="true" outlineLevel="0" collapsed="false">
      <c r="B34" s="21"/>
      <c r="C34" s="21"/>
      <c r="D34" s="21"/>
      <c r="E34" s="21"/>
      <c r="F34" s="21"/>
      <c r="G34" s="21"/>
    </row>
    <row r="35" customFormat="false" ht="39.75" hidden="false" customHeight="true" outlineLevel="0" collapsed="false">
      <c r="B35" s="22" t="str">
        <f aca="false">IF(LEN(B32)&lt;40,"",IF(AND(ISNUMBER(SEARCH("teori Y",B32)),ISNUMBER(SEARCH("ansvar",B32))),"Bra: du bruker teori Y og ansvar. Sjekk at du også sier at montør 2 ikke er lat fordi han vil ha arbeidsordren (Argyris: ikke alle søker selvrealisering), og at kravene til kvalitet og sikkerhet er like for begge.",IF(OR(ISNUMBER(SEARCH("teori Y",B32)),ISNUMBER(SEARCH("ansvar",B32))),"Du er på sporet. Teori Y (15.3): folk søker ansvar og styrer seg selv når de kjenner målene; montør 1 kan få planlegge uka. Si også hva montør 2 bør få, og hvorfor det ikke er latskap.","Tips: teori Y: montør 1 kan få ansvar for å planlegge uka og ha kundekontakten, med klare mål og frister. Montør 2 får tydelige arbeidsordrer; Argyris erkjente selv at ikke alle er opptatt av selvrealisering. Samme krav til kvalitet og sikkerhet for begge. Fella er å lede begge likt.")))</f>
        <v/>
      </c>
      <c r="C35" s="22"/>
      <c r="D35" s="22"/>
      <c r="E35" s="22"/>
      <c r="F35" s="22"/>
      <c r="G35" s="22"/>
    </row>
    <row r="36" customFormat="false" ht="15" hidden="false" customHeight="false" outlineLevel="0" collapsed="false">
      <c r="B36" s="23" t="s">
        <v>46</v>
      </c>
      <c r="C36" s="19"/>
    </row>
    <row r="37" customFormat="false" ht="60" hidden="false" customHeight="true" outlineLevel="0" collapsed="false">
      <c r="B37" s="24" t="str">
        <f aca="false">IF(C36="JA","Hint: a: Hawthorne-effekten, pyramidale verdier, teori X, begrenset rasjonalitet. b: det administrative mennesket. c: ja på tid, 2 av 6 og ukjent holdbarhet; nei på sameiets klare bestilling og Monas kompetanse. d: 4 × 2 × 890 = 7 120 kr. e: en grense, ikke en fritakelse. f: teori Y til den som vil planlegge, arbeidsordre til den andre, samme krav til begge.","")</f>
        <v/>
      </c>
      <c r="C37" s="24"/>
      <c r="D37" s="24"/>
      <c r="E37" s="24"/>
      <c r="F37" s="24"/>
      <c r="G37" s="24"/>
    </row>
    <row r="39" customFormat="false" ht="30" hidden="false" customHeight="true" outlineLevel="0" collapsed="false">
      <c r="B39" s="7" t="s">
        <v>47</v>
      </c>
      <c r="C39" s="7"/>
      <c r="D39" s="7"/>
      <c r="E39" s="7"/>
      <c r="F39" s="7"/>
      <c r="G39" s="7"/>
    </row>
  </sheetData>
  <mergeCells count="15">
    <mergeCell ref="B2:G2"/>
    <mergeCell ref="B3:G3"/>
    <mergeCell ref="B4:G4"/>
    <mergeCell ref="B5:G5"/>
    <mergeCell ref="B6:G6"/>
    <mergeCell ref="B7:G7"/>
    <mergeCell ref="B9:G9"/>
    <mergeCell ref="B15:G15"/>
    <mergeCell ref="B16:G16"/>
    <mergeCell ref="B20:G20"/>
    <mergeCell ref="B31:G31"/>
    <mergeCell ref="B32:G34"/>
    <mergeCell ref="B35:G35"/>
    <mergeCell ref="B37:G37"/>
    <mergeCell ref="B39:G39"/>
  </mergeCells>
  <conditionalFormatting sqref="G10">
    <cfRule type="expression" priority="2" aboveAverage="0" equalAverage="0" bottom="0" percent="0" rank="0" text="" dxfId="0">
      <formula>LEFT(G10,6)="Riktig"</formula>
    </cfRule>
    <cfRule type="expression" priority="3" aboveAverage="0" equalAverage="0" bottom="0" percent="0" rank="0" text="" dxfId="1">
      <formula>LEFT(G10,4)="Ikke"</formula>
    </cfRule>
  </conditionalFormatting>
  <conditionalFormatting sqref="G11">
    <cfRule type="expression" priority="4" aboveAverage="0" equalAverage="0" bottom="0" percent="0" rank="0" text="" dxfId="0">
      <formula>LEFT(G11,6)="Riktig"</formula>
    </cfRule>
    <cfRule type="expression" priority="5" aboveAverage="0" equalAverage="0" bottom="0" percent="0" rank="0" text="" dxfId="1">
      <formula>LEFT(G11,4)="Ikke"</formula>
    </cfRule>
  </conditionalFormatting>
  <conditionalFormatting sqref="G12">
    <cfRule type="expression" priority="6" aboveAverage="0" equalAverage="0" bottom="0" percent="0" rank="0" text="" dxfId="0">
      <formula>LEFT(G12,6)="Riktig"</formula>
    </cfRule>
    <cfRule type="expression" priority="7" aboveAverage="0" equalAverage="0" bottom="0" percent="0" rank="0" text="" dxfId="1">
      <formula>LEFT(G12,4)="Ikke"</formula>
    </cfRule>
  </conditionalFormatting>
  <conditionalFormatting sqref="G13">
    <cfRule type="expression" priority="8" aboveAverage="0" equalAverage="0" bottom="0" percent="0" rank="0" text="" dxfId="0">
      <formula>LEFT(G13,6)="Riktig"</formula>
    </cfRule>
    <cfRule type="expression" priority="9" aboveAverage="0" equalAverage="0" bottom="0" percent="0" rank="0" text="" dxfId="1">
      <formula>LEFT(G13,4)="Ikke"</formula>
    </cfRule>
  </conditionalFormatting>
  <conditionalFormatting sqref="G18">
    <cfRule type="expression" priority="10" aboveAverage="0" equalAverage="0" bottom="0" percent="0" rank="0" text="" dxfId="0">
      <formula>LEFT(G18,6)="Riktig"</formula>
    </cfRule>
    <cfRule type="expression" priority="11" aboveAverage="0" equalAverage="0" bottom="0" percent="0" rank="0" text="" dxfId="1">
      <formula>LEFT(G18,4)="Ikke"</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LEFT(G21,4)="Ikke"</formula>
    </cfRule>
  </conditionalFormatting>
  <conditionalFormatting sqref="G22">
    <cfRule type="expression" priority="14" aboveAverage="0" equalAverage="0" bottom="0" percent="0" rank="0" text="" dxfId="0">
      <formula>LEFT(G22,6)="Riktig"</formula>
    </cfRule>
    <cfRule type="expression" priority="15" aboveAverage="0" equalAverage="0" bottom="0" percent="0" rank="0" text="" dxfId="1">
      <formula>LEFT(G22,4)="Ikke"</formula>
    </cfRule>
  </conditionalFormatting>
  <conditionalFormatting sqref="G23">
    <cfRule type="expression" priority="16" aboveAverage="0" equalAverage="0" bottom="0" percent="0" rank="0" text="" dxfId="0">
      <formula>LEFT(G23,6)="Riktig"</formula>
    </cfRule>
    <cfRule type="expression" priority="17" aboveAverage="0" equalAverage="0" bottom="0" percent="0" rank="0" text="" dxfId="1">
      <formula>LEFT(G23,4)="Ikke"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LEFT(G24,4)="Ikke"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AND(G27&lt;&gt;"",LEFT(G27,6)&lt;&gt;"Riktig",LEFT(G27,5)&lt;&gt;"Skriv")</formula>
    </cfRule>
  </conditionalFormatting>
  <conditionalFormatting sqref="G29">
    <cfRule type="expression" priority="24" aboveAverage="0" equalAverage="0" bottom="0" percent="0" rank="0" text="" dxfId="0">
      <formula>LEFT(G29,6)="Riktig"</formula>
    </cfRule>
    <cfRule type="expression" priority="25" aboveAverage="0" equalAverage="0" bottom="0" percent="0" rank="0" text="" dxfId="1">
      <formula>LEFT(G29,4)="Ikke"</formula>
    </cfRule>
  </conditionalFormatting>
  <dataValidations count="12">
    <dataValidation allowBlank="true" errorStyle="stop" operator="between" showDropDown="false" showErrorMessage="false" showInputMessage="false" sqref="C10" type="list">
      <formula1>$Z$1:$Z$4</formula1>
      <formula2>0</formula2>
    </dataValidation>
    <dataValidation allowBlank="true" errorStyle="stop" operator="between" showDropDown="false" showErrorMessage="false" showInputMessage="false" sqref="C11" type="list">
      <formula1>$Z$5:$Z$8</formula1>
      <formula2>0</formula2>
    </dataValidation>
    <dataValidation allowBlank="true" errorStyle="stop" operator="between" showDropDown="false" showErrorMessage="false" showInputMessage="false" sqref="C12" type="list">
      <formula1>$Z$9:$Z$12</formula1>
      <formula2>0</formula2>
    </dataValidation>
    <dataValidation allowBlank="true" errorStyle="stop" operator="between" showDropDown="false" showErrorMessage="false" showInputMessage="false" sqref="C13" type="list">
      <formula1>$Z$13:$Z$16</formula1>
      <formula2>0</formula2>
    </dataValidation>
    <dataValidation allowBlank="true" errorStyle="stop" operator="between" showDropDown="false" showErrorMessage="false" showInputMessage="false" sqref="C18" type="list">
      <formula1>$Z$17:$Z$19</formula1>
      <formula2>0</formula2>
    </dataValidation>
    <dataValidation allowBlank="true" errorStyle="stop" operator="between" showDropDown="false" showErrorMessage="false" showInputMessage="false" sqref="C21" type="list">
      <formula1>$Z$20:$Z$21</formula1>
      <formula2>0</formula2>
    </dataValidation>
    <dataValidation allowBlank="true" errorStyle="stop" operator="between" showDropDown="false" showErrorMessage="false" showInputMessage="false" sqref="C22" type="list">
      <formula1>$Z$22:$Z$23</formula1>
      <formula2>0</formula2>
    </dataValidation>
    <dataValidation allowBlank="true" errorStyle="stop" operator="between" showDropDown="false" showErrorMessage="false" showInputMessage="false" sqref="C23" type="list">
      <formula1>$Z$24:$Z$25</formula1>
      <formula2>0</formula2>
    </dataValidation>
    <dataValidation allowBlank="true" errorStyle="stop" operator="between" showDropDown="false" showErrorMessage="false" showInputMessage="false" sqref="C24" type="list">
      <formula1>$Z$26:$Z$27</formula1>
      <formula2>0</formula2>
    </dataValidation>
    <dataValidation allowBlank="true" errorStyle="stop" operator="between" showDropDown="false" showErrorMessage="false" showInputMessage="false" sqref="C25" type="list">
      <formula1>$Z$28:$Z$29</formula1>
      <formula2>0</formula2>
    </dataValidation>
    <dataValidation allowBlank="true" errorStyle="stop" operator="between" showDropDown="false" showErrorMessage="false" showInputMessage="false" sqref="C29" type="list">
      <formula1>$Z$30:$Z$32</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78</v>
      </c>
    </row>
    <row r="2" customFormat="false" ht="25.5" hidden="false" customHeight="true" outlineLevel="0" collapsed="false">
      <c r="B2" s="5" t="s">
        <v>79</v>
      </c>
      <c r="C2" s="5"/>
      <c r="D2" s="5"/>
      <c r="E2" s="5"/>
      <c r="F2" s="5"/>
      <c r="G2" s="5"/>
      <c r="Z2" s="6" t="s">
        <v>80</v>
      </c>
    </row>
    <row r="3" customFormat="false" ht="15" hidden="false" customHeight="true" outlineLevel="0" collapsed="false">
      <c r="B3" s="7" t="s">
        <v>16</v>
      </c>
      <c r="C3" s="7"/>
      <c r="D3" s="7"/>
      <c r="E3" s="7"/>
      <c r="F3" s="7"/>
      <c r="G3" s="7"/>
      <c r="Z3" s="6" t="s">
        <v>81</v>
      </c>
    </row>
    <row r="4" customFormat="false" ht="15.75" hidden="false" customHeight="true" outlineLevel="0" collapsed="false">
      <c r="B4" s="8" t="s">
        <v>18</v>
      </c>
      <c r="C4" s="8"/>
      <c r="D4" s="8"/>
      <c r="E4" s="8"/>
      <c r="F4" s="8"/>
      <c r="G4" s="8"/>
      <c r="Z4" s="6" t="s">
        <v>82</v>
      </c>
    </row>
    <row r="5" customFormat="false" ht="60" hidden="false" customHeight="true" outlineLevel="0" collapsed="false">
      <c r="B5" s="9" t="s">
        <v>83</v>
      </c>
      <c r="C5" s="9"/>
      <c r="D5" s="9"/>
      <c r="E5" s="9"/>
      <c r="F5" s="9"/>
      <c r="G5" s="9"/>
      <c r="Z5" s="6" t="s">
        <v>84</v>
      </c>
    </row>
    <row r="6" customFormat="false" ht="15.75" hidden="false" customHeight="true" outlineLevel="0" collapsed="false">
      <c r="B6" s="8" t="s">
        <v>22</v>
      </c>
      <c r="C6" s="8"/>
      <c r="D6" s="8"/>
      <c r="E6" s="8"/>
      <c r="F6" s="8"/>
      <c r="G6" s="8"/>
      <c r="Z6" s="6" t="s">
        <v>78</v>
      </c>
    </row>
    <row r="7" customFormat="false" ht="75" hidden="false" customHeight="true" outlineLevel="0" collapsed="false">
      <c r="B7" s="9" t="s">
        <v>85</v>
      </c>
      <c r="C7" s="9"/>
      <c r="D7" s="9"/>
      <c r="E7" s="9"/>
      <c r="F7" s="9"/>
      <c r="G7" s="9"/>
      <c r="Z7" s="6" t="s">
        <v>80</v>
      </c>
    </row>
    <row r="8" customFormat="false" ht="15" hidden="false" customHeight="false" outlineLevel="0" collapsed="false">
      <c r="Z8" s="0" t="s">
        <v>81</v>
      </c>
    </row>
    <row r="9" customFormat="false" ht="15" hidden="false" customHeight="true" outlineLevel="0" collapsed="false">
      <c r="B9" s="20" t="s">
        <v>86</v>
      </c>
      <c r="C9" s="20"/>
      <c r="D9" s="20"/>
      <c r="E9" s="20"/>
      <c r="F9" s="20"/>
      <c r="G9" s="20"/>
      <c r="Z9" s="6" t="s">
        <v>82</v>
      </c>
    </row>
    <row r="10" customFormat="false" ht="39.75" hidden="false" customHeight="true" outlineLevel="0" collapsed="false">
      <c r="B10" s="14" t="s">
        <v>87</v>
      </c>
      <c r="C10" s="19"/>
      <c r="G10" s="17" t="str">
        <f aca="false">IF(C10="","Velg i nedtrekksmenyen.",IF(C10="Entreprenørorganisasjonen","Riktig. Entreprenørorganisasjonen (15.8.1): få ansatte, ingen fast arbeidsdeling, bare toppledelse og operativ kjerne. Bokas eksempler: små butikker, kiosker, håndverksbedrifter.","Ikke riktig. Entreprenørorganisasjonen (15.8.1): få ansatte, ingen fast arbeidsdeling, bare toppledelse og operativ kjerne. Bokas eksempler: små butikker, kiosker, håndverksbedrifter."))</f>
        <v>Velg i nedtrekksmenyen.</v>
      </c>
      <c r="Z10" s="6" t="s">
        <v>84</v>
      </c>
    </row>
    <row r="11" customFormat="false" ht="39.75" hidden="false" customHeight="true" outlineLevel="0" collapsed="false">
      <c r="B11" s="14" t="s">
        <v>88</v>
      </c>
      <c r="C11" s="19"/>
      <c r="G11" s="17" t="str">
        <f aca="false">IF(C11="","Velg i nedtrekksmenyen.",IF(C11="Maskinbyråkratiet","Riktig. Maskinbyråkratiet (15.8.2): høy formalisering, mange kjente saker, beslutninger etter regler. Bokas eksempler: banker, forsikring, oljeselskaper, offentlig forvaltning.","Ikke riktig. Maskinbyråkratiet (15.8.2): høy formalisering, mange kjente saker, beslutninger etter regler. Bokas eksempler: banker, forsikring, oljeselskaper, offentlig forvaltning."))</f>
        <v>Velg i nedtrekksmenyen.</v>
      </c>
      <c r="Z11" s="6" t="s">
        <v>78</v>
      </c>
    </row>
    <row r="12" customFormat="false" ht="39.75" hidden="false" customHeight="true" outlineLevel="0" collapsed="false">
      <c r="B12" s="14" t="s">
        <v>89</v>
      </c>
      <c r="C12" s="19"/>
      <c r="G12" s="17" t="str">
        <f aca="false">IF(C12="","Velg i nedtrekksmenyen.",IF(C12="Det profesjonelle byråkratiet","Riktig. Det profesjonelle byråkratiet (15.8.3): varierte og kompliserte saker, myndigheten desentralisert til fagfolkene. Bokas eksempler: sykehus, universiteter, advokat- og arkitektkontorer.","Ikke riktig. Det profesjonelle byråkratiet (15.8.3): varierte og kompliserte saker, myndigheten desentralisert til fagfolkene. Bokas eksempler: sykehus, universiteter, advokat- og arkitektkontorer."))</f>
        <v>Velg i nedtrekksmenyen.</v>
      </c>
      <c r="Z12" s="6" t="s">
        <v>80</v>
      </c>
    </row>
    <row r="13" customFormat="false" ht="39.75" hidden="false" customHeight="true" outlineLevel="0" collapsed="false">
      <c r="B13" s="14" t="s">
        <v>90</v>
      </c>
      <c r="C13" s="19"/>
      <c r="G13" s="17" t="str">
        <f aca="false">IF(C13="","Velg i nedtrekksmenyen.",IF(C13="Divisjonsorganisasjonen","Riktig. Divisjonsorganisasjonen (15.8.4): selvstendige virksomhetsområder under felles styring i et konsern. Bokas eksempler: Equinor ASA og Orkla ASA.","Ikke riktig. Divisjonsorganisasjonen (15.8.4): selvstendige virksomhetsområder under felles styring i et konsern. Bokas eksempler: Equinor ASA og Orkla ASA."))</f>
        <v>Velg i nedtrekksmenyen.</v>
      </c>
      <c r="Z13" s="6" t="s">
        <v>81</v>
      </c>
    </row>
    <row r="14" customFormat="false" ht="39.75" hidden="false" customHeight="true" outlineLevel="0" collapsed="false">
      <c r="B14" s="14" t="s">
        <v>91</v>
      </c>
      <c r="C14" s="19"/>
      <c r="G14" s="17" t="str">
        <f aca="false">IF(C14="","Velg i nedtrekksmenyen.",IF(C14="Den innovative organisasjonen","Riktig. Den innovative organisasjonen (15.8.5): organisk og løs, matrise, skreddersøm for hver kunde. Bokas eksempler: reklamebyråer, arkitekter, konsulenter.","Ikke riktig. Den innovative organisasjonen (15.8.5): organisk og løs, matrise, skreddersøm for hver kunde. Bokas eksempler: reklamebyråer, arkitekter, konsulenter."))</f>
        <v>Velg i nedtrekksmenyen.</v>
      </c>
      <c r="Z14" s="6" t="s">
        <v>82</v>
      </c>
    </row>
    <row r="15" customFormat="false" ht="15" hidden="false" customHeight="false" outlineLevel="0" collapsed="false">
      <c r="Z15" s="0" t="s">
        <v>84</v>
      </c>
    </row>
    <row r="16" customFormat="false" ht="15.75" hidden="false" customHeight="true" outlineLevel="0" collapsed="false">
      <c r="B16" s="8" t="s">
        <v>92</v>
      </c>
      <c r="C16" s="8"/>
      <c r="D16" s="8"/>
      <c r="E16" s="8"/>
      <c r="F16" s="8"/>
      <c r="G16" s="8"/>
      <c r="Z16" s="6" t="s">
        <v>78</v>
      </c>
    </row>
    <row r="17" customFormat="false" ht="75" hidden="false" customHeight="true" outlineLevel="0" collapsed="false">
      <c r="B17" s="9" t="s">
        <v>93</v>
      </c>
      <c r="C17" s="9"/>
      <c r="D17" s="9"/>
      <c r="E17" s="9"/>
      <c r="F17" s="9"/>
      <c r="G17" s="9"/>
      <c r="Z17" s="6" t="s">
        <v>80</v>
      </c>
    </row>
    <row r="18" customFormat="false" ht="15" hidden="false" customHeight="false" outlineLevel="0" collapsed="false">
      <c r="B18" s="10" t="s">
        <v>26</v>
      </c>
      <c r="C18" s="11" t="s">
        <v>94</v>
      </c>
      <c r="Z18" s="6" t="s">
        <v>81</v>
      </c>
    </row>
    <row r="19" customFormat="false" ht="15" hidden="false" customHeight="false" outlineLevel="0" collapsed="false">
      <c r="B19" s="12" t="s">
        <v>95</v>
      </c>
      <c r="C19" s="13" t="n">
        <v>2400</v>
      </c>
      <c r="Z19" s="6" t="s">
        <v>82</v>
      </c>
    </row>
    <row r="20" customFormat="false" ht="15" hidden="false" customHeight="false" outlineLevel="0" collapsed="false">
      <c r="B20" s="12" t="s">
        <v>96</v>
      </c>
      <c r="C20" s="13" t="n">
        <v>8</v>
      </c>
      <c r="Z20" s="6" t="s">
        <v>84</v>
      </c>
    </row>
    <row r="21" customFormat="false" ht="15" hidden="false" customHeight="false" outlineLevel="0" collapsed="false">
      <c r="B21" s="12" t="s">
        <v>97</v>
      </c>
      <c r="C21" s="13" t="n">
        <v>14400</v>
      </c>
      <c r="Z21" s="6" t="s">
        <v>78</v>
      </c>
    </row>
    <row r="22" customFormat="false" ht="15" hidden="false" customHeight="false" outlineLevel="0" collapsed="false">
      <c r="B22" s="12" t="s">
        <v>98</v>
      </c>
      <c r="C22" s="13" t="n">
        <v>14</v>
      </c>
      <c r="Z22" s="6" t="s">
        <v>80</v>
      </c>
    </row>
    <row r="23" customFormat="false" ht="15" hidden="false" customHeight="false" outlineLevel="0" collapsed="false">
      <c r="B23" s="12" t="s">
        <v>99</v>
      </c>
      <c r="C23" s="13" t="n">
        <v>2</v>
      </c>
      <c r="Z23" s="6" t="s">
        <v>81</v>
      </c>
    </row>
    <row r="24" customFormat="false" ht="15" hidden="false" customHeight="false" outlineLevel="0" collapsed="false">
      <c r="B24" s="12" t="s">
        <v>100</v>
      </c>
      <c r="C24" s="13" t="n">
        <v>4</v>
      </c>
      <c r="Z24" s="6" t="s">
        <v>82</v>
      </c>
    </row>
    <row r="25" customFormat="false" ht="15" hidden="false" customHeight="false" outlineLevel="0" collapsed="false">
      <c r="B25" s="12" t="s">
        <v>101</v>
      </c>
      <c r="C25" s="13" t="n">
        <v>2</v>
      </c>
      <c r="Z25" s="6" t="s">
        <v>84</v>
      </c>
    </row>
    <row r="26" customFormat="false" ht="15" hidden="false" customHeight="false" outlineLevel="0" collapsed="false">
      <c r="Z26" s="0" t="s">
        <v>19</v>
      </c>
    </row>
    <row r="27" customFormat="false" ht="43.5" hidden="false" customHeight="true" outlineLevel="0" collapsed="false">
      <c r="B27" s="14" t="s">
        <v>102</v>
      </c>
      <c r="C27" s="15"/>
      <c r="D27" s="16" t="s">
        <v>35</v>
      </c>
      <c r="G27" s="17" t="str">
        <f aca="false">IF(C27="","Skriv svaret i den gule cellen.",IF(ABS(C27-(ROUND(2400/14400*100,1)))&lt;=0.1,"Riktig.",IF(ABS(C27-(ROUND(2400/14400,1)))&lt;=0.1,"Du har svart andelen som brøk, 0,2. Skriv i prosent: gang med 100.",IF(ABS(C27-(ROUND(14400/2400,1)))&lt;=0.1,"Du har delt motsatt vei. Prosjektets timer delt på årets timer: 2 400 / 14 400.",IF(ABS(C27-(ROUND(2400/8/1200*100,1)))&lt;=0.1,"Du har regnet per måned mot én montør. Spørsmålet er prosjektets 2 400 timer mot hele bedriftens 14 400.","Ikke riktig ennå. Se på regnestykket øverst på fanen, og sjekk at du har med alle leddene.")))))</f>
        <v>Skriv svaret i den gule cellen.</v>
      </c>
      <c r="Z27" s="6" t="s">
        <v>21</v>
      </c>
    </row>
    <row r="28" customFormat="false" ht="43.5" hidden="false" customHeight="true" outlineLevel="0" collapsed="false">
      <c r="B28" s="14" t="s">
        <v>103</v>
      </c>
      <c r="C28" s="15"/>
      <c r="D28" s="16" t="s">
        <v>35</v>
      </c>
      <c r="G28" s="17" t="str">
        <f aca="false">IF(C28="","Skriv svaret i den gule cellen.",IF(ABS(C28-(ROUND((2+4+2)/14*100,1)))&lt;=0.1,"Riktig.",IF(ABS(C28-(ROUND(8/12*100,1)))&lt;=0.1,"Du har delt på de 12 montørene. De 14 utførende er montørene og lærlingene.",IF(ABS(C28-(ROUND(8/18*100,1)))&lt;=0.1,"Du har delt på alle 18 ansatte. Spørsmålet gjelder de 14 utførende.",IF(ABS(C28-(ROUND(8/14,1)))&lt;=0.1,"Du har svart brøken. Skriv i prosent: gang med 100.","Ikke riktig ennå. Se på regnestykket øverst på fanen, og sjekk at du har med alle leddene.")))))</f>
        <v>Skriv svaret i den gule cellen.</v>
      </c>
      <c r="Z28" s="6" t="s">
        <v>19</v>
      </c>
    </row>
    <row r="29" customFormat="false" ht="15" hidden="false" customHeight="false" outlineLevel="0" collapsed="false">
      <c r="Z29" s="0" t="s">
        <v>21</v>
      </c>
    </row>
    <row r="30" customFormat="false" ht="15" hidden="false" customHeight="true" outlineLevel="0" collapsed="false">
      <c r="B30" s="20" t="s">
        <v>104</v>
      </c>
      <c r="C30" s="20"/>
      <c r="D30" s="20"/>
      <c r="E30" s="20"/>
      <c r="F30" s="20"/>
      <c r="G30" s="20"/>
      <c r="Z30" s="6" t="s">
        <v>19</v>
      </c>
    </row>
    <row r="31" customFormat="false" ht="39.75" hidden="false" customHeight="true" outlineLevel="0" collapsed="false">
      <c r="B31" s="14" t="s">
        <v>105</v>
      </c>
      <c r="C31" s="19"/>
      <c r="G31" s="17" t="str">
        <f aca="false">IF(C31="","Velg i nedtrekksmenyen.",IF(C31="Ja","Riktig. Bygget rehabiliteres én gang (15.8.5).","Ikke riktig. Bygget rehabiliteres én gang (15.8.5)."))</f>
        <v>Velg i nedtrekksmenyen.</v>
      </c>
      <c r="Z31" s="6" t="s">
        <v>21</v>
      </c>
    </row>
    <row r="32" customFormat="false" ht="39.75" hidden="false" customHeight="true" outlineLevel="0" collapsed="false">
      <c r="B32" s="14" t="s">
        <v>106</v>
      </c>
      <c r="C32" s="19"/>
      <c r="G32" s="17" t="str">
        <f aca="false">IF(C32="","Velg i nedtrekksmenyen.",IF(C32="Ja","Riktig. Løses innenfor en bestemt tids- og kostnadsramme (15.8.5).","Ikke riktig. Løses innenfor en bestemt tids- og kostnadsramme (15.8.5)."))</f>
        <v>Velg i nedtrekksmenyen.</v>
      </c>
      <c r="Z32" s="6" t="s">
        <v>19</v>
      </c>
    </row>
    <row r="33" customFormat="false" ht="39.75" hidden="false" customHeight="true" outlineLevel="0" collapsed="false">
      <c r="B33" s="14" t="s">
        <v>107</v>
      </c>
      <c r="C33" s="19"/>
      <c r="G33" s="17" t="str">
        <f aca="false">IF(C33="","Velg i nedtrekksmenyen.",IF(C33="Ja","Riktig. Krever ofte tverrfaglig innsats (15.8.5).","Ikke riktig. Krever ofte tverrfaglig innsats (15.8.5)."))</f>
        <v>Velg i nedtrekksmenyen.</v>
      </c>
      <c r="Z33" s="6" t="s">
        <v>21</v>
      </c>
    </row>
    <row r="34" customFormat="false" ht="39.75" hidden="false" customHeight="true" outlineLevel="0" collapsed="false">
      <c r="B34" s="14" t="s">
        <v>108</v>
      </c>
      <c r="C34" s="19"/>
      <c r="G34" s="17" t="str">
        <f aca="false">IF(C34="","Velg i nedtrekksmenyen.",IF(C34="Ja","Riktig. Prosjektorganisasjonen legges ned når oppgaven er løst (15.8.5).","Ikke riktig. Prosjektorganisasjonen legges ned når oppgaven er løst (15.8.5)."))</f>
        <v>Velg i nedtrekksmenyen.</v>
      </c>
      <c r="Z34" s="6" t="s">
        <v>19</v>
      </c>
    </row>
    <row r="35" customFormat="false" ht="39.75" hidden="false" customHeight="true" outlineLevel="0" collapsed="false">
      <c r="B35" s="14" t="s">
        <v>109</v>
      </c>
      <c r="C35" s="19"/>
      <c r="G35" s="17" t="str">
        <f aca="false">IF(C35="","Velg i nedtrekksmenyen.",IF(C35="Nei","Riktig. Det er kjennetegnet på maskinbyråkratiet: kjente problemstillinger og beslutninger etter regler (15.8.2).","Ikke riktig. Det er kjennetegnet på maskinbyråkratiet: kjente problemstillinger og beslutninger etter regler (15.8.2)."))</f>
        <v>Velg i nedtrekksmenyen.</v>
      </c>
      <c r="Z35" s="6" t="s">
        <v>21</v>
      </c>
    </row>
    <row r="36" customFormat="false" ht="39.75" hidden="false" customHeight="true" outlineLevel="0" collapsed="false">
      <c r="B36" s="14" t="s">
        <v>110</v>
      </c>
      <c r="C36" s="19"/>
      <c r="G36" s="17" t="str">
        <f aca="false">IF(C36="","Velg i nedtrekksmenyen.",IF(C36="Nei","Riktig. Folkene beholder sin faste plass og får en prosjektleder i tillegg. Det er en matrise (15.8.5), og den bryter med enhetlig ledelse (14.2).","Ikke riktig. Folkene beholder sin faste plass og får en prosjektleder i tillegg. Det er en matrise (15.8.5), og den bryter med enhetlig ledelse (14.2)."))</f>
        <v>Velg i nedtrekksmenyen.</v>
      </c>
      <c r="Z36" s="6" t="s">
        <v>19</v>
      </c>
    </row>
    <row r="37" customFormat="false" ht="15" hidden="false" customHeight="false" outlineLevel="0" collapsed="false">
      <c r="Z37" s="0" t="s">
        <v>21</v>
      </c>
    </row>
    <row r="38" customFormat="false" ht="39.75" hidden="false" customHeight="true" outlineLevel="0" collapsed="false">
      <c r="B38" s="14" t="s">
        <v>111</v>
      </c>
      <c r="C38" s="19"/>
      <c r="G38" s="17" t="str">
        <f aca="false">IF(C38="","Velg i nedtrekksmenyen.",IF(C38="Matrise: autoritet både vertikalt og horisontalt","Riktig. Matrise (15.8.5, figur 15.7): kommunikasjon, autoritet og kontroll går både vertikalt og horisontalt. Staben i kapittel 14 har ikke ordregivende myndighet; i en matrise kan begge linjer kreve noe. Derfor må det avklares hvem som avgjør når de to kolliderer.","Ikke riktig. Matrise (15.8.5, figur 15.7): kommunikasjon, autoritet og kontroll går både vertikalt og horisontalt. Staben i kapittel 14 har ikke ordregivende myndighet; i en matrise kan begge linjer kreve noe. Derfor må det avklares hvem som avgjør når de to kolliderer."))</f>
        <v>Velg i nedtrekksmenyen.</v>
      </c>
      <c r="Z38" s="6" t="s">
        <v>112</v>
      </c>
    </row>
    <row r="39" customFormat="false" ht="15" hidden="false" customHeight="false" outlineLevel="0" collapsed="false">
      <c r="Z39" s="0" t="s">
        <v>113</v>
      </c>
    </row>
    <row r="40" customFormat="false" ht="30" hidden="false" customHeight="true" outlineLevel="0" collapsed="false">
      <c r="B40" s="9" t="s">
        <v>114</v>
      </c>
      <c r="C40" s="9"/>
      <c r="D40" s="9"/>
      <c r="E40" s="9"/>
      <c r="F40" s="9"/>
      <c r="G40" s="9"/>
      <c r="Z40" s="6" t="s">
        <v>115</v>
      </c>
    </row>
    <row r="41" customFormat="false" ht="21.75" hidden="false" customHeight="true" outlineLevel="0" collapsed="false">
      <c r="B41" s="21"/>
      <c r="C41" s="21"/>
      <c r="D41" s="21"/>
      <c r="E41" s="21"/>
      <c r="F41" s="21"/>
      <c r="G41" s="21"/>
    </row>
    <row r="42" customFormat="false" ht="21.75" hidden="false" customHeight="true" outlineLevel="0" collapsed="false">
      <c r="B42" s="21"/>
      <c r="C42" s="21"/>
      <c r="D42" s="21"/>
      <c r="E42" s="21"/>
      <c r="F42" s="21"/>
      <c r="G42" s="21"/>
    </row>
    <row r="43" customFormat="false" ht="21.75" hidden="false" customHeight="true" outlineLevel="0" collapsed="false">
      <c r="B43" s="21"/>
      <c r="C43" s="21"/>
      <c r="D43" s="21"/>
      <c r="E43" s="21"/>
      <c r="F43" s="21"/>
      <c r="G43" s="21"/>
    </row>
    <row r="44" customFormat="false" ht="39.75" hidden="false" customHeight="true" outlineLevel="0" collapsed="false">
      <c r="B44" s="22" t="str">
        <f aca="false">IF(LEN(B41)&lt;40,"",IF(AND(ISNUMBER(SEARCH("prosjektleder",B41)),ISNUMBER(SEARCH("myndighet",B41))),"Bra: du anbefaler en prosjektleder med avklart myndighet. Sjekk at du har med et tall (16,7 % av timene eller 57,1 % av folkene) og at solcelle og lading mangler en leder som kan planlegge rundt prosjektet.",IF(OR(ISNUMBER(SEARCH("prosjektleder",B41)),ISNUMBER(SEARCH("myndighet",B41))),"Du er på sporet. Formen er en matrise. Den største risikoen er ikke kapasiteten, men at ingen har bestemt hvem som avgjør når prosjektet og avdelingen vil ha samme montør. Bruk ordene prosjektleder og myndighet.","Tips: formen er en prosjektorganisasjon i matrise; valget står mellom kontrollerende og full autoritet (15.8.5). Kapasiteten (16,7 % av timene, 57,1 % av folkene) lar seg planlegge. Risikoen er uavklart myndighet: én navngitt prosjektleder med myndighet over bemanningen, skriftlig før oppstart, og en fagansvarlig i solcelle og lading nå.")))</f>
        <v/>
      </c>
      <c r="C44" s="22"/>
      <c r="D44" s="22"/>
      <c r="E44" s="22"/>
      <c r="F44" s="22"/>
      <c r="G44" s="22"/>
    </row>
    <row r="45" customFormat="false" ht="15" hidden="false" customHeight="false" outlineLevel="0" collapsed="false">
      <c r="B45" s="23" t="s">
        <v>46</v>
      </c>
      <c r="C45" s="19"/>
    </row>
    <row r="46" customFormat="false" ht="60" hidden="false" customHeight="true" outlineLevel="0" collapsed="false">
      <c r="B46" s="24" t="str">
        <f aca="false">IF(C45="JA","Hint: a: kiosk → entreprenørorganisasjonen, forsikring → maskinbyråkratiet, sykehus → det profesjonelle byråkratiet, Equinor → divisjonsorganisasjonen, reklamebyrå → den innovative. b: 2 400 / 14 400 × 100 = 16,7 %. c: 8 / 14 × 100 = 57,1 %. d: ja på de fire første, nei på faste regler (maskinbyråkrati) og nei på én sjef (matrise). e: matrise. f: prosjektleder med avklart myndighet, skriftlig før oppstart.","")</f>
        <v/>
      </c>
      <c r="C46" s="24"/>
      <c r="D46" s="24"/>
      <c r="E46" s="24"/>
      <c r="F46" s="24"/>
      <c r="G46" s="24"/>
    </row>
    <row r="48" customFormat="false" ht="30" hidden="false" customHeight="true" outlineLevel="0" collapsed="false">
      <c r="B48" s="7" t="s">
        <v>47</v>
      </c>
      <c r="C48" s="7"/>
      <c r="D48" s="7"/>
      <c r="E48" s="7"/>
      <c r="F48" s="7"/>
      <c r="G48" s="7"/>
    </row>
  </sheetData>
  <mergeCells count="15">
    <mergeCell ref="B2:G2"/>
    <mergeCell ref="B3:G3"/>
    <mergeCell ref="B4:G4"/>
    <mergeCell ref="B5:G5"/>
    <mergeCell ref="B6:G6"/>
    <mergeCell ref="B7:G7"/>
    <mergeCell ref="B9:G9"/>
    <mergeCell ref="B16:G16"/>
    <mergeCell ref="B17:G17"/>
    <mergeCell ref="B30:G30"/>
    <mergeCell ref="B40:G40"/>
    <mergeCell ref="B41:G43"/>
    <mergeCell ref="B44:G44"/>
    <mergeCell ref="B46:G46"/>
    <mergeCell ref="B48:G48"/>
  </mergeCells>
  <conditionalFormatting sqref="G10">
    <cfRule type="expression" priority="2" aboveAverage="0" equalAverage="0" bottom="0" percent="0" rank="0" text="" dxfId="0">
      <formula>LEFT(G10,6)="Riktig"</formula>
    </cfRule>
    <cfRule type="expression" priority="3" aboveAverage="0" equalAverage="0" bottom="0" percent="0" rank="0" text="" dxfId="1">
      <formula>LEFT(G10,4)="Ikke"</formula>
    </cfRule>
  </conditionalFormatting>
  <conditionalFormatting sqref="G11">
    <cfRule type="expression" priority="4" aboveAverage="0" equalAverage="0" bottom="0" percent="0" rank="0" text="" dxfId="0">
      <formula>LEFT(G11,6)="Riktig"</formula>
    </cfRule>
    <cfRule type="expression" priority="5" aboveAverage="0" equalAverage="0" bottom="0" percent="0" rank="0" text="" dxfId="1">
      <formula>LEFT(G11,4)="Ikke"</formula>
    </cfRule>
  </conditionalFormatting>
  <conditionalFormatting sqref="G12">
    <cfRule type="expression" priority="6" aboveAverage="0" equalAverage="0" bottom="0" percent="0" rank="0" text="" dxfId="0">
      <formula>LEFT(G12,6)="Riktig"</formula>
    </cfRule>
    <cfRule type="expression" priority="7" aboveAverage="0" equalAverage="0" bottom="0" percent="0" rank="0" text="" dxfId="1">
      <formula>LEFT(G12,4)="Ikke"</formula>
    </cfRule>
  </conditionalFormatting>
  <conditionalFormatting sqref="G13">
    <cfRule type="expression" priority="8" aboveAverage="0" equalAverage="0" bottom="0" percent="0" rank="0" text="" dxfId="0">
      <formula>LEFT(G13,6)="Riktig"</formula>
    </cfRule>
    <cfRule type="expression" priority="9" aboveAverage="0" equalAverage="0" bottom="0" percent="0" rank="0" text="" dxfId="1">
      <formula>LEFT(G13,4)="Ikke"</formula>
    </cfRule>
  </conditionalFormatting>
  <conditionalFormatting sqref="G14">
    <cfRule type="expression" priority="10" aboveAverage="0" equalAverage="0" bottom="0" percent="0" rank="0" text="" dxfId="0">
      <formula>LEFT(G14,6)="Riktig"</formula>
    </cfRule>
    <cfRule type="expression" priority="11" aboveAverage="0" equalAverage="0" bottom="0" percent="0" rank="0" text="" dxfId="1">
      <formula>LEFT(G14,4)="Ikke"</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AND(G27&lt;&gt;"",LEFT(G27,6)&lt;&gt;"Riktig",LEFT(G27,5)&lt;&gt;"Skriv")</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AND(G28&lt;&gt;"",LEFT(G28,6)&lt;&gt;"Riktig",LEFT(G28,5)&lt;&gt;"Skriv")</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3">
    <cfRule type="expression" priority="20" aboveAverage="0" equalAverage="0" bottom="0" percent="0" rank="0" text="" dxfId="0">
      <formula>LEFT(G33,6)="Riktig"</formula>
    </cfRule>
    <cfRule type="expression" priority="21" aboveAverage="0" equalAverage="0" bottom="0" percent="0" rank="0" text="" dxfId="1">
      <formula>LEFT(G33,4)="Ikke"</formula>
    </cfRule>
  </conditionalFormatting>
  <conditionalFormatting sqref="G34">
    <cfRule type="expression" priority="22" aboveAverage="0" equalAverage="0" bottom="0" percent="0" rank="0" text="" dxfId="0">
      <formula>LEFT(G34,6)="Riktig"</formula>
    </cfRule>
    <cfRule type="expression" priority="23" aboveAverage="0" equalAverage="0" bottom="0" percent="0" rank="0" text="" dxfId="1">
      <formula>LEFT(G34,4)="Ikke"</formula>
    </cfRule>
  </conditionalFormatting>
  <conditionalFormatting sqref="G35">
    <cfRule type="expression" priority="24" aboveAverage="0" equalAverage="0" bottom="0" percent="0" rank="0" text="" dxfId="0">
      <formula>LEFT(G35,6)="Riktig"</formula>
    </cfRule>
    <cfRule type="expression" priority="25" aboveAverage="0" equalAverage="0" bottom="0" percent="0" rank="0" text="" dxfId="1">
      <formula>LEFT(G35,4)="Ikke"</formula>
    </cfRule>
  </conditionalFormatting>
  <conditionalFormatting sqref="G36">
    <cfRule type="expression" priority="26" aboveAverage="0" equalAverage="0" bottom="0" percent="0" rank="0" text="" dxfId="0">
      <formula>LEFT(G36,6)="Riktig"</formula>
    </cfRule>
    <cfRule type="expression" priority="27" aboveAverage="0" equalAverage="0" bottom="0" percent="0" rank="0" text="" dxfId="1">
      <formula>LEFT(G36,4)="Ikke"</formula>
    </cfRule>
  </conditionalFormatting>
  <conditionalFormatting sqref="G38">
    <cfRule type="expression" priority="28" aboveAverage="0" equalAverage="0" bottom="0" percent="0" rank="0" text="" dxfId="0">
      <formula>LEFT(G38,6)="Riktig"</formula>
    </cfRule>
    <cfRule type="expression" priority="29" aboveAverage="0" equalAverage="0" bottom="0" percent="0" rank="0" text="" dxfId="1">
      <formula>LEFT(G38,4)="Ikke"</formula>
    </cfRule>
  </conditionalFormatting>
  <dataValidations count="13">
    <dataValidation allowBlank="true" errorStyle="stop" operator="between" showDropDown="false" showErrorMessage="false" showInputMessage="false" sqref="C10" type="list">
      <formula1>$Z$1:$Z$5</formula1>
      <formula2>0</formula2>
    </dataValidation>
    <dataValidation allowBlank="true" errorStyle="stop" operator="between" showDropDown="false" showErrorMessage="false" showInputMessage="false" sqref="C11" type="list">
      <formula1>$Z$6:$Z$10</formula1>
      <formula2>0</formula2>
    </dataValidation>
    <dataValidation allowBlank="true" errorStyle="stop" operator="between" showDropDown="false" showErrorMessage="false" showInputMessage="false" sqref="C12" type="list">
      <formula1>$Z$11:$Z$15</formula1>
      <formula2>0</formula2>
    </dataValidation>
    <dataValidation allowBlank="true" errorStyle="stop" operator="between" showDropDown="false" showErrorMessage="false" showInputMessage="false" sqref="C13" type="list">
      <formula1>$Z$16:$Z$20</formula1>
      <formula2>0</formula2>
    </dataValidation>
    <dataValidation allowBlank="true" errorStyle="stop" operator="between" showDropDown="false" showErrorMessage="false" showInputMessage="false" sqref="C14" type="list">
      <formula1>$Z$21:$Z$25</formula1>
      <formula2>0</formula2>
    </dataValidation>
    <dataValidation allowBlank="true" errorStyle="stop" operator="between" showDropDown="false" showErrorMessage="false" showInputMessage="false" sqref="C31" type="list">
      <formula1>$Z$26:$Z$27</formula1>
      <formula2>0</formula2>
    </dataValidation>
    <dataValidation allowBlank="true" errorStyle="stop" operator="between" showDropDown="false" showErrorMessage="false" showInputMessage="false" sqref="C32" type="list">
      <formula1>$Z$28:$Z$29</formula1>
      <formula2>0</formula2>
    </dataValidation>
    <dataValidation allowBlank="true" errorStyle="stop" operator="between" showDropDown="false" showErrorMessage="false" showInputMessage="false" sqref="C33" type="list">
      <formula1>$Z$30:$Z$31</formula1>
      <formula2>0</formula2>
    </dataValidation>
    <dataValidation allowBlank="true" errorStyle="stop" operator="between" showDropDown="false" showErrorMessage="false" showInputMessage="false" sqref="C34" type="list">
      <formula1>$Z$32:$Z$33</formula1>
      <formula2>0</formula2>
    </dataValidation>
    <dataValidation allowBlank="true" errorStyle="stop" operator="between" showDropDown="false" showErrorMessage="false" showInputMessage="false" sqref="C35" type="list">
      <formula1>$Z$34:$Z$35</formula1>
      <formula2>0</formula2>
    </dataValidation>
    <dataValidation allowBlank="true" errorStyle="stop" operator="between" showDropDown="false" showErrorMessage="false" showInputMessage="false" sqref="C36" type="list">
      <formula1>$Z$36:$Z$37</formula1>
      <formula2>0</formula2>
    </dataValidation>
    <dataValidation allowBlank="true" errorStyle="stop" operator="between" showDropDown="false" showErrorMessage="false" showInputMessage="false" sqref="C38" type="list">
      <formula1>$Z$38:$Z$40</formula1>
      <formula2>0</formula2>
    </dataValidation>
    <dataValidation allowBlank="true" errorStyle="stop" operator="between" showDropDown="false" showErrorMessage="false" showInputMessage="false" sqref="C4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5" t="s">
        <v>116</v>
      </c>
    </row>
    <row r="3" customFormat="false" ht="30" hidden="false" customHeight="true" outlineLevel="0" collapsed="false">
      <c r="B3" s="7" t="s">
        <v>117</v>
      </c>
      <c r="C3" s="7"/>
      <c r="D3" s="7"/>
    </row>
    <row r="5" customFormat="false" ht="15" hidden="false" customHeight="false" outlineLevel="0" collapsed="false">
      <c r="B5" s="26" t="s">
        <v>118</v>
      </c>
      <c r="C5" s="26" t="s">
        <v>119</v>
      </c>
      <c r="D5" s="26" t="s">
        <v>120</v>
      </c>
    </row>
    <row r="6" customFormat="false" ht="30" hidden="false" customHeight="true" outlineLevel="0" collapsed="false">
      <c r="B6" s="27" t="s">
        <v>121</v>
      </c>
      <c r="C6" s="28"/>
      <c r="D6" s="27" t="s">
        <v>122</v>
      </c>
    </row>
    <row r="7" customFormat="false" ht="30" hidden="false" customHeight="true" outlineLevel="0" collapsed="false">
      <c r="B7" s="27" t="s">
        <v>123</v>
      </c>
      <c r="C7" s="28" t="n">
        <v>186900</v>
      </c>
      <c r="D7" s="27" t="s">
        <v>124</v>
      </c>
    </row>
    <row r="8" customFormat="false" ht="30" hidden="false" customHeight="true" outlineLevel="0" collapsed="false">
      <c r="B8" s="27" t="s">
        <v>125</v>
      </c>
      <c r="C8" s="28"/>
      <c r="D8" s="27" t="s">
        <v>126</v>
      </c>
    </row>
    <row r="9" customFormat="false" ht="30" hidden="false" customHeight="true" outlineLevel="0" collapsed="false">
      <c r="B9" s="27" t="s">
        <v>127</v>
      </c>
      <c r="C9" s="28"/>
      <c r="D9" s="27" t="s">
        <v>128</v>
      </c>
    </row>
    <row r="10" customFormat="false" ht="45" hidden="false" customHeight="true" outlineLevel="0" collapsed="false">
      <c r="B10" s="27" t="s">
        <v>129</v>
      </c>
      <c r="C10" s="28"/>
      <c r="D10" s="27" t="s">
        <v>130</v>
      </c>
    </row>
    <row r="11" customFormat="false" ht="30" hidden="false" customHeight="true" outlineLevel="0" collapsed="false">
      <c r="B11" s="27" t="s">
        <v>131</v>
      </c>
      <c r="C11" s="28"/>
      <c r="D11" s="27" t="s">
        <v>132</v>
      </c>
    </row>
    <row r="12" customFormat="false" ht="30" hidden="false" customHeight="true" outlineLevel="0" collapsed="false">
      <c r="B12" s="27" t="s">
        <v>133</v>
      </c>
      <c r="C12" s="28"/>
      <c r="D12" s="27" t="s">
        <v>134</v>
      </c>
    </row>
    <row r="13" customFormat="false" ht="30" hidden="false" customHeight="true" outlineLevel="0" collapsed="false">
      <c r="B13" s="27" t="s">
        <v>135</v>
      </c>
      <c r="C13" s="28"/>
      <c r="D13" s="27" t="s">
        <v>136</v>
      </c>
    </row>
    <row r="14" customFormat="false" ht="30" hidden="false" customHeight="true" outlineLevel="0" collapsed="false">
      <c r="B14" s="27" t="s">
        <v>137</v>
      </c>
      <c r="C14" s="28" t="n">
        <v>7120</v>
      </c>
      <c r="D14" s="27" t="s">
        <v>138</v>
      </c>
    </row>
    <row r="15" customFormat="false" ht="30" hidden="false" customHeight="true" outlineLevel="0" collapsed="false">
      <c r="B15" s="27" t="s">
        <v>139</v>
      </c>
      <c r="C15" s="28"/>
      <c r="D15" s="27" t="s">
        <v>140</v>
      </c>
    </row>
    <row r="16" customFormat="false" ht="45" hidden="false" customHeight="true" outlineLevel="0" collapsed="false">
      <c r="B16" s="27" t="s">
        <v>141</v>
      </c>
      <c r="C16" s="28"/>
      <c r="D16" s="27" t="s">
        <v>142</v>
      </c>
    </row>
    <row r="17" customFormat="false" ht="45" hidden="false" customHeight="true" outlineLevel="0" collapsed="false">
      <c r="B17" s="27" t="s">
        <v>143</v>
      </c>
      <c r="C17" s="28"/>
      <c r="D17" s="27" t="s">
        <v>144</v>
      </c>
    </row>
    <row r="18" customFormat="false" ht="30" hidden="false" customHeight="true" outlineLevel="0" collapsed="false">
      <c r="B18" s="27" t="s">
        <v>145</v>
      </c>
      <c r="C18" s="28"/>
      <c r="D18" s="27" t="s">
        <v>146</v>
      </c>
    </row>
    <row r="19" customFormat="false" ht="30" hidden="false" customHeight="true" outlineLevel="0" collapsed="false">
      <c r="B19" s="27" t="s">
        <v>147</v>
      </c>
      <c r="C19" s="28"/>
      <c r="D19" s="27" t="s">
        <v>148</v>
      </c>
    </row>
    <row r="20" customFormat="false" ht="30" hidden="false" customHeight="true" outlineLevel="0" collapsed="false">
      <c r="B20" s="27" t="s">
        <v>149</v>
      </c>
      <c r="C20" s="28"/>
      <c r="D20" s="27" t="s">
        <v>150</v>
      </c>
    </row>
    <row r="21" customFormat="false" ht="30" hidden="false" customHeight="true" outlineLevel="0" collapsed="false">
      <c r="B21" s="27" t="s">
        <v>151</v>
      </c>
      <c r="C21" s="28"/>
      <c r="D21" s="27" t="s">
        <v>152</v>
      </c>
    </row>
    <row r="22" customFormat="false" ht="60" hidden="false" customHeight="true" outlineLevel="0" collapsed="false">
      <c r="B22" s="27" t="s">
        <v>153</v>
      </c>
      <c r="C22" s="28"/>
      <c r="D22" s="27" t="s">
        <v>154</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2026-10-14T17:45:54Z</dcterms:created>
  <dc:creator>openpyxl</dc:creator>
  <dc:description/>
  <dc:language>en-US</dc:language>
  <cp:lastModifiedBy/>
  <dcterms:modified xsi:type="dcterms:W3CDTF">2026-10-14T17:45:54Z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