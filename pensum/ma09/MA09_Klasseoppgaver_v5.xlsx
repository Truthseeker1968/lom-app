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Veiledning" sheetId="1" state="visible" r:id="rId3"/>
    <sheet name="A1" sheetId="2" state="visible" r:id="rId4"/>
    <sheet name="A2" sheetId="3" state="visible" r:id="rId5"/>
    <sheet name="B1" sheetId="4" state="visible" r:id="rId6"/>
    <sheet name="B2" sheetId="5" state="visible" r:id="rId7"/>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<sst xmlns="http://schemas.openxmlformats.org/spreadsheetml/2006/main" count="199" uniqueCount="161">
  <si>
    <t xml:space="preserve">Klasseoppgaver til Markedsføring kapittel 9: Påvirkning som konkurransevirkemiddel (versjon 5)</t>
  </si>
  <si>
    <t xml:space="preserve">LØM · Fagskolen Oslo, Avdeling Elkraft · versjon 5, oktober 2026</t>
  </si>
  <si>
    <t xml:space="preserve">Slik bruker du arbeidsboka</t>
  </si>
  <si>
    <t xml:space="preserve">Gule celler med blå skrift</t>
  </si>
  <si>
    <t xml:space="preserve">Her skriver du svaret ditt.</t>
  </si>
  <si>
    <t xml:space="preserve">Kolonnen «Sjekk»</t>
  </si>
  <si>
    <t xml:space="preserve">Viser «Riktig» eller «Prøv igjen» når du har svart. Løsningen får du i appen etter levering, eller i plenum.</t>
  </si>
  <si>
    <t xml:space="preserve">Arkene</t>
  </si>
  <si>
    <t xml:space="preserve">A1</t>
  </si>
  <si>
    <t xml:space="preserve">Nordlys: brev, besøk og hvor mye selgertid avdelingen trenger (Nordlys)</t>
  </si>
  <si>
    <t xml:space="preserve">A2</t>
  </si>
  <si>
    <t xml:space="preserve">Fjell Elektro: annonsen i lokalavisa, kontaktprisen og loven (Egen el-bedrift)</t>
  </si>
  <si>
    <t xml:space="preserve">B1</t>
  </si>
  <si>
    <t xml:space="preserve">Nordlys: vårkampanjen mot borettslagene, kostnad og evaluering (Nordlys)</t>
  </si>
  <si>
    <t xml:space="preserve">B2</t>
  </si>
  <si>
    <t xml:space="preserve">Fjell Elektro: løftet på nettsiden og den interne markedsføringen (Egen el-bedrift)</t>
  </si>
  <si>
    <t xml:space="preserve">Læreboka</t>
  </si>
  <si>
    <t xml:space="preserve">Hjertnes, F.: Markedsføring, organisasjon og ledelse for LØM-emnet, kapittel 9.</t>
  </si>
  <si>
    <t xml:space="preserve">Appen</t>
  </si>
  <si>
    <t xml:space="preserve">Markedsføring kap. 9 → Øv → Klasseoppgaver gir fasit per deloppgave.</t>
  </si>
  <si>
    <t xml:space="preserve">A1 · Nordlys: brev, besøk og hvor mye selgertid avdelingen trenger</t>
  </si>
  <si>
    <t xml:space="preserve">25 minutter · Helst alene. Sammen med sidemannen eller flere hvis du vil. Ark og blyant, appen (PC eller mobil) eller læreboka.</t>
  </si>
  <si>
    <t xml:space="preserve">Kort oppsummert: Kontaktprisen er det det koster å nå ett medlem av målgruppen: samlet kostnad delt på antall som nås (9.8). Personlig kommunikasjon er dyr, men gir dialog, og kan forsvares når store verdier står på spill. Salgsstyrken dimensjoneres fra hvor mange besøk kundene bør ha: antall kunder × besøk per kunde, delt på hvor mange besøk én selger rekker (salgsdager × besøk per dag). Svaret er sjelden et helt tall, og du må si hvilken vei du runder.</t>
  </si>
  <si>
    <t xml:space="preserve">Casen er lagt til 2026/2027. Solcelle- og ladeavdelingen i Nordlys har 48 bedriftskunder: borettslag, sameier og byggmestere i Oslo øst. Hver bør besøkes 4 ganger i året. Markedsplanen har et delmål om en rammeavtale med et borettslag om minst 20 ladepunkt (8 830 kr per ladepunkt uten merverdiavgift). En administrasjonstime koster 327,43 kr (administrasjonens lønnskostnad 2 220 000 kr delt på 4 × 1 695 timer, faktaarket). Et styrebesøk tar 3,85 timer og 400 kr i kjøring. Et brev til 24 styreledere tar 5 timer og 1 900 kr i trykk og porto. En selger rekker 2 besøk per dag i 220 effektive salgsdager. Gå fram slik: regn kontaktprisen for brevet, regn selgerbehovet, regn hva alle besøkene koster i året, og vurder til slutt hvilken kanal som passer målet.</t>
  </si>
  <si>
    <t xml:space="preserve">Forutsetning</t>
  </si>
  <si>
    <t xml:space="preserve">Tall</t>
  </si>
  <si>
    <t xml:space="preserve">Administrasjonstime</t>
  </si>
  <si>
    <t xml:space="preserve">327,43 kr (2 220 000 / (4 × 1 695))</t>
  </si>
  <si>
    <t xml:space="preserve">Styrebesøk</t>
  </si>
  <si>
    <t xml:space="preserve">3,85 timer + 400 kr kjøring</t>
  </si>
  <si>
    <t xml:space="preserve">Brev til 24 styreledere</t>
  </si>
  <si>
    <t xml:space="preserve">5 timer + 1 900 kr trykk og porto</t>
  </si>
  <si>
    <t xml:space="preserve">Bedriftskunder</t>
  </si>
  <si>
    <t xml:space="preserve">48, hver bør ha 4 besøk i året</t>
  </si>
  <si>
    <t xml:space="preserve">Kapasitet per selger</t>
  </si>
  <si>
    <t xml:space="preserve">220 salgsdager × 2 besøk</t>
  </si>
  <si>
    <t xml:space="preserve">Delmål</t>
  </si>
  <si>
    <t xml:space="preserve">Rammeavtale, minst 20 ladepunkt</t>
  </si>
  <si>
    <t xml:space="preserve">Pris per ladepunkt</t>
  </si>
  <si>
    <t xml:space="preserve">8 830 kr uten merverdiavgift</t>
  </si>
  <si>
    <t xml:space="preserve">Gule celler med spørsmålstegn kan du fylle inn selv mens du regner.</t>
  </si>
  <si>
    <t xml:space="preserve">Deloppgave</t>
  </si>
  <si>
    <t xml:space="preserve">Ditt svar</t>
  </si>
  <si>
    <t xml:space="preserve">Sjekk</t>
  </si>
  <si>
    <t xml:space="preserve">a)  Hva er kontaktprisen for brevet, i kroner per styre? Samlet kostnad (timer × timesats + trykk og porto) delt på 24 styrer. To desimaler.</t>
  </si>
  <si>
    <t xml:space="preserve">Formel og begrep</t>
  </si>
  <si>
    <t xml:space="preserve">Kontaktpris = samlet kostnad / antall i målgruppen som nås (Markedsføring 9.8, bokas eksempel: 250 000 / 500 000 = 0,50 kr). Brevet er direktemarkedsføring (9.10).</t>
  </si>
  <si>
    <t xml:space="preserve">b)  Hvor stort er selgerbehovet? Planlagte besøk (kunder × besøk per kunde) delt på kapasiteten per selger (salgsdager × besøk per dag). To desimaler.</t>
  </si>
  <si>
    <t xml:space="preserve">Selgerbehov = (antall kunder × besøk per kunde) / (salgsdager × besøk per dag) (Markedsføring 9.8, bokas tabell med 150 kunder og 2,05 selgere).</t>
  </si>
  <si>
    <t xml:space="preserve">c)  Hva koster det i året å gjennomføre alle de 192 planlagte besøkene (fra b)? Regn først hva ett styrebesøk koster (timer × timesats + kjøring), og gang med 192.</t>
  </si>
  <si>
    <t xml:space="preserve">Kostnad ved personlig kommunikasjon = reisekostnader + møtetid × timesats + andre møtekostnader (Markedsføring 9.8). Kontaktprisen er hele beløpet, fordi besøket når ett styre.</t>
  </si>
  <si>
    <t xml:space="preserve">d)  Kari sier: «0,44 selgere, det runder vi ned til null. Vi ansetter ingen.» Hva betyr 0,44 selgere for avdelingen?   A: At besøkene kan droppes, fordi behovet er under en halv stilling   B: At noen må ha rundt 96 salgsdager i året avsatt i kalenderen sin, ellers blir ingen kunder besøkt   C: At avdelingen må ansette en selger i full stilling   (skriv bokstaven)</t>
  </si>
  <si>
    <t xml:space="preserve">e)  Hvilken kanal passer delmålet om en rammeavtale med et borettslag, og hvem bør ta besøkene? Bruk tallene du har regnet, og bokas grunner for personlig salg på bedriftsmarkedet. To–tre setninger.</t>
  </si>
  <si>
    <t xml:space="preserve">Personlig salg på bedriftsmarkedet (Markedsføring 9.8) og direktemarkedsføring (9.10).</t>
  </si>
  <si>
    <t xml:space="preserve">Hint, hvis du står fast</t>
  </si>
  <si>
    <t xml:space="preserve">Kontaktprisen</t>
  </si>
  <si>
    <t xml:space="preserve">Regn hele kostnaden først: timer × 327,43 kr pluss utlegg. Del på hvor mange styrer som nås. Ett besøk når ett styre, brevet når 24.</t>
  </si>
  <si>
    <t xml:space="preserve">Selgerbehovet</t>
  </si>
  <si>
    <t xml:space="preserve">Planlagte besøk: 48 × 4. Kapasitet per selger: 220 × 2. Del det første på det andre. Hva betyr et tall under 1 i dager i noens kalender?</t>
  </si>
  <si>
    <t xml:space="preserve">Kilde: Hjertnes, F.: Markedsføring, organisasjon og ledelse for LØM-emnet, kap. 9, avsnitt 9.8 (kontaktpris, personlig salg på bedriftsmarkedet, dimensjonering av salgsstyrken). Tallene er de samme som i appen og sammendraget til kapittel 9. Nordlys Elektro AS er en konstruert casebedrift.</t>
  </si>
  <si>
    <t xml:space="preserve">Regnearket er øvingsstøtte. Det kan ikke siteres eller vises til i besvarelser, prosjektoppgaver eller eksamen; der gjelder læreboka og oppgitte primærkilder.</t>
  </si>
  <si>
    <t xml:space="preserve">A2 · Fjell Elektro: annonsen i lokalavisa, kontaktprisen og loven</t>
  </si>
  <si>
    <t xml:space="preserve">Kort oppsummert: Kontaktprisen er samlet kostnad delt på antall som nås. Men et massemedium er bare verdt noe for den delen av leserne som er i målgruppen (distribusjonsegenskapene, 9.9). Budskapet kodes med virkemidler, og avsenderen kan selv lage støy med for mange av dem (9.7). Der overdrivelsene går for langt, setter markedsføringsloven grensen (9.2 og kap. 20): faktapåstander skal kunne dokumenteres (§ 3), villedende handlinger er forbudt (§ 7), og vesentlige opplysninger må ikke utelates eller presenteres uklart (§ 8). Åpenbare overdrivelser er tillatt.</t>
  </si>
  <si>
    <t xml:space="preserve">Fjell Elektro AS har 40 000 kr i året til markedsføring, tenkt brukt til annonser i lokalavis og sosiale medier. Mona Fjell vurderer en kvartside i lokalavisa i Oslo øst. Den koster 9 000 kr og når 20 000 lesere, men bare om lag 30 % av leserne eier bolig i området der Fjell jobber. Mona har skrevet fire utkast til annonsetekst, og layouten har fem farger, tre bilder og prisen nederst med liten skrift. Gå fram slik: regn kontaktprisen per leser, regn kontaktprisen per leser i målgruppen, sjekk hvert utkast mot markedsføringsloven, og finn støyen.</t>
  </si>
  <si>
    <t xml:space="preserve">Fjell Elektro</t>
  </si>
  <si>
    <t xml:space="preserve">Markedsføringsbudsjett</t>
  </si>
  <si>
    <t xml:space="preserve">40 000 kr i året</t>
  </si>
  <si>
    <t xml:space="preserve">Kvartside i lokalavisa</t>
  </si>
  <si>
    <t xml:space="preserve">9 000 kr, når 20 000 lesere</t>
  </si>
  <si>
    <t xml:space="preserve">Lesere i målgruppen</t>
  </si>
  <si>
    <t xml:space="preserve">30 % eier bolig i området</t>
  </si>
  <si>
    <t xml:space="preserve">Utkast 1</t>
  </si>
  <si>
    <t xml:space="preserve">«Oslo østs hyggeligste elektrikere»</t>
  </si>
  <si>
    <t xml:space="preserve">Utkast 2</t>
  </si>
  <si>
    <t xml:space="preserve">«Spar 10 000 kr i året» (ikke regnet)</t>
  </si>
  <si>
    <t xml:space="preserve">Utkast 3</t>
  </si>
  <si>
    <t xml:space="preserve">«Lader fra 9 900 kr»*, vilkår med liten skrift</t>
  </si>
  <si>
    <t xml:space="preserve">Utkast 4</t>
  </si>
  <si>
    <t xml:space="preserve">«Installatøren selv på hver jobb»</t>
  </si>
  <si>
    <t xml:space="preserve">Layout</t>
  </si>
  <si>
    <t xml:space="preserve">Fem farger, tre bilder, prisen nederst</t>
  </si>
  <si>
    <t xml:space="preserve">a)  Hva er kontaktprisen for kvartsiden, i kroner per leser? To desimaler.</t>
  </si>
  <si>
    <t xml:space="preserve">Kontaktpris = samlet kostnad / antall som nås (Markedsføring 9.8).</t>
  </si>
  <si>
    <t xml:space="preserve">b)  Bare 30 % av leserne eier bolig i området. Hva er kontaktprisen per leser i målgruppen? To desimaler.</t>
  </si>
  <si>
    <t xml:space="preserve">Kontaktpris i målgruppen = kostnad / antall i målgruppen som nås. Distribusjonsegenskapene er hvor stor del av målgruppen som bruker mediet (Markedsføring 9.9).</t>
  </si>
  <si>
    <t xml:space="preserve">c)  Sjekk de fire utkastene. Kan hvert av dem brukes slik det står, etter markedsføringsloven? Svar ja eller nei for hvert.</t>
  </si>
  <si>
    <t xml:space="preserve">      Utkast 1: «Oslo østs hyggeligste elektrikere»   (Ja eller Nei)</t>
  </si>
  <si>
    <t xml:space="preserve">      Utkast 2: «Spar 10 000 kr i året» (ikke regnet)   (Ja eller Nei)</t>
  </si>
  <si>
    <t xml:space="preserve">      Utkast 3: «Lader fra 9 900 kr»*, vilkår med liten skrift   (Ja eller Nei)</t>
  </si>
  <si>
    <t xml:space="preserve">      Utkast 4: «Installatøren selv på hver jobb»   (Ja eller Nei)</t>
  </si>
  <si>
    <t xml:space="preserve">d)  Layouten har fem farger, tre bilder og prisen nederst med liten skrift. Hvilken støykilde er det, etter boka?   A: Konkurransen om oppmerksomheten fra andre annonser   B: Avsenderen selv, med virkemidler som hemmer formidlingen   C: Feil dekoding fordi leserne er i en annen kulturkrets   (skriv bokstaven)</t>
  </si>
  <si>
    <t xml:space="preserve">e)  Bør Mona bruke 9 000 av de 40 000 kronene på kvartsiden? Hvilket medium passer målgruppen, og hvilket budskap bør annonsen ha? Bruk tallene og begreper fra kapitlet. To–tre setninger.</t>
  </si>
  <si>
    <t xml:space="preserve">Medievalg etter målgruppe (Markedsføring 9.4), kjøpsprosessen og massemediets egenskaper (9.9), tilbakemelding (9.6).</t>
  </si>
  <si>
    <t xml:space="preserve">To kontaktpriser</t>
  </si>
  <si>
    <t xml:space="preserve">Først 9 000 delt på alle 20 000 lesere. Så 9 000 delt på bare de 30 % som er i målgruppen. Hvilket tall sier mest?</t>
  </si>
  <si>
    <t xml:space="preserve">Loven</t>
  </si>
  <si>
    <t xml:space="preserve">Åpenbare overdrivelser er lov. En faktapåstand om kroner må kunne dokumenteres (§ 3). Vilkår gjemt i liten skrift er en villedende utelatelse (§ 8).</t>
  </si>
  <si>
    <t xml:space="preserve">Kilde: Hjertnes, F.: Markedsføring, organisasjon og ledelse for LØM-emnet, kap. 9, avsnitt 9.2 (budskap), 9.7 (støy), 9.8–9.9 (kontaktpris, massemediets egenskaper) og kap. 20.1. Markedsføringsloven (lov 9. januar 2009 nr. 2, Lovdata) § 3, § 7 og § 8, slik de er gjengitt i læreboka kap. 20.1. Fjell Elektro AS er en konstruert casebedrift; annonseprisene og lesertallene er konstruerte.</t>
  </si>
  <si>
    <t xml:space="preserve">B1 · Nordlys: vårkampanjen mot borettslagene, kostnad og evaluering</t>
  </si>
  <si>
    <t xml:space="preserve">Kort oppsummert: En markedsføringskampanje er tidsavgrenset, har flere koordinerte aktiviteter med høy intensitet, og bruker først og fremst pris og påvirkning (9.11). Kampanjeplanen har seks punkter: mål, målgrupper, budsjett, organisering, iverksettelse og kontroll. Det er målene som bestemmer hva kampanjen skal koste, og målene skal nås til lavest mulig kostnad. Kampanjen er vellykket når målene er nådd innenfor budsjettrammen.</t>
  </si>
  <si>
    <t xml:space="preserve">Kari planlegger vårkampanjen mot borettslag i Oslo øst med over 20 leiligheter. Kampanjemålet er 10 styrebesøk og én rammeavtale om minst 20 ladepunkt innen 30. juni. Tiltakene står i tabellen. En administrasjonstime koster 327,43 kr (administrasjonens lønnskostnad 2 220 000 kr delt på 4 × 1 695 timer, faktaarket) og en montørtime 640 kr. Hvert ladepunkt gir 1 050 kr i dekningsbidrag. Gå fram slik: plasser demonstrasjonsanlegget som form for massekommunikasjon, regn kampanjekostnaden, regn hvor mange rammeavtaler som må til før dekningsbidraget dekker kostnaden, og vurder kampanjen etter boka.</t>
  </si>
  <si>
    <t xml:space="preserve">Tiltak</t>
  </si>
  <si>
    <t xml:space="preserve">5 administrasjonstimer + 1 900 kr</t>
  </si>
  <si>
    <t xml:space="preserve">10 à 3,85 administrasjonstimer + 400 kr</t>
  </si>
  <si>
    <t xml:space="preserve">Oppstartsmøte (kick-off)</t>
  </si>
  <si>
    <t xml:space="preserve">14 montørtimer à 640 kr</t>
  </si>
  <si>
    <t xml:space="preserve">Demonstrasjon på befaring</t>
  </si>
  <si>
    <t xml:space="preserve">Ferdig anlegg som virker</t>
  </si>
  <si>
    <t xml:space="preserve">Timesats administrasjon</t>
  </si>
  <si>
    <t xml:space="preserve">Rammeavtale</t>
  </si>
  <si>
    <t xml:space="preserve">20 ladepunkt à 1 050 kr i dekningsbidrag</t>
  </si>
  <si>
    <t xml:space="preserve">a)  Et anlegg står ferdig og virker når styret kommer på befaring. Hvilken form for massekommunikasjon er det etter boka?   A: Reklame   B: Salgsfremmende tiltak   C: Public relations (PR)   (skriv bokstaven)</t>
  </si>
  <si>
    <t xml:space="preserve">b)  Hva koster kampanjen til sammen? Brevet (timer × timesats + trykk og porto), 10 styrebesøk (timer × timesats + kjøring, hver) og oppstartsmøtet (montørtimer × 640).</t>
  </si>
  <si>
    <t xml:space="preserve">Kampanjebudsjettet er summen av tiltakene; målene bestemmer hva kampanjen skal koste (Markedsføring 9.11, punkt 3).</t>
  </si>
  <si>
    <t xml:space="preserve">c)  En rammeavtale om 20 ladepunkt gir 20 × 1 050 kr i dekningsbidrag. Hvor mange slike avtaler må kampanjen gi før dekningsbidraget dekker kampanjekostnaden? Rund opp til helt tall.</t>
  </si>
  <si>
    <t xml:space="preserve">Antall avtaler = kampanjekostnad / dekningsbidrag per avtale, rundet opp. Samme tankegang som nullpunkt i mengde = faste kostnader / dekningsbidrag per enhet (Økonomistyring 8.2).</t>
  </si>
  <si>
    <t xml:space="preserve">d)  Kampanjen ga én rammeavtale, slik målet var, men kostet 34 000 kr mot budsjettet på 29 103 kr. Var den vellykket etter boka?   A: Ja, fordi kampanjemålet ble nådd   B: Nei, boka krever at målene nås innenfor budsjettrammen   C: Det kan ikke vurderes før neste år   (skriv bokstaven)</t>
  </si>
  <si>
    <t xml:space="preserve">e)  Hva må være på plass internt i Nordlys før brevet går ut til de 24 styrelederne, og hvorfor? Bruk begrepene organisering, intern og interaktiv markedsføring. To–tre setninger.</t>
  </si>
  <si>
    <t xml:space="preserve">Organisering (Markedsføring 9.11, punkt 4, tabell 9.1); intern, ekstern og interaktiv markedsføring (9.13, figur 9.3).</t>
  </si>
  <si>
    <t xml:space="preserve">Kampanjekostnaden</t>
  </si>
  <si>
    <t xml:space="preserve">Tre poster: brevet (5 × 327,43 + 1 900), ti besøk (10 × (3,85 × 327,43 + 400)) og kick-off (14 × 640). Legg sammen.</t>
  </si>
  <si>
    <t xml:space="preserve">Vellykket?</t>
  </si>
  <si>
    <t xml:space="preserve">Boka evaluerer to ting: ble målene nådd, og skjedde det innenfor budsjettet? Én avtale gir 20 × 1 050 kr i dekningsbidrag.</t>
  </si>
  <si>
    <t xml:space="preserve">Kilde: Hjertnes, F.: Markedsføring, organisasjon og ledelse for LØM-emnet, kap. 9, avsnitt 9.10 (former for massekommunikasjon) og 9.11 (kampanjeplanlegging, budsjett og evaluering). Dekningsbidrag per ladepunkt: faktaarket. Nordlys Elektro AS er en konstruert casebedrift.</t>
  </si>
  <si>
    <t xml:space="preserve">B2 · Fjell Elektro: løftet på nettsiden og den interne markedsføringen</t>
  </si>
  <si>
    <t xml:space="preserve">Kort oppsummert: Personalet er også en konkurransefaktor: kunnskap og kompetanse avgjør hva de ansatte gjør, holdninger og atferd avgjør hvordan (9.12). Intern markedsføring er tiltak rettet mot egne ansatte, særlig dem med kundekontakt, for å påvirke kunnskap, kompetanse, holdninger og atferd. Den handler ikke om å få ansatte til å kjøpe bedriftens produkter. Målene er kompetanse, motivasjon og rekruttering, og det må være samsvar mellom hva bedriften sier og hva den gjør (9.13). Interaktiv markedsføring er møtet mellom den ansatte og kunden.</t>
  </si>
  <si>
    <t xml:space="preserve">Fjell Elektro AS har Mona Fjell og to montører. Nettsiden lover «svar samme dag», men montørene vet ikke om løftet, og ingen har ansvar for å svare. En kunde ventet tre dager på svar og skrev om det i borettslagets Facebook-gruppe, der 12 beboere vurderer elbillader. Anta at 25 % av dem velger en annen installatør. En elbillader gir Fjell 2 500 kr i dekningsbidrag. Mona har fått ingen søkere til en tredje montørstilling og vurderer en lærling. Gå fram slik: sorter tiltakene, sett navn på kompetansen, regn hva klagen kan koste, og foreslå hva Mona gjør først.</t>
  </si>
  <si>
    <t xml:space="preserve">Fakta</t>
  </si>
  <si>
    <t xml:space="preserve">Folk</t>
  </si>
  <si>
    <t xml:space="preserve">Mona og to montører</t>
  </si>
  <si>
    <t xml:space="preserve">Nettsiden</t>
  </si>
  <si>
    <t xml:space="preserve">Lover «svar samme dag»</t>
  </si>
  <si>
    <t xml:space="preserve">Montørene</t>
  </si>
  <si>
    <t xml:space="preserve">Vet ikke om løftet</t>
  </si>
  <si>
    <t xml:space="preserve">Klagen</t>
  </si>
  <si>
    <t xml:space="preserve">Kunde ventet 3 dager, skrev i Facebook-gruppen</t>
  </si>
  <si>
    <t xml:space="preserve">Leserne</t>
  </si>
  <si>
    <t xml:space="preserve">12 beboere vurderer elbillader</t>
  </si>
  <si>
    <t xml:space="preserve">Velger en annen</t>
  </si>
  <si>
    <t xml:space="preserve">25 % av dem</t>
  </si>
  <si>
    <t xml:space="preserve">Dekningsbidrag per elbillader</t>
  </si>
  <si>
    <t xml:space="preserve">2 500 kr</t>
  </si>
  <si>
    <t xml:space="preserve">Rekruttering</t>
  </si>
  <si>
    <t xml:space="preserve">Ingen søkere til 3. montør</t>
  </si>
  <si>
    <t xml:space="preserve">a)  Er tiltaket intern markedsføring etter boka? Svar ja eller nei for hvert: kurs i ny ladeboks for montørene, kort møte mandag morgen om hva nettsiden lover, annonse i lokalavisa, julebord for alle tre, montøren som svarer kunden i døra.</t>
  </si>
  <si>
    <t xml:space="preserve">      Kurs i ny ladeboks for montørene   (Ja eller Nei)</t>
  </si>
  <si>
    <t xml:space="preserve">      Kort møte mandag morgen om hva nettsiden lover   (Ja eller Nei)</t>
  </si>
  <si>
    <t xml:space="preserve">      Annonse i lokalavisa   (Ja eller Nei)</t>
  </si>
  <si>
    <t xml:space="preserve">      Julebord for alle tre   (Ja eller Nei)</t>
  </si>
  <si>
    <t xml:space="preserve">      Montøren som svarer kunden i døra   (Ja eller Nei)</t>
  </si>
  <si>
    <t xml:space="preserve">b)  Den ene montøren har montert 150 ladere og vet hvilke spørsmål kundene stiller, men har ikke kurs eller sertifikat på det. Hva kaller boka det han kan?   A: Formell kompetanse   B: Realkompetanse   C: Holdninger   (skriv bokstaven)</t>
  </si>
  <si>
    <t xml:space="preserve">c)  Hvor mye dekningsbidrag kan klagen koste Fjell? Antall beboere som vurderer lader × andelen som velger en annen × dekningsbidrag per lader.</t>
  </si>
  <si>
    <t xml:space="preserve">Tapt dekningsbidrag = antall tapte salg × dekningsbidrag per salg (Økonomistyring 8.2).</t>
  </si>
  <si>
    <t xml:space="preserve">d)  Mona vil gi montørene elbillader til innkjøpspris og kaller det intern markedsføring. Har hun rett?   A: Ja, fordi tiltaket er rettet mot de ansatte   B: Nei, intern markedsføring handler om å påvirke kompetanse, holdninger og atferd, ikke om at ansatte kjøper produktene   C: Ja, det er interaktiv markedsføring   (skriv bokstaven)</t>
  </si>
  <si>
    <t xml:space="preserve">e)  Hva bør Mona gjøre med løftet om «svar samme dag»? Foreslå ett tiltak overfor kunden og ett internt tiltak, og begrunn med begreper fra kapitlet. To–tre setninger.</t>
  </si>
  <si>
    <t xml:space="preserve">Mål for intern markedsføring (Markedsføring 9.13) og samsvar mellom ord og handling (9.13.1); omdømme som hovedmål (9.1).</t>
  </si>
  <si>
    <t xml:space="preserve">Hvem påvirker hvem?</t>
  </si>
  <si>
    <t xml:space="preserve">Intern: bedriften mot egne ansatte. Ekstern: bedriften mot kundene. Interaktiv: møtet mellom ansatt og kunde.</t>
  </si>
  <si>
    <t xml:space="preserve">Klagen i kroner</t>
  </si>
  <si>
    <t xml:space="preserve">12 beboere × 25 % = antall tapte ladere. Gang med 2 500 kr i dekningsbidrag.</t>
  </si>
  <si>
    <t xml:space="preserve">Kilde: Hjertnes, F.: Markedsføring, organisasjon og ledelse for LØM-emnet, kap. 9, avsnitt 9.12 (personalets rolle, formell kompetanse og realkompetanse) og 9.13 (intern og interaktiv markedsføring, mål og tiltak). Dekningsbidraget per elbillader er fra Økonomistyring kap. 7. Fjell Elektro AS er en konstruert casebedrift; annonseprisene og lesertallene er konstruerte.</t>
  </si>
</sst>
</file>

<file path=xl/styles.xml><?xml version="1.0" encoding="utf-8"?>
<styleSheet xmlns="http://schemas.openxmlformats.org/spreadsheetml/2006/main">
  <numFmts count="2">
    <numFmt numFmtId="164" formatCode="General"/>
    <numFmt numFmtId="165" formatCode="#,##0.##;\−#,##0.##;\0"/>
  </numFmts>
  <fonts count="13">
    <font>
      <sz val="11"/>
      <color theme="1"/>
      <name val="Calibri"/>
      <family val="2"/>
      <charset val="1"/>
    </font>
    <font>
      <sz val="10"/>
      <name val="Arial"/>
      <family val="0"/>
    </font>
    <font>
      <sz val="10"/>
      <name val="Arial"/>
      <family val="0"/>
    </font>
    <font>
      <sz val="10"/>
      <name val="Arial"/>
      <family val="0"/>
    </font>
    <font>
      <b val="true"/>
      <sz val="14"/>
      <color rgb="FF2F4A6D"/>
      <name val="Arial"/>
      <family val="0"/>
      <charset val="1"/>
    </font>
    <font>
      <i val="true"/>
      <sz val="10"/>
      <color rgb="FF5E6670"/>
      <name val="Arial"/>
      <family val="0"/>
      <charset val="1"/>
    </font>
    <font>
      <b val="true"/>
      <sz val="11"/>
      <name val="Arial"/>
      <family val="0"/>
      <charset val="1"/>
    </font>
    <font>
      <sz val="11"/>
      <name val="Arial"/>
      <family val="0"/>
      <charset val="1"/>
    </font>
    <font>
      <b val="true"/>
      <sz val="11"/>
      <color rgb="FFFFFFFF"/>
      <name val="Arial"/>
      <family val="0"/>
      <charset val="1"/>
    </font>
    <font>
      <sz val="11"/>
      <color rgb="FF0000FF"/>
      <name val="Arial"/>
      <family val="0"/>
      <charset val="1"/>
    </font>
    <font>
      <b val="true"/>
      <sz val="10"/>
      <color rgb="FF2F4A6D"/>
      <name val="Arial"/>
      <family val="0"/>
      <charset val="1"/>
    </font>
    <font>
      <sz val="10"/>
      <name val="Arial"/>
      <family val="0"/>
      <charset val="1"/>
    </font>
    <font>
      <b val="true"/>
      <sz val="10"/>
      <color rgb="FFFFFFFF"/>
      <name val="Arial"/>
      <family val="0"/>
      <charset val="1"/>
    </font>
  </fonts>
  <fills count="8">
    <fill>
      <patternFill patternType="none"/>
    </fill>
    <fill>
      <patternFill patternType="gray125"/>
    </fill>
    <fill>
      <patternFill patternType="solid">
        <fgColor rgb="FF2F4A6D"/>
        <bgColor rgb="FF333333"/>
      </patternFill>
    </fill>
    <fill>
      <patternFill patternType="solid">
        <fgColor rgb="FFF4F6FA"/>
        <bgColor rgb="FFEEF2F8"/>
      </patternFill>
    </fill>
    <fill>
      <patternFill patternType="solid">
        <fgColor rgb="FFFFFF00"/>
        <bgColor rgb="FFFFFF00"/>
      </patternFill>
    </fill>
    <fill>
      <patternFill patternType="solid">
        <fgColor rgb="FFEEF2F8"/>
        <bgColor rgb="FFF4F6FA"/>
      </patternFill>
    </fill>
    <fill>
      <patternFill patternType="solid">
        <fgColor rgb="FFB8954A"/>
        <bgColor rgb="FF808080"/>
      </patternFill>
    </fill>
    <fill>
      <patternFill patternType="solid">
        <fgColor rgb="FFFBF6EA"/>
        <bgColor rgb="FFF4F6FA"/>
      </patternFill>
    </fill>
  </fills>
  <borders count="2">
    <border diagonalUp="false" diagonalDown="false">
      <left/>
      <right/>
      <top/>
      <bottom/>
      <diagonal/>
    </border>
    <border diagonalUp="false" diagonalDown="false">
      <left style="thin">
        <color rgb="FFDDE3EA"/>
      </left>
      <right style="thin">
        <color rgb="FFDDE3EA"/>
      </right>
      <top style="thin">
        <color rgb="FFDDE3EA"/>
      </top>
      <bottom style="thin">
        <color rgb="FFDDE3EA"/>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8" fillId="2" borderId="1" xfId="0" applyFont="true" applyBorder="true" applyAlignment="true" applyProtection="false">
      <alignment horizontal="left" vertical="bottom" textRotation="0" wrapText="true" indent="0" shrinkToFit="false"/>
      <protection locked="true" hidden="false"/>
    </xf>
    <xf numFmtId="164" fontId="8" fillId="2" borderId="1" xfId="0" applyFont="true" applyBorder="true" applyAlignment="true" applyProtection="false">
      <alignment horizontal="right" vertical="bottom" textRotation="0" wrapText="true" indent="0" shrinkToFit="false"/>
      <protection locked="true" hidden="false"/>
    </xf>
    <xf numFmtId="164" fontId="7" fillId="0" borderId="1" xfId="0" applyFont="true" applyBorder="true" applyAlignment="true" applyProtection="false">
      <alignment horizontal="left" vertical="bottom" textRotation="0" wrapText="true" indent="0" shrinkToFit="false"/>
      <protection locked="true" hidden="false"/>
    </xf>
    <xf numFmtId="164" fontId="7" fillId="0" borderId="1" xfId="0" applyFont="true" applyBorder="true" applyAlignment="true" applyProtection="false">
      <alignment horizontal="right" vertical="bottom" textRotation="0" wrapText="true" indent="0" shrinkToFit="false"/>
      <protection locked="true" hidden="false"/>
    </xf>
    <xf numFmtId="164" fontId="7" fillId="3" borderId="1" xfId="0" applyFont="true" applyBorder="true" applyAlignment="true" applyProtection="false">
      <alignment horizontal="left" vertical="bottom" textRotation="0" wrapText="true" indent="0" shrinkToFit="false"/>
      <protection locked="true" hidden="false"/>
    </xf>
    <xf numFmtId="164" fontId="7" fillId="3" borderId="1" xfId="0" applyFont="true" applyBorder="true" applyAlignment="true" applyProtection="false">
      <alignment horizontal="right" vertical="bottom" textRotation="0" wrapText="true" indent="0" shrinkToFit="false"/>
      <protection locked="true" hidden="false"/>
    </xf>
    <xf numFmtId="164" fontId="8" fillId="2" borderId="1" xfId="0" applyFont="true" applyBorder="true" applyAlignment="false" applyProtection="false">
      <alignment horizontal="general" vertical="bottom" textRotation="0" wrapText="false" indent="0" shrinkToFit="false"/>
      <protection locked="true" hidden="false"/>
    </xf>
    <xf numFmtId="165" fontId="9" fillId="4" borderId="1" xfId="0" applyFont="true" applyBorder="true" applyAlignment="false" applyProtection="false">
      <alignment horizontal="general" vertical="bottom" textRotation="0" wrapText="false" indent="0" shrinkToFit="false"/>
      <protection locked="true" hidden="false"/>
    </xf>
    <xf numFmtId="164" fontId="5" fillId="0" borderId="1" xfId="0" applyFont="true" applyBorder="true" applyAlignment="true" applyProtection="false">
      <alignment horizontal="center" vertical="bottom" textRotation="0" wrapText="false" indent="0" shrinkToFit="false"/>
      <protection locked="true" hidden="false"/>
    </xf>
    <xf numFmtId="164" fontId="10" fillId="5" borderId="0" xfId="0" applyFont="true" applyBorder="false" applyAlignment="true" applyProtection="false">
      <alignment horizontal="general" vertical="top" textRotation="0" wrapText="true" indent="0" shrinkToFit="false"/>
      <protection locked="true" hidden="false"/>
    </xf>
    <xf numFmtId="164" fontId="11" fillId="5" borderId="0" xfId="0" applyFont="true" applyBorder="true" applyAlignment="true" applyProtection="false">
      <alignment horizontal="general" vertical="top" textRotation="0" wrapText="true" indent="0" shrinkToFit="false"/>
      <protection locked="true" hidden="false"/>
    </xf>
    <xf numFmtId="164" fontId="9" fillId="4" borderId="1" xfId="0" applyFont="true" applyBorder="true" applyAlignment="false" applyProtection="false">
      <alignment horizontal="general" vertical="bottom" textRotation="0" wrapText="false" indent="0" shrinkToFit="false"/>
      <protection locked="true" hidden="false"/>
    </xf>
    <xf numFmtId="164" fontId="9" fillId="4" borderId="1" xfId="0" applyFont="true" applyBorder="true" applyAlignment="true" applyProtection="false">
      <alignment horizontal="general" vertical="top" textRotation="0" wrapText="true" indent="0" shrinkToFit="false"/>
      <protection locked="true" hidden="false"/>
    </xf>
    <xf numFmtId="164" fontId="12" fillId="6" borderId="0" xfId="0" applyFont="true" applyBorder="true" applyAlignment="false" applyProtection="false">
      <alignment horizontal="general" vertical="bottom" textRotation="0" wrapText="false" indent="0" shrinkToFit="false"/>
      <protection locked="true" hidden="false"/>
    </xf>
    <xf numFmtId="164" fontId="10" fillId="7" borderId="0" xfId="0" applyFont="true" applyBorder="false" applyAlignment="true" applyProtection="false">
      <alignment horizontal="general" vertical="top" textRotation="0" wrapText="true" indent="0" shrinkToFit="false"/>
      <protection locked="true" hidden="false"/>
    </xf>
    <xf numFmtId="164" fontId="11" fillId="7" borderId="0"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BF6EA"/>
      <rgbColor rgb="FFEEF2F8"/>
      <rgbColor rgb="FF660066"/>
      <rgbColor rgb="FFFF8080"/>
      <rgbColor rgb="FF0066CC"/>
      <rgbColor rgb="FFDDE3EA"/>
      <rgbColor rgb="FF000080"/>
      <rgbColor rgb="FFFF00FF"/>
      <rgbColor rgb="FFFFFF00"/>
      <rgbColor rgb="FF00FFFF"/>
      <rgbColor rgb="FF800080"/>
      <rgbColor rgb="FF800000"/>
      <rgbColor rgb="FF008080"/>
      <rgbColor rgb="FF0000FF"/>
      <rgbColor rgb="FF00CCFF"/>
      <rgbColor rgb="FFF4F6FA"/>
      <rgbColor rgb="FFCCFFCC"/>
      <rgbColor rgb="FFFFFF99"/>
      <rgbColor rgb="FF99CCFF"/>
      <rgbColor rgb="FFFF99CC"/>
      <rgbColor rgb="FFCC99FF"/>
      <rgbColor rgb="FFFFCC99"/>
      <rgbColor rgb="FF3366FF"/>
      <rgbColor rgb="FF33CCCC"/>
      <rgbColor rgb="FF99CC00"/>
      <rgbColor rgb="FFFFCC00"/>
      <rgbColor rgb="FFFF9900"/>
      <rgbColor rgb="FFFF6600"/>
      <rgbColor rgb="FF5E6670"/>
      <rgbColor rgb="FFB8954A"/>
      <rgbColor rgb="FF003366"/>
      <rgbColor rgb="FF339966"/>
      <rgbColor rgb="FF003300"/>
      <rgbColor rgb="FF333300"/>
      <rgbColor rgb="FF993300"/>
      <rgbColor rgb="FF993366"/>
      <rgbColor rgb="FF2F4A6D"/>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B13"/>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8"/>
    <col collapsed="false" customWidth="true" hidden="false" outlineLevel="0" max="2" min="2" style="0" width="100"/>
  </cols>
  <sheetData>
    <row r="1" customFormat="false" ht="17.35" hidden="false" customHeight="false" outlineLevel="0" collapsed="false">
      <c r="A1" s="1" t="s">
        <v>0</v>
      </c>
    </row>
    <row r="2" customFormat="false" ht="15" hidden="false" customHeight="false" outlineLevel="0" collapsed="false">
      <c r="A2" s="2" t="s">
        <v>1</v>
      </c>
    </row>
    <row r="4" customFormat="false" ht="15" hidden="false" customHeight="false" outlineLevel="0" collapsed="false">
      <c r="A4" s="3" t="s">
        <v>2</v>
      </c>
      <c r="B4" s="4"/>
    </row>
    <row r="5" customFormat="false" ht="15" hidden="false" customHeight="false" outlineLevel="0" collapsed="false">
      <c r="A5" s="5" t="s">
        <v>3</v>
      </c>
      <c r="B5" s="4" t="s">
        <v>4</v>
      </c>
    </row>
    <row r="6" customFormat="false" ht="15" hidden="false" customHeight="false" outlineLevel="0" collapsed="false">
      <c r="A6" s="5" t="s">
        <v>5</v>
      </c>
      <c r="B6" s="4" t="s">
        <v>6</v>
      </c>
    </row>
    <row r="7" customFormat="false" ht="15" hidden="false" customHeight="false" outlineLevel="0" collapsed="false">
      <c r="A7" s="3" t="s">
        <v>7</v>
      </c>
      <c r="B7" s="4"/>
    </row>
    <row r="8" customFormat="false" ht="15" hidden="false" customHeight="false" outlineLevel="0" collapsed="false">
      <c r="A8" s="5" t="s">
        <v>8</v>
      </c>
      <c r="B8" s="4" t="s">
        <v>9</v>
      </c>
    </row>
    <row r="9" customFormat="false" ht="15" hidden="false" customHeight="false" outlineLevel="0" collapsed="false">
      <c r="A9" s="5" t="s">
        <v>10</v>
      </c>
      <c r="B9" s="4" t="s">
        <v>11</v>
      </c>
    </row>
    <row r="10" customFormat="false" ht="15" hidden="false" customHeight="false" outlineLevel="0" collapsed="false">
      <c r="A10" s="5" t="s">
        <v>12</v>
      </c>
      <c r="B10" s="4" t="s">
        <v>13</v>
      </c>
    </row>
    <row r="11" customFormat="false" ht="15" hidden="false" customHeight="false" outlineLevel="0" collapsed="false">
      <c r="A11" s="5" t="s">
        <v>14</v>
      </c>
      <c r="B11" s="4" t="s">
        <v>15</v>
      </c>
    </row>
    <row r="12" customFormat="false" ht="15" hidden="false" customHeight="false" outlineLevel="0" collapsed="false">
      <c r="A12" s="3" t="s">
        <v>16</v>
      </c>
      <c r="B12" s="4" t="s">
        <v>17</v>
      </c>
    </row>
    <row r="13" customFormat="false" ht="15" hidden="false" customHeight="false" outlineLevel="0" collapsed="false">
      <c r="A13" s="3" t="s">
        <v>18</v>
      </c>
      <c r="B13" s="4" t="s">
        <v>19</v>
      </c>
    </row>
  </sheetData>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4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5" min="2" style="0" width="16"/>
    <col collapsed="false" customWidth="true" hidden="false" outlineLevel="0" max="6" min="6" style="0" width="18"/>
    <col collapsed="false" customWidth="true" hidden="false" outlineLevel="0" max="7" min="7" style="0" width="14"/>
  </cols>
  <sheetData>
    <row r="1" customFormat="false" ht="17.35" hidden="false" customHeight="false" outlineLevel="0" collapsed="false">
      <c r="A1" s="1" t="s">
        <v>20</v>
      </c>
    </row>
    <row r="2" customFormat="false" ht="15" hidden="false" customHeight="false" outlineLevel="0" collapsed="false">
      <c r="A2" s="2" t="s">
        <v>21</v>
      </c>
    </row>
    <row r="4" customFormat="false" ht="78.75" hidden="false" customHeight="true" outlineLevel="0" collapsed="false">
      <c r="A4" s="6" t="s">
        <v>22</v>
      </c>
      <c r="B4" s="6"/>
      <c r="C4" s="6"/>
      <c r="D4" s="6"/>
      <c r="E4" s="6"/>
      <c r="F4" s="6"/>
      <c r="G4" s="6"/>
    </row>
    <row r="5" customFormat="false" ht="108.75" hidden="false" customHeight="true" outlineLevel="0" collapsed="false">
      <c r="A5" s="7" t="s">
        <v>23</v>
      </c>
      <c r="B5" s="7"/>
      <c r="C5" s="7"/>
      <c r="D5" s="7"/>
      <c r="E5" s="7"/>
      <c r="F5" s="7"/>
      <c r="G5" s="7"/>
    </row>
    <row r="7" customFormat="false" ht="15" hidden="false" customHeight="false" outlineLevel="0" collapsed="false">
      <c r="A7" s="8" t="s">
        <v>24</v>
      </c>
      <c r="B7" s="9" t="s">
        <v>25</v>
      </c>
    </row>
    <row r="8" customFormat="false" ht="39.55" hidden="false" customHeight="false" outlineLevel="0" collapsed="false">
      <c r="A8" s="10" t="s">
        <v>26</v>
      </c>
      <c r="B8" s="11" t="s">
        <v>27</v>
      </c>
    </row>
    <row r="9" customFormat="false" ht="26.85" hidden="false" customHeight="false" outlineLevel="0" collapsed="false">
      <c r="A9" s="12" t="s">
        <v>28</v>
      </c>
      <c r="B9" s="13" t="s">
        <v>29</v>
      </c>
    </row>
    <row r="10" customFormat="false" ht="26.85" hidden="false" customHeight="false" outlineLevel="0" collapsed="false">
      <c r="A10" s="10" t="s">
        <v>30</v>
      </c>
      <c r="B10" s="11" t="s">
        <v>31</v>
      </c>
    </row>
    <row r="11" customFormat="false" ht="26.85" hidden="false" customHeight="false" outlineLevel="0" collapsed="false">
      <c r="A11" s="12" t="s">
        <v>32</v>
      </c>
      <c r="B11" s="13" t="s">
        <v>33</v>
      </c>
    </row>
    <row r="12" customFormat="false" ht="26.85" hidden="false" customHeight="false" outlineLevel="0" collapsed="false">
      <c r="A12" s="10" t="s">
        <v>34</v>
      </c>
      <c r="B12" s="11" t="s">
        <v>35</v>
      </c>
    </row>
    <row r="13" customFormat="false" ht="39.55" hidden="false" customHeight="false" outlineLevel="0" collapsed="false">
      <c r="A13" s="12" t="s">
        <v>36</v>
      </c>
      <c r="B13" s="13" t="s">
        <v>37</v>
      </c>
    </row>
    <row r="14" customFormat="false" ht="26.85" hidden="false" customHeight="false" outlineLevel="0" collapsed="false">
      <c r="A14" s="10" t="s">
        <v>38</v>
      </c>
      <c r="B14" s="11" t="s">
        <v>39</v>
      </c>
    </row>
    <row r="15" customFormat="false" ht="15" hidden="false" customHeight="true" outlineLevel="0" collapsed="false">
      <c r="A15" s="6" t="s">
        <v>40</v>
      </c>
      <c r="B15" s="6"/>
      <c r="C15" s="6"/>
      <c r="D15" s="6"/>
      <c r="E15" s="6"/>
      <c r="F15" s="6"/>
      <c r="G15" s="6"/>
    </row>
    <row r="17" customFormat="false" ht="15" hidden="false" customHeight="false" outlineLevel="0" collapsed="false">
      <c r="A17" s="14" t="s">
        <v>41</v>
      </c>
      <c r="B17" s="14"/>
      <c r="C17" s="14"/>
      <c r="D17" s="14"/>
      <c r="E17" s="14"/>
      <c r="F17" s="14" t="s">
        <v>42</v>
      </c>
      <c r="G17" s="14" t="s">
        <v>43</v>
      </c>
    </row>
    <row r="18" customFormat="false" ht="33.75" hidden="false" customHeight="true" outlineLevel="0" collapsed="false">
      <c r="A18" s="7" t="s">
        <v>44</v>
      </c>
      <c r="B18" s="7"/>
      <c r="C18" s="7"/>
      <c r="D18" s="7"/>
      <c r="E18" s="7"/>
      <c r="F18" s="15"/>
      <c r="G18" s="16" t="str">
        <f aca="false">IF(F18="","",IF(ABS(F18-(147.38))&lt;=0.1,"Riktig","Prøv igjen"))</f>
        <v/>
      </c>
    </row>
    <row r="19" customFormat="false" ht="30" hidden="false" customHeight="true" outlineLevel="0" collapsed="false">
      <c r="A19" s="17" t="s">
        <v>45</v>
      </c>
      <c r="B19" s="18" t="s">
        <v>46</v>
      </c>
      <c r="C19" s="18"/>
      <c r="D19" s="18"/>
      <c r="E19" s="18"/>
      <c r="F19" s="18"/>
      <c r="G19" s="18"/>
    </row>
    <row r="21" customFormat="false" ht="33.75" hidden="false" customHeight="true" outlineLevel="0" collapsed="false">
      <c r="A21" s="7" t="s">
        <v>47</v>
      </c>
      <c r="B21" s="7"/>
      <c r="C21" s="7"/>
      <c r="D21" s="7"/>
      <c r="E21" s="7"/>
      <c r="F21" s="15"/>
      <c r="G21" s="16" t="str">
        <f aca="false">IF(F21="","",IF(ABS(F21-(0.44))&lt;=0.01,"Riktig","Prøv igjen"))</f>
        <v/>
      </c>
    </row>
    <row r="22" customFormat="false" ht="30" hidden="false" customHeight="true" outlineLevel="0" collapsed="false">
      <c r="A22" s="17" t="s">
        <v>45</v>
      </c>
      <c r="B22" s="18" t="s">
        <v>48</v>
      </c>
      <c r="C22" s="18"/>
      <c r="D22" s="18"/>
      <c r="E22" s="18"/>
      <c r="F22" s="18"/>
      <c r="G22" s="18"/>
    </row>
    <row r="24" customFormat="false" ht="33.75" hidden="false" customHeight="true" outlineLevel="0" collapsed="false">
      <c r="A24" s="7" t="s">
        <v>49</v>
      </c>
      <c r="B24" s="7"/>
      <c r="C24" s="7"/>
      <c r="D24" s="7"/>
      <c r="E24" s="7"/>
      <c r="F24" s="15"/>
      <c r="G24" s="16" t="str">
        <f aca="false">IF(F24="","",IF(ABS(F24-(318836))&lt;=2,"Riktig","Prøv igjen"))</f>
        <v/>
      </c>
    </row>
    <row r="25" customFormat="false" ht="30" hidden="false" customHeight="true" outlineLevel="0" collapsed="false">
      <c r="A25" s="17" t="s">
        <v>45</v>
      </c>
      <c r="B25" s="18" t="s">
        <v>50</v>
      </c>
      <c r="C25" s="18"/>
      <c r="D25" s="18"/>
      <c r="E25" s="18"/>
      <c r="F25" s="18"/>
      <c r="G25" s="18"/>
    </row>
    <row r="27" customFormat="false" ht="63.75" hidden="false" customHeight="true" outlineLevel="0" collapsed="false">
      <c r="A27" s="7" t="s">
        <v>51</v>
      </c>
      <c r="B27" s="7"/>
      <c r="C27" s="7"/>
      <c r="D27" s="7"/>
      <c r="E27" s="7"/>
      <c r="F27" s="19"/>
      <c r="G27" s="16" t="str">
        <f aca="false">IF(F27="","",IF(UPPER(TRIM(F27))="B","Riktig","Prøv igjen"))</f>
        <v/>
      </c>
    </row>
    <row r="28" customFormat="false" ht="48.75" hidden="false" customHeight="true" outlineLevel="0" collapsed="false">
      <c r="A28" s="7" t="s">
        <v>52</v>
      </c>
      <c r="B28" s="7"/>
      <c r="C28" s="7"/>
      <c r="D28" s="7"/>
      <c r="E28" s="7"/>
    </row>
    <row r="29" customFormat="false" ht="15" hidden="false" customHeight="false" outlineLevel="0" collapsed="false">
      <c r="A29" s="20"/>
      <c r="B29" s="20"/>
      <c r="C29" s="20"/>
      <c r="D29" s="20"/>
      <c r="E29" s="20"/>
      <c r="F29" s="20"/>
      <c r="G29" s="20"/>
    </row>
    <row r="30" customFormat="false" ht="15" hidden="false" customHeight="false" outlineLevel="0" collapsed="false">
      <c r="A30" s="20"/>
      <c r="B30" s="20"/>
      <c r="C30" s="20"/>
      <c r="D30" s="20"/>
      <c r="E30" s="20"/>
      <c r="F30" s="20"/>
      <c r="G30" s="20"/>
    </row>
    <row r="31" customFormat="false" ht="15" hidden="false" customHeight="false" outlineLevel="0" collapsed="false">
      <c r="A31" s="20"/>
      <c r="B31" s="20"/>
      <c r="C31" s="20"/>
      <c r="D31" s="20"/>
      <c r="E31" s="20"/>
      <c r="F31" s="20"/>
      <c r="G31" s="20"/>
    </row>
    <row r="32" customFormat="false" ht="16.5" hidden="false" customHeight="true" outlineLevel="0" collapsed="false">
      <c r="A32" s="17" t="s">
        <v>45</v>
      </c>
      <c r="B32" s="18" t="s">
        <v>53</v>
      </c>
      <c r="C32" s="18"/>
      <c r="D32" s="18"/>
      <c r="E32" s="18"/>
      <c r="F32" s="18"/>
      <c r="G32" s="18"/>
    </row>
    <row r="35" customFormat="false" ht="15" hidden="false" customHeight="false" outlineLevel="0" collapsed="false">
      <c r="A35" s="21" t="s">
        <v>54</v>
      </c>
      <c r="B35" s="21"/>
      <c r="C35" s="21"/>
      <c r="D35" s="21"/>
      <c r="E35" s="21"/>
      <c r="F35" s="21"/>
      <c r="G35" s="21"/>
    </row>
    <row r="36" customFormat="false" ht="30" hidden="false" customHeight="true" outlineLevel="0" collapsed="false">
      <c r="A36" s="22" t="s">
        <v>55</v>
      </c>
      <c r="B36" s="23" t="s">
        <v>56</v>
      </c>
      <c r="C36" s="23"/>
      <c r="D36" s="23"/>
      <c r="E36" s="23"/>
      <c r="F36" s="23"/>
      <c r="G36" s="23"/>
    </row>
    <row r="37" customFormat="false" ht="30" hidden="false" customHeight="true" outlineLevel="0" collapsed="false">
      <c r="A37" s="22" t="s">
        <v>57</v>
      </c>
      <c r="B37" s="23" t="s">
        <v>58</v>
      </c>
      <c r="C37" s="23"/>
      <c r="D37" s="23"/>
      <c r="E37" s="23"/>
      <c r="F37" s="23"/>
      <c r="G37" s="23"/>
    </row>
    <row r="39" customFormat="false" ht="48.75" hidden="false" customHeight="true" outlineLevel="0" collapsed="false">
      <c r="A39" s="6" t="s">
        <v>59</v>
      </c>
      <c r="B39" s="6"/>
      <c r="C39" s="6"/>
      <c r="D39" s="6"/>
      <c r="E39" s="6"/>
      <c r="F39" s="6"/>
      <c r="G39" s="6"/>
    </row>
    <row r="40" customFormat="false" ht="15" hidden="false" customHeight="true" outlineLevel="0" collapsed="false">
      <c r="A40" s="6" t="s">
        <v>60</v>
      </c>
      <c r="B40" s="6"/>
      <c r="C40" s="6"/>
      <c r="D40" s="6"/>
      <c r="E40" s="6"/>
      <c r="F40" s="6"/>
      <c r="G40" s="6"/>
    </row>
  </sheetData>
  <mergeCells count="19">
    <mergeCell ref="A4:G4"/>
    <mergeCell ref="A5:G5"/>
    <mergeCell ref="A15:G15"/>
    <mergeCell ref="A17:E17"/>
    <mergeCell ref="A18:E18"/>
    <mergeCell ref="B19:G19"/>
    <mergeCell ref="A21:E21"/>
    <mergeCell ref="B22:G22"/>
    <mergeCell ref="A24:E24"/>
    <mergeCell ref="B25:G25"/>
    <mergeCell ref="A27:E27"/>
    <mergeCell ref="A28:E28"/>
    <mergeCell ref="A29:G31"/>
    <mergeCell ref="B32:G32"/>
    <mergeCell ref="A35:G35"/>
    <mergeCell ref="B36:G36"/>
    <mergeCell ref="B37:G37"/>
    <mergeCell ref="A39:G39"/>
    <mergeCell ref="A40:G40"/>
  </mergeCell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4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5" min="2" style="0" width="16"/>
    <col collapsed="false" customWidth="true" hidden="false" outlineLevel="0" max="6" min="6" style="0" width="18"/>
    <col collapsed="false" customWidth="true" hidden="false" outlineLevel="0" max="7" min="7" style="0" width="14"/>
  </cols>
  <sheetData>
    <row r="1" customFormat="false" ht="17.35" hidden="false" customHeight="false" outlineLevel="0" collapsed="false">
      <c r="A1" s="1" t="s">
        <v>61</v>
      </c>
    </row>
    <row r="2" customFormat="false" ht="15" hidden="false" customHeight="false" outlineLevel="0" collapsed="false">
      <c r="A2" s="2" t="s">
        <v>21</v>
      </c>
    </row>
    <row r="4" customFormat="false" ht="78.75" hidden="false" customHeight="true" outlineLevel="0" collapsed="false">
      <c r="A4" s="6" t="s">
        <v>62</v>
      </c>
      <c r="B4" s="6"/>
      <c r="C4" s="6"/>
      <c r="D4" s="6"/>
      <c r="E4" s="6"/>
      <c r="F4" s="6"/>
      <c r="G4" s="6"/>
    </row>
    <row r="5" customFormat="false" ht="93.75" hidden="false" customHeight="true" outlineLevel="0" collapsed="false">
      <c r="A5" s="7" t="s">
        <v>63</v>
      </c>
      <c r="B5" s="7"/>
      <c r="C5" s="7"/>
      <c r="D5" s="7"/>
      <c r="E5" s="7"/>
      <c r="F5" s="7"/>
      <c r="G5" s="7"/>
    </row>
    <row r="7" customFormat="false" ht="15" hidden="false" customHeight="false" outlineLevel="0" collapsed="false">
      <c r="A7" s="8" t="s">
        <v>24</v>
      </c>
      <c r="B7" s="9" t="s">
        <v>64</v>
      </c>
    </row>
    <row r="8" customFormat="false" ht="15" hidden="false" customHeight="false" outlineLevel="0" collapsed="false">
      <c r="A8" s="10" t="s">
        <v>65</v>
      </c>
      <c r="B8" s="11" t="s">
        <v>66</v>
      </c>
    </row>
    <row r="9" customFormat="false" ht="26.85" hidden="false" customHeight="false" outlineLevel="0" collapsed="false">
      <c r="A9" s="12" t="s">
        <v>67</v>
      </c>
      <c r="B9" s="13" t="s">
        <v>68</v>
      </c>
    </row>
    <row r="10" customFormat="false" ht="26.85" hidden="false" customHeight="false" outlineLevel="0" collapsed="false">
      <c r="A10" s="10" t="s">
        <v>69</v>
      </c>
      <c r="B10" s="11" t="s">
        <v>70</v>
      </c>
    </row>
    <row r="11" customFormat="false" ht="39.55" hidden="false" customHeight="false" outlineLevel="0" collapsed="false">
      <c r="A11" s="12" t="s">
        <v>71</v>
      </c>
      <c r="B11" s="13" t="s">
        <v>72</v>
      </c>
    </row>
    <row r="12" customFormat="false" ht="39.55" hidden="false" customHeight="false" outlineLevel="0" collapsed="false">
      <c r="A12" s="10" t="s">
        <v>73</v>
      </c>
      <c r="B12" s="11" t="s">
        <v>74</v>
      </c>
    </row>
    <row r="13" customFormat="false" ht="39.55" hidden="false" customHeight="false" outlineLevel="0" collapsed="false">
      <c r="A13" s="12" t="s">
        <v>75</v>
      </c>
      <c r="B13" s="13" t="s">
        <v>76</v>
      </c>
    </row>
    <row r="14" customFormat="false" ht="39.55" hidden="false" customHeight="false" outlineLevel="0" collapsed="false">
      <c r="A14" s="10" t="s">
        <v>77</v>
      </c>
      <c r="B14" s="11" t="s">
        <v>78</v>
      </c>
    </row>
    <row r="15" customFormat="false" ht="39.55" hidden="false" customHeight="false" outlineLevel="0" collapsed="false">
      <c r="A15" s="12" t="s">
        <v>79</v>
      </c>
      <c r="B15" s="13" t="s">
        <v>80</v>
      </c>
    </row>
    <row r="16" customFormat="false" ht="15" hidden="false" customHeight="true" outlineLevel="0" collapsed="false">
      <c r="A16" s="6" t="s">
        <v>40</v>
      </c>
      <c r="B16" s="6"/>
      <c r="C16" s="6"/>
      <c r="D16" s="6"/>
      <c r="E16" s="6"/>
      <c r="F16" s="6"/>
      <c r="G16" s="6"/>
    </row>
    <row r="18" customFormat="false" ht="15" hidden="false" customHeight="false" outlineLevel="0" collapsed="false">
      <c r="A18" s="14" t="s">
        <v>41</v>
      </c>
      <c r="B18" s="14"/>
      <c r="C18" s="14"/>
      <c r="D18" s="14"/>
      <c r="E18" s="14"/>
      <c r="F18" s="14" t="s">
        <v>42</v>
      </c>
      <c r="G18" s="14" t="s">
        <v>43</v>
      </c>
    </row>
    <row r="19" customFormat="false" ht="18.75" hidden="false" customHeight="true" outlineLevel="0" collapsed="false">
      <c r="A19" s="7" t="s">
        <v>81</v>
      </c>
      <c r="B19" s="7"/>
      <c r="C19" s="7"/>
      <c r="D19" s="7"/>
      <c r="E19" s="7"/>
      <c r="F19" s="15"/>
      <c r="G19" s="16" t="str">
        <f aca="false">IF(F19="","",IF(ABS(F19-(0.45))&lt;=0.01,"Riktig","Prøv igjen"))</f>
        <v/>
      </c>
    </row>
    <row r="20" customFormat="false" ht="16.5" hidden="false" customHeight="true" outlineLevel="0" collapsed="false">
      <c r="A20" s="17" t="s">
        <v>45</v>
      </c>
      <c r="B20" s="18" t="s">
        <v>82</v>
      </c>
      <c r="C20" s="18"/>
      <c r="D20" s="18"/>
      <c r="E20" s="18"/>
      <c r="F20" s="18"/>
      <c r="G20" s="18"/>
    </row>
    <row r="22" customFormat="false" ht="33.75" hidden="false" customHeight="true" outlineLevel="0" collapsed="false">
      <c r="A22" s="7" t="s">
        <v>83</v>
      </c>
      <c r="B22" s="7"/>
      <c r="C22" s="7"/>
      <c r="D22" s="7"/>
      <c r="E22" s="7"/>
      <c r="F22" s="15"/>
      <c r="G22" s="16" t="str">
        <f aca="false">IF(F22="","",IF(ABS(F22-(1.5))&lt;=0.01,"Riktig","Prøv igjen"))</f>
        <v/>
      </c>
    </row>
    <row r="23" customFormat="false" ht="30" hidden="false" customHeight="true" outlineLevel="0" collapsed="false">
      <c r="A23" s="17" t="s">
        <v>45</v>
      </c>
      <c r="B23" s="18" t="s">
        <v>84</v>
      </c>
      <c r="C23" s="18"/>
      <c r="D23" s="18"/>
      <c r="E23" s="18"/>
      <c r="F23" s="18"/>
      <c r="G23" s="18"/>
    </row>
    <row r="25" customFormat="false" ht="33.75" hidden="false" customHeight="true" outlineLevel="0" collapsed="false">
      <c r="A25" s="7" t="s">
        <v>85</v>
      </c>
      <c r="B25" s="7"/>
      <c r="C25" s="7"/>
      <c r="D25" s="7"/>
      <c r="E25" s="7"/>
    </row>
    <row r="26" customFormat="false" ht="15" hidden="false" customHeight="true" outlineLevel="0" collapsed="false">
      <c r="A26" s="7" t="s">
        <v>86</v>
      </c>
      <c r="B26" s="7"/>
      <c r="C26" s="7"/>
      <c r="D26" s="7"/>
      <c r="E26" s="7"/>
      <c r="F26" s="19"/>
      <c r="G26" s="16" t="str">
        <f aca="false">IF(F26="","",IF(UPPER(TRIM(F26))="JA","Riktig","Prøv igjen"))</f>
        <v/>
      </c>
    </row>
    <row r="27" customFormat="false" ht="15" hidden="false" customHeight="true" outlineLevel="0" collapsed="false">
      <c r="A27" s="7" t="s">
        <v>87</v>
      </c>
      <c r="B27" s="7"/>
      <c r="C27" s="7"/>
      <c r="D27" s="7"/>
      <c r="E27" s="7"/>
      <c r="F27" s="19"/>
      <c r="G27" s="16" t="str">
        <f aca="false">IF(F27="","",IF(UPPER(TRIM(F27))="NEI","Riktig","Prøv igjen"))</f>
        <v/>
      </c>
    </row>
    <row r="28" customFormat="false" ht="15" hidden="false" customHeight="true" outlineLevel="0" collapsed="false">
      <c r="A28" s="7" t="s">
        <v>88</v>
      </c>
      <c r="B28" s="7"/>
      <c r="C28" s="7"/>
      <c r="D28" s="7"/>
      <c r="E28" s="7"/>
      <c r="F28" s="19"/>
      <c r="G28" s="16" t="str">
        <f aca="false">IF(F28="","",IF(UPPER(TRIM(F28))="NEI","Riktig","Prøv igjen"))</f>
        <v/>
      </c>
    </row>
    <row r="29" customFormat="false" ht="15" hidden="false" customHeight="true" outlineLevel="0" collapsed="false">
      <c r="A29" s="7" t="s">
        <v>89</v>
      </c>
      <c r="B29" s="7"/>
      <c r="C29" s="7"/>
      <c r="D29" s="7"/>
      <c r="E29" s="7"/>
      <c r="F29" s="19"/>
      <c r="G29" s="16" t="str">
        <f aca="false">IF(F29="","",IF(UPPER(TRIM(F29))="JA","Riktig","Prøv igjen"))</f>
        <v/>
      </c>
    </row>
    <row r="30" customFormat="false" ht="63.75" hidden="false" customHeight="true" outlineLevel="0" collapsed="false">
      <c r="A30" s="7" t="s">
        <v>90</v>
      </c>
      <c r="B30" s="7"/>
      <c r="C30" s="7"/>
      <c r="D30" s="7"/>
      <c r="E30" s="7"/>
      <c r="F30" s="19"/>
      <c r="G30" s="16" t="str">
        <f aca="false">IF(F30="","",IF(UPPER(TRIM(F30))="B","Riktig","Prøv igjen"))</f>
        <v/>
      </c>
    </row>
    <row r="31" customFormat="false" ht="33.75" hidden="false" customHeight="true" outlineLevel="0" collapsed="false">
      <c r="A31" s="7" t="s">
        <v>91</v>
      </c>
      <c r="B31" s="7"/>
      <c r="C31" s="7"/>
      <c r="D31" s="7"/>
      <c r="E31" s="7"/>
    </row>
    <row r="32" customFormat="false" ht="15" hidden="false" customHeight="false" outlineLevel="0" collapsed="false">
      <c r="A32" s="20"/>
      <c r="B32" s="20"/>
      <c r="C32" s="20"/>
      <c r="D32" s="20"/>
      <c r="E32" s="20"/>
      <c r="F32" s="20"/>
      <c r="G32" s="20"/>
    </row>
    <row r="33" customFormat="false" ht="15" hidden="false" customHeight="false" outlineLevel="0" collapsed="false">
      <c r="A33" s="20"/>
      <c r="B33" s="20"/>
      <c r="C33" s="20"/>
      <c r="D33" s="20"/>
      <c r="E33" s="20"/>
      <c r="F33" s="20"/>
      <c r="G33" s="20"/>
    </row>
    <row r="34" customFormat="false" ht="15" hidden="false" customHeight="false" outlineLevel="0" collapsed="false">
      <c r="A34" s="20"/>
      <c r="B34" s="20"/>
      <c r="C34" s="20"/>
      <c r="D34" s="20"/>
      <c r="E34" s="20"/>
      <c r="F34" s="20"/>
      <c r="G34" s="20"/>
    </row>
    <row r="35" customFormat="false" ht="30" hidden="false" customHeight="true" outlineLevel="0" collapsed="false">
      <c r="A35" s="17" t="s">
        <v>45</v>
      </c>
      <c r="B35" s="18" t="s">
        <v>92</v>
      </c>
      <c r="C35" s="18"/>
      <c r="D35" s="18"/>
      <c r="E35" s="18"/>
      <c r="F35" s="18"/>
      <c r="G35" s="18"/>
    </row>
    <row r="38" customFormat="false" ht="15" hidden="false" customHeight="false" outlineLevel="0" collapsed="false">
      <c r="A38" s="21" t="s">
        <v>54</v>
      </c>
      <c r="B38" s="21"/>
      <c r="C38" s="21"/>
      <c r="D38" s="21"/>
      <c r="E38" s="21"/>
      <c r="F38" s="21"/>
      <c r="G38" s="21"/>
    </row>
    <row r="39" customFormat="false" ht="30" hidden="false" customHeight="true" outlineLevel="0" collapsed="false">
      <c r="A39" s="22" t="s">
        <v>93</v>
      </c>
      <c r="B39" s="23" t="s">
        <v>94</v>
      </c>
      <c r="C39" s="23"/>
      <c r="D39" s="23"/>
      <c r="E39" s="23"/>
      <c r="F39" s="23"/>
      <c r="G39" s="23"/>
    </row>
    <row r="40" customFormat="false" ht="30" hidden="false" customHeight="true" outlineLevel="0" collapsed="false">
      <c r="A40" s="22" t="s">
        <v>95</v>
      </c>
      <c r="B40" s="23" t="s">
        <v>96</v>
      </c>
      <c r="C40" s="23"/>
      <c r="D40" s="23"/>
      <c r="E40" s="23"/>
      <c r="F40" s="23"/>
      <c r="G40" s="23"/>
    </row>
    <row r="42" customFormat="false" ht="63.75" hidden="false" customHeight="true" outlineLevel="0" collapsed="false">
      <c r="A42" s="6" t="s">
        <v>97</v>
      </c>
      <c r="B42" s="6"/>
      <c r="C42" s="6"/>
      <c r="D42" s="6"/>
      <c r="E42" s="6"/>
      <c r="F42" s="6"/>
      <c r="G42" s="6"/>
    </row>
    <row r="43" customFormat="false" ht="15" hidden="false" customHeight="true" outlineLevel="0" collapsed="false">
      <c r="A43" s="6" t="s">
        <v>60</v>
      </c>
      <c r="B43" s="6"/>
      <c r="C43" s="6"/>
      <c r="D43" s="6"/>
      <c r="E43" s="6"/>
      <c r="F43" s="6"/>
      <c r="G43" s="6"/>
    </row>
  </sheetData>
  <mergeCells count="22">
    <mergeCell ref="A4:G4"/>
    <mergeCell ref="A5:G5"/>
    <mergeCell ref="A16:G16"/>
    <mergeCell ref="A18:E18"/>
    <mergeCell ref="A19:E19"/>
    <mergeCell ref="B20:G20"/>
    <mergeCell ref="A22:E22"/>
    <mergeCell ref="B23:G23"/>
    <mergeCell ref="A25:E25"/>
    <mergeCell ref="A26:E26"/>
    <mergeCell ref="A27:E27"/>
    <mergeCell ref="A28:E28"/>
    <mergeCell ref="A29:E29"/>
    <mergeCell ref="A30:E30"/>
    <mergeCell ref="A31:E31"/>
    <mergeCell ref="A32:G34"/>
    <mergeCell ref="B35:G35"/>
    <mergeCell ref="A38:G38"/>
    <mergeCell ref="B39:G39"/>
    <mergeCell ref="B40:G40"/>
    <mergeCell ref="A42:G42"/>
    <mergeCell ref="A43:G43"/>
  </mergeCell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3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5" min="2" style="0" width="16"/>
    <col collapsed="false" customWidth="true" hidden="false" outlineLevel="0" max="6" min="6" style="0" width="18"/>
    <col collapsed="false" customWidth="true" hidden="false" outlineLevel="0" max="7" min="7" style="0" width="14"/>
  </cols>
  <sheetData>
    <row r="1" customFormat="false" ht="17.35" hidden="false" customHeight="false" outlineLevel="0" collapsed="false">
      <c r="A1" s="1" t="s">
        <v>98</v>
      </c>
    </row>
    <row r="2" customFormat="false" ht="15" hidden="false" customHeight="false" outlineLevel="0" collapsed="false">
      <c r="A2" s="2" t="s">
        <v>21</v>
      </c>
    </row>
    <row r="4" customFormat="false" ht="63.75" hidden="false" customHeight="true" outlineLevel="0" collapsed="false">
      <c r="A4" s="6" t="s">
        <v>99</v>
      </c>
      <c r="B4" s="6"/>
      <c r="C4" s="6"/>
      <c r="D4" s="6"/>
      <c r="E4" s="6"/>
      <c r="F4" s="6"/>
      <c r="G4" s="6"/>
    </row>
    <row r="5" customFormat="false" ht="93.75" hidden="false" customHeight="true" outlineLevel="0" collapsed="false">
      <c r="A5" s="7" t="s">
        <v>100</v>
      </c>
      <c r="B5" s="7"/>
      <c r="C5" s="7"/>
      <c r="D5" s="7"/>
      <c r="E5" s="7"/>
      <c r="F5" s="7"/>
      <c r="G5" s="7"/>
    </row>
    <row r="7" customFormat="false" ht="15" hidden="false" customHeight="false" outlineLevel="0" collapsed="false">
      <c r="A7" s="8" t="s">
        <v>101</v>
      </c>
      <c r="B7" s="9" t="s">
        <v>24</v>
      </c>
    </row>
    <row r="8" customFormat="false" ht="39.55" hidden="false" customHeight="false" outlineLevel="0" collapsed="false">
      <c r="A8" s="10" t="s">
        <v>30</v>
      </c>
      <c r="B8" s="11" t="s">
        <v>102</v>
      </c>
    </row>
    <row r="9" customFormat="false" ht="39.55" hidden="false" customHeight="false" outlineLevel="0" collapsed="false">
      <c r="A9" s="12" t="s">
        <v>28</v>
      </c>
      <c r="B9" s="13" t="s">
        <v>103</v>
      </c>
    </row>
    <row r="10" customFormat="false" ht="26.85" hidden="false" customHeight="false" outlineLevel="0" collapsed="false">
      <c r="A10" s="10" t="s">
        <v>104</v>
      </c>
      <c r="B10" s="11" t="s">
        <v>105</v>
      </c>
    </row>
    <row r="11" customFormat="false" ht="26.85" hidden="false" customHeight="false" outlineLevel="0" collapsed="false">
      <c r="A11" s="12" t="s">
        <v>106</v>
      </c>
      <c r="B11" s="13" t="s">
        <v>107</v>
      </c>
    </row>
    <row r="12" customFormat="false" ht="39.55" hidden="false" customHeight="false" outlineLevel="0" collapsed="false">
      <c r="A12" s="10" t="s">
        <v>108</v>
      </c>
      <c r="B12" s="11" t="s">
        <v>27</v>
      </c>
    </row>
    <row r="13" customFormat="false" ht="39.55" hidden="false" customHeight="false" outlineLevel="0" collapsed="false">
      <c r="A13" s="12" t="s">
        <v>109</v>
      </c>
      <c r="B13" s="13" t="s">
        <v>110</v>
      </c>
    </row>
    <row r="14" customFormat="false" ht="15" hidden="false" customHeight="true" outlineLevel="0" collapsed="false">
      <c r="A14" s="6" t="s">
        <v>40</v>
      </c>
      <c r="B14" s="6"/>
      <c r="C14" s="6"/>
      <c r="D14" s="6"/>
      <c r="E14" s="6"/>
      <c r="F14" s="6"/>
      <c r="G14" s="6"/>
    </row>
    <row r="16" customFormat="false" ht="15" hidden="false" customHeight="false" outlineLevel="0" collapsed="false">
      <c r="A16" s="14" t="s">
        <v>41</v>
      </c>
      <c r="B16" s="14"/>
      <c r="C16" s="14"/>
      <c r="D16" s="14"/>
      <c r="E16" s="14"/>
      <c r="F16" s="14" t="s">
        <v>42</v>
      </c>
      <c r="G16" s="14" t="s">
        <v>43</v>
      </c>
    </row>
    <row r="17" customFormat="false" ht="48.75" hidden="false" customHeight="true" outlineLevel="0" collapsed="false">
      <c r="A17" s="7" t="s">
        <v>111</v>
      </c>
      <c r="B17" s="7"/>
      <c r="C17" s="7"/>
      <c r="D17" s="7"/>
      <c r="E17" s="7"/>
      <c r="F17" s="19"/>
      <c r="G17" s="16" t="str">
        <f aca="false">IF(F17="","",IF(UPPER(TRIM(F17))="B","Riktig","Prøv igjen"))</f>
        <v/>
      </c>
    </row>
    <row r="18" customFormat="false" ht="33.75" hidden="false" customHeight="true" outlineLevel="0" collapsed="false">
      <c r="A18" s="7" t="s">
        <v>112</v>
      </c>
      <c r="B18" s="7"/>
      <c r="C18" s="7"/>
      <c r="D18" s="7"/>
      <c r="E18" s="7"/>
      <c r="F18" s="15"/>
      <c r="G18" s="16" t="str">
        <f aca="false">IF(F18="","",IF(ABS(F18-(29103))&lt;=2,"Riktig","Prøv igjen"))</f>
        <v/>
      </c>
    </row>
    <row r="19" customFormat="false" ht="30" hidden="false" customHeight="true" outlineLevel="0" collapsed="false">
      <c r="A19" s="17" t="s">
        <v>45</v>
      </c>
      <c r="B19" s="18" t="s">
        <v>113</v>
      </c>
      <c r="C19" s="18"/>
      <c r="D19" s="18"/>
      <c r="E19" s="18"/>
      <c r="F19" s="18"/>
      <c r="G19" s="18"/>
    </row>
    <row r="21" customFormat="false" ht="33.75" hidden="false" customHeight="true" outlineLevel="0" collapsed="false">
      <c r="A21" s="7" t="s">
        <v>114</v>
      </c>
      <c r="B21" s="7"/>
      <c r="C21" s="7"/>
      <c r="D21" s="7"/>
      <c r="E21" s="7"/>
      <c r="F21" s="15"/>
      <c r="G21" s="16" t="str">
        <f aca="false">IF(F21="","",IF(ABS(F21-(2))&lt;=0.000000001,"Riktig","Prøv igjen"))</f>
        <v/>
      </c>
    </row>
    <row r="22" customFormat="false" ht="30" hidden="false" customHeight="true" outlineLevel="0" collapsed="false">
      <c r="A22" s="17" t="s">
        <v>45</v>
      </c>
      <c r="B22" s="18" t="s">
        <v>115</v>
      </c>
      <c r="C22" s="18"/>
      <c r="D22" s="18"/>
      <c r="E22" s="18"/>
      <c r="F22" s="18"/>
      <c r="G22" s="18"/>
    </row>
    <row r="24" customFormat="false" ht="63.75" hidden="false" customHeight="true" outlineLevel="0" collapsed="false">
      <c r="A24" s="7" t="s">
        <v>116</v>
      </c>
      <c r="B24" s="7"/>
      <c r="C24" s="7"/>
      <c r="D24" s="7"/>
      <c r="E24" s="7"/>
      <c r="F24" s="19"/>
      <c r="G24" s="16" t="str">
        <f aca="false">IF(F24="","",IF(UPPER(TRIM(F24))="B","Riktig","Prøv igjen"))</f>
        <v/>
      </c>
    </row>
    <row r="25" customFormat="false" ht="33.75" hidden="false" customHeight="true" outlineLevel="0" collapsed="false">
      <c r="A25" s="7" t="s">
        <v>117</v>
      </c>
      <c r="B25" s="7"/>
      <c r="C25" s="7"/>
      <c r="D25" s="7"/>
      <c r="E25" s="7"/>
    </row>
    <row r="26" customFormat="false" ht="15" hidden="false" customHeight="false" outlineLevel="0" collapsed="false">
      <c r="A26" s="20"/>
      <c r="B26" s="20"/>
      <c r="C26" s="20"/>
      <c r="D26" s="20"/>
      <c r="E26" s="20"/>
      <c r="F26" s="20"/>
      <c r="G26" s="20"/>
    </row>
    <row r="27" customFormat="false" ht="15" hidden="false" customHeight="false" outlineLevel="0" collapsed="false">
      <c r="A27" s="20"/>
      <c r="B27" s="20"/>
      <c r="C27" s="20"/>
      <c r="D27" s="20"/>
      <c r="E27" s="20"/>
      <c r="F27" s="20"/>
      <c r="G27" s="20"/>
    </row>
    <row r="28" customFormat="false" ht="15" hidden="false" customHeight="false" outlineLevel="0" collapsed="false">
      <c r="A28" s="20"/>
      <c r="B28" s="20"/>
      <c r="C28" s="20"/>
      <c r="D28" s="20"/>
      <c r="E28" s="20"/>
      <c r="F28" s="20"/>
      <c r="G28" s="20"/>
    </row>
    <row r="29" customFormat="false" ht="30" hidden="false" customHeight="true" outlineLevel="0" collapsed="false">
      <c r="A29" s="17" t="s">
        <v>45</v>
      </c>
      <c r="B29" s="18" t="s">
        <v>118</v>
      </c>
      <c r="C29" s="18"/>
      <c r="D29" s="18"/>
      <c r="E29" s="18"/>
      <c r="F29" s="18"/>
      <c r="G29" s="18"/>
    </row>
    <row r="32" customFormat="false" ht="15" hidden="false" customHeight="false" outlineLevel="0" collapsed="false">
      <c r="A32" s="21" t="s">
        <v>54</v>
      </c>
      <c r="B32" s="21"/>
      <c r="C32" s="21"/>
      <c r="D32" s="21"/>
      <c r="E32" s="21"/>
      <c r="F32" s="21"/>
      <c r="G32" s="21"/>
    </row>
    <row r="33" customFormat="false" ht="30" hidden="false" customHeight="true" outlineLevel="0" collapsed="false">
      <c r="A33" s="22" t="s">
        <v>119</v>
      </c>
      <c r="B33" s="23" t="s">
        <v>120</v>
      </c>
      <c r="C33" s="23"/>
      <c r="D33" s="23"/>
      <c r="E33" s="23"/>
      <c r="F33" s="23"/>
      <c r="G33" s="23"/>
    </row>
    <row r="34" customFormat="false" ht="30" hidden="false" customHeight="true" outlineLevel="0" collapsed="false">
      <c r="A34" s="22" t="s">
        <v>121</v>
      </c>
      <c r="B34" s="23" t="s">
        <v>122</v>
      </c>
      <c r="C34" s="23"/>
      <c r="D34" s="23"/>
      <c r="E34" s="23"/>
      <c r="F34" s="23"/>
      <c r="G34" s="23"/>
    </row>
    <row r="36" customFormat="false" ht="48.75" hidden="false" customHeight="true" outlineLevel="0" collapsed="false">
      <c r="A36" s="6" t="s">
        <v>123</v>
      </c>
      <c r="B36" s="6"/>
      <c r="C36" s="6"/>
      <c r="D36" s="6"/>
      <c r="E36" s="6"/>
      <c r="F36" s="6"/>
      <c r="G36" s="6"/>
    </row>
    <row r="37" customFormat="false" ht="15" hidden="false" customHeight="true" outlineLevel="0" collapsed="false">
      <c r="A37" s="6" t="s">
        <v>60</v>
      </c>
      <c r="B37" s="6"/>
      <c r="C37" s="6"/>
      <c r="D37" s="6"/>
      <c r="E37" s="6"/>
      <c r="F37" s="6"/>
      <c r="G37" s="6"/>
    </row>
  </sheetData>
  <mergeCells count="18">
    <mergeCell ref="A4:G4"/>
    <mergeCell ref="A5:G5"/>
    <mergeCell ref="A14:G14"/>
    <mergeCell ref="A16:E16"/>
    <mergeCell ref="A17:E17"/>
    <mergeCell ref="A18:E18"/>
    <mergeCell ref="B19:G19"/>
    <mergeCell ref="A21:E21"/>
    <mergeCell ref="B22:G22"/>
    <mergeCell ref="A24:E24"/>
    <mergeCell ref="A25:E25"/>
    <mergeCell ref="A26:G28"/>
    <mergeCell ref="B29:G29"/>
    <mergeCell ref="A32:G32"/>
    <mergeCell ref="B33:G33"/>
    <mergeCell ref="B34:G34"/>
    <mergeCell ref="A36:G36"/>
    <mergeCell ref="A37:G37"/>
  </mergeCell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4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5" min="2" style="0" width="16"/>
    <col collapsed="false" customWidth="true" hidden="false" outlineLevel="0" max="6" min="6" style="0" width="18"/>
    <col collapsed="false" customWidth="true" hidden="false" outlineLevel="0" max="7" min="7" style="0" width="14"/>
  </cols>
  <sheetData>
    <row r="1" customFormat="false" ht="17.35" hidden="false" customHeight="false" outlineLevel="0" collapsed="false">
      <c r="A1" s="1" t="s">
        <v>124</v>
      </c>
    </row>
    <row r="2" customFormat="false" ht="15" hidden="false" customHeight="false" outlineLevel="0" collapsed="false">
      <c r="A2" s="2" t="s">
        <v>21</v>
      </c>
    </row>
    <row r="4" customFormat="false" ht="78.75" hidden="false" customHeight="true" outlineLevel="0" collapsed="false">
      <c r="A4" s="6" t="s">
        <v>125</v>
      </c>
      <c r="B4" s="6"/>
      <c r="C4" s="6"/>
      <c r="D4" s="6"/>
      <c r="E4" s="6"/>
      <c r="F4" s="6"/>
      <c r="G4" s="6"/>
    </row>
    <row r="5" customFormat="false" ht="93.75" hidden="false" customHeight="true" outlineLevel="0" collapsed="false">
      <c r="A5" s="7" t="s">
        <v>126</v>
      </c>
      <c r="B5" s="7"/>
      <c r="C5" s="7"/>
      <c r="D5" s="7"/>
      <c r="E5" s="7"/>
      <c r="F5" s="7"/>
      <c r="G5" s="7"/>
    </row>
    <row r="7" customFormat="false" ht="15" hidden="false" customHeight="false" outlineLevel="0" collapsed="false">
      <c r="A7" s="8" t="s">
        <v>127</v>
      </c>
      <c r="B7" s="9" t="s">
        <v>64</v>
      </c>
    </row>
    <row r="8" customFormat="false" ht="26.85" hidden="false" customHeight="false" outlineLevel="0" collapsed="false">
      <c r="A8" s="10" t="s">
        <v>128</v>
      </c>
      <c r="B8" s="11" t="s">
        <v>129</v>
      </c>
    </row>
    <row r="9" customFormat="false" ht="26.85" hidden="false" customHeight="false" outlineLevel="0" collapsed="false">
      <c r="A9" s="12" t="s">
        <v>130</v>
      </c>
      <c r="B9" s="13" t="s">
        <v>131</v>
      </c>
    </row>
    <row r="10" customFormat="false" ht="26.85" hidden="false" customHeight="false" outlineLevel="0" collapsed="false">
      <c r="A10" s="10" t="s">
        <v>132</v>
      </c>
      <c r="B10" s="11" t="s">
        <v>133</v>
      </c>
    </row>
    <row r="11" customFormat="false" ht="52.2" hidden="false" customHeight="false" outlineLevel="0" collapsed="false">
      <c r="A11" s="12" t="s">
        <v>134</v>
      </c>
      <c r="B11" s="13" t="s">
        <v>135</v>
      </c>
    </row>
    <row r="12" customFormat="false" ht="39.55" hidden="false" customHeight="false" outlineLevel="0" collapsed="false">
      <c r="A12" s="10" t="s">
        <v>136</v>
      </c>
      <c r="B12" s="11" t="s">
        <v>137</v>
      </c>
    </row>
    <row r="13" customFormat="false" ht="15" hidden="false" customHeight="false" outlineLevel="0" collapsed="false">
      <c r="A13" s="12" t="s">
        <v>138</v>
      </c>
      <c r="B13" s="13" t="s">
        <v>139</v>
      </c>
    </row>
    <row r="14" customFormat="false" ht="15" hidden="false" customHeight="false" outlineLevel="0" collapsed="false">
      <c r="A14" s="10" t="s">
        <v>140</v>
      </c>
      <c r="B14" s="11" t="s">
        <v>141</v>
      </c>
    </row>
    <row r="15" customFormat="false" ht="26.85" hidden="false" customHeight="false" outlineLevel="0" collapsed="false">
      <c r="A15" s="12" t="s">
        <v>142</v>
      </c>
      <c r="B15" s="13" t="s">
        <v>143</v>
      </c>
    </row>
    <row r="16" customFormat="false" ht="15" hidden="false" customHeight="true" outlineLevel="0" collapsed="false">
      <c r="A16" s="6" t="s">
        <v>40</v>
      </c>
      <c r="B16" s="6"/>
      <c r="C16" s="6"/>
      <c r="D16" s="6"/>
      <c r="E16" s="6"/>
      <c r="F16" s="6"/>
      <c r="G16" s="6"/>
    </row>
    <row r="18" customFormat="false" ht="15" hidden="false" customHeight="false" outlineLevel="0" collapsed="false">
      <c r="A18" s="14" t="s">
        <v>41</v>
      </c>
      <c r="B18" s="14"/>
      <c r="C18" s="14"/>
      <c r="D18" s="14"/>
      <c r="E18" s="14"/>
      <c r="F18" s="14" t="s">
        <v>42</v>
      </c>
      <c r="G18" s="14" t="s">
        <v>43</v>
      </c>
    </row>
    <row r="19" customFormat="false" ht="48.75" hidden="false" customHeight="true" outlineLevel="0" collapsed="false">
      <c r="A19" s="7" t="s">
        <v>144</v>
      </c>
      <c r="B19" s="7"/>
      <c r="C19" s="7"/>
      <c r="D19" s="7"/>
      <c r="E19" s="7"/>
    </row>
    <row r="20" customFormat="false" ht="15" hidden="false" customHeight="true" outlineLevel="0" collapsed="false">
      <c r="A20" s="7" t="s">
        <v>145</v>
      </c>
      <c r="B20" s="7"/>
      <c r="C20" s="7"/>
      <c r="D20" s="7"/>
      <c r="E20" s="7"/>
      <c r="F20" s="19"/>
      <c r="G20" s="16" t="str">
        <f aca="false">IF(F20="","",IF(UPPER(TRIM(F20))="JA","Riktig","Prøv igjen"))</f>
        <v/>
      </c>
    </row>
    <row r="21" customFormat="false" ht="15" hidden="false" customHeight="true" outlineLevel="0" collapsed="false">
      <c r="A21" s="7" t="s">
        <v>146</v>
      </c>
      <c r="B21" s="7"/>
      <c r="C21" s="7"/>
      <c r="D21" s="7"/>
      <c r="E21" s="7"/>
      <c r="F21" s="19"/>
      <c r="G21" s="16" t="str">
        <f aca="false">IF(F21="","",IF(UPPER(TRIM(F21))="JA","Riktig","Prøv igjen"))</f>
        <v/>
      </c>
    </row>
    <row r="22" customFormat="false" ht="15" hidden="false" customHeight="true" outlineLevel="0" collapsed="false">
      <c r="A22" s="7" t="s">
        <v>147</v>
      </c>
      <c r="B22" s="7"/>
      <c r="C22" s="7"/>
      <c r="D22" s="7"/>
      <c r="E22" s="7"/>
      <c r="F22" s="19"/>
      <c r="G22" s="16" t="str">
        <f aca="false">IF(F22="","",IF(UPPER(TRIM(F22))="NEI","Riktig","Prøv igjen"))</f>
        <v/>
      </c>
    </row>
    <row r="23" customFormat="false" ht="15" hidden="false" customHeight="true" outlineLevel="0" collapsed="false">
      <c r="A23" s="7" t="s">
        <v>148</v>
      </c>
      <c r="B23" s="7"/>
      <c r="C23" s="7"/>
      <c r="D23" s="7"/>
      <c r="E23" s="7"/>
      <c r="F23" s="19"/>
      <c r="G23" s="16" t="str">
        <f aca="false">IF(F23="","",IF(UPPER(TRIM(F23))="JA","Riktig","Prøv igjen"))</f>
        <v/>
      </c>
    </row>
    <row r="24" customFormat="false" ht="15" hidden="false" customHeight="true" outlineLevel="0" collapsed="false">
      <c r="A24" s="7" t="s">
        <v>149</v>
      </c>
      <c r="B24" s="7"/>
      <c r="C24" s="7"/>
      <c r="D24" s="7"/>
      <c r="E24" s="7"/>
      <c r="F24" s="19"/>
      <c r="G24" s="16" t="str">
        <f aca="false">IF(F24="","",IF(UPPER(TRIM(F24))="NEI","Riktig","Prøv igjen"))</f>
        <v/>
      </c>
    </row>
    <row r="25" customFormat="false" ht="48.75" hidden="false" customHeight="true" outlineLevel="0" collapsed="false">
      <c r="A25" s="7" t="s">
        <v>150</v>
      </c>
      <c r="B25" s="7"/>
      <c r="C25" s="7"/>
      <c r="D25" s="7"/>
      <c r="E25" s="7"/>
      <c r="F25" s="19"/>
      <c r="G25" s="16" t="str">
        <f aca="false">IF(F25="","",IF(UPPER(TRIM(F25))="B","Riktig","Prøv igjen"))</f>
        <v/>
      </c>
    </row>
    <row r="26" customFormat="false" ht="33.75" hidden="false" customHeight="true" outlineLevel="0" collapsed="false">
      <c r="A26" s="7" t="s">
        <v>151</v>
      </c>
      <c r="B26" s="7"/>
      <c r="C26" s="7"/>
      <c r="D26" s="7"/>
      <c r="E26" s="7"/>
      <c r="F26" s="15"/>
      <c r="G26" s="16" t="str">
        <f aca="false">IF(F26="","",IF(ABS(F26-(7500))&lt;=0.000000001,"Riktig","Prøv igjen"))</f>
        <v/>
      </c>
    </row>
    <row r="27" customFormat="false" ht="16.5" hidden="false" customHeight="true" outlineLevel="0" collapsed="false">
      <c r="A27" s="17" t="s">
        <v>45</v>
      </c>
      <c r="B27" s="18" t="s">
        <v>152</v>
      </c>
      <c r="C27" s="18"/>
      <c r="D27" s="18"/>
      <c r="E27" s="18"/>
      <c r="F27" s="18"/>
      <c r="G27" s="18"/>
    </row>
    <row r="29" customFormat="false" ht="63.75" hidden="false" customHeight="true" outlineLevel="0" collapsed="false">
      <c r="A29" s="7" t="s">
        <v>153</v>
      </c>
      <c r="B29" s="7"/>
      <c r="C29" s="7"/>
      <c r="D29" s="7"/>
      <c r="E29" s="7"/>
      <c r="F29" s="19"/>
      <c r="G29" s="16" t="str">
        <f aca="false">IF(F29="","",IF(UPPER(TRIM(F29))="B","Riktig","Prøv igjen"))</f>
        <v/>
      </c>
    </row>
    <row r="30" customFormat="false" ht="33.75" hidden="false" customHeight="true" outlineLevel="0" collapsed="false">
      <c r="A30" s="7" t="s">
        <v>154</v>
      </c>
      <c r="B30" s="7"/>
      <c r="C30" s="7"/>
      <c r="D30" s="7"/>
      <c r="E30" s="7"/>
    </row>
    <row r="31" customFormat="false" ht="15" hidden="false" customHeight="false" outlineLevel="0" collapsed="false">
      <c r="A31" s="20"/>
      <c r="B31" s="20"/>
      <c r="C31" s="20"/>
      <c r="D31" s="20"/>
      <c r="E31" s="20"/>
      <c r="F31" s="20"/>
      <c r="G31" s="20"/>
    </row>
    <row r="32" customFormat="false" ht="15" hidden="false" customHeight="false" outlineLevel="0" collapsed="false">
      <c r="A32" s="20"/>
      <c r="B32" s="20"/>
      <c r="C32" s="20"/>
      <c r="D32" s="20"/>
      <c r="E32" s="20"/>
      <c r="F32" s="20"/>
      <c r="G32" s="20"/>
    </row>
    <row r="33" customFormat="false" ht="15" hidden="false" customHeight="false" outlineLevel="0" collapsed="false">
      <c r="A33" s="20"/>
      <c r="B33" s="20"/>
      <c r="C33" s="20"/>
      <c r="D33" s="20"/>
      <c r="E33" s="20"/>
      <c r="F33" s="20"/>
      <c r="G33" s="20"/>
    </row>
    <row r="34" customFormat="false" ht="30" hidden="false" customHeight="true" outlineLevel="0" collapsed="false">
      <c r="A34" s="17" t="s">
        <v>45</v>
      </c>
      <c r="B34" s="18" t="s">
        <v>155</v>
      </c>
      <c r="C34" s="18"/>
      <c r="D34" s="18"/>
      <c r="E34" s="18"/>
      <c r="F34" s="18"/>
      <c r="G34" s="18"/>
    </row>
    <row r="37" customFormat="false" ht="15" hidden="false" customHeight="false" outlineLevel="0" collapsed="false">
      <c r="A37" s="21" t="s">
        <v>54</v>
      </c>
      <c r="B37" s="21"/>
      <c r="C37" s="21"/>
      <c r="D37" s="21"/>
      <c r="E37" s="21"/>
      <c r="F37" s="21"/>
      <c r="G37" s="21"/>
    </row>
    <row r="38" customFormat="false" ht="30" hidden="false" customHeight="true" outlineLevel="0" collapsed="false">
      <c r="A38" s="22" t="s">
        <v>156</v>
      </c>
      <c r="B38" s="23" t="s">
        <v>157</v>
      </c>
      <c r="C38" s="23"/>
      <c r="D38" s="23"/>
      <c r="E38" s="23"/>
      <c r="F38" s="23"/>
      <c r="G38" s="23"/>
    </row>
    <row r="39" customFormat="false" ht="16.5" hidden="false" customHeight="true" outlineLevel="0" collapsed="false">
      <c r="A39" s="22" t="s">
        <v>158</v>
      </c>
      <c r="B39" s="23" t="s">
        <v>159</v>
      </c>
      <c r="C39" s="23"/>
      <c r="D39" s="23"/>
      <c r="E39" s="23"/>
      <c r="F39" s="23"/>
      <c r="G39" s="23"/>
    </row>
    <row r="41" customFormat="false" ht="63.75" hidden="false" customHeight="true" outlineLevel="0" collapsed="false">
      <c r="A41" s="6" t="s">
        <v>160</v>
      </c>
      <c r="B41" s="6"/>
      <c r="C41" s="6"/>
      <c r="D41" s="6"/>
      <c r="E41" s="6"/>
      <c r="F41" s="6"/>
      <c r="G41" s="6"/>
    </row>
    <row r="42" customFormat="false" ht="15" hidden="false" customHeight="true" outlineLevel="0" collapsed="false">
      <c r="A42" s="6" t="s">
        <v>60</v>
      </c>
      <c r="B42" s="6"/>
      <c r="C42" s="6"/>
      <c r="D42" s="6"/>
      <c r="E42" s="6"/>
      <c r="F42" s="6"/>
      <c r="G42" s="6"/>
    </row>
  </sheetData>
  <mergeCells count="22">
    <mergeCell ref="A4:G4"/>
    <mergeCell ref="A5:G5"/>
    <mergeCell ref="A16:G16"/>
    <mergeCell ref="A18:E18"/>
    <mergeCell ref="A19:E19"/>
    <mergeCell ref="A20:E20"/>
    <mergeCell ref="A21:E21"/>
    <mergeCell ref="A22:E22"/>
    <mergeCell ref="A23:E23"/>
    <mergeCell ref="A24:E24"/>
    <mergeCell ref="A25:E25"/>
    <mergeCell ref="A26:E26"/>
    <mergeCell ref="B27:G27"/>
    <mergeCell ref="A29:E29"/>
    <mergeCell ref="A30:E30"/>
    <mergeCell ref="A31:G33"/>
    <mergeCell ref="B34:G34"/>
    <mergeCell ref="A37:G37"/>
    <mergeCell ref="B38:G38"/>
    <mergeCell ref="B39:G39"/>
    <mergeCell ref="A41:G41"/>
    <mergeCell ref="A42:G42"/>
  </mergeCell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2026-10-13T12:28:28Z</dcterms:created>
  <dc:creator>openpyxl</dc:creator>
  <dc:description/>
  <dc:language>en-US</dc:language>
  <cp:lastModifiedBy/>
  <dcterms:modified xsi:type="dcterms:W3CDTF">2026-10-13T12:28:28Z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