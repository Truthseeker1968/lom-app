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Kontaktpris" sheetId="3" state="visible" r:id="rId5"/>
    <sheet name="Salgsstyrke" sheetId="4" state="visible" r:id="rId6"/>
    <sheet name="Misfornøyd kunde" sheetId="5" state="visible" r:id="rId7"/>
    <sheet name="Markedsbudsjett" sheetId="6" state="visible" r:id="rId8"/>
    <sheet name="Di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<sst xmlns="http://schemas.openxmlformats.org/spreadsheetml/2006/main" count="304" uniqueCount="266">
  <si>
    <t xml:space="preserve">Hvor mange selgere trenger dere? Den enkle versjonen</t>
  </si>
  <si>
    <t xml:space="preserve">Fyll inn de fire gule cellene. Svaret står i den grønne. Alt annet regner seg selv. Vil du gå dypere, ligger hele modellen i arkene bak.</t>
  </si>
  <si>
    <t xml:space="preserve">Det du vet</t>
  </si>
  <si>
    <t xml:space="preserve">Hvor mange bedriftskunder skal besøkes?</t>
  </si>
  <si>
    <t xml:space="preserve">Borettslag, sameier og byggmestere i Oslo øst.</t>
  </si>
  <si>
    <t xml:space="preserve">Hvor mange besøk bør hver kunde ha i året?</t>
  </si>
  <si>
    <t xml:space="preserve">Start her: hvor ofte BØR en kunde få besøk?</t>
  </si>
  <si>
    <t xml:space="preserve">Hvor mange salgsdager har en selger i året?</t>
  </si>
  <si>
    <t xml:space="preserve">Etter ferie, helligdager, kurs og internt arbeid.</t>
  </si>
  <si>
    <t xml:space="preserve">Hvor mange besøk rekker en selger per dag?</t>
  </si>
  <si>
    <t xml:space="preserve">Med kjøring, forberedelse og oppfølging.</t>
  </si>
  <si>
    <t xml:space="preserve">Regnestykket</t>
  </si>
  <si>
    <t xml:space="preserve">Planlagte kundebesøk i året</t>
  </si>
  <si>
    <t xml:space="preserve">Antall kunder ganger besøk per kunde.</t>
  </si>
  <si>
    <t xml:space="preserve">Besøk én selger rekker i året</t>
  </si>
  <si>
    <t xml:space="preserve">Salgsdager ganger besøk per dag.</t>
  </si>
  <si>
    <t xml:space="preserve">Salgsdager besøkene krever</t>
  </si>
  <si>
    <t xml:space="preserve">Så mange dager må settes av i noens kalender.</t>
  </si>
  <si>
    <t xml:space="preserve">SELGERE DERE TRENGER</t>
  </si>
  <si>
    <t xml:space="preserve">Sjelden et helt tall. Skriv alltid hvilken vei du runder, og hvorfor.</t>
  </si>
  <si>
    <t xml:space="preserve">Hva svaret betyr</t>
  </si>
  <si>
    <t xml:space="preserve">Prøv selv</t>
  </si>
  <si>
    <t xml:space="preserve">1. Sett kundene i B5 til 150 og besøkene i B6 til 6. Da har du lærebokas eksempel. Hvor mange selgere trengs?</t>
  </si>
  <si>
    <t xml:space="preserve">2. Hvor mange besøk per kunde (B6) kan dere ha før dere trenger én hel selger?</t>
  </si>
  <si>
    <t xml:space="preserve">3. Hva skjer hvis en selger bare rekker ett besøk per dag (B8)?</t>
  </si>
  <si>
    <t xml:space="preserve">Tallene er Nordlys Elektro AS sine budsjettall for 2027 (sammendraget og regnearket til kap. 9). Kilde: Markedsføring, organisasjon og ledelse for LØM-emnet, kap. 9.8. Nordlys Elektro AS er en konstruert casebedrift.</t>
  </si>
  <si>
    <t xml:space="preserve">Påvirkning: kontaktpris, salgsstyrke og markedsbudsjett</t>
  </si>
  <si>
    <t xml:space="preserve">LØM Markedsføring kap. 9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</si>
  <si>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</si>
  <si>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</si>
  <si>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</si>
  <si>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</si>
  <si>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</si>
  <si>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</si>
  <si>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</si>
  <si>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</si>
  <si>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</si>
  <si>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</si>
  <si>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Hvor mange selgere dere trenger, regnet på den enkleste måten.</t>
  </si>
  <si>
    <t xml:space="preserve">Kontaktpris</t>
  </si>
  <si>
    <t xml:space="preserve">Hva det koster å nå én kunde gjennom sju ulike kanaler. Endre kostnad og rekkevidde og se kontaktprisen flytte seg.</t>
  </si>
  <si>
    <t xml:space="preserve">Salgsstyrke</t>
  </si>
  <si>
    <t xml:space="preserve">Hvor mange selgere trengs? Lærebokas eksempel og Nordlys' eget, med avrundingen gjort synlig.</t>
  </si>
  <si>
    <t xml:space="preserve">Misfornøyd kunde</t>
  </si>
  <si>
    <t xml:space="preserve">Hva én dårlig opplevelse koster i tapt dekningsbidrag, og hva det koster å rette den opp.</t>
  </si>
  <si>
    <t xml:space="preserve">Markedsbudsjett</t>
  </si>
  <si>
    <t xml:space="preserve">DET VIKTIGSTE ARKET. Seksti tusen kroner fordelt på tiltak, med forventet salg, netto og fire målepunkter.</t>
  </si>
  <si>
    <t xml:space="preserve">Din bedrift</t>
  </si>
  <si>
    <t xml:space="preserve">Samme oppsett, tomt. Legg inn tallene fra din egen bedrift.</t>
  </si>
  <si>
    <t xml:space="preserve">Kontaktpris = samlet kostnad for tiltaket delt på antall i målgruppen som nås.</t>
  </si>
  <si>
    <t xml:space="preserve">Merk: læreboka regner 900/440 og svarer «to selgere» uten å si at den runder ned.</t>
  </si>
  <si>
    <t xml:space="preserve">Riktig er 2,05 selgere. To selgere dekker 880 av 900 besøk. Arket viser begge deler. Se avviksregisteret for pensumet, oppslag 38.</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</si>
  <si>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</si>
  <si>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</si>
  <si>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innsikten</t>
  </si>
  <si>
    <t xml:space="preserve">Markedsbudsjett!B11</t>
  </si>
  <si>
    <t xml:space="preserve">Nullpunktet i solcelleanlegg</t>
  </si>
  <si>
    <t xml:space="preserve">Hvor mange salg budsjettet må gi før det bærer seg. Dette er tallet du avslutter med når styret spør om markedsføring er verdt pengene — og det gjør spørsmålet konkret i stedet for prinsipielt.</t>
  </si>
  <si>
    <t xml:space="preserve">Kontaktprisen forteller hvilken kanal du har råd til, ikke hvilken som virker. Den dyreste kanalen er ofte den eneste som ender i et salg — og den billigste av alle er en fornøyd kunde som anbefaler dere videre.</t>
  </si>
  <si>
    <t xml:space="preserve">Hvilken oppgave bruker hvilket ark</t>
  </si>
  <si>
    <t xml:space="preserve">Oppgave i øvingsheftet</t>
  </si>
  <si>
    <t xml:space="preserve">Ark</t>
  </si>
  <si>
    <t xml:space="preserve">Celler du endrer og leser av</t>
  </si>
  <si>
    <t xml:space="preserve">A1 · Den billigste markedsføringen Nordlys driver</t>
  </si>
  <si>
    <t xml:space="preserve">Les kolonne H. Raden om anbefaling står på null, og kontrollen i E33 sier hvorfor det er poenget.</t>
  </si>
  <si>
    <t xml:space="preserve">A2 · Hva koster én misfornøyd kunde?</t>
  </si>
  <si>
    <t xml:space="preserve">Endre B6 og B7 og se hva som skjer med B11 og B20. Prøv 10, 25 og 50 prosent.</t>
  </si>
  <si>
    <t xml:space="preserve">2 · Kontaktpris — og hva tallet ikke sier</t>
  </si>
  <si>
    <t xml:space="preserve">Endre C9 til E15. Les av F, G og H, og oppsummeringen i rad 18 til 20. Forsvarligheten står i B26.</t>
  </si>
  <si>
    <t xml:space="preserve">3 · Dimensjonering av salgsstyrken</t>
  </si>
  <si>
    <t xml:space="preserve">Endre B5, B6, B9 og B10 for læreboka og C5, C6, C9 og C10 for Nordlys. Les av B13, B16, B18, B21 og B23.</t>
  </si>
  <si>
    <t xml:space="preserve">4 · Kampanjeplan for vårkampanjen</t>
  </si>
  <si>
    <t xml:space="preserve">Sett antall og treffprosent på tiltakene, og les av netto og dekningsbidrag per krone brukt.</t>
  </si>
  <si>
    <t xml:space="preserve">5 · Eksamensnær: seksti tusen kroner</t>
  </si>
  <si>
    <t xml:space="preserve">Endre B5, og antall i kolonne B og treffprosent i kolonne G. Les av nullpunktene i B10 og B11, nettoen, og de fire målepunktene nederst.</t>
  </si>
  <si>
    <t xml:space="preserve">Kontrollradene</t>
  </si>
  <si>
    <t xml:space="preserve">Hvert ark har en kontrollblokk nederst. Står det OK, henger tallene sammen. Står det AVVIK, farges cellen rød, og teksten sier hva som ikke går opp.</t>
  </si>
  <si>
    <t xml:space="preserve">To unntak: kontrollen i «Din bedrift» står på AVVIK til du har fylt inn dine egne tall, og kontrollen på svakeste tiltak i «Markedsbudsjett» skal vise AVVIK med anslagene som ligger inne. En plan der alt lønner seg, er en plan der ingen har satt anslag.</t>
  </si>
  <si>
    <t xml:space="preserve">Kontroller i arbeidsboka: Kontaktpris E32, Kontaktpris E33, Kontaktpris E34, Salgsstyrke E31, Salgsstyrke E32, Salgsstyrke E33, Misfornøyd kunde D31, Misfornøyd kunde D32, Misfornøyd kunde D33, Din bedrift D27, Markedsbudsjett C49, Markedsbudsjett C50, Markedsbudsjett C51, Markedsbudsjett C52</t>
  </si>
  <si>
    <t xml:space="preserve">Kilder</t>
  </si>
  <si>
    <t xml:space="preserve">Hjertnes, Frode: Markedsføring, organisasjon og ledelse for LØM-emnet, 4. utgave, kapittel 9 «Påvirkning som konkurransevirkemiddel», avsnitt 9.1 til 9.13 med figur 9.1, 9.2 og 9.3.</t>
  </si>
  <si>
    <t xml:space="preserve">Kontaktprisene for lokalavis, sosiale medier, direktereklame og styrebesøk er Nordlys' egne budsjettall for 2027, ikke markedsstatistikk. Timekostnadene er utledet av bedriftens egne lønns- og kalkyletall fra Økonomistyring kapittel 2 og 5. Dekningsbidragene er de samme som i Markedsføring kapittel 3. Bransjetall: NHO Elektro, Lønnsomhetsrapport 2025, gjengitt i Elektro 24-7 19.08.2026 (hentet 10.09.2026). De 809 er bedriftene i datagrunnlaget, ikke bransjen. NHO Elektro oppgir ikke svarprosent.</t>
  </si>
  <si>
    <t xml:space="preserve">Budsjettrammen, treffprosentene og forutsetningene om naboer og påvirkning er didaktiske anslag. De står alle i gule celler og skal endres. Lovstoff: markedsføringsloven, lov 9. januar 2009 nr. 2, §§ 6 og 7 (Lovdata).</t>
  </si>
  <si>
    <t xml:space="preserve">Hva koster det å nå én kunde?</t>
  </si>
  <si>
    <t xml:space="preserve">Endre de gule cellene. Kontaktprisen regner seg selv.</t>
  </si>
  <si>
    <t xml:space="preserve">Timekostnader, hentet fra bedriftens egne tall</t>
  </si>
  <si>
    <t xml:space="preserve">Administrasjonstime (Kari, Ida, Tom)</t>
  </si>
  <si>
    <t xml:space="preserve">Lønn til administrasjonen delt på timene deres.</t>
  </si>
  <si>
    <t xml:space="preserve">Montørtime, kostpris</t>
  </si>
  <si>
    <t xml:space="preserve">Fra kalkylen i Økonomistyring kapittel 5.</t>
  </si>
  <si>
    <t xml:space="preserve">Kanal</t>
  </si>
  <si>
    <t xml:space="preserve">Form</t>
  </si>
  <si>
    <t xml:space="preserve">Timer</t>
  </si>
  <si>
    <t xml:space="preserve">Kr per time</t>
  </si>
  <si>
    <t xml:space="preserve">Utlegg</t>
  </si>
  <si>
    <t xml:space="preserve">Kostnad</t>
  </si>
  <si>
    <t xml:space="preserve">Når (antall)</t>
  </si>
  <si>
    <t xml:space="preserve">Besøk hos et borettslagsstyre</t>
  </si>
  <si>
    <t xml:space="preserve">Personlig</t>
  </si>
  <si>
    <t xml:space="preserve">Telefonsamtale med styreleder</t>
  </si>
  <si>
    <t xml:space="preserve">Brev til 24 styreledere (DM)</t>
  </si>
  <si>
    <t xml:space="preserve">Masse</t>
  </si>
  <si>
    <t xml:space="preserve">Kvartside i lokalavisa</t>
  </si>
  <si>
    <t xml:space="preserve">Målrettet annonse i sosiale medier, tre uker</t>
  </si>
  <si>
    <t xml:space="preserve">Fornøyd kunde som anbefaler dere til naboen</t>
  </si>
  <si>
    <t xml:space="preserve">Helside i Aftenposten (lærebokas eksempel)</t>
  </si>
  <si>
    <t xml:space="preserve">Hva tallene betyr</t>
  </si>
  <si>
    <t xml:space="preserve">= Billigste kanal per kontakt</t>
  </si>
  <si>
    <t xml:space="preserve">= Dyreste kanal per kontakt</t>
  </si>
  <si>
    <t xml:space="preserve">= Annonsekontakter for prisen av ett styrebesøk</t>
  </si>
  <si>
    <t xml:space="preserve">Ett besøk koster like mye som så mange annonsekontakter.</t>
  </si>
  <si>
    <t xml:space="preserve">Er den dyreste kanalen forsvarlig?</t>
  </si>
  <si>
    <t xml:space="preserve">Antall ladepunkt i en rammeavtale</t>
  </si>
  <si>
    <t xml:space="preserve">Pris per ladepunkt, eks. mva.</t>
  </si>
  <si>
    <t xml:space="preserve">= Ordreverdi i rammeavtalen</t>
  </si>
  <si>
    <t xml:space="preserve">= Kontaktprisen som andel av ordreverdien</t>
  </si>
  <si>
    <t xml:space="preserve">Læreboka: personlig kommunikasjon kan bare forsvares når det står store verdier på spill i en mulig transaksjon.</t>
  </si>
  <si>
    <t xml:space="preserve">Kontaktprisen forteller hvilken kanal du har råd til — ikke hvilken som virker. Den dyreste er ofte den eneste som ender i et salg.</t>
  </si>
  <si>
    <t xml:space="preserve">Kontroll</t>
  </si>
  <si>
    <t xml:space="preserve">Er kontaktprisen kostnad delt på antall nådd?</t>
  </si>
  <si>
    <t xml:space="preserve">Finnes det en kanal som ikke koster noe?</t>
  </si>
  <si>
    <t xml:space="preserve">Er styrebesøket forsvarlig mot ordreverdien?</t>
  </si>
  <si>
    <t xml:space="preserve">Prøv dette: sett antall ladepunkt i rammeavtalen ned til to. Da snur kontrollen over, og du ser hvorfor personlig salg ikke brukes på små ordrer.</t>
  </si>
  <si>
    <t xml:space="preserve">Hvor mange selgere trenger du?</t>
  </si>
  <si>
    <t xml:space="preserve">Kolonne B er lærebokas eksempel, kolonne C er Nordlys' eget bedriftsmarked.</t>
  </si>
  <si>
    <t xml:space="preserve">Lærebokas eksempel</t>
  </si>
  <si>
    <t xml:space="preserve">Nordlys, solcelle og lading</t>
  </si>
  <si>
    <t xml:space="preserve">Kommentar</t>
  </si>
  <si>
    <t xml:space="preserve">Antall kunder</t>
  </si>
  <si>
    <t xml:space="preserve">Nordlys: borettslag, sameier og byggmestere i Oslo øst.</t>
  </si>
  <si>
    <t xml:space="preserve">Ønsket antall besøk per kunde per år</t>
  </si>
  <si>
    <t xml:space="preserve">Dimensjoneringen starter her: hvor mange besøk BØR en kunde ha?</t>
  </si>
  <si>
    <t xml:space="preserve">= Planlagte kundebesøk per år</t>
  </si>
  <si>
    <t xml:space="preserve">Antall kunder ganger ønsket besøksfrekvens.</t>
  </si>
  <si>
    <t xml:space="preserve">Effektive salgsdager per år</t>
  </si>
  <si>
    <t xml:space="preserve">Kundebesøk per selger per dag</t>
  </si>
  <si>
    <t xml:space="preserve">= Kapasitet per selger per år</t>
  </si>
  <si>
    <t xml:space="preserve">= Beregnet behov for selgere</t>
  </si>
  <si>
    <t xml:space="preserve">Dette tallet er sjelden et helt antall. Da må du bestemme deg.</t>
  </si>
  <si>
    <t xml:space="preserve">Avrundingen — den boka ikke gjør eksplisitt</t>
  </si>
  <si>
    <t xml:space="preserve">= Nedrundet antall selgere</t>
  </si>
  <si>
    <t xml:space="preserve">Dette er svaret læreboka gir, uten å si at det er avrundet.</t>
  </si>
  <si>
    <t xml:space="preserve">= Kapasitet med nedrundet antall</t>
  </si>
  <si>
    <t xml:space="preserve">= Underdekning, antall besøk som ikke blir gjennomført</t>
  </si>
  <si>
    <t xml:space="preserve">Prisen på å runde ned. Er den akseptabel?</t>
  </si>
  <si>
    <t xml:space="preserve">= Underdekning i prosent av planen</t>
  </si>
  <si>
    <t xml:space="preserve">= Opprundet antall selgere</t>
  </si>
  <si>
    <t xml:space="preserve">= Ledig kapasitet ved opprunding</t>
  </si>
  <si>
    <t xml:space="preserve">Prisen på å runde opp. Ubrukt kapasitet koster lønn.</t>
  </si>
  <si>
    <t xml:space="preserve">= Besøksfrekvens som gjør nedrundingen riktig</t>
  </si>
  <si>
    <t xml:space="preserve">Tredje utvei: senk frekvensen i stedet for å endre bemanningen.</t>
  </si>
  <si>
    <t xml:space="preserve">= Dom</t>
  </si>
  <si>
    <t xml:space="preserve">Skriv alltid hvilken vei du runder, og hvorfor. Ved kapasitetsdimensjonering er nedrunding bare forsvarlig når underdekningen er akseptabel.</t>
  </si>
  <si>
    <t xml:space="preserve">Rundes Nordlys' behov ned til null, blir ingen borettslag besøkt — og markedsmålet om en rammeavtale nås ikke.</t>
  </si>
  <si>
    <t xml:space="preserve">Stemmer behovet med planlagte besøk og kapasitet?</t>
  </si>
  <si>
    <t xml:space="preserve">Finnes avrundingsspørsmålet i det hele tatt?</t>
  </si>
  <si>
    <t xml:space="preserve">Er Nordlys' eget behov under én hel stilling?</t>
  </si>
  <si>
    <t xml:space="preserve">Hva koster én misfornøyd kunde?</t>
  </si>
  <si>
    <t xml:space="preserve">Forutsetningene er anslag. Endre dem, og se hva som skjer med konklusjonen.</t>
  </si>
  <si>
    <t xml:space="preserve">Forutsetninger</t>
  </si>
  <si>
    <t xml:space="preserve">Dekningsbidrag per solcelleanlegg</t>
  </si>
  <si>
    <t xml:space="preserve">Fra kalkylen i Økonomistyring kapittel 7. Ikke et anslag.</t>
  </si>
  <si>
    <t xml:space="preserve">Antall naboer som hører historien</t>
  </si>
  <si>
    <t xml:space="preserve">Anslag. I et borettslag er tallet trolig høyere.</t>
  </si>
  <si>
    <t xml:space="preserve">Andel av dem som lar det påvirke valget</t>
  </si>
  <si>
    <t xml:space="preserve">Anslag. Prøv 10 %, 25 % og 50 % og se utslaget.</t>
  </si>
  <si>
    <t xml:space="preserve">Hva det koster</t>
  </si>
  <si>
    <t xml:space="preserve">= Tapte salg</t>
  </si>
  <si>
    <t xml:space="preserve">= Tapt dekningsbidrag</t>
  </si>
  <si>
    <t xml:space="preserve">Dette er beløpet som forsvinner uten at noen fakturerer det.</t>
  </si>
  <si>
    <t xml:space="preserve">Hva det koster å rette det opp</t>
  </si>
  <si>
    <t xml:space="preserve">Montørtimer til å kjøre tilbake og rydde</t>
  </si>
  <si>
    <t xml:space="preserve">Administrasjonstimer til telefon og oppfølging</t>
  </si>
  <si>
    <t xml:space="preserve">Kostpris montørtime</t>
  </si>
  <si>
    <t xml:space="preserve">Kostpris administrasjonstime</t>
  </si>
  <si>
    <t xml:space="preserve">= Kostnad ved å rette opp</t>
  </si>
  <si>
    <t xml:space="preserve">= Forholdet mellom tap og rettekostnad</t>
  </si>
  <si>
    <t xml:space="preserve">Den motsatte veien: hva er en anbefaling verdt?</t>
  </si>
  <si>
    <t xml:space="preserve">Antall naboer en fornøyd kunde forteller det til</t>
  </si>
  <si>
    <t xml:space="preserve">Andel av dem som ber om tilbud</t>
  </si>
  <si>
    <t xml:space="preserve">= Dekningsbidrag fra én anbefaling</t>
  </si>
  <si>
    <t xml:space="preserve">= Kontaktpris for anbefalingen</t>
  </si>
  <si>
    <t xml:space="preserve">Null. Det er derfor montøren er bedriftens viktigste markedsfører.</t>
  </si>
  <si>
    <t xml:space="preserve">Forutsetningene er anslag du kan være uenig i. Poenget er at anslaget finnes: den som ikke regner, later som tallet er null.</t>
  </si>
  <si>
    <t xml:space="preserve">Lønner det seg å rette opp?</t>
  </si>
  <si>
    <t xml:space="preserve">Ligger andelen mellom null og hundre prosent?</t>
  </si>
  <si>
    <t xml:space="preserve">Er anbefalingen fortsatt gratis?</t>
  </si>
  <si>
    <t xml:space="preserve">Seksti tusen kroner. Hvor plasserer du dem?</t>
  </si>
  <si>
    <t xml:space="preserve">Og hvordan vet du om det virket? Alle treffprosenter er anslag — endre dem.</t>
  </si>
  <si>
    <t xml:space="preserve">1 · Rammen</t>
  </si>
  <si>
    <t xml:space="preserve">Markedsbudsjett for året</t>
  </si>
  <si>
    <t xml:space="preserve">Alt du har. Ingen av tiltakene under er gratis unntatt ett.</t>
  </si>
  <si>
    <t xml:space="preserve">Ladepunkt i en rammeavtale</t>
  </si>
  <si>
    <t xml:space="preserve">Dekningsbidrag per ladepunkt</t>
  </si>
  <si>
    <t xml:space="preserve">= Dekningsbidrag i én rammeavtale</t>
  </si>
  <si>
    <t xml:space="preserve">= Nullpunkt: rammeavtaler budsjettet må gi</t>
  </si>
  <si>
    <t xml:space="preserve">= Nullpunkt: solcelleanlegg budsjettet må gi</t>
  </si>
  <si>
    <t xml:space="preserve">Dette er det ene tallet du avslutter med når styret spør om markedsføring er verdt pengene.</t>
  </si>
  <si>
    <t xml:space="preserve">2 · Tiltakene</t>
  </si>
  <si>
    <t xml:space="preserve">Tiltak</t>
  </si>
  <si>
    <t xml:space="preserve">Antall</t>
  </si>
  <si>
    <t xml:space="preserve">Kostnad per gang</t>
  </si>
  <si>
    <t xml:space="preserve">Sum kostnad</t>
  </si>
  <si>
    <t xml:space="preserve">Nådd per gang</t>
  </si>
  <si>
    <t xml:space="preserve">Kontakter</t>
  </si>
  <si>
    <t xml:space="preserve">Treffprosent</t>
  </si>
  <si>
    <t xml:space="preserve">Forventet salg</t>
  </si>
  <si>
    <t xml:space="preserve">Dekningsbidrag per salg</t>
  </si>
  <si>
    <t xml:space="preserve">Hva du forutsetter</t>
  </si>
  <si>
    <t xml:space="preserve">Tolv styremøter i året, ett i måneden utenom fellesferien. Ett av fem ender i en rammeavtale.</t>
  </si>
  <si>
    <t xml:space="preserve">To brevrunder til de kartlagte styrelederne. Brevet selger ikke — det åpner døra for telefonen.</t>
  </si>
  <si>
    <t xml:space="preserve">Tre annonseperioder på tre uker, avgrenset til bydelen. Billig per kontakt, men kontakten er tynn.</t>
  </si>
  <si>
    <t xml:space="preserve">Én kvartside. Tas med for å kunne sammenliknes, ikke fordi den er opplagt riktig.</t>
  </si>
  <si>
    <t xml:space="preserve">Fornøyd kunde som anbefaler dere videre</t>
  </si>
  <si>
    <t xml:space="preserve">Koster ingenting og står ikke i noe budsjett. Kravet er at noen faktisk spør — det er der det interne tiltaket kommer inn.</t>
  </si>
  <si>
    <t xml:space="preserve">= Sum</t>
  </si>
  <si>
    <t xml:space="preserve">3 · Svaret</t>
  </si>
  <si>
    <t xml:space="preserve">= Brukt av budsjettet</t>
  </si>
  <si>
    <t xml:space="preserve">= Ubrukt</t>
  </si>
  <si>
    <t xml:space="preserve">= Forventet dekningsbidrag</t>
  </si>
  <si>
    <t xml:space="preserve">= Netto</t>
  </si>
  <si>
    <t xml:space="preserve">= Dekningsbidrag per krone brukt</t>
  </si>
  <si>
    <t xml:space="preserve">Tallet du avslutter framlegget med. Under 1,00 er planen et tap.</t>
  </si>
  <si>
    <t xml:space="preserve">Kroner brukt per forventet salg, tiltak for tiltak</t>
  </si>
  <si>
    <t xml:space="preserve">kroner i netto</t>
  </si>
  <si>
    <t xml:space="preserve">= Billigste tiltak per salg</t>
  </si>
  <si>
    <t xml:space="preserve">= Dyreste tiltak per salg</t>
  </si>
  <si>
    <t xml:space="preserve">= Svakeste tiltak i netto</t>
  </si>
  <si>
    <t xml:space="preserve">Det tiltaket du kutter først hvis budsjettet strammes inn.</t>
  </si>
  <si>
    <t xml:space="preserve">4 · Hvordan vet du om det virket?</t>
  </si>
  <si>
    <t xml:space="preserve">Målepunkt</t>
  </si>
  <si>
    <t xml:space="preserve">Hvordan det telles</t>
  </si>
  <si>
    <t xml:space="preserve">Hvor ofte</t>
  </si>
  <si>
    <t xml:space="preserve">Antall besøkte styrer</t>
  </si>
  <si>
    <t xml:space="preserve">Telles i kalenderen</t>
  </si>
  <si>
    <t xml:space="preserve">Måles hver måned</t>
  </si>
  <si>
    <t xml:space="preserve">Antall tilbud sendt</t>
  </si>
  <si>
    <t xml:space="preserve">Telles i tilbudsmappa</t>
  </si>
  <si>
    <t xml:space="preserve">Treffprosent: tilbud som ble til ordre</t>
  </si>
  <si>
    <t xml:space="preserve">Ordre delt på tilbud</t>
  </si>
  <si>
    <t xml:space="preserve">Måles hvert kvartal</t>
  </si>
  <si>
    <t xml:space="preserve">Hvor kunden hørte om oss</t>
  </si>
  <si>
    <t xml:space="preserve">Ett spørsmål på befaringsskjemaet</t>
  </si>
  <si>
    <t xml:space="preserve">Måles ved hver ordre</t>
  </si>
  <si>
    <t xml:space="preserve">Ingen av de fire krever nye systemer. Tre av dem krever bare at noen skriver ned et tall en gang i måneden.</t>
  </si>
  <si>
    <t xml:space="preserve">Holder planen seg innenfor budsjettet?</t>
  </si>
  <si>
    <t xml:space="preserve">Bærer planen seg?</t>
  </si>
  <si>
    <t xml:space="preserve">Er alle treffprosentene mulige?</t>
  </si>
  <si>
    <t xml:space="preserve">Gir alle tiltakene overskudd?</t>
  </si>
  <si>
    <t xml:space="preserve">Her SKAL det stå AVVIK med anslagene som ligger inne. Det er selve øvelsen: en plan der alt lønner seg, er en plan der ingen har satt anslag.</t>
  </si>
  <si>
    <t xml:space="preserve">Prøv dette: sett treffprosenten på annonsen i sosiale medier til halvparten. Se hvor lite som skal til før det billigste tiltaket er det dyreste.</t>
  </si>
  <si>
    <t xml:space="preserve">Kilde: Hjertnes kap. 9.6 om kontaktpris, 9.11 om kampanjeplanen og 9.13 om intern markedsføring. Dekningsbidragene er Nordlys Elektro AS sine egne, fra Økonomistyring kapittel 7. Budsjettrammen og treffprosentene er didaktiske anslag og står i gule celler.</t>
  </si>
  <si>
    <t xml:space="preserve">Din egen bedrift</t>
  </si>
  <si>
    <t xml:space="preserve">Samme oppsett, tomt. Fyll inn dine egne tall.</t>
  </si>
  <si>
    <t xml:space="preserve">Kontaktpris for dine kanaler</t>
  </si>
  <si>
    <t xml:space="preserve">Ta med tiden din egen tid koster. Den er den største posten.</t>
  </si>
  <si>
    <t xml:space="preserve">«Når» er antall i MÅLGRUPPEN som nås — ikke antall som ser reklamen.</t>
  </si>
  <si>
    <t xml:space="preserve">Din egen salgsstyrke</t>
  </si>
  <si>
    <t xml:space="preserve">Antall kunder som bør besøkes</t>
  </si>
  <si>
    <t xml:space="preserve">= Planlagte besøk per år</t>
  </si>
  <si>
    <t xml:space="preserve">Besøk per selger per dag</t>
  </si>
  <si>
    <t xml:space="preserve">= Nedrundet, og hva det koster i tapte besøk</t>
  </si>
  <si>
    <t xml:space="preserve">Kolonne C er underdekningen. Er den akseptabel, kan du runde ned.</t>
  </si>
  <si>
    <t xml:space="preserve">Får du et tall mellom null og én, betyr det ikke at oppgaven er null. Det betyr at noen må ha den tiden avsatt i kalenderen sin.</t>
  </si>
  <si>
    <t xml:space="preserve">Er tallene fylt inn?</t>
  </si>
  <si>
    <t xml:space="preserve">Her står det AVVIK til du har fylt inn dine egne tall. Det er meningen: arket er tomt når du får det.</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</si>
</sst>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0&quot; kr&quot;"/>
    <numFmt numFmtId="169" formatCode="#,##0&quot; kr&quot;"/>
    <numFmt numFmtId="170" formatCode="0.0%"/>
    <numFmt numFmtId="171"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70" fontId="11" fillId="6" borderId="1" xfId="0" applyFont="true" applyBorder="true" applyAlignment="false" applyProtection="false">
      <alignment horizontal="general" vertical="bottom" textRotation="0" wrapText="false" indent="0" shrinkToFit="false"/>
      <protection locked="true" hidden="false"/>
    </xf>
    <xf numFmtId="167" fontId="11" fillId="6"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48</v>
      </c>
      <c r="C5" s="7" t="s">
        <v>4</v>
      </c>
    </row>
    <row r="6" customFormat="false" ht="15" hidden="false" customHeight="true" outlineLevel="0" collapsed="false">
      <c r="A6" s="5" t="s">
        <v>5</v>
      </c>
      <c r="B6" s="6" t="n">
        <v>4</v>
      </c>
      <c r="C6" s="7" t="s">
        <v>6</v>
      </c>
    </row>
    <row r="7" customFormat="false" ht="15" hidden="false" customHeight="true" outlineLevel="0" collapsed="false">
      <c r="A7" s="5" t="s">
        <v>7</v>
      </c>
      <c r="B7" s="6" t="n">
        <v>220</v>
      </c>
      <c r="C7" s="7" t="s">
        <v>8</v>
      </c>
    </row>
    <row r="8" customFormat="false" ht="15" hidden="false" customHeight="true" outlineLevel="0" collapsed="false">
      <c r="A8" s="5" t="s">
        <v>9</v>
      </c>
      <c r="B8" s="6" t="n">
        <v>2</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B5*B6</f>
        <v>192</v>
      </c>
      <c r="C11" s="7" t="s">
        <v>13</v>
      </c>
    </row>
    <row r="12" customFormat="false" ht="15" hidden="false" customHeight="true" outlineLevel="0" collapsed="false">
      <c r="A12" s="5" t="s">
        <v>14</v>
      </c>
      <c r="B12" s="8" t="n">
        <f aca="false">B7*B8</f>
        <v>440</v>
      </c>
      <c r="C12" s="7" t="s">
        <v>15</v>
      </c>
    </row>
    <row r="13" customFormat="false" ht="15" hidden="false" customHeight="true" outlineLevel="0" collapsed="false">
      <c r="A13" s="5" t="s">
        <v>16</v>
      </c>
      <c r="B13" s="8" t="n">
        <f aca="false">B11/B8</f>
        <v>96</v>
      </c>
      <c r="C13" s="7" t="s">
        <v>17</v>
      </c>
    </row>
    <row r="14" customFormat="false" ht="15" hidden="false" customHeight="true" outlineLevel="0" collapsed="false"/>
    <row r="15" customFormat="false" ht="21" hidden="false" customHeight="true" outlineLevel="0" collapsed="false">
      <c r="A15" s="9" t="s">
        <v>18</v>
      </c>
      <c r="B15" s="10" t="n">
        <f aca="false">B11/B12</f>
        <v>0.436363636363636</v>
      </c>
      <c r="C15" s="7" t="s">
        <v>19</v>
      </c>
    </row>
    <row r="16" customFormat="false" ht="15" hidden="false" customHeight="true" outlineLevel="0" collapsed="false"/>
    <row r="17" customFormat="false" ht="15" hidden="false" customHeight="true" outlineLevel="0" collapsed="false">
      <c r="A17" s="3" t="s">
        <v>20</v>
      </c>
      <c r="B17" s="4"/>
      <c r="C17" s="4"/>
    </row>
    <row r="18" customFormat="false" ht="33.75" hidden="false" customHeight="true" outlineLevel="0" collapsed="false">
      <c r="A18" s="11" t="str">
        <f aca="false">"Dere trenger "&amp;TEXT(ROUND(B15,2),"#,##0.00")&amp;" selgere. Det er "&amp;TEXT(ROUND(B13,0),"#,##0")&amp;" salgsdager i året som må settes av i noens kalender."</f>
        <v>Dere trenger 0.44 selgere. Det er 96 salgsdager i året som må settes av i noens kalender.</v>
      </c>
      <c r="B18" s="11"/>
      <c r="C18" s="11"/>
    </row>
    <row r="19" customFormat="false" ht="15" hidden="false" customHeight="true" outlineLevel="0" collapsed="false"/>
    <row r="20" customFormat="false" ht="15" hidden="false" customHeight="true" outlineLevel="0" collapsed="false">
      <c r="A20" s="3" t="s">
        <v>21</v>
      </c>
      <c r="B20" s="4"/>
      <c r="C20" s="4"/>
    </row>
    <row r="21" customFormat="false" ht="27" hidden="false" customHeight="true" outlineLevel="0" collapsed="false">
      <c r="A21" s="12" t="s">
        <v>22</v>
      </c>
      <c r="B21" s="12"/>
      <c r="C21" s="12"/>
    </row>
    <row r="22" customFormat="false" ht="15" hidden="false" customHeight="true" outlineLevel="0" collapsed="false">
      <c r="A22" s="12" t="s">
        <v>23</v>
      </c>
      <c r="B22" s="12"/>
      <c r="C22" s="12"/>
    </row>
    <row r="23" customFormat="false" ht="15" hidden="false" customHeight="true" outlineLevel="0" collapsed="false">
      <c r="A23" s="12" t="s">
        <v>24</v>
      </c>
      <c r="B23" s="12"/>
      <c r="C23" s="12"/>
    </row>
    <row r="24" customFormat="false" ht="15" hidden="false" customHeight="true" outlineLevel="0" collapsed="false"/>
    <row r="25" customFormat="false" ht="27" hidden="false" customHeight="true" outlineLevel="0" collapsed="false">
      <c r="A25" s="2" t="s">
        <v>25</v>
      </c>
      <c r="B25" s="2"/>
      <c r="C25" s="2"/>
    </row>
  </sheetData>
  <mergeCells count="6">
    <mergeCell ref="A2:C2"/>
    <mergeCell ref="A18:C18"/>
    <mergeCell ref="A21:C21"/>
    <mergeCell ref="A22:C22"/>
    <mergeCell ref="A23:C23"/>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26</v>
      </c>
    </row>
    <row r="2" customFormat="false" ht="15" hidden="false" customHeight="false" outlineLevel="0" collapsed="false">
      <c r="A2" s="13" t="s">
        <v>27</v>
      </c>
    </row>
    <row r="3" customFormat="false" ht="15" hidden="false" customHeight="false" outlineLevel="0" collapsed="false">
      <c r="A3" s="14" t="s">
        <v>28</v>
      </c>
    </row>
    <row r="4" customFormat="false" ht="15" hidden="false" customHeight="false" outlineLevel="0" collapsed="false">
      <c r="A4" s="15" t="s">
        <v>29</v>
      </c>
    </row>
    <row r="5" customFormat="false" ht="15" hidden="false" customHeight="false" outlineLevel="0" collapsed="false">
      <c r="A5" s="16" t="s">
        <v>30</v>
      </c>
      <c r="B5" s="17" t="s">
        <v>31</v>
      </c>
    </row>
    <row r="6" customFormat="false" ht="15" hidden="false" customHeight="false" outlineLevel="0" collapsed="false">
      <c r="A6" s="18" t="s">
        <v>32</v>
      </c>
      <c r="B6" s="17" t="s">
        <v>33</v>
      </c>
    </row>
    <row r="7" customFormat="false" ht="15" hidden="false" customHeight="false" outlineLevel="0" collapsed="false">
      <c r="A7" s="18" t="s">
        <v>34</v>
      </c>
      <c r="B7" s="17" t="s">
        <v>35</v>
      </c>
    </row>
    <row r="9" customFormat="false" ht="15" hidden="false" customHeight="false" outlineLevel="0" collapsed="false">
      <c r="A9" s="15" t="s">
        <v>36</v>
      </c>
    </row>
    <row r="10" customFormat="false" ht="15" hidden="false" customHeight="false" outlineLevel="0" collapsed="false">
      <c r="A10" s="19" t="s">
        <v>37</v>
      </c>
      <c r="B10" s="17" t="s">
        <v>38</v>
      </c>
    </row>
    <row r="11" customFormat="false" ht="15" hidden="false" customHeight="false" outlineLevel="0" collapsed="false">
      <c r="A11" s="19" t="s">
        <v>39</v>
      </c>
      <c r="B11" s="17" t="s">
        <v>40</v>
      </c>
    </row>
    <row r="12" customFormat="false" ht="15" hidden="false" customHeight="false" outlineLevel="0" collapsed="false">
      <c r="A12" s="19" t="s">
        <v>41</v>
      </c>
      <c r="B12" s="17" t="s">
        <v>42</v>
      </c>
    </row>
    <row r="13" customFormat="false" ht="15" hidden="false" customHeight="false" outlineLevel="0" collapsed="false">
      <c r="A13" s="19" t="s">
        <v>43</v>
      </c>
      <c r="B13" s="17" t="s">
        <v>44</v>
      </c>
    </row>
    <row r="14" customFormat="false" ht="15" hidden="false" customHeight="false" outlineLevel="0" collapsed="false">
      <c r="A14" s="19" t="s">
        <v>45</v>
      </c>
      <c r="B14" s="17" t="s">
        <v>46</v>
      </c>
    </row>
    <row r="15" customFormat="false" ht="15" hidden="false" customHeight="false" outlineLevel="0" collapsed="false">
      <c r="A15" s="19" t="s">
        <v>47</v>
      </c>
      <c r="B15" s="17" t="s">
        <v>48</v>
      </c>
    </row>
    <row r="17" customFormat="false" ht="15" hidden="false" customHeight="false" outlineLevel="0" collapsed="false">
      <c r="A17" s="14" t="s">
        <v>49</v>
      </c>
    </row>
    <row r="18" customFormat="false" ht="15" hidden="false" customHeight="false" outlineLevel="0" collapsed="false">
      <c r="A18" s="14" t="s">
        <v>50</v>
      </c>
    </row>
    <row r="19" customFormat="false" ht="15" hidden="false" customHeight="false" outlineLevel="0" collapsed="false">
      <c r="A19" s="14" t="s">
        <v>51</v>
      </c>
    </row>
    <row r="21" customFormat="false" ht="15" hidden="false" customHeight="false" outlineLevel="0" collapsed="false">
      <c r="A21" s="14" t="s">
        <v>52</v>
      </c>
    </row>
    <row r="22" customFormat="false" ht="15" hidden="false" customHeight="false" outlineLevel="0" collapsed="false">
      <c r="A22" s="14" t="s">
        <v>53</v>
      </c>
    </row>
    <row r="24" customFormat="false" ht="15" hidden="false" customHeight="false" outlineLevel="0" collapsed="false">
      <c r="A24" s="15" t="s">
        <v>54</v>
      </c>
    </row>
    <row r="25" customFormat="false" ht="15" hidden="false" customHeight="false" outlineLevel="0" collapsed="false">
      <c r="A25" s="17" t="s">
        <v>55</v>
      </c>
      <c r="B25" s="17" t="s">
        <v>56</v>
      </c>
      <c r="C25" s="17" t="s">
        <v>57</v>
      </c>
    </row>
    <row r="26" customFormat="false" ht="15" hidden="false" customHeight="false" outlineLevel="0" collapsed="false">
      <c r="A26" s="17" t="s">
        <v>58</v>
      </c>
    </row>
    <row r="28" customFormat="false" ht="15" hidden="false" customHeight="false" outlineLevel="0" collapsed="false">
      <c r="A28" s="15" t="s">
        <v>59</v>
      </c>
    </row>
    <row r="29" customFormat="false" ht="27.75" hidden="false" customHeight="true" outlineLevel="0" collapsed="false">
      <c r="A29" s="20" t="s">
        <v>60</v>
      </c>
      <c r="B29" s="20" t="s">
        <v>61</v>
      </c>
      <c r="C29" s="20" t="s">
        <v>62</v>
      </c>
    </row>
    <row ht="27" customHeight="true" r="30" customFormat="false" hidden="false" outlineLevel="0" collapsed="false">
      <c s="40" r="A30" t="s">
        <v>63</v>
      </c>
      <c r="B30" s="19" t="s">
        <v>39</v>
      </c>
      <c r="C30" s="17" t="s">
        <v>64</v>
      </c>
    </row>
    <row r="31" customFormat="false" ht="15" hidden="false" customHeight="false" outlineLevel="0" collapsed="false">
      <c r="A31" s="17" t="s">
        <v>65</v>
      </c>
      <c r="B31" s="19" t="s">
        <v>43</v>
      </c>
      <c r="C31" s="17" t="s">
        <v>66</v>
      </c>
    </row>
    <row r="32" customFormat="false" ht="15" hidden="false" customHeight="false" outlineLevel="0" collapsed="false">
      <c r="A32" s="17" t="s">
        <v>67</v>
      </c>
      <c r="B32" s="19" t="s">
        <v>39</v>
      </c>
      <c r="C32" s="17" t="s">
        <v>68</v>
      </c>
    </row>
    <row r="33" customFormat="false" ht="15" hidden="false" customHeight="false" outlineLevel="0" collapsed="false">
      <c r="A33" s="17" t="s">
        <v>69</v>
      </c>
      <c r="B33" s="19" t="s">
        <v>41</v>
      </c>
      <c r="C33" s="17" t="s">
        <v>70</v>
      </c>
    </row>
    <row r="34" customFormat="false" ht="15" hidden="false" customHeight="false" outlineLevel="0" collapsed="false">
      <c r="A34" s="17" t="s">
        <v>71</v>
      </c>
      <c r="B34" s="19" t="s">
        <v>45</v>
      </c>
      <c r="C34" s="17" t="s">
        <v>72</v>
      </c>
    </row>
    <row r="35" customFormat="false" ht="15" hidden="false" customHeight="false" outlineLevel="0" collapsed="false">
      <c r="A35" s="17" t="s">
        <v>73</v>
      </c>
      <c r="B35" s="19" t="s">
        <v>45</v>
      </c>
      <c r="C35" s="17" t="s">
        <v>74</v>
      </c>
    </row>
    <row r="37" customFormat="false" ht="15" hidden="false" customHeight="false" outlineLevel="0" collapsed="false">
      <c r="A37" s="15" t="s">
        <v>75</v>
      </c>
    </row>
    <row r="38" customFormat="false" ht="15" hidden="false" customHeight="false" outlineLevel="0" collapsed="false">
      <c r="A38" s="17" t="s">
        <v>76</v>
      </c>
    </row>
    <row r="39" customFormat="false" ht="15" hidden="false" customHeight="false" outlineLevel="0" collapsed="false">
      <c r="A39" s="17" t="s">
        <v>77</v>
      </c>
    </row>
    <row r="40" customFormat="false" ht="15" hidden="false" customHeight="false" outlineLevel="0" collapsed="false">
      <c r="A40" s="14" t="s">
        <v>78</v>
      </c>
    </row>
    <row r="42" customFormat="false" ht="15" hidden="false" customHeight="false" outlineLevel="0" collapsed="false">
      <c r="A42" s="15" t="s">
        <v>79</v>
      </c>
    </row>
    <row r="43" customFormat="false" ht="15" hidden="false" customHeight="false" outlineLevel="0" collapsed="false">
      <c r="A43" s="14" t="s">
        <v>80</v>
      </c>
    </row>
    <row r="44" customFormat="false" ht="15" hidden="false" customHeight="false" outlineLevel="0" collapsed="false">
      <c r="A44" s="14" t="s">
        <v>81</v>
      </c>
    </row>
    <row r="45" customFormat="false" ht="15" hidden="false" customHeight="false" outlineLevel="0" collapsed="false">
      <c r="A45" s="14" t="s">
        <v>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8"/>
    <col collapsed="false" customWidth="true" hidden="false" outlineLevel="0" max="5" min="4" style="0" width="11"/>
    <col collapsed="false" customWidth="true" hidden="false" outlineLevel="0" max="6" min="6" style="0" width="13"/>
    <col collapsed="false" customWidth="true" hidden="false" outlineLevel="0" max="7" min="7" style="0" width="11"/>
    <col collapsed="false" customWidth="true" hidden="false" outlineLevel="0" max="8" min="8" style="0" width="13"/>
  </cols>
  <sheetData>
    <row r="1" customFormat="false" ht="17.35" hidden="false" customHeight="false" outlineLevel="0" collapsed="false">
      <c r="A1" s="1" t="s">
        <v>83</v>
      </c>
    </row>
    <row r="2" customFormat="false" ht="15" hidden="false" customHeight="false" outlineLevel="0" collapsed="false">
      <c r="A2" s="13" t="s">
        <v>84</v>
      </c>
    </row>
    <row r="4" customFormat="false" ht="15" hidden="false" customHeight="false" outlineLevel="0" collapsed="false">
      <c r="A4" s="15" t="s">
        <v>85</v>
      </c>
    </row>
    <row r="5" customFormat="false" ht="15" hidden="false" customHeight="false" outlineLevel="0" collapsed="false">
      <c r="A5" s="17" t="s">
        <v>86</v>
      </c>
      <c r="B5" s="21" t="n">
        <v>327.43</v>
      </c>
      <c r="D5" s="17" t="s">
        <v>87</v>
      </c>
    </row>
    <row r="6" customFormat="false" ht="15" hidden="false" customHeight="false" outlineLevel="0" collapsed="false">
      <c r="A6" s="17" t="s">
        <v>88</v>
      </c>
      <c r="B6" s="22" t="n">
        <v>640</v>
      </c>
      <c r="D6" s="17" t="s">
        <v>89</v>
      </c>
    </row>
    <row r="8" customFormat="false" ht="27.75" hidden="false" customHeight="true" outlineLevel="0" collapsed="false">
      <c r="A8" s="20" t="s">
        <v>90</v>
      </c>
      <c r="B8" s="20" t="s">
        <v>91</v>
      </c>
      <c r="C8" s="20" t="s">
        <v>92</v>
      </c>
      <c r="D8" s="20" t="s">
        <v>93</v>
      </c>
      <c r="E8" s="20" t="s">
        <v>94</v>
      </c>
      <c r="F8" s="20" t="s">
        <v>95</v>
      </c>
      <c r="G8" s="20" t="s">
        <v>96</v>
      </c>
      <c r="H8" s="20" t="s">
        <v>39</v>
      </c>
    </row>
    <row r="9" customFormat="false" ht="15" hidden="false" customHeight="false" outlineLevel="0" collapsed="false">
      <c r="A9" s="17" t="s">
        <v>97</v>
      </c>
      <c r="B9" s="17" t="s">
        <v>98</v>
      </c>
      <c r="C9" s="23" t="n">
        <v>3.85</v>
      </c>
      <c r="D9" s="24" t="n">
        <f aca="false">$B$5</f>
        <v>327.43</v>
      </c>
      <c r="E9" s="22" t="n">
        <v>400</v>
      </c>
      <c r="F9" s="25" t="n">
        <f aca="false">C9*D9+E9</f>
        <v>1660.6055</v>
      </c>
      <c r="G9" s="26" t="n">
        <v>1</v>
      </c>
      <c r="H9" s="27" t="n">
        <f aca="false">IF(G9=0,0,F9/G9)</f>
        <v>1660.6055</v>
      </c>
    </row>
    <row r="10" customFormat="false" ht="15" hidden="false" customHeight="false" outlineLevel="0" collapsed="false">
      <c r="A10" s="17" t="s">
        <v>99</v>
      </c>
      <c r="B10" s="17" t="s">
        <v>98</v>
      </c>
      <c r="C10" s="23" t="n">
        <v>0.5</v>
      </c>
      <c r="D10" s="24" t="n">
        <f aca="false">$B$5</f>
        <v>327.43</v>
      </c>
      <c r="E10" s="22" t="n">
        <v>0</v>
      </c>
      <c r="F10" s="25" t="n">
        <f aca="false">C10*D10+E10</f>
        <v>163.715</v>
      </c>
      <c r="G10" s="26" t="n">
        <v>1</v>
      </c>
      <c r="H10" s="27" t="n">
        <f aca="false">IF(G10=0,0,F10/G10)</f>
        <v>163.715</v>
      </c>
    </row>
    <row r="11" customFormat="false" ht="15" hidden="false" customHeight="false" outlineLevel="0" collapsed="false">
      <c r="A11" s="17" t="s">
        <v>100</v>
      </c>
      <c r="B11" s="17" t="s">
        <v>101</v>
      </c>
      <c r="C11" s="23" t="n">
        <v>5</v>
      </c>
      <c r="D11" s="24" t="n">
        <f aca="false">$B$5</f>
        <v>327.43</v>
      </c>
      <c r="E11" s="22" t="n">
        <v>1900</v>
      </c>
      <c r="F11" s="25" t="n">
        <f aca="false">C11*D11+E11</f>
        <v>3537.15</v>
      </c>
      <c r="G11" s="26" t="n">
        <v>24</v>
      </c>
      <c r="H11" s="27" t="n">
        <f aca="false">IF(G11=0,0,F11/G11)</f>
        <v>147.38125</v>
      </c>
    </row>
    <row r="12" customFormat="false" ht="15" hidden="false" customHeight="false" outlineLevel="0" collapsed="false">
      <c r="A12" s="17" t="s">
        <v>102</v>
      </c>
      <c r="B12" s="17" t="s">
        <v>101</v>
      </c>
      <c r="C12" s="23" t="n">
        <v>0</v>
      </c>
      <c r="D12" s="21" t="n">
        <v>0</v>
      </c>
      <c r="E12" s="22" t="n">
        <v>14000</v>
      </c>
      <c r="F12" s="25" t="n">
        <f aca="false">C12*D12+E12</f>
        <v>14000</v>
      </c>
      <c r="G12" s="26" t="n">
        <v>26000</v>
      </c>
      <c r="H12" s="27" t="n">
        <f aca="false">IF(G12=0,0,F12/G12)</f>
        <v>0.538461538461538</v>
      </c>
    </row>
    <row r="13" customFormat="false" ht="15" hidden="false" customHeight="false" outlineLevel="0" collapsed="false">
      <c r="A13" s="17" t="s">
        <v>103</v>
      </c>
      <c r="B13" s="17" t="s">
        <v>101</v>
      </c>
      <c r="C13" s="23" t="n">
        <v>0</v>
      </c>
      <c r="D13" s="21" t="n">
        <v>0</v>
      </c>
      <c r="E13" s="22" t="n">
        <v>6000</v>
      </c>
      <c r="F13" s="25" t="n">
        <f aca="false">C13*D13+E13</f>
        <v>6000</v>
      </c>
      <c r="G13" s="26" t="n">
        <v>18000</v>
      </c>
      <c r="H13" s="27" t="n">
        <f aca="false">IF(G13=0,0,F13/G13)</f>
        <v>0.333333333333333</v>
      </c>
    </row>
    <row r="14" customFormat="false" ht="15" hidden="false" customHeight="false" outlineLevel="0" collapsed="false">
      <c r="A14" s="17" t="s">
        <v>104</v>
      </c>
      <c r="B14" s="17" t="s">
        <v>98</v>
      </c>
      <c r="C14" s="23" t="n">
        <v>0</v>
      </c>
      <c r="D14" s="21" t="n">
        <v>0</v>
      </c>
      <c r="E14" s="22" t="n">
        <v>0</v>
      </c>
      <c r="F14" s="25" t="n">
        <f aca="false">C14*D14+E14</f>
        <v>0</v>
      </c>
      <c r="G14" s="26" t="n">
        <v>1</v>
      </c>
      <c r="H14" s="27" t="n">
        <f aca="false">IF(G14=0,0,F14/G14)</f>
        <v>0</v>
      </c>
    </row>
    <row r="15" customFormat="false" ht="15" hidden="false" customHeight="false" outlineLevel="0" collapsed="false">
      <c r="A15" s="17" t="s">
        <v>105</v>
      </c>
      <c r="B15" s="17" t="s">
        <v>101</v>
      </c>
      <c r="C15" s="23" t="n">
        <v>0</v>
      </c>
      <c r="D15" s="21" t="n">
        <v>0</v>
      </c>
      <c r="E15" s="22" t="n">
        <v>250000</v>
      </c>
      <c r="F15" s="25" t="n">
        <f aca="false">C15*D15+E15</f>
        <v>250000</v>
      </c>
      <c r="G15" s="26" t="n">
        <v>500000</v>
      </c>
      <c r="H15" s="27" t="n">
        <f aca="false">IF(G15=0,0,F15/G15)</f>
        <v>0.5</v>
      </c>
    </row>
    <row r="17" customFormat="false" ht="15" hidden="false" customHeight="false" outlineLevel="0" collapsed="false">
      <c r="A17" s="15" t="s">
        <v>106</v>
      </c>
    </row>
    <row r="18" customFormat="false" ht="15" hidden="false" customHeight="false" outlineLevel="0" collapsed="false">
      <c r="A18" s="17" t="s">
        <v>107</v>
      </c>
      <c r="B18" s="27" t="n">
        <f aca="false">MIN(H9:H15)</f>
        <v>0</v>
      </c>
      <c r="D18" s="28" t="str">
        <f aca="false">INDEX(A9:A15,MATCH(MIN(H9:H15),H9:H15,0))</f>
        <v>Fornøyd kunde som anbefaler dere til naboen</v>
      </c>
    </row>
    <row r="19" customFormat="false" ht="15" hidden="false" customHeight="false" outlineLevel="0" collapsed="false">
      <c r="A19" s="17" t="s">
        <v>108</v>
      </c>
      <c r="B19" s="27" t="n">
        <f aca="false">MAX(H9:H15)</f>
        <v>1660.6055</v>
      </c>
      <c r="D19" s="28" t="str">
        <f aca="false">INDEX(A9:A15,MATCH(MAX(H9:H15),H9:H15,0))</f>
        <v>Besøk hos et borettslagsstyre</v>
      </c>
    </row>
    <row r="20" customFormat="false" ht="15" hidden="false" customHeight="false" outlineLevel="0" collapsed="false">
      <c r="A20" s="17" t="s">
        <v>109</v>
      </c>
      <c r="B20" s="29" t="n">
        <f aca="false">IF(H13=0,0,F9/H13)</f>
        <v>4981.8165</v>
      </c>
      <c r="D20" s="17" t="s">
        <v>110</v>
      </c>
    </row>
    <row r="22" customFormat="false" ht="15" hidden="false" customHeight="false" outlineLevel="0" collapsed="false">
      <c r="A22" s="15" t="s">
        <v>111</v>
      </c>
    </row>
    <row r="23" customFormat="false" ht="15" hidden="false" customHeight="false" outlineLevel="0" collapsed="false">
      <c r="A23" s="17" t="s">
        <v>112</v>
      </c>
      <c r="B23" s="26" t="n">
        <v>20</v>
      </c>
    </row>
    <row r="24" customFormat="false" ht="15" hidden="false" customHeight="false" outlineLevel="0" collapsed="false">
      <c r="A24" s="17" t="s">
        <v>113</v>
      </c>
      <c r="B24" s="22" t="n">
        <v>8830</v>
      </c>
    </row>
    <row r="25" customFormat="false" ht="15" hidden="false" customHeight="false" outlineLevel="0" collapsed="false">
      <c r="A25" s="17" t="s">
        <v>114</v>
      </c>
      <c r="B25" s="30" t="n">
        <f aca="false">B23*B24</f>
        <v>176600</v>
      </c>
    </row>
    <row r="26" customFormat="false" ht="15" hidden="false" customHeight="false" outlineLevel="0" collapsed="false">
      <c r="A26" s="17" t="s">
        <v>115</v>
      </c>
      <c r="B26" s="31" t="n">
        <f aca="false">IF(B25=0,0,F9/B25)</f>
        <v>0.00940320215175538</v>
      </c>
      <c r="D26" s="29" t="str">
        <f aca="false">IF(B26&lt;0.02,"Ja - personlig salg er lett å forsvare her","Nei - kontaktprisen spiser for mye av ordren")</f>
        <v>Ja - personlig salg er lett å forsvare her</v>
      </c>
    </row>
    <row r="28" customFormat="false" ht="15" hidden="false" customHeight="false" outlineLevel="0" collapsed="false">
      <c r="A28" s="19" t="s">
        <v>116</v>
      </c>
    </row>
    <row r="29" customFormat="false" ht="15" hidden="false" customHeight="false" outlineLevel="0" collapsed="false">
      <c r="A29" s="17" t="s">
        <v>117</v>
      </c>
    </row>
    <row r="31" customFormat="false" ht="15" hidden="false" customHeight="false" outlineLevel="0" collapsed="false">
      <c r="A31" s="15" t="s">
        <v>118</v>
      </c>
    </row>
    <row r="32" customFormat="false" ht="15" hidden="false" customHeight="false" outlineLevel="0" collapsed="false">
      <c r="A32" s="17" t="s">
        <v>119</v>
      </c>
      <c r="E32" s="32" t="str">
        <f aca="false">IF(ABS(H9*G9-F9)&lt;0.01,"OK — kontaktprisen er samlet kostnad delt på antall i målgruppen som nås","AVVIK: kontaktprisen stemmer ikke med kostnaden og rekkevidden")</f>
        <v>OK — kontaktprisen er samlet kostnad delt på antall i målgruppen som nås</v>
      </c>
    </row>
    <row r="33" customFormat="false" ht="15" hidden="false" customHeight="false" outlineLevel="0" collapsed="false">
      <c r="A33" s="17" t="s">
        <v>120</v>
      </c>
      <c r="E33" s="32" t="str">
        <f aca="false">IF(MIN(H9:H15)=0,"OK — den billigste kanalen i tabellen koster ingenting. Det er anbefalingen fra en fornøyd kunde, og troverdigheten er den høyeste av alle","AVVIK: kontroller raden om anbefaling")</f>
        <v>OK — den billigste kanalen i tabellen koster ingenting. Det er anbefalingen fra en fornøyd kunde, og troverdigheten er den høyeste av alle</v>
      </c>
    </row>
    <row r="34" customFormat="false" ht="15" hidden="false" customHeight="false" outlineLevel="0" collapsed="false">
      <c r="A34" s="17" t="s">
        <v>121</v>
      </c>
      <c r="E34" s="32" t="str">
        <f aca="false">IF(B26&lt;0.02,"OK — kontaktprisen spiser under to prosent av ordreverdien. Personlig salg er lett å forsvare her","AVVIK: kontaktprisen spiser for mye av ordren")</f>
        <v>OK — kontaktprisen spiser under to prosent av ordreverdien. Personlig salg er lett å forsvare her</v>
      </c>
    </row>
    <row r="36" customFormat="false" ht="15" hidden="false" customHeight="false" outlineLevel="0" collapsed="false">
      <c r="A36" s="19" t="s">
        <v>122</v>
      </c>
    </row>
  </sheetData>
  <conditionalFormatting sqref="E32">
    <cfRule type="expression" priority="2" aboveAverage="0" equalAverage="0" bottom="0" percent="0" rank="0" text="" dxfId="0">
      <formula>LEFT(E32,5)="AVVIK"</formula>
    </cfRule>
  </conditionalFormatting>
  <conditionalFormatting sqref="E33">
    <cfRule type="expression" priority="3" aboveAverage="0" equalAverage="0" bottom="0" percent="0" rank="0" text="" dxfId="0">
      <formula>LEFT(E33,5)="AVVIK"</formula>
    </cfRule>
  </conditionalFormatting>
  <conditionalFormatting sqref="E34">
    <cfRule type="expression" priority="4" aboveAverage="0" equalAverage="0" bottom="0" percent="0" rank="0" text="" dxfId="0">
      <formula>LEFT(E34,5)="AVVIK"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123</v>
      </c>
    </row>
    <row r="2" customFormat="false" ht="15" hidden="false" customHeight="false" outlineLevel="0" collapsed="false">
      <c r="A2" s="13" t="s">
        <v>124</v>
      </c>
    </row>
    <row ht="39.75" customHeight="true" r="4" customFormat="false" hidden="false" outlineLevel="0" collapsed="false">
      <c r="A4" s="20"/>
      <c r="B4" s="20" t="s">
        <v>125</v>
      </c>
      <c r="C4" s="20" t="s">
        <v>126</v>
      </c>
      <c r="D4" s="20" t="s">
        <v>127</v>
      </c>
    </row>
    <row r="5" customFormat="false" ht="15" hidden="false" customHeight="false" outlineLevel="0" collapsed="false">
      <c r="A5" s="17" t="s">
        <v>128</v>
      </c>
      <c r="B5" s="26" t="n">
        <v>150</v>
      </c>
      <c r="C5" s="26" t="n">
        <v>48</v>
      </c>
      <c r="D5" s="17" t="s">
        <v>129</v>
      </c>
    </row>
    <row r="6" customFormat="false" ht="15" hidden="false" customHeight="false" outlineLevel="0" collapsed="false">
      <c r="A6" s="17" t="s">
        <v>130</v>
      </c>
      <c r="B6" s="26" t="n">
        <v>6</v>
      </c>
      <c r="C6" s="26" t="n">
        <v>4</v>
      </c>
      <c r="D6" s="17" t="s">
        <v>131</v>
      </c>
    </row>
    <row r="7" customFormat="false" ht="15" hidden="false" customHeight="false" outlineLevel="0" collapsed="false">
      <c r="A7" s="17" t="s">
        <v>132</v>
      </c>
      <c r="B7" s="28" t="n">
        <f aca="false">B5*B6</f>
        <v>900</v>
      </c>
      <c r="C7" s="28" t="n">
        <f aca="false">C5*C6</f>
        <v>192</v>
      </c>
      <c r="D7" s="17" t="s">
        <v>133</v>
      </c>
    </row>
    <row r="9" customFormat="false" ht="15" hidden="false" customHeight="false" outlineLevel="0" collapsed="false">
      <c r="A9" s="17" t="s">
        <v>134</v>
      </c>
      <c r="B9" s="26" t="n">
        <v>220</v>
      </c>
      <c r="C9" s="26" t="n">
        <v>220</v>
      </c>
      <c r="D9" s="17" t="s">
        <v>8</v>
      </c>
    </row>
    <row r="10" customFormat="false" ht="15" hidden="false" customHeight="false" outlineLevel="0" collapsed="false">
      <c r="A10" s="17" t="s">
        <v>135</v>
      </c>
      <c r="B10" s="26" t="n">
        <v>2</v>
      </c>
      <c r="C10" s="26" t="n">
        <v>2</v>
      </c>
    </row>
    <row r="11" customFormat="false" ht="15" hidden="false" customHeight="false" outlineLevel="0" collapsed="false">
      <c r="A11" s="17" t="s">
        <v>136</v>
      </c>
      <c r="B11" s="28" t="n">
        <f aca="false">B9*B10</f>
        <v>440</v>
      </c>
      <c r="C11" s="28" t="n">
        <f aca="false">C9*C10</f>
        <v>440</v>
      </c>
    </row>
    <row r="13" customFormat="false" ht="15" hidden="false" customHeight="false" outlineLevel="0" collapsed="false">
      <c r="A13" s="17" t="s">
        <v>137</v>
      </c>
      <c r="B13" s="33" t="n">
        <f aca="false">IF(B11=0,0,B7/B11)</f>
        <v>2.04545454545455</v>
      </c>
      <c r="C13" s="33" t="n">
        <f aca="false">IF(C11=0,0,C7/C11)</f>
        <v>0.436363636363636</v>
      </c>
      <c r="D13" s="17" t="s">
        <v>138</v>
      </c>
    </row>
    <row r="15" customFormat="false" ht="15" hidden="false" customHeight="false" outlineLevel="0" collapsed="false">
      <c r="A15" s="15" t="s">
        <v>139</v>
      </c>
    </row>
    <row r="16" customFormat="false" ht="15" hidden="false" customHeight="false" outlineLevel="0" collapsed="false">
      <c r="A16" s="17" t="s">
        <v>140</v>
      </c>
      <c r="B16" s="28" t="n">
        <f aca="false">ROUNDDOWN(B13,0)</f>
        <v>2</v>
      </c>
      <c r="C16" s="28" t="n">
        <f aca="false">ROUNDDOWN(C13,0)</f>
        <v>0</v>
      </c>
      <c r="D16" s="17" t="s">
        <v>141</v>
      </c>
    </row>
    <row r="17" customFormat="false" ht="15" hidden="false" customHeight="false" outlineLevel="0" collapsed="false">
      <c r="A17" s="17" t="s">
        <v>142</v>
      </c>
      <c r="B17" s="28" t="n">
        <f aca="false">B16*B11</f>
        <v>880</v>
      </c>
      <c r="C17" s="28" t="n">
        <f aca="false">C16*C11</f>
        <v>0</v>
      </c>
    </row>
    <row r="18" customFormat="false" ht="15" hidden="false" customHeight="false" outlineLevel="0" collapsed="false">
      <c r="A18" s="17" t="s">
        <v>143</v>
      </c>
      <c r="B18" s="29" t="n">
        <f aca="false">B7-B17</f>
        <v>20</v>
      </c>
      <c r="C18" s="29" t="n">
        <f aca="false">C7-C17</f>
        <v>192</v>
      </c>
      <c r="D18" s="17" t="s">
        <v>144</v>
      </c>
    </row>
    <row r="19" customFormat="false" ht="15" hidden="false" customHeight="false" outlineLevel="0" collapsed="false">
      <c r="A19" s="17" t="s">
        <v>145</v>
      </c>
      <c r="B19" s="34" t="n">
        <f aca="false">IF(B7=0,0,B18/B7)</f>
        <v>0.0222222222222222</v>
      </c>
      <c r="C19" s="34" t="n">
        <f aca="false">IF(C7=0,0,C18/C7)</f>
        <v>1</v>
      </c>
    </row>
    <row r="21" customFormat="false" ht="15" hidden="false" customHeight="false" outlineLevel="0" collapsed="false">
      <c r="A21" s="17" t="s">
        <v>146</v>
      </c>
      <c r="B21" s="28" t="n">
        <f aca="false">ROUNDUP(B13,0)</f>
        <v>3</v>
      </c>
      <c r="C21" s="28" t="n">
        <f aca="false">ROUNDUP(C13,0)</f>
        <v>1</v>
      </c>
    </row>
    <row r="22" customFormat="false" ht="15" hidden="false" customHeight="false" outlineLevel="0" collapsed="false">
      <c r="A22" s="17" t="s">
        <v>147</v>
      </c>
      <c r="B22" s="29" t="n">
        <f aca="false">B21*B11-B7</f>
        <v>420</v>
      </c>
      <c r="C22" s="29" t="n">
        <f aca="false">C21*C11-C7</f>
        <v>248</v>
      </c>
      <c r="D22" s="17" t="s">
        <v>148</v>
      </c>
    </row>
    <row r="23" customFormat="false" ht="15" hidden="false" customHeight="false" outlineLevel="0" collapsed="false">
      <c r="A23" s="17" t="s">
        <v>149</v>
      </c>
      <c r="B23" s="35" t="n">
        <f aca="false">IF(OR(B16=0,B5=0),0,B17/B5)</f>
        <v>5.86666666666667</v>
      </c>
      <c r="C23" s="35" t="n">
        <f aca="false">IF(OR(C16=0,C5=0),0,C17/C5)</f>
        <v>0</v>
      </c>
      <c r="D23" s="17" t="s">
        <v>150</v>
      </c>
    </row>
    <row r="25" customFormat="false" ht="15" hidden="false" customHeight="false" outlineLevel="0" collapsed="false">
      <c r="A25" s="15" t="s">
        <v>151</v>
      </c>
      <c r="B25" s="29" t="str">
        <f aca="false">IF(B18=0,"Går opp eksakt","Nedrunding gir underdekning")</f>
        <v>Nedrunding gir underdekning</v>
      </c>
      <c r="C25" s="29" t="str">
        <f aca="false">IF(C16=0,"Under en hel stilling - men ikke null arbeid",IF(C18=0,"Går opp eksakt","Nedrunding gir underdekning"))</f>
        <v>Under en hel stilling - men ikke null arbeid</v>
      </c>
    </row>
    <row r="27" customFormat="false" ht="15" hidden="false" customHeight="false" outlineLevel="0" collapsed="false">
      <c r="A27" s="19" t="s">
        <v>152</v>
      </c>
    </row>
    <row r="28" customFormat="false" ht="15" hidden="false" customHeight="false" outlineLevel="0" collapsed="false">
      <c r="A28" s="17" t="s">
        <v>153</v>
      </c>
    </row>
    <row r="30" customFormat="false" ht="15" hidden="false" customHeight="false" outlineLevel="0" collapsed="false">
      <c r="A30" s="15" t="s">
        <v>118</v>
      </c>
    </row>
    <row r="31" customFormat="false" ht="15" hidden="false" customHeight="false" outlineLevel="0" collapsed="false">
      <c r="A31" s="17" t="s">
        <v>154</v>
      </c>
      <c r="E31" s="32" t="str">
        <f aca="false">IF(ABS(B13*B11-B7)&lt;0.5,"OK — behov ganger kapasitet er lik planlagte besøk","AVVIK: regnestykket henger ikke sammen")</f>
        <v>OK — behov ganger kapasitet er lik planlagte besøk</v>
      </c>
    </row>
    <row r="32" customFormat="false" ht="15" hidden="false" customHeight="false" outlineLevel="0" collapsed="false">
      <c r="A32" s="17" t="s">
        <v>155</v>
      </c>
      <c r="E32" s="32" t="str">
        <f aca="false">IF(B18&gt;0,"OK — nedrunding gir underdekning, og da må du velge hvilken vei du runder og si hvorfor","AVVIK: behovet går opp eksakt, og da finnes ikke avrundingsspørsmålet")</f>
        <v>OK — nedrunding gir underdekning, og da må du velge hvilken vei du runder og si hvorfor</v>
      </c>
    </row>
    <row r="33" customFormat="false" ht="15" hidden="false" customHeight="false" outlineLevel="0" collapsed="false">
      <c r="A33" s="17" t="s">
        <v>156</v>
      </c>
      <c r="E33" s="32" t="str">
        <f aca="false">IF(C13&lt;1,"OK — behovet er under én stilling. Det betyr ikke null arbeid, men at noen må ha tiden avsatt i kalenderen","AVVIK: behovet er over én stilling. Da er spørsmålet et ansettelsesspørsmål")</f>
        <v>OK — behovet er under én stilling. Det betyr ikke null arbeid, men at noen må ha tiden avsatt i kalenderen</v>
      </c>
    </row>
  </sheetData>
  <conditionalFormatting sqref="E31">
    <cfRule type="expression" priority="2" aboveAverage="0" equalAverage="0" bottom="0" percent="0" rank="0" text="" dxfId="0">
      <formula>LEFT(E31,5)="AVVIK"</formula>
    </cfRule>
  </conditionalFormatting>
  <conditionalFormatting sqref="E32">
    <cfRule type="expression" priority="3" aboveAverage="0" equalAverage="0" bottom="0" percent="0" rank="0" text="" dxfId="0">
      <formula>LEFT(E32,5)="AVVIK"</formula>
    </cfRule>
  </conditionalFormatting>
  <conditionalFormatting sqref="E33">
    <cfRule type="expression" priority="4" aboveAverage="0" equalAverage="0" bottom="0" percent="0" rank="0" text="" dxfId="0">
      <formula>LEFT(E33,5)="AVVIK"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58"/>
  </cols>
  <sheetData>
    <row r="1" customFormat="false" ht="17.35" hidden="false" customHeight="false" outlineLevel="0" collapsed="false">
      <c r="A1" s="1" t="s">
        <v>157</v>
      </c>
    </row>
    <row r="2" customFormat="false" ht="15" hidden="false" customHeight="false" outlineLevel="0" collapsed="false">
      <c r="A2" s="13" t="s">
        <v>158</v>
      </c>
    </row>
    <row r="4" customFormat="false" ht="15" hidden="false" customHeight="false" outlineLevel="0" collapsed="false">
      <c r="A4" s="15" t="s">
        <v>159</v>
      </c>
    </row>
    <row r="5" customFormat="false" ht="15" hidden="false" customHeight="false" outlineLevel="0" collapsed="false">
      <c r="A5" s="17" t="s">
        <v>160</v>
      </c>
      <c r="B5" s="22" t="n">
        <v>4400</v>
      </c>
      <c r="C5" s="17" t="s">
        <v>161</v>
      </c>
    </row>
    <row r="6" customFormat="false" ht="15" hidden="false" customHeight="false" outlineLevel="0" collapsed="false">
      <c r="A6" s="17" t="s">
        <v>162</v>
      </c>
      <c r="B6" s="26" t="n">
        <v>8</v>
      </c>
      <c r="C6" s="17" t="s">
        <v>163</v>
      </c>
    </row>
    <row r="7" customFormat="false" ht="15" hidden="false" customHeight="false" outlineLevel="0" collapsed="false">
      <c r="A7" s="17" t="s">
        <v>164</v>
      </c>
      <c r="B7" s="36" t="n">
        <v>0.25</v>
      </c>
      <c r="C7" s="17" t="s">
        <v>165</v>
      </c>
    </row>
    <row r="9" customFormat="false" ht="15" hidden="false" customHeight="false" outlineLevel="0" collapsed="false">
      <c r="A9" s="15" t="s">
        <v>166</v>
      </c>
    </row>
    <row r="10" customFormat="false" ht="15" hidden="false" customHeight="false" outlineLevel="0" collapsed="false">
      <c r="A10" s="17" t="s">
        <v>167</v>
      </c>
      <c r="B10" s="35" t="n">
        <f aca="false">B6*B7</f>
        <v>2</v>
      </c>
    </row>
    <row r="11" customFormat="false" ht="15" hidden="false" customHeight="false" outlineLevel="0" collapsed="false">
      <c r="A11" s="17" t="s">
        <v>168</v>
      </c>
      <c r="B11" s="30" t="n">
        <f aca="false">B10*B5</f>
        <v>8800</v>
      </c>
      <c r="C11" s="17" t="s">
        <v>169</v>
      </c>
    </row>
    <row r="13" customFormat="false" ht="15" hidden="false" customHeight="false" outlineLevel="0" collapsed="false">
      <c r="A13" s="15" t="s">
        <v>170</v>
      </c>
    </row>
    <row r="14" customFormat="false" ht="15" hidden="false" customHeight="false" outlineLevel="0" collapsed="false">
      <c r="A14" s="17" t="s">
        <v>171</v>
      </c>
      <c r="B14" s="26" t="n">
        <v>1</v>
      </c>
    </row>
    <row r="15" customFormat="false" ht="15" hidden="false" customHeight="false" outlineLevel="0" collapsed="false">
      <c r="A15" s="17" t="s">
        <v>172</v>
      </c>
      <c r="B15" s="26" t="n">
        <v>2</v>
      </c>
    </row>
    <row r="16" customFormat="false" ht="15" hidden="false" customHeight="false" outlineLevel="0" collapsed="false">
      <c r="A16" s="17" t="s">
        <v>173</v>
      </c>
      <c r="B16" s="22" t="n">
        <v>640</v>
      </c>
    </row>
    <row r="17" customFormat="false" ht="15" hidden="false" customHeight="false" outlineLevel="0" collapsed="false">
      <c r="A17" s="17" t="s">
        <v>174</v>
      </c>
      <c r="B17" s="21" t="n">
        <v>327.43</v>
      </c>
    </row>
    <row r="18" customFormat="false" ht="15" hidden="false" customHeight="false" outlineLevel="0" collapsed="false">
      <c r="A18" s="17" t="s">
        <v>175</v>
      </c>
      <c r="B18" s="30" t="n">
        <f aca="false">B14*B16+B15*B17</f>
        <v>1294.86</v>
      </c>
    </row>
    <row r="20" customFormat="false" ht="15" hidden="false" customHeight="false" outlineLevel="0" collapsed="false">
      <c r="A20" s="17" t="s">
        <v>176</v>
      </c>
      <c r="B20" s="33" t="n">
        <f aca="false">IF(B18=0,0,B11/B18)</f>
        <v>6.79610150904345</v>
      </c>
      <c r="C20" s="29" t="str">
        <f aca="false">IF(B11&gt;B18,"Det lønner seg å rette opp","Det lønner seg ikke - sjekk forutsetningene")</f>
        <v>Det lønner seg å rette opp</v>
      </c>
    </row>
    <row r="22" customFormat="false" ht="15" hidden="false" customHeight="false" outlineLevel="0" collapsed="false">
      <c r="A22" s="15" t="s">
        <v>177</v>
      </c>
    </row>
    <row r="23" customFormat="false" ht="15" hidden="false" customHeight="false" outlineLevel="0" collapsed="false">
      <c r="A23" s="17" t="s">
        <v>178</v>
      </c>
      <c r="B23" s="26" t="n">
        <v>8</v>
      </c>
    </row>
    <row r="24" customFormat="false" ht="15" hidden="false" customHeight="false" outlineLevel="0" collapsed="false">
      <c r="A24" s="17" t="s">
        <v>179</v>
      </c>
      <c r="B24" s="36" t="n">
        <v>0.15</v>
      </c>
    </row>
    <row r="25" customFormat="false" ht="15" hidden="false" customHeight="false" outlineLevel="0" collapsed="false">
      <c r="A25" s="17" t="s">
        <v>180</v>
      </c>
      <c r="B25" s="30" t="n">
        <f aca="false">B23*B24*B5</f>
        <v>5280</v>
      </c>
    </row>
    <row r="26" customFormat="false" ht="15" hidden="false" customHeight="false" outlineLevel="0" collapsed="false">
      <c r="A26" s="17" t="s">
        <v>181</v>
      </c>
      <c r="B26" s="27" t="n">
        <f aca="false">0</f>
        <v>0</v>
      </c>
      <c r="C26" s="17" t="s">
        <v>182</v>
      </c>
    </row>
    <row r="28" customFormat="false" ht="15" hidden="false" customHeight="false" outlineLevel="0" collapsed="false">
      <c r="A28" s="19" t="s">
        <v>183</v>
      </c>
    </row>
    <row r="30" customFormat="false" ht="15" hidden="false" customHeight="false" outlineLevel="0" collapsed="false">
      <c r="A30" s="15" t="s">
        <v>118</v>
      </c>
    </row>
    <row r="31" customFormat="false" ht="15" hidden="false" customHeight="false" outlineLevel="0" collapsed="false">
      <c r="A31" s="17" t="s">
        <v>184</v>
      </c>
      <c r="D31" s="32" t="str">
        <f aca="false">IF(B11&gt;B18,"OK — det koster mindre å rette opp enn å la det ligge","AVVIK: med disse forutsetningene lønner det seg ikke. Se på anslagene i B6 og B7 en gang til")</f>
        <v>OK — det koster mindre å rette opp enn å la det ligge</v>
      </c>
    </row>
    <row r="32" customFormat="false" ht="15" hidden="false" customHeight="false" outlineLevel="0" collapsed="false">
      <c r="A32" s="17" t="s">
        <v>185</v>
      </c>
      <c r="D32" s="32" t="str">
        <f aca="false">IF(AND(B7&gt;0,B7&lt;=1),"OK — andelen som lar seg påvirke er et rimelig anslag","AVVIK: andelen må ligge mellom null og hundre prosent")</f>
        <v>OK — andelen som lar seg påvirke er et rimelig anslag</v>
      </c>
    </row>
    <row r="33" customFormat="false" ht="15" hidden="false" customHeight="false" outlineLevel="0" collapsed="false">
      <c r="A33" s="17" t="s">
        <v>186</v>
      </c>
      <c r="D33" s="32" t="str">
        <f aca="false">IF(B26=0,"OK — en anbefaling koster ingenting, og det er derfor montøren er bedriftens viktigste markedsfører","AVVIK: kontroller B26")</f>
        <v>OK — en anbefaling koster ingenting, og det er derfor montøren er bedriftens viktigste markedsfører</v>
      </c>
    </row>
  </sheetData>
  <conditionalFormatting sqref="D31">
    <cfRule type="expression" priority="2" aboveAverage="0" equalAverage="0" bottom="0" percent="0" rank="0" text="" dxfId="0">
      <formula>LEFT(D31,5)="AVVIK"</formula>
    </cfRule>
  </conditionalFormatting>
  <conditionalFormatting sqref="D32">
    <cfRule type="expression" priority="3" aboveAverage="0" equalAverage="0" bottom="0" percent="0" rank="0" text="" dxfId="0">
      <formula>LEFT(D32,5)="AVVIK"</formula>
    </cfRule>
  </conditionalFormatting>
  <conditionalFormatting sqref="D33">
    <cfRule type="expression" priority="4" aboveAverage="0" equalAverage="0" bottom="0" percent="0" rank="0" text="" dxfId="0">
      <formula>LEFT(D33,5)="AVVIK"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4"/>
    <col collapsed="false" customWidth="true" hidden="false" outlineLevel="0" max="4" min="4" style="0" width="13"/>
    <col collapsed="false" customWidth="true" hidden="false" outlineLevel="0" max="6" min="5" style="0" width="12"/>
    <col collapsed="false" customWidth="true" hidden="false" outlineLevel="0" max="9" min="7" style="0" width="14"/>
    <col collapsed="false" customWidth="true" hidden="false" outlineLevel="0" max="10" min="10" style="0" width="44"/>
  </cols>
  <sheetData>
    <row r="1" customFormat="false" ht="17.35" hidden="false" customHeight="false" outlineLevel="0" collapsed="false">
      <c r="A1" s="1" t="s">
        <v>187</v>
      </c>
    </row>
    <row r="2" customFormat="false" ht="15" hidden="false" customHeight="false" outlineLevel="0" collapsed="false">
      <c r="A2" s="13" t="s">
        <v>188</v>
      </c>
    </row>
    <row r="4" customFormat="false" ht="15" hidden="false" customHeight="false" outlineLevel="0" collapsed="false">
      <c r="A4" s="15" t="s">
        <v>189</v>
      </c>
    </row>
    <row r="5" customFormat="false" ht="15" hidden="false" customHeight="false" outlineLevel="0" collapsed="false">
      <c r="A5" s="17" t="s">
        <v>190</v>
      </c>
      <c r="B5" s="22" t="n">
        <v>60000</v>
      </c>
      <c r="J5" s="17" t="s">
        <v>191</v>
      </c>
    </row>
    <row r="6" customFormat="false" ht="15" hidden="false" customHeight="false" outlineLevel="0" collapsed="false">
      <c r="A6" s="17" t="s">
        <v>160</v>
      </c>
      <c r="B6" s="22" t="n">
        <v>4400</v>
      </c>
    </row>
    <row r="7" customFormat="false" ht="15" hidden="false" customHeight="false" outlineLevel="0" collapsed="false">
      <c r="A7" s="17" t="s">
        <v>192</v>
      </c>
      <c r="B7" s="26" t="n">
        <v>20</v>
      </c>
    </row>
    <row r="8" customFormat="false" ht="15" hidden="false" customHeight="false" outlineLevel="0" collapsed="false">
      <c r="A8" s="17" t="s">
        <v>193</v>
      </c>
      <c r="B8" s="22" t="n">
        <v>1050</v>
      </c>
    </row>
    <row r="9" customFormat="false" ht="15" hidden="false" customHeight="false" outlineLevel="0" collapsed="false">
      <c r="A9" s="19" t="s">
        <v>194</v>
      </c>
      <c r="B9" s="30" t="n">
        <f aca="false">B7*B8</f>
        <v>21000</v>
      </c>
    </row>
    <row r="10" customFormat="false" ht="15" hidden="false" customHeight="false" outlineLevel="0" collapsed="false">
      <c r="A10" s="19" t="s">
        <v>195</v>
      </c>
      <c r="B10" s="33" t="n">
        <f aca="false">B5/B9</f>
        <v>2.85714285714286</v>
      </c>
    </row>
    <row r="11" customFormat="false" ht="15" hidden="false" customHeight="false" outlineLevel="0" collapsed="false">
      <c r="A11" s="19" t="s">
        <v>196</v>
      </c>
      <c r="B11" s="33" t="n">
        <f aca="false">B5/B6</f>
        <v>13.6363636363636</v>
      </c>
      <c r="J11" s="17" t="s">
        <v>197</v>
      </c>
    </row>
    <row r="13" customFormat="false" ht="15" hidden="false" customHeight="false" outlineLevel="0" collapsed="false">
      <c r="A13" s="15" t="s">
        <v>198</v>
      </c>
    </row>
    <row r="14" customFormat="false" ht="27.75" hidden="false" customHeight="true" outlineLevel="0" collapsed="false">
      <c r="A14" s="20" t="s">
        <v>199</v>
      </c>
      <c r="B14" s="20" t="s">
        <v>200</v>
      </c>
      <c r="C14" s="20" t="s">
        <v>201</v>
      </c>
      <c r="D14" s="20" t="s">
        <v>202</v>
      </c>
      <c r="E14" s="20" t="s">
        <v>203</v>
      </c>
      <c r="F14" s="20" t="s">
        <v>204</v>
      </c>
      <c r="G14" s="20" t="s">
        <v>205</v>
      </c>
      <c r="H14" s="20" t="s">
        <v>206</v>
      </c>
      <c r="I14" s="20" t="s">
        <v>207</v>
      </c>
      <c r="J14" s="20" t="s">
        <v>208</v>
      </c>
    </row>
    <row r="15" customFormat="false" ht="15" hidden="false" customHeight="false" outlineLevel="0" collapsed="false">
      <c r="A15" s="17" t="s">
        <v>97</v>
      </c>
      <c r="B15" s="26" t="n">
        <v>12</v>
      </c>
      <c r="C15" s="21" t="n">
        <v>1660.61</v>
      </c>
      <c r="D15" s="25" t="n">
        <f aca="false">B15*C15</f>
        <v>19927.32</v>
      </c>
      <c r="E15" s="26" t="n">
        <v>1</v>
      </c>
      <c r="F15" s="37" t="n">
        <f aca="false">B15*E15</f>
        <v>12</v>
      </c>
      <c r="G15" s="38" t="n">
        <v>0.2</v>
      </c>
      <c r="H15" s="33" t="n">
        <f aca="false">F15*G15</f>
        <v>2.4</v>
      </c>
      <c r="I15" s="22" t="n">
        <v>21000</v>
      </c>
      <c r="J15" s="17" t="s">
        <v>209</v>
      </c>
    </row>
    <row r="16" customFormat="false" ht="15" hidden="false" customHeight="false" outlineLevel="0" collapsed="false">
      <c r="A16" s="17" t="s">
        <v>100</v>
      </c>
      <c r="B16" s="26" t="n">
        <v>2</v>
      </c>
      <c r="C16" s="21" t="n">
        <v>3537.15</v>
      </c>
      <c r="D16" s="25" t="n">
        <f aca="false">B16*C16</f>
        <v>7074.3</v>
      </c>
      <c r="E16" s="26" t="n">
        <v>24</v>
      </c>
      <c r="F16" s="37" t="n">
        <f aca="false">B16*E16</f>
        <v>48</v>
      </c>
      <c r="G16" s="38" t="n">
        <v>0.04</v>
      </c>
      <c r="H16" s="33" t="n">
        <f aca="false">F16*G16</f>
        <v>1.92</v>
      </c>
      <c r="I16" s="22" t="n">
        <v>21000</v>
      </c>
      <c r="J16" s="17" t="s">
        <v>210</v>
      </c>
    </row>
    <row r="17" customFormat="false" ht="15" hidden="false" customHeight="false" outlineLevel="0" collapsed="false">
      <c r="A17" s="17" t="s">
        <v>103</v>
      </c>
      <c r="B17" s="26" t="n">
        <v>3</v>
      </c>
      <c r="C17" s="21" t="n">
        <v>6000</v>
      </c>
      <c r="D17" s="25" t="n">
        <f aca="false">B17*C17</f>
        <v>18000</v>
      </c>
      <c r="E17" s="26" t="n">
        <v>18000</v>
      </c>
      <c r="F17" s="37" t="n">
        <f aca="false">B17*E17</f>
        <v>54000</v>
      </c>
      <c r="G17" s="38" t="n">
        <v>0.0002</v>
      </c>
      <c r="H17" s="33" t="n">
        <f aca="false">F17*G17</f>
        <v>10.8</v>
      </c>
      <c r="I17" s="22" t="n">
        <v>4400</v>
      </c>
      <c r="J17" s="17" t="s">
        <v>211</v>
      </c>
    </row>
    <row r="18" customFormat="false" ht="15" hidden="false" customHeight="false" outlineLevel="0" collapsed="false">
      <c r="A18" s="17" t="s">
        <v>102</v>
      </c>
      <c r="B18" s="26" t="n">
        <v>1</v>
      </c>
      <c r="C18" s="21" t="n">
        <v>14000</v>
      </c>
      <c r="D18" s="25" t="n">
        <f aca="false">B18*C18</f>
        <v>14000</v>
      </c>
      <c r="E18" s="26" t="n">
        <v>26000</v>
      </c>
      <c r="F18" s="37" t="n">
        <f aca="false">B18*E18</f>
        <v>26000</v>
      </c>
      <c r="G18" s="38" t="n">
        <v>0.0001</v>
      </c>
      <c r="H18" s="33" t="n">
        <f aca="false">F18*G18</f>
        <v>2.6</v>
      </c>
      <c r="I18" s="22" t="n">
        <v>4400</v>
      </c>
      <c r="J18" s="17" t="s">
        <v>212</v>
      </c>
    </row>
    <row r="19" customFormat="false" ht="15" hidden="false" customHeight="false" outlineLevel="0" collapsed="false">
      <c r="A19" s="17" t="s">
        <v>213</v>
      </c>
      <c r="B19" s="26" t="n">
        <v>1</v>
      </c>
      <c r="C19" s="21" t="n">
        <v>0</v>
      </c>
      <c r="D19" s="25" t="n">
        <f aca="false">B19*C19</f>
        <v>0</v>
      </c>
      <c r="E19" s="26" t="n">
        <v>8</v>
      </c>
      <c r="F19" s="37" t="n">
        <f aca="false">B19*E19</f>
        <v>8</v>
      </c>
      <c r="G19" s="36" t="n">
        <v>0.15</v>
      </c>
      <c r="H19" s="33" t="n">
        <f aca="false">F19*G19</f>
        <v>1.2</v>
      </c>
      <c r="I19" s="39" t="n">
        <f aca="false">$B$6</f>
        <v>4400</v>
      </c>
      <c r="J19" s="17" t="s">
        <v>214</v>
      </c>
    </row>
    <row r="20" customFormat="false" ht="15" hidden="false" customHeight="false" outlineLevel="0" collapsed="false">
      <c r="A20" s="19" t="s">
        <v>215</v>
      </c>
      <c r="D20" s="30" t="n">
        <f aca="false">SUM(D15:D19)</f>
        <v>59001.62</v>
      </c>
      <c r="F20" s="29" t="n">
        <f aca="false">SUM(F15:F19)</f>
        <v>80068</v>
      </c>
      <c r="H20" s="33" t="n">
        <f aca="false">SUM(H15:H19)</f>
        <v>18.92</v>
      </c>
    </row>
    <row r="22" customFormat="false" ht="15" hidden="false" customHeight="false" outlineLevel="0" collapsed="false">
      <c r="A22" s="15" t="s">
        <v>216</v>
      </c>
    </row>
    <row r="23" customFormat="false" ht="15" hidden="false" customHeight="false" outlineLevel="0" collapsed="false">
      <c r="A23" s="19" t="s">
        <v>217</v>
      </c>
      <c r="B23" s="30" t="n">
        <f aca="false">D20</f>
        <v>59001.62</v>
      </c>
    </row>
    <row r="24" customFormat="false" ht="15" hidden="false" customHeight="false" outlineLevel="0" collapsed="false">
      <c r="A24" s="19" t="s">
        <v>218</v>
      </c>
      <c r="B24" s="30" t="n">
        <f aca="false">$B$5-B23</f>
        <v>998.379999999997</v>
      </c>
    </row>
    <row r="25" customFormat="false" ht="15" hidden="false" customHeight="false" outlineLevel="0" collapsed="false">
      <c r="A25" s="19" t="s">
        <v>219</v>
      </c>
      <c r="B25" s="30" t="n">
        <f aca="false">SUMPRODUCT(H15:H19,I15:I19)</f>
        <v>154960</v>
      </c>
    </row>
    <row r="26" customFormat="false" ht="15" hidden="false" customHeight="false" outlineLevel="0" collapsed="false">
      <c r="A26" s="19" t="s">
        <v>220</v>
      </c>
      <c r="B26" s="30" t="n">
        <f aca="false">B25-B23</f>
        <v>95958.38</v>
      </c>
    </row>
    <row r="27" customFormat="false" ht="15" hidden="false" customHeight="false" outlineLevel="0" collapsed="false">
      <c r="A27" s="19" t="s">
        <v>221</v>
      </c>
      <c r="B27" s="33" t="n">
        <f aca="false">IF(B23=0,"",B25/B23)</f>
        <v>2.62636856411739</v>
      </c>
      <c r="J27" s="17" t="s">
        <v>222</v>
      </c>
    </row>
    <row r="29" customFormat="false" ht="15" hidden="false" customHeight="false" outlineLevel="0" collapsed="false">
      <c r="A29" s="15" t="s">
        <v>223</v>
      </c>
    </row>
    <row r="30" customFormat="false" ht="15" hidden="false" customHeight="false" outlineLevel="0" collapsed="false">
      <c r="A30" s="18" t="str">
        <f aca="false">A15</f>
        <v>Besøk hos et borettslagsstyre</v>
      </c>
      <c r="C30" s="24" t="n">
        <f aca="false">IF(H15=0,"",D15/H15)</f>
        <v>8303.05</v>
      </c>
      <c r="D30" s="25" t="n">
        <f aca="false">H15*I15-D15</f>
        <v>30472.68</v>
      </c>
      <c r="E30" s="14" t="s">
        <v>224</v>
      </c>
    </row>
    <row r="31" customFormat="false" ht="15" hidden="false" customHeight="false" outlineLevel="0" collapsed="false">
      <c r="A31" s="18" t="str">
        <f aca="false">A16</f>
        <v>Brev til 24 styreledere (DM)</v>
      </c>
      <c r="C31" s="24" t="n">
        <f aca="false">IF(H16=0,"",D16/H16)</f>
        <v>3684.53125</v>
      </c>
      <c r="D31" s="25" t="n">
        <f aca="false">H16*I16-D16</f>
        <v>33245.7</v>
      </c>
      <c r="E31" s="14" t="s">
        <v>224</v>
      </c>
    </row>
    <row r="32" customFormat="false" ht="15" hidden="false" customHeight="false" outlineLevel="0" collapsed="false">
      <c r="A32" s="18" t="str">
        <f aca="false">A17</f>
        <v>Målrettet annonse i sosiale medier, tre uker</v>
      </c>
      <c r="C32" s="24" t="n">
        <f aca="false">IF(H17=0,"",D17/H17)</f>
        <v>1666.66666666667</v>
      </c>
      <c r="D32" s="25" t="n">
        <f aca="false">H17*I17-D17</f>
        <v>29520</v>
      </c>
      <c r="E32" s="14" t="s">
        <v>224</v>
      </c>
    </row>
    <row r="33" customFormat="false" ht="15" hidden="false" customHeight="false" outlineLevel="0" collapsed="false">
      <c r="A33" s="18" t="str">
        <f aca="false">A18</f>
        <v>Kvartside i lokalavisa</v>
      </c>
      <c r="C33" s="24" t="n">
        <f aca="false">IF(H18=0,"",D18/H18)</f>
        <v>5384.61538461539</v>
      </c>
      <c r="D33" s="25" t="n">
        <f aca="false">H18*I18-D18</f>
        <v>-2560</v>
      </c>
      <c r="E33" s="14" t="s">
        <v>224</v>
      </c>
    </row>
    <row r="34" customFormat="false" ht="15" hidden="false" customHeight="false" outlineLevel="0" collapsed="false">
      <c r="A34" s="18" t="str">
        <f aca="false">A19</f>
        <v>Fornøyd kunde som anbefaler dere videre</v>
      </c>
      <c r="C34" s="24" t="n">
        <f aca="false">IF(H19=0,"",D19/H19)</f>
        <v>0</v>
      </c>
      <c r="D34" s="25" t="n">
        <f aca="false">H19*I19-D19</f>
        <v>5280</v>
      </c>
      <c r="E34" s="14" t="s">
        <v>224</v>
      </c>
    </row>
    <row r="36" customFormat="false" ht="15" hidden="false" customHeight="false" outlineLevel="0" collapsed="false">
      <c r="A36" s="17" t="s">
        <v>225</v>
      </c>
      <c r="C36" s="27" t="n">
        <f aca="false">MIN(C30:C34)</f>
        <v>0</v>
      </c>
      <c r="E36" s="32" t="str">
        <f aca="false">INDEX(A30:A34,MATCH(MIN(C30:C34),C30:C34,0))</f>
        <v>Fornøyd kunde som anbefaler dere videre</v>
      </c>
    </row>
    <row r="37" customFormat="false" ht="15" hidden="false" customHeight="false" outlineLevel="0" collapsed="false">
      <c r="A37" s="17" t="s">
        <v>226</v>
      </c>
      <c r="C37" s="27" t="n">
        <f aca="false">MAX(C30:C34)</f>
        <v>8303.05</v>
      </c>
      <c r="E37" s="32" t="str">
        <f aca="false">INDEX(A30:A34,MATCH(MAX(C30:C34),C30:C34,0))</f>
        <v>Besøk hos et borettslagsstyre</v>
      </c>
    </row>
    <row r="38" customFormat="false" ht="15" hidden="false" customHeight="false" outlineLevel="0" collapsed="false">
      <c r="A38" s="17" t="s">
        <v>227</v>
      </c>
      <c r="C38" s="30" t="n">
        <f aca="false">MIN(D30:D34)</f>
        <v>-2560</v>
      </c>
      <c r="E38" s="32" t="str">
        <f aca="false">INDEX(A30:A34,MATCH(MIN(D30:D34),D30:D34,0))</f>
        <v>Kvartside i lokalavisa</v>
      </c>
      <c r="J38" s="17" t="s">
        <v>228</v>
      </c>
    </row>
    <row r="40" customFormat="false" ht="15" hidden="false" customHeight="false" outlineLevel="0" collapsed="false">
      <c r="A40" s="15" t="s">
        <v>229</v>
      </c>
    </row>
    <row r="41" customFormat="false" ht="27.75" hidden="false" customHeight="true" outlineLevel="0" collapsed="false">
      <c r="A41" s="20" t="s">
        <v>230</v>
      </c>
      <c r="B41" s="20" t="s">
        <v>231</v>
      </c>
      <c r="C41" s="20" t="s">
        <v>232</v>
      </c>
    </row>
    <row ht="27" customHeight="true" r="42" customFormat="false" hidden="false" outlineLevel="0" collapsed="false">
      <c r="A42" s="17" t="s">
        <v>233</v>
      </c>
      <c s="40" r="B42" t="s">
        <v>234</v>
      </c>
      <c r="C42" s="17" t="s">
        <v>235</v>
      </c>
    </row>
    <row ht="27" customHeight="true" r="43" customFormat="false" hidden="false" outlineLevel="0" collapsed="false">
      <c r="A43" s="17" t="s">
        <v>236</v>
      </c>
      <c s="40" r="B43" t="s">
        <v>237</v>
      </c>
      <c r="C43" s="17" t="s">
        <v>235</v>
      </c>
    </row>
    <row ht="27" customHeight="true" r="44" customFormat="false" hidden="false" outlineLevel="0" collapsed="false">
      <c r="A44" s="17" t="s">
        <v>238</v>
      </c>
      <c s="40" r="B44" t="s">
        <v>239</v>
      </c>
      <c r="C44" s="17" t="s">
        <v>240</v>
      </c>
    </row>
    <row ht="52.5" customHeight="true" r="45" customFormat="false" hidden="false" outlineLevel="0" collapsed="false">
      <c r="A45" s="17" t="s">
        <v>241</v>
      </c>
      <c s="40" r="B45" t="s">
        <v>242</v>
      </c>
      <c r="C45" s="17" t="s">
        <v>243</v>
      </c>
    </row>
    <row r="46" customFormat="false" ht="15" hidden="false" customHeight="false" outlineLevel="0" collapsed="false">
      <c r="A46" s="19" t="s">
        <v>244</v>
      </c>
    </row>
    <row r="48" customFormat="false" ht="15" hidden="false" customHeight="false" outlineLevel="0" collapsed="false">
      <c r="A48" s="15" t="s">
        <v>118</v>
      </c>
    </row>
    <row r="49" customFormat="false" ht="15" hidden="false" customHeight="false" outlineLevel="0" collapsed="false">
      <c r="A49" s="17" t="s">
        <v>245</v>
      </c>
      <c r="C49" s="32" t="str">
        <f aca="false">IF(B23&lt;=$B$5,"OK — planen holder seg innenfor budsjettet","AVVIK: tiltakene koster mer enn du har")</f>
        <v>OK — planen holder seg innenfor budsjettet</v>
      </c>
    </row>
    <row r="50" customFormat="false" ht="15" hidden="false" customHeight="false" outlineLevel="0" collapsed="false">
      <c r="A50" s="17" t="s">
        <v>246</v>
      </c>
      <c r="C50" s="32" t="str">
        <f aca="false">IF(B26&gt;0,"OK — forventet dekningsbidrag er større enn det planen koster","AVVIK: planen koster mer enn den forventes å gi. Kutt det svakeste tiltaket")</f>
        <v>OK — forventet dekningsbidrag er større enn det planen koster</v>
      </c>
    </row>
    <row r="51" customFormat="false" ht="15" hidden="false" customHeight="false" outlineLevel="0" collapsed="false">
      <c r="A51" s="17" t="s">
        <v>247</v>
      </c>
      <c r="C51" s="32" t="str">
        <f aca="false">IF(AND(MIN(G15:G19)&gt;0,MAX(G15:G19)&lt;=1),"OK — alle treffprosentene ligger mellom null og hundre","AVVIK: en treffprosent er null eller over hundre prosent")</f>
        <v>OK — alle treffprosentene ligger mellom null og hundre</v>
      </c>
    </row>
    <row r="52" customFormat="false" ht="15" hidden="false" customHeight="false" outlineLevel="0" collapsed="false">
      <c r="A52" s="17" t="s">
        <v>248</v>
      </c>
      <c r="C52" s="32" t="str">
        <f aca="false">IF(C38&gt;0,"OK — alle tiltakene gir mer enn de koster","AVVIK: minst ett tiltak gir mindre enn det koster. Det er det du kutter først")</f>
        <v>AVVIK: minst ett tiltak gir mindre enn det koster. Det er det du kutter først</v>
      </c>
    </row>
    <row r="53" customFormat="false" ht="15" hidden="false" customHeight="false" outlineLevel="0" collapsed="false">
      <c r="A53" s="14" t="s">
        <v>249</v>
      </c>
    </row>
    <row r="54" customFormat="false" ht="15" hidden="false" customHeight="false" outlineLevel="0" collapsed="false">
      <c r="A54" s="19" t="s">
        <v>250</v>
      </c>
    </row>
    <row r="55" customFormat="false" ht="15" hidden="false" customHeight="false" outlineLevel="0" collapsed="false">
      <c r="A55" s="14" t="s">
        <v>251</v>
      </c>
    </row>
  </sheetData>
  <conditionalFormatting sqref="C49">
    <cfRule type="expression" priority="2" aboveAverage="0" equalAverage="0" bottom="0" percent="0" rank="0" text="" dxfId="0">
      <formula>LEFT(C49,5)="AVVIK"</formula>
    </cfRule>
  </conditionalFormatting>
  <conditionalFormatting sqref="C50">
    <cfRule type="expression" priority="3" aboveAverage="0" equalAverage="0" bottom="0" percent="0" rank="0" text="" dxfId="0">
      <formula>LEFT(C50,5)="AVVIK"</formula>
    </cfRule>
  </conditionalFormatting>
  <conditionalFormatting sqref="C51">
    <cfRule type="expression" priority="4" aboveAverage="0" equalAverage="0" bottom="0" percent="0" rank="0" text="" dxfId="0">
      <formula>LEFT(C51,5)="AVVIK"</formula>
    </cfRule>
  </conditionalFormatting>
  <conditionalFormatting sqref="C52">
    <cfRule type="expression" priority="5" aboveAverage="0" equalAverage="0" bottom="0" percent="0" rank="0" text="" dxfId="0">
      <formula>LEFT(C52,5)="AVVIK"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1"/>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252</v>
      </c>
    </row>
    <row r="2" customFormat="false" ht="15" hidden="false" customHeight="false" outlineLevel="0" collapsed="false">
      <c r="A2" s="13" t="s">
        <v>253</v>
      </c>
    </row>
    <row r="4" customFormat="false" ht="15" hidden="false" customHeight="false" outlineLevel="0" collapsed="false">
      <c r="A4" s="15" t="s">
        <v>254</v>
      </c>
    </row>
    <row r="5" customFormat="false" ht="27.75" hidden="false" customHeight="true" outlineLevel="0" collapsed="false">
      <c r="A5" s="20" t="s">
        <v>90</v>
      </c>
      <c r="B5" s="20" t="s">
        <v>92</v>
      </c>
      <c r="C5" s="20" t="s">
        <v>93</v>
      </c>
      <c r="D5" s="20" t="s">
        <v>94</v>
      </c>
      <c r="E5" s="20" t="s">
        <v>95</v>
      </c>
      <c r="F5" s="20" t="s">
        <v>96</v>
      </c>
      <c r="G5" s="20" t="s">
        <v>39</v>
      </c>
    </row>
    <row r="6" customFormat="false" ht="15" hidden="false" customHeight="false" outlineLevel="0" collapsed="false">
      <c r="A6" s="26"/>
      <c r="B6" s="23" t="n">
        <v>0</v>
      </c>
      <c r="C6" s="21" t="n">
        <v>0</v>
      </c>
      <c r="D6" s="22" t="n">
        <v>0</v>
      </c>
      <c r="E6" s="25" t="n">
        <f aca="false">B6*C6+D6</f>
        <v>0</v>
      </c>
      <c r="F6" s="26" t="n">
        <v>0</v>
      </c>
      <c r="G6" s="27" t="n">
        <f aca="false">IF(F6=0,0,E6/F6)</f>
        <v>0</v>
      </c>
      <c r="H6" s="17" t="s">
        <v>255</v>
      </c>
    </row>
    <row r="7" customFormat="false" ht="15" hidden="false" customHeight="false" outlineLevel="0" collapsed="false">
      <c r="A7" s="26"/>
      <c r="B7" s="23" t="n">
        <v>0</v>
      </c>
      <c r="C7" s="21" t="n">
        <v>0</v>
      </c>
      <c r="D7" s="22" t="n">
        <v>0</v>
      </c>
      <c r="E7" s="25" t="n">
        <f aca="false">B7*C7+D7</f>
        <v>0</v>
      </c>
      <c r="F7" s="26" t="n">
        <v>0</v>
      </c>
      <c r="G7" s="27" t="n">
        <f aca="false">IF(F7=0,0,E7/F7)</f>
        <v>0</v>
      </c>
      <c r="H7" s="17" t="s">
        <v>256</v>
      </c>
    </row>
    <row r="8" customFormat="false" ht="15" hidden="false" customHeight="false" outlineLevel="0" collapsed="false">
      <c r="A8" s="26"/>
      <c r="B8" s="23" t="n">
        <v>0</v>
      </c>
      <c r="C8" s="21" t="n">
        <v>0</v>
      </c>
      <c r="D8" s="22" t="n">
        <v>0</v>
      </c>
      <c r="E8" s="25" t="n">
        <f aca="false">B8*C8+D8</f>
        <v>0</v>
      </c>
      <c r="F8" s="26" t="n">
        <v>0</v>
      </c>
      <c r="G8" s="27" t="n">
        <f aca="false">IF(F8=0,0,E8/F8)</f>
        <v>0</v>
      </c>
    </row>
    <row r="9" customFormat="false" ht="15" hidden="false" customHeight="false" outlineLevel="0" collapsed="false">
      <c r="A9" s="26"/>
      <c r="B9" s="23" t="n">
        <v>0</v>
      </c>
      <c r="C9" s="21" t="n">
        <v>0</v>
      </c>
      <c r="D9" s="22" t="n">
        <v>0</v>
      </c>
      <c r="E9" s="25" t="n">
        <f aca="false">B9*C9+D9</f>
        <v>0</v>
      </c>
      <c r="F9" s="26" t="n">
        <v>0</v>
      </c>
      <c r="G9" s="27" t="n">
        <f aca="false">IF(F9=0,0,E9/F9)</f>
        <v>0</v>
      </c>
    </row>
    <row r="10" customFormat="false" ht="15" hidden="false" customHeight="false" outlineLevel="0" collapsed="false">
      <c r="A10" s="26"/>
      <c r="B10" s="23" t="n">
        <v>0</v>
      </c>
      <c r="C10" s="21" t="n">
        <v>0</v>
      </c>
      <c r="D10" s="22" t="n">
        <v>0</v>
      </c>
      <c r="E10" s="25" t="n">
        <f aca="false">B10*C10+D10</f>
        <v>0</v>
      </c>
      <c r="F10" s="26" t="n">
        <v>0</v>
      </c>
      <c r="G10" s="27" t="n">
        <f aca="false">IF(F10=0,0,E10/F10)</f>
        <v>0</v>
      </c>
    </row>
    <row r="11" customFormat="false" ht="15" hidden="false" customHeight="false" outlineLevel="0" collapsed="false">
      <c r="A11" s="26"/>
      <c r="B11" s="23" t="n">
        <v>0</v>
      </c>
      <c r="C11" s="21" t="n">
        <v>0</v>
      </c>
      <c r="D11" s="22" t="n">
        <v>0</v>
      </c>
      <c r="E11" s="25" t="n">
        <f aca="false">B11*C11+D11</f>
        <v>0</v>
      </c>
      <c r="F11" s="26" t="n">
        <v>0</v>
      </c>
      <c r="G11" s="27" t="n">
        <f aca="false">IF(F11=0,0,E11/F11)</f>
        <v>0</v>
      </c>
    </row>
    <row r="14" customFormat="false" ht="15" hidden="false" customHeight="false" outlineLevel="0" collapsed="false">
      <c r="A14" s="15" t="s">
        <v>257</v>
      </c>
    </row>
    <row r="15" customFormat="false" ht="15" hidden="false" customHeight="false" outlineLevel="0" collapsed="false">
      <c r="A15" s="17" t="s">
        <v>258</v>
      </c>
      <c r="B15" s="26" t="n">
        <v>0</v>
      </c>
    </row>
    <row r="16" customFormat="false" ht="15" hidden="false" customHeight="false" outlineLevel="0" collapsed="false">
      <c r="A16" s="17" t="s">
        <v>130</v>
      </c>
      <c r="B16" s="26" t="n">
        <v>0</v>
      </c>
    </row>
    <row r="17" customFormat="false" ht="15" hidden="false" customHeight="false" outlineLevel="0" collapsed="false">
      <c r="A17" s="17" t="s">
        <v>259</v>
      </c>
      <c r="B17" s="28" t="n">
        <f aca="false">B15*B16</f>
        <v>0</v>
      </c>
    </row>
    <row r="18" customFormat="false" ht="15" hidden="false" customHeight="false" outlineLevel="0" collapsed="false">
      <c r="A18" s="17" t="s">
        <v>134</v>
      </c>
      <c r="B18" s="26" t="n">
        <v>220</v>
      </c>
    </row>
    <row r="19" customFormat="false" ht="15" hidden="false" customHeight="false" outlineLevel="0" collapsed="false">
      <c r="A19" s="17" t="s">
        <v>260</v>
      </c>
      <c r="B19" s="26" t="n">
        <v>2</v>
      </c>
    </row>
    <row r="20" customFormat="false" ht="15" hidden="false" customHeight="false" outlineLevel="0" collapsed="false">
      <c r="A20" s="17" t="s">
        <v>136</v>
      </c>
      <c r="B20" s="28" t="n">
        <f aca="false">B18*B19</f>
        <v>440</v>
      </c>
    </row>
    <row r="21" customFormat="false" ht="15" hidden="false" customHeight="false" outlineLevel="0" collapsed="false">
      <c r="A21" s="17" t="s">
        <v>137</v>
      </c>
      <c r="B21" s="33" t="n">
        <f aca="false">IF(B20=0,0,B17/B20)</f>
        <v>0</v>
      </c>
    </row>
    <row r="22" customFormat="false" ht="15" hidden="false" customHeight="false" outlineLevel="0" collapsed="false">
      <c r="A22" s="17" t="s">
        <v>261</v>
      </c>
      <c r="B22" s="28" t="n">
        <f aca="false">ROUNDDOWN(B21,0)</f>
        <v>0</v>
      </c>
      <c r="C22" s="29" t="n">
        <f aca="false">B17-B22*B20</f>
        <v>0</v>
      </c>
      <c r="H22" s="17" t="s">
        <v>262</v>
      </c>
    </row>
    <row r="24" customFormat="false" ht="15" hidden="false" customHeight="false" outlineLevel="0" collapsed="false">
      <c r="A24" s="19" t="s">
        <v>263</v>
      </c>
    </row>
    <row r="26" customFormat="false" ht="15" hidden="false" customHeight="false" outlineLevel="0" collapsed="false">
      <c r="A26" s="15" t="s">
        <v>118</v>
      </c>
    </row>
    <row r="27" customFormat="false" ht="15" hidden="false" customHeight="false" outlineLevel="0" collapsed="false">
      <c r="A27" s="17" t="s">
        <v>264</v>
      </c>
      <c r="D27" s="32" t="str">
        <f aca="false">IF(AND(SUM(E6:E11)&gt;0,B15&gt;0),"OK — arket har tall å regne på","AVVIK: fyll inn dine egne kanaler og din egen kundeliste i de gule cellene først")</f>
        <v>AVVIK: fyll inn dine egne kanaler og din egen kundeliste i de gule cellene først</v>
      </c>
    </row>
    <row r="28" customFormat="false" ht="15" hidden="false" customHeight="false" outlineLevel="0" collapsed="false">
      <c r="A28" s="14" t="s">
        <v>265</v>
      </c>
    </row>
  </sheetData>
  <conditionalFormatting sqref="D27">
    <cfRule type="expression" priority="2" aboveAverage="0" equalAverage="0" bottom="0" percent="0" rank="0" text="" dxfId="0">
      <formula>LEFT(D27,5)="AVVIK"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2026-09-11T09:33:39Z</dcterms:created>
  <dc:creator>openpyxl</dc:creator>
  <dc:description/>
  <dc:language>en-US</dc:language>
  <cp:lastModifiedBy/>
  <dcterms:modified xsi:type="dcterms:W3CDTF">2026-10-07T06:06:13Z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