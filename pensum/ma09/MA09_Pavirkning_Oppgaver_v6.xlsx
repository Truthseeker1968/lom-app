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<sst xmlns="http://schemas.openxmlformats.org/spreadsheetml/2006/main" count="228" uniqueCount="142">
  <si>
    <t xml:space="preserve">Påvirkning som konkurransevirkemiddel: oppgaver til kapittel 9</t>
  </si>
  <si>
    <t xml:space="preserve">Markedsføring, organisasjon og ledelse for LØM-emnet (Hjertnes), kapittel 9. Versjon 6, oktober 2026. Nordlys Elektro AS og Fjell Elektro AS er konstruerte casebedrifter; tallene er faktaarkene og casetallene fra appen.</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</si>
  <si>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</si>
  <si>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</si>
  <si>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</si>
  <si>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</si>
  <si>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</si>
  <si>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</si>
  <si>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Ti tiltak på Karis liste: hvilket virkemiddel er hvert av dem?</t>
  </si>
  <si>
    <t xml:space="preserve">1B  Fem annonseutsagn fra Ida: hvilke kan Nordlys bruke?</t>
  </si>
  <si>
    <t xml:space="preserve">1C  Idas, Toms og Ronnys forslag, regnet: hva koster én henvendelse?</t>
  </si>
  <si>
    <t xml:space="preserve">Fasit  Alle svar med regnestykket skrevet ut</t>
  </si>
  <si>
    <t xml:space="preserve">Dette er øvingsmateriell til repetisjons- og øvingsstøtte. I besvarelser, caser, prosjektoppgaver og eksamen gjelder lærebøkene og oppgitte primærkilder.</t>
  </si>
  <si>
    <t xml:space="preserve">Reklame</t>
  </si>
  <si>
    <t xml:space="preserve">Oppgave 1A: Ti tiltak på Karis liste: hvilket virkemiddel er hvert av dem?</t>
  </si>
  <si>
    <t xml:space="preserve">Personlig salg</t>
  </si>
  <si>
    <t xml:space="preserve">Alene, i par eller i gruppe, slik du vil.</t>
  </si>
  <si>
    <t xml:space="preserve">Sponsing</t>
  </si>
  <si>
    <t xml:space="preserve">Situasjonen</t>
  </si>
  <si>
    <t xml:space="preserve">Salgsfremmende tiltak</t>
  </si>
  <si>
    <t xml:space="preserve">Nordlys Elektro satser på ladepunkt til huseiere, borettslag og nybygg (via totalentreprenørene). På morgenmøtet skriver Kari ti tiltak på tavla som noen i bedriften har foreslått. Før hun kan velge, må hun vite hva hvert tiltak er, og om det forbereder kjøpet eller utløser det. Til slutt regner du hva det koster å nå ett styre med brevet, og én person med Google-annonsen.</t>
  </si>
  <si>
    <t xml:space="preserve">Direktemarkedsføring</t>
  </si>
  <si>
    <t xml:space="preserve">Begrepene du trenger</t>
  </si>
  <si>
    <t xml:space="preserve">Omtale (PR)</t>
  </si>
  <si>
    <t xml:space="preserve">Reklame: betalt markedskommunikasjon med kjent avsender. Personlig salg: direkte kontakt med dialog. Sponsing: betalt støtte til person, lag eller arrangement. Salgsfremmende tiltak: tiltak der kjøpet avgjøres; kjøpsutløsende. Direktemarkedsføring: massekorrespondanse til den enkeltes post- eller e-postadresse. Omtale (PR, public relations): omtalen bedriften får, og det den selv forteller om hvordan den opptrer. Kontaktpris: det det koster å nå ett medlem av målgruppen.</t>
  </si>
  <si>
    <t xml:space="preserve">Slik sorterer du</t>
  </si>
  <si>
    <t xml:space="preserve">Betalt plass med kjent avsender er reklame, uansett om det er avis, Google eller Facebook. Direkte kontakt med dialog er personlig salg. Betalt støtte der budskapet er bedriften som samfunnsaktør, er sponsing. Tiltak der kjøpet avgjøres (demonstrasjon, rabatt, utstilling) er salgsfremmende tiltak. Brev eller e-post til den enkeltes adresse er direktemarkedsføring. Ubetalt omtale, og det bedriften selv forteller om hvordan den opptrer, er omtale, som boka kaller PR (public relations).</t>
  </si>
  <si>
    <t xml:space="preserve">Ti tiltak fra tavla på morgenmøtet. Velg virkemiddel for hvert (nedtrekksmeny)</t>
  </si>
  <si>
    <t xml:space="preserve">1 Google-annonse som vises når noen søker «elektriker ladepunkt Oslo øst»</t>
  </si>
  <si>
    <t xml:space="preserve">2 Kari møter innkjøperen hos totalentreprenøren og går gjennom tilbudet på ladeanlegget i nybygget</t>
  </si>
  <si>
    <t xml:space="preserve">3 Nordlys' logo på draktene til det lokale håndballaget</t>
  </si>
  <si>
    <t xml:space="preserve">4 På befaringen viser Kari styret et ladeanlegg Nordlys har levert i nabolaget (referanseanlegg)</t>
  </si>
  <si>
    <t xml:space="preserve">5 Brev til 24 styreledere i borettslag, med navn på konvolutten</t>
  </si>
  <si>
    <t xml:space="preserve">6 Lokalavisa skriver en sak om lærlingene hos Nordlys</t>
  </si>
  <si>
    <t xml:space="preserve">7 Betalt innlegg på Facebook: «Ladepunkt ferdig montert fra 11 975 kr inkl. mva.»</t>
  </si>
  <si>
    <t xml:space="preserve">8 10 % rabatt til styrer som bestiller innen 30 dager etter befaringen</t>
  </si>
  <si>
    <t xml:space="preserve">9 Kari svarer en huseier på telefon om hva et ladepunkt koster</t>
  </si>
  <si>
    <t xml:space="preserve">10 Nordlys' egen Facebook-side: bilde av ryddig byggeplass og «registrert i Elvirksomhetsregisteret»</t>
  </si>
  <si>
    <t xml:space="preserve">Forbereder eller utløser tiltaket kjøpet? Velg for tre av dem</t>
  </si>
  <si>
    <t xml:space="preserve">Google-annonsen (tiltak 1)</t>
  </si>
  <si>
    <t xml:space="preserve">Rabatten ved bestilling innen 30 dager (tiltak 8)</t>
  </si>
  <si>
    <t xml:space="preserve">Brevet til styrelederne (tiltak 5)</t>
  </si>
  <si>
    <t xml:space="preserve">Kontaktprisen</t>
  </si>
  <si>
    <t xml:space="preserve">Kontaktpris = samlet kostnad for tiltaket delt på antall i målgruppen som nås. Brevet til 24 styreledere koster 5 administrasjonstimer à 327,43 kr pluss 1 900 kr i trykk og porto. Google-annonsen koster 6 000 kr for én måned og vises for 18 000 personer. Svar i kroner med to desimaler.</t>
  </si>
  <si>
    <t xml:space="preserve">Tiltak</t>
  </si>
  <si>
    <t xml:space="preserve">Timer</t>
  </si>
  <si>
    <t xml:space="preserve">Kr per time</t>
  </si>
  <si>
    <t xml:space="preserve">Andre kostnader</t>
  </si>
  <si>
    <t xml:space="preserve">Brev til 24 styreledere</t>
  </si>
  <si>
    <t xml:space="preserve">Google-annonse, én måned (18 000 visninger)</t>
  </si>
  <si>
    <t xml:space="preserve">a) Kontaktpris for brevet, per styre</t>
  </si>
  <si>
    <t xml:space="preserve">kr per styre</t>
  </si>
  <si>
    <t xml:space="preserve">b) Kontaktpris for Google-annonsen, per visning</t>
  </si>
  <si>
    <t xml:space="preserve">kr per visning</t>
  </si>
  <si>
    <t xml:space="preserve">Står du fast? Skriv JA i den gule cellen:</t>
  </si>
  <si>
    <t xml:space="preserve">Gule celler fyller du inn. Grønne regnes ut av arket. Sjekken til høyre forteller om svaret stemmer, og hva du bør se på hvis ikke.</t>
  </si>
  <si>
    <t xml:space="preserve">Forbereder kjøpet</t>
  </si>
  <si>
    <t xml:space="preserve">Utløser kjøpet</t>
  </si>
  <si>
    <t xml:space="preserve">Lovlig</t>
  </si>
  <si>
    <t xml:space="preserve">Oppgave 1B: Fem annonseutsagn fra Ida: hvilke kan Nordlys bruke?</t>
  </si>
  <si>
    <t xml:space="preserve">Ulovlig</t>
  </si>
  <si>
    <t xml:space="preserve">Ida har skrevet fem utsagn til Google-annonsen og nettsiden for ladepunkt. Kari vil ikke ha Forbrukertilsynet på tråden. Du sjekker hvert utsagn mot markedsføringsloven (lov 9. januar 2009 nr. 2), forskriften om urimelig handelspraksis og prisopplysningsforskriften, og skriver om ett av dem slik at det kan brukes.</t>
  </si>
  <si>
    <t xml:space="preserve">Markedsføringsloven § 6: urimelig handelspraksis er forbudt. § 7: villedende handlinger (uriktige eller villedende opplysninger om pris eller egenskaper). § 8: villedende utelatelser (vesentlige opplysninger utelatt, skjult eller presentert uklart). § 3: påstander om faktiske forhold skal kunne dokumenteres; åpenbare overdrivelser rammes ikke. Forbrukertilsynet fører tilsyn (§ 32).</t>
  </si>
  <si>
    <t xml:space="preserve">Testen</t>
  </si>
  <si>
    <t xml:space="preserve">Er det sant? Kan det dokumenteres når annonsen går? Står alt kunden må vite like tydelig som tilbudet, og er prisen hel og med merverdiavgift? Åpenbare overdrivelser som ingen tar bokstavelig, er tillatt (§ 3). «Gratis» er bare lov hvis kunden ikke må betale noe annet enn det det koster å svare på tilbudet (forskrift om urimelig handelspraksis, punkt 20; alltid urimelig etter § 6).</t>
  </si>
  <si>
    <t xml:space="preserve">Markedsføringsloven § 3 om dokumentasjon</t>
  </si>
  <si>
    <t xml:space="preserve">Idas fem utsagn til annonsen og nettsiden. Lovlig eller ulovlig? (nedtrekksmeny)</t>
  </si>
  <si>
    <t xml:space="preserve">Forskrift om urimelig handelspraksis punkt 20 om gratis</t>
  </si>
  <si>
    <t xml:space="preserve">1 «Gratis befaring». Nordlys fakturerer 1 200 kr i oppmøtegebyr hvis kunden ikke bestiller</t>
  </si>
  <si>
    <t xml:space="preserve">Prisopplysningsforskriften om prisliste</t>
  </si>
  <si>
    <t xml:space="preserve">2 «Ladepunkt fra 9 900 kr». Prisen er uten merverdiavgift, og kabel og graving kommer alltid i tillegg</t>
  </si>
  <si>
    <t xml:space="preserve">3 «Oslo østs hyggeligste elektrikere»</t>
  </si>
  <si>
    <t xml:space="preserve">4 «Spar 10 000 kr i året med smart lading». Ingen har regnet på det</t>
  </si>
  <si>
    <t xml:space="preserve">5 «Registrert i Elvirksomhetsregisteret. Fagbrev på alle montører. 1 112,50 kr per time inkl. mva.»</t>
  </si>
  <si>
    <t xml:space="preserve">Hvilken regel rammer utsagn 1, «gratis befaring» med oppmøtegebyr?</t>
  </si>
  <si>
    <t xml:space="preserve">Skriv om utsagn 2 («Ladepunkt fra 9 900 kr») slik at Nordlys kan bruke det. Prisen skal være hel og med merverdiavgift, og det som kommer i tillegg, skal stå like tydelig som prisen. Én til to setninger.</t>
  </si>
  <si>
    <t xml:space="preserve">Reklame som får kunden til å ringe</t>
  </si>
  <si>
    <t xml:space="preserve">Oppgave 1C: Idas, Toms og Ronnys forslag, regnet: hva koster én henvendelse?</t>
  </si>
  <si>
    <t xml:space="preserve">Brev og telefon og besøk med befaring</t>
  </si>
  <si>
    <t xml:space="preserve">Personlig salg og et godt tilbud</t>
  </si>
  <si>
    <t xml:space="preserve">Kari har 60 000 kr til markedsføring av ladepunkt neste halvår. Ida vil kjøpe Google-annonser mot huseiere, Tom vil sende brev til 24 styreledere og besøke dem som vil ha tilbud, og Ronny vil at Kari møter innkjøperne hos totalentreprenørene han kjenner fra byggeplassene, så Nordlys får tilbudsforespørsler på ladeanlegg i nybygg. For å sammenlikne har Kari satt anslag for hvor mange som tar kontakt, og hva de kjøper. Du regner kostnaden per henvendelse og dekningsbidraget per krone brukt, og skriver til Kari hvordan pengene bør fordeles.</t>
  </si>
  <si>
    <t xml:space="preserve">Kostnad per henvendelse = tiltakets kostnad / antall kunder som tok kontakt og ville ha tilbud (boka: henvendelser er en viktig tilbakemelding, 9.6). Dekningsbidrag per krone brukt = dekningsbidraget tiltaket ga / tiltakets kostnad. Privatmarkedet kjøper mer med følelser og må finne bedriften; bedriftsmarkedet kjøper rasjonelt, og store verdier forsvarer personlig salg (9.2 og 9.8).</t>
  </si>
  <si>
    <t xml:space="preserve">Forutsetningene</t>
  </si>
  <si>
    <t xml:space="preserve">Tallene for henvendelser og salg er anslag Kari har satt for å kunne sammenlikne forslagene; de skal måles etterpå. En administrasjonstime koster 327,43 kr (2 220 000 kr delt på 4 × 1 695 timer). Et styrebesøk tar 3,85 timer pluss 400 kr i kjøring: 1 660,61 kr. Brevet til 24 styreledere koster 5 timer pluss 1 900 kr: 3 537,15 kr. Et ladepunkt i enebolig gir 1 800 kr i dekningsbidrag (9 580 − 6 500 − 2 × 640). Et felles ladeanlegg er et prosjekt, ikke mange eneboligladere: 20 plasser i et borettslag gir 415 300 kr og 82 500 kr i dekningsbidrag, altså 4 125 kr per plass (materiell 220 000 kr med 20 % påslag, 170 montørtimer à 890 kr, kjøring 4 000 kr). Ladeanlegget med 40 plasser i nybygget regnes med samme anslag, 4 125 kr per plass; der er Nordlys underentreprenør for totalentreprenøren (kontrakt etter Norsk Standard 8415 eller 8417), og det er ikke sikkert tilbudet vinner.</t>
  </si>
  <si>
    <t xml:space="preserve">Forslag</t>
  </si>
  <si>
    <t xml:space="preserve">Kostnad, kr</t>
  </si>
  <si>
    <t xml:space="preserve">Henvendelser</t>
  </si>
  <si>
    <t xml:space="preserve">Ladepunkt solgt</t>
  </si>
  <si>
    <t xml:space="preserve">Dekningsbidrag per ladepunkt, kr</t>
  </si>
  <si>
    <t xml:space="preserve">Ida: Google-annonser mot huseiere, 6 000 kr i måneden i tre måneder</t>
  </si>
  <si>
    <t xml:space="preserve">Tom: brev til 24 styreledere og 10 styrebesøk</t>
  </si>
  <si>
    <t xml:space="preserve">Ronny: fire møter med innkjøpere hos totalentreprenører</t>
  </si>
  <si>
    <t xml:space="preserve">Oppgaven, trinn for trinn</t>
  </si>
  <si>
    <t xml:space="preserve">1. Regn kostnaden per henvendelse for hvert forslag: kostnaden delt på antall kunder som tok kontakt og ville ha tilbud (a til c). Hele kroner.
2. Regn dekningsbidraget per krone brukt: ladepunkt solgt × dekningsbidrag per ladepunkt, delt på kostnaden (d til f). To desimaler.
3. Velg hvilket virkemiddel som passer hvilken kunde.
4. Skriv til Kari hvordan de 60 000 kronene bør fordeles, og hvorfor.</t>
  </si>
  <si>
    <t xml:space="preserve">a) Ida: kostnad per henvendelse</t>
  </si>
  <si>
    <t xml:space="preserve">kr</t>
  </si>
  <si>
    <t xml:space="preserve">b) Tom: kostnad per henvendelse</t>
  </si>
  <si>
    <t xml:space="preserve">c) Ronny: kostnad per henvendelse</t>
  </si>
  <si>
    <t xml:space="preserve">d) Ida: dekningsbidrag per krone brukt</t>
  </si>
  <si>
    <t xml:space="preserve">kr per krone</t>
  </si>
  <si>
    <t xml:space="preserve">e) Tom: dekningsbidrag per krone brukt</t>
  </si>
  <si>
    <t xml:space="preserve">f) Ronny: dekningsbidrag per krone brukt</t>
  </si>
  <si>
    <t xml:space="preserve">Hvilket virkemiddel passer hvilken kunde? (nedtrekksmeny)</t>
  </si>
  <si>
    <t xml:space="preserve">Huseieren som skal ha ett ladepunkt</t>
  </si>
  <si>
    <t xml:space="preserve">Borettslagsstyret som skal kjøpe ladeanlegg for første gang</t>
  </si>
  <si>
    <t xml:space="preserve">Totalentreprenøren som sender tilbudsforespørsel på ladeanlegget i et nybygg</t>
  </si>
  <si>
    <t xml:space="preserve">Til Kari: hvordan bør de 60 000 kronene fordeles mellom de tre forslagene, og hvorfor? Bruk tallene fra a til f og ordene privatmarkedet og bedriftsmarkedet. Tre til fire setninger.</t>
  </si>
  <si>
    <t xml:space="preserve">Fasit, kapittel 9</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</si>
  <si>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</si>
  <si>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</si>
  <si>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</si>
  <si>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</si>
  <si>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Sorteringen</t>
  </si>
  <si>
    <t xml:space="preserve">Reklame: 1 og 7. Personlig salg: 2 og 9. Sponsing: 3. Salgsfremmende tiltak: 4 og 8. Direktemarkedsføring: 5. Omtale (PR): 6 og 10.</t>
  </si>
  <si>
    <t xml:space="preserve">1A Forbereder eller utløser</t>
  </si>
  <si>
    <t xml:space="preserve">Annonsen forbereder, rabatten utløser, brevet forbereder.</t>
  </si>
  <si>
    <t xml:space="preserve">1A a) Kontaktpris brevet</t>
  </si>
  <si>
    <t xml:space="preserve">(5 × 327,43 + 1 900) / 24 = 3 537,15 / 24 = 147,38 kr per styre</t>
  </si>
  <si>
    <t xml:space="preserve">1A b) Kontaktpris annonsen</t>
  </si>
  <si>
    <t xml:space="preserve">6 000 / 18 000 = 0,33 kr per visning</t>
  </si>
  <si>
    <t xml:space="preserve">1B Utsagnene</t>
  </si>
  <si>
    <t xml:space="preserve">Ulovlig: 1 (forskriften punkt 20, § 6), 2 (§ 8 og prisopplysningsforskriften), 4 (§ 3 og § 7). Lovlig: 3 (åpenbar overdrivelse), 5 (sant, dokumenterbart, hel pris).</t>
  </si>
  <si>
    <t xml:space="preserve">1B Regelen for utsagn 1</t>
  </si>
  <si>
    <t xml:space="preserve">Forskrift om urimelig handelspraksis, punkt 20 om «gratis». Alltid urimelig etter § 6.</t>
  </si>
  <si>
    <t xml:space="preserve">1B Omskrivingen</t>
  </si>
  <si>
    <t xml:space="preserve">«Ladepunkt ferdig montert fra 11 975 kr inkl. mva. Kabel over 10 meter kommer i tillegg etter prisliste.»</t>
  </si>
  <si>
    <t xml:space="preserve">1C a) Ida, per henvendelse</t>
  </si>
  <si>
    <t xml:space="preserve">3 × 6 000 = 18 000 kr / 120 henvendelser = 150 kr</t>
  </si>
  <si>
    <t xml:space="preserve">1C b) Tom, per henvendelse</t>
  </si>
  <si>
    <t xml:space="preserve">3 537,15 + 10 × 1 660,61 = 20 143,21 kr / 10 = 2 014,32 kr</t>
  </si>
  <si>
    <t xml:space="preserve">1C c) Ronny, per henvendelse</t>
  </si>
  <si>
    <t xml:space="preserve">4 × 1 660,61 = 6 642,42 kr / 1 = 6 642,42 kr</t>
  </si>
  <si>
    <t xml:space="preserve">1C d) Ida, dekningsbidrag per krone</t>
  </si>
  <si>
    <t xml:space="preserve">30 × 1 800 = 54 000 / 18 000 = 3,00 kr</t>
  </si>
  <si>
    <t xml:space="preserve">1C e) Tom, dekningsbidrag per krone</t>
  </si>
  <si>
    <t xml:space="preserve">20 × 4 125 = 82 500 / 20 143,21 = 4,10 kr (felles ladeanlegg)</t>
  </si>
  <si>
    <t xml:space="preserve">1C f) Ronny, dekningsbidrag per krone</t>
  </si>
  <si>
    <t xml:space="preserve">40 × 4 125 = 165 000 / 6 642,42 = 24,84 kr (ladeanlegget regnet som prosjekt)</t>
  </si>
  <si>
    <t xml:space="preserve">1C Kunde og virkemiddel</t>
  </si>
  <si>
    <t xml:space="preserve">Huseier: reklame. Borettslagsstyre: brev, telefon og besøk med befaring. Totalentreprenør: personlig salg og et godt tilbud.</t>
  </si>
  <si>
    <t xml:space="preserve">1C Til Kari</t>
  </si>
  <si>
    <t xml:space="preserve">Alle tre får penger, mest der dekningsbidraget per krone er høyest. Privatmarkedet (huseieren) må finne Nordlys: reklame. Bedriftsmarkedet (styret, totalentreprenøren) må møtes: brev, besøk, personlig salg og tilbud. Mål etterpå: spør hver ny kunde hvordan hun fant Nordlys.</t>
  </si>
</sst>
</file>

<file path=xl/styles.xml><?xml version="1.0" encoding="utf-8"?>
<styleSheet xmlns="http://schemas.openxmlformats.org/spreadsheetml/2006/main">
  <numFmts count="3">
    <numFmt numFmtId="164" formatCode="General"/>
    <numFmt numFmtId="165" formatCode="#,##0.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b val="true"/>
      <sz val="11"/>
      <color rgb="FFFFFFFF"/>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2F4A6D"/>
        <bgColor rgb="FF333333"/>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5" borderId="1" xfId="0" applyFont="fals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true" applyProtection="false">
      <alignment wrapText="true" horizontal="general" vertical="bottom" textRotation="0" indent="0" shrinkToFit="false"/>
      <protection locked="true" hidden="false"/>
    </xf>
    <xf numFmtId="164" fontId="10" fillId="3" borderId="1" xfId="0" applyFont="true" applyBorder="true" applyAlignment="true" applyProtection="false">
      <alignment wrapText="true" horizontal="right" vertical="center"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60"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60" hidden="false" customHeight="true" outlineLevel="0" collapsed="false">
      <c r="B7" s="9" t="s">
        <v>24</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25</v>
      </c>
      <c r="C9" s="8"/>
      <c r="D9" s="8"/>
      <c r="E9" s="8"/>
      <c r="F9" s="8"/>
      <c r="G9" s="8"/>
      <c r="Z9" s="6" t="s">
        <v>17</v>
      </c>
    </row>
    <row r="10" customFormat="false" ht="75" hidden="false" customHeight="true" outlineLevel="0" collapsed="false">
      <c r="B10" s="9" t="s">
        <v>26</v>
      </c>
      <c r="C10" s="9"/>
      <c r="D10" s="9"/>
      <c r="E10" s="9"/>
      <c r="F10" s="9"/>
      <c r="G10" s="9"/>
      <c r="Z10" s="6" t="s">
        <v>19</v>
      </c>
    </row>
    <row r="11" customFormat="false" ht="15" hidden="false" customHeight="false" outlineLevel="0" collapsed="false">
      <c r="Z11" s="0" t="s">
        <v>21</v>
      </c>
    </row>
    <row ht="17.25" customHeight="true" r="12" customFormat="false" hidden="false" outlineLevel="0" collapsed="false">
      <c r="B12" s="10" t="s">
        <v>27</v>
      </c>
      <c r="C12" s="10"/>
      <c r="D12" s="10"/>
      <c r="E12" s="10"/>
      <c r="F12" s="10"/>
      <c r="G12" s="10"/>
      <c r="Z12" s="6" t="s">
        <v>23</v>
      </c>
    </row>
    <row r="13" customFormat="false" ht="39.75" hidden="false" customHeight="true" outlineLevel="0" collapsed="false">
      <c r="B13" s="11" t="s">
        <v>28</v>
      </c>
      <c r="C13" s="12"/>
      <c r="G13" s="13" t="str">
        <f aca="false">IF(C13="","Velg i nedtrekksmenyen.",IF(C13="Reklame","Riktig. Betalt plass med kjent avsender. Reklame, selv om den står på nettet.","Ikke riktig. Betalt plass med kjent avsender. Reklame, selv om den står på nettet."))</f>
        <v>Velg i nedtrekksmenyen.</v>
      </c>
      <c r="Z13" s="6" t="s">
        <v>13</v>
      </c>
    </row>
    <row r="14" customFormat="false" ht="39.75" hidden="false" customHeight="true" outlineLevel="0" collapsed="false">
      <c r="B14" s="11" t="s">
        <v>29</v>
      </c>
      <c r="C14" s="12"/>
      <c r="G14" s="13" t="str">
        <f aca="false">IF(C14="","Velg i nedtrekksmenyen.",IF(C14="Personlig salg","Riktig. Direkte kontakt med dialog. Dyrt, men det eneste som kan lukke en stor avtale. Kunden er entreprenøren som sendte tilbudsforespørselen, ikke huseieren.","Ikke riktig. Direkte kontakt med dialog. Dyrt, men det eneste som kan lukke en stor avtale. Kunden er entreprenøren som sendte tilbudsforespørselen, ikke huseieren."))</f>
        <v>Velg i nedtrekksmenyen.</v>
      </c>
      <c r="Z14" s="6" t="s">
        <v>15</v>
      </c>
    </row>
    <row r="15" customFormat="false" ht="39.75" hidden="false" customHeight="true" outlineLevel="0" collapsed="false">
      <c r="B15" s="11" t="s">
        <v>30</v>
      </c>
      <c r="C15" s="12"/>
      <c r="G15" s="13" t="str">
        <f aca="false">IF(C15="","Velg i nedtrekksmenyen.",IF(C15="Sponsing","Riktig. Betalt støtte til et lag. Budskapet er Nordlys som ansvarlig samfunnsaktør, ikke ladepunktet.","Ikke riktig. Betalt støtte til et lag. Budskapet er Nordlys som ansvarlig samfunnsaktør, ikke ladepunktet."))</f>
        <v>Velg i nedtrekksmenyen.</v>
      </c>
      <c r="Z15" s="6" t="s">
        <v>17</v>
      </c>
    </row>
    <row r="16" customFormat="false" ht="39.75" hidden="false" customHeight="true" outlineLevel="0" collapsed="false">
      <c r="B16" s="11" t="s">
        <v>31</v>
      </c>
      <c r="C16" s="12"/>
      <c r="G16" s="13" t="str">
        <f aca="false">IF(C16="","Velg i nedtrekksmenyen.",IF(C16="Salgsfremmende tiltak","Riktig. Visning der kjøpet avgjøres. Boka kaller det sisteleddsmarkedsføring: kjøpsutløsende.","Ikke riktig. Visning der kjøpet avgjøres. Boka kaller det sisteleddsmarkedsføring: kjøpsutløsende."))</f>
        <v>Velg i nedtrekksmenyen.</v>
      </c>
      <c r="Z16" s="6" t="s">
        <v>19</v>
      </c>
    </row>
    <row r="17" customFormat="false" ht="39.75" hidden="false" customHeight="true" outlineLevel="0" collapsed="false">
      <c r="B17" s="11" t="s">
        <v>32</v>
      </c>
      <c r="C17" s="12"/>
      <c r="G17" s="13" t="str">
        <f aca="false">IF(C17="","Velg i nedtrekksmenyen.",IF(C17="Direktemarkedsføring","Riktig. Massekorrespondanse til den enkeltes postadresse. Mottakeren kjenner seg utvalgt.","Ikke riktig. Massekorrespondanse til den enkeltes postadresse. Mottakeren kjenner seg utvalgt."))</f>
        <v>Velg i nedtrekksmenyen.</v>
      </c>
      <c r="Z17" s="6" t="s">
        <v>21</v>
      </c>
    </row>
    <row r="18" customFormat="false" ht="39.75" hidden="false" customHeight="true" outlineLevel="0" collapsed="false">
      <c r="B18" s="11" t="s">
        <v>33</v>
      </c>
      <c r="C18" s="12"/>
      <c r="G18" s="13" t="str">
        <f aca="false">IF(C18="","Velg i nedtrekksmenyen.",IF(C18="Omtale (PR)","Riktig. Ikke betalt plass. Omtalen bedriften får, fordi den gjør noe som er verdt å skrive om.","Ikke riktig. Ikke betalt plass. Omtalen bedriften får, fordi den gjør noe som er verdt å skrive om."))</f>
        <v>Velg i nedtrekksmenyen.</v>
      </c>
      <c r="Z18" s="6" t="s">
        <v>23</v>
      </c>
    </row>
    <row r="19" customFormat="false" ht="39.75" hidden="false" customHeight="true" outlineLevel="0" collapsed="false">
      <c r="B19" s="11" t="s">
        <v>34</v>
      </c>
      <c r="C19" s="12"/>
      <c r="G19" s="13" t="str">
        <f aca="false">IF(C19="","Velg i nedtrekksmenyen.",IF(C19="Reklame","Riktig. Plassen er betalt og avsenderen er kjent. Reklame, også i sosiale medier. Det er den vanligste feilen i oppgaven.","Ikke riktig. Plassen er betalt og avsenderen er kjent. Reklame, også i sosiale medier. Det er den vanligste feilen i oppgaven."))</f>
        <v>Velg i nedtrekksmenyen.</v>
      </c>
      <c r="Z19" s="6" t="s">
        <v>13</v>
      </c>
    </row>
    <row r="20" customFormat="false" ht="39.75" hidden="false" customHeight="true" outlineLevel="0" collapsed="false">
      <c r="B20" s="11" t="s">
        <v>35</v>
      </c>
      <c r="C20" s="12"/>
      <c r="G20" s="13" t="str">
        <f aca="false">IF(C20="","Velg i nedtrekksmenyen.",IF(C20="Salgsfremmende tiltak","Riktig. Rabatt der kjøpet avgjøres: kjøpsutløsende.","Ikke riktig. Rabatt der kjøpet avgjøres: kjøpsutløsende."))</f>
        <v>Velg i nedtrekksmenyen.</v>
      </c>
      <c r="Z20" s="6" t="s">
        <v>15</v>
      </c>
    </row>
    <row r="21" customFormat="false" ht="39.75" hidden="false" customHeight="true" outlineLevel="0" collapsed="false">
      <c r="B21" s="11" t="s">
        <v>36</v>
      </c>
      <c r="C21" s="12"/>
      <c r="G21" s="13" t="str">
        <f aca="false">IF(C21="","Velg i nedtrekksmenyen.",IF(C21="Personlig salg","Riktig. Direkte kontakt med dialog, på telefon. Kunden ringte selv, så kontaktprisen er bare tiden samtalen tar.","Ikke riktig. Direkte kontakt med dialog, på telefon. Kunden ringte selv, så kontaktprisen er bare tiden samtalen tar."))</f>
        <v>Velg i nedtrekksmenyen.</v>
      </c>
      <c r="Z21" s="6" t="s">
        <v>17</v>
      </c>
    </row>
    <row ht="46.5" customHeight="true" r="22" customFormat="false" hidden="false" outlineLevel="0" collapsed="false">
      <c r="B22" s="11" t="s">
        <v>37</v>
      </c>
      <c r="C22" s="12"/>
      <c r="G22" s="13" t="str">
        <f aca="false">IF(C22="","Velg i nedtrekksmenyen.",IF(C22="Omtale (PR)","Riktig. Ingen betalt plass. Bedriften forteller selv hvordan den opptrer. Boka: å opptre ordentlig, og å formidle det.","Ikke riktig. Ingen betalt plass. Bedriften forteller selv hvordan den opptrer. Boka: å opptre ordentlig, og å formidle det."))</f>
        <v>Velg i nedtrekksmenyen.</v>
      </c>
      <c r="Z22" s="6" t="s">
        <v>19</v>
      </c>
    </row>
    <row r="23" customFormat="false" ht="15" hidden="false" customHeight="false" outlineLevel="0" collapsed="false">
      <c r="Z23" s="0" t="s">
        <v>21</v>
      </c>
    </row>
    <row ht="17.25" customHeight="true" r="24" customFormat="false" hidden="false" outlineLevel="0" collapsed="false">
      <c r="B24" s="10" t="s">
        <v>38</v>
      </c>
      <c r="C24" s="10"/>
      <c r="D24" s="10"/>
      <c r="E24" s="10"/>
      <c r="F24" s="10"/>
      <c r="G24" s="10"/>
      <c r="Z24" s="6" t="s">
        <v>23</v>
      </c>
    </row>
    <row r="25" customFormat="false" ht="39.75" hidden="false" customHeight="true" outlineLevel="0" collapsed="false">
      <c r="B25" s="11" t="s">
        <v>39</v>
      </c>
      <c r="C25" s="12"/>
      <c r="G25" s="13" t="str">
        <f aca="false">IF(C25="","Velg i nedtrekksmenyen.",IF(C25="Forbereder kjøpet","Riktig. Reklame er kjøpsforberedende: den får huseieren til å ringe, men avgjør ikke kjøpet.","Ikke riktig. Reklame er kjøpsforberedende: den får huseieren til å ringe, men avgjør ikke kjøpet."))</f>
        <v>Velg i nedtrekksmenyen.</v>
      </c>
      <c r="Z25" s="6" t="s">
        <v>13</v>
      </c>
    </row>
    <row r="26" customFormat="false" ht="39.75" hidden="false" customHeight="true" outlineLevel="0" collapsed="false">
      <c r="B26" s="11" t="s">
        <v>40</v>
      </c>
      <c r="C26" s="12"/>
      <c r="G26" s="13" t="str">
        <f aca="false">IF(C26="","Velg i nedtrekksmenyen.",IF(C26="Utløser kjøpet","Riktig. Salgsfremmende tiltak er kjøpsutløsende: siste mulighet til å påvirke før styret bestemmer seg.","Ikke riktig. Salgsfremmende tiltak er kjøpsutløsende: siste mulighet til å påvirke før styret bestemmer seg."))</f>
        <v>Velg i nedtrekksmenyen.</v>
      </c>
      <c r="Z26" s="6" t="s">
        <v>15</v>
      </c>
    </row>
    <row r="27" customFormat="false" ht="39.75" hidden="false" customHeight="true" outlineLevel="0" collapsed="false">
      <c r="B27" s="11" t="s">
        <v>41</v>
      </c>
      <c r="C27" s="12"/>
      <c r="G27" s="13" t="str">
        <f aca="false">IF(C27="","Velg i nedtrekksmenyen.",IF(C27="Forbereder kjøpet","Riktig. Brevet åpner døra. Kjøpet avgjøres senere, på befaringen eller i styremøtet.","Ikke riktig. Brevet åpner døra. Kjøpet avgjøres senere, på befaringen eller i styremøtet."))</f>
        <v>Velg i nedtrekksmenyen.</v>
      </c>
      <c r="Z27" s="6" t="s">
        <v>17</v>
      </c>
    </row>
    <row r="28" customFormat="false" ht="15" hidden="false" customHeight="false" outlineLevel="0" collapsed="false">
      <c r="Z28" s="0" t="s">
        <v>19</v>
      </c>
    </row>
    <row r="29" customFormat="false" ht="15.75" hidden="false" customHeight="true" outlineLevel="0" collapsed="false">
      <c r="B29" s="8" t="s">
        <v>42</v>
      </c>
      <c r="C29" s="8"/>
      <c r="D29" s="8"/>
      <c r="E29" s="8"/>
      <c r="F29" s="8"/>
      <c r="G29" s="8"/>
      <c r="Z29" s="6" t="s">
        <v>21</v>
      </c>
    </row>
    <row r="30" customFormat="false" ht="45" hidden="false" customHeight="true" outlineLevel="0" collapsed="false">
      <c r="B30" s="9" t="s">
        <v>43</v>
      </c>
      <c r="C30" s="9"/>
      <c r="D30" s="9"/>
      <c r="E30" s="9"/>
      <c r="F30" s="9"/>
      <c r="G30" s="9"/>
      <c r="Z30" s="6" t="s">
        <v>23</v>
      </c>
    </row>
    <row r="31" customFormat="false" ht="15" hidden="false" customHeight="false" outlineLevel="0" collapsed="false">
      <c r="B31" s="14" t="s">
        <v>44</v>
      </c>
      <c r="C31" s="15" t="s">
        <v>45</v>
      </c>
      <c r="D31" s="15" t="s">
        <v>46</v>
      </c>
      <c r="E31" s="15" t="s">
        <v>47</v>
      </c>
      <c r="Z31" s="6" t="s">
        <v>13</v>
      </c>
    </row>
    <row r="32" customFormat="false" ht="15" hidden="false" customHeight="false" outlineLevel="0" collapsed="false">
      <c r="B32" s="16" t="s">
        <v>48</v>
      </c>
      <c r="C32" s="17" t="n">
        <v>5</v>
      </c>
      <c r="D32" s="17" t="n">
        <v>327.43</v>
      </c>
      <c r="E32" s="17" t="n">
        <v>1900</v>
      </c>
      <c r="Z32" s="6" t="s">
        <v>15</v>
      </c>
    </row>
    <row r="33" customFormat="false" ht="15" hidden="false" customHeight="false" outlineLevel="0" collapsed="false">
      <c r="B33" s="16" t="s">
        <v>49</v>
      </c>
      <c r="C33" s="17" t="n">
        <v>0</v>
      </c>
      <c r="D33" s="17" t="n">
        <v>0</v>
      </c>
      <c r="E33" s="17" t="n">
        <v>6000</v>
      </c>
      <c r="Z33" s="6" t="s">
        <v>17</v>
      </c>
    </row>
    <row r="34" customFormat="false" ht="15" hidden="false" customHeight="false" outlineLevel="0" collapsed="false">
      <c r="Z34" s="0" t="s">
        <v>19</v>
      </c>
    </row>
    <row r="35" customFormat="false" ht="43.5" hidden="false" customHeight="true" outlineLevel="0" collapsed="false">
      <c r="B35" s="11" t="s">
        <v>50</v>
      </c>
      <c r="C35" s="18"/>
      <c r="D35" s="19" t="s">
        <v>51</v>
      </c>
      <c r="G35" s="13" t="str">
        <f aca="false">IF(C35="","Skriv svaret i den gule cellen.",IF(ABS(C35-(ROUND((5*327.43+1900)/24,2)))&lt;=0.01,"Riktig.",IF(ABS(C35-(ROUND(1900/24,2)))&lt;=0.01,"Du har tatt bare trykk og porto. De fem administrasjonstimene à 327,43 kr er også en kostnad: 5 × 327,43 = 1 637,15.",IF(ABS(C35-(ROUND(5*327.43+1900,2)))&lt;=0.01,"Det er kostnaden for hele brevet. Kontaktprisen er kostnaden delt på de 24 styrene som nås.",IF(ABS(C35-(ROUND((5*327.43+1900)/18000,2)))&lt;=0.01,"Du har delt på annonsens 18 000 visninger. Brevet når 24 styrer.","Ikke riktig ennå. Se på regnestykket øverst på fanen, og sjekk at du har med alle leddene.")))))</f>
        <v>Skriv svaret i den gule cellen.</v>
      </c>
      <c r="Z35" s="6" t="s">
        <v>21</v>
      </c>
    </row>
    <row r="36" customFormat="false" ht="43.5" hidden="false" customHeight="true" outlineLevel="0" collapsed="false">
      <c r="B36" s="11" t="s">
        <v>52</v>
      </c>
      <c r="C36" s="18"/>
      <c r="D36" s="19" t="s">
        <v>53</v>
      </c>
      <c r="G36" s="13" t="str">
        <f aca="false">IF(C36="","Skriv svaret i den gule cellen.",IF(ABS(C36-(ROUND(6000/18000,2)))&lt;=0.01,"Riktig.",IF(ABS(C36-(ROUND(18000/6000,2)))&lt;=0.01,"Du har delt motsatt vei. Det er kostnaden, 6 000, som deles på antall visninger, 18 000.",IF(ABS(C36-(ROUND(6000/24,2)))&lt;=0.01,"Du har delt på de 24 styrene. Annonsen vises for 18 000 personer.","Ikke riktig ennå. Se på regnestykket øverst på fanen, og sjekk at du har med alle leddene."))))</f>
        <v>Skriv svaret i den gule cellen.</v>
      </c>
      <c r="Z36" s="6" t="s">
        <v>23</v>
      </c>
    </row>
    <row r="37" customFormat="false" ht="15" hidden="false" customHeight="false" outlineLevel="0" collapsed="false">
      <c r="Z37" s="0" t="s">
        <v>13</v>
      </c>
    </row>
    <row r="38" customFormat="false" ht="15" hidden="false" customHeight="false" outlineLevel="0" collapsed="false">
      <c r="B38" s="20" t="s">
        <v>54</v>
      </c>
      <c r="C38" s="12"/>
      <c r="Z38" s="6" t="s">
        <v>15</v>
      </c>
    </row>
    <row r="39" customFormat="false" ht="60" hidden="false" customHeight="true" outlineLevel="0" collapsed="false">
      <c r="B39" s="21" t="str">
        <f aca="false">IF(C38="JA","Hint: Reklame er betalt plass (Google, Facebook). Personlig salg er dialog (besøk, telefon). Salgsfremmende tiltak skjer der kjøpet avgjøres (visning av referanseanlegg, rabatt). Brevet er direktemarkedsføring, draktene sponsing, avissaken og egen side er omtale. Kontaktpris: (5 × 327,43 + 1 900) / 24 = 147,38 kr. 6 000 / 18 000 = 0,33 kr.","")</f>
        <v/>
      </c>
      <c r="C39" s="21"/>
      <c r="D39" s="21"/>
      <c r="E39" s="21"/>
      <c r="F39" s="21"/>
      <c r="G39" s="21"/>
      <c r="Z39" s="6" t="s">
        <v>17</v>
      </c>
    </row>
    <row r="40" customFormat="false" ht="15" hidden="false" customHeight="false" outlineLevel="0" collapsed="false">
      <c r="Z40" s="0" t="s">
        <v>19</v>
      </c>
    </row>
    <row r="41" customFormat="false" ht="30" hidden="false" customHeight="true" outlineLevel="0" collapsed="false">
      <c r="B41" s="7" t="s">
        <v>55</v>
      </c>
      <c r="C41" s="7"/>
      <c r="D41" s="7"/>
      <c r="E41" s="7"/>
      <c r="F41" s="7"/>
      <c r="G41" s="7"/>
      <c r="Z41" s="6" t="s">
        <v>21</v>
      </c>
    </row>
    <row r="42" customFormat="false" ht="15" hidden="false" customHeight="false" outlineLevel="0" collapsed="false">
      <c r="Z42" s="0" t="s">
        <v>23</v>
      </c>
    </row>
    <row r="43" customFormat="false" ht="15" hidden="false" customHeight="false" outlineLevel="0" collapsed="false">
      <c r="Z43" s="0" t="s">
        <v>13</v>
      </c>
    </row>
    <row r="44" customFormat="false" ht="15" hidden="false" customHeight="false" outlineLevel="0" collapsed="false">
      <c r="Z44" s="0" t="s">
        <v>15</v>
      </c>
    </row>
    <row r="45" customFormat="false" ht="15" hidden="false" customHeight="false" outlineLevel="0" collapsed="false">
      <c r="Z45" s="0" t="s">
        <v>17</v>
      </c>
    </row>
    <row r="46" customFormat="false" ht="15" hidden="false" customHeight="false" outlineLevel="0" collapsed="false">
      <c r="Z46" s="0" t="s">
        <v>19</v>
      </c>
    </row>
    <row r="47" customFormat="false" ht="15" hidden="false" customHeight="false" outlineLevel="0" collapsed="false">
      <c r="Z47" s="0" t="s">
        <v>21</v>
      </c>
    </row>
    <row r="48" customFormat="false" ht="15" hidden="false" customHeight="false" outlineLevel="0" collapsed="false">
      <c r="Z48" s="0" t="s">
        <v>23</v>
      </c>
    </row>
    <row r="49" customFormat="false" ht="15" hidden="false" customHeight="false" outlineLevel="0" collapsed="false">
      <c r="Z49" s="0" t="s">
        <v>13</v>
      </c>
    </row>
    <row r="50" customFormat="false" ht="15" hidden="false" customHeight="false" outlineLevel="0" collapsed="false">
      <c r="Z50" s="0" t="s">
        <v>15</v>
      </c>
    </row>
    <row r="51" customFormat="false" ht="15" hidden="false" customHeight="false" outlineLevel="0" collapsed="false">
      <c r="Z51" s="0" t="s">
        <v>17</v>
      </c>
    </row>
    <row r="52" customFormat="false" ht="15" hidden="false" customHeight="false" outlineLevel="0" collapsed="false">
      <c r="Z52" s="0" t="s">
        <v>19</v>
      </c>
    </row>
    <row r="53" customFormat="false" ht="15" hidden="false" customHeight="false" outlineLevel="0" collapsed="false">
      <c r="Z53" s="0" t="s">
        <v>21</v>
      </c>
    </row>
    <row r="54" customFormat="false" ht="15" hidden="false" customHeight="false" outlineLevel="0" collapsed="false">
      <c r="Z54" s="0" t="s">
        <v>23</v>
      </c>
    </row>
    <row r="55" customFormat="false" ht="15" hidden="false" customHeight="false" outlineLevel="0" collapsed="false">
      <c r="Z55" s="0" t="s">
        <v>13</v>
      </c>
    </row>
    <row r="56" customFormat="false" ht="15" hidden="false" customHeight="false" outlineLevel="0" collapsed="false">
      <c r="Z56" s="0" t="s">
        <v>15</v>
      </c>
    </row>
    <row r="57" customFormat="false" ht="15" hidden="false" customHeight="false" outlineLevel="0" collapsed="false">
      <c r="Z57" s="0" t="s">
        <v>17</v>
      </c>
    </row>
    <row r="58" customFormat="false" ht="15" hidden="false" customHeight="false" outlineLevel="0" collapsed="false">
      <c r="Z58" s="0" t="s">
        <v>19</v>
      </c>
    </row>
    <row r="59" customFormat="false" ht="15" hidden="false" customHeight="false" outlineLevel="0" collapsed="false">
      <c r="Z59" s="0" t="s">
        <v>21</v>
      </c>
    </row>
    <row r="60" customFormat="false" ht="15" hidden="false" customHeight="false" outlineLevel="0" collapsed="false">
      <c r="Z60" s="0" t="s">
        <v>23</v>
      </c>
    </row>
    <row r="61" customFormat="false" ht="15" hidden="false" customHeight="false" outlineLevel="0" collapsed="false">
      <c r="Z61" s="0" t="s">
        <v>56</v>
      </c>
    </row>
    <row r="62" customFormat="false" ht="15" hidden="false" customHeight="false" outlineLevel="0" collapsed="false">
      <c r="Z62" s="0" t="s">
        <v>57</v>
      </c>
    </row>
    <row r="63" customFormat="false" ht="15" hidden="false" customHeight="false" outlineLevel="0" collapsed="false">
      <c r="Z63" s="0" t="s">
        <v>56</v>
      </c>
    </row>
    <row r="64" customFormat="false" ht="15" hidden="false" customHeight="false" outlineLevel="0" collapsed="false">
      <c r="Z64" s="0" t="s">
        <v>57</v>
      </c>
    </row>
    <row r="65" customFormat="false" ht="15" hidden="false" customHeight="false" outlineLevel="0" collapsed="false">
      <c r="Z65" s="0" t="s">
        <v>56</v>
      </c>
    </row>
    <row r="66" customFormat="false" ht="15" hidden="false" customHeight="false" outlineLevel="0" collapsed="false">
      <c r="Z66" s="0" t="s">
        <v>57</v>
      </c>
    </row>
  </sheetData>
  <mergeCells count="14">
    <mergeCell ref="B2:G2"/>
    <mergeCell ref="B3:G3"/>
    <mergeCell ref="B4:G4"/>
    <mergeCell ref="B5:G5"/>
    <mergeCell ref="B6:G6"/>
    <mergeCell ref="B7:G7"/>
    <mergeCell ref="B9:G9"/>
    <mergeCell ref="B10:G10"/>
    <mergeCell ref="B12:G12"/>
    <mergeCell ref="B24:G24"/>
    <mergeCell ref="B29:G29"/>
    <mergeCell ref="B30:G30"/>
    <mergeCell ref="B39:G39"/>
    <mergeCell ref="B41:G41"/>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2">
    <cfRule type="expression" priority="20" aboveAverage="0" equalAverage="0" bottom="0" percent="0" rank="0" text="" dxfId="0">
      <formula>LEFT(G22,6)="Riktig"</formula>
    </cfRule>
    <cfRule type="expression" priority="21" aboveAverage="0" equalAverage="0" bottom="0" percent="0" rank="0" text="" dxfId="1">
      <formula>LEFT(G22,4)="Ikke"</formula>
    </cfRule>
  </conditionalFormatting>
  <conditionalFormatting sqref="G25">
    <cfRule type="expression" priority="22" aboveAverage="0" equalAverage="0" bottom="0" percent="0" rank="0" text="" dxfId="0">
      <formula>LEFT(G25,6)="Riktig"</formula>
    </cfRule>
    <cfRule type="expression" priority="23" aboveAverage="0" equalAverage="0" bottom="0" percent="0" rank="0" text="" dxfId="1">
      <formula>LEFT(G25,4)="Ikke"</formula>
    </cfRule>
  </conditionalFormatting>
  <conditionalFormatting sqref="G26">
    <cfRule type="expression" priority="24" aboveAverage="0" equalAverage="0" bottom="0" percent="0" rank="0" text="" dxfId="0">
      <formula>LEFT(G26,6)="Riktig"</formula>
    </cfRule>
    <cfRule type="expression" priority="25" aboveAverage="0" equalAverage="0" bottom="0" percent="0" rank="0" text="" dxfId="1">
      <formula>LEFT(G26,4)="Ikke"</formula>
    </cfRule>
  </conditionalFormatting>
  <conditionalFormatting sqref="G27">
    <cfRule type="expression" priority="26" aboveAverage="0" equalAverage="0" bottom="0" percent="0" rank="0" text="" dxfId="0">
      <formula>LEFT(G27,6)="Riktig"</formula>
    </cfRule>
    <cfRule type="expression" priority="27" aboveAverage="0" equalAverage="0" bottom="0" percent="0" rank="0" text="" dxfId="1">
      <formula>LEFT(G27,4)="Ikke"</formula>
    </cfRule>
  </conditionalFormatting>
  <conditionalFormatting sqref="G35">
    <cfRule type="expression" priority="28" aboveAverage="0" equalAverage="0" bottom="0" percent="0" rank="0" text="" dxfId="0">
      <formula>LEFT(G35,6)="Riktig"</formula>
    </cfRule>
    <cfRule type="expression" priority="29" aboveAverage="0" equalAverage="0" bottom="0" percent="0" rank="0" text="" dxfId="1">
      <formula>AND(G35&lt;&gt;"",LEFT(G35,6)&lt;&gt;"Riktig",LEFT(G35,5)&lt;&gt;"Skriv")</formula>
    </cfRule>
  </conditionalFormatting>
  <conditionalFormatting sqref="G36">
    <cfRule type="expression" priority="30" aboveAverage="0" equalAverage="0" bottom="0" percent="0" rank="0" text="" dxfId="0">
      <formula>LEFT(G36,6)="Riktig"</formula>
    </cfRule>
    <cfRule type="expression" priority="31" aboveAverage="0" equalAverage="0" bottom="0" percent="0" rank="0" text="" dxfId="1">
      <formula>AND(G36&lt;&gt;"",LEFT(G36,6)&lt;&gt;"Riktig",LEFT(G36,5)&lt;&gt;"Skriv")</formula>
    </cfRule>
  </conditionalFormatting>
  <dataValidations count="14">
    <dataValidation allowBlank="true" errorStyle="stop" operator="between" showDropDown="false" showErrorMessage="false" showInputMessage="false" sqref="C13" type="list">
      <formula1>$Z$1:$Z$6</formula1>
      <formula2>0</formula2>
    </dataValidation>
    <dataValidation allowBlank="true" errorStyle="stop" operator="between" showDropDown="false" showErrorMessage="false" showInputMessage="false" sqref="C14" type="list">
      <formula1>$Z$7:$Z$12</formula1>
      <formula2>0</formula2>
    </dataValidation>
    <dataValidation allowBlank="true" errorStyle="stop" operator="between" showDropDown="false" showErrorMessage="false" showInputMessage="false" sqref="C15" type="list">
      <formula1>$Z$13:$Z$18</formula1>
      <formula2>0</formula2>
    </dataValidation>
    <dataValidation allowBlank="true" errorStyle="stop" operator="between" showDropDown="false" showErrorMessage="false" showInputMessage="false" sqref="C16" type="list">
      <formula1>$Z$19:$Z$24</formula1>
      <formula2>0</formula2>
    </dataValidation>
    <dataValidation allowBlank="true" errorStyle="stop" operator="between" showDropDown="false" showErrorMessage="false" showInputMessage="false" sqref="C17" type="list">
      <formula1>$Z$25:$Z$30</formula1>
      <formula2>0</formula2>
    </dataValidation>
    <dataValidation allowBlank="true" errorStyle="stop" operator="between" showDropDown="false" showErrorMessage="false" showInputMessage="false" sqref="C18" type="list">
      <formula1>$Z$31:$Z$36</formula1>
      <formula2>0</formula2>
    </dataValidation>
    <dataValidation allowBlank="true" errorStyle="stop" operator="between" showDropDown="false" showErrorMessage="false" showInputMessage="false" sqref="C19" type="list">
      <formula1>$Z$37:$Z$42</formula1>
      <formula2>0</formula2>
    </dataValidation>
    <dataValidation allowBlank="true" errorStyle="stop" operator="between" showDropDown="false" showErrorMessage="false" showInputMessage="false" sqref="C20" type="list">
      <formula1>$Z$43:$Z$48</formula1>
      <formula2>0</formula2>
    </dataValidation>
    <dataValidation allowBlank="true" errorStyle="stop" operator="between" showDropDown="false" showErrorMessage="false" showInputMessage="false" sqref="C21" type="list">
      <formula1>$Z$49:$Z$54</formula1>
      <formula2>0</formula2>
    </dataValidation>
    <dataValidation allowBlank="true" errorStyle="stop" operator="between" showDropDown="false" showErrorMessage="false" showInputMessage="false" sqref="C22" type="list">
      <formula1>$Z$55:$Z$60</formula1>
      <formula2>0</formula2>
    </dataValidation>
    <dataValidation allowBlank="true" errorStyle="stop" operator="between" showDropDown="false" showErrorMessage="false" showInputMessage="false" sqref="C25" type="list">
      <formula1>$Z$61:$Z$62</formula1>
      <formula2>0</formula2>
    </dataValidation>
    <dataValidation allowBlank="true" errorStyle="stop" operator="between" showDropDown="false" showErrorMessage="false" showInputMessage="false" sqref="C26" type="list">
      <formula1>$Z$63:$Z$64</formula1>
      <formula2>0</formula2>
    </dataValidation>
    <dataValidation allowBlank="true" errorStyle="stop" operator="between" showDropDown="false" showErrorMessage="false" showInputMessage="false" sqref="C27" type="list">
      <formula1>$Z$65:$Z$66</formula1>
      <formula2>0</formula2>
    </dataValidation>
    <dataValidation allowBlank="true" errorStyle="stop" operator="between" showDropDown="false" showErrorMessage="false" showInputMessage="false" sqref="C3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58</v>
      </c>
    </row>
    <row r="2" customFormat="false" ht="25.5" hidden="false" customHeight="true" outlineLevel="0" collapsed="false">
      <c r="B2" s="5" t="s">
        <v>59</v>
      </c>
      <c r="C2" s="5"/>
      <c r="D2" s="5"/>
      <c r="E2" s="5"/>
      <c r="F2" s="5"/>
      <c r="G2" s="5"/>
      <c r="Z2" s="6" t="s">
        <v>60</v>
      </c>
    </row>
    <row r="3" customFormat="false" ht="15" hidden="false" customHeight="true" outlineLevel="0" collapsed="false">
      <c r="B3" s="7" t="s">
        <v>16</v>
      </c>
      <c r="C3" s="7"/>
      <c r="D3" s="7"/>
      <c r="E3" s="7"/>
      <c r="F3" s="7"/>
      <c r="G3" s="7"/>
      <c r="Z3" s="6" t="s">
        <v>58</v>
      </c>
    </row>
    <row r="4" customFormat="false" ht="15.75" hidden="false" customHeight="true" outlineLevel="0" collapsed="false">
      <c r="B4" s="8" t="s">
        <v>18</v>
      </c>
      <c r="C4" s="8"/>
      <c r="D4" s="8"/>
      <c r="E4" s="8"/>
      <c r="F4" s="8"/>
      <c r="G4" s="8"/>
      <c r="Z4" s="6" t="s">
        <v>60</v>
      </c>
    </row>
    <row r="5" customFormat="false" ht="45" hidden="false" customHeight="true" outlineLevel="0" collapsed="false">
      <c r="B5" s="9" t="s">
        <v>61</v>
      </c>
      <c r="C5" s="9"/>
      <c r="D5" s="9"/>
      <c r="E5" s="9"/>
      <c r="F5" s="9"/>
      <c r="G5" s="9"/>
      <c r="Z5" s="6" t="s">
        <v>58</v>
      </c>
    </row>
    <row r="6" customFormat="false" ht="15.75" hidden="false" customHeight="true" outlineLevel="0" collapsed="false">
      <c r="B6" s="8" t="s">
        <v>22</v>
      </c>
      <c r="C6" s="8"/>
      <c r="D6" s="8"/>
      <c r="E6" s="8"/>
      <c r="F6" s="8"/>
      <c r="G6" s="8"/>
      <c r="Z6" s="6" t="s">
        <v>60</v>
      </c>
    </row>
    <row r="7" customFormat="false" ht="60" hidden="false" customHeight="true" outlineLevel="0" collapsed="false">
      <c r="B7" s="9" t="s">
        <v>62</v>
      </c>
      <c r="C7" s="9"/>
      <c r="D7" s="9"/>
      <c r="E7" s="9"/>
      <c r="F7" s="9"/>
      <c r="G7" s="9"/>
      <c r="Z7" s="6" t="s">
        <v>58</v>
      </c>
    </row>
    <row r="8" customFormat="false" ht="15" hidden="false" customHeight="false" outlineLevel="0" collapsed="false">
      <c r="Z8" s="0" t="s">
        <v>60</v>
      </c>
    </row>
    <row r="9" customFormat="false" ht="15.75" hidden="false" customHeight="true" outlineLevel="0" collapsed="false">
      <c r="B9" s="8" t="s">
        <v>63</v>
      </c>
      <c r="C9" s="8"/>
      <c r="D9" s="8"/>
      <c r="E9" s="8"/>
      <c r="F9" s="8"/>
      <c r="G9" s="8"/>
      <c r="Z9" s="6" t="s">
        <v>58</v>
      </c>
    </row>
    <row r="10" customFormat="false" ht="60" hidden="false" customHeight="true" outlineLevel="0" collapsed="false">
      <c r="B10" s="9" t="s">
        <v>64</v>
      </c>
      <c r="C10" s="9"/>
      <c r="D10" s="9"/>
      <c r="E10" s="9"/>
      <c r="F10" s="9"/>
      <c r="G10" s="9"/>
      <c r="Z10" s="6" t="s">
        <v>60</v>
      </c>
    </row>
    <row r="11" customFormat="false" ht="15" hidden="false" customHeight="false" outlineLevel="0" collapsed="false">
      <c r="Z11" s="0" t="s">
        <v>65</v>
      </c>
    </row>
    <row ht="17.25" customHeight="true" r="12" customFormat="false" hidden="false" outlineLevel="0" collapsed="false">
      <c r="B12" s="10" t="s">
        <v>66</v>
      </c>
      <c r="C12" s="10"/>
      <c r="D12" s="10"/>
      <c r="E12" s="10"/>
      <c r="F12" s="10"/>
      <c r="G12" s="10"/>
      <c r="Z12" s="6" t="s">
        <v>67</v>
      </c>
    </row>
    <row r="13" customFormat="false" ht="39.75" hidden="false" customHeight="true" outlineLevel="0" collapsed="false">
      <c r="B13" s="11" t="s">
        <v>68</v>
      </c>
      <c r="C13" s="12"/>
      <c r="G13" s="13" t="str">
        <f aca="false">IF(C13="","Velg i nedtrekksmenyen.",IF(C13="Ulovlig","Riktig. Befaringen er ikke gratis for den som takker nei. Forskrift om urimelig handelspraksis, punkt 20: alltid urimelig (§ 6).","Ikke riktig. Befaringen er ikke gratis for den som takker nei. Forskrift om urimelig handelspraksis, punkt 20: alltid urimelig (§ 6)."))</f>
        <v>Velg i nedtrekksmenyen.</v>
      </c>
      <c r="Z13" s="6" t="s">
        <v>69</v>
      </c>
    </row>
    <row ht="46.5" customHeight="true" r="14" customFormat="false" hidden="false" outlineLevel="0" collapsed="false">
      <c r="B14" s="11" t="s">
        <v>70</v>
      </c>
      <c r="C14" s="12"/>
      <c r="G14" s="13" t="str">
        <f aca="false">IF(C14="","Velg i nedtrekksmenyen.",IF(C14="Ulovlig","Riktig. Villedende utelatelse (§ 8): det som alltid kommer i tillegg, er skjult. Prisopplysningsforskriften: prisen til forbruker skal være hel og med merverdiavgift.","Ikke riktig. Villedende utelatelse (§ 8): det som alltid kommer i tillegg, er skjult. Prisopplysningsforskriften: prisen til forbruker skal være hel og med merverdiavgift."))</f>
        <v>Velg i nedtrekksmenyen.</v>
      </c>
    </row>
    <row r="15" customFormat="false" ht="39.75" hidden="false" customHeight="true" outlineLevel="0" collapsed="false">
      <c r="B15" s="11" t="s">
        <v>71</v>
      </c>
      <c r="C15" s="12"/>
      <c r="G15" s="13" t="str">
        <f aca="false">IF(C15="","Velg i nedtrekksmenyen.",IF(C15="Lovlig","Riktig. Åpenbar overdrivelse. Ingen tar den bokstavelig, så den rammes verken av § 3 eller § 7.","Ikke riktig. Åpenbar overdrivelse. Ingen tar den bokstavelig, så den rammes verken av § 3 eller § 7."))</f>
        <v>Velg i nedtrekksmenyen.</v>
      </c>
    </row>
    <row r="16" customFormat="false" ht="39.75" hidden="false" customHeight="true" outlineLevel="0" collapsed="false">
      <c r="B16" s="11" t="s">
        <v>72</v>
      </c>
      <c r="C16" s="12"/>
      <c r="G16" s="13" t="str">
        <f aca="false">IF(C16="","Velg i nedtrekksmenyen.",IF(C16="Ulovlig","Riktig. Faktapåstand som skal kunne dokumenteres når annonsen går (§ 3). Uten regnestykke er den villedende (§ 7). Forbrukertilsynet kan kreve dokumentasjonen.","Ikke riktig. Faktapåstand som skal kunne dokumenteres når annonsen går (§ 3). Uten regnestykke er den villedende (§ 7). Forbrukertilsynet kan kreve dokumentasjonen."))</f>
        <v>Velg i nedtrekksmenyen.</v>
      </c>
    </row>
    <row r="17" customFormat="false" ht="39.75" hidden="false" customHeight="true" outlineLevel="0" collapsed="false">
      <c r="B17" s="11" t="s">
        <v>73</v>
      </c>
      <c r="C17" s="12"/>
      <c r="G17" s="13" t="str">
        <f aca="false">IF(C17="","Velg i nedtrekksmenyen.",IF(C17="Lovlig","Riktig. Sant, kan dokumenteres, og prisen er hel og med merverdiavgift.","Ikke riktig. Sant, kan dokumenteres, og prisen er hel og med merverdiavgift."))</f>
        <v>Velg i nedtrekksmenyen.</v>
      </c>
    </row>
    <row r="19" customFormat="false" ht="39.75" hidden="false" customHeight="true" outlineLevel="0" collapsed="false">
      <c r="B19" s="11" t="s">
        <v>74</v>
      </c>
      <c r="C19" s="12"/>
      <c r="G19" s="13" t="str">
        <f aca="false">IF(C19="","Velg i nedtrekksmenyen.",IF(C19="Forskrift om urimelig handelspraksis punkt 20 om gratis","Riktig. Punkt 20 i listen over praksis som alltid er urimelig: en ytelse kan ikke kalles gratis hvis forbrukeren må betale mer enn de uunngåelige utgiftene for å svare på tilbudet. Den rammes av § 6 uten noen vurdering.","Ikke riktig. Punkt 20 i listen over praksis som alltid er urimelig: en ytelse kan ikke kalles gratis hvis forbrukeren må betale mer enn de uunngåelige utgiftene for å svare på tilbudet. Den rammes av § 6 uten noen vurdering."))</f>
        <v>Velg i nedtrekksmenyen.</v>
      </c>
    </row>
    <row r="21" customFormat="false" ht="30" hidden="false" customHeight="true" outlineLevel="0" collapsed="false">
      <c r="B21" s="9" t="s">
        <v>75</v>
      </c>
      <c r="C21" s="9"/>
      <c r="D21" s="9"/>
      <c r="E21" s="9"/>
      <c r="F21" s="9"/>
      <c r="G21" s="9"/>
    </row>
    <row r="22" customFormat="false" ht="21.75" hidden="false" customHeight="true" outlineLevel="0" collapsed="false">
      <c r="B22" s="22"/>
      <c r="C22" s="22"/>
      <c r="D22" s="22"/>
      <c r="E22" s="22"/>
      <c r="F22" s="22"/>
      <c r="G22" s="22"/>
    </row>
    <row r="23" customFormat="false" ht="21.75" hidden="false" customHeight="true" outlineLevel="0" collapsed="false">
      <c r="B23" s="22"/>
      <c r="C23" s="22"/>
      <c r="D23" s="22"/>
      <c r="E23" s="22"/>
      <c r="F23" s="22"/>
      <c r="G23" s="22"/>
    </row>
    <row r="24" customFormat="false" ht="21.75" hidden="false" customHeight="true" outlineLevel="0" collapsed="false">
      <c r="B24" s="22"/>
      <c r="C24" s="22"/>
      <c r="D24" s="22"/>
      <c r="E24" s="22"/>
      <c r="F24" s="22"/>
      <c r="G24" s="22"/>
    </row>
    <row r="25" customFormat="false" ht="39.75" hidden="false" customHeight="true" outlineLevel="0" collapsed="false">
      <c r="B25" s="23" t="str">
        <f aca="false">IF(LEN(B22)&lt;40,"",IF(AND(ISNUMBER(SEARCH("mva",B22)),ISNUMBER(SEARCH("tillegg",B22))),"Bra: prisen er med merverdiavgift, og du sier hva som kommer i tillegg. Da er utsagnet både lovlig og troverdig.",IF(OR(ISNUMBER(SEARCH("mva",B22)),ISNUMBER(SEARCH("tillegg",B22))),"Du er på sporet. Har du både prisen med merverdiavgift (skriv «inkl. mva.») og hva som kommer i tillegg (skriv «i tillegg»)?","Tips: «Ladepunkt ferdig montert fra 11 975 kr inkl. mva. Kabel over 10 meter kommer i tillegg etter prisliste.» Hel pris, med merverdiavgift, og tillegget står like tydelig som prisen.")))</f>
        <v/>
      </c>
      <c r="C25" s="23"/>
      <c r="D25" s="23"/>
      <c r="E25" s="23"/>
      <c r="F25" s="23"/>
      <c r="G25" s="23"/>
    </row>
    <row r="26" customFormat="false" ht="15" hidden="false" customHeight="false" outlineLevel="0" collapsed="false">
      <c r="B26" s="20" t="s">
        <v>54</v>
      </c>
      <c r="C26" s="12"/>
    </row>
    <row r="27" customFormat="false" ht="45" hidden="false" customHeight="true" outlineLevel="0" collapsed="false">
      <c r="B27" s="21" t="str">
        <f aca="false">IF(C26="JA","Hint: Ulovlig: 1 (gratis som ikke er gratis, punkt 20), 2 (hel pris med merverdiavgift mangler, § 8) og 4 (udokumentert sparepåstand, § 3 og § 7). Lovlig: 3 (åpenbar overdrivelse) og 5 (sant og dokumenterbart). Omskriving av 2: pris inkl. mva., og tillegget nevnt der prisen står.","")</f>
        <v/>
      </c>
      <c r="C27" s="21"/>
      <c r="D27" s="21"/>
      <c r="E27" s="21"/>
      <c r="F27" s="21"/>
      <c r="G27" s="21"/>
    </row>
    <row r="29" customFormat="false" ht="30" hidden="false" customHeight="true" outlineLevel="0" collapsed="false">
      <c r="B29" s="7" t="s">
        <v>55</v>
      </c>
      <c r="C29" s="7"/>
      <c r="D29" s="7"/>
      <c r="E29" s="7"/>
      <c r="F29" s="7"/>
      <c r="G29" s="7"/>
    </row>
  </sheetData>
  <mergeCells count="14">
    <mergeCell ref="B2:G2"/>
    <mergeCell ref="B3:G3"/>
    <mergeCell ref="B4:G4"/>
    <mergeCell ref="B5:G5"/>
    <mergeCell ref="B6:G6"/>
    <mergeCell ref="B7:G7"/>
    <mergeCell ref="B9:G9"/>
    <mergeCell ref="B10:G10"/>
    <mergeCell ref="B12:G12"/>
    <mergeCell ref="B21:G21"/>
    <mergeCell ref="B22:G24"/>
    <mergeCell ref="B25:G25"/>
    <mergeCell ref="B27:G27"/>
    <mergeCell ref="B29:G29"/>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9">
    <cfRule type="expression" priority="12" aboveAverage="0" equalAverage="0" bottom="0" percent="0" rank="0" text="" dxfId="0">
      <formula>LEFT(G19,6)="Riktig"</formula>
    </cfRule>
    <cfRule type="expression" priority="13" aboveAverage="0" equalAverage="0" bottom="0" percent="0" rank="0" text="" dxfId="1">
      <formula>LEFT(G19,4)="Ikke"</formula>
    </cfRule>
  </conditionalFormatting>
  <dataValidations count="7">
    <dataValidation allowBlank="true" errorStyle="stop" operator="between" showDropDown="false" showErrorMessage="false" showInputMessage="false" sqref="C13" type="list">
      <formula1>$Z$1:$Z$2</formula1>
      <formula2>0</formula2>
    </dataValidation>
    <dataValidation allowBlank="true" errorStyle="stop" operator="between" showDropDown="false" showErrorMessage="false" showInputMessage="false" sqref="C14" type="list">
      <formula1>$Z$3:$Z$4</formula1>
      <formula2>0</formula2>
    </dataValidation>
    <dataValidation allowBlank="true" errorStyle="stop" operator="between" showDropDown="false" showErrorMessage="false" showInputMessage="false" sqref="C15" type="list">
      <formula1>$Z$5:$Z$6</formula1>
      <formula2>0</formula2>
    </dataValidation>
    <dataValidation allowBlank="true" errorStyle="stop" operator="between" showDropDown="false" showErrorMessage="false" showInputMessage="false" sqref="C16" type="list">
      <formula1>$Z$7:$Z$8</formula1>
      <formula2>0</formula2>
    </dataValidation>
    <dataValidation allowBlank="true" errorStyle="stop" operator="between" showDropDown="false" showErrorMessage="false" showInputMessage="false" sqref="C17" type="list">
      <formula1>$Z$9:$Z$10</formula1>
      <formula2>0</formula2>
    </dataValidation>
    <dataValidation allowBlank="true" errorStyle="stop" operator="between" showDropDown="false" showErrorMessage="false" showInputMessage="false" sqref="C19" type="list">
      <formula1>$Z$11:$Z$13</formula1>
      <formula2>0</formula2>
    </dataValidation>
    <dataValidation allowBlank="true" errorStyle="stop" operator="between" showDropDown="false" showErrorMessage="false" showInputMessage="false" sqref="C2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76</v>
      </c>
    </row>
    <row r="2" customFormat="false" ht="25.5" hidden="false" customHeight="true" outlineLevel="0" collapsed="false">
      <c r="B2" s="5" t="s">
        <v>77</v>
      </c>
      <c r="C2" s="5"/>
      <c r="D2" s="5"/>
      <c r="E2" s="5"/>
      <c r="F2" s="5"/>
      <c r="G2" s="5"/>
      <c r="Z2" s="6" t="s">
        <v>78</v>
      </c>
    </row>
    <row r="3" customFormat="false" ht="15" hidden="false" customHeight="true" outlineLevel="0" collapsed="false">
      <c r="B3" s="7" t="s">
        <v>16</v>
      </c>
      <c r="C3" s="7"/>
      <c r="D3" s="7"/>
      <c r="E3" s="7"/>
      <c r="F3" s="7"/>
      <c r="G3" s="7"/>
      <c r="Z3" s="6" t="s">
        <v>79</v>
      </c>
    </row>
    <row r="4" customFormat="false" ht="15.75" hidden="false" customHeight="true" outlineLevel="0" collapsed="false">
      <c r="B4" s="8" t="s">
        <v>18</v>
      </c>
      <c r="C4" s="8"/>
      <c r="D4" s="8"/>
      <c r="E4" s="8"/>
      <c r="F4" s="8"/>
      <c r="G4" s="8"/>
      <c r="Z4" s="6" t="s">
        <v>76</v>
      </c>
    </row>
    <row r="5" customFormat="false" ht="75" hidden="false" customHeight="true" outlineLevel="0" collapsed="false">
      <c r="B5" s="9" t="s">
        <v>80</v>
      </c>
      <c r="C5" s="9"/>
      <c r="D5" s="9"/>
      <c r="E5" s="9"/>
      <c r="F5" s="9"/>
      <c r="G5" s="9"/>
      <c r="Z5" s="6" t="s">
        <v>78</v>
      </c>
    </row>
    <row r="6" customFormat="false" ht="15.75" hidden="false" customHeight="true" outlineLevel="0" collapsed="false">
      <c r="B6" s="8" t="s">
        <v>22</v>
      </c>
      <c r="C6" s="8"/>
      <c r="D6" s="8"/>
      <c r="E6" s="8"/>
      <c r="F6" s="8"/>
      <c r="G6" s="8"/>
      <c r="Z6" s="6" t="s">
        <v>79</v>
      </c>
    </row>
    <row r="7" customFormat="false" ht="60" hidden="false" customHeight="true" outlineLevel="0" collapsed="false">
      <c r="B7" s="9" t="s">
        <v>81</v>
      </c>
      <c r="C7" s="9"/>
      <c r="D7" s="9"/>
      <c r="E7" s="9"/>
      <c r="F7" s="9"/>
      <c r="G7" s="9"/>
      <c r="Z7" s="6" t="s">
        <v>76</v>
      </c>
    </row>
    <row r="8" customFormat="false" ht="15" hidden="false" customHeight="false" outlineLevel="0" collapsed="false">
      <c r="Z8" s="0" t="s">
        <v>78</v>
      </c>
    </row>
    <row r="9" customFormat="false" ht="15.75" hidden="false" customHeight="true" outlineLevel="0" collapsed="false">
      <c r="B9" s="8" t="s">
        <v>82</v>
      </c>
      <c r="C9" s="8"/>
      <c r="D9" s="8"/>
      <c r="E9" s="8"/>
      <c r="F9" s="8"/>
      <c r="G9" s="8"/>
      <c r="Z9" s="6" t="s">
        <v>79</v>
      </c>
    </row>
    <row r="10" customFormat="false" ht="120" hidden="false" customHeight="true" outlineLevel="0" collapsed="false">
      <c r="B10" s="9" t="s">
        <v>83</v>
      </c>
      <c r="C10" s="9"/>
      <c r="D10" s="9"/>
      <c r="E10" s="9"/>
      <c r="F10" s="9"/>
      <c r="G10" s="9"/>
    </row>
    <row ht="31.5" customHeight="true" r="11" customFormat="false" hidden="false" outlineLevel="0" collapsed="false">
      <c r="B11" s="14" t="s">
        <v>84</v>
      </c>
      <c r="C11" s="15" t="s">
        <v>85</v>
      </c>
      <c r="D11" s="15" t="s">
        <v>86</v>
      </c>
      <c s="31" r="E11" t="s">
        <v>87</v>
      </c>
      <c r="F11" s="15" t="s">
        <v>88</v>
      </c>
    </row>
    <row ht="31.5" customHeight="true" r="12" customFormat="false" hidden="false" outlineLevel="0" collapsed="false">
      <c s="30" r="B12" t="s">
        <v>89</v>
      </c>
      <c r="C12" s="24" t="n">
        <f aca="false">3*6000</f>
        <v>18000</v>
      </c>
      <c r="D12" s="17" t="n">
        <v>120</v>
      </c>
      <c r="E12" s="17" t="n">
        <v>30</v>
      </c>
      <c r="F12" s="17" t="n">
        <v>1800</v>
      </c>
    </row>
    <row r="13" customFormat="false" ht="15" hidden="false" customHeight="false" outlineLevel="0" collapsed="false">
      <c r="B13" s="16" t="s">
        <v>90</v>
      </c>
      <c r="C13" s="24" t="n">
        <f aca="false">5*327.43+1900+10*(3.85*327.43+400)</f>
        <v>20143.205</v>
      </c>
      <c r="D13" s="17" t="n">
        <v>10</v>
      </c>
      <c r="E13" s="17" t="n">
        <v>20</v>
      </c>
      <c r="F13" s="17" t="n">
        <v>4125</v>
      </c>
    </row>
    <row ht="31.5" customHeight="true" r="14" customFormat="false" hidden="false" outlineLevel="0" collapsed="false">
      <c s="30" r="B14" t="s">
        <v>91</v>
      </c>
      <c r="C14" s="24" t="n">
        <f aca="false">4*(3.85*327.43+400)</f>
        <v>6642.422</v>
      </c>
      <c r="D14" s="17" t="n">
        <v>1</v>
      </c>
      <c r="E14" s="17" t="n">
        <v>40</v>
      </c>
      <c r="F14" s="17" t="n">
        <v>4125</v>
      </c>
    </row>
    <row r="16" customFormat="false" ht="15.75" hidden="false" customHeight="true" outlineLevel="0" collapsed="false">
      <c r="B16" s="8" t="s">
        <v>92</v>
      </c>
      <c r="C16" s="8"/>
      <c r="D16" s="8"/>
      <c r="E16" s="8"/>
      <c r="F16" s="8"/>
      <c r="G16" s="8"/>
    </row>
    <row r="17" customFormat="false" ht="60" hidden="false" customHeight="true" outlineLevel="0" collapsed="false">
      <c r="B17" s="9" t="s">
        <v>93</v>
      </c>
      <c r="C17" s="9"/>
      <c r="D17" s="9"/>
      <c r="E17" s="9"/>
      <c r="F17" s="9"/>
      <c r="G17" s="9"/>
    </row>
    <row r="19" customFormat="false" ht="43.5" hidden="false" customHeight="true" outlineLevel="0" collapsed="false">
      <c r="B19" s="11" t="s">
        <v>94</v>
      </c>
      <c r="C19" s="25"/>
      <c r="D19" s="19" t="s">
        <v>95</v>
      </c>
      <c r="G19" s="13" t="str">
        <f aca="false">IF(C19="","Skriv svaret i den gule cellen.",IF(ABS(C19-(ROUND(C12/D12,0)))&lt;=1,"Riktig.",IF(ABS(C19-(ROUND(C12/54000,0)))&lt;=1,"Du har delt på antall visninger (3 × 18 000). Kostnad per henvendelse deles på dem som tok kontakt: 120.",IF(ABS(C19-(ROUND(C12/E12,0)))&lt;=1,"Du har delt på antall solgte ladepunkt. Her spørres det om henvendelser, altså de 120 som tok kontakt.",IF(ABS(C19-(ROUND(6000/D12,0)))&lt;=1,"Du har tatt én måned. Annonsene gikk i tre måneder: 3 × 6 000 = 18 000.","Ikke riktig ennå. Se på regnestykket øverst på fanen, og sjekk at du har med alle leddene.")))))</f>
        <v>Skriv svaret i den gule cellen.</v>
      </c>
    </row>
    <row r="20" customFormat="false" ht="43.5" hidden="false" customHeight="true" outlineLevel="0" collapsed="false">
      <c r="B20" s="11" t="s">
        <v>96</v>
      </c>
      <c r="C20" s="25"/>
      <c r="D20" s="19" t="s">
        <v>95</v>
      </c>
      <c r="G20" s="13" t="str">
        <f aca="false">IF(C20="","Skriv svaret i den gule cellen.",IF(ABS(C20-(ROUND(C13/D13,0)))&lt;=1,"Riktig.",IF(ABS(C20-(ROUND(C13/24,0)))&lt;=1,"Du har delt på de 24 styrene brevet gikk til. Bare 10 av dem tok kontakt og ville ha tilbud.",IF(ABS(C20-(ROUND(10*(3.85*327.43+400)/D13,0)))&lt;=1,"Du har glemt brevet, 3 537,15 kr. Kampanjen er brev pluss besøk.","Ikke riktig ennå. Se på regnestykket øverst på fanen, og sjekk at du har med alle leddene."))))</f>
        <v>Skriv svaret i den gule cellen.</v>
      </c>
    </row>
    <row r="21" customFormat="false" ht="43.5" hidden="false" customHeight="true" outlineLevel="0" collapsed="false">
      <c r="B21" s="11" t="s">
        <v>97</v>
      </c>
      <c r="C21" s="25"/>
      <c r="D21" s="19" t="s">
        <v>95</v>
      </c>
      <c r="G21" s="13" t="str">
        <f aca="false">IF(C21="","Skriv svaret i den gule cellen.",IF(ABS(C21-(ROUND(C14/D14,0)))&lt;=1,"Riktig.",IF(ABS(C21-(ROUND((3.85*327.43+400)/D14,0)))&lt;=1,"Du har regnet ett møte. Det tok fire møter før én totalentreprenør sendte tilbudsforespørsel.",IF(ABS(C21-(ROUND(C14/4,0)))&lt;=1,"Du har delt på antall møter. Kostnad per henvendelse deles på dem som tok kontakt: én.","Ikke riktig ennå. Se på regnestykket øverst på fanen, og sjekk at du har med alle leddene."))))</f>
        <v>Skriv svaret i den gule cellen.</v>
      </c>
    </row>
    <row r="23" customFormat="false" ht="43.5" hidden="false" customHeight="true" outlineLevel="0" collapsed="false">
      <c r="B23" s="11" t="s">
        <v>98</v>
      </c>
      <c r="C23" s="18"/>
      <c r="D23" s="19" t="s">
        <v>99</v>
      </c>
      <c r="G23" s="13" t="str">
        <f aca="false">IF(C23="","Skriv svaret i den gule cellen.",IF(ABS(C23-(ROUND(E12*F12/C12,2)))&lt;=0.01,"Riktig.",IF(ABS(C23-(ROUND(C12/(E12*F12),2)))&lt;=0.01,"Du har delt motsatt vei. Det er dekningsbidraget som deles på kostnaden.",IF(ABS(C23-(ROUND(E12*9580/C12,2)))&lt;=0.01,"Du har brukt prisen, 9 580 kr. Det er dekningsbidraget per ladepunkt, 1 800 kr, som skal brukes.","Ikke riktig ennå. Se på regnestykket øverst på fanen, og sjekk at du har med alle leddene."))))</f>
        <v>Skriv svaret i den gule cellen.</v>
      </c>
    </row>
    <row r="24" customFormat="false" ht="43.5" hidden="false" customHeight="true" outlineLevel="0" collapsed="false">
      <c r="B24" s="11" t="s">
        <v>100</v>
      </c>
      <c r="C24" s="18"/>
      <c r="D24" s="19" t="s">
        <v>99</v>
      </c>
      <c r="G24" s="13" t="str">
        <f aca="false">IF(C24="","Skriv svaret i den gule cellen.",IF(ABS(C24-(ROUND(E13*F13/C13,2)))&lt;=0.01,"Riktig.",IF(ABS(C24-(ROUND(C13/(E13*F13),2)))&lt;=0.01,"Du har delt motsatt vei. Dekningsbidraget (20 × 4 125) deles på kostnaden.",IF(ABS(C24-(ROUND(E13*F13/(10*(3.85*327.43+400)),2)))&lt;=0.01,"Du har glemt brevet i kostnaden.",IF(ABS(C24-(ROUND(E13*1800/C13,2)))&lt;=0.01,"Du har brukt 1 800 kr, eneboligladeren. Et felles ladeanlegg gir 4 125 kr per plass.","Ikke riktig ennå. Se på regnestykket øverst på fanen, og sjekk at du har med alle leddene.")))))</f>
        <v>Skriv svaret i den gule cellen.</v>
      </c>
    </row>
    <row r="25" customFormat="false" ht="43.5" hidden="false" customHeight="true" outlineLevel="0" collapsed="false">
      <c r="B25" s="11" t="s">
        <v>101</v>
      </c>
      <c r="C25" s="18"/>
      <c r="D25" s="19" t="s">
        <v>99</v>
      </c>
      <c r="G25" s="13" t="str">
        <f aca="false">IF(C25="","Skriv svaret i den gule cellen.",IF(ABS(C25-(ROUND(E14*F14/C14,2)))&lt;=0.01,"Riktig.",IF(ABS(C25-(ROUND(C14/(E14*F14),2)))&lt;=0.01,"Du har delt motsatt vei. Dekningsbidraget (40 × 4 125) deles på kostnaden.",IF(ABS(C25-(ROUND(E14*F14/(3.85*327.43+400),2)))&lt;=0.01,"Du har regnet med ett møte. Det tok fire møter å få forespørselen.",IF(ABS(C25-(ROUND(E14*1800/C14,2)))&lt;=0.01,"Du har brukt 1 800 kr, eneboligladeren. Et ladeanlegg med 40 plasser er et prosjekt: 4 125 kr per plass.","Ikke riktig ennå. Se på regnestykket øverst på fanen, og sjekk at du har med alle leddene.")))))</f>
        <v>Skriv svaret i den gule cellen.</v>
      </c>
    </row>
    <row ht="17.25" customHeight="true" r="27" customFormat="false" hidden="false" outlineLevel="0" collapsed="false">
      <c r="B27" s="10" t="s">
        <v>102</v>
      </c>
      <c r="C27" s="10"/>
      <c r="D27" s="10"/>
      <c r="E27" s="10"/>
      <c r="F27" s="10"/>
      <c r="G27" s="10"/>
    </row>
    <row r="28" customFormat="false" ht="39.75" hidden="false" customHeight="true" outlineLevel="0" collapsed="false">
      <c r="B28" s="11" t="s">
        <v>103</v>
      </c>
      <c r="C28" s="12"/>
      <c r="G28" s="13" t="str">
        <f aca="false">IF(C28="","Velg i nedtrekksmenyen.",IF(C28="Reklame som får kunden til å ringe","Riktig. Privatmarkedet: lite kjøp, én gang, og hun søker selv når behovet melder seg. Reklamen må komme opp når hun søker; så svarer Nordlys godt på telefonen.","Ikke riktig. Privatmarkedet: lite kjøp, én gang, og hun søker selv når behovet melder seg. Reklamen må komme opp når hun søker; så svarer Nordlys godt på telefonen."))</f>
        <v>Velg i nedtrekksmenyen.</v>
      </c>
    </row>
    <row r="29" customFormat="false" ht="39.75" hidden="false" customHeight="true" outlineLevel="0" collapsed="false">
      <c r="B29" s="11" t="s">
        <v>104</v>
      </c>
      <c r="C29" s="12"/>
      <c r="G29" s="13" t="str">
        <f aca="false">IF(C29="","Velg i nedtrekksmenyen.",IF(C29="Brev og telefon og besøk med befaring","Riktig. Bedriftsmarkedet og en nyanskaffelse: 415 300 kr står på spill, styret vil ha fakta og svar, og generalforsamlingen vedtar som regel så store kjøp. Brevet åpner døra, telefonen følger opp, befaringen lukker.","Ikke riktig. Bedriftsmarkedet og en nyanskaffelse: 415 300 kr står på spill, styret vil ha fakta og svar, og generalforsamlingen vedtar som regel så store kjøp. Brevet åpner døra, telefonen følger opp, befaringen lukker."))</f>
        <v>Velg i nedtrekksmenyen.</v>
      </c>
    </row>
    <row r="30" customFormat="false" ht="39.75" hidden="false" customHeight="true" outlineLevel="0" collapsed="false">
      <c r="B30" s="11" t="s">
        <v>105</v>
      </c>
      <c r="C30" s="12"/>
      <c r="G30" s="13" t="str">
        <f aca="false">IF(C30="","Velg i nedtrekksmenyen.",IF(C30="Personlig salg og et godt tilbud","Riktig. Store verdier, teknisk komplisert og tilbud mot tilbud: boka sier personlig salg, mot entreprenørens innkjøper og prosjektleder. Det er der Ronny har rett, men det er Kari og Ida som selger.","Ikke riktig. Store verdier, teknisk komplisert og tilbud mot tilbud: boka sier personlig salg, mot entreprenørens innkjøper og prosjektleder. Det er der Ronny har rett, men det er Kari og Ida som selger."))</f>
        <v>Velg i nedtrekksmenyen.</v>
      </c>
    </row>
    <row r="32" customFormat="false" ht="30" hidden="false" customHeight="true" outlineLevel="0" collapsed="false">
      <c r="B32" s="9" t="s">
        <v>106</v>
      </c>
      <c r="C32" s="9"/>
      <c r="D32" s="9"/>
      <c r="E32" s="9"/>
      <c r="F32" s="9"/>
      <c r="G32" s="9"/>
    </row>
    <row r="33" customFormat="false" ht="21.75" hidden="false" customHeight="true" outlineLevel="0" collapsed="false">
      <c r="B33" s="22"/>
      <c r="C33" s="22"/>
      <c r="D33" s="22"/>
      <c r="E33" s="22"/>
      <c r="F33" s="22"/>
      <c r="G33" s="22"/>
    </row>
    <row r="34" customFormat="false" ht="21.75" hidden="false" customHeight="true" outlineLevel="0" collapsed="false">
      <c r="B34" s="22"/>
      <c r="C34" s="22"/>
      <c r="D34" s="22"/>
      <c r="E34" s="22"/>
      <c r="F34" s="22"/>
      <c r="G34" s="22"/>
    </row>
    <row r="35" customFormat="false" ht="21.75" hidden="false" customHeight="true" outlineLevel="0" collapsed="false">
      <c r="B35" s="22"/>
      <c r="C35" s="22"/>
      <c r="D35" s="22"/>
      <c r="E35" s="22"/>
      <c r="F35" s="22"/>
      <c r="G35" s="22"/>
    </row>
    <row r="36" customFormat="false" ht="39.75" hidden="false" customHeight="true" outlineLevel="0" collapsed="false">
      <c r="B36" s="23" t="str">
        <f aca="false">IF(LEN(B33)&lt;40,"",IF(AND(ISNUMBER(SEARCH("privat",B33)),ISNUMBER(SEARCH("bedrift",B33))),"Bra: du skiller privatmarkedet fra bedriftsmarkedet og bruker tallene. Si også hvordan Kari skal måle det etterpå: spør hver ny kunde hvordan hun fant Nordlys.",IF(OR(ISNUMBER(SEARCH("privat",B33)),ISNUMBER(SEARCH("bedrift",B33))),"Du har med ett av markedene. Ta med begge: huseieren på privatmarkedet må finne Nordlys (reklame), styret og totalentreprenøren på bedriftsmarkedet må møtes (brev, besøk, personlig salg og tilbud).","Tips: møtene med totalentreprenørene ga mest tilbake per krone (24,84), men én tilbudsforespørsel er et tynt grunnlag, og det er ikke sikkert tilbudet vinner. Styrebesøkene ga 4,10 per krone fordi et felles anlegg er et prosjekt. Annonsene ga flest henvendelser til lavest pris (150 kr) og 3,00 per krone. Fordel pengene på alle tre, mest der dekningsbidraget per krone er høyest, og begrunn med privatmarkedet (må finne oss) mot bedriftsmarkedet (må møtes).")))</f>
        <v/>
      </c>
      <c r="C36" s="23"/>
      <c r="D36" s="23"/>
      <c r="E36" s="23"/>
      <c r="F36" s="23"/>
      <c r="G36" s="23"/>
    </row>
    <row r="37" customFormat="false" ht="15" hidden="false" customHeight="false" outlineLevel="0" collapsed="false">
      <c r="B37" s="20" t="s">
        <v>54</v>
      </c>
      <c r="C37" s="12"/>
    </row>
    <row r="38" customFormat="false" ht="45" hidden="false" customHeight="true" outlineLevel="0" collapsed="false">
      <c r="B38" s="21" t="str">
        <f aca="false">IF(C37="JA","Hint: a: 18 000 / 120 = 150. b: 20 143,21 / 10 = 2 014. c: 6 642,42 / 1 = 6 642. d: 30 × 1 800 = 54 000 / 18 000 = 3,00. e: 20 × 4 125 = 82 500 / 20 143,21 = 4,10. f: 40 × 4 125 = 165 000 / 6 642,42 = 24,84. Dyrest per henvendelse er ikke det samme som dårligst: verdien av henvendelsen avgjør.","")</f>
        <v/>
      </c>
      <c r="C38" s="21"/>
      <c r="D38" s="21"/>
      <c r="E38" s="21"/>
      <c r="F38" s="21"/>
      <c r="G38" s="21"/>
    </row>
    <row r="40" customFormat="false" ht="30" hidden="false" customHeight="true" outlineLevel="0" collapsed="false">
      <c r="B40" s="7" t="s">
        <v>55</v>
      </c>
      <c r="C40" s="7"/>
      <c r="D40" s="7"/>
      <c r="E40" s="7"/>
      <c r="F40" s="7"/>
      <c r="G40" s="7"/>
    </row>
  </sheetData>
  <mergeCells count="16">
    <mergeCell ref="B2:G2"/>
    <mergeCell ref="B3:G3"/>
    <mergeCell ref="B4:G4"/>
    <mergeCell ref="B5:G5"/>
    <mergeCell ref="B6:G6"/>
    <mergeCell ref="B7:G7"/>
    <mergeCell ref="B9:G9"/>
    <mergeCell ref="B10:G10"/>
    <mergeCell ref="B16:G16"/>
    <mergeCell ref="B17:G17"/>
    <mergeCell ref="B27:G27"/>
    <mergeCell ref="B32:G32"/>
    <mergeCell ref="B33:G35"/>
    <mergeCell ref="B36:G36"/>
    <mergeCell ref="B38:G38"/>
    <mergeCell ref="B40:G40"/>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0">
    <cfRule type="expression" priority="4" aboveAverage="0" equalAverage="0" bottom="0" percent="0" rank="0" text="" dxfId="0">
      <formula>LEFT(G20,6)="Riktig"</formula>
    </cfRule>
    <cfRule type="expression" priority="5" aboveAverage="0" equalAverage="0" bottom="0" percent="0" rank="0" text="" dxfId="1">
      <formula>AND(G20&lt;&gt;"",LEFT(G20,6)&lt;&gt;"Riktig",LEFT(G20,5)&lt;&gt;"Skriv")</formula>
    </cfRule>
  </conditionalFormatting>
  <conditionalFormatting sqref="G21">
    <cfRule type="expression" priority="6" aboveAverage="0" equalAverage="0" bottom="0" percent="0" rank="0" text="" dxfId="0">
      <formula>LEFT(G21,6)="Riktig"</formula>
    </cfRule>
    <cfRule type="expression" priority="7" aboveAverage="0" equalAverage="0" bottom="0" percent="0" rank="0" text="" dxfId="1">
      <formula>AND(G21&lt;&gt;"",LEFT(G21,6)&lt;&gt;"Riktig",LEFT(G21,5)&lt;&gt;"Skriv")</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AND(G23&lt;&gt;"",LEFT(G23,6)&lt;&gt;"Riktig",LEFT(G23,5)&lt;&gt;"Skriv")</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AND(G24&lt;&gt;"",LEFT(G24,6)&lt;&gt;"Riktig",LEFT(G24,5)&lt;&gt;"Skriv")</formula>
    </cfRule>
  </conditionalFormatting>
  <conditionalFormatting sqref="G25">
    <cfRule type="expression" priority="12" aboveAverage="0" equalAverage="0" bottom="0" percent="0" rank="0" text="" dxfId="0">
      <formula>LEFT(G25,6)="Riktig"</formula>
    </cfRule>
    <cfRule type="expression" priority="13" aboveAverage="0" equalAverage="0" bottom="0" percent="0" rank="0" text="" dxfId="1">
      <formula>AND(G25&lt;&gt;"",LEFT(G25,6)&lt;&gt;"Riktig",LEFT(G25,5)&lt;&gt;"Skriv")</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LEFT(G29,4)="Ikke"</formula>
    </cfRule>
  </conditionalFormatting>
  <conditionalFormatting sqref="G30">
    <cfRule type="expression" priority="18" aboveAverage="0" equalAverage="0" bottom="0" percent="0" rank="0" text="" dxfId="0">
      <formula>LEFT(G30,6)="Riktig"</formula>
    </cfRule>
    <cfRule type="expression" priority="19" aboveAverage="0" equalAverage="0" bottom="0" percent="0" rank="0" text="" dxfId="1">
      <formula>LEFT(G30,4)="Ikke"</formula>
    </cfRule>
  </conditionalFormatting>
  <dataValidations count="4">
    <dataValidation allowBlank="true" errorStyle="stop" operator="between" showDropDown="false" showErrorMessage="false" showInputMessage="false" sqref="C28" type="list">
      <formula1>$Z$1:$Z$3</formula1>
      <formula2>0</formula2>
    </dataValidation>
    <dataValidation allowBlank="true" errorStyle="stop" operator="between" showDropDown="false" showErrorMessage="false" showInputMessage="false" sqref="C29" type="list">
      <formula1>$Z$4:$Z$6</formula1>
      <formula2>0</formula2>
    </dataValidation>
    <dataValidation allowBlank="true" errorStyle="stop" operator="between" showDropDown="false" showErrorMessage="false" showInputMessage="false" sqref="C30" type="list">
      <formula1>$Z$7:$Z$9</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107</v>
      </c>
    </row>
    <row r="3" customFormat="false" ht="30" hidden="false" customHeight="true" outlineLevel="0" collapsed="false">
      <c r="B3" s="7" t="s">
        <v>108</v>
      </c>
      <c r="C3" s="7"/>
      <c r="D3" s="7"/>
    </row>
    <row r="5" customFormat="false" ht="15" hidden="false" customHeight="false" outlineLevel="0" collapsed="false">
      <c r="B5" s="27" t="s">
        <v>109</v>
      </c>
      <c r="C5" s="27" t="s">
        <v>110</v>
      </c>
      <c r="D5" s="27" t="s">
        <v>111</v>
      </c>
    </row>
    <row r="6" customFormat="false" ht="30" hidden="false" customHeight="true" outlineLevel="0" collapsed="false">
      <c r="B6" s="28" t="s">
        <v>112</v>
      </c>
      <c r="C6" s="29"/>
      <c r="D6" s="28" t="s">
        <v>113</v>
      </c>
    </row>
    <row r="7" customFormat="false" ht="30" hidden="false" customHeight="true" outlineLevel="0" collapsed="false">
      <c r="B7" s="28" t="s">
        <v>114</v>
      </c>
      <c r="C7" s="29"/>
      <c r="D7" s="28" t="s">
        <v>115</v>
      </c>
    </row>
    <row r="8" customFormat="false" ht="30" hidden="false" customHeight="true" outlineLevel="0" collapsed="false">
      <c r="B8" s="28" t="s">
        <v>116</v>
      </c>
      <c r="C8" s="29" t="n">
        <v>147.38</v>
      </c>
      <c r="D8" s="28" t="s">
        <v>117</v>
      </c>
    </row>
    <row r="9" customFormat="false" ht="30" hidden="false" customHeight="true" outlineLevel="0" collapsed="false">
      <c r="B9" s="28" t="s">
        <v>118</v>
      </c>
      <c r="C9" s="29" t="n">
        <v>0.33</v>
      </c>
      <c r="D9" s="28" t="s">
        <v>119</v>
      </c>
    </row>
    <row r="10" customFormat="false" ht="30" hidden="false" customHeight="true" outlineLevel="0" collapsed="false">
      <c r="B10" s="28" t="s">
        <v>120</v>
      </c>
      <c r="C10" s="29"/>
      <c r="D10" s="28" t="s">
        <v>121</v>
      </c>
    </row>
    <row r="11" customFormat="false" ht="30" hidden="false" customHeight="true" outlineLevel="0" collapsed="false">
      <c r="B11" s="28" t="s">
        <v>122</v>
      </c>
      <c r="C11" s="29"/>
      <c r="D11" s="28" t="s">
        <v>123</v>
      </c>
    </row>
    <row r="12" customFormat="false" ht="30" hidden="false" customHeight="true" outlineLevel="0" collapsed="false">
      <c r="B12" s="28" t="s">
        <v>124</v>
      </c>
      <c r="C12" s="29"/>
      <c r="D12" s="28" t="s">
        <v>125</v>
      </c>
    </row>
    <row r="13" customFormat="false" ht="30" hidden="false" customHeight="true" outlineLevel="0" collapsed="false">
      <c r="B13" s="28" t="s">
        <v>126</v>
      </c>
      <c r="C13" s="29" t="n">
        <v>150</v>
      </c>
      <c r="D13" s="28" t="s">
        <v>127</v>
      </c>
    </row>
    <row r="14" customFormat="false" ht="30" hidden="false" customHeight="true" outlineLevel="0" collapsed="false">
      <c r="B14" s="28" t="s">
        <v>128</v>
      </c>
      <c r="C14" s="29" t="n">
        <v>2014</v>
      </c>
      <c r="D14" s="28" t="s">
        <v>129</v>
      </c>
    </row>
    <row r="15" customFormat="false" ht="30" hidden="false" customHeight="true" outlineLevel="0" collapsed="false">
      <c r="B15" s="28" t="s">
        <v>130</v>
      </c>
      <c r="C15" s="29" t="n">
        <v>6642</v>
      </c>
      <c r="D15" s="28" t="s">
        <v>131</v>
      </c>
    </row>
    <row r="16" customFormat="false" ht="30" hidden="false" customHeight="true" outlineLevel="0" collapsed="false">
      <c r="B16" s="28" t="s">
        <v>132</v>
      </c>
      <c r="C16" s="29" t="n">
        <v>3</v>
      </c>
      <c r="D16" s="28" t="s">
        <v>133</v>
      </c>
    </row>
    <row r="17" customFormat="false" ht="30" hidden="false" customHeight="true" outlineLevel="0" collapsed="false">
      <c r="B17" s="28" t="s">
        <v>134</v>
      </c>
      <c r="C17" s="29" t="n">
        <v>4.1</v>
      </c>
      <c r="D17" s="28" t="s">
        <v>135</v>
      </c>
    </row>
    <row r="18" customFormat="false" ht="30" hidden="false" customHeight="true" outlineLevel="0" collapsed="false">
      <c r="B18" s="28" t="s">
        <v>136</v>
      </c>
      <c r="C18" s="29" t="n">
        <v>24.84</v>
      </c>
      <c r="D18" s="28" t="s">
        <v>137</v>
      </c>
    </row>
    <row r="19" customFormat="false" ht="30" hidden="false" customHeight="true" outlineLevel="0" collapsed="false">
      <c r="B19" s="28" t="s">
        <v>138</v>
      </c>
      <c r="C19" s="29"/>
      <c r="D19" s="28" t="s">
        <v>139</v>
      </c>
    </row>
    <row r="20" customFormat="false" ht="60" hidden="false" customHeight="true" outlineLevel="0" collapsed="false">
      <c r="B20" s="28" t="s">
        <v>140</v>
      </c>
      <c r="C20" s="29"/>
      <c r="D20" s="28" t="s">
        <v>141</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2026-10-22T16:39:32Z</dcterms:created>
  <dc:creator>openpyxl</dc:creator>
  <dc:description/>
  <dc:language>en-US</dc:language>
  <cp:lastModifiedBy/>
  <dcterms:modified xsi:type="dcterms:W3CDTF">2026-10-22T16:39:32Z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