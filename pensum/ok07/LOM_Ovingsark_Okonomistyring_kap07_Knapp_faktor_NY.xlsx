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Rangering" sheetId="3" state="visible" r:id="rId5"/>
    <sheet name="Produktvalg" sheetId="4" state="visible" r:id="rId6"/>
    <sheet name="Materiell knapp" sheetId="5" state="visible" r:id="rId7"/>
    <sheet name="Scenario" sheetId="6" state="visible" r:id="rId8"/>
    <sheet name="Di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<sst xmlns="http://schemas.openxmlformats.org/spreadsheetml/2006/main" count="323" uniqueCount="259">
  <si>
    <t xml:space="preserve">Hvilken jobb skal få de ledige timene? Den enkle versjonen</t>
  </si>
  <si>
    <t xml:space="preserve">Fyll inn de fem gule cellene. Svaret står i den grønne. Alt annet regner seg selv. Vil du gå dypere, ligger alle fire oppdragstypene og månedsplanen i arkene bak.</t>
  </si>
  <si>
    <t xml:space="preserve">Det du vet</t>
  </si>
  <si>
    <t xml:space="preserve">Hvor mange ledige montørtimer har du?</t>
  </si>
  <si>
    <t xml:space="preserve">Timene er det knappe. Alt annet har dere nok av.</t>
  </si>
  <si>
    <t xml:space="preserve">Hva gir ett solcelleanlegg i dekningsbidrag?</t>
  </si>
  <si>
    <t xml:space="preserve">Pris minus det jobben koster i seg selv.</t>
  </si>
  <si>
    <t xml:space="preserve">Hvor mange timer tar ett solcelleanlegg?</t>
  </si>
  <si>
    <t xml:space="preserve">Montørtimer på jobben.</t>
  </si>
  <si>
    <t xml:space="preserve">Hva gir ett ladepunkt i dekningsbidrag?</t>
  </si>
  <si>
    <t xml:space="preserve">Den lille jobben. Minst per oppdrag.</t>
  </si>
  <si>
    <t xml:space="preserve">Hvor mange timer tar ett ladepunkt?</t>
  </si>
  <si>
    <t xml:space="preserve">Regnestykket</t>
  </si>
  <si>
    <t xml:space="preserve">Solcelleanlegg: kroner per montørtime</t>
  </si>
  <si>
    <t xml:space="preserve">Dekningsbidraget delt på timene. Det er regelen.</t>
  </si>
  <si>
    <t xml:space="preserve">Ladepunkt: kroner per montørtime</t>
  </si>
  <si>
    <t xml:space="preserve">Samme brøk for den lille jobben.</t>
  </si>
  <si>
    <t xml:space="preserve">Dekningsbidrag hvis timene går til solcelle</t>
  </si>
  <si>
    <t xml:space="preserve">De ledige timene ganger kroner per time.</t>
  </si>
  <si>
    <t xml:space="preserve">Dekningsbidrag hvis timene går til ladepunkt</t>
  </si>
  <si>
    <t xml:space="preserve">Med 14 timer rekker montørene sju ladepunkt.</t>
  </si>
  <si>
    <t xml:space="preserve">LADEPUNKT MINUS SOLCELLE, I KRONER</t>
  </si>
  <si>
    <t xml:space="preserve">Positivt tall: ladepunktene gir mest. Negativt: solcelleanlegget gir mest.</t>
  </si>
  <si>
    <t xml:space="preserve">Så mange ganger så lønnsomt per time</t>
  </si>
  <si>
    <t xml:space="preserve">Ladepunktets kroner per time delt på solcelleanleggets.</t>
  </si>
  <si>
    <t xml:space="preserve">Hva svaret betyr</t>
  </si>
  <si>
    <t xml:space="preserve">Prøv selv</t>
  </si>
  <si>
    <t xml:space="preserve">1. Hva må B6 være for at solcelleanlegget skal gi like mye per time som ladepunktet?</t>
  </si>
  <si>
    <t xml:space="preserve">2. Sett B9 til 3. Er ladepunktet fortsatt best?</t>
  </si>
  <si>
    <t xml:space="preserve">3. Ingenting er knapt lenger, og du kan ta alle jobbene. Betyr B17 fortsatt noe? Hvorfor ikke?</t>
  </si>
  <si>
    <t xml:space="preserve">Tallene er Nordlys Elektro AS sine (sammendraget og arket «Rangering»). Kilde: Økonomistyring for LØM-emnet, kap. 7.1 og 7.2. Nordlys Elektro AS er en konstruert casebedrift.</t>
  </si>
  <si>
    <t xml:space="preserve">Knapp faktor — hvilket oppdrag skal du ta først?</t>
  </si>
  <si>
    <t xml:space="preserve">LØM Økonomistyring kap. 7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</si>
  <si>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</si>
  <si>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</si>
  <si>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</si>
  <si>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</si>
  <si>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</si>
  <si>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</si>
  <si>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</si>
  <si>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</si>
  <si>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</si>
  <si>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</si>
  <si>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Fem gule celler, ett svar. Hvilken jobb som skal få de ledige timene.</t>
  </si>
  <si>
    <t xml:space="preserve">Rangering</t>
  </si>
  <si>
    <t xml:space="preserve">De fire oppdragstypene med begge måltallene og alle tre rangeringene. Her ligger de gule cellene alt annet henter fra.</t>
  </si>
  <si>
    <t xml:space="preserve">Produktvalg</t>
  </si>
  <si>
    <t xml:space="preserve">Planen når montørtimene er flaskehalsen: riktig rangering mot fella, og hva forskjellen koster i året.</t>
  </si>
  <si>
    <t xml:space="preserve">Materiell knapp</t>
  </si>
  <si>
    <t xml:space="preserve">Samme måned, men grossisten er flaskehalsen. Rangeringen snur, og montørtimer blir stående ubrukt.</t>
  </si>
  <si>
    <t xml:space="preserve">Scenario</t>
  </si>
  <si>
    <t xml:space="preserve">To rammeavtaler om de samme timene. Hva koster det å velge feil, hvor mye rabatt tåler valget, og hvor mye volumsvikt?</t>
  </si>
  <si>
    <t xml:space="preserve">Din bedrift</t>
  </si>
  <si>
    <t xml:space="preserve">Samme oppsett, tomt. Legg inn dine egne oppdragstyper.</t>
  </si>
  <si>
    <t xml:space="preserve">Tallene som ligger inne er ordreboka til Nordlys Elektro AS i mars, den samme bedriften du møter i alle ti kapitlene i Bok 1.</t>
  </si>
  <si>
    <t xml:space="preserve">Rangeringene regnes med RANK, og planene fylles ovenfra og ned med INDEX og MATCH. Snur du et tall, snur rangeringen og planen med den.</t>
  </si>
  <si>
    <t xml:space="preserve">Merk: dekningsbidraget per oppdrag er regnet ETTER montørlønn, fordi montørlønna er en variabel kostnad i en installasjonsbedrift.</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</si>
  <si>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</si>
  <si>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</si>
  <si>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fire knappene</t>
  </si>
  <si>
    <t xml:space="preserve">Rangering!B6:B9</t>
  </si>
  <si>
    <t xml:space="preserve">Dekningsbidrag per oppdrag</t>
  </si>
  <si>
    <t xml:space="preserve">Endrer rangeringen, planene og begge scenarioene.</t>
  </si>
  <si>
    <t xml:space="preserve">Rangering!C6:C9</t>
  </si>
  <si>
    <t xml:space="preserve">Montørtimer per oppdrag</t>
  </si>
  <si>
    <t xml:space="preserve">Nevneren i det viktigste måltallet.</t>
  </si>
  <si>
    <t xml:space="preserve">Rangering!E6:E9</t>
  </si>
  <si>
    <t xml:space="preserve">Etterspørsel i måneden</t>
  </si>
  <si>
    <t xml:space="preserve">Taket. Uten et tak finnes det ikke noe prioriteringsproblem.</t>
  </si>
  <si>
    <t xml:space="preserve">Produktvalg!B5</t>
  </si>
  <si>
    <t xml:space="preserve">Kapasiteten i timer</t>
  </si>
  <si>
    <t xml:space="preserve">Sett den høyt nok, og hele rangeringen slutter å bety noe.</t>
  </si>
  <si>
    <t xml:space="preserve">Hvilken oppgave bruker hvilket ark</t>
  </si>
  <si>
    <t xml:space="preserve">Oppgave i øvingsheftet</t>
  </si>
  <si>
    <t xml:space="preserve">Ark</t>
  </si>
  <si>
    <t xml:space="preserve">Celler du endrer og leser av</t>
  </si>
  <si>
    <t xml:space="preserve">A1 · Duellen: 14 timer, to måter</t>
  </si>
  <si>
    <t xml:space="preserve">Les av F6 til F9 og duellblokka i rad 15 til 20.</t>
  </si>
  <si>
    <t xml:space="preserve">A2 · Når skal rangeringen ikke avgjøre?</t>
  </si>
  <si>
    <t xml:space="preserve">Les av C37 til C40: hvem som faktisk gir fra seg timene, og hva ett oppdrag ekstra koster.</t>
  </si>
  <si>
    <t xml:space="preserve">A3 · Klasseoppgave: montørtimene i mars</t>
  </si>
  <si>
    <t xml:space="preserve">Les av hele planen i rad 12 til 16 og forskjellen i C31 til C34.</t>
  </si>
  <si>
    <t xml:space="preserve">1 · Fire oppdragstyper, én knapp faktor</t>
  </si>
  <si>
    <t xml:space="preserve">Endre B6 til E9. Les av F6 til F9, rangeringen i G, og duellen i rad 15 til 20.</t>
  </si>
  <si>
    <t xml:space="preserve">2 · Hvem får montørtimene i mars?</t>
  </si>
  <si>
    <t xml:space="preserve">Endre kapasiteten i B5. Les av planen i rad 12 til 16, fella i rad 21 til 25 og forskjellen i C31, C32 og C34.</t>
  </si>
  <si>
    <t xml:space="preserve">3 · Grossisten kan ikke levere</t>
  </si>
  <si>
    <t xml:space="preserve">Endre materiellrammen i C5. Les av planen i rad 13 til 17, sammenlikningen i rad 22 til 26 og ubrukte timer i C33.</t>
  </si>
  <si>
    <t xml:space="preserve">4 · Rammeavtalen, lærlingen og de tapte kundene</t>
  </si>
  <si>
    <t xml:space="preserve">Les av C39 og C40 — alternativkostnaden regnet på to måter.</t>
  </si>
  <si>
    <t xml:space="preserve">5 · Eksamensnær: to rammeavtaler om de samme timene</t>
  </si>
  <si>
    <t xml:space="preserve">Les av rad 10 til 18. Sett rabatten i B25 og les av B27 og B28. Sett volumsvikten i B33 og les av B34, B36 og B37.</t>
  </si>
  <si>
    <t xml:space="preserve">Kontrollradene</t>
  </si>
  <si>
    <t xml:space="preserve">Hvert regneark har en kontrollblokk. Står det OK, henger tallene sammen. Står det AVVIK, farges cellen rød, og teksten sier hva som ikke går opp.</t>
  </si>
  <si>
    <t xml:space="preserve">Ett unntak: arket «Din bedrift» står på AVVIK til du har fylt inn dine egne tall.</t>
  </si>
  <si>
    <t xml:space="preserve">Kontroller i arbeidsboka: Rangering B23, Rangering B24, Rangering B25, Produktvalg C43, Produktvalg C44, Produktvalg C45, Materiell knapp C36, Materiell knapp C37, Materiell knapp C38, Scenario B40, Scenario B41, Scenario B42, Din bedrift B18, Din bedrift B20</t>
  </si>
  <si>
    <t xml:space="preserve">Slik henger kapitlene sammen</t>
  </si>
  <si>
    <t xml:space="preserve">Dekningsbidraget per oppdragstype er det samme dekningsbidraget du deler kostnadene i i kapittel 2. Montørtimene er de samme fakturerte timene timeprisen i kapittel 5 regnes av. Og rangeringen her er grunnen til at en bedrift kan ha full ordrebok og likevel et svakt resultat — det er nettopp det kapittel 8 måler.</t>
  </si>
  <si>
    <t xml:space="preserve">Kilder</t>
  </si>
  <si>
    <t xml:space="preserve">Hjertnes, J. og Skorpen, K.: Økonomistyring for LØM-emnet (ISBN 978-82-450-5544-3), kapittel 7 «Produktvalg med en knapp faktor», avsnitt 7.1, 7.2 og 7.3.</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</si>
  <si>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</si>
  <si>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Bok 1.</t>
  </si>
  <si>
    <t xml:space="preserve">De fire oppdragstypene</t>
  </si>
  <si>
    <t xml:space="preserve">Endre de gule cellene. Rangeringen regner seg selv — også når du snur den på hodet.</t>
  </si>
  <si>
    <t xml:space="preserve">Oppdragstype</t>
  </si>
  <si>
    <t xml:space="preserve">DB per oppdrag</t>
  </si>
  <si>
    <t xml:space="preserve">Montørtimer</t>
  </si>
  <si>
    <t xml:space="preserve">Materiell, kr</t>
  </si>
  <si>
    <t xml:space="preserve">DB per montørtime</t>
  </si>
  <si>
    <t xml:space="preserve">Rang</t>
  </si>
  <si>
    <t xml:space="preserve">DB per materiellkrone</t>
  </si>
  <si>
    <t xml:space="preserve">Rang per oppdrag</t>
  </si>
  <si>
    <t xml:space="preserve">Hva raden forteller</t>
  </si>
  <si>
    <t xml:space="preserve">Boliginstallasjon</t>
  </si>
  <si>
    <t xml:space="preserve">Middels overalt — men best per materiellkrone.</t>
  </si>
  <si>
    <t xml:space="preserve">Nybygg (prosjekt)</t>
  </si>
  <si>
    <t xml:space="preserve">Svakest per time og per materiellkrone. Og det er her ordreboka er full.</t>
  </si>
  <si>
    <t xml:space="preserve">Solcelleanlegg</t>
  </si>
  <si>
    <t xml:space="preserve">Størst per oppdrag. Det er den de fleste peker på først.</t>
  </si>
  <si>
    <t xml:space="preserve">Ladepunkt</t>
  </si>
  <si>
    <t xml:space="preserve">Den «lille» jobben. Minst per oppdrag, mest per time.</t>
  </si>
  <si>
    <t xml:space="preserve">Etterspurte montørtimer i måneden</t>
  </si>
  <si>
    <t xml:space="preserve">Etterspurt materiell i måneden</t>
  </si>
  <si>
    <t xml:space="preserve">Duellen: én timeblokk, to måter å bruke den på</t>
  </si>
  <si>
    <t xml:space="preserve">Timeblokk — så lang som ett solcelleanlegg tar</t>
  </si>
  <si>
    <t xml:space="preserve">Cellen henter timetallet for solcelleanlegget i rad 8.</t>
  </si>
  <si>
    <t xml:space="preserve">Ett solcelleanlegg gir</t>
  </si>
  <si>
    <t xml:space="preserve">Ladepunkt som får plass i samme blokk</t>
  </si>
  <si>
    <t xml:space="preserve">De gir til sammen</t>
  </si>
  <si>
    <t xml:space="preserve">Differanse</t>
  </si>
  <si>
    <t xml:space="preserve">Dette er hele kapitlet i én linje.</t>
  </si>
  <si>
    <t xml:space="preserve">Kontroll</t>
  </si>
  <si>
    <t xml:space="preserve">Gir de to rangeringene ulik rekkefølge?</t>
  </si>
  <si>
    <t xml:space="preserve">Er alle dekningsbidrag positive?</t>
  </si>
  <si>
    <t xml:space="preserve">Er kapasiteten faktisk knapp?</t>
  </si>
  <si>
    <t xml:space="preserve">Prøv dette: sett dekningsbidraget for nybygg i B7 opp til det gir samme beløp per montørtime som ladepunktet. Se hva som skjer med rangeringen — og med planen i arket Produktvalg.</t>
  </si>
  <si>
    <t xml:space="preserve">Kilde: Bok 1 kap. 7.1 og 7.2. Oppdragstypene og tallene er Nordlys Elektro AS' egne.</t>
  </si>
  <si>
    <t xml:space="preserve">Hvem får montørtimene?</t>
  </si>
  <si>
    <t xml:space="preserve">Planen fylles ovenfra og ned i rangeringen, med etterspørselen som tak.</t>
  </si>
  <si>
    <t xml:space="preserve">1 · Kapasiteten</t>
  </si>
  <si>
    <t xml:space="preserve">Timer</t>
  </si>
  <si>
    <t xml:space="preserve">montørtimer i måneden</t>
  </si>
  <si>
    <t xml:space="preserve">En tolvtedel av de fakturerte timene i året. Dette er den knappe faktoren.</t>
  </si>
  <si>
    <t xml:space="preserve">Krav</t>
  </si>
  <si>
    <t xml:space="preserve">etterspurte montørtimer</t>
  </si>
  <si>
    <t xml:space="preserve">Gap</t>
  </si>
  <si>
    <t xml:space="preserve">underdekning i timer</t>
  </si>
  <si>
    <t xml:space="preserve">Uten underdekning er det ikke noe å prioritere.</t>
  </si>
  <si>
    <t xml:space="preserve">2 · Riktig plan — rangert per dekningsbidrag per montørtime</t>
  </si>
  <si>
    <t xml:space="preserve">Fyll ovenfra og ned, men aldri flere enn det finnes forespørsler av.</t>
  </si>
  <si>
    <t xml:space="preserve">Etterspørsel</t>
  </si>
  <si>
    <t xml:space="preserve">Timer per oppdrag</t>
  </si>
  <si>
    <t xml:space="preserve">Antall som tas</t>
  </si>
  <si>
    <t xml:space="preserve">Timer brukt</t>
  </si>
  <si>
    <t xml:space="preserve">Dekningsbidrag</t>
  </si>
  <si>
    <t xml:space="preserve">Avvist</t>
  </si>
  <si>
    <t xml:space="preserve">Kommentar</t>
  </si>
  <si>
    <t xml:space="preserve">DB/time hvis helt dekket</t>
  </si>
  <si>
    <t xml:space="preserve">= Sum</t>
  </si>
  <si>
    <t xml:space="preserve">Ubrukte montørtimer</t>
  </si>
  <si>
    <t xml:space="preserve">3 · Fella — rangert per dekningsbidrag per oppdrag</t>
  </si>
  <si>
    <t xml:space="preserve">Den store jobben først. Det er slik de fleste ordrebøker fylles.</t>
  </si>
  <si>
    <t xml:space="preserve">4 · Hva feil rangering koster</t>
  </si>
  <si>
    <t xml:space="preserve">Riktig plan, dekningsbidrag i måneden</t>
  </si>
  <si>
    <t xml:space="preserve">Fella, dekningsbidrag i måneden</t>
  </si>
  <si>
    <t xml:space="preserve">= Forskjell i måneden</t>
  </si>
  <si>
    <t xml:space="preserve">= Forskjell i året</t>
  </si>
  <si>
    <t xml:space="preserve">Driftsresultat 2026</t>
  </si>
  <si>
    <t xml:space="preserve">Forskjellen målt mot driftsresultatet</t>
  </si>
  <si>
    <t xml:space="preserve">Samme montører, samme timer, samme kunder. Bare en annen rekkefølge.</t>
  </si>
  <si>
    <t xml:space="preserve">5 · Hva som faktisk gir fra seg timene</t>
  </si>
  <si>
    <t xml:space="preserve">Svakeste oppdragstype som er HELT dekket</t>
  </si>
  <si>
    <t xml:space="preserve">Rangeringen sier rekkefølgen. Etterspørselen sier hvem som har timer å gi fra seg: de som allerede er delvis avvist, venter selv på tur.</t>
  </si>
  <si>
    <t xml:space="preserve">Dekningsbidrag per time for den</t>
  </si>
  <si>
    <t xml:space="preserve">Ett nybyggoppdrag ekstra koster, mot toppen av rangeringen</t>
  </si>
  <si>
    <t xml:space="preserve">Ett nybyggoppdrag ekstra koster, mot den som faktisk gir fra seg timene</t>
  </si>
  <si>
    <t xml:space="preserve">Dette er tallet du skal ta med i en forhandling — ikke det over.</t>
  </si>
  <si>
    <t xml:space="preserve">Holder planen seg innenfor kapasiteten?</t>
  </si>
  <si>
    <t xml:space="preserve">Er den riktige planen faktisk best?</t>
  </si>
  <si>
    <t xml:space="preserve">Tar planen aldri flere enn det finnes forespørsler av?</t>
  </si>
  <si>
    <t xml:space="preserve">Prøv dette: sett kapasiteten i B5 opp til det er timer nok til alle forespørslene. Da forsvinner forskjellen mellom de to planene — og det er nettopp poenget: rangeringen betyr bare noe når noe er knapt.</t>
  </si>
  <si>
    <t xml:space="preserve">Kilde: Bok 1 kap. 7.2 om dekningsbidrag per enhet av den knappe faktoren.</t>
  </si>
  <si>
    <t xml:space="preserve">Når det er materiellet som mangler</t>
  </si>
  <si>
    <t xml:space="preserve">Samme måned, samme montører — men grossisten kan ikke levere mer.</t>
  </si>
  <si>
    <t xml:space="preserve">1 · De to takene</t>
  </si>
  <si>
    <t xml:space="preserve">Materiellramme i måneden</t>
  </si>
  <si>
    <t xml:space="preserve">Varelageret ved månedsstart pluss det Polarlys Elektro Grossist AS kan levere.</t>
  </si>
  <si>
    <t xml:space="preserve">Montørtimer i måneden</t>
  </si>
  <si>
    <t xml:space="preserve">Etterspurt materiell</t>
  </si>
  <si>
    <t xml:space="preserve">Underdekning i materiell</t>
  </si>
  <si>
    <t xml:space="preserve">2 · Riktig plan — rangert per dekningsbidrag per materiellkrone</t>
  </si>
  <si>
    <t xml:space="preserve">Nå er det kronene hos grossisten som er knappe, ikke timene.</t>
  </si>
  <si>
    <t xml:space="preserve">Materiell per oppdrag</t>
  </si>
  <si>
    <t xml:space="preserve">Materiell brukt</t>
  </si>
  <si>
    <t xml:space="preserve">3 · Samme måned, men rangert per montørtime</t>
  </si>
  <si>
    <t xml:space="preserve">Riktig metode, feil måltall. Det er den vanligste feilen når flaskehalsen flytter seg.</t>
  </si>
  <si>
    <t xml:space="preserve">4 · Hva feil måltall koster</t>
  </si>
  <si>
    <t xml:space="preserve">Rangert per materiellkrone</t>
  </si>
  <si>
    <t xml:space="preserve">Rangert per montørtime</t>
  </si>
  <si>
    <t xml:space="preserve">Montørtimer som står ubrukt i den riktige planen</t>
  </si>
  <si>
    <t xml:space="preserve">Ubrukte timer er ikke et tegn på at planen er feil. Det er materiellet som er knapt nå, og da er det materiellkronene som skal utnyttes.</t>
  </si>
  <si>
    <t xml:space="preserve">Holder planen seg innenfor materiellrammen?</t>
  </si>
  <si>
    <t xml:space="preserve">Gir riktig måltall mest dekningsbidrag?</t>
  </si>
  <si>
    <t xml:space="preserve">Står det montørtimer ubrukt?</t>
  </si>
  <si>
    <t xml:space="preserve">Kilde: Bok 1 kap. 7.3 om flere knappe faktorer og om produkter som bidrar til salget av andre.</t>
  </si>
  <si>
    <t xml:space="preserve">To rammeavtaler om de samme timene</t>
  </si>
  <si>
    <t xml:space="preserve">Oppgave 5 i øvingsheftet. Begge kan ikke tas. Regn først, drøft etterpå.</t>
  </si>
  <si>
    <t xml:space="preserve">1 · De to tilbudene</t>
  </si>
  <si>
    <t xml:space="preserve">Montørtimer avtalen legger beslag på, i året</t>
  </si>
  <si>
    <t xml:space="preserve">Begge avtalene ber om like mange timer. Det er derfor de kan sammenliknes rett fram.</t>
  </si>
  <si>
    <t xml:space="preserve">Fakturerte montørtimer i året</t>
  </si>
  <si>
    <t xml:space="preserve">Andel av kapasiteten</t>
  </si>
  <si>
    <t xml:space="preserve">Avtale A · Kystfiber Entreprenør AS</t>
  </si>
  <si>
    <t xml:space="preserve">Avtale B · Kraftpunkt Ladedrift AS</t>
  </si>
  <si>
    <t xml:space="preserve">Hva raden betyr</t>
  </si>
  <si>
    <t xml:space="preserve">Antall oppdrag timene rekker til</t>
  </si>
  <si>
    <t xml:space="preserve">Dekningsbidrag per montørtime</t>
  </si>
  <si>
    <t xml:space="preserve">= Dekningsbidrag i året</t>
  </si>
  <si>
    <t xml:space="preserve">Forskjell</t>
  </si>
  <si>
    <t xml:space="preserve">Dette er prisen på å velge feil, ett år.</t>
  </si>
  <si>
    <t xml:space="preserve">2 · Hvor mye tåler prisen?</t>
  </si>
  <si>
    <t xml:space="preserve">Prisen Nordlys tar for ett ladepunkt, uten mva.</t>
  </si>
  <si>
    <t xml:space="preserve">Nordlys' egen pris, den samme som i kapittel 2.</t>
  </si>
  <si>
    <t xml:space="preserve">Variabel enhetskostnad — materiell og montørlønn</t>
  </si>
  <si>
    <t xml:space="preserve">Dekningsbidrag per ladepunkt</t>
  </si>
  <si>
    <t xml:space="preserve">Skal stemme med C12 over. Kontrollen under sier fra hvis den ikke gjør det.</t>
  </si>
  <si>
    <t xml:space="preserve">Dekningsbidrag per time hvis kunden får rabatt</t>
  </si>
  <si>
    <t xml:space="preserve">Rabatt kunden krever, i kroner</t>
  </si>
  <si>
    <t xml:space="preserve">Endre denne og se når ladepunktet slutter å være det beste valget.</t>
  </si>
  <si>
    <t xml:space="preserve">Dekningsbidrag etter rabatt</t>
  </si>
  <si>
    <t xml:space="preserve">Dekningsbidrag per montørtime etter rabatt</t>
  </si>
  <si>
    <t xml:space="preserve">= Rabatt før nybyggavtalen blir best</t>
  </si>
  <si>
    <t xml:space="preserve">Så lite skal det til. Kolonne C viser rabatten som andel av prisen.</t>
  </si>
  <si>
    <t xml:space="preserve">Rabatt før dekningsbidraget er null</t>
  </si>
  <si>
    <t xml:space="preserve">Dom</t>
  </si>
  <si>
    <t xml:space="preserve">3 · Hvor mye tåler volumet?</t>
  </si>
  <si>
    <t xml:space="preserve">Andel av avtalt volum som uteblir</t>
  </si>
  <si>
    <t xml:space="preserve">Den nye kunden er ikke prøvd før. Hva om han ikke leverer?</t>
  </si>
  <si>
    <t xml:space="preserve">Dekningsbidrag hvis de ledige timene står ubrukt</t>
  </si>
  <si>
    <t xml:space="preserve">Ledige montørtimer</t>
  </si>
  <si>
    <t xml:space="preserve">Dekningsbidrag hvis de ledige timene selges som nybygg</t>
  </si>
  <si>
    <t xml:space="preserve">= Svikt før nybyggavtalen blir best</t>
  </si>
  <si>
    <t xml:space="preserve">Gjelder om timene står helt ubrukt. Kan de selges, tåler avtalen mer.</t>
  </si>
  <si>
    <t xml:space="preserve">Stemmer dekningsbidraget med pris minus kostnad?</t>
  </si>
  <si>
    <t xml:space="preserve">Er de to avtalene sammenliknbare?</t>
  </si>
  <si>
    <t xml:space="preserve">Tåler ladeavtalen den volumsvikten scenariet beskriver?</t>
  </si>
  <si>
    <t xml:space="preserve">Legg merke til forskjellen på de to risikoene: volumet må svikte med over halvparten før valget snur, mens en rabatt på under sju prosent av prisen gjør det. Det er prisen dere skal forhandle om, ikke volumgarantien.</t>
  </si>
  <si>
    <t xml:space="preserve">Kilde: Bok 1 kap. 7.2 og 7.3. Prisen på ladepunktet er Nordlys' egen, den samme som i kapittel 2 om priselastisitet. Bransjetall: NHO Elektro, Lønnsomhetsrapport 2025, gjengitt i Elektro 24-7 19.08.2026 (hentet 10.09.2026). De 809 er bedriftene i datagrunnlaget, ikke bransjen. NHO Elektro oppgir ikke svarprosent.</t>
  </si>
  <si>
    <t xml:space="preserve">Din egen bedrift</t>
  </si>
  <si>
    <t xml:space="preserve">Samme oppsett, ingen tall. Legg inn dine egne oppdragstyper.</t>
  </si>
  <si>
    <t xml:space="preserve">DB per time</t>
  </si>
  <si>
    <t xml:space="preserve">Merknad</t>
  </si>
  <si>
    <t xml:space="preserve">Kapasitet i perioden, timer</t>
  </si>
  <si>
    <t xml:space="preserve">Etterspurte timer</t>
  </si>
  <si>
    <t xml:space="preserve">Underdekning</t>
  </si>
  <si>
    <t xml:space="preserve">Er timene den knappe faktoren?</t>
  </si>
  <si>
    <t xml:space="preserve">Er arket fylt ut?</t>
  </si>
  <si>
    <t xml:space="preserve">Dette arket starter tomt, så kontrollen står på AVVIK til du har fylt inn tallene.</t>
  </si>
  <si>
    <t xml:space="preserve">Ta arket med på jobb. Det eneste du trenger å vite, er hva hver oppdragstype gir i dekningsbidrag og hvor mye den bruker av det du har minst av.</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</si>
</sst>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quot; kr&quot;"/>
    <numFmt numFmtId="169" formatCode="#,##0.00&quot; kr&quot;"/>
    <numFmt numFmtId="170" formatCode="#,##0.0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14</v>
      </c>
      <c r="C5" s="7" t="s">
        <v>4</v>
      </c>
    </row>
    <row r="6" customFormat="false" ht="15" hidden="false" customHeight="true" outlineLevel="0" collapsed="false">
      <c r="A6" s="5" t="s">
        <v>5</v>
      </c>
      <c r="B6" s="8" t="n">
        <v>4400</v>
      </c>
      <c r="C6" s="7" t="s">
        <v>6</v>
      </c>
    </row>
    <row r="7" customFormat="false" ht="15" hidden="false" customHeight="true" outlineLevel="0" collapsed="false">
      <c r="A7" s="5" t="s">
        <v>7</v>
      </c>
      <c r="B7" s="6" t="n">
        <v>14</v>
      </c>
      <c r="C7" s="7" t="s">
        <v>8</v>
      </c>
    </row>
    <row r="8" customFormat="false" ht="15" hidden="false" customHeight="true" outlineLevel="0" collapsed="false">
      <c r="A8" s="5" t="s">
        <v>9</v>
      </c>
      <c r="B8" s="8" t="n">
        <v>1050</v>
      </c>
      <c r="C8" s="7" t="s">
        <v>10</v>
      </c>
    </row>
    <row r="9" customFormat="false" ht="15" hidden="false" customHeight="true" outlineLevel="0" collapsed="false">
      <c r="A9" s="5" t="s">
        <v>11</v>
      </c>
      <c r="B9" s="6" t="n">
        <v>2</v>
      </c>
      <c r="C9" s="7" t="s">
        <v>8</v>
      </c>
    </row>
    <row r="10" customFormat="false" ht="15" hidden="false" customHeight="true" outlineLevel="0" collapsed="false"/>
    <row r="11" customFormat="false" ht="15" hidden="false" customHeight="true" outlineLevel="0" collapsed="false">
      <c r="A11" s="3" t="s">
        <v>12</v>
      </c>
      <c r="B11" s="4"/>
      <c r="C11" s="4"/>
    </row>
    <row r="12" customFormat="false" ht="15" hidden="false" customHeight="true" outlineLevel="0" collapsed="false">
      <c r="A12" s="5" t="s">
        <v>13</v>
      </c>
      <c r="B12" s="9" t="n">
        <f aca="false">B6/B7</f>
        <v>314.285714285714</v>
      </c>
      <c r="C12" s="7" t="s">
        <v>14</v>
      </c>
    </row>
    <row r="13" customFormat="false" ht="15" hidden="false" customHeight="true" outlineLevel="0" collapsed="false">
      <c r="A13" s="5" t="s">
        <v>15</v>
      </c>
      <c r="B13" s="9" t="n">
        <f aca="false">B8/B9</f>
        <v>525</v>
      </c>
      <c r="C13" s="7" t="s">
        <v>16</v>
      </c>
    </row>
    <row r="14" customFormat="false" ht="15" hidden="false" customHeight="true" outlineLevel="0" collapsed="false">
      <c r="A14" s="5" t="s">
        <v>17</v>
      </c>
      <c r="B14" s="9" t="n">
        <f aca="false">B5*B12</f>
        <v>4400</v>
      </c>
      <c r="C14" s="7" t="s">
        <v>18</v>
      </c>
    </row>
    <row r="15" customFormat="false" ht="15" hidden="false" customHeight="true" outlineLevel="0" collapsed="false">
      <c r="A15" s="5" t="s">
        <v>19</v>
      </c>
      <c r="B15" s="9" t="n">
        <f aca="false">B5*B13</f>
        <v>7350</v>
      </c>
      <c r="C15" s="7" t="s">
        <v>20</v>
      </c>
    </row>
    <row r="16" customFormat="false" ht="15" hidden="false" customHeight="true" outlineLevel="0" collapsed="false"/>
    <row r="17" customFormat="false" ht="21" hidden="false" customHeight="true" outlineLevel="0" collapsed="false">
      <c r="A17" s="10" t="s">
        <v>21</v>
      </c>
      <c r="B17" s="11" t="n">
        <f aca="false">B15-B14</f>
        <v>2950</v>
      </c>
      <c r="C17" s="7" t="s">
        <v>22</v>
      </c>
    </row>
    <row r="18" customFormat="false" ht="15" hidden="false" customHeight="true" outlineLevel="0" collapsed="false">
      <c r="A18" s="5" t="s">
        <v>23</v>
      </c>
      <c r="B18" s="12" t="n">
        <f aca="false">B13/B12</f>
        <v>1.67045454545455</v>
      </c>
      <c r="C18" s="7" t="s">
        <v>24</v>
      </c>
    </row>
    <row r="19" customFormat="false" ht="15" hidden="false" customHeight="true" outlineLevel="0" collapsed="false"/>
    <row r="20" customFormat="false" ht="15" hidden="false" customHeight="true" outlineLevel="0" collapsed="false">
      <c r="A20" s="3" t="s">
        <v>25</v>
      </c>
      <c r="B20" s="4"/>
      <c r="C20" s="4"/>
    </row>
    <row r="21" customFormat="false" ht="33.75" hidden="false" customHeight="true" outlineLevel="0" collapsed="false">
      <c r="A21" s="13" t="str">
        <f aca="false">"På de samme "&amp;TEXT(ROUND(B5,0),"0")&amp;" timene gir ladepunktene "&amp;TEXT(ROUND(B17,0),"#,##0")&amp;" kroner mer enn solcelleanlegget. Når timene er knappe, er det timen som skal prises."</f>
        <v>På de samme 14 timene gir ladepunktene 2,950 kroner mer enn solcelleanlegget. Når timene er knappe, er det timen som skal prises.</v>
      </c>
      <c r="B21" s="13"/>
      <c r="C21" s="13"/>
    </row>
    <row r="22" customFormat="false" ht="15" hidden="false" customHeight="true" outlineLevel="0" collapsed="false"/>
    <row r="23" customFormat="false" ht="15" hidden="false" customHeight="true" outlineLevel="0" collapsed="false">
      <c r="A23" s="3" t="s">
        <v>26</v>
      </c>
      <c r="B23" s="4"/>
      <c r="C23" s="4"/>
    </row>
    <row r="24" customFormat="false" ht="15" hidden="false" customHeight="true" outlineLevel="0" collapsed="false">
      <c r="A24" s="14" t="s">
        <v>27</v>
      </c>
      <c r="B24" s="14"/>
      <c r="C24" s="14"/>
    </row>
    <row r="25" customFormat="false" ht="15" hidden="false" customHeight="true" outlineLevel="0" collapsed="false">
      <c r="A25" s="14" t="s">
        <v>28</v>
      </c>
      <c r="B25" s="14"/>
      <c r="C25" s="14"/>
    </row>
    <row r="26" customFormat="false" ht="27" hidden="false" customHeight="true" outlineLevel="0" collapsed="false">
      <c r="A26" s="14" t="s">
        <v>29</v>
      </c>
      <c r="B26" s="14"/>
      <c r="C26" s="14"/>
    </row>
    <row r="27" customFormat="false" ht="15" hidden="false" customHeight="true" outlineLevel="0" collapsed="false"/>
    <row r="28" customFormat="false" ht="27" hidden="false" customHeight="true" outlineLevel="0" collapsed="false">
      <c r="A28" s="2" t="s">
        <v>30</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31</v>
      </c>
    </row>
    <row r="2" customFormat="false" ht="15" hidden="false" customHeight="false" outlineLevel="0" collapsed="false">
      <c r="A2" s="15" t="s">
        <v>32</v>
      </c>
    </row>
    <row r="3" customFormat="false" ht="15" hidden="false" customHeight="false" outlineLevel="0" collapsed="false">
      <c r="A3" s="16" t="s">
        <v>33</v>
      </c>
    </row>
    <row r="4" customFormat="false" ht="15" hidden="false" customHeight="false" outlineLevel="0" collapsed="false">
      <c r="A4" s="17" t="s">
        <v>34</v>
      </c>
    </row>
    <row r="5" customFormat="false" ht="15" hidden="false" customHeight="false" outlineLevel="0" collapsed="false">
      <c r="A5" s="18" t="s">
        <v>35</v>
      </c>
      <c r="B5" s="19" t="s">
        <v>36</v>
      </c>
    </row>
    <row r="6" customFormat="false" ht="15" hidden="false" customHeight="false" outlineLevel="0" collapsed="false">
      <c r="A6" s="20" t="s">
        <v>37</v>
      </c>
      <c r="B6" s="19" t="s">
        <v>38</v>
      </c>
    </row>
    <row r="7" customFormat="false" ht="15" hidden="false" customHeight="false" outlineLevel="0" collapsed="false">
      <c r="A7" s="20" t="s">
        <v>39</v>
      </c>
      <c r="B7" s="19" t="s">
        <v>40</v>
      </c>
    </row>
    <row r="9" customFormat="false" ht="15" hidden="false" customHeight="false" outlineLevel="0" collapsed="false">
      <c r="A9" s="17" t="s">
        <v>41</v>
      </c>
    </row>
    <row r="10" customFormat="false" ht="15" hidden="false" customHeight="false" outlineLevel="0" collapsed="false">
      <c r="A10" s="21" t="s">
        <v>42</v>
      </c>
      <c r="B10" s="19" t="s">
        <v>43</v>
      </c>
    </row>
    <row r="11" customFormat="false" ht="15" hidden="false" customHeight="false" outlineLevel="0" collapsed="false">
      <c r="A11" s="21" t="s">
        <v>44</v>
      </c>
      <c r="B11" s="19" t="s">
        <v>45</v>
      </c>
    </row>
    <row r="12" customFormat="false" ht="15" hidden="false" customHeight="false" outlineLevel="0" collapsed="false">
      <c r="A12" s="21" t="s">
        <v>46</v>
      </c>
      <c r="B12" s="19" t="s">
        <v>47</v>
      </c>
    </row>
    <row r="13" customFormat="false" ht="15" hidden="false" customHeight="false" outlineLevel="0" collapsed="false">
      <c r="A13" s="21" t="s">
        <v>48</v>
      </c>
      <c r="B13" s="19" t="s">
        <v>49</v>
      </c>
    </row>
    <row r="14" customFormat="false" ht="15" hidden="false" customHeight="false" outlineLevel="0" collapsed="false">
      <c r="A14" s="21" t="s">
        <v>50</v>
      </c>
      <c r="B14" s="19" t="s">
        <v>51</v>
      </c>
    </row>
    <row r="15" customFormat="false" ht="15" hidden="false" customHeight="false" outlineLevel="0" collapsed="false">
      <c r="A15" s="21" t="s">
        <v>52</v>
      </c>
      <c r="B15" s="19" t="s">
        <v>53</v>
      </c>
    </row>
    <row r="17" customFormat="false" ht="15" hidden="false" customHeight="false" outlineLevel="0" collapsed="false">
      <c r="A17" s="16" t="s">
        <v>54</v>
      </c>
    </row>
    <row r="18" customFormat="false" ht="15" hidden="false" customHeight="false" outlineLevel="0" collapsed="false">
      <c r="A18" s="16" t="s">
        <v>55</v>
      </c>
    </row>
    <row r="19" customFormat="false" ht="15" hidden="false" customHeight="false" outlineLevel="0" collapsed="false">
      <c r="A19" s="16" t="s">
        <v>56</v>
      </c>
    </row>
    <row r="21" customFormat="false" ht="15" hidden="false" customHeight="false" outlineLevel="0" collapsed="false">
      <c r="A21" s="16" t="s">
        <v>57</v>
      </c>
    </row>
    <row r="22" customFormat="false" ht="15" hidden="false" customHeight="false" outlineLevel="0" collapsed="false">
      <c r="A22" s="16" t="s">
        <v>58</v>
      </c>
    </row>
    <row r="24" customFormat="false" ht="15" hidden="false" customHeight="false" outlineLevel="0" collapsed="false">
      <c r="A24" s="17" t="s">
        <v>59</v>
      </c>
    </row>
    <row r="25" customFormat="false" ht="15" hidden="false" customHeight="false" outlineLevel="0" collapsed="false">
      <c r="A25" s="19" t="s">
        <v>60</v>
      </c>
      <c r="B25" s="19" t="s">
        <v>61</v>
      </c>
      <c r="C25" s="19" t="s">
        <v>62</v>
      </c>
    </row>
    <row r="26" customFormat="false" ht="15" hidden="false" customHeight="false" outlineLevel="0" collapsed="false">
      <c r="A26" s="19" t="s">
        <v>63</v>
      </c>
      <c r="B26" s="19" t="s">
        <v>64</v>
      </c>
      <c r="C26" s="19" t="s">
        <v>65</v>
      </c>
    </row>
    <row r="27" customFormat="false" ht="15" hidden="false" customHeight="false" outlineLevel="0" collapsed="false">
      <c r="A27" s="19" t="s">
        <v>66</v>
      </c>
      <c r="B27" s="19" t="s">
        <v>67</v>
      </c>
      <c r="C27" s="19" t="s">
        <v>68</v>
      </c>
    </row>
    <row r="28" customFormat="false" ht="15" hidden="false" customHeight="false" outlineLevel="0" collapsed="false">
      <c r="A28" s="19" t="s">
        <v>69</v>
      </c>
      <c r="B28" s="19" t="s">
        <v>70</v>
      </c>
      <c r="C28" s="19" t="s">
        <v>71</v>
      </c>
    </row>
    <row r="30" customFormat="false" ht="15" hidden="false" customHeight="false" outlineLevel="0" collapsed="false">
      <c r="A30" s="17" t="s">
        <v>72</v>
      </c>
    </row>
    <row r="31" customFormat="false" ht="27.75" hidden="false" customHeight="true" outlineLevel="0" collapsed="false">
      <c r="A31" s="22" t="s">
        <v>73</v>
      </c>
      <c r="B31" s="22" t="s">
        <v>74</v>
      </c>
      <c r="C31" s="22" t="s">
        <v>75</v>
      </c>
    </row>
    <row r="32" customFormat="false" ht="15" hidden="false" customHeight="false" outlineLevel="0" collapsed="false">
      <c r="A32" s="19" t="s">
        <v>76</v>
      </c>
      <c r="B32" s="21" t="s">
        <v>44</v>
      </c>
      <c r="C32" s="19" t="s">
        <v>77</v>
      </c>
    </row>
    <row r="33" customFormat="false" ht="15" hidden="false" customHeight="false" outlineLevel="0" collapsed="false">
      <c r="A33" s="19" t="s">
        <v>78</v>
      </c>
      <c r="B33" s="21" t="s">
        <v>46</v>
      </c>
      <c r="C33" s="19" t="s">
        <v>79</v>
      </c>
    </row>
    <row r="34" customFormat="false" ht="15" hidden="false" customHeight="false" outlineLevel="0" collapsed="false">
      <c r="A34" s="19" t="s">
        <v>80</v>
      </c>
      <c r="B34" s="21" t="s">
        <v>46</v>
      </c>
      <c r="C34" s="19" t="s">
        <v>81</v>
      </c>
    </row>
    <row r="35" customFormat="false" ht="15" hidden="false" customHeight="false" outlineLevel="0" collapsed="false">
      <c r="A35" s="19" t="s">
        <v>82</v>
      </c>
      <c r="B35" s="21" t="s">
        <v>44</v>
      </c>
      <c r="C35" s="19" t="s">
        <v>83</v>
      </c>
    </row>
    <row r="36" customFormat="false" ht="15" hidden="false" customHeight="false" outlineLevel="0" collapsed="false">
      <c r="A36" s="19" t="s">
        <v>84</v>
      </c>
      <c r="B36" s="21" t="s">
        <v>46</v>
      </c>
      <c r="C36" s="19" t="s">
        <v>85</v>
      </c>
    </row>
    <row r="37" customFormat="false" ht="15" hidden="false" customHeight="false" outlineLevel="0" collapsed="false">
      <c r="A37" s="19" t="s">
        <v>86</v>
      </c>
      <c r="B37" s="21" t="s">
        <v>48</v>
      </c>
      <c r="C37" s="19" t="s">
        <v>87</v>
      </c>
    </row>
    <row r="38" customFormat="false" ht="15" hidden="false" customHeight="false" outlineLevel="0" collapsed="false">
      <c r="A38" s="19" t="s">
        <v>88</v>
      </c>
      <c r="B38" s="21" t="s">
        <v>46</v>
      </c>
      <c r="C38" s="19" t="s">
        <v>89</v>
      </c>
    </row>
    <row r="39" customFormat="false" ht="15" hidden="false" customHeight="false" outlineLevel="0" collapsed="false">
      <c r="A39" s="19" t="s">
        <v>90</v>
      </c>
      <c r="B39" s="21" t="s">
        <v>50</v>
      </c>
      <c r="C39" s="19" t="s">
        <v>91</v>
      </c>
    </row>
    <row r="41" customFormat="false" ht="15" hidden="false" customHeight="false" outlineLevel="0" collapsed="false">
      <c r="A41" s="17" t="s">
        <v>92</v>
      </c>
    </row>
    <row r="42" customFormat="false" ht="15" hidden="false" customHeight="false" outlineLevel="0" collapsed="false">
      <c r="A42" s="19" t="s">
        <v>93</v>
      </c>
    </row>
    <row r="43" customFormat="false" ht="15" hidden="false" customHeight="false" outlineLevel="0" collapsed="false">
      <c r="A43" s="19" t="s">
        <v>94</v>
      </c>
    </row>
    <row r="44" customFormat="false" ht="15" hidden="false" customHeight="false" outlineLevel="0" collapsed="false">
      <c r="A44" s="16" t="s">
        <v>95</v>
      </c>
    </row>
    <row r="46" customFormat="false" ht="15" hidden="false" customHeight="false" outlineLevel="0" collapsed="false">
      <c r="A46" s="17" t="s">
        <v>96</v>
      </c>
    </row>
    <row r="47" customFormat="false" ht="15" hidden="false" customHeight="false" outlineLevel="0" collapsed="false">
      <c r="A47" s="19" t="s">
        <v>97</v>
      </c>
    </row>
    <row r="49" customFormat="false" ht="15" hidden="false" customHeight="false" outlineLevel="0" collapsed="false">
      <c r="A49" s="17" t="s">
        <v>98</v>
      </c>
    </row>
    <row r="50" customFormat="false" ht="15" hidden="false" customHeight="false" outlineLevel="0" collapsed="false">
      <c r="A50" s="16" t="s">
        <v>99</v>
      </c>
    </row>
    <row r="51" customFormat="false" ht="15" hidden="false" customHeight="false" outlineLevel="0" collapsed="false">
      <c r="A51" s="16" t="s">
        <v>100</v>
      </c>
    </row>
    <row r="52" customFormat="false" ht="15" hidden="false" customHeight="false" outlineLevel="0" collapsed="false">
      <c r="A52" s="16" t="s">
        <v>101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6" min="6" style="0" width="15"/>
    <col collapsed="false" customWidth="true" hidden="false" outlineLevel="0" max="7" min="7" style="0" width="8"/>
    <col collapsed="false" customWidth="true" hidden="false" outlineLevel="0" max="8" min="8" style="0" width="17"/>
    <col collapsed="false" customWidth="true" hidden="false" outlineLevel="0" max="10" min="9" style="0" width="8"/>
    <col collapsed="false" customWidth="true" hidden="false" outlineLevel="0" max="11" min="11" style="0" width="40"/>
  </cols>
  <sheetData>
    <row r="1" customFormat="false" ht="17.35" hidden="false" customHeight="false" outlineLevel="0" collapsed="false">
      <c r="A1" s="1" t="s">
        <v>102</v>
      </c>
    </row>
    <row r="2" customFormat="false" ht="15" hidden="false" customHeight="false" outlineLevel="0" collapsed="false">
      <c r="A2" s="15" t="s">
        <v>103</v>
      </c>
    </row>
    <row r="5" customFormat="false" ht="27.75" hidden="false" customHeight="true" outlineLevel="0" collapsed="false">
      <c r="A5" s="22" t="s">
        <v>104</v>
      </c>
      <c r="B5" s="22" t="s">
        <v>105</v>
      </c>
      <c r="C5" s="22" t="s">
        <v>106</v>
      </c>
      <c r="D5" s="22" t="s">
        <v>107</v>
      </c>
      <c r="E5" s="22" t="s">
        <v>67</v>
      </c>
      <c r="F5" s="22" t="s">
        <v>108</v>
      </c>
      <c r="G5" s="22" t="s">
        <v>109</v>
      </c>
      <c r="H5" s="22" t="s">
        <v>110</v>
      </c>
      <c r="I5" s="22" t="s">
        <v>109</v>
      </c>
      <c r="J5" s="22" t="s">
        <v>111</v>
      </c>
      <c r="K5" s="22" t="s">
        <v>112</v>
      </c>
    </row>
    <row r="6" customFormat="false" ht="15" hidden="false" customHeight="false" outlineLevel="0" collapsed="false">
      <c r="A6" s="19" t="s">
        <v>113</v>
      </c>
      <c r="B6" s="23" t="n">
        <v>900</v>
      </c>
      <c r="C6" s="24" t="n">
        <v>3</v>
      </c>
      <c r="D6" s="23" t="n">
        <v>4000</v>
      </c>
      <c r="E6" s="24" t="n">
        <v>120</v>
      </c>
      <c r="F6" s="25" t="n">
        <f aca="false">B6/C6</f>
        <v>300</v>
      </c>
      <c r="G6" s="26" t="n">
        <f aca="false">RANK(F6,$F$6:$F$9)</f>
        <v>3</v>
      </c>
      <c r="H6" s="27" t="n">
        <f aca="false">B6/D6</f>
        <v>0.225</v>
      </c>
      <c r="I6" s="26" t="n">
        <f aca="false">RANK(H6,$H$6:$H$9)</f>
        <v>1</v>
      </c>
      <c r="J6" s="26" t="n">
        <f aca="false">RANK(B6,$B$6:$B$9)</f>
        <v>4</v>
      </c>
      <c r="K6" s="19" t="s">
        <v>114</v>
      </c>
    </row>
    <row r="7" customFormat="false" ht="15" hidden="false" customHeight="false" outlineLevel="0" collapsed="false">
      <c r="A7" s="19" t="s">
        <v>115</v>
      </c>
      <c r="B7" s="23" t="n">
        <v>2100</v>
      </c>
      <c r="C7" s="24" t="n">
        <v>9</v>
      </c>
      <c r="D7" s="23" t="n">
        <v>22000</v>
      </c>
      <c r="E7" s="24" t="n">
        <v>40</v>
      </c>
      <c r="F7" s="25" t="n">
        <f aca="false">B7/C7</f>
        <v>233.333333333333</v>
      </c>
      <c r="G7" s="26" t="n">
        <f aca="false">RANK(F7,$F$6:$F$9)</f>
        <v>4</v>
      </c>
      <c r="H7" s="27" t="n">
        <f aca="false">B7/D7</f>
        <v>0.0954545454545455</v>
      </c>
      <c r="I7" s="26" t="n">
        <f aca="false">RANK(H7,$H$6:$H$9)</f>
        <v>4</v>
      </c>
      <c r="J7" s="26" t="n">
        <f aca="false">RANK(B7,$B$6:$B$9)</f>
        <v>2</v>
      </c>
      <c r="K7" s="19" t="s">
        <v>116</v>
      </c>
    </row>
    <row r="8" customFormat="false" ht="15" hidden="false" customHeight="false" outlineLevel="0" collapsed="false">
      <c r="A8" s="19" t="s">
        <v>117</v>
      </c>
      <c r="B8" s="23" t="n">
        <v>4400</v>
      </c>
      <c r="C8" s="24" t="n">
        <v>14</v>
      </c>
      <c r="D8" s="23" t="n">
        <v>38000</v>
      </c>
      <c r="E8" s="24" t="n">
        <v>30</v>
      </c>
      <c r="F8" s="25" t="n">
        <f aca="false">B8/C8</f>
        <v>314.285714285714</v>
      </c>
      <c r="G8" s="26" t="n">
        <f aca="false">RANK(F8,$F$6:$F$9)</f>
        <v>2</v>
      </c>
      <c r="H8" s="27" t="n">
        <f aca="false">B8/D8</f>
        <v>0.115789473684211</v>
      </c>
      <c r="I8" s="26" t="n">
        <f aca="false">RANK(H8,$H$6:$H$9)</f>
        <v>3</v>
      </c>
      <c r="J8" s="26" t="n">
        <f aca="false">RANK(B8,$B$6:$B$9)</f>
        <v>1</v>
      </c>
      <c r="K8" s="19" t="s">
        <v>118</v>
      </c>
    </row>
    <row r="9" customFormat="false" ht="15" hidden="false" customHeight="false" outlineLevel="0" collapsed="false">
      <c r="A9" s="19" t="s">
        <v>119</v>
      </c>
      <c r="B9" s="23" t="n">
        <v>1050</v>
      </c>
      <c r="C9" s="24" t="n">
        <v>2</v>
      </c>
      <c r="D9" s="23" t="n">
        <v>6500</v>
      </c>
      <c r="E9" s="24" t="n">
        <v>150</v>
      </c>
      <c r="F9" s="25" t="n">
        <f aca="false">B9/C9</f>
        <v>525</v>
      </c>
      <c r="G9" s="26" t="n">
        <f aca="false">RANK(F9,$F$6:$F$9)</f>
        <v>1</v>
      </c>
      <c r="H9" s="27" t="n">
        <f aca="false">B9/D9</f>
        <v>0.161538461538462</v>
      </c>
      <c r="I9" s="26" t="n">
        <f aca="false">RANK(H9,$H$6:$H$9)</f>
        <v>2</v>
      </c>
      <c r="J9" s="26" t="n">
        <f aca="false">RANK(B9,$B$6:$B$9)</f>
        <v>3</v>
      </c>
      <c r="K9" s="19" t="s">
        <v>120</v>
      </c>
    </row>
    <row r="11" customFormat="false" ht="15" hidden="false" customHeight="false" outlineLevel="0" collapsed="false">
      <c r="A11" s="21" t="s">
        <v>121</v>
      </c>
      <c r="C11" s="28" t="n">
        <f aca="false">SUMPRODUCT(C6:C9,E6:E9)</f>
        <v>1440</v>
      </c>
    </row>
    <row r="12" customFormat="false" ht="15" hidden="false" customHeight="false" outlineLevel="0" collapsed="false">
      <c r="A12" s="21" t="s">
        <v>122</v>
      </c>
      <c r="D12" s="29" t="n">
        <f aca="false">SUMPRODUCT(D6:D9,E6:E9)</f>
        <v>3475000</v>
      </c>
    </row>
    <row r="14" customFormat="false" ht="15" hidden="false" customHeight="false" outlineLevel="0" collapsed="false">
      <c r="A14" s="17" t="s">
        <v>123</v>
      </c>
    </row>
    <row r="15" customFormat="false" ht="15" hidden="false" customHeight="false" outlineLevel="0" collapsed="false">
      <c r="A15" s="19" t="s">
        <v>124</v>
      </c>
      <c r="B15" s="26" t="n">
        <f aca="false">C8</f>
        <v>14</v>
      </c>
      <c r="K15" s="19" t="s">
        <v>125</v>
      </c>
    </row>
    <row r="16" customFormat="false" ht="15" hidden="false" customHeight="false" outlineLevel="0" collapsed="false">
      <c r="A16" s="19" t="s">
        <v>126</v>
      </c>
      <c r="B16" s="30" t="n">
        <f aca="false">B8</f>
        <v>4400</v>
      </c>
    </row>
    <row r="17" customFormat="false" ht="15" hidden="false" customHeight="false" outlineLevel="0" collapsed="false">
      <c r="A17" s="19" t="s">
        <v>127</v>
      </c>
      <c r="B17" s="26" t="n">
        <f aca="false">INT(B15/C9)</f>
        <v>7</v>
      </c>
    </row>
    <row r="18" customFormat="false" ht="15" hidden="false" customHeight="false" outlineLevel="0" collapsed="false">
      <c r="A18" s="19" t="s">
        <v>128</v>
      </c>
      <c r="B18" s="30" t="n">
        <f aca="false">B17*B9</f>
        <v>7350</v>
      </c>
    </row>
    <row r="19" customFormat="false" ht="15" hidden="false" customHeight="false" outlineLevel="0" collapsed="false">
      <c r="A19" s="21" t="s">
        <v>129</v>
      </c>
      <c r="B19" s="29" t="n">
        <f aca="false">B18-B16</f>
        <v>2950</v>
      </c>
    </row>
    <row r="20" customFormat="false" ht="15" hidden="false" customHeight="false" outlineLevel="0" collapsed="false">
      <c r="A20" s="19" t="s">
        <v>23</v>
      </c>
      <c r="B20" s="27" t="n">
        <f aca="false">F9/F8</f>
        <v>1.67045454545455</v>
      </c>
      <c r="K20" s="19" t="s">
        <v>130</v>
      </c>
    </row>
    <row r="22" customFormat="false" ht="15" hidden="false" customHeight="false" outlineLevel="0" collapsed="false">
      <c r="A22" s="17" t="s">
        <v>131</v>
      </c>
    </row>
    <row r="23" customFormat="false" ht="15" hidden="false" customHeight="false" outlineLevel="0" collapsed="false">
      <c r="A23" s="19" t="s">
        <v>132</v>
      </c>
      <c r="B23" s="31" t="str">
        <f aca="false">IF(SUMPRODUCT(--(G6:G9&lt;&gt;J6:J9))&gt;0,"OK — rangering per montørtime og rangering per oppdrag gir ulik rekkefølge. Det er derfor måltallet betyr noe","AVVIK: de to rangeringene er like — da har oppgaven ingen spenning")</f>
        <v>OK — rangering per montørtime og rangering per oppdrag gir ulik rekkefølge. Det er derfor måltallet betyr noe</v>
      </c>
    </row>
    <row r="24" customFormat="false" ht="15" hidden="false" customHeight="false" outlineLevel="0" collapsed="false">
      <c r="A24" s="19" t="s">
        <v>133</v>
      </c>
      <c r="B24" s="31" t="str">
        <f aca="false">IF(MIN(B6:B9)&gt;0,"OK — alle fire oppdragstypene gir positivt dekningsbidrag","AVVIK: en oppdragstype med negativt dekningsbidrag skal ikke rangeres, den skal droppes")</f>
        <v>OK — alle fire oppdragstypene gir positivt dekningsbidrag</v>
      </c>
    </row>
    <row r="25" customFormat="false" ht="15" hidden="false" customHeight="false" outlineLevel="0" collapsed="false">
      <c r="A25" s="19" t="s">
        <v>134</v>
      </c>
      <c r="B25" s="31" t="str">
        <f aca="false">IF(C11&gt;Produktvalg!B5,"OK — etterspørselen krever flere montørtimer enn dere har. Da er timene den knappe faktoren","AVVIK: det er timer nok til alle forespørslene — da finnes det ikke noe prioriteringsproblem")</f>
        <v>OK — etterspørselen krever flere montørtimer enn dere har. Da er timene den knappe faktoren</v>
      </c>
    </row>
    <row r="27" customFormat="false" ht="15" hidden="false" customHeight="false" outlineLevel="0" collapsed="false">
      <c r="A27" s="21" t="s">
        <v>135</v>
      </c>
    </row>
    <row r="28" customFormat="false" ht="15" hidden="false" customHeight="false" outlineLevel="0" collapsed="false">
      <c r="A28" s="16" t="s">
        <v>136</v>
      </c>
    </row>
  </sheetData>
  <conditionalFormatting sqref="B23">
    <cfRule type="expression" priority="2" aboveAverage="0" equalAverage="0" bottom="0" percent="0" rank="0" text="" dxfId="0">
      <formula>LEFT(B23,5)="AVVIK"</formula>
    </cfRule>
  </conditionalFormatting>
  <conditionalFormatting sqref="B24">
    <cfRule type="expression" priority="3" aboveAverage="0" equalAverage="0" bottom="0" percent="0" rank="0" text="" dxfId="0">
      <formula>LEFT(B24,5)="AVVIK"</formula>
    </cfRule>
  </conditionalFormatting>
  <conditionalFormatting sqref="B25">
    <cfRule type="expression" priority="4" aboveAverage="0" equalAverage="0" bottom="0" percent="0" rank="0" text="" dxfId="0">
      <formula>LEFT(B25,5)="AVVIK"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4"/>
    <col collapsed="false" customWidth="true" hidden="false" outlineLevel="0" max="4" min="4" style="0" width="16"/>
    <col collapsed="false" customWidth="true" hidden="false" outlineLevel="0" max="6" min="5" style="0" width="14"/>
    <col collapsed="false" customWidth="true" hidden="false" outlineLevel="0" max="7" min="7" style="0" width="16"/>
    <col collapsed="false" customWidth="true" hidden="false" outlineLevel="0" max="8" min="8" style="0" width="12"/>
    <col collapsed="false" customWidth="true" hidden="false" outlineLevel="0" max="9" min="9" style="0" width="44"/>
    <col collapsed="false" customWidth="true" hidden="false" outlineLevel="0" max="10" min="10" style="0" width="20"/>
  </cols>
  <sheetData>
    <row r="1" customFormat="false" ht="17.35" hidden="false" customHeight="false" outlineLevel="0" collapsed="false">
      <c r="A1" s="1" t="s">
        <v>137</v>
      </c>
    </row>
    <row r="2" customFormat="false" ht="15" hidden="false" customHeight="false" outlineLevel="0" collapsed="false">
      <c r="A2" s="15" t="s">
        <v>138</v>
      </c>
    </row>
    <row r="4" customFormat="false" ht="15" hidden="false" customHeight="false" outlineLevel="0" collapsed="false">
      <c r="A4" s="17" t="s">
        <v>139</v>
      </c>
    </row>
    <row r="5" customFormat="false" ht="15" hidden="false" customHeight="false" outlineLevel="0" collapsed="false">
      <c r="A5" s="19" t="s">
        <v>140</v>
      </c>
      <c r="B5" s="24" t="n">
        <v>1200</v>
      </c>
      <c r="C5" s="19" t="s">
        <v>141</v>
      </c>
      <c r="I5" s="19" t="s">
        <v>142</v>
      </c>
    </row>
    <row r="6" customFormat="false" ht="15" hidden="false" customHeight="false" outlineLevel="0" collapsed="false">
      <c r="A6" s="19" t="s">
        <v>143</v>
      </c>
      <c r="B6" s="26" t="n">
        <f aca="false">Rangering!C11</f>
        <v>1440</v>
      </c>
      <c r="C6" s="19" t="s">
        <v>144</v>
      </c>
    </row>
    <row r="7" customFormat="false" ht="15" hidden="false" customHeight="false" outlineLevel="0" collapsed="false">
      <c r="A7" s="19" t="s">
        <v>145</v>
      </c>
      <c r="B7" s="28" t="n">
        <f aca="false">B6-B5</f>
        <v>240</v>
      </c>
      <c r="C7" s="19" t="s">
        <v>146</v>
      </c>
      <c r="I7" s="19" t="s">
        <v>147</v>
      </c>
    </row>
    <row r="9" customFormat="false" ht="15" hidden="false" customHeight="false" outlineLevel="0" collapsed="false">
      <c r="A9" s="17" t="s">
        <v>148</v>
      </c>
    </row>
    <row r="10" customFormat="false" ht="15" hidden="false" customHeight="false" outlineLevel="0" collapsed="false">
      <c r="B10" s="16" t="s">
        <v>149</v>
      </c>
    </row>
    <row r="11" customFormat="false" ht="27.75" hidden="false" customHeight="true" outlineLevel="0" collapsed="false">
      <c r="A11" s="22" t="s">
        <v>109</v>
      </c>
      <c r="B11" s="22" t="s">
        <v>104</v>
      </c>
      <c r="C11" s="22" t="s">
        <v>150</v>
      </c>
      <c r="D11" s="22" t="s">
        <v>151</v>
      </c>
      <c r="E11" s="22" t="s">
        <v>152</v>
      </c>
      <c r="F11" s="22" t="s">
        <v>153</v>
      </c>
      <c r="G11" s="22" t="s">
        <v>154</v>
      </c>
      <c r="H11" s="22" t="s">
        <v>155</v>
      </c>
      <c r="I11" s="22" t="s">
        <v>156</v>
      </c>
      <c r="J11" s="21" t="s">
        <v>157</v>
      </c>
    </row>
    <row r="12" customFormat="false" ht="15" hidden="false" customHeight="false" outlineLevel="0" collapsed="false">
      <c r="A12" s="32" t="n">
        <v>1</v>
      </c>
      <c r="B12" s="20" t="str">
        <f aca="false">INDEX(Rangering!$A$6:$A$9,MATCH($A12,Rangering!$G$6:$G$9,0))</f>
        <v>Ladepunkt</v>
      </c>
      <c r="C12" s="26" t="n">
        <f aca="false">INDEX(Rangering!$E$6:$E$9,MATCH($A12,Rangering!$G$6:$G$9,0))</f>
        <v>150</v>
      </c>
      <c r="D12" s="26" t="n">
        <f aca="false">INDEX(Rangering!$C$6:$C$9,MATCH($A12,Rangering!$G$6:$G$9,0))</f>
        <v>2</v>
      </c>
      <c r="E12" s="28" t="n">
        <f aca="false">MIN(C12,INT(($B$5-SUM($F$11:F11))/D12))</f>
        <v>150</v>
      </c>
      <c r="F12" s="26" t="n">
        <f aca="false">E12*D12</f>
        <v>300</v>
      </c>
      <c r="G12" s="29" t="n">
        <f aca="false">E12*INDEX(Rangering!$B$6:$B$9,MATCH($A12,Rangering!$G$6:$G$9,0))</f>
        <v>157500</v>
      </c>
      <c r="H12" s="26" t="n">
        <f aca="false">C12-E12</f>
        <v>0</v>
      </c>
      <c r="J12" s="33" t="n">
        <f aca="false">IF(AND(E12&gt;0,H12=0),INDEX(Rangering!$F$6:$F$9,MATCH(B12,Rangering!$A$6:$A$9,0)),"")</f>
        <v>525</v>
      </c>
    </row>
    <row r="13" customFormat="false" ht="15" hidden="false" customHeight="false" outlineLevel="0" collapsed="false">
      <c r="A13" s="32" t="n">
        <v>2</v>
      </c>
      <c r="B13" s="20" t="str">
        <f aca="false">INDEX(Rangering!$A$6:$A$9,MATCH($A13,Rangering!$G$6:$G$9,0))</f>
        <v>Solcelleanlegg</v>
      </c>
      <c r="C13" s="26" t="n">
        <f aca="false">INDEX(Rangering!$E$6:$E$9,MATCH($A13,Rangering!$G$6:$G$9,0))</f>
        <v>30</v>
      </c>
      <c r="D13" s="26" t="n">
        <f aca="false">INDEX(Rangering!$C$6:$C$9,MATCH($A13,Rangering!$G$6:$G$9,0))</f>
        <v>14</v>
      </c>
      <c r="E13" s="28" t="n">
        <f aca="false">MIN(C13,INT(($B$5-SUM($F$11:F12))/D13))</f>
        <v>30</v>
      </c>
      <c r="F13" s="26" t="n">
        <f aca="false">E13*D13</f>
        <v>420</v>
      </c>
      <c r="G13" s="29" t="n">
        <f aca="false">E13*INDEX(Rangering!$B$6:$B$9,MATCH($A13,Rangering!$G$6:$G$9,0))</f>
        <v>132000</v>
      </c>
      <c r="H13" s="26" t="n">
        <f aca="false">C13-E13</f>
        <v>0</v>
      </c>
      <c r="J13" s="33" t="n">
        <f aca="false">IF(AND(E13&gt;0,H13=0),INDEX(Rangering!$F$6:$F$9,MATCH(B13,Rangering!$A$6:$A$9,0)),"")</f>
        <v>314.285714285714</v>
      </c>
    </row>
    <row r="14" customFormat="false" ht="15" hidden="false" customHeight="false" outlineLevel="0" collapsed="false">
      <c r="A14" s="32" t="n">
        <v>3</v>
      </c>
      <c r="B14" s="20" t="str">
        <f aca="false">INDEX(Rangering!$A$6:$A$9,MATCH($A14,Rangering!$G$6:$G$9,0))</f>
        <v>Boliginstallasjon</v>
      </c>
      <c r="C14" s="26" t="n">
        <f aca="false">INDEX(Rangering!$E$6:$E$9,MATCH($A14,Rangering!$G$6:$G$9,0))</f>
        <v>120</v>
      </c>
      <c r="D14" s="26" t="n">
        <f aca="false">INDEX(Rangering!$C$6:$C$9,MATCH($A14,Rangering!$G$6:$G$9,0))</f>
        <v>3</v>
      </c>
      <c r="E14" s="28" t="n">
        <f aca="false">MIN(C14,INT(($B$5-SUM($F$11:F13))/D14))</f>
        <v>120</v>
      </c>
      <c r="F14" s="26" t="n">
        <f aca="false">E14*D14</f>
        <v>360</v>
      </c>
      <c r="G14" s="29" t="n">
        <f aca="false">E14*INDEX(Rangering!$B$6:$B$9,MATCH($A14,Rangering!$G$6:$G$9,0))</f>
        <v>108000</v>
      </c>
      <c r="H14" s="26" t="n">
        <f aca="false">C14-E14</f>
        <v>0</v>
      </c>
      <c r="J14" s="33" t="n">
        <f aca="false">IF(AND(E14&gt;0,H14=0),INDEX(Rangering!$F$6:$F$9,MATCH(B14,Rangering!$A$6:$A$9,0)),"")</f>
        <v>300</v>
      </c>
    </row>
    <row r="15" customFormat="false" ht="15" hidden="false" customHeight="false" outlineLevel="0" collapsed="false">
      <c r="A15" s="32" t="n">
        <v>4</v>
      </c>
      <c r="B15" s="20" t="str">
        <f aca="false">INDEX(Rangering!$A$6:$A$9,MATCH($A15,Rangering!$G$6:$G$9,0))</f>
        <v>Nybygg (prosjekt)</v>
      </c>
      <c r="C15" s="26" t="n">
        <f aca="false">INDEX(Rangering!$E$6:$E$9,MATCH($A15,Rangering!$G$6:$G$9,0))</f>
        <v>40</v>
      </c>
      <c r="D15" s="26" t="n">
        <f aca="false">INDEX(Rangering!$C$6:$C$9,MATCH($A15,Rangering!$G$6:$G$9,0))</f>
        <v>9</v>
      </c>
      <c r="E15" s="28" t="n">
        <f aca="false">MIN(C15,INT(($B$5-SUM($F$11:F14))/D15))</f>
        <v>13</v>
      </c>
      <c r="F15" s="26" t="n">
        <f aca="false">E15*D15</f>
        <v>117</v>
      </c>
      <c r="G15" s="29" t="n">
        <f aca="false">E15*INDEX(Rangering!$B$6:$B$9,MATCH($A15,Rangering!$G$6:$G$9,0))</f>
        <v>27300</v>
      </c>
      <c r="H15" s="26" t="n">
        <f aca="false">C15-E15</f>
        <v>27</v>
      </c>
      <c r="J15" s="33" t="str">
        <f aca="false">IF(AND(E15&gt;0,H15=0),INDEX(Rangering!$F$6:$F$9,MATCH(B15,Rangering!$A$6:$A$9,0)),"")</f>
        <v/>
      </c>
    </row>
    <row r="16" customFormat="false" ht="15" hidden="false" customHeight="false" outlineLevel="0" collapsed="false">
      <c r="B16" s="21" t="s">
        <v>158</v>
      </c>
      <c r="F16" s="28" t="n">
        <f aca="false">SUM(F12:F15)</f>
        <v>1197</v>
      </c>
      <c r="G16" s="29" t="n">
        <f aca="false">SUM(G12:G15)</f>
        <v>424800</v>
      </c>
      <c r="H16" s="28" t="n">
        <f aca="false">SUM(H12:H15)</f>
        <v>27</v>
      </c>
    </row>
    <row r="17" customFormat="false" ht="15" hidden="false" customHeight="false" outlineLevel="0" collapsed="false">
      <c r="B17" s="19" t="s">
        <v>159</v>
      </c>
      <c r="F17" s="26" t="n">
        <f aca="false">$B$5-F16</f>
        <v>3</v>
      </c>
    </row>
    <row r="18" customFormat="false" ht="15" hidden="false" customHeight="false" outlineLevel="0" collapsed="false">
      <c r="A18" s="17" t="s">
        <v>160</v>
      </c>
    </row>
    <row r="19" customFormat="false" ht="15" hidden="false" customHeight="false" outlineLevel="0" collapsed="false">
      <c r="B19" s="16" t="s">
        <v>161</v>
      </c>
    </row>
    <row r="20" customFormat="false" ht="27.75" hidden="false" customHeight="true" outlineLevel="0" collapsed="false">
      <c r="A20" s="22" t="s">
        <v>109</v>
      </c>
      <c r="B20" s="22" t="s">
        <v>104</v>
      </c>
      <c r="C20" s="22" t="s">
        <v>150</v>
      </c>
      <c r="D20" s="22" t="s">
        <v>151</v>
      </c>
      <c r="E20" s="22" t="s">
        <v>152</v>
      </c>
      <c r="F20" s="22" t="s">
        <v>153</v>
      </c>
      <c r="G20" s="22" t="s">
        <v>154</v>
      </c>
      <c r="H20" s="22" t="s">
        <v>155</v>
      </c>
      <c r="I20" s="22" t="s">
        <v>156</v>
      </c>
    </row>
    <row r="21" customFormat="false" ht="15" hidden="false" customHeight="false" outlineLevel="0" collapsed="false">
      <c r="A21" s="32" t="n">
        <v>1</v>
      </c>
      <c r="B21" s="20" t="str">
        <f aca="false">INDEX(Rangering!$A$6:$A$9,MATCH($A21,Rangering!$J$6:$J$9,0))</f>
        <v>Solcelleanlegg</v>
      </c>
      <c r="C21" s="26" t="n">
        <f aca="false">INDEX(Rangering!$E$6:$E$9,MATCH($A21,Rangering!$J$6:$J$9,0))</f>
        <v>30</v>
      </c>
      <c r="D21" s="26" t="n">
        <f aca="false">INDEX(Rangering!$C$6:$C$9,MATCH($A21,Rangering!$J$6:$J$9,0))</f>
        <v>14</v>
      </c>
      <c r="E21" s="28" t="n">
        <f aca="false">MIN(C21,INT(($B$5-SUM($F$20:F20))/D21))</f>
        <v>30</v>
      </c>
      <c r="F21" s="26" t="n">
        <f aca="false">E21*D21</f>
        <v>420</v>
      </c>
      <c r="G21" s="29" t="n">
        <f aca="false">E21*INDEX(Rangering!$B$6:$B$9,MATCH($A21,Rangering!$J$6:$J$9,0))</f>
        <v>132000</v>
      </c>
      <c r="H21" s="26" t="n">
        <f aca="false">C21-E21</f>
        <v>0</v>
      </c>
    </row>
    <row r="22" customFormat="false" ht="15" hidden="false" customHeight="false" outlineLevel="0" collapsed="false">
      <c r="A22" s="32" t="n">
        <v>2</v>
      </c>
      <c r="B22" s="20" t="str">
        <f aca="false">INDEX(Rangering!$A$6:$A$9,MATCH($A22,Rangering!$J$6:$J$9,0))</f>
        <v>Nybygg (prosjekt)</v>
      </c>
      <c r="C22" s="26" t="n">
        <f aca="false">INDEX(Rangering!$E$6:$E$9,MATCH($A22,Rangering!$J$6:$J$9,0))</f>
        <v>40</v>
      </c>
      <c r="D22" s="26" t="n">
        <f aca="false">INDEX(Rangering!$C$6:$C$9,MATCH($A22,Rangering!$J$6:$J$9,0))</f>
        <v>9</v>
      </c>
      <c r="E22" s="28" t="n">
        <f aca="false">MIN(C22,INT(($B$5-SUM($F$20:F21))/D22))</f>
        <v>40</v>
      </c>
      <c r="F22" s="26" t="n">
        <f aca="false">E22*D22</f>
        <v>360</v>
      </c>
      <c r="G22" s="29" t="n">
        <f aca="false">E22*INDEX(Rangering!$B$6:$B$9,MATCH($A22,Rangering!$J$6:$J$9,0))</f>
        <v>84000</v>
      </c>
      <c r="H22" s="26" t="n">
        <f aca="false">C22-E22</f>
        <v>0</v>
      </c>
    </row>
    <row r="23" customFormat="false" ht="15" hidden="false" customHeight="false" outlineLevel="0" collapsed="false">
      <c r="A23" s="32" t="n">
        <v>3</v>
      </c>
      <c r="B23" s="20" t="str">
        <f aca="false">INDEX(Rangering!$A$6:$A$9,MATCH($A23,Rangering!$J$6:$J$9,0))</f>
        <v>Ladepunkt</v>
      </c>
      <c r="C23" s="26" t="n">
        <f aca="false">INDEX(Rangering!$E$6:$E$9,MATCH($A23,Rangering!$J$6:$J$9,0))</f>
        <v>150</v>
      </c>
      <c r="D23" s="26" t="n">
        <f aca="false">INDEX(Rangering!$C$6:$C$9,MATCH($A23,Rangering!$J$6:$J$9,0))</f>
        <v>2</v>
      </c>
      <c r="E23" s="28" t="n">
        <f aca="false">MIN(C23,INT(($B$5-SUM($F$20:F22))/D23))</f>
        <v>150</v>
      </c>
      <c r="F23" s="26" t="n">
        <f aca="false">E23*D23</f>
        <v>300</v>
      </c>
      <c r="G23" s="29" t="n">
        <f aca="false">E23*INDEX(Rangering!$B$6:$B$9,MATCH($A23,Rangering!$J$6:$J$9,0))</f>
        <v>157500</v>
      </c>
      <c r="H23" s="26" t="n">
        <f aca="false">C23-E23</f>
        <v>0</v>
      </c>
    </row>
    <row r="24" customFormat="false" ht="15" hidden="false" customHeight="false" outlineLevel="0" collapsed="false">
      <c r="A24" s="32" t="n">
        <v>4</v>
      </c>
      <c r="B24" s="20" t="str">
        <f aca="false">INDEX(Rangering!$A$6:$A$9,MATCH($A24,Rangering!$J$6:$J$9,0))</f>
        <v>Boliginstallasjon</v>
      </c>
      <c r="C24" s="26" t="n">
        <f aca="false">INDEX(Rangering!$E$6:$E$9,MATCH($A24,Rangering!$J$6:$J$9,0))</f>
        <v>120</v>
      </c>
      <c r="D24" s="26" t="n">
        <f aca="false">INDEX(Rangering!$C$6:$C$9,MATCH($A24,Rangering!$J$6:$J$9,0))</f>
        <v>3</v>
      </c>
      <c r="E24" s="28" t="n">
        <f aca="false">MIN(C24,INT(($B$5-SUM($F$20:F23))/D24))</f>
        <v>40</v>
      </c>
      <c r="F24" s="26" t="n">
        <f aca="false">E24*D24</f>
        <v>120</v>
      </c>
      <c r="G24" s="29" t="n">
        <f aca="false">E24*INDEX(Rangering!$B$6:$B$9,MATCH($A24,Rangering!$J$6:$J$9,0))</f>
        <v>36000</v>
      </c>
      <c r="H24" s="26" t="n">
        <f aca="false">C24-E24</f>
        <v>80</v>
      </c>
    </row>
    <row r="25" customFormat="false" ht="15" hidden="false" customHeight="false" outlineLevel="0" collapsed="false">
      <c r="B25" s="21" t="s">
        <v>158</v>
      </c>
      <c r="F25" s="28" t="n">
        <f aca="false">SUM(F21:F24)</f>
        <v>1200</v>
      </c>
      <c r="G25" s="29" t="n">
        <f aca="false">SUM(G21:G24)</f>
        <v>409500</v>
      </c>
      <c r="H25" s="28" t="n">
        <f aca="false">SUM(H21:H24)</f>
        <v>80</v>
      </c>
    </row>
    <row r="26" customFormat="false" ht="15" hidden="false" customHeight="false" outlineLevel="0" collapsed="false">
      <c r="B26" s="19" t="s">
        <v>159</v>
      </c>
      <c r="F26" s="26" t="n">
        <f aca="false">$B$5-F25</f>
        <v>0</v>
      </c>
    </row>
    <row r="28" customFormat="false" ht="15" hidden="false" customHeight="false" outlineLevel="0" collapsed="false">
      <c r="A28" s="17" t="s">
        <v>162</v>
      </c>
    </row>
    <row r="29" customFormat="false" ht="15" hidden="false" customHeight="false" outlineLevel="0" collapsed="false">
      <c r="B29" s="19" t="s">
        <v>163</v>
      </c>
      <c r="C29" s="30" t="n">
        <f aca="false">G16</f>
        <v>424800</v>
      </c>
    </row>
    <row r="30" customFormat="false" ht="15" hidden="false" customHeight="false" outlineLevel="0" collapsed="false">
      <c r="B30" s="19" t="s">
        <v>164</v>
      </c>
      <c r="C30" s="30" t="n">
        <f aca="false">G25</f>
        <v>409500</v>
      </c>
    </row>
    <row r="31" customFormat="false" ht="15" hidden="false" customHeight="false" outlineLevel="0" collapsed="false">
      <c r="B31" s="21" t="s">
        <v>165</v>
      </c>
      <c r="C31" s="29" t="n">
        <f aca="false">C29-C30</f>
        <v>15300</v>
      </c>
    </row>
    <row r="32" customFormat="false" ht="15" hidden="false" customHeight="false" outlineLevel="0" collapsed="false">
      <c r="B32" s="21" t="s">
        <v>166</v>
      </c>
      <c r="C32" s="29" t="n">
        <f aca="false">C31*12</f>
        <v>183600</v>
      </c>
    </row>
    <row r="33" customFormat="false" ht="15" hidden="false" customHeight="false" outlineLevel="0" collapsed="false">
      <c r="B33" s="19" t="s">
        <v>167</v>
      </c>
      <c r="C33" s="23" t="n">
        <v>1344000</v>
      </c>
    </row>
    <row r="34" customFormat="false" ht="15" hidden="false" customHeight="false" outlineLevel="0" collapsed="false">
      <c r="B34" s="21" t="s">
        <v>168</v>
      </c>
      <c r="C34" s="34" t="n">
        <f aca="false">C32/C33</f>
        <v>0.136607142857143</v>
      </c>
      <c r="I34" s="19" t="s">
        <v>169</v>
      </c>
    </row>
    <row r="36" customFormat="false" ht="15" hidden="false" customHeight="false" outlineLevel="0" collapsed="false">
      <c r="A36" s="17" t="s">
        <v>170</v>
      </c>
    </row>
    <row r="37" customFormat="false" ht="15" hidden="false" customHeight="false" outlineLevel="0" collapsed="false">
      <c r="B37" s="19" t="s">
        <v>171</v>
      </c>
      <c r="C37" s="20" t="str">
        <f aca="false">INDEX($B$12:$B$15,MATCH(MIN($J$12:$J$15),$J$12:$J$15,0))</f>
        <v>Boliginstallasjon</v>
      </c>
      <c r="I37" s="19" t="s">
        <v>172</v>
      </c>
    </row>
    <row r="38" customFormat="false" ht="15" hidden="false" customHeight="false" outlineLevel="0" collapsed="false">
      <c r="B38" s="19" t="s">
        <v>173</v>
      </c>
      <c r="C38" s="33" t="n">
        <f aca="false">INDEX(Rangering!$F$6:$F$9,MATCH(C37,Rangering!$A$6:$A$9,0))</f>
        <v>300</v>
      </c>
    </row>
    <row r="39" customFormat="false" ht="15" hidden="false" customHeight="false" outlineLevel="0" collapsed="false">
      <c r="B39" s="19" t="s">
        <v>174</v>
      </c>
      <c r="C39" s="30" t="n">
        <f aca="false">INDEX(Rangering!$C$6:$C$9,MATCH("Nybygg (prosjekt)",Rangering!$A$6:$A$9,0))*MAX(Rangering!$F$6:$F$9)-INDEX(Rangering!$B$6:$B$9,MATCH("Nybygg (prosjekt)",Rangering!$A$6:$A$9,0))</f>
        <v>2625</v>
      </c>
    </row>
    <row r="40" customFormat="false" ht="15" hidden="false" customHeight="false" outlineLevel="0" collapsed="false">
      <c r="B40" s="21" t="s">
        <v>175</v>
      </c>
      <c r="C40" s="29" t="n">
        <f aca="false">INDEX(Rangering!$C$6:$C$9,MATCH("Nybygg (prosjekt)",Rangering!$A$6:$A$9,0))*C38-INDEX(Rangering!$B$6:$B$9,MATCH("Nybygg (prosjekt)",Rangering!$A$6:$A$9,0))</f>
        <v>600</v>
      </c>
      <c r="I40" s="19" t="s">
        <v>176</v>
      </c>
    </row>
    <row r="42" customFormat="false" ht="15" hidden="false" customHeight="false" outlineLevel="0" collapsed="false">
      <c r="A42" s="17" t="s">
        <v>131</v>
      </c>
    </row>
    <row r="43" customFormat="false" ht="15" hidden="false" customHeight="false" outlineLevel="0" collapsed="false">
      <c r="B43" s="19" t="s">
        <v>177</v>
      </c>
      <c r="C43" s="31" t="str">
        <f aca="false">IF(AND(F16&lt;=$B$5,F25&lt;=$B$5),"OK — begge planene holder seg innenfor de montørtimene dere har","AVVIK: en av planene bruker flere timer enn kapasiteten")</f>
        <v>OK — begge planene holder seg innenfor de montørtimene dere har</v>
      </c>
    </row>
    <row r="44" customFormat="false" ht="15" hidden="false" customHeight="false" outlineLevel="0" collapsed="false">
      <c r="B44" s="19" t="s">
        <v>178</v>
      </c>
      <c r="C44" s="31" t="str">
        <f aca="false">IF(G16&gt;=G25,"OK — rangering per montørtime gir minst like mye dekningsbidrag som rangering per oppdrag","AVVIK: da er noe galt med rangeringen")</f>
        <v>OK — rangering per montørtime gir minst like mye dekningsbidrag som rangering per oppdrag</v>
      </c>
    </row>
    <row r="45" customFormat="false" ht="15" hidden="false" customHeight="false" outlineLevel="0" collapsed="false">
      <c r="B45" s="19" t="s">
        <v>179</v>
      </c>
      <c r="C45" s="31" t="str">
        <f aca="false">IF(MIN(H12:H15,H21:H24)&gt;=0,"OK — ingen oppdragstype er tatt flere ganger enn den er etterspurt","AVVIK: planen tar flere oppdrag enn kundene har bedt om")</f>
        <v>OK — ingen oppdragstype er tatt flere ganger enn den er etterspurt</v>
      </c>
    </row>
    <row r="47" customFormat="false" ht="15" hidden="false" customHeight="false" outlineLevel="0" collapsed="false">
      <c r="A47" s="21" t="s">
        <v>180</v>
      </c>
    </row>
    <row r="48" customFormat="false" ht="15" hidden="false" customHeight="false" outlineLevel="0" collapsed="false">
      <c r="A48" s="16" t="s">
        <v>181</v>
      </c>
    </row>
  </sheetData>
  <conditionalFormatting sqref="C43">
    <cfRule type="expression" priority="2" aboveAverage="0" equalAverage="0" bottom="0" percent="0" rank="0" text="" dxfId="0">
      <formula>LEFT(C43,5)="AVVIK"</formula>
    </cfRule>
  </conditionalFormatting>
  <conditionalFormatting sqref="C44">
    <cfRule type="expression" priority="3" aboveAverage="0" equalAverage="0" bottom="0" percent="0" rank="0" text="" dxfId="0">
      <formula>LEFT(C44,5)="AVVIK"</formula>
    </cfRule>
  </conditionalFormatting>
  <conditionalFormatting sqref="C45">
    <cfRule type="expression" priority="4" aboveAverage="0" equalAverage="0" bottom="0" percent="0" rank="0" text="" dxfId="0">
      <formula>LEFT(C45,5)="AVVIK"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4"/>
    <col collapsed="false" customWidth="true" hidden="false" outlineLevel="0" max="4" min="4" style="0" width="16"/>
    <col collapsed="false" customWidth="true" hidden="false" outlineLevel="0" max="6" min="5" style="0" width="14"/>
    <col collapsed="false" customWidth="true" hidden="false" outlineLevel="0" max="7" min="7" style="0" width="16"/>
    <col collapsed="false" customWidth="true" hidden="false" outlineLevel="0" max="8" min="8" style="0" width="14"/>
    <col collapsed="false" customWidth="true" hidden="false" outlineLevel="0" max="9" min="9" style="0" width="44"/>
  </cols>
  <sheetData>
    <row r="1" customFormat="false" ht="17.35" hidden="false" customHeight="false" outlineLevel="0" collapsed="false">
      <c r="A1" s="1" t="s">
        <v>182</v>
      </c>
    </row>
    <row r="2" customFormat="false" ht="15" hidden="false" customHeight="false" outlineLevel="0" collapsed="false">
      <c r="A2" s="15" t="s">
        <v>183</v>
      </c>
    </row>
    <row r="4" customFormat="false" ht="15" hidden="false" customHeight="false" outlineLevel="0" collapsed="false">
      <c r="A4" s="17" t="s">
        <v>184</v>
      </c>
    </row>
    <row r="5" customFormat="false" ht="15" hidden="false" customHeight="false" outlineLevel="0" collapsed="false">
      <c r="B5" s="19" t="s">
        <v>185</v>
      </c>
      <c r="C5" s="23" t="n">
        <v>2140000</v>
      </c>
      <c r="I5" s="19" t="s">
        <v>186</v>
      </c>
    </row>
    <row r="6" customFormat="false" ht="15" hidden="false" customHeight="false" outlineLevel="0" collapsed="false">
      <c r="B6" s="19" t="s">
        <v>187</v>
      </c>
      <c r="C6" s="26" t="n">
        <f aca="false">Produktvalg!B5</f>
        <v>1200</v>
      </c>
    </row>
    <row r="7" customFormat="false" ht="15" hidden="false" customHeight="false" outlineLevel="0" collapsed="false">
      <c r="B7" s="19" t="s">
        <v>188</v>
      </c>
      <c r="C7" s="30" t="n">
        <f aca="false">Rangering!D12</f>
        <v>3475000</v>
      </c>
    </row>
    <row r="8" customFormat="false" ht="15" hidden="false" customHeight="false" outlineLevel="0" collapsed="false">
      <c r="B8" s="19" t="s">
        <v>189</v>
      </c>
      <c r="C8" s="29" t="n">
        <f aca="false">C7-C5</f>
        <v>1335000</v>
      </c>
    </row>
    <row r="10" customFormat="false" ht="15" hidden="false" customHeight="false" outlineLevel="0" collapsed="false">
      <c r="A10" s="17" t="s">
        <v>190</v>
      </c>
    </row>
    <row r="11" customFormat="false" ht="15" hidden="false" customHeight="false" outlineLevel="0" collapsed="false">
      <c r="B11" s="16" t="s">
        <v>191</v>
      </c>
    </row>
    <row r="12" customFormat="false" ht="27.75" hidden="false" customHeight="true" outlineLevel="0" collapsed="false">
      <c r="A12" s="22" t="s">
        <v>109</v>
      </c>
      <c r="B12" s="22" t="s">
        <v>104</v>
      </c>
      <c r="C12" s="22" t="s">
        <v>150</v>
      </c>
      <c r="D12" s="22" t="s">
        <v>192</v>
      </c>
      <c r="E12" s="22" t="s">
        <v>152</v>
      </c>
      <c r="F12" s="22" t="s">
        <v>193</v>
      </c>
      <c r="G12" s="22" t="s">
        <v>154</v>
      </c>
      <c r="H12" s="22" t="s">
        <v>153</v>
      </c>
      <c r="I12" s="22" t="s">
        <v>156</v>
      </c>
    </row>
    <row r="13" customFormat="false" ht="15" hidden="false" customHeight="false" outlineLevel="0" collapsed="false">
      <c r="A13" s="32" t="n">
        <v>1</v>
      </c>
      <c r="B13" s="20" t="str">
        <f aca="false">INDEX(Rangering!$A$6:$A$9,MATCH($A13,Rangering!$I$6:$I$9,0))</f>
        <v>Boliginstallasjon</v>
      </c>
      <c r="C13" s="26" t="n">
        <f aca="false">INDEX(Rangering!$E$6:$E$9,MATCH($A13,Rangering!$I$6:$I$9,0))</f>
        <v>120</v>
      </c>
      <c r="D13" s="30" t="n">
        <f aca="false">INDEX(Rangering!$D$6:$D$9,MATCH($A13,Rangering!$I$6:$I$9,0))</f>
        <v>4000</v>
      </c>
      <c r="E13" s="28" t="n">
        <f aca="false">MIN(C13,INT(($C$5-SUM($F$12:F12))/D13),INT(($C$6-SUM($H$12:H12))/INDEX(Rangering!$C$6:$C$9,MATCH($A13,Rangering!$I$6:$I$9,0))))</f>
        <v>120</v>
      </c>
      <c r="F13" s="30" t="n">
        <f aca="false">E13*D13</f>
        <v>480000</v>
      </c>
      <c r="G13" s="29" t="n">
        <f aca="false">E13*INDEX(Rangering!$B$6:$B$9,MATCH($A13,Rangering!$I$6:$I$9,0))</f>
        <v>108000</v>
      </c>
      <c r="H13" s="26" t="n">
        <f aca="false">E13*INDEX(Rangering!$C$6:$C$9,MATCH($A13,Rangering!$I$6:$I$9,0))</f>
        <v>360</v>
      </c>
    </row>
    <row r="14" customFormat="false" ht="15" hidden="false" customHeight="false" outlineLevel="0" collapsed="false">
      <c r="A14" s="32" t="n">
        <v>2</v>
      </c>
      <c r="B14" s="20" t="str">
        <f aca="false">INDEX(Rangering!$A$6:$A$9,MATCH($A14,Rangering!$I$6:$I$9,0))</f>
        <v>Ladepunkt</v>
      </c>
      <c r="C14" s="26" t="n">
        <f aca="false">INDEX(Rangering!$E$6:$E$9,MATCH($A14,Rangering!$I$6:$I$9,0))</f>
        <v>150</v>
      </c>
      <c r="D14" s="30" t="n">
        <f aca="false">INDEX(Rangering!$D$6:$D$9,MATCH($A14,Rangering!$I$6:$I$9,0))</f>
        <v>6500</v>
      </c>
      <c r="E14" s="28" t="n">
        <f aca="false">MIN(C14,INT(($C$5-SUM($F$12:F13))/D14),INT(($C$6-SUM($H$12:H13))/INDEX(Rangering!$C$6:$C$9,MATCH($A14,Rangering!$I$6:$I$9,0))))</f>
        <v>150</v>
      </c>
      <c r="F14" s="30" t="n">
        <f aca="false">E14*D14</f>
        <v>975000</v>
      </c>
      <c r="G14" s="29" t="n">
        <f aca="false">E14*INDEX(Rangering!$B$6:$B$9,MATCH($A14,Rangering!$I$6:$I$9,0))</f>
        <v>157500</v>
      </c>
      <c r="H14" s="26" t="n">
        <f aca="false">E14*INDEX(Rangering!$C$6:$C$9,MATCH($A14,Rangering!$I$6:$I$9,0))</f>
        <v>300</v>
      </c>
    </row>
    <row r="15" customFormat="false" ht="15" hidden="false" customHeight="false" outlineLevel="0" collapsed="false">
      <c r="A15" s="32" t="n">
        <v>3</v>
      </c>
      <c r="B15" s="20" t="str">
        <f aca="false">INDEX(Rangering!$A$6:$A$9,MATCH($A15,Rangering!$I$6:$I$9,0))</f>
        <v>Solcelleanlegg</v>
      </c>
      <c r="C15" s="26" t="n">
        <f aca="false">INDEX(Rangering!$E$6:$E$9,MATCH($A15,Rangering!$I$6:$I$9,0))</f>
        <v>30</v>
      </c>
      <c r="D15" s="30" t="n">
        <f aca="false">INDEX(Rangering!$D$6:$D$9,MATCH($A15,Rangering!$I$6:$I$9,0))</f>
        <v>38000</v>
      </c>
      <c r="E15" s="28" t="n">
        <f aca="false">MIN(C15,INT(($C$5-SUM($F$12:F14))/D15),INT(($C$6-SUM($H$12:H14))/INDEX(Rangering!$C$6:$C$9,MATCH($A15,Rangering!$I$6:$I$9,0))))</f>
        <v>18</v>
      </c>
      <c r="F15" s="30" t="n">
        <f aca="false">E15*D15</f>
        <v>684000</v>
      </c>
      <c r="G15" s="29" t="n">
        <f aca="false">E15*INDEX(Rangering!$B$6:$B$9,MATCH($A15,Rangering!$I$6:$I$9,0))</f>
        <v>79200</v>
      </c>
      <c r="H15" s="26" t="n">
        <f aca="false">E15*INDEX(Rangering!$C$6:$C$9,MATCH($A15,Rangering!$I$6:$I$9,0))</f>
        <v>252</v>
      </c>
    </row>
    <row r="16" customFormat="false" ht="15" hidden="false" customHeight="false" outlineLevel="0" collapsed="false">
      <c r="A16" s="32" t="n">
        <v>4</v>
      </c>
      <c r="B16" s="20" t="str">
        <f aca="false">INDEX(Rangering!$A$6:$A$9,MATCH($A16,Rangering!$I$6:$I$9,0))</f>
        <v>Nybygg (prosjekt)</v>
      </c>
      <c r="C16" s="26" t="n">
        <f aca="false">INDEX(Rangering!$E$6:$E$9,MATCH($A16,Rangering!$I$6:$I$9,0))</f>
        <v>40</v>
      </c>
      <c r="D16" s="30" t="n">
        <f aca="false">INDEX(Rangering!$D$6:$D$9,MATCH($A16,Rangering!$I$6:$I$9,0))</f>
        <v>22000</v>
      </c>
      <c r="E16" s="28" t="n">
        <f aca="false">MIN(C16,INT(($C$5-SUM($F$12:F15))/D16),INT(($C$6-SUM($H$12:H15))/INDEX(Rangering!$C$6:$C$9,MATCH($A16,Rangering!$I$6:$I$9,0))))</f>
        <v>0</v>
      </c>
      <c r="F16" s="30" t="n">
        <f aca="false">E16*D16</f>
        <v>0</v>
      </c>
      <c r="G16" s="29" t="n">
        <f aca="false">E16*INDEX(Rangering!$B$6:$B$9,MATCH($A16,Rangering!$I$6:$I$9,0))</f>
        <v>0</v>
      </c>
      <c r="H16" s="26" t="n">
        <f aca="false">E16*INDEX(Rangering!$C$6:$C$9,MATCH($A16,Rangering!$I$6:$I$9,0))</f>
        <v>0</v>
      </c>
    </row>
    <row r="17" customFormat="false" ht="15" hidden="false" customHeight="false" outlineLevel="0" collapsed="false">
      <c r="B17" s="21" t="s">
        <v>158</v>
      </c>
      <c r="F17" s="29" t="n">
        <f aca="false">SUM(F13:F16)</f>
        <v>2139000</v>
      </c>
      <c r="G17" s="29" t="n">
        <f aca="false">SUM(G13:G16)</f>
        <v>344700</v>
      </c>
      <c r="H17" s="28" t="n">
        <f aca="false">SUM(H13:H16)</f>
        <v>912</v>
      </c>
    </row>
    <row r="18" customFormat="false" ht="15" hidden="false" customHeight="false" outlineLevel="0" collapsed="false">
      <c r="B18" s="21" t="s">
        <v>159</v>
      </c>
      <c r="H18" s="28" t="n">
        <f aca="false">$C$6-H17</f>
        <v>288</v>
      </c>
    </row>
    <row r="19" customFormat="false" ht="15" hidden="false" customHeight="false" outlineLevel="0" collapsed="false">
      <c r="A19" s="17" t="s">
        <v>194</v>
      </c>
    </row>
    <row r="20" customFormat="false" ht="15" hidden="false" customHeight="false" outlineLevel="0" collapsed="false">
      <c r="B20" s="16" t="s">
        <v>195</v>
      </c>
    </row>
    <row r="21" customFormat="false" ht="27.75" hidden="false" customHeight="true" outlineLevel="0" collapsed="false">
      <c r="A21" s="22" t="s">
        <v>109</v>
      </c>
      <c r="B21" s="22" t="s">
        <v>104</v>
      </c>
      <c r="C21" s="22" t="s">
        <v>150</v>
      </c>
      <c r="D21" s="22" t="s">
        <v>192</v>
      </c>
      <c r="E21" s="22" t="s">
        <v>152</v>
      </c>
      <c r="F21" s="22" t="s">
        <v>193</v>
      </c>
      <c r="G21" s="22" t="s">
        <v>154</v>
      </c>
      <c r="H21" s="22" t="s">
        <v>153</v>
      </c>
      <c r="I21" s="22" t="s">
        <v>156</v>
      </c>
    </row>
    <row r="22" customFormat="false" ht="15" hidden="false" customHeight="false" outlineLevel="0" collapsed="false">
      <c r="A22" s="32" t="n">
        <v>1</v>
      </c>
      <c r="B22" s="20" t="str">
        <f aca="false">INDEX(Rangering!$A$6:$A$9,MATCH($A22,Rangering!$G$6:$G$9,0))</f>
        <v>Ladepunkt</v>
      </c>
      <c r="C22" s="26" t="n">
        <f aca="false">INDEX(Rangering!$E$6:$E$9,MATCH($A22,Rangering!$G$6:$G$9,0))</f>
        <v>150</v>
      </c>
      <c r="D22" s="30" t="n">
        <f aca="false">INDEX(Rangering!$D$6:$D$9,MATCH($A22,Rangering!$G$6:$G$9,0))</f>
        <v>6500</v>
      </c>
      <c r="E22" s="28" t="n">
        <f aca="false">MIN(C22,INT(($C$5-SUM($F$21:F21))/D22),INT(($C$6-SUM($H$21:H21))/INDEX(Rangering!$C$6:$C$9,MATCH($A22,Rangering!$G$6:$G$9,0))))</f>
        <v>150</v>
      </c>
      <c r="F22" s="30" t="n">
        <f aca="false">E22*D22</f>
        <v>975000</v>
      </c>
      <c r="G22" s="29" t="n">
        <f aca="false">E22*INDEX(Rangering!$B$6:$B$9,MATCH($A22,Rangering!$G$6:$G$9,0))</f>
        <v>157500</v>
      </c>
      <c r="H22" s="26" t="n">
        <f aca="false">E22*INDEX(Rangering!$C$6:$C$9,MATCH($A22,Rangering!$G$6:$G$9,0))</f>
        <v>300</v>
      </c>
    </row>
    <row r="23" customFormat="false" ht="15" hidden="false" customHeight="false" outlineLevel="0" collapsed="false">
      <c r="A23" s="32" t="n">
        <v>2</v>
      </c>
      <c r="B23" s="20" t="str">
        <f aca="false">INDEX(Rangering!$A$6:$A$9,MATCH($A23,Rangering!$G$6:$G$9,0))</f>
        <v>Solcelleanlegg</v>
      </c>
      <c r="C23" s="26" t="n">
        <f aca="false">INDEX(Rangering!$E$6:$E$9,MATCH($A23,Rangering!$G$6:$G$9,0))</f>
        <v>30</v>
      </c>
      <c r="D23" s="30" t="n">
        <f aca="false">INDEX(Rangering!$D$6:$D$9,MATCH($A23,Rangering!$G$6:$G$9,0))</f>
        <v>38000</v>
      </c>
      <c r="E23" s="28" t="n">
        <f aca="false">MIN(C23,INT(($C$5-SUM($F$21:F22))/D23),INT(($C$6-SUM($H$21:H22))/INDEX(Rangering!$C$6:$C$9,MATCH($A23,Rangering!$G$6:$G$9,0))))</f>
        <v>30</v>
      </c>
      <c r="F23" s="30" t="n">
        <f aca="false">E23*D23</f>
        <v>1140000</v>
      </c>
      <c r="G23" s="29" t="n">
        <f aca="false">E23*INDEX(Rangering!$B$6:$B$9,MATCH($A23,Rangering!$G$6:$G$9,0))</f>
        <v>132000</v>
      </c>
      <c r="H23" s="26" t="n">
        <f aca="false">E23*INDEX(Rangering!$C$6:$C$9,MATCH($A23,Rangering!$G$6:$G$9,0))</f>
        <v>420</v>
      </c>
    </row>
    <row r="24" customFormat="false" ht="15" hidden="false" customHeight="false" outlineLevel="0" collapsed="false">
      <c r="A24" s="32" t="n">
        <v>3</v>
      </c>
      <c r="B24" s="20" t="str">
        <f aca="false">INDEX(Rangering!$A$6:$A$9,MATCH($A24,Rangering!$G$6:$G$9,0))</f>
        <v>Boliginstallasjon</v>
      </c>
      <c r="C24" s="26" t="n">
        <f aca="false">INDEX(Rangering!$E$6:$E$9,MATCH($A24,Rangering!$G$6:$G$9,0))</f>
        <v>120</v>
      </c>
      <c r="D24" s="30" t="n">
        <f aca="false">INDEX(Rangering!$D$6:$D$9,MATCH($A24,Rangering!$G$6:$G$9,0))</f>
        <v>4000</v>
      </c>
      <c r="E24" s="28" t="n">
        <f aca="false">MIN(C24,INT(($C$5-SUM($F$21:F23))/D24),INT(($C$6-SUM($H$21:H23))/INDEX(Rangering!$C$6:$C$9,MATCH($A24,Rangering!$G$6:$G$9,0))))</f>
        <v>6</v>
      </c>
      <c r="F24" s="30" t="n">
        <f aca="false">E24*D24</f>
        <v>24000</v>
      </c>
      <c r="G24" s="29" t="n">
        <f aca="false">E24*INDEX(Rangering!$B$6:$B$9,MATCH($A24,Rangering!$G$6:$G$9,0))</f>
        <v>5400</v>
      </c>
      <c r="H24" s="26" t="n">
        <f aca="false">E24*INDEX(Rangering!$C$6:$C$9,MATCH($A24,Rangering!$G$6:$G$9,0))</f>
        <v>18</v>
      </c>
    </row>
    <row r="25" customFormat="false" ht="15" hidden="false" customHeight="false" outlineLevel="0" collapsed="false">
      <c r="A25" s="32" t="n">
        <v>4</v>
      </c>
      <c r="B25" s="20" t="str">
        <f aca="false">INDEX(Rangering!$A$6:$A$9,MATCH($A25,Rangering!$G$6:$G$9,0))</f>
        <v>Nybygg (prosjekt)</v>
      </c>
      <c r="C25" s="26" t="n">
        <f aca="false">INDEX(Rangering!$E$6:$E$9,MATCH($A25,Rangering!$G$6:$G$9,0))</f>
        <v>40</v>
      </c>
      <c r="D25" s="30" t="n">
        <f aca="false">INDEX(Rangering!$D$6:$D$9,MATCH($A25,Rangering!$G$6:$G$9,0))</f>
        <v>22000</v>
      </c>
      <c r="E25" s="28" t="n">
        <f aca="false">MIN(C25,INT(($C$5-SUM($F$21:F24))/D25),INT(($C$6-SUM($H$21:H24))/INDEX(Rangering!$C$6:$C$9,MATCH($A25,Rangering!$G$6:$G$9,0))))</f>
        <v>0</v>
      </c>
      <c r="F25" s="30" t="n">
        <f aca="false">E25*D25</f>
        <v>0</v>
      </c>
      <c r="G25" s="29" t="n">
        <f aca="false">E25*INDEX(Rangering!$B$6:$B$9,MATCH($A25,Rangering!$G$6:$G$9,0))</f>
        <v>0</v>
      </c>
      <c r="H25" s="26" t="n">
        <f aca="false">E25*INDEX(Rangering!$C$6:$C$9,MATCH($A25,Rangering!$G$6:$G$9,0))</f>
        <v>0</v>
      </c>
    </row>
    <row r="26" customFormat="false" ht="15" hidden="false" customHeight="false" outlineLevel="0" collapsed="false">
      <c r="B26" s="21" t="s">
        <v>158</v>
      </c>
      <c r="F26" s="29" t="n">
        <f aca="false">SUM(F22:F25)</f>
        <v>2139000</v>
      </c>
      <c r="G26" s="29" t="n">
        <f aca="false">SUM(G22:G25)</f>
        <v>294900</v>
      </c>
      <c r="H26" s="28" t="n">
        <f aca="false">SUM(H22:H25)</f>
        <v>738</v>
      </c>
    </row>
    <row r="27" customFormat="false" ht="15" hidden="false" customHeight="false" outlineLevel="0" collapsed="false">
      <c r="B27" s="21" t="s">
        <v>159</v>
      </c>
      <c r="H27" s="28" t="n">
        <f aca="false">$C$6-H26</f>
        <v>462</v>
      </c>
    </row>
    <row r="29" customFormat="false" ht="15" hidden="false" customHeight="false" outlineLevel="0" collapsed="false">
      <c r="A29" s="17" t="s">
        <v>196</v>
      </c>
    </row>
    <row r="30" customFormat="false" ht="15" hidden="false" customHeight="false" outlineLevel="0" collapsed="false">
      <c r="B30" s="19" t="s">
        <v>197</v>
      </c>
      <c r="C30" s="30" t="n">
        <f aca="false">G17</f>
        <v>344700</v>
      </c>
    </row>
    <row r="31" customFormat="false" ht="15" hidden="false" customHeight="false" outlineLevel="0" collapsed="false">
      <c r="B31" s="19" t="s">
        <v>198</v>
      </c>
      <c r="C31" s="30" t="n">
        <f aca="false">G26</f>
        <v>294900</v>
      </c>
    </row>
    <row r="32" customFormat="false" ht="15" hidden="false" customHeight="false" outlineLevel="0" collapsed="false">
      <c r="B32" s="21" t="s">
        <v>165</v>
      </c>
      <c r="C32" s="29" t="n">
        <f aca="false">C30-C31</f>
        <v>49800</v>
      </c>
    </row>
    <row r="33" customFormat="false" ht="15" hidden="false" customHeight="false" outlineLevel="0" collapsed="false">
      <c r="B33" s="19" t="s">
        <v>199</v>
      </c>
      <c r="C33" s="26" t="n">
        <f aca="false">H18</f>
        <v>288</v>
      </c>
      <c r="I33" s="19" t="s">
        <v>200</v>
      </c>
    </row>
    <row r="35" customFormat="false" ht="15" hidden="false" customHeight="false" outlineLevel="0" collapsed="false">
      <c r="A35" s="17" t="s">
        <v>131</v>
      </c>
    </row>
    <row r="36" customFormat="false" ht="15" hidden="false" customHeight="false" outlineLevel="0" collapsed="false">
      <c r="B36" s="19" t="s">
        <v>201</v>
      </c>
      <c r="C36" s="31" t="str">
        <f aca="false">IF(AND(F17&lt;=$C$5+1,F26&lt;=$C$5+1),"OK — begge planene holder seg innenfor det grossisten kan levere","AVVIK: en av planene kjøper mer materiell enn rammen tillater")</f>
        <v>OK — begge planene holder seg innenfor det grossisten kan levere</v>
      </c>
    </row>
    <row r="37" customFormat="false" ht="15" hidden="false" customHeight="false" outlineLevel="0" collapsed="false">
      <c r="B37" s="19" t="s">
        <v>202</v>
      </c>
      <c r="C37" s="31" t="str">
        <f aca="false">IF(G17&gt;=G26,"OK — når materiellet er knapt, er det dekningsbidrag per materiellkrone som skal styre","AVVIK: sjekk rangeringen i kolonne I i arket Rangering")</f>
        <v>OK — når materiellet er knapt, er det dekningsbidrag per materiellkrone som skal styre</v>
      </c>
    </row>
    <row r="38" customFormat="false" ht="15" hidden="false" customHeight="false" outlineLevel="0" collapsed="false">
      <c r="B38" s="19" t="s">
        <v>203</v>
      </c>
      <c r="C38" s="31" t="str">
        <f aca="false">IF(H18&gt;0,"OK — det står montørtimer ubrukt, og det skal det: flaskehalsen er materiellet, ikke timene","AVVIK: begge ressursene er brukt opp — da er det to knappe faktorer, og metoden i kapittel 7 rekker ikke til")</f>
        <v>OK — det står montørtimer ubrukt, og det skal det: flaskehalsen er materiellet, ikke timene</v>
      </c>
    </row>
    <row r="40" customFormat="false" ht="15" hidden="false" customHeight="false" outlineLevel="0" collapsed="false">
      <c r="A40" s="16" t="s">
        <v>204</v>
      </c>
    </row>
  </sheetData>
  <conditionalFormatting sqref="C36">
    <cfRule type="expression" priority="2" aboveAverage="0" equalAverage="0" bottom="0" percent="0" rank="0" text="" dxfId="0">
      <formula>LEFT(C36,5)="AVVIK"</formula>
    </cfRule>
  </conditionalFormatting>
  <conditionalFormatting sqref="C37">
    <cfRule type="expression" priority="3" aboveAverage="0" equalAverage="0" bottom="0" percent="0" rank="0" text="" dxfId="0">
      <formula>LEFT(C37,5)="AVVIK"</formula>
    </cfRule>
  </conditionalFormatting>
  <conditionalFormatting sqref="C38">
    <cfRule type="expression" priority="4" aboveAverage="0" equalAverage="0" bottom="0" percent="0" rank="0" text="" dxfId="0">
      <formula>LEFT(C38,5)="AVVIK"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8"/>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205</v>
      </c>
    </row>
    <row r="2" customFormat="false" ht="15" hidden="false" customHeight="false" outlineLevel="0" collapsed="false">
      <c r="A2" s="15" t="s">
        <v>206</v>
      </c>
    </row>
    <row r="4" customFormat="false" ht="15" hidden="false" customHeight="false" outlineLevel="0" collapsed="false">
      <c r="A4" s="17" t="s">
        <v>207</v>
      </c>
    </row>
    <row r="5" customFormat="false" ht="15" hidden="false" customHeight="false" outlineLevel="0" collapsed="false">
      <c r="A5" s="19" t="s">
        <v>208</v>
      </c>
      <c r="B5" s="24" t="n">
        <v>3600</v>
      </c>
      <c r="E5" s="19" t="s">
        <v>209</v>
      </c>
    </row>
    <row r="6" customFormat="false" ht="15" hidden="false" customHeight="false" outlineLevel="0" collapsed="false">
      <c r="A6" s="19" t="s">
        <v>210</v>
      </c>
      <c r="B6" s="24" t="n">
        <v>14400</v>
      </c>
    </row>
    <row r="7" customFormat="false" ht="15" hidden="false" customHeight="false" outlineLevel="0" collapsed="false">
      <c r="A7" s="19" t="s">
        <v>211</v>
      </c>
      <c r="B7" s="35" t="n">
        <f aca="false">B5/B6</f>
        <v>0.25</v>
      </c>
    </row>
    <row r="9" customFormat="false" ht="27.75" hidden="false" customHeight="true" outlineLevel="0" collapsed="false">
      <c r="A9" s="22"/>
      <c r="B9" s="22" t="s">
        <v>212</v>
      </c>
      <c r="C9" s="22" t="s">
        <v>213</v>
      </c>
      <c r="D9" s="22"/>
      <c r="E9" s="22" t="s">
        <v>214</v>
      </c>
    </row>
    <row r="10" customFormat="false" ht="15" hidden="false" customHeight="false" outlineLevel="0" collapsed="false">
      <c r="A10" s="19" t="s">
        <v>104</v>
      </c>
      <c r="B10" s="20" t="str">
        <f aca="false">INDEX(Rangering!$A$6:$A$9,MATCH("Nybygg (prosjekt)",Rangering!$A$6:$A$9,0))</f>
        <v>Nybygg (prosjekt)</v>
      </c>
      <c r="C10" s="20" t="str">
        <f aca="false">INDEX(Rangering!$A$6:$A$9,MATCH("Ladepunkt",Rangering!$A$6:$A$9,0))</f>
        <v>Ladepunkt</v>
      </c>
    </row>
    <row r="11" customFormat="false" ht="15" hidden="false" customHeight="false" outlineLevel="0" collapsed="false">
      <c r="A11" s="19" t="s">
        <v>64</v>
      </c>
      <c r="B11" s="26" t="n">
        <f aca="false">INDEX(Rangering!$C$6:$C$9,MATCH(B10,Rangering!$A$6:$A$9,0))</f>
        <v>9</v>
      </c>
      <c r="C11" s="26" t="n">
        <f aca="false">INDEX(Rangering!$C$6:$C$9,MATCH(C10,Rangering!$A$6:$A$9,0))</f>
        <v>2</v>
      </c>
    </row>
    <row r="12" customFormat="false" ht="15" hidden="false" customHeight="false" outlineLevel="0" collapsed="false">
      <c r="A12" s="19" t="s">
        <v>61</v>
      </c>
      <c r="B12" s="30" t="n">
        <f aca="false">INDEX(Rangering!$B$6:$B$9,MATCH(B10,Rangering!$A$6:$A$9,0))</f>
        <v>2100</v>
      </c>
      <c r="C12" s="30" t="n">
        <f aca="false">INDEX(Rangering!$B$6:$B$9,MATCH(C10,Rangering!$A$6:$A$9,0))</f>
        <v>1050</v>
      </c>
    </row>
    <row r="13" customFormat="false" ht="15" hidden="false" customHeight="false" outlineLevel="0" collapsed="false">
      <c r="A13" s="19" t="s">
        <v>215</v>
      </c>
      <c r="B13" s="26" t="n">
        <f aca="false">INT($B$5/B11)</f>
        <v>400</v>
      </c>
      <c r="C13" s="26" t="n">
        <f aca="false">INT($B$5/C11)</f>
        <v>1800</v>
      </c>
    </row>
    <row r="14" customFormat="false" ht="15" hidden="false" customHeight="false" outlineLevel="0" collapsed="false">
      <c r="A14" s="19" t="s">
        <v>216</v>
      </c>
      <c r="B14" s="25" t="n">
        <f aca="false">B12/B11</f>
        <v>233.333333333333</v>
      </c>
      <c r="C14" s="25" t="n">
        <f aca="false">C12/C11</f>
        <v>525</v>
      </c>
    </row>
    <row r="15" customFormat="false" ht="15" hidden="false" customHeight="false" outlineLevel="0" collapsed="false">
      <c r="A15" s="21" t="s">
        <v>217</v>
      </c>
      <c r="B15" s="29" t="n">
        <f aca="false">B13*B12</f>
        <v>840000</v>
      </c>
      <c r="C15" s="29" t="n">
        <f aca="false">C13*C12</f>
        <v>1890000</v>
      </c>
    </row>
    <row r="16" customFormat="false" ht="15" hidden="false" customHeight="false" outlineLevel="0" collapsed="false">
      <c r="A16" s="21" t="s">
        <v>218</v>
      </c>
      <c r="C16" s="29" t="n">
        <f aca="false">C15-B15</f>
        <v>1050000</v>
      </c>
      <c r="E16" s="19" t="s">
        <v>219</v>
      </c>
    </row>
    <row r="17" customFormat="false" ht="15" hidden="false" customHeight="false" outlineLevel="0" collapsed="false">
      <c r="A17" s="19" t="s">
        <v>167</v>
      </c>
      <c r="B17" s="30" t="n">
        <f aca="false">Produktvalg!C33</f>
        <v>1344000</v>
      </c>
    </row>
    <row r="18" customFormat="false" ht="15" hidden="false" customHeight="false" outlineLevel="0" collapsed="false">
      <c r="A18" s="19" t="s">
        <v>168</v>
      </c>
      <c r="C18" s="34" t="n">
        <f aca="false">C16/B17</f>
        <v>0.78125</v>
      </c>
    </row>
    <row r="20" customFormat="false" ht="15" hidden="false" customHeight="false" outlineLevel="0" collapsed="false">
      <c r="A20" s="17" t="s">
        <v>220</v>
      </c>
    </row>
    <row r="21" customFormat="false" ht="15" hidden="false" customHeight="false" outlineLevel="0" collapsed="false">
      <c r="A21" s="19" t="s">
        <v>221</v>
      </c>
      <c r="B21" s="23" t="n">
        <v>8830</v>
      </c>
      <c r="E21" s="19" t="s">
        <v>222</v>
      </c>
    </row>
    <row r="22" customFormat="false" ht="15" hidden="false" customHeight="false" outlineLevel="0" collapsed="false">
      <c r="A22" s="19" t="s">
        <v>223</v>
      </c>
      <c r="B22" s="23" t="n">
        <v>7780</v>
      </c>
    </row>
    <row r="23" customFormat="false" ht="15" hidden="false" customHeight="false" outlineLevel="0" collapsed="false">
      <c r="A23" s="19" t="s">
        <v>224</v>
      </c>
      <c r="B23" s="29" t="n">
        <f aca="false">B21-B22</f>
        <v>1050</v>
      </c>
      <c r="E23" s="19" t="s">
        <v>225</v>
      </c>
    </row>
    <row r="24" customFormat="false" ht="15" hidden="false" customHeight="false" outlineLevel="0" collapsed="false">
      <c r="A24" s="19" t="s">
        <v>226</v>
      </c>
    </row>
    <row r="25" customFormat="false" ht="15" hidden="false" customHeight="false" outlineLevel="0" collapsed="false">
      <c r="A25" s="19" t="s">
        <v>227</v>
      </c>
      <c r="B25" s="23" t="n">
        <v>0</v>
      </c>
      <c r="E25" s="19" t="s">
        <v>228</v>
      </c>
    </row>
    <row r="26" customFormat="false" ht="15" hidden="false" customHeight="false" outlineLevel="0" collapsed="false">
      <c r="A26" s="19" t="s">
        <v>229</v>
      </c>
      <c r="B26" s="30" t="n">
        <f aca="false">B23-B25</f>
        <v>1050</v>
      </c>
    </row>
    <row r="27" customFormat="false" ht="15" hidden="false" customHeight="false" outlineLevel="0" collapsed="false">
      <c r="A27" s="19" t="s">
        <v>230</v>
      </c>
      <c r="B27" s="25" t="n">
        <f aca="false">B26/C11</f>
        <v>525</v>
      </c>
    </row>
    <row r="28" customFormat="false" ht="15" hidden="false" customHeight="false" outlineLevel="0" collapsed="false">
      <c r="A28" s="21" t="s">
        <v>231</v>
      </c>
      <c r="B28" s="25" t="n">
        <f aca="false">C12-B14*C11</f>
        <v>583.333333333333</v>
      </c>
      <c r="C28" s="34" t="n">
        <f aca="false">B28/B21</f>
        <v>0.0660626651566629</v>
      </c>
      <c r="E28" s="19" t="s">
        <v>232</v>
      </c>
    </row>
    <row r="29" customFormat="false" ht="15" hidden="false" customHeight="false" outlineLevel="0" collapsed="false">
      <c r="A29" s="19" t="s">
        <v>233</v>
      </c>
      <c r="B29" s="33" t="n">
        <f aca="false">B23</f>
        <v>1050</v>
      </c>
      <c r="C29" s="35" t="n">
        <f aca="false">B29/B21</f>
        <v>0.118912797281993</v>
      </c>
    </row>
    <row r="30" customFormat="false" ht="15" hidden="false" customHeight="false" outlineLevel="0" collapsed="false">
      <c r="A30" s="19" t="s">
        <v>234</v>
      </c>
      <c r="E30" s="36" t="str">
        <f aca="false">IF(B27&gt;B14,"Ladepunktet er fortsatt best per montørtime",IF(B26&lt;=0,"Dekningsbidraget er borte — si nei","Nybyggavtalen er nå best per montørtime"))</f>
        <v>Ladepunktet er fortsatt best per montørtime</v>
      </c>
    </row>
    <row r="32" customFormat="false" ht="15" hidden="false" customHeight="false" outlineLevel="0" collapsed="false">
      <c r="A32" s="17" t="s">
        <v>235</v>
      </c>
    </row>
    <row r="33" customFormat="false" ht="15" hidden="false" customHeight="false" outlineLevel="0" collapsed="false">
      <c r="A33" s="19" t="s">
        <v>236</v>
      </c>
      <c r="B33" s="37" t="n">
        <v>0.4</v>
      </c>
      <c r="E33" s="19" t="s">
        <v>237</v>
      </c>
    </row>
    <row r="34" customFormat="false" ht="15" hidden="false" customHeight="false" outlineLevel="0" collapsed="false">
      <c r="A34" s="19" t="s">
        <v>238</v>
      </c>
      <c r="B34" s="29" t="n">
        <f aca="false">C15*(1-B33)</f>
        <v>1134000</v>
      </c>
    </row>
    <row r="35" customFormat="false" ht="15" hidden="false" customHeight="false" outlineLevel="0" collapsed="false">
      <c r="A35" s="19" t="s">
        <v>239</v>
      </c>
      <c r="B35" s="26" t="n">
        <f aca="false">$B$5*B33</f>
        <v>1440</v>
      </c>
    </row>
    <row r="36" customFormat="false" ht="15" hidden="false" customHeight="false" outlineLevel="0" collapsed="false">
      <c r="A36" s="19" t="s">
        <v>240</v>
      </c>
      <c r="B36" s="29" t="n">
        <f aca="false">B34+B35*B14</f>
        <v>1470000</v>
      </c>
    </row>
    <row r="37" customFormat="false" ht="15" hidden="false" customHeight="false" outlineLevel="0" collapsed="false">
      <c r="A37" s="21" t="s">
        <v>241</v>
      </c>
      <c r="B37" s="34" t="n">
        <f aca="false">1-B15/C15</f>
        <v>0.555555555555556</v>
      </c>
      <c r="E37" s="19" t="s">
        <v>242</v>
      </c>
    </row>
    <row r="39" customFormat="false" ht="15" hidden="false" customHeight="false" outlineLevel="0" collapsed="false">
      <c r="A39" s="17" t="s">
        <v>131</v>
      </c>
    </row>
    <row r="40" customFormat="false" ht="15" hidden="false" customHeight="false" outlineLevel="0" collapsed="false">
      <c r="A40" s="19" t="s">
        <v>243</v>
      </c>
      <c r="B40" s="31" t="str">
        <f aca="false">IF(ABS(B23-C12)&lt;1,"OK — pris minus variabel enhetskostnad gir samme dekningsbidrag som oppdragstypen i arket Rangering","AVVIK: prisen eller enhetskostnaden i B21 og B22 stemmer ikke med dekningsbidraget i arket Rangering")</f>
        <v>OK — pris minus variabel enhetskostnad gir samme dekningsbidrag som oppdragstypen i arket Rangering</v>
      </c>
    </row>
    <row r="41" customFormat="false" ht="15" hidden="false" customHeight="false" outlineLevel="0" collapsed="false">
      <c r="A41" s="19" t="s">
        <v>244</v>
      </c>
      <c r="B41" s="31" t="str">
        <f aca="false">IF(AND(B13*B11&lt;=B5,C13*C11&lt;=B5),"OK — begge avtalene holder seg innenfor de timene som er satt av","AVVIK: en av avtalene krever flere timer enn B5")</f>
        <v>OK — begge avtalene holder seg innenfor de timene som er satt av</v>
      </c>
    </row>
    <row r="42" customFormat="false" ht="15" hidden="false" customHeight="false" outlineLevel="0" collapsed="false">
      <c r="A42" s="19" t="s">
        <v>245</v>
      </c>
      <c r="B42" s="31" t="str">
        <f aca="false">IF(B34&gt;B15,"OK — selv med denne svikten, og selv om de ledige timene står helt ubrukt, gir ladeavtalen mest","AVVIK: med denne svikten er nybyggavtalen best — da er volumrisikoen det avgjørende, ikke prisen")</f>
        <v>OK — selv med denne svikten, og selv om de ledige timene står helt ubrukt, gir ladeavtalen mest</v>
      </c>
    </row>
    <row r="44" customFormat="false" ht="15" hidden="false" customHeight="false" outlineLevel="0" collapsed="false">
      <c r="A44" s="21" t="s">
        <v>246</v>
      </c>
    </row>
    <row r="45" customFormat="false" ht="15" hidden="false" customHeight="false" outlineLevel="0" collapsed="false">
      <c r="A45" s="16" t="s">
        <v>247</v>
      </c>
    </row>
  </sheetData>
  <conditionalFormatting sqref="B40">
    <cfRule type="expression" priority="2" aboveAverage="0" equalAverage="0" bottom="0" percent="0" rank="0" text="" dxfId="0">
      <formula>LEFT(B40,5)="AVVIK"</formula>
    </cfRule>
  </conditionalFormatting>
  <conditionalFormatting sqref="B41">
    <cfRule type="expression" priority="3" aboveAverage="0" equalAverage="0" bottom="0" percent="0" rank="0" text="" dxfId="0">
      <formula>LEFT(B41,5)="AVVIK"</formula>
    </cfRule>
  </conditionalFormatting>
  <conditionalFormatting sqref="B42">
    <cfRule type="expression" priority="4" aboveAverage="0" equalAverage="0" bottom="0" percent="0" rank="0" text="" dxfId="0">
      <formula>LEFT(B42,5)="AVVIK"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2"/>
    <col collapsed="false" customWidth="true" hidden="false" outlineLevel="0" max="5" min="4" style="0" width="14"/>
    <col collapsed="false" customWidth="true" hidden="false" outlineLevel="0" max="6" min="6" style="0" width="16"/>
    <col collapsed="false" customWidth="true" hidden="false" outlineLevel="0" max="7" min="7" style="0" width="8"/>
    <col collapsed="false" customWidth="true" hidden="false" outlineLevel="0" max="8" min="8" style="0" width="18"/>
    <col collapsed="false" customWidth="true" hidden="false" outlineLevel="0" max="9" min="9" style="0" width="8"/>
    <col collapsed="false" customWidth="true" hidden="false" outlineLevel="0" max="10" min="10" style="0" width="44"/>
  </cols>
  <sheetData>
    <row r="1" customFormat="false" ht="17.35" hidden="false" customHeight="false" outlineLevel="0" collapsed="false">
      <c r="A1" s="1" t="s">
        <v>248</v>
      </c>
    </row>
    <row r="2" customFormat="false" ht="15" hidden="false" customHeight="false" outlineLevel="0" collapsed="false">
      <c r="A2" s="15" t="s">
        <v>249</v>
      </c>
    </row>
    <row r="5" customFormat="false" ht="27.75" hidden="false" customHeight="true" outlineLevel="0" collapsed="false">
      <c r="A5" s="22" t="s">
        <v>104</v>
      </c>
      <c r="B5" s="22" t="s">
        <v>105</v>
      </c>
      <c r="C5" s="22" t="s">
        <v>140</v>
      </c>
      <c r="D5" s="22" t="s">
        <v>107</v>
      </c>
      <c r="E5" s="22" t="s">
        <v>150</v>
      </c>
      <c r="F5" s="22" t="s">
        <v>250</v>
      </c>
      <c r="G5" s="22" t="s">
        <v>109</v>
      </c>
      <c r="H5" s="22" t="s">
        <v>110</v>
      </c>
      <c r="I5" s="22" t="s">
        <v>109</v>
      </c>
      <c r="J5" s="22" t="s">
        <v>251</v>
      </c>
    </row>
    <row r="6" customFormat="false" ht="15" hidden="false" customHeight="false" outlineLevel="0" collapsed="false">
      <c r="A6" s="18"/>
      <c r="B6" s="23" t="n">
        <v>0</v>
      </c>
      <c r="C6" s="38" t="n">
        <v>0</v>
      </c>
      <c r="D6" s="23" t="n">
        <v>0</v>
      </c>
      <c r="E6" s="24" t="n">
        <v>0</v>
      </c>
      <c r="F6" s="33" t="str">
        <f aca="false">IF(C6=0,"",B6/C6)</f>
        <v/>
      </c>
      <c r="G6" s="26" t="str">
        <f aca="false">IF(C6=0,"",RANK(F6,$F$6:$F$10))</f>
        <v/>
      </c>
      <c r="H6" s="27" t="str">
        <f aca="false">IF(D6=0,"",B6/D6)</f>
        <v/>
      </c>
      <c r="I6" s="26" t="str">
        <f aca="false">IF(D6=0,"",RANK(H6,$H$6:$H$10))</f>
        <v/>
      </c>
      <c r="J6" s="18"/>
    </row>
    <row r="7" customFormat="false" ht="15" hidden="false" customHeight="false" outlineLevel="0" collapsed="false">
      <c r="A7" s="18"/>
      <c r="B7" s="23" t="n">
        <v>0</v>
      </c>
      <c r="C7" s="38" t="n">
        <v>0</v>
      </c>
      <c r="D7" s="23" t="n">
        <v>0</v>
      </c>
      <c r="E7" s="24" t="n">
        <v>0</v>
      </c>
      <c r="F7" s="33" t="str">
        <f aca="false">IF(C7=0,"",B7/C7)</f>
        <v/>
      </c>
      <c r="G7" s="26" t="str">
        <f aca="false">IF(C7=0,"",RANK(F7,$F$6:$F$10))</f>
        <v/>
      </c>
      <c r="H7" s="27" t="str">
        <f aca="false">IF(D7=0,"",B7/D7)</f>
        <v/>
      </c>
      <c r="I7" s="26" t="str">
        <f aca="false">IF(D7=0,"",RANK(H7,$H$6:$H$10))</f>
        <v/>
      </c>
      <c r="J7" s="18"/>
    </row>
    <row r="8" customFormat="false" ht="15" hidden="false" customHeight="false" outlineLevel="0" collapsed="false">
      <c r="A8" s="18"/>
      <c r="B8" s="23" t="n">
        <v>0</v>
      </c>
      <c r="C8" s="38" t="n">
        <v>0</v>
      </c>
      <c r="D8" s="23" t="n">
        <v>0</v>
      </c>
      <c r="E8" s="24" t="n">
        <v>0</v>
      </c>
      <c r="F8" s="33" t="str">
        <f aca="false">IF(C8=0,"",B8/C8)</f>
        <v/>
      </c>
      <c r="G8" s="26" t="str">
        <f aca="false">IF(C8=0,"",RANK(F8,$F$6:$F$10))</f>
        <v/>
      </c>
      <c r="H8" s="27" t="str">
        <f aca="false">IF(D8=0,"",B8/D8)</f>
        <v/>
      </c>
      <c r="I8" s="26" t="str">
        <f aca="false">IF(D8=0,"",RANK(H8,$H$6:$H$10))</f>
        <v/>
      </c>
      <c r="J8" s="18"/>
    </row>
    <row r="9" customFormat="false" ht="15" hidden="false" customHeight="false" outlineLevel="0" collapsed="false">
      <c r="A9" s="18"/>
      <c r="B9" s="23" t="n">
        <v>0</v>
      </c>
      <c r="C9" s="38" t="n">
        <v>0</v>
      </c>
      <c r="D9" s="23" t="n">
        <v>0</v>
      </c>
      <c r="E9" s="24" t="n">
        <v>0</v>
      </c>
      <c r="F9" s="33" t="str">
        <f aca="false">IF(C9=0,"",B9/C9)</f>
        <v/>
      </c>
      <c r="G9" s="26" t="str">
        <f aca="false">IF(C9=0,"",RANK(F9,$F$6:$F$10))</f>
        <v/>
      </c>
      <c r="H9" s="27" t="str">
        <f aca="false">IF(D9=0,"",B9/D9)</f>
        <v/>
      </c>
      <c r="I9" s="26" t="str">
        <f aca="false">IF(D9=0,"",RANK(H9,$H$6:$H$10))</f>
        <v/>
      </c>
      <c r="J9" s="18"/>
    </row>
    <row r="10" customFormat="false" ht="15" hidden="false" customHeight="false" outlineLevel="0" collapsed="false">
      <c r="A10" s="18"/>
      <c r="B10" s="23" t="n">
        <v>0</v>
      </c>
      <c r="C10" s="38" t="n">
        <v>0</v>
      </c>
      <c r="D10" s="23" t="n">
        <v>0</v>
      </c>
      <c r="E10" s="24" t="n">
        <v>0</v>
      </c>
      <c r="F10" s="33" t="str">
        <f aca="false">IF(C10=0,"",B10/C10)</f>
        <v/>
      </c>
      <c r="G10" s="26" t="str">
        <f aca="false">IF(C10=0,"",RANK(F10,$F$6:$F$10))</f>
        <v/>
      </c>
      <c r="H10" s="27" t="str">
        <f aca="false">IF(D10=0,"",B10/D10)</f>
        <v/>
      </c>
      <c r="I10" s="26" t="str">
        <f aca="false">IF(D10=0,"",RANK(H10,$H$6:$H$10))</f>
        <v/>
      </c>
      <c r="J10" s="18"/>
    </row>
    <row r="12" customFormat="false" ht="15" hidden="false" customHeight="false" outlineLevel="0" collapsed="false">
      <c r="A12" s="19" t="s">
        <v>252</v>
      </c>
      <c r="B12" s="24" t="n">
        <v>0</v>
      </c>
    </row>
    <row r="13" customFormat="false" ht="15" hidden="false" customHeight="false" outlineLevel="0" collapsed="false">
      <c r="A13" s="19" t="s">
        <v>253</v>
      </c>
      <c r="B13" s="26" t="n">
        <f aca="false">SUMPRODUCT(C6:C10,E6:E10)</f>
        <v>0</v>
      </c>
    </row>
    <row r="14" customFormat="false" ht="15" hidden="false" customHeight="false" outlineLevel="0" collapsed="false">
      <c r="A14" s="19" t="s">
        <v>254</v>
      </c>
      <c r="B14" s="28" t="n">
        <f aca="false">B13-B12</f>
        <v>0</v>
      </c>
    </row>
    <row r="15" customFormat="false" ht="15" hidden="false" customHeight="false" outlineLevel="0" collapsed="false">
      <c r="A15" s="19" t="s">
        <v>255</v>
      </c>
      <c r="J15" s="36" t="str">
        <f aca="false">IF(B12=0,"Fyll inn kapasiteten i B12",IF(B14&gt;0,"Ja — det er flere forespørsler enn timer. Følg rangeringen i kolonne G","Nei — det er timer nok til alle. Ta alt som gir positivt dekningsbidrag"))</f>
        <v>Fyll inn kapasiteten i B12</v>
      </c>
    </row>
    <row r="17" customFormat="false" ht="15" hidden="false" customHeight="false" outlineLevel="0" collapsed="false">
      <c r="A17" s="17" t="s">
        <v>131</v>
      </c>
    </row>
    <row r="18" customFormat="false" ht="15" hidden="false" customHeight="false" outlineLevel="0" collapsed="false">
      <c r="A18" s="19" t="s">
        <v>256</v>
      </c>
      <c r="B18" s="31" t="str">
        <f aca="false">IF(SUM(B6:B10)=0,"AVVIK: fyll inn dekningsbidrag og timer for dine egne oppdragstyper","OK — arket rangerer dine egne oppdragstyper")</f>
        <v>AVVIK: fyll inn dekningsbidrag og timer for dine egne oppdragstyper</v>
      </c>
    </row>
    <row r="19" customFormat="false" ht="15" hidden="false" customHeight="false" outlineLevel="0" collapsed="false">
      <c r="A19" s="16" t="s">
        <v>257</v>
      </c>
    </row>
    <row r="20" customFormat="false" ht="15" hidden="false" customHeight="false" outlineLevel="0" collapsed="false">
      <c r="A20" s="19" t="s">
        <v>133</v>
      </c>
      <c r="B20" s="31" t="str">
        <f aca="false">IF(SUM(B6:B10)=0,"OK — ingen tall lagt inn ennå",IF(MIN(B6:B10)&gt;=0,"OK — alle oppdragstyper gir positivt dekningsbidrag","AVVIK: en oppdragstype med negativt dekningsbidrag skal droppes, ikke rangeres"))</f>
        <v>OK — ingen tall lagt inn ennå</v>
      </c>
    </row>
    <row r="22" customFormat="false" ht="15" hidden="false" customHeight="false" outlineLevel="0" collapsed="false">
      <c r="A22" s="16" t="s">
        <v>258</v>
      </c>
    </row>
  </sheetData>
  <conditionalFormatting sqref="B18">
    <cfRule type="expression" priority="2" aboveAverage="0" equalAverage="0" bottom="0" percent="0" rank="0" text="" dxfId="0">
      <formula>LEFT(B18,5)="AVVIK"</formula>
    </cfRule>
  </conditionalFormatting>
  <conditionalFormatting sqref="B20">
    <cfRule type="expression" priority="3" aboveAverage="0" equalAverage="0" bottom="0" percent="0" rank="0" text="" dxfId="0">
      <formula>LEFT(B20,5)="AVVIK"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2026-09-11T09:29:42Z</dcterms:created>
  <dc:creator>openpyxl</dc:creator>
  <dc:description/>
  <dc:language>en-US</dc:language>
  <cp:lastModifiedBy/>
  <dcterms:modified xsi:type="dcterms:W3CDTF">2026-10-07T06:03:38Z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