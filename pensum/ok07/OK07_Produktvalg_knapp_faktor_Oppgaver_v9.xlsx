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 sheetId="1" state="visible" r:id="rId1"/>
    <sheet xmlns:r="http://schemas.openxmlformats.org/officeDocument/2006/relationships" name="1A" sheetId="2" state="visible" r:id="rId2"/>
    <sheet xmlns:r="http://schemas.openxmlformats.org/officeDocument/2006/relationships" name="1B" sheetId="3" state="visible" r:id="rId3"/>
    <sheet xmlns:r="http://schemas.openxmlformats.org/officeDocument/2006/relationships" name="1C" sheetId="4" state="visible" r:id="rId4"/>
    <sheet xmlns:r="http://schemas.openxmlformats.org/officeDocument/2006/relationships" name="Fasit"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mbria"/>
      <b val="1"/>
      <color rgb="002F4A6D"/>
      <sz val="16"/>
    </font>
    <font>
      <name val="Calibri"/>
      <sz val="11"/>
    </font>
    <font>
      <name val="Calibri"/>
      <b val="1"/>
      <sz val="11"/>
    </font>
    <font>
      <name val="Calibri"/>
      <i val="1"/>
      <color rgb="00595959"/>
      <sz val="10"/>
    </font>
    <font>
      <name val="Calibri"/>
      <b val="1"/>
      <color rgb="00FFFFFF"/>
      <sz val="11"/>
    </font>
    <font>
      <name val="Calibri"/>
      <sz val="10.5"/>
    </font>
    <font>
      <name val="Calibri"/>
      <i val="1"/>
      <color rgb="002F4A6D"/>
      <sz val="10.5"/>
    </font>
  </fonts>
  <fills count="6">
    <fill>
      <patternFill/>
    </fill>
    <fill>
      <patternFill patternType="gray125"/>
    </fill>
    <fill>
      <patternFill patternType="solid">
        <fgColor rgb="00DDEBF7"/>
      </patternFill>
    </fill>
    <fill>
      <patternFill patternType="solid">
        <fgColor rgb="002F4A6D"/>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0" fillId="0" borderId="1" pivotButton="0" quotePrefix="0" xfId="0"/>
    <xf numFmtId="3" fontId="0" fillId="0" borderId="1" applyAlignment="1" pivotButton="0" quotePrefix="0" xfId="0">
      <alignment horizontal="right" vertical="center"/>
    </xf>
    <xf numFmtId="0" fontId="0" fillId="0" borderId="0" applyAlignment="1" pivotButton="0" quotePrefix="0" xfId="0">
      <alignment vertical="top" wrapText="1"/>
    </xf>
    <xf numFmtId="3" fontId="0" fillId="4" borderId="1" applyAlignment="1" pivotButton="0" quotePrefix="0" xfId="0">
      <alignment horizontal="right" vertical="center"/>
    </xf>
    <xf numFmtId="0" fontId="4" fillId="0" borderId="0" pivotButton="0" quotePrefix="0" xfId="0"/>
    <xf numFmtId="0" fontId="6" fillId="0" borderId="0" applyAlignment="1" pivotButton="0" quotePrefix="0" xfId="0">
      <alignment vertical="top" wrapText="1"/>
    </xf>
    <xf numFmtId="0" fontId="0" fillId="4" borderId="1" pivotButton="0" quotePrefix="0" xfId="0"/>
    <xf numFmtId="0" fontId="0" fillId="4" borderId="1" applyAlignment="1" pivotButton="0" quotePrefix="0" xfId="0">
      <alignment vertical="top" wrapText="1"/>
    </xf>
    <xf numFmtId="0" fontId="7" fillId="0" borderId="0" applyAlignment="1" pivotButton="0" quotePrefix="0" xfId="0">
      <alignment vertical="top" wrapText="1"/>
    </xf>
    <xf numFmtId="0" fontId="3" fillId="0" borderId="0" pivotButton="0" quotePrefix="0" xfId="0"/>
    <xf numFmtId="0" fontId="0" fillId="2" borderId="0" applyAlignment="1" pivotButton="0" quotePrefix="0" xfId="0">
      <alignment vertical="top" wrapText="1"/>
    </xf>
    <xf numFmtId="3" fontId="0" fillId="5" borderId="1" applyAlignment="1" pivotButton="0" quotePrefix="0" xfId="0">
      <alignment horizontal="right" vertical="center"/>
    </xf>
    <xf numFmtId="0" fontId="1" fillId="0" borderId="0" pivotButton="0" quotePrefix="0" xfId="0"/>
    <xf numFmtId="0" fontId="5" fillId="3" borderId="1" pivotButton="0" quotePrefix="0" xfId="0"/>
    <xf numFmtId="0" fontId="0" fillId="0" borderId="1" applyAlignment="1" pivotButton="0" quotePrefix="0" xfId="0">
      <alignment vertical="top" wrapText="1"/>
    </xf>
  </cellXfs>
  <cellStyles count="1">
    <cellStyle name="Normal" xfId="0" builtinId="0" hidden="0"/>
  </cellStyles>
  <dxfs count="3">
    <dxf>
      <fill>
        <patternFill patternType="solid">
          <fgColor rgb="00E2EFDA"/>
        </patternFill>
      </fill>
    </dxf>
    <dxf>
      <fill>
        <patternFill patternType="solid">
          <fgColor rgb="00FFE699"/>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18"/>
  <sheetViews>
    <sheetView workbookViewId="0">
      <selection activeCell="A1" sqref="A1"/>
    </sheetView>
  </sheetViews>
  <sheetFormatPr baseColWidth="8" defaultRowHeight="15"/>
  <cols>
    <col width="3" customWidth="1" min="1" max="1"/>
    <col width="110" customWidth="1" min="2" max="2"/>
  </cols>
  <sheetData>
    <row r="2" ht="26" customHeight="1">
      <c r="B2" s="1" t="inlineStr">
        <is>
          <t>Produktvalg med én knapp faktor: oppgaver til kapittel 7</t>
        </is>
      </c>
    </row>
    <row r="3" ht="30" customHeight="1">
      <c r="B3" s="2" t="inlineStr">
        <is>
          <t>Økonomistyring for LØM-emnet (Hjertnes og Skorpen), kapittel 7. Versjon 9, november 2026. Nordlys Elektro AS og Fjell Elektro AS er konstruerte casebedrifter; tallene er faktaarkene.</t>
        </is>
      </c>
    </row>
    <row r="5" ht="15" customHeight="1">
      <c r="B5" s="3" t="inlineStr">
        <is>
          <t>Slik bruker du arbeidsboka</t>
        </is>
      </c>
    </row>
    <row r="6" ht="45" customHeight="1">
      <c r="B6" s="2" t="inlineStr">
        <is>
          <t>Hver fane er én oppgave. Øverst på fanen står situasjonen, så begrepene og tallene du trenger, så oppgaven trinn for trinn, og til slutt svarfeltene. Alt du trenger for å løse oppgaven, står på fanen. Du kan jobbe alene, i par eller i gruppe; det velger du selv.</t>
        </is>
      </c>
    </row>
    <row r="7" ht="30" customHeight="1">
      <c r="B7" s="2" t="inlineStr">
        <is>
          <t>Fargene forteller hva du skal gjøre. Gule celler fyller du inn selv. Hvite celler er tall som er gitt. Grønne celler regner arket ut for deg, og dem skal du ikke endre.</t>
        </is>
      </c>
    </row>
    <row r="8" ht="45" customHeight="1">
      <c r="B8" s="4" t="inlineStr">
        <is>
          <t>Du trenger ingen kalkulator. Regn i Excel: skriv likhetstegn og regnestykket rett i den gule cellen, for eksempel =2100000/7300, og trykk Enter. Arket godtar svaret med eller uten desimaler, og du trenger ikke runde av selv. Prosent kan skrives som 25,9 %, 0,259 eller 25,9.</t>
        </is>
      </c>
    </row>
    <row r="9" ht="45" customHeight="1">
      <c r="B9" s="2" t="inlineStr">
        <is>
          <t>Ved siden av hvert svarfelt står en sjekk. Grønn betyr riktig, og da står regnestykket der, så du ser hvorfor. Rød betyr ikke riktig ennå: sjekken sier om svaret er for høyt eller for lavt, hva som sannsynligvis gikk galt, og hva du bør se på. Den gir ikke svaret.</t>
        </is>
      </c>
    </row>
    <row r="10" ht="30" customHeight="1">
      <c r="B10" s="2" t="inlineStr">
        <is>
          <t>Står du helt fast, skriver du JA i cellen «Står du fast?» på fanen. Da kommer regnestykket fram med ord. Fasiten med alle tall og utregninger ligger på den siste fanen, «Fasit». Prøv oppgaven selv før du ser der.</t>
        </is>
      </c>
    </row>
    <row r="12" ht="15" customHeight="1">
      <c r="B12" s="3" t="inlineStr">
        <is>
          <t>Fanene</t>
        </is>
      </c>
    </row>
    <row r="13" ht="15" customHeight="1">
      <c r="B13" s="2" t="inlineStr">
        <is>
          <t>1A  Nordlys' fire oppdragstyper: hvem får montørtimene?</t>
        </is>
      </c>
    </row>
    <row r="14" ht="15" customHeight="1">
      <c r="B14" s="2" t="inlineStr">
        <is>
          <t>1B  April hos Nordlys: 1 080 timer og forespørsler for 1 224</t>
        </is>
      </c>
    </row>
    <row r="15" ht="15" customHeight="1">
      <c r="B15" s="2" t="inlineStr">
        <is>
          <t>1C  Fjell Elektro i mai: 250 timer, forespørsler for 390</t>
        </is>
      </c>
    </row>
    <row r="16" ht="15" customHeight="1">
      <c r="B16" s="2" t="inlineStr">
        <is>
          <t>Fasit  Alle svar med regnestykket skrevet ut</t>
        </is>
      </c>
    </row>
    <row r="18" ht="30" customHeight="1">
      <c r="B18" s="5" t="inlineStr">
        <is>
          <t>Dette er øvingsmateriell til repetisjons- og øvingsstøtte. I besvarelser, caser, prosjektoppgaver og eksamen gjelder lærebøkene og oppgitte primærkilder.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Z37"/>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Ladepunkt</t>
        </is>
      </c>
    </row>
    <row r="2" ht="26" customHeight="1">
      <c r="B2" s="1" t="inlineStr">
        <is>
          <t>Oppgave 1A: Nordlys' fire oppdragstyper: hvem får montørtimene?</t>
        </is>
      </c>
      <c r="Z2" t="inlineStr">
        <is>
          <t>Solcelleanlegg</t>
        </is>
      </c>
    </row>
    <row r="3" ht="15" customHeight="1">
      <c r="B3" s="5" t="inlineStr">
        <is>
          <t>Alene, i par eller i gruppe, slik du vil.</t>
        </is>
      </c>
      <c r="Z3" t="inlineStr">
        <is>
          <t>Serviceoppdrag</t>
        </is>
      </c>
    </row>
    <row r="4" ht="16" customHeight="1">
      <c r="B4" s="3" t="inlineStr">
        <is>
          <t>Situasjonen</t>
        </is>
      </c>
      <c r="Z4" t="inlineStr">
        <is>
          <t>Garasje</t>
        </is>
      </c>
    </row>
    <row r="5" ht="45" customHeight="1">
      <c r="B5" s="2" t="inlineStr">
        <is>
          <t>Ronny Fjeld er formann hos Nordlys Elektro og fordeler montørene hver uke. Fire oppdragstyper konkurrerer om de samme montørene: ladepunkt, solcelleanlegg, serviceoppdrag i næringsbygg og nye garasjer med bod for Haugerud Bygg AS. Ordreboka er full, så montørtimene er den knappe faktoren. Ronny vil ta garasjene før ladepunktene, fordi de gir mest per jobb.</t>
        </is>
      </c>
      <c r="Z5" t="inlineStr">
        <is>
          <t>Ladepunkt</t>
        </is>
      </c>
    </row>
    <row r="6" ht="16" customHeight="1">
      <c r="B6" s="3" t="inlineStr">
        <is>
          <t>Begrepene du trenger</t>
        </is>
      </c>
      <c r="Z6" t="inlineStr">
        <is>
          <t>Solcelleanlegg</t>
        </is>
      </c>
    </row>
    <row r="7" ht="60" customHeight="1">
      <c r="B7" s="2" t="inlineStr">
        <is>
          <t>Dekningsbidrag er pris minus kostnadene som følger jobben (materiell og timene i kalkylen): det jobben gir til husleie, kontor og alt annet som løper uansett. Knapp faktor (flaskehals) er det bedriften har for lite av akkurat nå. Dekningsbidrag per enhet av den knappe faktoren = dekningsbidrag per oppdrag / forbruk av den knappe faktoren per oppdrag. Den som gir mest per montørtime, får timene først.</t>
        </is>
      </c>
      <c r="Z7" t="inlineStr">
        <is>
          <t>Serviceoppdrag</t>
        </is>
      </c>
    </row>
    <row r="8">
      <c r="Z8" t="inlineStr">
        <is>
          <t>Garasje</t>
        </is>
      </c>
    </row>
    <row r="9" ht="16" customHeight="1">
      <c r="B9" s="3" t="inlineStr">
        <is>
          <t>Tallene</t>
        </is>
      </c>
    </row>
    <row r="10" ht="75" customHeight="1">
      <c r="B10" s="2" t="inlineStr">
        <is>
          <t>Nordlys priser som resten av bransjen: 890 kr per montørtime og 20 % påslag på innkjøpsprisen for materiellet, alt uten merverdiavgift. Et ladepunkt i en enebolig tar 2 montørtimer og 6 500 kr i ladeboks og materiell, og kalkulatør Ida regner 640 kr per montørtime i lønnskostnad. De tre andre oppdragstypene står i tabellen med dekningsbidrag per oppdrag og montørtimer per oppdrag. Garasjene er elektroarbeid i nye garasjer med bod for Haugerud Bygg AS, ett tilbud per garasje, til fastpris etter anbud (60 000 kr per garasje, 8 500 kr under Nordlys' vanlige pris).</t>
        </is>
      </c>
    </row>
    <row r="11">
      <c r="B11" s="6" t="inlineStr">
        <is>
          <t>Oppdragstype</t>
        </is>
      </c>
      <c r="C11" s="7" t="inlineStr">
        <is>
          <t>Dekningsbidrag per oppdrag, kr</t>
        </is>
      </c>
      <c r="D11" s="7" t="inlineStr">
        <is>
          <t>Montørtimer per oppdrag</t>
        </is>
      </c>
    </row>
    <row r="12">
      <c r="B12" s="8" t="inlineStr">
        <is>
          <t>Ladepunkt (regnes i a)</t>
        </is>
      </c>
      <c r="C12" s="9" t="n">
        <v>1800</v>
      </c>
      <c r="D12" s="9" t="n">
        <v>2</v>
      </c>
    </row>
    <row r="13">
      <c r="B13" s="8" t="inlineStr">
        <is>
          <t>Solcelleanlegg</t>
        </is>
      </c>
      <c r="C13" s="9" t="n">
        <v>11100</v>
      </c>
      <c r="D13" s="9" t="n">
        <v>14</v>
      </c>
    </row>
    <row r="14">
      <c r="B14" s="8" t="inlineStr">
        <is>
          <t>Serviceoppdrag, næringsbygg</t>
        </is>
      </c>
      <c r="C14" s="9" t="n">
        <v>1900</v>
      </c>
      <c r="D14" s="9" t="n">
        <v>6</v>
      </c>
    </row>
    <row r="15">
      <c r="B15" s="8" t="inlineStr">
        <is>
          <t>Ny garasje (fastpris)</t>
        </is>
      </c>
      <c r="C15" s="9" t="n">
        <v>8000</v>
      </c>
      <c r="D15" s="9" t="n">
        <v>50</v>
      </c>
    </row>
    <row r="16"/>
    <row r="17" ht="16" customHeight="1">
      <c r="B17" s="3" t="inlineStr">
        <is>
          <t>Oppgaven, trinn for trinn</t>
        </is>
      </c>
    </row>
    <row r="18" ht="45" customHeight="1">
      <c r="B18" s="2" t="inlineStr">
        <is>
          <t>1. Regn dekningsbidraget for ett ladepunkt: pris (timer × 890 + materiell × 1,20) minus ladeboks og materiell minus montørtimene (a).
2. Del dekningsbidraget på timene for hver av de fire typene, og rund til hele kroner (b til e).
3. Velg hvilken type som får timene først og hvilken som får dem sist (f og g).
4. Svar Ronny i h.</t>
        </is>
      </c>
    </row>
    <row r="19"/>
    <row r="20" ht="48" customHeight="1">
      <c r="B20" s="10" t="inlineStr">
        <is>
          <t>a) Dekningsbidrag for ett ladepunkt: (2 × 890 + 6 500 × 1,20) − 6 500 − 2 × 640</t>
        </is>
      </c>
      <c r="C20" s="11" t="n"/>
      <c r="D20" s="12" t="inlineStr">
        <is>
          <t>kr</t>
        </is>
      </c>
      <c r="G20" s="13">
        <f>IF(C20="","Skriv svaret i den gule cellen.",IF(ISTEXT(C20),"Skriv bare tallet, uten mellomrom, enhet eller tekst. Enheten står ved siden av cellen. Du kan også skrive regnestykket med likhetstegn foran, for eksempel =2100000/7300.",IF(ABS(C20-((2*890+6500*1.2)-6500-2*640))&lt;=0.99,"Riktig. (2 × 890 + 6 500 × 1,20) − 6 500 − 2 × 640 = 9 580 − 6 500 − 1 280 = 1 800 kr.",IF(ABS(C20-((2*890+6500*1.2)-6500))&lt;=0.99,"Du har glemt montørtimene, 2 × 640 = 1 280 kr. I kalkylen er timene på jobben en kostnad.",IF(ABS(C20-((2*890+6500*1.2)-2*640))&lt;=0.99,"Du har glemt ladeboksen og materiellet, 6 500 kr til innkjøpspris.",IF(ABS(C20-((2*890+6500*1.2)-6500*1.2-2*640))&lt;=0.99,"Du har trukket fra materiellet med påslag, eller bare tatt med timene. Prisen er 9 580; trekk fra innkjøpsprisen 6 500 og timene 1 280. Påslaget på 1 300 kr er en del av dekningsbidraget.",IF(IFERROR(AND(C20&lt;&gt;0,((2*890+6500*1.2)-6500-2*640)&lt;&gt;0,ROUND(LOG10(ABS(C20/((2*890+6500*1.2)-6500-2*640))),0)&lt;&gt;0,ABS(LOG10(ABS(C20/((2*890+6500*1.2)-6500-2*640)))-ROUND(LOG10(ABS(C20/((2*890+6500*1.2)-6500-2*640))),0))&lt;0.004),FALSE),"Sifrene stemmer, men antall nuller eller plasseringen av kommaet er feil. Sjekk om du har regnet i kroner, tusen kroner eller prosent.",IF(ABS(C20-((2*890+6500*1.2)-6500-2*640))&lt;=MAX(0.99,0.01*ABS((2*890+6500*1.2)-6500-2*640)),"Riktig. (2 × 890 + 6 500 × 1,20) − 6 500 − 2 × 640 = 9 580 − 6 500 − 1 280 = 1 800 kr. Svaret ditt ligger litt fra arkets tall fordi du har rundet av underveis. Det er helt greit.",IF(C20&gt;((2*890+6500*1.2)-6500-2*640),"Ikke riktig ennå. Svaret ditt er for høyt. Tips: Regnestykket er (2 × 890 + 6 500 × 1,20) − 6 500 − 2 × 640.","Ikke riktig ennå. Svaret ditt er for lavt. Tips: Regnestykket er (2 × 890 + 6 500 × 1,20) − 6 500 − 2 × 640.")))))))))</f>
        <v/>
      </c>
    </row>
    <row r="21" ht="48" customHeight="1">
      <c r="B21" s="10" t="inlineStr">
        <is>
          <t>b) Dekningsbidrag per montørtime, ladepunkt (hele kroner)</t>
        </is>
      </c>
      <c r="C21" s="11" t="n"/>
      <c r="D21" s="12" t="inlineStr">
        <is>
          <t>kr per time</t>
        </is>
      </c>
      <c r="G21" s="13">
        <f>IF(C21="","Skriv svaret i den gule cellen.",IF(ISTEXT(C21),"Skriv bare tallet, uten mellomrom, enhet eller tekst. Enheten står ved siden av cellen. Du kan også skrive regnestykket med likhetstegn foran, for eksempel =2100000/7300.",IF(ABS(C21-(ROUND(1800/2,0)))&lt;=1,"Riktig. 1 800 / 2 = 900 kr.",IF(ABS(C21-(ROUND(2/1800,2)))&lt;=1,"Du har delt motsatt vei. Dekningsbidraget skal deles på timene.",IF(IFERROR(AND(C21&lt;&gt;0,(ROUND(1800/2,0))&lt;&gt;0,ROUND(LOG10(ABS(C21/(ROUND(1800/2,0)))),0)&lt;&gt;0,ABS(LOG10(ABS(C21/(ROUND(1800/2,0))))-ROUND(LOG10(ABS(C21/(ROUND(1800/2,0)))),0))&lt;0.004),FALSE),"Sifrene stemmer, men antall nuller eller plasseringen av kommaet er feil. Sjekk om du har regnet i kroner, tusen kroner eller prosent.",IF(ABS(C21-(ROUND(1800/2,0)))&lt;=MAX(1,0.01*ABS(ROUND(1800/2,0))),"Riktig. 1 800 / 2 = 900 kr. Svaret ditt ligger litt fra arkets tall fordi du har rundet av underveis. Det er helt greit.",IF(C21&gt;(ROUND(1800/2,0)),"Ikke riktig ennå. Svaret ditt er for høyt. Tips: Se på regnestykket øverst på fanen, og sjekk at du har med alle leddene.","Ikke riktig ennå. Svaret ditt er for lavt. Tips: Se på regnestykket øverst på fanen, og sjekk at du har med alle leddene.")))))))</f>
        <v/>
      </c>
    </row>
    <row r="22" ht="48" customHeight="1">
      <c r="B22" s="10" t="inlineStr">
        <is>
          <t>c) Dekningsbidrag per montørtime, solcelleanlegg (hele kroner)</t>
        </is>
      </c>
      <c r="C22" s="11" t="n"/>
      <c r="D22" s="12" t="inlineStr">
        <is>
          <t>kr per time</t>
        </is>
      </c>
      <c r="G22" s="13">
        <f>IF(C22="","Skriv svaret i den gule cellen.",IF(ISTEXT(C22),"Skriv bare tallet, uten mellomrom, enhet eller tekst. Enheten står ved siden av cellen. Du kan også skrive regnestykket med likhetstegn foran, for eksempel =2100000/7300.",IF(ABS(C22-(ROUND(11100/14,0)))&lt;=1,"Riktig. 11 100 / 14 = 793 kr.",IF(ABS(C22-(11100))&lt;=1,"Du har svart dekningsbidraget per oppdrag. Del det på de 14 timene.",IF(IFERROR(AND(C22&lt;&gt;0,(ROUND(11100/14,0))&lt;&gt;0,ROUND(LOG10(ABS(C22/(ROUND(11100/14,0)))),0)&lt;&gt;0,ABS(LOG10(ABS(C22/(ROUND(11100/14,0))))-ROUND(LOG10(ABS(C22/(ROUND(11100/14,0)))),0))&lt;0.004),FALSE),"Sifrene stemmer, men antall nuller eller plasseringen av kommaet er feil. Sjekk om du har regnet i kroner, tusen kroner eller prosent.",IF(ABS(C22-(ROUND(11100/14,0)))&lt;=MAX(1,0.01*ABS(ROUND(11100/14,0))),"Riktig. 11 100 / 14 = 793 kr. Svaret ditt ligger litt fra arkets tall fordi du har rundet av underveis. Det er helt greit.",IF(C22&gt;(ROUND(11100/14,0)),"Ikke riktig ennå. Svaret ditt er for høyt. Tips: Se på regnestykket øverst på fanen, og sjekk at du har med alle leddene.","Ikke riktig ennå. Svaret ditt er for lavt. Tips: Se på regnestykket øverst på fanen, og sjekk at du har med alle leddene.")))))))</f>
        <v/>
      </c>
    </row>
    <row r="23" ht="48" customHeight="1">
      <c r="B23" s="10" t="inlineStr">
        <is>
          <t>d) Dekningsbidrag per montørtime, serviceoppdrag (hele kroner)</t>
        </is>
      </c>
      <c r="C23" s="11" t="n"/>
      <c r="D23" s="12" t="inlineStr">
        <is>
          <t>kr per time</t>
        </is>
      </c>
      <c r="G23" s="13">
        <f>IF(C23="","Skriv svaret i den gule cellen.",IF(ISTEXT(C23),"Skriv bare tallet, uten mellomrom, enhet eller tekst. Enheten står ved siden av cellen. Du kan også skrive regnestykket med likhetstegn foran, for eksempel =2100000/7300.",IF(ABS(C23-(ROUND(1900/6,0)))&lt;=1,"Riktig. 1 900 / 6 = 317 kr.",IF(ABS(C23-(1900))&lt;=1,"Du har svart dekningsbidraget per oppdrag. Del det på de 6 timene.",IF(IFERROR(AND(C23&lt;&gt;0,(ROUND(1900/6,0))&lt;&gt;0,ROUND(LOG10(ABS(C23/(ROUND(1900/6,0)))),0)&lt;&gt;0,ABS(LOG10(ABS(C23/(ROUND(1900/6,0))))-ROUND(LOG10(ABS(C23/(ROUND(1900/6,0)))),0))&lt;0.004),FALSE),"Sifrene stemmer, men antall nuller eller plasseringen av kommaet er feil. Sjekk om du har regnet i kroner, tusen kroner eller prosent.",IF(ABS(C23-(ROUND(1900/6,0)))&lt;=MAX(1,0.01*ABS(ROUND(1900/6,0))),"Riktig. 1 900 / 6 = 317 kr. Svaret ditt ligger litt fra arkets tall fordi du har rundet av underveis. Det er helt greit.",IF(C23&gt;(ROUND(1900/6,0)),"Ikke riktig ennå. Svaret ditt er for høyt. Tips: Se på regnestykket øverst på fanen, og sjekk at du har med alle leddene.","Ikke riktig ennå. Svaret ditt er for lavt. Tips: Se på regnestykket øverst på fanen, og sjekk at du har med alle leddene.")))))))</f>
        <v/>
      </c>
    </row>
    <row r="24" ht="48" customHeight="1">
      <c r="B24" s="10" t="inlineStr">
        <is>
          <t>e) Dekningsbidrag per montørtime, garasje (hele kroner)</t>
        </is>
      </c>
      <c r="C24" s="11" t="n"/>
      <c r="D24" s="12" t="inlineStr">
        <is>
          <t>kr per time</t>
        </is>
      </c>
      <c r="G24" s="13">
        <f>IF(C24="","Skriv svaret i den gule cellen.",IF(ISTEXT(C24),"Skriv bare tallet, uten mellomrom, enhet eller tekst. Enheten står ved siden av cellen. Du kan også skrive regnestykket med likhetstegn foran, for eksempel =2100000/7300.",IF(ABS(C24-(ROUND(8000/50,0)))&lt;=1,"Riktig. 8 000 / 50 = 160 kr.",IF(ABS(C24-(8000))&lt;=1,"Du har svart dekningsbidraget per oppdrag. Del det på de 50 timene.",IF(ABS(C24-(ROUND(8000/14,0)))&lt;=1,"Du har delt på 14 timer. Garasjen tar 50 timer.",IF(IFERROR(AND(C24&lt;&gt;0,(ROUND(8000/50,0))&lt;&gt;0,ROUND(LOG10(ABS(C24/(ROUND(8000/50,0)))),0)&lt;&gt;0,ABS(LOG10(ABS(C24/(ROUND(8000/50,0))))-ROUND(LOG10(ABS(C24/(ROUND(8000/50,0)))),0))&lt;0.004),FALSE),"Sifrene stemmer, men antall nuller eller plasseringen av kommaet er feil. Sjekk om du har regnet i kroner, tusen kroner eller prosent.",IF(ABS(C24-(ROUND(8000/50,0)))&lt;=MAX(1,0.01*ABS(ROUND(8000/50,0))),"Riktig. 8 000 / 50 = 160 kr. Svaret ditt ligger litt fra arkets tall fordi du har rundet av underveis. Det er helt greit.",IF(C24&gt;(ROUND(8000/50,0)),"Ikke riktig ennå. Svaret ditt er for høyt. Tips: Se på regnestykket øverst på fanen, og sjekk at du har med alle leddene.","Ikke riktig ennå. Svaret ditt er for lavt. Tips: Se på regnestykket øverst på fanen, og sjekk at du har med alle leddene."))))))))</f>
        <v/>
      </c>
    </row>
    <row r="25"/>
    <row r="26" ht="40" customHeight="1">
      <c r="B26" s="10" t="inlineStr">
        <is>
          <t>f) Hvilken oppdragstype får montørtimene først når timene er knappe?</t>
        </is>
      </c>
      <c r="C26" s="14" t="n"/>
      <c r="G26" s="13">
        <f>IF(C26="","Velg i nedtrekksmenyen.",IF(C26="Ladepunkt","Riktig. Ladepunktet gir mest per montørtime, 900 kr, fordi det har mye materiell med påslag per time. Solcelleanlegget gir mest per jobb, men 793 kr per time.","Ikke riktig. Les forklaringen og prøv et annet svar: Ladepunktet gir mest per montørtime, 900 kr, fordi det har mye materiell med påslag per time. Solcelleanlegget gir mest per jobb, men 793 kr per time."))</f>
        <v/>
      </c>
    </row>
    <row r="27" ht="40" customHeight="1">
      <c r="B27" s="10" t="inlineStr">
        <is>
          <t>g) Hvilken oppdragstype får montørtimene sist?</t>
        </is>
      </c>
      <c r="C27" s="14" t="n"/>
      <c r="G27" s="13">
        <f>IF(C27="","Velg i nedtrekksmenyen.",IF(C27="Garasje","Riktig. Garasjen gir 8 000 kr per jobb, men bare 160 kr per time, fordi den er solgt til fastpris under Nordlys' vanlige timepris. Rangert per jobb hopper den fra sist til nest først; det er fella.","Ikke riktig. Les forklaringen og prøv et annet svar: Garasjen gir 8 000 kr per jobb, men bare 160 kr per time, fordi den er solgt til fastpris under Nordlys' vanlige timepris. Rangert per jobb hopper den fra sist til nest først; det er fella."))</f>
        <v/>
      </c>
    </row>
    <row r="28"/>
    <row r="29" ht="30" customHeight="1">
      <c r="B29" s="2" t="inlineStr">
        <is>
          <t>h) Ronny sier: «Garasjene gir 8 000 kr per jobb, over fire ganger så mye som et ladepunkt. Ta garasjene før ladepunktene.» Hva svarer du? Bruk kroner per time, og regn hva de 50 timene en garasje tar, ville gitt i ladepunkt.</t>
        </is>
      </c>
    </row>
    <row r="30" ht="22" customHeight="1">
      <c r="B30" s="15" t="n"/>
    </row>
    <row r="31" ht="22" customHeight="1"/>
    <row r="32" ht="22" customHeight="1"/>
    <row r="33" ht="40" customHeight="1">
      <c r="B33" s="16">
        <f>IF(LEN(B30)&lt;40,"",IF(AND(ISNUMBER(SEARCH("time",B30)),ISNUMBER(SEARCH("45 000",B30))),"Bra: du bruker kroner per time og viser at 50 timer gir 25 ladepunkt à 1 800 = 45 000 kr, mot 8 000 for garasjen.",IF(OR(ISNUMBER(SEARCH("time",B30)),ISNUMBER(SEARCH("45 000",B30))),"Du er på sporet. Vis også regnestykket: 50 timer gir 25 ladepunkt à 1 800 = 45 000 kr, mens garasjen gir 8 000 kr på de samme timene.","Tips: garasjen gir 160 kr per time, ladepunktet 900. De 50 timene en garasje tar, gir 25 ladepunkt à 1 800 = 45 000 kr. Garasjen gir 8 000. Hver garasje før ladepunktene koster 37 000 kr, så lenge ladepunktkundene venter.")))</f>
        <v/>
      </c>
    </row>
    <row r="34">
      <c r="B34" s="17" t="inlineStr">
        <is>
          <t>Står du fast? Skriv JA i den gule cellen:</t>
        </is>
      </c>
      <c r="C34" s="14" t="n"/>
    </row>
    <row r="35" ht="45" customHeight="1">
      <c r="B35" s="18">
        <f>IF(C34="JA","Hint: a: pris 1 780 + 7 800 = 9 580; 9 580 − 6 500 − 1 280 = 1 800. Per time: ladepunkt 1 800 / 2 = 900, solcelleanlegg 11 100 / 14 = 793, service 1 900 / 6 = 317, garasje 8 000 / 50 = 160. Den med høyest tall per time får timene først.","")</f>
        <v/>
      </c>
    </row>
    <row r="36"/>
    <row r="37" ht="30" customHeight="1">
      <c r="B37" s="5" t="inlineStr">
        <is>
          <t>Gule celler fyller du inn, gjerne som regnestykke: =2100000/7300. Grønne regnes ut av arket. Sjekken til høyre sier om svaret stemmer, og hva du bør se på hvis ikke.</t>
        </is>
      </c>
    </row>
  </sheetData>
  <mergeCells count="15">
    <mergeCell ref="B3:G3"/>
    <mergeCell ref="B2:G2"/>
    <mergeCell ref="B10:G10"/>
    <mergeCell ref="B33:G33"/>
    <mergeCell ref="B5:G5"/>
    <mergeCell ref="B37:G37"/>
    <mergeCell ref="B17:G17"/>
    <mergeCell ref="B9:G9"/>
    <mergeCell ref="B35:G35"/>
    <mergeCell ref="B4:G4"/>
    <mergeCell ref="B18:G18"/>
    <mergeCell ref="B29:G29"/>
    <mergeCell ref="B7:G7"/>
    <mergeCell ref="B30:G32"/>
    <mergeCell ref="B6:G6"/>
  </mergeCells>
  <conditionalFormatting sqref="G20">
    <cfRule type="expression" priority="1" dxfId="0">
      <formula>LEFT(G20,6)="Riktig"</formula>
    </cfRule>
    <cfRule type="expression" priority="2" dxfId="1">
      <formula>LEFT(G20,6)="Nesten"</formula>
    </cfRule>
    <cfRule type="expression" priority="3" dxfId="2">
      <formula>AND(G20&lt;&gt;"",LEFT(G20,6)&lt;&gt;"Riktig",LEFT(G20,6)&lt;&gt;"Nesten",LEFT(G20,5)&lt;&gt;"Skriv")</formula>
    </cfRule>
  </conditionalFormatting>
  <conditionalFormatting sqref="G21">
    <cfRule type="expression" priority="4" dxfId="0">
      <formula>LEFT(G21,6)="Riktig"</formula>
    </cfRule>
    <cfRule type="expression" priority="5" dxfId="1">
      <formula>LEFT(G21,6)="Nesten"</formula>
    </cfRule>
    <cfRule type="expression" priority="6" dxfId="2">
      <formula>AND(G21&lt;&gt;"",LEFT(G21,6)&lt;&gt;"Riktig",LEFT(G21,6)&lt;&gt;"Nesten",LEFT(G21,5)&lt;&gt;"Skriv")</formula>
    </cfRule>
  </conditionalFormatting>
  <conditionalFormatting sqref="G22">
    <cfRule type="expression" priority="7" dxfId="0">
      <formula>LEFT(G22,6)="Riktig"</formula>
    </cfRule>
    <cfRule type="expression" priority="8" dxfId="1">
      <formula>LEFT(G22,6)="Nesten"</formula>
    </cfRule>
    <cfRule type="expression" priority="9" dxfId="2">
      <formula>AND(G22&lt;&gt;"",LEFT(G22,6)&lt;&gt;"Riktig",LEFT(G22,6)&lt;&gt;"Nesten",LEFT(G22,5)&lt;&gt;"Skriv")</formula>
    </cfRule>
  </conditionalFormatting>
  <conditionalFormatting sqref="G23">
    <cfRule type="expression" priority="10" dxfId="0">
      <formula>LEFT(G23,6)="Riktig"</formula>
    </cfRule>
    <cfRule type="expression" priority="11" dxfId="1">
      <formula>LEFT(G23,6)="Nesten"</formula>
    </cfRule>
    <cfRule type="expression" priority="12" dxfId="2">
      <formula>AND(G23&lt;&gt;"",LEFT(G23,6)&lt;&gt;"Riktig",LEFT(G23,6)&lt;&gt;"Nesten",LEFT(G23,5)&lt;&gt;"Skriv")</formula>
    </cfRule>
  </conditionalFormatting>
  <conditionalFormatting sqref="G24">
    <cfRule type="expression" priority="13" dxfId="0">
      <formula>LEFT(G24,6)="Riktig"</formula>
    </cfRule>
    <cfRule type="expression" priority="14" dxfId="1">
      <formula>LEFT(G24,6)="Nesten"</formula>
    </cfRule>
    <cfRule type="expression" priority="15" dxfId="2">
      <formula>AND(G24&lt;&gt;"",LEFT(G24,6)&lt;&gt;"Riktig",LEFT(G24,6)&lt;&gt;"Nesten",LEFT(G24,5)&lt;&gt;"Skriv")</formula>
    </cfRule>
  </conditionalFormatting>
  <conditionalFormatting sqref="G26">
    <cfRule type="expression" priority="16" dxfId="0">
      <formula>LEFT(G26,6)="Riktig"</formula>
    </cfRule>
    <cfRule type="expression" priority="17" dxfId="2">
      <formula>LEFT(G26,4)="Ikke"</formula>
    </cfRule>
  </conditionalFormatting>
  <conditionalFormatting sqref="G27">
    <cfRule type="expression" priority="18" dxfId="0">
      <formula>LEFT(G27,6)="Riktig"</formula>
    </cfRule>
    <cfRule type="expression" priority="19" dxfId="2">
      <formula>LEFT(G27,4)="Ikke"</formula>
    </cfRule>
  </conditionalFormatting>
  <dataValidations count="3">
    <dataValidation sqref="C26" showDropDown="0" showInputMessage="0" showErrorMessage="0" allowBlank="1" type="list">
      <formula1>$Z$1:$Z$4</formula1>
    </dataValidation>
    <dataValidation sqref="C27" showDropDown="0" showInputMessage="0" showErrorMessage="0" allowBlank="1" type="list">
      <formula1>$Z$5:$Z$8</formula1>
    </dataValidation>
    <dataValidation sqref="C34"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42"/>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s>
  <sheetData>
    <row r="1"/>
    <row r="2" ht="26" customHeight="1">
      <c r="B2" s="1" t="inlineStr">
        <is>
          <t>Oppgave 1B: April hos Nordlys: 1 080 timer og forespørsler for 1 224</t>
        </is>
      </c>
    </row>
    <row r="3" ht="15" customHeight="1">
      <c r="B3" s="5" t="inlineStr">
        <is>
          <t>Alene, i par eller i gruppe, slik du vil.</t>
        </is>
      </c>
    </row>
    <row r="4" ht="16" customHeight="1">
      <c r="B4" s="3" t="inlineStr">
        <is>
          <t>Situasjonen</t>
        </is>
      </c>
    </row>
    <row r="5" ht="45" customHeight="1">
      <c r="B5" s="2" t="inlineStr">
        <is>
          <t>I april 2026 tar påsken (2.–6. april) en del av timene, og Nordlys har 1 080 montørtimer å fordele. Forespørslene som ligger inne, står i tabellen. Ronny vil ta garasjene før ladepunktene. Du legger planen med de tre reglene: fyll timene ovenfra og ned i rangeringen, aldri flere enn forespurt, og stopp når timene er brukt opp.</t>
        </is>
      </c>
    </row>
    <row r="6" ht="16" customHeight="1">
      <c r="B6" s="3" t="inlineStr">
        <is>
          <t>Begrepene du trenger</t>
        </is>
      </c>
    </row>
    <row r="7" ht="30" customHeight="1">
      <c r="B7" s="2" t="inlineStr">
        <is>
          <t>Rangeringen sier rekkefølgen. Forespørslene sier hvor mange. Timene sier når du stopper. Samlet dekningsbidrag = antall × dekningsbidrag per oppdrag, lagt sammen for alle typene. Rangering per jobb er bare riktig når ingenting er knapt.</t>
        </is>
      </c>
    </row>
    <row r="8"/>
    <row r="9" ht="16" customHeight="1">
      <c r="B9" s="3" t="inlineStr">
        <is>
          <t>Tallene</t>
        </is>
      </c>
    </row>
    <row r="10" ht="45" customHeight="1">
      <c r="B10" s="2" t="inlineStr">
        <is>
          <t>Nordlys har 1 080 montørtimer i april. Forespørslene står i tabellen; arket regner hvor mange timer hver type krever (grønne celler). Dekningsbidrag per montørtime: ladepunkt 900, solcelleanlegg 793, serviceoppdrag 317, garasje 160 kr (fra oppgave 1A). Solcelleforespørslene er få, fordi markedet falt kraftig i første del av 2026.</t>
        </is>
      </c>
    </row>
    <row r="11">
      <c r="B11" s="6" t="inlineStr">
        <is>
          <t>Oppdragstype</t>
        </is>
      </c>
      <c r="C11" s="7" t="inlineStr">
        <is>
          <t>Dekningsbidrag per oppdrag, kr</t>
        </is>
      </c>
      <c r="D11" s="7" t="inlineStr">
        <is>
          <t>Timer per oppdrag</t>
        </is>
      </c>
      <c r="E11" s="7" t="inlineStr">
        <is>
          <t>Forespurt i april</t>
        </is>
      </c>
    </row>
    <row r="12">
      <c r="B12" s="8" t="inlineStr">
        <is>
          <t>Ladepunkt</t>
        </is>
      </c>
      <c r="C12" s="9" t="n">
        <v>1800</v>
      </c>
      <c r="D12" s="9" t="n">
        <v>2</v>
      </c>
      <c r="E12" s="9" t="n">
        <v>120</v>
      </c>
    </row>
    <row r="13">
      <c r="B13" s="8" t="inlineStr">
        <is>
          <t>Solcelleanlegg</t>
        </is>
      </c>
      <c r="C13" s="9" t="n">
        <v>11100</v>
      </c>
      <c r="D13" s="9" t="n">
        <v>14</v>
      </c>
      <c r="E13" s="9" t="n">
        <v>6</v>
      </c>
    </row>
    <row r="14">
      <c r="B14" s="8" t="inlineStr">
        <is>
          <t>Serviceoppdrag</t>
        </is>
      </c>
      <c r="C14" s="9" t="n">
        <v>1900</v>
      </c>
      <c r="D14" s="9" t="n">
        <v>6</v>
      </c>
      <c r="E14" s="9" t="n">
        <v>100</v>
      </c>
    </row>
    <row r="15">
      <c r="B15" s="8" t="inlineStr">
        <is>
          <t>Garasje (fastpris)</t>
        </is>
      </c>
      <c r="C15" s="9" t="n">
        <v>8000</v>
      </c>
      <c r="D15" s="9" t="n">
        <v>50</v>
      </c>
      <c r="E15" s="9" t="n">
        <v>6</v>
      </c>
    </row>
    <row r="16"/>
    <row r="17">
      <c r="B17" s="6" t="inlineStr">
        <is>
          <t>Timer forespørslene krever (regnes av arket)</t>
        </is>
      </c>
      <c r="C17" s="7" t="inlineStr">
        <is>
          <t>Timer</t>
        </is>
      </c>
    </row>
    <row r="18">
      <c r="B18" s="8" t="inlineStr">
        <is>
          <t>Ladepunkt: 120 × 2</t>
        </is>
      </c>
      <c r="C18" s="19">
        <f>D12*E12</f>
        <v/>
      </c>
    </row>
    <row r="19">
      <c r="B19" s="8" t="inlineStr">
        <is>
          <t>Solcelleanlegg: 6 × 14</t>
        </is>
      </c>
      <c r="C19" s="19">
        <f>D13*E13</f>
        <v/>
      </c>
    </row>
    <row r="20">
      <c r="B20" s="8" t="inlineStr">
        <is>
          <t>Serviceoppdrag: 100 × 6</t>
        </is>
      </c>
      <c r="C20" s="19">
        <f>D14*E14</f>
        <v/>
      </c>
    </row>
    <row r="21">
      <c r="B21" s="8" t="inlineStr">
        <is>
          <t>Garasje: 6 × 50</t>
        </is>
      </c>
      <c r="C21" s="19">
        <f>D15*E15</f>
        <v/>
      </c>
    </row>
    <row r="22">
      <c r="B22" s="8" t="inlineStr">
        <is>
          <t>Sum forespurt</t>
        </is>
      </c>
      <c r="C22" s="19">
        <f>SUM(C18:C21)</f>
        <v/>
      </c>
    </row>
    <row r="23">
      <c r="B23" s="8" t="inlineStr">
        <is>
          <t>Montørtimer i april</t>
        </is>
      </c>
      <c r="C23" s="9" t="n">
        <v>1080</v>
      </c>
    </row>
    <row r="24"/>
    <row r="25" ht="16" customHeight="1">
      <c r="B25" s="3" t="inlineStr">
        <is>
          <t>Oppgaven, trinn for trinn</t>
        </is>
      </c>
    </row>
    <row r="26" ht="60" customHeight="1">
      <c r="B26" s="2" t="inlineStr">
        <is>
          <t>1. Les summen av timer forespørslene krever, og regn hvor mange timer som mangler (a).
2. Legg planen: fyll timene ovenfra og ned i rangeringen fra 1A, aldri flere enn forespurt, og stopp når timene er brukt. Hvor mange garasjer får plass (b)? Rund ned til hele oppdrag.
3. Regn samlet dekningsbidrag for planen (c).
4. Regn Ronnys rekkefølge, rangert per jobb: solcelleanlegg, garasje, serviceoppdrag, ladepunkt (d), og forskjellen (e).
5. Skriv svaret til Ronny i f.</t>
        </is>
      </c>
    </row>
    <row r="27"/>
    <row r="28" ht="48" customHeight="1">
      <c r="B28" s="10" t="inlineStr">
        <is>
          <t>a) Hvor mange timer mangler? Sum forespurt minus 1 080</t>
        </is>
      </c>
      <c r="C28" s="11" t="n"/>
      <c r="D28" s="12" t="inlineStr">
        <is>
          <t>timer</t>
        </is>
      </c>
      <c r="G28" s="13">
        <f>IF(C28="","Skriv svaret i den gule cellen.",IF(ISTEXT(C28),"Skriv bare tallet, uten mellomrom, enhet eller tekst. Enheten står ved siden av cellen. Du kan også skrive regnestykket med likhetstegn foran, for eksempel =2100000/7300.",IF(ABS(C28-(1224-1080))&lt;=0.99,"Riktig. 120 × 2 + 6 × 14 + 100 × 6 + 6 × 50 = 1 224 timer. 1 224 − 1 080 = 144 timer.",IF(ABS(C28-(1224))&lt;=0.99,"Du har svart timene forespørslene krever. Trekk fra de 1 080 timene Nordlys har.",IF(ABS(C28-(120+6+100+6-1080))&lt;=0.99,"Du har summert antall oppdrag, ikke timene. Gang antallet med timer per oppdrag først.",IF(IFERROR(AND(C28&lt;&gt;0,(1224-1080)&lt;&gt;0,ROUND(LOG10(ABS(C28/(1224-1080))),0)&lt;&gt;0,ABS(LOG10(ABS(C28/(1224-1080)))-ROUND(LOG10(ABS(C28/(1224-1080))),0))&lt;0.004),FALSE),"Sifrene stemmer, men antall nuller eller plasseringen av kommaet er feil. Sjekk om du har regnet i kroner, tusen kroner eller prosent.",IF(ABS(C28-(1224-1080))&lt;=MAX(0.99,0.01*ABS(1224-1080)),"Riktig. 120 × 2 + 6 × 14 + 100 × 6 + 6 × 50 = 1 224 timer. 1 224 − 1 080 = 144 timer. Svaret ditt ligger litt fra arkets tall fordi du har rundet av underveis. Det er helt greit.",IF(C28&gt;(1224-1080),"Ikke riktig ennå. Svaret ditt er for høyt. Tips: Se på regnestykket øverst på fanen, og sjekk at du har med alle leddene.","Ikke riktig ennå. Svaret ditt er for lavt. Tips: Se på regnestykket øverst på fanen, og sjekk at du har med alle leddene."))))))))</f>
        <v/>
      </c>
    </row>
    <row r="29" ht="48" customHeight="1">
      <c r="B29" s="10" t="inlineStr">
        <is>
          <t>b) Hvor mange garasjer får plass i planen?</t>
        </is>
      </c>
      <c r="C29" s="11" t="n"/>
      <c r="D29" s="12" t="inlineStr">
        <is>
          <t>garasjer</t>
        </is>
      </c>
      <c r="G29" s="13">
        <f>IF(C29="","Skriv svaret i den gule cellen.",IF(ISTEXT(C29),"Skriv bare tallet, uten mellomrom, enhet eller tekst. Enheten står ved siden av cellen. Du kan også skrive regnestykket med likhetstegn foran, for eksempel =2100000/7300.",IF(ABS(C29-(3))&lt;=0.99,"Riktig. 1 080 − 240 − 84 − 600 = 156 timer igjen. 156 / 50 = 3,1, altså 3 garasjer (150 timer)",IF(ABS(C29-(4))&lt;=0.99,"Du har rundet opp. 4 × 50 = 200 timer, men det er bare 156 igjen etter ladepunkt (240), solcelleanlegg (84) og serviceoppdrag (600). Rund ned.",IF(ABS(C29-(6))&lt;=0.99,"Du har tatt alle 6. Etter de tre andre typene er det 1 080 − 924 = 156 timer igjen, og det rekker ikke til 300 timer.",IF(ABS(C29-(0))&lt;=0.99,"Garasjene står sist, men får timene som er igjen etter de tre andre typene: 156 timer, nok til 3.",IF(IFERROR(AND(C29&lt;&gt;0,(3)&lt;&gt;0,ROUND(LOG10(ABS(C29/(3))),0)&lt;&gt;0,ABS(LOG10(ABS(C29/(3)))-ROUND(LOG10(ABS(C29/(3))),0))&lt;0.004),FALSE),"Sifrene stemmer, men antall nuller eller plasseringen av kommaet er feil. Sjekk om du har regnet i kroner, tusen kroner eller prosent.",IF(ABS(C29-(3))&lt;=MAX(0.99,0.01*ABS(3)),"Riktig. 1 080 − 240 − 84 − 600 = 156 timer igjen. 156 / 50 = 3,1, altså 3 garasjer (150 timer) Svaret ditt ligger litt fra arkets tall fordi du har rundet av underveis. Det er helt greit.",IF(C29&gt;(3),"Ikke riktig ennå. Svaret ditt er for høyt. Tips: Se på regnestykket øverst på fanen, og sjekk at du har med alle leddene.","Ikke riktig ennå. Svaret ditt er for lavt. Tips: Se på regnestykket øverst på fanen, og sjekk at du har med alle leddene.")))))))))</f>
        <v/>
      </c>
    </row>
    <row r="30" ht="48" customHeight="1">
      <c r="B30" s="10" t="inlineStr">
        <is>
          <t>c) Samlet dekningsbidrag i planen: 120 ladepunkt, 6 solcelleanlegg, 100 serviceoppdrag og garasjene fra b</t>
        </is>
      </c>
      <c r="C30" s="11" t="n"/>
      <c r="D30" s="12" t="inlineStr">
        <is>
          <t>kr</t>
        </is>
      </c>
      <c r="G30" s="13">
        <f>IF(C30="","Skriv svaret i den gule cellen.",IF(ISTEXT(C30),"Skriv bare tallet, uten mellomrom, enhet eller tekst. Enheten står ved siden av cellen. Du kan også skrive regnestykket med likhetstegn foran, for eksempel =2100000/7300.",IF(ABS(C30-(120*1800+6*11100+100*1900+3*8000))&lt;=0.99,"Riktig. 120 × 1 800 + 6 × 11 100 + 100 × 1 900 + 3 × 8 000 = 496 600 kr.",IF(ABS(C30-(120*1800+6*11100+100*1900+4*8000))&lt;=0.99,"Du har brukt 4 garasjer. Det er bare timer til 3.",IF(ABS(C30-(120*1800+6*11100+100*1900))&lt;=0.99,"Du har glemt garasjene, 3 × 8 000 = 24 000 kr.",IF(ABS(C30-(120*1800+6*11100+100*1900+6*8000))&lt;=0.99,"Du har tatt med alle 6 garasjene. Det er bare timer til 3.",IF(IFERROR(AND(C30&lt;&gt;0,(120*1800+6*11100+100*1900+3*8000)&lt;&gt;0,ROUND(LOG10(ABS(C30/(120*1800+6*11100+100*1900+3*8000))),0)&lt;&gt;0,ABS(LOG10(ABS(C30/(120*1800+6*11100+100*1900+3*8000)))-ROUND(LOG10(ABS(C30/(120*1800+6*11100+100*1900+3*8000))),0))&lt;0.004),FALSE),"Sifrene stemmer, men antall nuller eller plasseringen av kommaet er feil. Sjekk om du har regnet i kroner, tusen kroner eller prosent.",IF(ABS(C30-(120*1800+6*11100+100*1900+3*8000))&lt;=MAX(0.99,0.01*ABS(120*1800+6*11100+100*1900+3*8000)),"Riktig. 120 × 1 800 + 6 × 11 100 + 100 × 1 900 + 3 × 8 000 = 496 600 kr. Svaret ditt ligger litt fra arkets tall fordi du har rundet av underveis. Det er helt greit.",IF(C30&gt;(120*1800+6*11100+100*1900+3*8000),"Ikke riktig ennå. Svaret ditt er for høyt. Tips: Regnestykket er 120 ladepunkt, 6 solcelleanlegg, 100 serviceoppdrag og garasjene fra b.","Ikke riktig ennå. Svaret ditt er for lavt. Tips: Regnestykket er 120 ladepunkt, 6 solcelleanlegg, 100 serviceoppdrag og garasjene fra b.")))))))))</f>
        <v/>
      </c>
    </row>
    <row r="31" ht="48" customHeight="1">
      <c r="B31" s="10" t="inlineStr">
        <is>
          <t>d) Ronnys rekkefølge: 6 solcelleanlegg, 6 garasjer, 100 serviceoppdrag, og så ladepunkt så langt timene rekker</t>
        </is>
      </c>
      <c r="C31" s="11" t="n"/>
      <c r="D31" s="12" t="inlineStr">
        <is>
          <t>kr</t>
        </is>
      </c>
      <c r="G31" s="13">
        <f>IF(C31="","Skriv svaret i den gule cellen.",IF(ISTEXT(C31),"Skriv bare tallet, uten mellomrom, enhet eller tekst. Enheten står ved siden av cellen. Du kan også skrive regnestykket med likhetstegn foran, for eksempel =2100000/7300.",IF(ABS(C31-(6*11100+6*8000+100*1900+48*1800))&lt;=0.99,"Riktig. 6 × 11 100 + 6 × 8 000 + 100 × 1 900 + 48 × 1 800 = 391 000 kr (984 timer + 96 timer til 48 ladepunkt)",IF(ABS(C31-(6*11100+6*8000+100*1900))&lt;=0.99,"Du har glemt ladepunktene. Etter 84 + 300 + 600 = 984 timer er det 96 timer igjen, nok til 48 ladepunkt.",IF(ABS(C31-(6*11100+6*8000+100*1900+120*1800))&lt;=0.99,"Du har tatt alle 120 ladepunktene. Ronnys rekkefølge må også stoppe når de 1 080 timene er brukt: bare 48 får plass.",IF(IFERROR(AND(C31&lt;&gt;0,(6*11100+6*8000+100*1900+48*1800)&lt;&gt;0,ROUND(LOG10(ABS(C31/(6*11100+6*8000+100*1900+48*1800))),0)&lt;&gt;0,ABS(LOG10(ABS(C31/(6*11100+6*8000+100*1900+48*1800)))-ROUND(LOG10(ABS(C31/(6*11100+6*8000+100*1900+48*1800))),0))&lt;0.004),FALSE),"Sifrene stemmer, men antall nuller eller plasseringen av kommaet er feil. Sjekk om du har regnet i kroner, tusen kroner eller prosent.",IF(ABS(C31-(6*11100+6*8000+100*1900+48*1800))&lt;=MAX(0.99,0.01*ABS(6*11100+6*8000+100*1900+48*1800)),"Riktig. 6 × 11 100 + 6 × 8 000 + 100 × 1 900 + 48 × 1 800 = 391 000 kr (984 timer + 96 timer til 48 ladepunkt) Svaret ditt ligger litt fra arkets tall fordi du har rundet av underveis. Det er helt greit.",IF(C31&gt;(6*11100+6*8000+100*1900+48*1800),"Ikke riktig ennå. Svaret ditt er for høyt. Tips: Regnestykket er 6 solcelleanlegg, 6 garasjer, 100 serviceoppdrag, og så ladepunkt så langt timene rekker.","Ikke riktig ennå. Svaret ditt er for lavt. Tips: Regnestykket er 6 solcelleanlegg, 6 garasjer, 100 serviceoppdrag, og så ladepunkt så langt timene rekker."))))))))</f>
        <v/>
      </c>
    </row>
    <row r="32" ht="48" customHeight="1">
      <c r="B32" s="10" t="inlineStr">
        <is>
          <t>e) Hvor mye mindre gir Ronnys rekkefølge enn planen i c?</t>
        </is>
      </c>
      <c r="C32" s="11" t="n"/>
      <c r="D32" s="12" t="inlineStr">
        <is>
          <t>kr</t>
        </is>
      </c>
      <c r="G32" s="13">
        <f>IF(C32="","Skriv svaret i den gule cellen.",IF(ISTEXT(C32),"Skriv bare tallet, uten mellomrom, enhet eller tekst. Enheten står ved siden av cellen. Du kan også skrive regnestykket med likhetstegn foran, for eksempel =2100000/7300.",IF(ABS(C32-((120*1800+6*11100+100*1900+3*8000)-(6*11100+6*8000+100*1900+48*1800)))&lt;=0.99,"Riktig. 496 600 − 391 000 = 105 600 kr.",IF(ABS(C32-((6*11100+6*8000+100*1900+48*1800)-(120*1800+6*11100+100*1900+3*8000)))&lt;=0.99,"Du har fått negativt tall. Oppgaven spør hvor mye mindre Ronnys rekkefølge gir: planen i c minus Ronnys.",IF(IFERROR(AND(C32&lt;&gt;0,((120*1800+6*11100+100*1900+3*8000)-(6*11100+6*8000+100*1900+48*1800))&lt;&gt;0,ROUND(LOG10(ABS(C32/((120*1800+6*11100+100*1900+3*8000)-(6*11100+6*8000+100*1900+48*1800)))),0)&lt;&gt;0,ABS(LOG10(ABS(C32/((120*1800+6*11100+100*1900+3*8000)-(6*11100+6*8000+100*1900+48*1800))))-ROUND(LOG10(ABS(C32/((120*1800+6*11100+100*1900+3*8000)-(6*11100+6*8000+100*1900+48*1800)))),0))&lt;0.004),FALSE),"Sifrene stemmer, men antall nuller eller plasseringen av kommaet er feil. Sjekk om du har regnet i kroner, tusen kroner eller prosent.",IF(ABS(C32-((120*1800+6*11100+100*1900+3*8000)-(6*11100+6*8000+100*1900+48*1800)))&lt;=MAX(0.99,0.01*ABS((120*1800+6*11100+100*1900+3*8000)-(6*11100+6*8000+100*1900+48*1800))),"Riktig. 496 600 − 391 000 = 105 600 kr. Svaret ditt ligger litt fra arkets tall fordi du har rundet av underveis. Det er helt greit.",IF(C32&gt;((120*1800+6*11100+100*1900+3*8000)-(6*11100+6*8000+100*1900+48*1800)),"Ikke riktig ennå. Svaret ditt er for høyt. Tips: Planen i c minus Ronnys rekkefølge i d.","Ikke riktig ennå. Svaret ditt er for lavt. Tips: Planen i c minus Ronnys rekkefølge i d.")))))))</f>
        <v/>
      </c>
    </row>
    <row r="33"/>
    <row r="34" ht="30" customHeight="1">
      <c r="B34" s="2" t="inlineStr">
        <is>
          <t>f) Hva sier du til Ronny, og hva vil du vite før du bestemmer deg? Bruk tallet fra e, og still ett spørsmål om garasjene. To–tre setninger.</t>
        </is>
      </c>
    </row>
    <row r="35" ht="22" customHeight="1">
      <c r="B35" s="15" t="n"/>
    </row>
    <row r="36" ht="22" customHeight="1"/>
    <row r="37" ht="22" customHeight="1"/>
    <row r="38" ht="40" customHeight="1">
      <c r="B38" s="16">
        <f>IF(LEN(B35)&lt;40,"",IF(AND(ISNUMBER(SEARCH("105 600",B35)),ISNUMBER(SEARCH("kontrakt",B35))),"Bra: du gir Ronny prisen, 105 600 kr, og spør om garasjene er del av en signert kontrakt eller en ny forespørsel.",IF(OR(ISNUMBER(SEARCH("105 600",B35)),ISNUMBER(SEARCH("kontrakt",B35))),"Du har med noe av det. Gi Ronny tallet (105 600 kr) og still spørsmålet: er garasjene del av en signert kontrakt med Haugerud, eller en ny forespørsel?","Tips: Ronnys rekkefølge koster 105 600 kr i april. Spør om garasjene er del av en signert kontrakt (da skal de leveres), eller en ny forespørsel. Tar dere dem likevel, gjør dere det bevisst og vet prisen.")))</f>
        <v/>
      </c>
    </row>
    <row r="39">
      <c r="B39" s="17" t="inlineStr">
        <is>
          <t>Står du fast? Skriv JA i den gule cellen:</t>
        </is>
      </c>
      <c r="C39" s="14" t="n"/>
    </row>
    <row r="40" ht="60" customHeight="1">
      <c r="B40" s="18">
        <f>IF(C39="JA","Hint: Forespurt: 240 + 84 + 600 + 300 = 1 224 timer, 144 for mye. Planen: 120 ladepunkt (240 t), 6 solcelleanlegg (84 t), 100 serviceoppdrag (600 t), 156 timer igjen gir 3 garasjer (150 t). 216 000 + 66 600 + 190 000 + 24 000 = 496 600. Ronny: 84 + 300 + 600 = 984 timer, 48 ladepunkt: 66 600 + 48 000 + 190 000 + 86 400 = 391 000. Forskjell 105 600.","")</f>
        <v/>
      </c>
    </row>
    <row r="41"/>
    <row r="42" ht="30" customHeight="1">
      <c r="B42" s="5" t="inlineStr">
        <is>
          <t>Gule celler fyller du inn, gjerne som regnestykke: =2100000/7300. Grønne regnes ut av arket. Sjekken til høyre sier om svaret stemmer, og hva du bør se på hvis ikke.</t>
        </is>
      </c>
    </row>
  </sheetData>
  <mergeCells count="15">
    <mergeCell ref="B3:G3"/>
    <mergeCell ref="B2:G2"/>
    <mergeCell ref="B34:G34"/>
    <mergeCell ref="B38:G38"/>
    <mergeCell ref="B10:G10"/>
    <mergeCell ref="B42:G42"/>
    <mergeCell ref="B5:G5"/>
    <mergeCell ref="B9:G9"/>
    <mergeCell ref="B4:G4"/>
    <mergeCell ref="B26:G26"/>
    <mergeCell ref="B40:G40"/>
    <mergeCell ref="B35:G37"/>
    <mergeCell ref="B7:G7"/>
    <mergeCell ref="B25:G25"/>
    <mergeCell ref="B6:G6"/>
  </mergeCells>
  <conditionalFormatting sqref="G28">
    <cfRule type="expression" priority="1" dxfId="0">
      <formula>LEFT(G28,6)="Riktig"</formula>
    </cfRule>
    <cfRule type="expression" priority="2" dxfId="1">
      <formula>LEFT(G28,6)="Nesten"</formula>
    </cfRule>
    <cfRule type="expression" priority="3" dxfId="2">
      <formula>AND(G28&lt;&gt;"",LEFT(G28,6)&lt;&gt;"Riktig",LEFT(G28,6)&lt;&gt;"Nesten",LEFT(G28,5)&lt;&gt;"Skriv")</formula>
    </cfRule>
  </conditionalFormatting>
  <conditionalFormatting sqref="G29">
    <cfRule type="expression" priority="4" dxfId="0">
      <formula>LEFT(G29,6)="Riktig"</formula>
    </cfRule>
    <cfRule type="expression" priority="5" dxfId="1">
      <formula>LEFT(G29,6)="Nesten"</formula>
    </cfRule>
    <cfRule type="expression" priority="6" dxfId="2">
      <formula>AND(G29&lt;&gt;"",LEFT(G29,6)&lt;&gt;"Riktig",LEFT(G29,6)&lt;&gt;"Nesten",LEFT(G29,5)&lt;&gt;"Skriv")</formula>
    </cfRule>
  </conditionalFormatting>
  <conditionalFormatting sqref="G30">
    <cfRule type="expression" priority="7" dxfId="0">
      <formula>LEFT(G30,6)="Riktig"</formula>
    </cfRule>
    <cfRule type="expression" priority="8" dxfId="1">
      <formula>LEFT(G30,6)="Nesten"</formula>
    </cfRule>
    <cfRule type="expression" priority="9" dxfId="2">
      <formula>AND(G30&lt;&gt;"",LEFT(G30,6)&lt;&gt;"Riktig",LEFT(G30,6)&lt;&gt;"Nesten",LEFT(G30,5)&lt;&gt;"Skriv")</formula>
    </cfRule>
  </conditionalFormatting>
  <conditionalFormatting sqref="G31">
    <cfRule type="expression" priority="10" dxfId="0">
      <formula>LEFT(G31,6)="Riktig"</formula>
    </cfRule>
    <cfRule type="expression" priority="11" dxfId="1">
      <formula>LEFT(G31,6)="Nesten"</formula>
    </cfRule>
    <cfRule type="expression" priority="12" dxfId="2">
      <formula>AND(G31&lt;&gt;"",LEFT(G31,6)&lt;&gt;"Riktig",LEFT(G31,6)&lt;&gt;"Nesten",LEFT(G31,5)&lt;&gt;"Skriv")</formula>
    </cfRule>
  </conditionalFormatting>
  <conditionalFormatting sqref="G32">
    <cfRule type="expression" priority="13" dxfId="0">
      <formula>LEFT(G32,6)="Riktig"</formula>
    </cfRule>
    <cfRule type="expression" priority="14" dxfId="1">
      <formula>LEFT(G32,6)="Nesten"</formula>
    </cfRule>
    <cfRule type="expression" priority="15" dxfId="2">
      <formula>AND(G32&lt;&gt;"",LEFT(G32,6)&lt;&gt;"Riktig",LEFT(G32,6)&lt;&gt;"Nesten",LEFT(G32,5)&lt;&gt;"Skriv")</formula>
    </cfRule>
  </conditionalFormatting>
  <dataValidations count="1">
    <dataValidation sqref="C39"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39"/>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Elbillader</t>
        </is>
      </c>
    </row>
    <row r="2" ht="26" customHeight="1">
      <c r="B2" s="1" t="inlineStr">
        <is>
          <t>Oppgave 1C: Fjell Elektro i mai: 250 timer, forespørsler for 390</t>
        </is>
      </c>
      <c r="Z2" t="inlineStr">
        <is>
          <t>Sikringsskapbytte</t>
        </is>
      </c>
    </row>
    <row r="3" ht="15" customHeight="1">
      <c r="B3" s="5" t="inlineStr">
        <is>
          <t>Alene, i par eller i gruppe, slik du vil.</t>
        </is>
      </c>
      <c r="Z3" t="inlineStr">
        <is>
          <t>Service og feilsøking</t>
        </is>
      </c>
    </row>
    <row r="4" ht="16" customHeight="1">
      <c r="B4" s="3" t="inlineStr">
        <is>
          <t>Situasjonen</t>
        </is>
      </c>
      <c r="Z4" t="inlineStr">
        <is>
          <t>Næringsoppdrag</t>
        </is>
      </c>
    </row>
    <row r="5" ht="45" customHeight="1">
      <c r="B5" s="2" t="inlineStr">
        <is>
          <t>Fjell Elektro AS er i sitt første driftsår, med to montører og eieren Mona Fjell, som jobber halve tiden ute på oppdrag. Mai har flere helligdager, og Fjell har 250 fakturerbare timer. Forespørslene krever 390. Mona vil ta næringsoppdragene først, fordi de gir mest per jobb og kan gi nye kunder.</t>
        </is>
      </c>
      <c r="Z5" t="inlineStr">
        <is>
          <t>Elbillader</t>
        </is>
      </c>
    </row>
    <row r="6" ht="16" customHeight="1">
      <c r="B6" s="3" t="inlineStr">
        <is>
          <t>Begrepene du trenger</t>
        </is>
      </c>
      <c r="Z6" t="inlineStr">
        <is>
          <t>Sikringsskapbytte</t>
        </is>
      </c>
    </row>
    <row r="7" ht="45" customHeight="1">
      <c r="B7" s="2" t="inlineStr">
        <is>
          <t>Dekningsbidrag per oppdrag = pris til kunden − variable kostnader (materiell til innkjøpspris og lønnskostnaden for timene). Dekningsbidrag per montørtime = dekningsbidrag per oppdrag / timer per oppdrag. Et avvik fra rangeringen måles mot det som faktisk må vike, altså det nederste i planen, ikke mot toppen av rangeringen.</t>
        </is>
      </c>
      <c r="Z7" t="inlineStr">
        <is>
          <t>Service og feilsøking</t>
        </is>
      </c>
    </row>
    <row r="8">
      <c r="Z8" t="inlineStr">
        <is>
          <t>Næringsoppdrag</t>
        </is>
      </c>
    </row>
    <row r="9" ht="16" customHeight="1">
      <c r="B9" s="3" t="inlineStr">
        <is>
          <t>Tallene</t>
        </is>
      </c>
    </row>
    <row r="10" ht="60" customHeight="1">
      <c r="B10" s="2" t="inlineStr">
        <is>
          <t>Fjell Elektro priser montørtimen til 890 kr uten merverdiavgift og selger materiellet med 20 % påslag på innkjøpsprisen. Lønnskostnaden for en montørtime regnes til 590 kr, om lag lønnskostnaden per fakturerbar time (560 000 × 1,468 / 1 400 = 587 kr, kapittel 5). En elbillader i enebolig tar 3 timer og bruker materiell Fjell kjøper for 8 000 kr. De andre oppdragstypene står i tabellen. Mai har 250 fakturerbare timer; forespørslene krever 390.</t>
        </is>
      </c>
    </row>
    <row r="11">
      <c r="B11" s="6" t="inlineStr">
        <is>
          <t>Oppdragstype</t>
        </is>
      </c>
      <c r="C11" s="7" t="inlineStr">
        <is>
          <t>Dekningsbidrag per oppdrag, kr</t>
        </is>
      </c>
      <c r="D11" s="7" t="inlineStr">
        <is>
          <t>Timer per oppdrag</t>
        </is>
      </c>
      <c r="E11" s="7" t="inlineStr">
        <is>
          <t>Forespurt i mai</t>
        </is>
      </c>
    </row>
    <row r="12">
      <c r="B12" s="8" t="inlineStr">
        <is>
          <t>Elbillader, enebolig (regnes i a)</t>
        </is>
      </c>
      <c r="C12" s="11" t="n"/>
      <c r="D12" s="9" t="n">
        <v>3</v>
      </c>
      <c r="E12" s="9" t="n">
        <v>20</v>
      </c>
    </row>
    <row r="13">
      <c r="B13" s="8" t="inlineStr">
        <is>
          <t>Sikringsskapbytte</t>
        </is>
      </c>
      <c r="C13" s="9" t="n">
        <v>3000</v>
      </c>
      <c r="D13" s="9" t="n">
        <v>6</v>
      </c>
      <c r="E13" s="9" t="n">
        <v>25</v>
      </c>
    </row>
    <row r="14">
      <c r="B14" s="8" t="inlineStr">
        <is>
          <t>Service og feilsøking</t>
        </is>
      </c>
      <c r="C14" s="9" t="n">
        <v>700</v>
      </c>
      <c r="D14" s="9" t="n">
        <v>2</v>
      </c>
      <c r="E14" s="9" t="n">
        <v>40</v>
      </c>
    </row>
    <row r="15">
      <c r="B15" s="8" t="inlineStr">
        <is>
          <t>Næringsoppdrag, lite kontor</t>
        </is>
      </c>
      <c r="C15" s="9" t="n">
        <v>6400</v>
      </c>
      <c r="D15" s="9" t="n">
        <v>20</v>
      </c>
      <c r="E15" s="9" t="n">
        <v>5</v>
      </c>
    </row>
    <row r="16">
      <c r="B16" s="8" t="inlineStr">
        <is>
          <t>Fakturerbare timer i mai</t>
        </is>
      </c>
      <c r="C16" s="9" t="inlineStr"/>
      <c r="D16" s="9" t="n">
        <v>250</v>
      </c>
      <c r="E16" s="9" t="inlineStr"/>
    </row>
    <row r="17"/>
    <row r="18" ht="16" customHeight="1">
      <c r="B18" s="3" t="inlineStr">
        <is>
          <t>Oppgaven, trinn for trinn</t>
        </is>
      </c>
    </row>
    <row r="19" ht="90" customHeight="1">
      <c r="B19" s="2" t="inlineStr">
        <is>
          <t>1. Regn dekningsbidraget for én lader (a): pris til kunden (3 timer × 890 + materiell 8 000 × 1,20) minus variable kostnader (materiell 8 000 + 3 timer × 590). Skriv tallet også i den gule cellen i tabellen.
2. Del på timene og rund til hele kroner (b). Regn gjerne de tre andre også: sikringsskap 3 000 / 6, service 700 / 2, næring 6 400 / 20.
3. Velg hvilken type som får timene først og sist (c og d).
4. Legg planen for mai: fyll de 250 timene ovenfra og ned, aldri flere enn forespurt. Hvor mange serviceoppdrag får plass (e), og hva blir dekningsbidraget (f)?
5. Regn Monas rekkefølge, næringsoppdragene først (g), og hva ett næringsoppdrag likevel koster (h).
6. Skriv svaret til Mona i i.</t>
        </is>
      </c>
    </row>
    <row r="20"/>
    <row r="21" ht="48" customHeight="1">
      <c r="B21" s="10" t="inlineStr">
        <is>
          <t>a) Dekningsbidrag for én elbillader</t>
        </is>
      </c>
      <c r="C21" s="11" t="n"/>
      <c r="D21" s="12" t="inlineStr">
        <is>
          <t>kr</t>
        </is>
      </c>
      <c r="G21" s="13">
        <f>IF(C21="","Skriv svaret i den gule cellen.",IF(ISTEXT(C21),"Skriv bare tallet, uten mellomrom, enhet eller tekst. Enheten står ved siden av cellen. Du kan også skrive regnestykket med likhetstegn foran, for eksempel =2100000/7300.",IF(ABS(C21-((3*890+8000*1.2)-(8000+3*590)))&lt;=0.99,"Riktig. (3 × 890 + 8 000 × 1,20) − (8 000 + 3 × 590) = 12 270 − 9 770 = 2 500 kr.",IF(ABS(C21-((3*890+8000*1.2)-(8000*1.2+3*590)))&lt;=0.99,"Du har trukket fra materiellet til salgspris, 9 600. Variabel kostnad er innkjøpsprisen, 8 000.",IF(ABS(C21-((3*890+8000*1.2)-8000))&lt;=0.99,"Du har glemt lønna, 3 × 590 = 1 770 kr.",IF(ABS(C21-(3*(890-590)))&lt;=0.99,"Du har bare timene. Påslaget på materiellet, 8 000 × 0,20 = 1 600 kr, er også dekningsbidrag.",IF(IFERROR(AND(C21&lt;&gt;0,((3*890+8000*1.2)-(8000+3*590))&lt;&gt;0,ROUND(LOG10(ABS(C21/((3*890+8000*1.2)-(8000+3*590)))),0)&lt;&gt;0,ABS(LOG10(ABS(C21/((3*890+8000*1.2)-(8000+3*590))))-ROUND(LOG10(ABS(C21/((3*890+8000*1.2)-(8000+3*590)))),0))&lt;0.004),FALSE),"Sifrene stemmer, men antall nuller eller plasseringen av kommaet er feil. Sjekk om du har regnet i kroner, tusen kroner eller prosent.",IF(ABS(C21-((3*890+8000*1.2)-(8000+3*590)))&lt;=MAX(0.99,0.01*ABS((3*890+8000*1.2)-(8000+3*590))),"Riktig. (3 × 890 + 8 000 × 1,20) − (8 000 + 3 × 590) = 12 270 − 9 770 = 2 500 kr. Svaret ditt ligger litt fra arkets tall fordi du har rundet av underveis. Det er helt greit.",IF(C21&gt;((3*890+8000*1.2)-(8000+3*590)),"Ikke riktig ennå. Svaret ditt er for høyt. Tips: Se på regnestykket øverst på fanen, og sjekk at du har med alle leddene.","Ikke riktig ennå. Svaret ditt er for lavt. Tips: Se på regnestykket øverst på fanen, og sjekk at du har med alle leddene.")))))))))</f>
        <v/>
      </c>
    </row>
    <row r="22" ht="48" customHeight="1">
      <c r="B22" s="10" t="inlineStr">
        <is>
          <t>b) Dekningsbidrag per montørtime for laderen (hele kroner)</t>
        </is>
      </c>
      <c r="C22" s="11" t="n"/>
      <c r="D22" s="12" t="inlineStr">
        <is>
          <t>kr per time</t>
        </is>
      </c>
      <c r="G22" s="13">
        <f>IF(C22="","Skriv svaret i den gule cellen.",IF(ISTEXT(C22),"Skriv bare tallet, uten mellomrom, enhet eller tekst. Enheten står ved siden av cellen. Du kan også skrive regnestykket med likhetstegn foran, for eksempel =2100000/7300.",IF(ABS(C22-(ROUND(2500/3,0)))&lt;=1,"Riktig. 2 500 / 3 = 833 kr. Sikringsskap 500, service 350, næring 320.",IF(ABS(C22-(2500))&lt;=1,"Du har svart dekningsbidraget per oppdrag. Del på de 3 timene.",IF(ABS(C22-(ROUND(3*300/3,0)))&lt;=1,"Du har delt bare timedelen. Hele dekningsbidraget, 2 500 kr, skal deles på 3 timer.",IF(IFERROR(AND(C22&lt;&gt;0,(ROUND(2500/3,0))&lt;&gt;0,ROUND(LOG10(ABS(C22/(ROUND(2500/3,0)))),0)&lt;&gt;0,ABS(LOG10(ABS(C22/(ROUND(2500/3,0))))-ROUND(LOG10(ABS(C22/(ROUND(2500/3,0)))),0))&lt;0.004),FALSE),"Sifrene stemmer, men antall nuller eller plasseringen av kommaet er feil. Sjekk om du har regnet i kroner, tusen kroner eller prosent.",IF(ABS(C22-(ROUND(2500/3,0)))&lt;=MAX(1,0.01*ABS(ROUND(2500/3,0))),"Riktig. 2 500 / 3 = 833 kr. Sikringsskap 500, service 350, næring 320. Svaret ditt ligger litt fra arkets tall fordi du har rundet av underveis. Det er helt greit.",IF(C22&gt;(ROUND(2500/3,0)),"Ikke riktig ennå. Svaret ditt er for høyt. Tips: Se på regnestykket øverst på fanen, og sjekk at du har med alle leddene.","Ikke riktig ennå. Svaret ditt er for lavt. Tips: Se på regnestykket øverst på fanen, og sjekk at du har med alle leddene."))))))))</f>
        <v/>
      </c>
    </row>
    <row r="23" ht="40" customHeight="1">
      <c r="B23" s="10" t="inlineStr">
        <is>
          <t>c) Hvilken oppdragstype får timene først?</t>
        </is>
      </c>
      <c r="C23" s="14" t="n"/>
      <c r="G23" s="13">
        <f>IF(C23="","Velg i nedtrekksmenyen.",IF(C23="Elbillader","Riktig. Laderen gir 833 kr per time: 2 500 / 3. Sikringsskap 500, service 350, næring 320.","Ikke riktig. Les forklaringen og prøv et annet svar: Laderen gir 833 kr per time: 2 500 / 3. Sikringsskap 500, service 350, næring 320."))</f>
        <v/>
      </c>
    </row>
    <row r="24" ht="40" customHeight="1">
      <c r="B24" s="10" t="inlineStr">
        <is>
          <t>d) Hvilken oppdragstype får timene sist?</t>
        </is>
      </c>
      <c r="C24" s="14" t="n"/>
      <c r="G24" s="13">
        <f>IF(C24="","Velg i nedtrekksmenyen.",IF(C24="Næringsoppdrag","Riktig. Næringsoppdraget gir mest per jobb, 6 400 kr, men tar 20 timer: 320 kr per time, lavest av de fire.","Ikke riktig. Les forklaringen og prøv et annet svar: Næringsoppdraget gir mest per jobb, 6 400 kr, men tar 20 timer: 320 kr per time, lavest av de fire."))</f>
        <v/>
      </c>
    </row>
    <row r="25"/>
    <row r="26" ht="48" customHeight="1">
      <c r="B26" s="10" t="inlineStr">
        <is>
          <t>e) Hvor mange serviceoppdrag får plass i planen for mai?</t>
        </is>
      </c>
      <c r="C26" s="11" t="n"/>
      <c r="D26" s="12" t="inlineStr">
        <is>
          <t>oppdrag</t>
        </is>
      </c>
      <c r="G26" s="13">
        <f>IF(C26="","Skriv svaret i den gule cellen.",IF(ISTEXT(C26),"Skriv bare tallet, uten mellomrom, enhet eller tekst. Enheten står ved siden av cellen. Du kan også skrive regnestykket med likhetstegn foran, for eksempel =2100000/7300.",IF(ABS(C26-(20))&lt;=0.99,"Riktig. 250 − 60 − 150 = 40 timer igjen, 40 / 2 = 20 serviceoppdrag.",IF(ABS(C26-(40))&lt;=0.99,"Du har tatt alle 40. Etter 20 ladere (60 t) og 25 sikringsskap (150 t) er det bare 250 − 210 = 40 timer igjen, nok til 20.",IF(ABS(C26-(0))&lt;=0.99,"Service står foran næringsoppdrag i rangeringen (350 mot 320 kr per time) og får timene som er igjen etter ladere og sikringsskap.",IF(IFERROR(AND(C26&lt;&gt;0,(20)&lt;&gt;0,ROUND(LOG10(ABS(C26/(20))),0)&lt;&gt;0,ABS(LOG10(ABS(C26/(20)))-ROUND(LOG10(ABS(C26/(20))),0))&lt;0.004),FALSE),"Sifrene stemmer, men antall nuller eller plasseringen av kommaet er feil. Sjekk om du har regnet i kroner, tusen kroner eller prosent.",IF(ABS(C26-(20))&lt;=MAX(0.99,0.01*ABS(20)),"Riktig. 250 − 60 − 150 = 40 timer igjen, 40 / 2 = 20 serviceoppdrag. Svaret ditt ligger litt fra arkets tall fordi du har rundet av underveis. Det er helt greit.",IF(C26&gt;(20),"Ikke riktig ennå. Svaret ditt er for høyt. Tips: Se på regnestykket øverst på fanen, og sjekk at du har med alle leddene.","Ikke riktig ennå. Svaret ditt er for lavt. Tips: Se på regnestykket øverst på fanen, og sjekk at du har med alle leddene."))))))))</f>
        <v/>
      </c>
    </row>
    <row r="27" ht="48" customHeight="1">
      <c r="B27" s="10" t="inlineStr">
        <is>
          <t>f) Samlet dekningsbidrag i planen: 20 ladere, 25 sikringsskap og serviceoppdragene fra e</t>
        </is>
      </c>
      <c r="C27" s="11" t="n"/>
      <c r="D27" s="12" t="inlineStr">
        <is>
          <t>kr</t>
        </is>
      </c>
      <c r="G27" s="13">
        <f>IF(C27="","Skriv svaret i den gule cellen.",IF(ISTEXT(C27),"Skriv bare tallet, uten mellomrom, enhet eller tekst. Enheten står ved siden av cellen. Du kan også skrive regnestykket med likhetstegn foran, for eksempel =2100000/7300.",IF(ABS(C27-(20*2500+25*3000+20*700))&lt;=0.99,"Riktig. 20 × 2 500 + 25 × 3 000 + 20 × 700 = 139 000 kr.",IF(ABS(C27-(20*2500+25*3000))&lt;=0.99,"Du har glemt serviceoppdragene, 20 × 700 = 14 000 kr.",IF(ABS(C27-(20*2500+25*3000+40*700))&lt;=0.99,"Du har tatt med alle 40 serviceoppdrag. Bare 20 får plass.",IF(ABS(C27-(20*2500+25*3000+20*700+5*6400))&lt;=0.99,"Du har tatt med næringsoppdragene. Timene er brukt opp før dem.",IF(IFERROR(AND(C27&lt;&gt;0,(20*2500+25*3000+20*700)&lt;&gt;0,ROUND(LOG10(ABS(C27/(20*2500+25*3000+20*700))),0)&lt;&gt;0,ABS(LOG10(ABS(C27/(20*2500+25*3000+20*700)))-ROUND(LOG10(ABS(C27/(20*2500+25*3000+20*700))),0))&lt;0.004),FALSE),"Sifrene stemmer, men antall nuller eller plasseringen av kommaet er feil. Sjekk om du har regnet i kroner, tusen kroner eller prosent.",IF(ABS(C27-(20*2500+25*3000+20*700))&lt;=MAX(0.99,0.01*ABS(20*2500+25*3000+20*700)),"Riktig. 20 × 2 500 + 25 × 3 000 + 20 × 700 = 139 000 kr. Svaret ditt ligger litt fra arkets tall fordi du har rundet av underveis. Det er helt greit.",IF(C27&gt;(20*2500+25*3000+20*700),"Ikke riktig ennå. Svaret ditt er for høyt. Tips: Regnestykket er 20 ladere, 25 sikringsskap og serviceoppdragene fra e.","Ikke riktig ennå. Svaret ditt er for lavt. Tips: Regnestykket er 20 ladere, 25 sikringsskap og serviceoppdragene fra e.")))))))))</f>
        <v/>
      </c>
    </row>
    <row r="28" ht="48" customHeight="1">
      <c r="B28" s="10" t="inlineStr">
        <is>
          <t>g) Monas rekkefølge: 5 næringsoppdrag først, så sikringsskap, så ladere og service så langt timene rekker</t>
        </is>
      </c>
      <c r="C28" s="11" t="n"/>
      <c r="D28" s="12" t="inlineStr">
        <is>
          <t>kr</t>
        </is>
      </c>
      <c r="G28" s="13">
        <f>IF(C28="","Skriv svaret i den gule cellen.",IF(ISTEXT(C28),"Skriv bare tallet, uten mellomrom, enhet eller tekst. Enheten står ved siden av cellen. Du kan også skrive regnestykket med likhetstegn foran, for eksempel =2100000/7300.",IF(ABS(C28-(5*6400+25*3000))&lt;=0.99,"Riktig. 5 × 6 400 + 25 × 3 000 = 107 000 kr (alle 250 timer brukt). 32 000 kr mindre, ingen ladere.",IF(ABS(C28-(5*6400+25*3000+20*2500))&lt;=0.99,"Du har tatt med laderne. Etter 5 næringsoppdrag (100 t) og 25 sikringsskap (150 t) er alle 250 timer brukt.",IF(ABS(C28-(5*6400+20*2500+25*3000+20*700))&lt;=0.99,"Du har tatt med alt. Timene strekker bare til næringsoppdragene og sikringsskapene.",IF(IFERROR(AND(C28&lt;&gt;0,(5*6400+25*3000)&lt;&gt;0,ROUND(LOG10(ABS(C28/(5*6400+25*3000))),0)&lt;&gt;0,ABS(LOG10(ABS(C28/(5*6400+25*3000)))-ROUND(LOG10(ABS(C28/(5*6400+25*3000))),0))&lt;0.004),FALSE),"Sifrene stemmer, men antall nuller eller plasseringen av kommaet er feil. Sjekk om du har regnet i kroner, tusen kroner eller prosent.",IF(ABS(C28-(5*6400+25*3000))&lt;=MAX(0.99,0.01*ABS(5*6400+25*3000)),"Riktig. 5 × 6 400 + 25 × 3 000 = 107 000 kr (alle 250 timer brukt). 32 000 kr mindre, ingen ladere. Svaret ditt ligger litt fra arkets tall fordi du har rundet av underveis. Det er helt greit.",IF(C28&gt;(5*6400+25*3000),"Ikke riktig ennå. Svaret ditt er for høyt. Tips: Regnestykket er 5 næringsoppdrag først, så sikringsskap, så ladere og service så langt timene rekker.","Ikke riktig ennå. Svaret ditt er for lavt. Tips: Regnestykket er 5 næringsoppdrag først, så sikringsskap, så ladere og service så langt timene rekker."))))))))</f>
        <v/>
      </c>
    </row>
    <row r="29" ht="48" customHeight="1">
      <c r="B29" s="10" t="inlineStr">
        <is>
          <t>h) Fjell tar ett næringsoppdrag likevel. Hvor mye lavere blir dekningsbidraget i mai? Mål mot de oppdragene som faktisk må vike</t>
        </is>
      </c>
      <c r="C29" s="11" t="n"/>
      <c r="D29" s="12" t="inlineStr">
        <is>
          <t>kr</t>
        </is>
      </c>
      <c r="G29" s="13">
        <f>IF(C29="","Skriv svaret i den gule cellen.",IF(ISTEXT(C29),"Skriv bare tallet, uten mellomrom, enhet eller tekst. Enheten står ved siden av cellen. Du kan også skrive regnestykket med likhetstegn foran, for eksempel =2100000/7300.",IF(ABS(C29-(10*700-6400))&lt;=0.99,"Riktig. 10 serviceoppdrag à 700 = 7 000 kr viker, næringsoppdraget gir 6 400: 600 kr lavere.",IF(ABS(C29-(ROUND(20*2500/3,0)-6400))&lt;=0.99,"Du har målt mot laderne. De er allerede tatt. De 20 timene tas fra det nederste i planen: 10 serviceoppdrag à 700.",IF(ABS(C29-(6400-10*700))&lt;=0.99,"Du har fått negativt tall. Spørsmålet er hvor mye lavere: det som må vike (7 000) minus det næringsoppdraget gir (6 400).",IF(ABS(C29-(20*700-6400))&lt;=0.99,"Du har regnet 20 serviceoppdrag. 20 timer er 10 serviceoppdrag à 2 timer.",IF(IFERROR(AND(C29&lt;&gt;0,(10*700-6400)&lt;&gt;0,ROUND(LOG10(ABS(C29/(10*700-6400))),0)&lt;&gt;0,ABS(LOG10(ABS(C29/(10*700-6400)))-ROUND(LOG10(ABS(C29/(10*700-6400))),0))&lt;0.004),FALSE),"Sifrene stemmer, men antall nuller eller plasseringen av kommaet er feil. Sjekk om du har regnet i kroner, tusen kroner eller prosent.",IF(ABS(C29-(10*700-6400))&lt;=MAX(0.99,0.01*ABS(10*700-6400)),"Riktig. 10 serviceoppdrag à 700 = 7 000 kr viker, næringsoppdraget gir 6 400: 600 kr lavere. Svaret ditt ligger litt fra arkets tall fordi du har rundet av underveis. Det er helt greit.",IF(C29&gt;(10*700-6400),"Ikke riktig ennå. Svaret ditt er for høyt. Tips: 20 timer tas fra serviceoppdragene: 20 / 2 = 10 oppdrag à 700. Trekk fra det næringsoppdraget gir.","Ikke riktig ennå. Svaret ditt er for lavt. Tips: 20 timer tas fra serviceoppdragene: 20 / 2 = 10 oppdrag à 700. Trekk fra det næringsoppdraget gir.")))))))))</f>
        <v/>
      </c>
    </row>
    <row r="30"/>
    <row r="31" ht="30" customHeight="1">
      <c r="B31" s="2" t="inlineStr">
        <is>
          <t>i) Mona vil ta alle fem næringsoppdragene først, fordi de gir mest per jobb og kan gi nye kunder. Hva sier du? Bruk kroner per time og prisen for ett næringsoppdrag fra h. To–tre setninger.</t>
        </is>
      </c>
    </row>
    <row r="32" ht="22" customHeight="1">
      <c r="B32" s="15" t="n"/>
    </row>
    <row r="33" ht="22" customHeight="1"/>
    <row r="34" ht="22" customHeight="1"/>
    <row r="35" ht="40" customHeight="1">
      <c r="B35" s="16">
        <f>IF(LEN(B32)&lt;40,"",IF(AND(ISNUMBER(SEARCH("600",B32)),ISNUMBER(SEARCH("time",B32))),"Bra: du bruker kroner per time og viser at ett næringsoppdrag koster 600 kr målt mot serviceoppdragene som må vike. Alle fem først koster 32 000 kr.",IF(OR(ISNUMBER(SEARCH("600",B32)),ISNUMBER(SEARCH("time",B32))),"Du er på sporet. Ta med at ett næringsoppdrag koster 600 kr (7 000 fra 10 serviceoppdrag minus 6 400), og at alle fem først koster 32 000 kr.","Tips: næringsoppdraget gir 320 kr per time, laderen 833. Alle fem først gir 107 000 i stedet for 139 000, 32 000 kr mindre. Ett næringsoppdrag for en ny kunde koster bare 600 kr, fordi det er serviceoppdragene som viker. Det kan være verdt det, men da bevisst.")))</f>
        <v/>
      </c>
    </row>
    <row r="36">
      <c r="B36" s="17" t="inlineStr">
        <is>
          <t>Står du fast? Skriv JA i den gule cellen:</t>
        </is>
      </c>
      <c r="C36" s="14" t="n"/>
    </row>
    <row r="37" ht="60" customHeight="1">
      <c r="B37" s="18">
        <f>IF(C36="JA","Hint: a: pris 2 670 + 9 600 = 12 270, kostnad 8 000 + 1 770 = 9 770, dekningsbidrag 2 500. b: 2 500 / 3 = 833. Plan: 20 ladere (60 t), 25 sikringsskap (150 t), 40 timer igjen gir 20 service. 50 000 + 75 000 + 14 000 = 139 000. Mona: 5 næring (100 t) + 25 skap (150 t) = 107 000. Ett næringsoppdrag likevel: 10 service à 700 = 7 000 viker, 6 400 kommer inn, 600 i tap.","")</f>
        <v/>
      </c>
    </row>
    <row r="38"/>
    <row r="39" ht="30" customHeight="1">
      <c r="B39" s="5" t="inlineStr">
        <is>
          <t>Gule celler fyller du inn, gjerne som regnestykke: =2100000/7300. Grønne regnes ut av arket. Sjekken til høyre sier om svaret stemmer, og hva du bør se på hvis ikke.</t>
        </is>
      </c>
    </row>
  </sheetData>
  <mergeCells count="15">
    <mergeCell ref="B3:G3"/>
    <mergeCell ref="B2:G2"/>
    <mergeCell ref="B19:G19"/>
    <mergeCell ref="B10:G10"/>
    <mergeCell ref="B39:G39"/>
    <mergeCell ref="B5:G5"/>
    <mergeCell ref="B32:G34"/>
    <mergeCell ref="B37:G37"/>
    <mergeCell ref="B31:G31"/>
    <mergeCell ref="B9:G9"/>
    <mergeCell ref="B35:G35"/>
    <mergeCell ref="B4:G4"/>
    <mergeCell ref="B18:G18"/>
    <mergeCell ref="B7:G7"/>
    <mergeCell ref="B6:G6"/>
  </mergeCells>
  <conditionalFormatting sqref="G21">
    <cfRule type="expression" priority="1" dxfId="0">
      <formula>LEFT(G21,6)="Riktig"</formula>
    </cfRule>
    <cfRule type="expression" priority="2" dxfId="1">
      <formula>LEFT(G21,6)="Nesten"</formula>
    </cfRule>
    <cfRule type="expression" priority="3" dxfId="2">
      <formula>AND(G21&lt;&gt;"",LEFT(G21,6)&lt;&gt;"Riktig",LEFT(G21,6)&lt;&gt;"Nesten",LEFT(G21,5)&lt;&gt;"Skriv")</formula>
    </cfRule>
  </conditionalFormatting>
  <conditionalFormatting sqref="G22">
    <cfRule type="expression" priority="4" dxfId="0">
      <formula>LEFT(G22,6)="Riktig"</formula>
    </cfRule>
    <cfRule type="expression" priority="5" dxfId="1">
      <formula>LEFT(G22,6)="Nesten"</formula>
    </cfRule>
    <cfRule type="expression" priority="6" dxfId="2">
      <formula>AND(G22&lt;&gt;"",LEFT(G22,6)&lt;&gt;"Riktig",LEFT(G22,6)&lt;&gt;"Nesten",LEFT(G22,5)&lt;&gt;"Skriv")</formula>
    </cfRule>
  </conditionalFormatting>
  <conditionalFormatting sqref="G23">
    <cfRule type="expression" priority="7" dxfId="0">
      <formula>LEFT(G23,6)="Riktig"</formula>
    </cfRule>
    <cfRule type="expression" priority="8" dxfId="2">
      <formula>LEFT(G23,4)="Ikke"</formula>
    </cfRule>
  </conditionalFormatting>
  <conditionalFormatting sqref="G24">
    <cfRule type="expression" priority="9" dxfId="0">
      <formula>LEFT(G24,6)="Riktig"</formula>
    </cfRule>
    <cfRule type="expression" priority="10" dxfId="2">
      <formula>LEFT(G24,4)="Ikke"</formula>
    </cfRule>
  </conditionalFormatting>
  <conditionalFormatting sqref="G26">
    <cfRule type="expression" priority="11" dxfId="0">
      <formula>LEFT(G26,6)="Riktig"</formula>
    </cfRule>
    <cfRule type="expression" priority="12" dxfId="1">
      <formula>LEFT(G26,6)="Nesten"</formula>
    </cfRule>
    <cfRule type="expression" priority="13" dxfId="2">
      <formula>AND(G26&lt;&gt;"",LEFT(G26,6)&lt;&gt;"Riktig",LEFT(G26,6)&lt;&gt;"Nesten",LEFT(G26,5)&lt;&gt;"Skriv")</formula>
    </cfRule>
  </conditionalFormatting>
  <conditionalFormatting sqref="G27">
    <cfRule type="expression" priority="14" dxfId="0">
      <formula>LEFT(G27,6)="Riktig"</formula>
    </cfRule>
    <cfRule type="expression" priority="15" dxfId="1">
      <formula>LEFT(G27,6)="Nesten"</formula>
    </cfRule>
    <cfRule type="expression" priority="16" dxfId="2">
      <formula>AND(G27&lt;&gt;"",LEFT(G27,6)&lt;&gt;"Riktig",LEFT(G27,6)&lt;&gt;"Nesten",LEFT(G27,5)&lt;&gt;"Skriv")</formula>
    </cfRule>
  </conditionalFormatting>
  <conditionalFormatting sqref="G28">
    <cfRule type="expression" priority="17" dxfId="0">
      <formula>LEFT(G28,6)="Riktig"</formula>
    </cfRule>
    <cfRule type="expression" priority="18" dxfId="1">
      <formula>LEFT(G28,6)="Nesten"</formula>
    </cfRule>
    <cfRule type="expression" priority="19" dxfId="2">
      <formula>AND(G28&lt;&gt;"",LEFT(G28,6)&lt;&gt;"Riktig",LEFT(G28,6)&lt;&gt;"Nesten",LEFT(G28,5)&lt;&gt;"Skriv")</formula>
    </cfRule>
  </conditionalFormatting>
  <conditionalFormatting sqref="G29">
    <cfRule type="expression" priority="20" dxfId="0">
      <formula>LEFT(G29,6)="Riktig"</formula>
    </cfRule>
    <cfRule type="expression" priority="21" dxfId="1">
      <formula>LEFT(G29,6)="Nesten"</formula>
    </cfRule>
    <cfRule type="expression" priority="22" dxfId="2">
      <formula>AND(G29&lt;&gt;"",LEFT(G29,6)&lt;&gt;"Riktig",LEFT(G29,6)&lt;&gt;"Nesten",LEFT(G29,5)&lt;&gt;"Skriv")</formula>
    </cfRule>
  </conditionalFormatting>
  <dataValidations count="3">
    <dataValidation sqref="C23" showDropDown="0" showInputMessage="0" showErrorMessage="0" allowBlank="1" type="list">
      <formula1>$Z$1:$Z$4</formula1>
    </dataValidation>
    <dataValidation sqref="C24" showDropDown="0" showInputMessage="0" showErrorMessage="0" allowBlank="1" type="list">
      <formula1>$Z$5:$Z$8</formula1>
    </dataValidation>
    <dataValidation sqref="C36"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D28"/>
  <sheetViews>
    <sheetView workbookViewId="0">
      <selection activeCell="A1" sqref="A1"/>
    </sheetView>
  </sheetViews>
  <sheetFormatPr baseColWidth="8" defaultRowHeight="15"/>
  <cols>
    <col width="3" customWidth="1" min="1" max="1"/>
    <col width="40" customWidth="1" min="2" max="2"/>
    <col width="16" customWidth="1" min="3" max="3"/>
    <col width="78" customWidth="1" min="4" max="4"/>
  </cols>
  <sheetData>
    <row r="2">
      <c r="B2" s="20" t="inlineStr">
        <is>
          <t>Fasit, kapittel 7</t>
        </is>
      </c>
    </row>
    <row r="3" ht="30" customHeight="1">
      <c r="B3" s="5" t="inlineStr">
        <is>
          <t>Prøv oppgaven selv før du leser her. Regnestykket står ved siden av hvert svar. Tallene hentes fra fasitformlene, så de stemmer alltid med oppgavefanene.</t>
        </is>
      </c>
    </row>
    <row r="5">
      <c r="B5" s="21" t="inlineStr">
        <is>
          <t>Oppgave</t>
        </is>
      </c>
      <c r="C5" s="21" t="inlineStr">
        <is>
          <t>Svar</t>
        </is>
      </c>
      <c r="D5" s="21" t="inlineStr">
        <is>
          <t>Regnestykket</t>
        </is>
      </c>
    </row>
    <row r="6" ht="30" customHeight="1">
      <c r="B6" s="22" t="inlineStr">
        <is>
          <t>1A a) Dekningsbidrag ladepunkt</t>
        </is>
      </c>
      <c r="C6" s="19" t="n">
        <v>1800</v>
      </c>
      <c r="D6" s="22" t="inlineStr">
        <is>
          <t>(2 × 890 + 6 500 × 1,20) − 6 500 − 2 × 640 = 9 580 − 6 500 − 1 280 = 1 800 kr</t>
        </is>
      </c>
    </row>
    <row r="7" ht="30" customHeight="1">
      <c r="B7" s="22" t="inlineStr">
        <is>
          <t>1A b) Ladepunkt per time</t>
        </is>
      </c>
      <c r="C7" s="19" t="n">
        <v>900</v>
      </c>
      <c r="D7" s="22" t="inlineStr">
        <is>
          <t>1 800 / 2 = 900 kr</t>
        </is>
      </c>
    </row>
    <row r="8" ht="30" customHeight="1">
      <c r="B8" s="22" t="inlineStr">
        <is>
          <t>1A c) Solcelleanlegg per time</t>
        </is>
      </c>
      <c r="C8" s="19" t="n">
        <v>793</v>
      </c>
      <c r="D8" s="22" t="inlineStr">
        <is>
          <t>11 100 / 14 = 793 kr</t>
        </is>
      </c>
    </row>
    <row r="9" ht="30" customHeight="1">
      <c r="B9" s="22" t="inlineStr">
        <is>
          <t>1A d) Serviceoppdrag per time</t>
        </is>
      </c>
      <c r="C9" s="19" t="n">
        <v>317</v>
      </c>
      <c r="D9" s="22" t="inlineStr">
        <is>
          <t>1 900 / 6 = 317 kr</t>
        </is>
      </c>
    </row>
    <row r="10" ht="30" customHeight="1">
      <c r="B10" s="22" t="inlineStr">
        <is>
          <t>1A e) Garasje per time</t>
        </is>
      </c>
      <c r="C10" s="19" t="n">
        <v>160</v>
      </c>
      <c r="D10" s="22" t="inlineStr">
        <is>
          <t>8 000 / 50 = 160 kr</t>
        </is>
      </c>
    </row>
    <row r="11" ht="30" customHeight="1">
      <c r="B11" s="22" t="inlineStr">
        <is>
          <t>1A f) Først</t>
        </is>
      </c>
      <c r="C11" s="19" t="inlineStr"/>
      <c r="D11" s="22" t="inlineStr">
        <is>
          <t>Ladepunkt, 900 kr per montørtime</t>
        </is>
      </c>
    </row>
    <row r="12" ht="30" customHeight="1">
      <c r="B12" s="22" t="inlineStr">
        <is>
          <t>1A g) Sist</t>
        </is>
      </c>
      <c r="C12" s="19" t="inlineStr"/>
      <c r="D12" s="22" t="inlineStr">
        <is>
          <t>Garasje, 160 kr per montørtime</t>
        </is>
      </c>
    </row>
    <row r="13" ht="45" customHeight="1">
      <c r="B13" s="22" t="inlineStr">
        <is>
          <t>1A h) Til Ronny</t>
        </is>
      </c>
      <c r="C13" s="19" t="inlineStr"/>
      <c r="D13" s="22" t="inlineStr">
        <is>
          <t>Garasjen gir 160 kr per time, ladepunktet 900. De 50 timene en garasje tar, gir 25 ladepunkt à 1 800 = 45 000 kr; garasjen gir 8 000. Hver garasje før ladepunktene koster 37 000 kr</t>
        </is>
      </c>
    </row>
    <row r="14" ht="30" customHeight="1">
      <c r="B14" s="22" t="inlineStr">
        <is>
          <t>1B a) Timer som mangler</t>
        </is>
      </c>
      <c r="C14" s="19" t="n">
        <v>144</v>
      </c>
      <c r="D14" s="22" t="inlineStr">
        <is>
          <t>120 × 2 + 6 × 14 + 100 × 6 + 6 × 50 = 1 224 timer. 1 224 − 1 080 = 144 timer</t>
        </is>
      </c>
    </row>
    <row r="15" ht="30" customHeight="1">
      <c r="B15" s="22" t="inlineStr">
        <is>
          <t>1B b) Garasjer i planen</t>
        </is>
      </c>
      <c r="C15" s="19" t="n">
        <v>3</v>
      </c>
      <c r="D15" s="22" t="inlineStr">
        <is>
          <t>1 080 − 240 − 84 − 600 = 156 timer igjen. 156 / 50 = 3,1, altså 3 garasjer (150 timer)</t>
        </is>
      </c>
    </row>
    <row r="16" ht="30" customHeight="1">
      <c r="B16" s="22" t="inlineStr">
        <is>
          <t>1B c) Dekningsbidrag, planen</t>
        </is>
      </c>
      <c r="C16" s="19" t="n">
        <v>496600</v>
      </c>
      <c r="D16" s="22" t="inlineStr">
        <is>
          <t>120 × 1 800 + 6 × 11 100 + 100 × 1 900 + 3 × 8 000 = 496 600 kr</t>
        </is>
      </c>
    </row>
    <row r="17" ht="30" customHeight="1">
      <c r="B17" s="22" t="inlineStr">
        <is>
          <t>1B d) Ronnys rekkefølge</t>
        </is>
      </c>
      <c r="C17" s="19" t="n">
        <v>391000</v>
      </c>
      <c r="D17" s="22" t="inlineStr">
        <is>
          <t>6 × 11 100 + 6 × 8 000 + 100 × 1 900 + 48 × 1 800 = 391 000 kr (984 timer + 96 timer til 48 ladepunkt)</t>
        </is>
      </c>
    </row>
    <row r="18" ht="30" customHeight="1">
      <c r="B18" s="22" t="inlineStr">
        <is>
          <t>1B e) Forskjellen</t>
        </is>
      </c>
      <c r="C18" s="19" t="n">
        <v>105600</v>
      </c>
      <c r="D18" s="22" t="inlineStr">
        <is>
          <t>496 600 − 391 000 = 105 600 kr</t>
        </is>
      </c>
    </row>
    <row r="19" ht="45" customHeight="1">
      <c r="B19" s="22" t="inlineStr">
        <is>
          <t>1B f) Til Ronny</t>
        </is>
      </c>
      <c r="C19" s="19" t="inlineStr"/>
      <c r="D19" s="22" t="inlineStr">
        <is>
          <t>Garasjen gir 160 kr per time, ladepunktet 900. Din rekkefølge koster 105 600 kr i april. Er garasjene del av en signert kontrakt med Haugerud, eller en ny forespørsel? Tar vi dem likevel, vet vi prisen</t>
        </is>
      </c>
    </row>
    <row r="20" ht="30" customHeight="1">
      <c r="B20" s="22" t="inlineStr">
        <is>
          <t>1C a) Dekningsbidrag lader</t>
        </is>
      </c>
      <c r="C20" s="19" t="n">
        <v>2500</v>
      </c>
      <c r="D20" s="22" t="inlineStr">
        <is>
          <t>(3 × 890 + 8 000 × 1,20) − (8 000 + 3 × 590) = 12 270 − 9 770 = 2 500 kr</t>
        </is>
      </c>
    </row>
    <row r="21" ht="30" customHeight="1">
      <c r="B21" s="22" t="inlineStr">
        <is>
          <t>1C b) Lader per time</t>
        </is>
      </c>
      <c r="C21" s="19" t="n">
        <v>833</v>
      </c>
      <c r="D21" s="22" t="inlineStr">
        <is>
          <t>2 500 / 3 = 833 kr. Sikringsskap 500, service 350, næring 320</t>
        </is>
      </c>
    </row>
    <row r="22" ht="30" customHeight="1">
      <c r="B22" s="22" t="inlineStr">
        <is>
          <t>1C c) Først</t>
        </is>
      </c>
      <c r="C22" s="19" t="inlineStr"/>
      <c r="D22" s="22" t="inlineStr">
        <is>
          <t>Elbillader, 833 kr per time</t>
        </is>
      </c>
    </row>
    <row r="23" ht="30" customHeight="1">
      <c r="B23" s="22" t="inlineStr">
        <is>
          <t>1C d) Sist</t>
        </is>
      </c>
      <c r="C23" s="19" t="inlineStr"/>
      <c r="D23" s="22" t="inlineStr">
        <is>
          <t>Næringsoppdrag, 320 kr per time</t>
        </is>
      </c>
    </row>
    <row r="24" ht="30" customHeight="1">
      <c r="B24" s="22" t="inlineStr">
        <is>
          <t>1C e) Serviceoppdrag i planen</t>
        </is>
      </c>
      <c r="C24" s="19" t="n">
        <v>20</v>
      </c>
      <c r="D24" s="22" t="inlineStr">
        <is>
          <t>250 − 60 − 150 = 40 timer igjen, 40 / 2 = 20 serviceoppdrag</t>
        </is>
      </c>
    </row>
    <row r="25" ht="30" customHeight="1">
      <c r="B25" s="22" t="inlineStr">
        <is>
          <t>1C f) Dekningsbidrag, planen</t>
        </is>
      </c>
      <c r="C25" s="19" t="n">
        <v>139000</v>
      </c>
      <c r="D25" s="22" t="inlineStr">
        <is>
          <t>20 × 2 500 + 25 × 3 000 + 20 × 700 = 139 000 kr</t>
        </is>
      </c>
    </row>
    <row r="26" ht="30" customHeight="1">
      <c r="B26" s="22" t="inlineStr">
        <is>
          <t>1C g) Monas rekkefølge</t>
        </is>
      </c>
      <c r="C26" s="19" t="n">
        <v>107000</v>
      </c>
      <c r="D26" s="22" t="inlineStr">
        <is>
          <t>5 × 6 400 + 25 × 3 000 = 107 000 kr (alle 250 timer brukt). 32 000 kr mindre, ingen ladere</t>
        </is>
      </c>
    </row>
    <row r="27" ht="30" customHeight="1">
      <c r="B27" s="22" t="inlineStr">
        <is>
          <t>1C h) Ett næringsoppdrag likevel</t>
        </is>
      </c>
      <c r="C27" s="19" t="n">
        <v>600</v>
      </c>
      <c r="D27" s="22" t="inlineStr">
        <is>
          <t>10 serviceoppdrag à 700 = 7 000 kr viker, næringsoppdraget gir 6 400: 600 kr lavere</t>
        </is>
      </c>
    </row>
    <row r="28" ht="30" customHeight="1">
      <c r="B28" s="22" t="inlineStr">
        <is>
          <t>1C i) Til Mona</t>
        </is>
      </c>
      <c r="C28" s="19" t="inlineStr"/>
      <c r="D28" s="22" t="inlineStr">
        <is>
          <t>Næring gir 320 kr per time, laderne 833. Alle fem først koster 32 000 kr. Ett oppdrag for en ny kunde koster 600 kr og kan være verdt det, men bevisst</t>
        </is>
      </c>
    </row>
  </sheetData>
  <sheetProtection selectLockedCells="0" selectUnlockedCells="0" sheet="1" objects="0" insertRows="1" insertHyperlinks="1" autoFilter="1" scenarios="0" formatColumns="1" deleteColumns="1" insertColumns="1" pivotTables="1" deleteRows="1" formatCells="1" formatRows="1" sort="1"/>
  <mergeCells count="1">
    <mergeCell ref="B3:D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2026-10-31T05:58:21Z</dcterms:created>
  <dcterms:modified xmlns:dcterms="http://purl.org/dc/terms/" xmlns:xsi="http://www.w3.org/2001/XMLSchema-instance" xsi:type="dcterms:W3CDTF">2026-10-31T05:58:22Z</dcterms:modified>
</cp:coreProperties>
</file>