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<sst xmlns="http://schemas.openxmlformats.org/spreadsheetml/2006/main" count="168" uniqueCount="121">
  <si>
    <t xml:space="preserve">Klasseoppgaver til Økonomistyring kapittel 7: Produktvalg med én knapp faktor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</si>
  <si>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</si>
  <si>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</si>
  <si>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</si>
  <si>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</si>
  <si>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</si>
  <si>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</si>
  <si>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</si>
  <si>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</si>
  <si>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i april: hvem får montørtimene? (Nordlys)</t>
  </si>
  <si>
    <t xml:space="preserve">A2</t>
  </si>
  <si>
    <t xml:space="preserve">Fjell Elektro i mai: 250 timer og forespørsler for 390 (Egen el-bedrift)</t>
  </si>
  <si>
    <t xml:space="preserve">B1</t>
  </si>
  <si>
    <t xml:space="preserve">Nordlys i juni: når materiellet er det knappe (Nordlys)</t>
  </si>
  <si>
    <t xml:space="preserve">B2</t>
  </si>
  <si>
    <t xml:space="preserve">Fjell Elektro i juni: 60 000 kr til materiell (Egen el-bedrift)</t>
  </si>
  <si>
    <t xml:space="preserve">Læreboka</t>
  </si>
  <si>
    <t xml:space="preserve">Hjertnes, J. og Skorpen, K.: Økonomistyring for LØM-emnet, kapittel 7.</t>
  </si>
  <si>
    <t xml:space="preserve">Appen</t>
  </si>
  <si>
    <t xml:space="preserve">Økonomistyring kap. 7 → Øv → Klasseoppgaver gir fasit per deloppgave.</t>
  </si>
  <si>
    <t xml:space="preserve">A1 · Nordlys i april: hvem får montørtimene?</t>
  </si>
  <si>
    <t xml:space="preserve">25 minutter · Helst alene. Sammen med sidemannen eller flere hvis du vil. Ark og blyant, appen (PC eller mobil) eller læreboka.</t>
  </si>
  <si>
    <t xml:space="preserve">Kort oppsummert: Når montørtimene er den knappe faktoren, rangerer du oppdragene etter dekningsbidrag per montørtime: dekningsbidraget per oppdrag delt på timene oppdraget bruker. Så lager du planen: fyll timene ovenfra og ned i rangeringen, ta aldri flere enn det finnes forespørsler av, og stopp når timene er brukt opp. Rangering etter dekningsbidrag per oppdrag er bare riktig når ingenting er knapt.</t>
  </si>
  <si>
    <t xml:space="preserve">Casen er lagt til 2027. I april tar påsken en del av timene, og Nordlys har 1 080 montørtimer å fordele. Forespørslene som ligger inne, står i tabellen med dekningsbidrag og montørtimer per oppdrag. Formann Ronny Fjeld vil ta nybyggene først, fordi de gir mest per jobb etter solcelleanleggene. Gå fram slik: regn ut hvor mange timer alle forespørslene krever, ranger oppdragstypene etter dekningsbidrag per montørtime, fyll timene ovenfra og ned (aldri flere enn forespurt) og regn ut samlet dekningsbidrag. Sammenlikn til slutt med Ronnys rekkefølge.</t>
  </si>
  <si>
    <t xml:space="preserve">Oppdragstype</t>
  </si>
  <si>
    <t xml:space="preserve">Dekningsbidrag per oppdrag</t>
  </si>
  <si>
    <t xml:space="preserve">Timer per oppdrag</t>
  </si>
  <si>
    <t xml:space="preserve">Forespurt i april</t>
  </si>
  <si>
    <t xml:space="preserve">Ladepunkt</t>
  </si>
  <si>
    <t xml:space="preserve">Solcelleanlegg</t>
  </si>
  <si>
    <t xml:space="preserve">Boliginstallasjon</t>
  </si>
  <si>
    <t xml:space="preserve">Nybygg (prosjekt)</t>
  </si>
  <si>
    <t xml:space="preserve">Montørtimer i april</t>
  </si>
  <si>
    <t xml:space="preserve">Gule celler med spørsmålstegn kan du fylle inn selv mens du regner.</t>
  </si>
  <si>
    <t xml:space="preserve">Deloppgave</t>
  </si>
  <si>
    <t xml:space="preserve">Ditt svar</t>
  </si>
  <si>
    <t xml:space="preserve">Sjekk</t>
  </si>
  <si>
    <t xml:space="preserve">a)  Hvor mange montørtimer ville det tatt å ta alle forespørslene i april? Gang antallet med timer per oppdrag for hver type og legg sammen.</t>
  </si>
  <si>
    <t xml:space="preserve">Formel og begrep</t>
  </si>
  <si>
    <t xml:space="preserve">Flaskehals = den faktoren som først og fremst begrenser produksjons- eller salgsmengden (Økonomistyring 7.1). Behov for den knappe faktoren = antall × forbruk per enhet.</t>
  </si>
  <si>
    <t xml:space="preserve">b)  Ranger etter dekningsbidrag per montørtime og fyll timene ovenfra og ned. Hvor mange boliginstallasjoner får plass i planen?</t>
  </si>
  <si>
    <t xml:space="preserve">Dekningsbidrag per enhet av den knappe faktoren = dekningsbidrag per enhet / forbruk av den knappe faktoren per enhet (Økonomistyring 7.2, tabell 7.3). Planen fyller kapasiteten i rangert rekkefølge, begrenset av hvor mye som kan selges (oppgave 4 c–e i kapitlet).</t>
  </si>
  <si>
    <t xml:space="preserve">c)  Samlet dekningsbidrag i aprilplanen, i kroner: antall av hver type ganger dekningsbidrag per oppdrag, lagt sammen.</t>
  </si>
  <si>
    <t xml:space="preserve">Samlet dekningsbidrag = summen av antall × dekningsbidrag per enhet for hver type (Økonomistyring 7.2; dekningsbidrag fra kap. 5.2).</t>
  </si>
  <si>
    <t xml:space="preserve">d)  Ronny sier: «Nybygg gir 2 100 kroner per jobb, over dobbelt så mye som en boliginstallasjon. Ta nybyggene før boligene.» Hva er riktig svar?   A: Ronny har rett: høyest dekningsbidrag per jobb skal først   B: Ronny tar feil: nybygg gir 233 kr per montørtime og bolig 300, så boligene skal ha timene først   C: Det spiller ingen rolle: timene blir brukt opp uansett   (skriv bokstaven)</t>
  </si>
  <si>
    <t xml:space="preserve">e)  Den beste planen avviser alle 30 nybyggforespørslene. Hva sier du til Ronny, og hva vil du vite før du bestemmer deg? To–tre setninger.</t>
  </si>
  <si>
    <t xml:space="preserve">Ingen ny formel. Bruk dekningsbidrag per time (7.2) og differansen mellom planene. Boka nevner selv at bedrifter av og til velger produkter som ikke er lønnsomme isolert, fordi de bidrar til lønnsomhet ellers (7.3, eksempel 3).</t>
  </si>
  <si>
    <t xml:space="preserve">Hint, hvis du står fast</t>
  </si>
  <si>
    <t xml:space="preserve">Rangeringen</t>
  </si>
  <si>
    <t xml:space="preserve">Del dekningsbidraget på timene: ladepunkt 1 050 / 2, solcelleanlegg 4 400 / 14, bolig 900 / 3, nybygg 2 100 / 9. Ta alle ladepunkt og solcelleanlegg først. Hvor mange timer er igjen av 1 080?</t>
  </si>
  <si>
    <t xml:space="preserve">Ronnys rekkefølge</t>
  </si>
  <si>
    <t xml:space="preserve">Ronny sorterer etter dekningsbidrag per jobb: solcelle, nybygg, ladepunkt, bolig. Nybygg gir 233 kr per time, bolig 300. Hver time nybygget tar fra boligene, koster 67 kr.</t>
  </si>
  <si>
    <t xml:space="preserve">Kilde: Hjertnes, J. og Skorpen, K.: Økonomistyring for LØM-emnet, kap. 7, avsnitt 7.1–7.2 med tabell 7.3, og oppgave 4 i kapitlet. Nordlys Elektro AS er en konstruert casebedrift.</t>
  </si>
  <si>
    <t xml:space="preserve">Regnearket er øvingsstøtte. Det kan ikke siteres eller vises til i besvarelser, prosjektoppgaver eller eksamen; der gjelder læreboka og oppgitte primærkilder.</t>
  </si>
  <si>
    <t xml:space="preserve">A2 · Fjell Elektro i mai: 250 timer og forespørsler for 390</t>
  </si>
  <si>
    <t xml:space="preserve">Kort oppsummert: Dekningsbidraget per oppdrag er pris minus variable kostnader. Når timene er knappe, deler du det på timene oppdraget bruker, og rangerer. Planen fyller timene ovenfra og ned i rangeringen. Den jobben som gir mest per oppdrag, kan godt være den som gir minst per time.</t>
  </si>
  <si>
    <t xml:space="preserve">Fjell Elektro AS er i sitt første driftsår. Mai har flere helligdager, og Fjell har 250 fakturerbare timer, mot omtrent 290 en vanlig måned (3 500 timer i året / 12). Forespørslene krever 390 timer. Fjell priser timen til 890 kr uten merverdiavgift, selger materiellet med 20 % påslag og regner 590 kr per montørtime i direkte lønn (som i kalkylene i kapittel 5). En elbillader i enebolig tar 3 timer og bruker materiell som Fjell kjøper for 8 000 kr. De andre oppdragstypene står i tabellen. Mona Fjell vil ta næringsoppdragene først, fordi de gir mest per jobb og kan gi nye kunder. Regn ut dekningsbidraget for laderen, ranger etter dekningsbidrag per time og sett opp planen for mai.</t>
  </si>
  <si>
    <t xml:space="preserve">Forespurt i mai</t>
  </si>
  <si>
    <t xml:space="preserve">Elbillader, enebolig</t>
  </si>
  <si>
    <t xml:space="preserve">Sikringsskapbytte</t>
  </si>
  <si>
    <t xml:space="preserve">Service og feilsøking</t>
  </si>
  <si>
    <t xml:space="preserve">Næringsoppdrag, lite kontor</t>
  </si>
  <si>
    <t xml:space="preserve">Fakturerbare timer i mai</t>
  </si>
  <si>
    <t xml:space="preserve">a)  Dekningsbidraget for én elbillader, i kroner: pris (timer × 890 + materiell med 20 % påslag) minus variable kostnader (materiell til innkjøpspris + timer × 590).</t>
  </si>
  <si>
    <t xml:space="preserve">Dekningsbidrag per enhet = salgspris − variable kostnader per enhet (Økonomistyring 7.2, tabell 7.1; kap. 5.2).</t>
  </si>
  <si>
    <t xml:space="preserve">b)  Dekningsbidraget per montørtime for elbilladeren, rundet til hele kroner.</t>
  </si>
  <si>
    <t xml:space="preserve">Dekningsbidrag per enhet av den knappe faktoren = dekningsbidrag per enhet / timer per enhet (Økonomistyring 7.2, tabell 7.3).</t>
  </si>
  <si>
    <t xml:space="preserve">c)  Sett opp planen for mai: fyll de 250 timene ovenfra og ned i rangeringen, aldri flere enn forespurt. Hva blir samlet dekningsbidrag?</t>
  </si>
  <si>
    <t xml:space="preserve">Fyll kapasiteten i rangert rekkefølge, aldri flere enn forespurt (Økonomistyring 7.2 og oppgave 4 c–e i kapitlet).</t>
  </si>
  <si>
    <t xml:space="preserve">d)  Mona vil ta næringsoppdragene først, fordi de gir 6 400 kr per jobb. Hva skjer med dekningsbidraget i mai?   A: Det øker, fordi næringsoppdragene gir mest per jobb   B: Det er det samme, fordi alle 250 timene blir brukt   C: Det faller med 32 000 kr, fordi næringsoppdragene gir minst per time og fortrenger alle laderne   (skriv bokstaven)</t>
  </si>
  <si>
    <t xml:space="preserve">e)  Næringskunden er ny og kan gi mer arbeid senere. Hva koster det å ta ett næringsoppdrag i mai likevel, og bør Mona gjøre det? Tips: hvilket oppdrag i planen gir fra seg de 20 timene?</t>
  </si>
  <si>
    <t xml:space="preserve">Kostnaden ved et avvik = dekningsbidraget fra det som må vike − dekningsbidraget fra det som kommer inn (Økonomistyring 7.2; samme logikk som d).</t>
  </si>
  <si>
    <t xml:space="preserve">Dekningsbidrag for laderen</t>
  </si>
  <si>
    <t xml:space="preserve">Pris: 3 × 890 + 8 000 × 1,20. Variable kostnader: 8 000 + 3 × 590. Dekningsbidrag = pris − variable kostnader.</t>
  </si>
  <si>
    <t xml:space="preserve">Planen i mai</t>
  </si>
  <si>
    <t xml:space="preserve">Rangering per time: lader 833, sikringsskap 500, service 350, næring 320. Ladere og sikringsskap tar 210 av 250 timer. Hvor mange serviceoppdrag à 2 timer får plass i resten?</t>
  </si>
  <si>
    <t xml:space="preserve">Kilde: Hjertnes, J. og Skorpen, K.: Økonomistyring for LØM-emnet, kap. 7, avsnitt 7.1–7.2 og oppgave 4. Dekningsbidrag i bidragskalkylen: kap. 5.2. Fjell Elektro AS er en konstruert casebedrift.</t>
  </si>
  <si>
    <t xml:space="preserve">B1 · Nordlys i juni: når materiellet er det knappe</t>
  </si>
  <si>
    <t xml:space="preserve">Kort oppsummert: Den knappe faktoren er den som først og fremst begrenser hva bedriften kan gjøre. Regn ut hva forespørslene krever av hver ressurs, og sammenlikn med det dere har. Når materiellet er knapt, er det materiellkronene som skal stå i nevneren: dekningsbidrag per materiellkrone. Rangeringen snur, og planen blir en annen.</t>
  </si>
  <si>
    <t xml:space="preserve">Casen er lagt til 2027. I juni har Polarlys Elektro Grossist leveringsproblemer og kan bare levere materiell for 1 600 000 kr. Nordlys har 1 200 montørtimer som vanlig. Forespørslene står i tabellen, med dekningsbidrag, materiell og montørtimer per oppdrag. Driftsleder Tom Berg vil bruke rangeringen fra mars (ladepunkt, solcelleanlegg, boliginstallasjon, nybygg). Finn ut hva som er knapt, ranger etter riktig måltall og sett opp planen.</t>
  </si>
  <si>
    <t xml:space="preserve">Oppdragstype (timer)</t>
  </si>
  <si>
    <t xml:space="preserve">Materiell per oppdrag</t>
  </si>
  <si>
    <t xml:space="preserve">Forespurt i juni</t>
  </si>
  <si>
    <t xml:space="preserve">Ladepunkt (2 t)</t>
  </si>
  <si>
    <t xml:space="preserve">Solcelleanlegg (14 t)</t>
  </si>
  <si>
    <t xml:space="preserve">Boliginstallasjon (3 t)</t>
  </si>
  <si>
    <t xml:space="preserve">Nybygg (9 t)</t>
  </si>
  <si>
    <t xml:space="preserve">Tilgang i juni</t>
  </si>
  <si>
    <t xml:space="preserve">1 200 t</t>
  </si>
  <si>
    <t xml:space="preserve">a)  Regn ut hva forespørslene krever av montørtimer og av materiell, og sammenlikn med det Nordlys har. Hva er den knappe faktoren i juni?   A: Montørtimene   B: Materiellet   C: Begge like mye   (skriv bokstaven)</t>
  </si>
  <si>
    <t xml:space="preserve">b)  Ranger etter dekningsbidrag per materiellkrone og fyll materiellrammen ovenfra og ned. Hvor mange solcelleanlegg får plass?</t>
  </si>
  <si>
    <t xml:space="preserve">Dekningsbidrag per krone materialkostnad = dekningsbidrag per enhet / materialkostnad per enhet (Økonomistyring 7.3, eksempel 3, situasjon 2).</t>
  </si>
  <si>
    <t xml:space="preserve">c)  Samlet dekningsbidrag i juniplanen, i kroner.</t>
  </si>
  <si>
    <t xml:space="preserve">Samlet dekningsbidrag = summen av antall × dekningsbidrag per enhet (Økonomistyring 7.2–7.3).</t>
  </si>
  <si>
    <t xml:space="preserve">d)  Tom holder fast ved rangeringen etter dekningsbidrag per montørtime, men materiellrammen er den samme. Hva skjer?   A: Det blir det samme, en rangering er en rangering   B: Dekningsbidraget faller med 41 600 kr, fordi nevneren nå skal være materiellkroner   C: Dekningsbidraget øker, fordi montørtimene blir bedre brukt   (skriv bokstaven)</t>
  </si>
  <si>
    <t xml:space="preserve">e)  Planen bruker 696 av 1 200 montørtimer. 504 timer står ubrukt. Hva bør Kari gjøre? To–tre setninger.</t>
  </si>
  <si>
    <t xml:space="preserve">Ingen ny formel. Verdien av mer av den knappe faktoren er dekningsbidrag per enhet av faktoren for neste oppdrag i køen (følger av 7.2–7.3).</t>
  </si>
  <si>
    <t xml:space="preserve">Hva er knapt?</t>
  </si>
  <si>
    <t xml:space="preserve">Regn hva forespørslene krever av timer (100 × 2 + 30 × 14 + …) og av materiell (100 × 6 500 + 30 × 38 000 + …). Sammenlikn med 1 200 timer og 1 600 000 kr.</t>
  </si>
  <si>
    <t xml:space="preserve">Ny nevner</t>
  </si>
  <si>
    <t xml:space="preserve">Dekningsbidrag per materiellkrone: bolig 0,23, ladepunkt 0,16, solcelle 0,12, nybygg 0,10. Bolig og ladepunkt tar 1 050 000. Hvor mange solcelleanlegg à 38 000 får plass i resten?</t>
  </si>
  <si>
    <t xml:space="preserve">Kilde: Hjertnes, J. og Skorpen, K.: Økonomistyring for LØM-emnet, kap. 7, avsnitt 7.3 (eksempel 2 og situasjon 2: knapp råvare målt i kroner). Nordlys Elektro AS er en konstruert casebedrift.</t>
  </si>
  <si>
    <t xml:space="preserve">B2 · Fjell Elektro i juni: 60 000 kr til materiell</t>
  </si>
  <si>
    <t xml:space="preserve">Kort oppsummert: Når pengene til materiell er det knappe, deler du dekningsbidraget på materiellkronene oppdraget binder. Oppdrag med mye materiell per time, som var best når timene var knappe, kan da havne nederst. Rangeringen avhenger av hvilken faktor det er knapphet på.</t>
  </si>
  <si>
    <t xml:space="preserve">Fjell Elektro AS er i sitt første driftsår. Grossisten gir 30 dagers kreditt, men med en kredittgrense, og etter merverdiavgiftsterminen 10. juni er kontoen trang. I juni kan Fjell derfor bare kjøpe materiell for 60 000 kr (innkjøpspris uten merverdiavgift). Fjell har 290 fakturerbare timer, som en vanlig måned (3 500 timer i året / 12). Oppdragstypene er de samme som i mai (A2). Forespørslene står i tabellen. Mona vil bruke rangeringen fra mai, der laderen var best. Finn riktig rangering og sett opp planen for juni.</t>
  </si>
  <si>
    <t xml:space="preserve">Elbillader (3 t)</t>
  </si>
  <si>
    <t xml:space="preserve">Sikringsskapbytte (6 t)</t>
  </si>
  <si>
    <t xml:space="preserve">Service og feilsøking (2 t)</t>
  </si>
  <si>
    <t xml:space="preserve">Næringsoppdrag (20 t)</t>
  </si>
  <si>
    <t xml:space="preserve">290 t</t>
  </si>
  <si>
    <t xml:space="preserve">a)  Dekningsbidraget per materiellkrone for sikringsskapbyttet, med to desimaler.</t>
  </si>
  <si>
    <t xml:space="preserve">b)  Fyll de 60 000 kronene ovenfra og ned i rangeringen etter dekningsbidrag per materiellkrone. Hvor mange sikringsskapbytter får plass?</t>
  </si>
  <si>
    <t xml:space="preserve">Fyll den knappe faktoren i rangert rekkefølge, aldri flere enn forespurt (Økonomistyring 7.3 og oppgave 4 c–e i kapitlet).</t>
  </si>
  <si>
    <t xml:space="preserve">d)  Mona bruker rangeringen fra mai og tar laderne først. Hva skjer med dekningsbidraget i juni?   A: Det blir best, fordi laderen gir mest per time   B: Det faller til 23 100 kr, fordi laderen binder mest materiell per krone dekningsbidrag   C: Det blir det samme, fordi alle 60 000 kronene brukes   (skriv bokstaven)</t>
  </si>
  <si>
    <t xml:space="preserve">e)  Planen bruker 170 av 290 timer, og 15 ladere og 10 sikringsskap venter. Hva kan Mona gjøre med det som er knapt? To–tre setninger.</t>
  </si>
  <si>
    <t xml:space="preserve">Ingen ny formel. Verdien av en ekstra krone i den knappe faktoren er dekningsbidrag per krone for neste oppdrag i køen (følger av 7.3).</t>
  </si>
  <si>
    <t xml:space="preserve">Dekningsbidrag per materiellkrone</t>
  </si>
  <si>
    <t xml:space="preserve">Del dekningsbidraget på materiellet: næring 6 400 / 2 000, service 700 / 500, sikringsskap 3 000 / 6 000, lader 2 500 / 8 000. Laderen var best i mai. Hvor havner den nå?</t>
  </si>
  <si>
    <t xml:space="preserve">Planen i juni</t>
  </si>
  <si>
    <t xml:space="preserve">Næring (6 000) og service (20 000) først. Da er 34 000 igjen. Hvor mange sikringsskap à 6 000 får plass? Sjekk at timene strekker til.</t>
  </si>
  <si>
    <t xml:space="preserve">Kilde: Hjertnes, J. og Skorpen, K.: Økonomistyring for LØM-emnet, kap. 7, avsnitt 7.3 (situasjon 2: knapp råvare målt i kroner materialkostnad). Fjell Elektro AS er en konstruert casebedrift.</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</si>
</sst>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26.85" hidden="false" customHeight="false" outlineLevel="0" collapsed="false">
      <c r="A7" s="8" t="s">
        <v>24</v>
      </c>
      <c r="B7" s="9" t="s">
        <v>25</v>
      </c>
      <c r="C7" s="9" t="s">
        <v>26</v>
      </c>
      <c r="D7" s="9" t="s">
        <v>27</v>
      </c>
    </row>
    <row r="8" customFormat="false" ht="15" hidden="false" customHeight="false" outlineLevel="0" collapsed="false">
      <c r="A8" s="10" t="s">
        <v>28</v>
      </c>
      <c r="B8" s="11" t="n">
        <v>1050</v>
      </c>
      <c r="C8" s="11" t="n">
        <v>2</v>
      </c>
      <c r="D8" s="11" t="n">
        <v>120</v>
      </c>
    </row>
    <row r="9" customFormat="false" ht="15" hidden="false" customHeight="false" outlineLevel="0" collapsed="false">
      <c r="A9" s="12" t="s">
        <v>29</v>
      </c>
      <c r="B9" s="13" t="n">
        <v>4400</v>
      </c>
      <c r="C9" s="13" t="n">
        <v>14</v>
      </c>
      <c r="D9" s="13" t="n">
        <v>40</v>
      </c>
    </row>
    <row r="10" customFormat="false" ht="15" hidden="false" customHeight="false" outlineLevel="0" collapsed="false">
      <c r="A10" s="10" t="s">
        <v>30</v>
      </c>
      <c r="B10" s="11" t="n">
        <v>900</v>
      </c>
      <c r="C10" s="11" t="n">
        <v>3</v>
      </c>
      <c r="D10" s="11" t="n">
        <v>100</v>
      </c>
    </row>
    <row r="11" customFormat="false" ht="15" hidden="false" customHeight="false" outlineLevel="0" collapsed="false">
      <c r="A11" s="12" t="s">
        <v>31</v>
      </c>
      <c r="B11" s="13" t="n">
        <v>2100</v>
      </c>
      <c r="C11" s="13" t="n">
        <v>9</v>
      </c>
      <c r="D11" s="13" t="n">
        <v>30</v>
      </c>
    </row>
    <row r="12" customFormat="false" ht="15" hidden="false" customHeight="false" outlineLevel="0" collapsed="false">
      <c r="A12" s="10" t="s">
        <v>32</v>
      </c>
      <c r="B12" s="14"/>
      <c r="C12" s="11" t="n">
        <v>1080</v>
      </c>
      <c r="D12" s="14"/>
    </row>
    <row r="13" customFormat="false" ht="15" hidden="false" customHeight="true" outlineLevel="0" collapsed="false">
      <c r="A13" s="6" t="s">
        <v>33</v>
      </c>
      <c r="B13" s="6"/>
      <c r="C13" s="6"/>
      <c r="D13" s="6"/>
      <c r="E13" s="6"/>
      <c r="F13" s="6"/>
      <c r="G13" s="6"/>
    </row>
    <row r="15" customFormat="false" ht="15" hidden="false" customHeight="false" outlineLevel="0" collapsed="false">
      <c r="A15" s="15" t="s">
        <v>34</v>
      </c>
      <c r="B15" s="15"/>
      <c r="C15" s="15"/>
      <c r="D15" s="15"/>
      <c r="E15" s="15"/>
      <c r="F15" s="15" t="s">
        <v>35</v>
      </c>
      <c r="G15" s="15" t="s">
        <v>36</v>
      </c>
    </row>
    <row r="16" customFormat="false" ht="33.75" hidden="false" customHeight="true" outlineLevel="0" collapsed="false">
      <c r="A16" s="7" t="s">
        <v>37</v>
      </c>
      <c r="B16" s="7"/>
      <c r="C16" s="7"/>
      <c r="D16" s="7"/>
      <c r="E16" s="7"/>
      <c r="F16" s="16"/>
      <c r="G16" s="17" t="str">
        <f aca="false">IF(F16="","",IF(ABS(F16-(1370))&lt;=0.000000001,"Riktig","Prøv igjen"))</f>
        <v/>
      </c>
    </row>
    <row r="17" customFormat="false" ht="30" hidden="false" customHeight="true" outlineLevel="0" collapsed="false">
      <c r="A17" s="18" t="s">
        <v>38</v>
      </c>
      <c r="B17" s="19" t="s">
        <v>39</v>
      </c>
      <c r="C17" s="19"/>
      <c r="D17" s="19"/>
      <c r="E17" s="19"/>
      <c r="F17" s="19"/>
      <c r="G17" s="19"/>
    </row>
    <row r="19" customFormat="false" ht="33.75" hidden="false" customHeight="true" outlineLevel="0" collapsed="false">
      <c r="A19" s="7" t="s">
        <v>40</v>
      </c>
      <c r="B19" s="7"/>
      <c r="C19" s="7"/>
      <c r="D19" s="7"/>
      <c r="E19" s="7"/>
      <c r="F19" s="16"/>
      <c r="G19" s="17" t="str">
        <f aca="false">IF(F19="","",IF(ABS(F19-(93))&lt;=0.000000001,"Riktig","Prøv igjen"))</f>
        <v/>
      </c>
    </row>
    <row r="20" customFormat="false" ht="42.75" hidden="false" customHeight="true" outlineLevel="0" collapsed="false">
      <c r="A20" s="18" t="s">
        <v>38</v>
      </c>
      <c r="B20" s="19" t="s">
        <v>41</v>
      </c>
      <c r="C20" s="19"/>
      <c r="D20" s="19"/>
      <c r="E20" s="19"/>
      <c r="F20" s="19"/>
      <c r="G20" s="19"/>
    </row>
    <row r="22" customFormat="false" ht="33.75" hidden="false" customHeight="true" outlineLevel="0" collapsed="false">
      <c r="A22" s="7" t="s">
        <v>42</v>
      </c>
      <c r="B22" s="7"/>
      <c r="C22" s="7"/>
      <c r="D22" s="7"/>
      <c r="E22" s="7"/>
      <c r="F22" s="16"/>
      <c r="G22" s="17" t="str">
        <f aca="false">IF(F22="","",IF(ABS(F22-(385700))&lt;=0.000000001,"Riktig","Prøv igjen"))</f>
        <v/>
      </c>
    </row>
    <row r="23" customFormat="false" ht="30" hidden="false" customHeight="true" outlineLevel="0" collapsed="false">
      <c r="A23" s="18" t="s">
        <v>38</v>
      </c>
      <c r="B23" s="19" t="s">
        <v>43</v>
      </c>
      <c r="C23" s="19"/>
      <c r="D23" s="19"/>
      <c r="E23" s="19"/>
      <c r="F23" s="19"/>
      <c r="G23" s="19"/>
    </row>
    <row r="25" customFormat="false" ht="78.75" hidden="false" customHeight="true" outlineLevel="0" collapsed="false">
      <c r="A25" s="7" t="s">
        <v>44</v>
      </c>
      <c r="B25" s="7"/>
      <c r="C25" s="7"/>
      <c r="D25" s="7"/>
      <c r="E25" s="7"/>
      <c r="F25" s="20"/>
      <c r="G25" s="17" t="str">
        <f aca="false">IF(F25="","",IF(UPPER(TRIM(F25))="B","Riktig","Prøv igjen"))</f>
        <v/>
      </c>
    </row>
    <row r="26" customFormat="false" ht="33.75" hidden="false" customHeight="true" outlineLevel="0" collapsed="false">
      <c r="A26" s="7" t="s">
        <v>45</v>
      </c>
      <c r="B26" s="7"/>
      <c r="C26" s="7"/>
      <c r="D26" s="7"/>
      <c r="E26" s="7"/>
    </row>
    <row r="27" customFormat="false" ht="15" hidden="false" customHeight="false" outlineLevel="0" collapsed="false">
      <c r="A27" s="21"/>
      <c r="B27" s="21"/>
      <c r="C27" s="21"/>
      <c r="D27" s="21"/>
      <c r="E27" s="21"/>
      <c r="F27" s="21"/>
      <c r="G27" s="21"/>
    </row>
    <row r="28" customFormat="false" ht="15" hidden="false" customHeight="false" outlineLevel="0" collapsed="false">
      <c r="A28" s="21"/>
      <c r="B28" s="21"/>
      <c r="C28" s="21"/>
      <c r="D28" s="21"/>
      <c r="E28" s="21"/>
      <c r="F28" s="21"/>
      <c r="G28" s="21"/>
    </row>
    <row r="29" customFormat="false" ht="15" hidden="false" customHeight="false" outlineLevel="0" collapsed="false">
      <c r="A29" s="21"/>
      <c r="B29" s="21"/>
      <c r="C29" s="21"/>
      <c r="D29" s="21"/>
      <c r="E29" s="21"/>
      <c r="F29" s="21"/>
      <c r="G29" s="21"/>
    </row>
    <row r="30" customFormat="false" ht="42.75" hidden="false" customHeight="true" outlineLevel="0" collapsed="false">
      <c r="A30" s="18" t="s">
        <v>38</v>
      </c>
      <c r="B30" s="19" t="s">
        <v>46</v>
      </c>
      <c r="C30" s="19"/>
      <c r="D30" s="19"/>
      <c r="E30" s="19"/>
      <c r="F30" s="19"/>
      <c r="G30" s="19"/>
    </row>
    <row r="33" customFormat="false" ht="15" hidden="false" customHeight="false" outlineLevel="0" collapsed="false">
      <c r="A33" s="22" t="s">
        <v>47</v>
      </c>
      <c r="B33" s="22"/>
      <c r="C33" s="22"/>
      <c r="D33" s="22"/>
      <c r="E33" s="22"/>
      <c r="F33" s="22"/>
      <c r="G33" s="22"/>
    </row>
    <row r="34" customFormat="false" ht="42.75" hidden="false" customHeight="true" outlineLevel="0" collapsed="false">
      <c r="A34" s="23" t="s">
        <v>48</v>
      </c>
      <c r="B34" s="24" t="s">
        <v>49</v>
      </c>
      <c r="C34" s="24"/>
      <c r="D34" s="24"/>
      <c r="E34" s="24"/>
      <c r="F34" s="24"/>
      <c r="G34" s="24"/>
    </row>
    <row r="35" customFormat="false" ht="30" hidden="false" customHeight="true" outlineLevel="0" collapsed="false">
      <c r="A35" s="23" t="s">
        <v>50</v>
      </c>
      <c r="B35" s="24" t="s">
        <v>51</v>
      </c>
      <c r="C35" s="24"/>
      <c r="D35" s="24"/>
      <c r="E35" s="24"/>
      <c r="F35" s="24"/>
      <c r="G35" s="24"/>
    </row>
    <row r="37" customFormat="false" ht="33.75" hidden="false" customHeight="true" outlineLevel="0" collapsed="false">
      <c r="A37" s="6" t="s">
        <v>52</v>
      </c>
      <c r="B37" s="6"/>
      <c r="C37" s="6"/>
      <c r="D37" s="6"/>
      <c r="E37" s="6"/>
      <c r="F37" s="6"/>
      <c r="G37" s="6"/>
    </row>
    <row r="38" customFormat="false" ht="15" hidden="false" customHeight="true" outlineLevel="0" collapsed="false">
      <c r="A38" s="6" t="s">
        <v>53</v>
      </c>
      <c r="B38" s="6"/>
      <c r="C38" s="6"/>
      <c r="D38" s="6"/>
      <c r="E38" s="6"/>
      <c r="F38" s="6"/>
      <c r="G38" s="6"/>
    </row>
  </sheetData>
  <mergeCells count="19">
    <mergeCell ref="A4:G4"/>
    <mergeCell ref="A5:G5"/>
    <mergeCell ref="A13:G13"/>
    <mergeCell ref="A15:E15"/>
    <mergeCell ref="A16:E16"/>
    <mergeCell ref="B17:G17"/>
    <mergeCell ref="A19:E19"/>
    <mergeCell ref="B20:G20"/>
    <mergeCell ref="A22:E22"/>
    <mergeCell ref="B23:G23"/>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54</v>
      </c>
    </row>
    <row r="2" customFormat="false" ht="15" hidden="false" customHeight="false" outlineLevel="0" collapsed="false">
      <c r="A2" s="2" t="s">
        <v>21</v>
      </c>
    </row>
    <row r="4" customFormat="false" ht="48.75" hidden="false" customHeight="true" outlineLevel="0" collapsed="false">
      <c r="A4" s="6" t="s">
        <v>55</v>
      </c>
      <c r="B4" s="6"/>
      <c r="C4" s="6"/>
      <c r="D4" s="6"/>
      <c r="E4" s="6"/>
      <c r="F4" s="6"/>
      <c r="G4" s="6"/>
    </row>
    <row r="5" customFormat="false" ht="108.75" hidden="false" customHeight="true" outlineLevel="0" collapsed="false">
      <c r="A5" s="7" t="s">
        <v>56</v>
      </c>
      <c r="B5" s="7"/>
      <c r="C5" s="7"/>
      <c r="D5" s="7"/>
      <c r="E5" s="7"/>
      <c r="F5" s="7"/>
      <c r="G5" s="7"/>
    </row>
    <row r="7" customFormat="false" ht="26.85" hidden="false" customHeight="false" outlineLevel="0" collapsed="false">
      <c r="A7" s="8" t="s">
        <v>24</v>
      </c>
      <c r="B7" s="9" t="s">
        <v>25</v>
      </c>
      <c r="C7" s="9" t="s">
        <v>26</v>
      </c>
      <c r="D7" s="9" t="s">
        <v>57</v>
      </c>
    </row>
    <row r="8" customFormat="false" ht="15" hidden="false" customHeight="false" outlineLevel="0" collapsed="false">
      <c r="A8" s="10" t="s">
        <v>58</v>
      </c>
      <c r="B8" s="16"/>
      <c r="C8" s="11" t="n">
        <v>3</v>
      </c>
      <c r="D8" s="11" t="n">
        <v>20</v>
      </c>
    </row>
    <row r="9" customFormat="false" ht="15" hidden="false" customHeight="false" outlineLevel="0" collapsed="false">
      <c r="A9" s="12" t="s">
        <v>59</v>
      </c>
      <c r="B9" s="13" t="n">
        <v>3000</v>
      </c>
      <c r="C9" s="13" t="n">
        <v>6</v>
      </c>
      <c r="D9" s="13" t="n">
        <v>25</v>
      </c>
    </row>
    <row r="10" customFormat="false" ht="15" hidden="false" customHeight="false" outlineLevel="0" collapsed="false">
      <c r="A10" s="10" t="s">
        <v>60</v>
      </c>
      <c r="B10" s="11" t="n">
        <v>700</v>
      </c>
      <c r="C10" s="11" t="n">
        <v>2</v>
      </c>
      <c r="D10" s="11" t="n">
        <v>40</v>
      </c>
    </row>
    <row r="11" customFormat="false" ht="15" hidden="false" customHeight="false" outlineLevel="0" collapsed="false">
      <c r="A11" s="12" t="s">
        <v>61</v>
      </c>
      <c r="B11" s="13" t="n">
        <v>6400</v>
      </c>
      <c r="C11" s="13" t="n">
        <v>20</v>
      </c>
      <c r="D11" s="13" t="n">
        <v>5</v>
      </c>
    </row>
    <row r="12" customFormat="false" ht="15" hidden="false" customHeight="false" outlineLevel="0" collapsed="false">
      <c r="A12" s="10" t="s">
        <v>62</v>
      </c>
      <c r="B12" s="14"/>
      <c r="C12" s="11" t="n">
        <v>250</v>
      </c>
      <c r="D12" s="14"/>
    </row>
    <row r="13" customFormat="false" ht="15" hidden="false" customHeight="true" outlineLevel="0" collapsed="false">
      <c r="A13" s="6" t="s">
        <v>33</v>
      </c>
      <c r="B13" s="6"/>
      <c r="C13" s="6"/>
      <c r="D13" s="6"/>
      <c r="E13" s="6"/>
      <c r="F13" s="6"/>
      <c r="G13" s="6"/>
    </row>
    <row r="15" customFormat="false" ht="15" hidden="false" customHeight="false" outlineLevel="0" collapsed="false">
      <c r="A15" s="15" t="s">
        <v>34</v>
      </c>
      <c r="B15" s="15"/>
      <c r="C15" s="15"/>
      <c r="D15" s="15"/>
      <c r="E15" s="15"/>
      <c r="F15" s="15" t="s">
        <v>35</v>
      </c>
      <c r="G15" s="15" t="s">
        <v>36</v>
      </c>
    </row>
    <row r="16" customFormat="false" ht="33.75" hidden="false" customHeight="true" outlineLevel="0" collapsed="false">
      <c r="A16" s="7" t="s">
        <v>63</v>
      </c>
      <c r="B16" s="7"/>
      <c r="C16" s="7"/>
      <c r="D16" s="7"/>
      <c r="E16" s="7"/>
      <c r="F16" s="16"/>
      <c r="G16" s="17" t="str">
        <f aca="false">IF(F16="","",IF(ABS(F16-(2500))&lt;=0.000000001,"Riktig","Prøv igjen"))</f>
        <v/>
      </c>
    </row>
    <row r="17" customFormat="false" ht="30" hidden="false" customHeight="true" outlineLevel="0" collapsed="false">
      <c r="A17" s="18" t="s">
        <v>38</v>
      </c>
      <c r="B17" s="19" t="s">
        <v>64</v>
      </c>
      <c r="C17" s="19"/>
      <c r="D17" s="19"/>
      <c r="E17" s="19"/>
      <c r="F17" s="19"/>
      <c r="G17" s="19"/>
    </row>
    <row r="19" customFormat="false" ht="18.75" hidden="false" customHeight="true" outlineLevel="0" collapsed="false">
      <c r="A19" s="7" t="s">
        <v>65</v>
      </c>
      <c r="B19" s="7"/>
      <c r="C19" s="7"/>
      <c r="D19" s="7"/>
      <c r="E19" s="7"/>
      <c r="F19" s="16"/>
      <c r="G19" s="17" t="str">
        <f aca="false">IF(F19="","",IF(ABS(F19-(833))&lt;=1,"Riktig","Prøv igjen"))</f>
        <v/>
      </c>
    </row>
    <row r="20" customFormat="false" ht="30" hidden="false" customHeight="true" outlineLevel="0" collapsed="false">
      <c r="A20" s="18" t="s">
        <v>38</v>
      </c>
      <c r="B20" s="19" t="s">
        <v>66</v>
      </c>
      <c r="C20" s="19"/>
      <c r="D20" s="19"/>
      <c r="E20" s="19"/>
      <c r="F20" s="19"/>
      <c r="G20" s="19"/>
    </row>
    <row r="22" customFormat="false" ht="33.75" hidden="false" customHeight="true" outlineLevel="0" collapsed="false">
      <c r="A22" s="7" t="s">
        <v>67</v>
      </c>
      <c r="B22" s="7"/>
      <c r="C22" s="7"/>
      <c r="D22" s="7"/>
      <c r="E22" s="7"/>
      <c r="F22" s="16"/>
      <c r="G22" s="17" t="str">
        <f aca="false">IF(F22="","",IF(ABS(F22-(139000))&lt;=0.000000001,"Riktig","Prøv igjen"))</f>
        <v/>
      </c>
    </row>
    <row r="23" customFormat="false" ht="30" hidden="false" customHeight="true" outlineLevel="0" collapsed="false">
      <c r="A23" s="18" t="s">
        <v>38</v>
      </c>
      <c r="B23" s="19" t="s">
        <v>68</v>
      </c>
      <c r="C23" s="19"/>
      <c r="D23" s="19"/>
      <c r="E23" s="19"/>
      <c r="F23" s="19"/>
      <c r="G23" s="19"/>
    </row>
    <row r="25" customFormat="false" ht="63.75" hidden="false" customHeight="true" outlineLevel="0" collapsed="false">
      <c r="A25" s="7" t="s">
        <v>69</v>
      </c>
      <c r="B25" s="7"/>
      <c r="C25" s="7"/>
      <c r="D25" s="7"/>
      <c r="E25" s="7"/>
      <c r="F25" s="20"/>
      <c r="G25" s="17" t="str">
        <f aca="false">IF(F25="","",IF(UPPER(TRIM(F25))="C","Riktig","Prøv igjen"))</f>
        <v/>
      </c>
    </row>
    <row r="26" customFormat="false" ht="33.75" hidden="false" customHeight="true" outlineLevel="0" collapsed="false">
      <c r="A26" s="7" t="s">
        <v>70</v>
      </c>
      <c r="B26" s="7"/>
      <c r="C26" s="7"/>
      <c r="D26" s="7"/>
      <c r="E26" s="7"/>
    </row>
    <row r="27" customFormat="false" ht="15" hidden="false" customHeight="false" outlineLevel="0" collapsed="false">
      <c r="A27" s="21"/>
      <c r="B27" s="21"/>
      <c r="C27" s="21"/>
      <c r="D27" s="21"/>
      <c r="E27" s="21"/>
      <c r="F27" s="21"/>
      <c r="G27" s="21"/>
    </row>
    <row r="28" customFormat="false" ht="15" hidden="false" customHeight="false" outlineLevel="0" collapsed="false">
      <c r="A28" s="21"/>
      <c r="B28" s="21"/>
      <c r="C28" s="21"/>
      <c r="D28" s="21"/>
      <c r="E28" s="21"/>
      <c r="F28" s="21"/>
      <c r="G28" s="21"/>
    </row>
    <row r="29" customFormat="false" ht="15" hidden="false" customHeight="false" outlineLevel="0" collapsed="false">
      <c r="A29" s="21"/>
      <c r="B29" s="21"/>
      <c r="C29" s="21"/>
      <c r="D29" s="21"/>
      <c r="E29" s="21"/>
      <c r="F29" s="21"/>
      <c r="G29" s="21"/>
    </row>
    <row r="30" customFormat="false" ht="30" hidden="false" customHeight="true" outlineLevel="0" collapsed="false">
      <c r="A30" s="18" t="s">
        <v>38</v>
      </c>
      <c r="B30" s="19" t="s">
        <v>71</v>
      </c>
      <c r="C30" s="19"/>
      <c r="D30" s="19"/>
      <c r="E30" s="19"/>
      <c r="F30" s="19"/>
      <c r="G30" s="19"/>
    </row>
    <row r="33" customFormat="false" ht="15" hidden="false" customHeight="false" outlineLevel="0" collapsed="false">
      <c r="A33" s="22" t="s">
        <v>47</v>
      </c>
      <c r="B33" s="22"/>
      <c r="C33" s="22"/>
      <c r="D33" s="22"/>
      <c r="E33" s="22"/>
      <c r="F33" s="22"/>
      <c r="G33" s="22"/>
    </row>
    <row r="34" customFormat="false" ht="30" hidden="false" customHeight="true" outlineLevel="0" collapsed="false">
      <c r="A34" s="23" t="s">
        <v>72</v>
      </c>
      <c r="B34" s="24" t="s">
        <v>73</v>
      </c>
      <c r="C34" s="24"/>
      <c r="D34" s="24"/>
      <c r="E34" s="24"/>
      <c r="F34" s="24"/>
      <c r="G34" s="24"/>
    </row>
    <row r="35" customFormat="false" ht="30" hidden="false" customHeight="true" outlineLevel="0" collapsed="false">
      <c r="A35" s="23" t="s">
        <v>74</v>
      </c>
      <c r="B35" s="24" t="s">
        <v>75</v>
      </c>
      <c r="C35" s="24"/>
      <c r="D35" s="24"/>
      <c r="E35" s="24"/>
      <c r="F35" s="24"/>
      <c r="G35" s="24"/>
    </row>
    <row r="37" customFormat="false" ht="33.75" hidden="false" customHeight="true" outlineLevel="0" collapsed="false">
      <c r="A37" s="6" t="s">
        <v>76</v>
      </c>
      <c r="B37" s="6"/>
      <c r="C37" s="6"/>
      <c r="D37" s="6"/>
      <c r="E37" s="6"/>
      <c r="F37" s="6"/>
      <c r="G37" s="6"/>
    </row>
    <row r="38" customFormat="false" ht="15" hidden="false" customHeight="true" outlineLevel="0" collapsed="false">
      <c r="A38" s="6" t="s">
        <v>53</v>
      </c>
      <c r="B38" s="6"/>
      <c r="C38" s="6"/>
      <c r="D38" s="6"/>
      <c r="E38" s="6"/>
      <c r="F38" s="6"/>
      <c r="G38" s="6"/>
    </row>
  </sheetData>
  <mergeCells count="19">
    <mergeCell ref="A4:G4"/>
    <mergeCell ref="A5:G5"/>
    <mergeCell ref="A13:G13"/>
    <mergeCell ref="A15:E15"/>
    <mergeCell ref="A16:E16"/>
    <mergeCell ref="B17:G17"/>
    <mergeCell ref="A19:E19"/>
    <mergeCell ref="B20:G20"/>
    <mergeCell ref="A22:E22"/>
    <mergeCell ref="B23:G23"/>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77</v>
      </c>
    </row>
    <row r="2" customFormat="false" ht="15" hidden="false" customHeight="false" outlineLevel="0" collapsed="false">
      <c r="A2" s="2" t="s">
        <v>21</v>
      </c>
    </row>
    <row r="4" customFormat="false" ht="48.75" hidden="false" customHeight="true" outlineLevel="0" collapsed="false">
      <c r="A4" s="6" t="s">
        <v>78</v>
      </c>
      <c r="B4" s="6"/>
      <c r="C4" s="6"/>
      <c r="D4" s="6"/>
      <c r="E4" s="6"/>
      <c r="F4" s="6"/>
      <c r="G4" s="6"/>
    </row>
    <row r="5" customFormat="false" ht="63.75" hidden="false" customHeight="true" outlineLevel="0" collapsed="false">
      <c r="A5" s="7" t="s">
        <v>79</v>
      </c>
      <c r="B5" s="7"/>
      <c r="C5" s="7"/>
      <c r="D5" s="7"/>
      <c r="E5" s="7"/>
      <c r="F5" s="7"/>
      <c r="G5" s="7"/>
    </row>
    <row r="7" customFormat="false" ht="26.85" hidden="false" customHeight="false" outlineLevel="0" collapsed="false">
      <c r="A7" s="8" t="s">
        <v>80</v>
      </c>
      <c r="B7" s="9" t="s">
        <v>25</v>
      </c>
      <c r="C7" s="9" t="s">
        <v>81</v>
      </c>
      <c r="D7" s="9" t="s">
        <v>82</v>
      </c>
    </row>
    <row r="8" customFormat="false" ht="15" hidden="false" customHeight="false" outlineLevel="0" collapsed="false">
      <c r="A8" s="10" t="s">
        <v>83</v>
      </c>
      <c r="B8" s="11" t="n">
        <v>1050</v>
      </c>
      <c r="C8" s="11" t="n">
        <v>6500</v>
      </c>
      <c r="D8" s="11" t="n">
        <v>100</v>
      </c>
    </row>
    <row r="9" customFormat="false" ht="15" hidden="false" customHeight="false" outlineLevel="0" collapsed="false">
      <c r="A9" s="12" t="s">
        <v>84</v>
      </c>
      <c r="B9" s="13" t="n">
        <v>4400</v>
      </c>
      <c r="C9" s="13" t="n">
        <v>38000</v>
      </c>
      <c r="D9" s="13" t="n">
        <v>30</v>
      </c>
    </row>
    <row r="10" customFormat="false" ht="15" hidden="false" customHeight="false" outlineLevel="0" collapsed="false">
      <c r="A10" s="10" t="s">
        <v>85</v>
      </c>
      <c r="B10" s="11" t="n">
        <v>900</v>
      </c>
      <c r="C10" s="11" t="n">
        <v>4000</v>
      </c>
      <c r="D10" s="11" t="n">
        <v>100</v>
      </c>
    </row>
    <row r="11" customFormat="false" ht="15" hidden="false" customHeight="false" outlineLevel="0" collapsed="false">
      <c r="A11" s="12" t="s">
        <v>86</v>
      </c>
      <c r="B11" s="13" t="n">
        <v>2100</v>
      </c>
      <c r="C11" s="13" t="n">
        <v>22000</v>
      </c>
      <c r="D11" s="13" t="n">
        <v>30</v>
      </c>
    </row>
    <row r="12" customFormat="false" ht="15" hidden="false" customHeight="false" outlineLevel="0" collapsed="false">
      <c r="A12" s="10" t="s">
        <v>87</v>
      </c>
      <c r="B12" s="14" t="s">
        <v>88</v>
      </c>
      <c r="C12" s="11" t="n">
        <v>1600000</v>
      </c>
      <c r="D12" s="14"/>
    </row>
    <row r="13" customFormat="false" ht="15" hidden="false" customHeight="true" outlineLevel="0" collapsed="false">
      <c r="A13" s="6" t="s">
        <v>33</v>
      </c>
      <c r="B13" s="6"/>
      <c r="C13" s="6"/>
      <c r="D13" s="6"/>
      <c r="E13" s="6"/>
      <c r="F13" s="6"/>
      <c r="G13" s="6"/>
    </row>
    <row r="15" customFormat="false" ht="15" hidden="false" customHeight="false" outlineLevel="0" collapsed="false">
      <c r="A15" s="15" t="s">
        <v>34</v>
      </c>
      <c r="B15" s="15"/>
      <c r="C15" s="15"/>
      <c r="D15" s="15"/>
      <c r="E15" s="15"/>
      <c r="F15" s="15" t="s">
        <v>35</v>
      </c>
      <c r="G15" s="15" t="s">
        <v>36</v>
      </c>
    </row>
    <row r="16" customFormat="false" ht="48.75" hidden="false" customHeight="true" outlineLevel="0" collapsed="false">
      <c r="A16" s="7" t="s">
        <v>89</v>
      </c>
      <c r="B16" s="7"/>
      <c r="C16" s="7"/>
      <c r="D16" s="7"/>
      <c r="E16" s="7"/>
      <c r="F16" s="20"/>
      <c r="G16" s="17" t="str">
        <f aca="false">IF(F16="","",IF(UPPER(TRIM(F16))="B","Riktig","Prøv igjen"))</f>
        <v/>
      </c>
    </row>
    <row r="17" customFormat="false" ht="33.75" hidden="false" customHeight="true" outlineLevel="0" collapsed="false">
      <c r="A17" s="7" t="s">
        <v>90</v>
      </c>
      <c r="B17" s="7"/>
      <c r="C17" s="7"/>
      <c r="D17" s="7"/>
      <c r="E17" s="7"/>
      <c r="F17" s="16"/>
      <c r="G17" s="17" t="str">
        <f aca="false">IF(F17="","",IF(ABS(F17-(14))&lt;=0.000000001,"Riktig","Prøv igjen"))</f>
        <v/>
      </c>
    </row>
    <row r="18" customFormat="false" ht="30" hidden="false" customHeight="true" outlineLevel="0" collapsed="false">
      <c r="A18" s="18" t="s">
        <v>38</v>
      </c>
      <c r="B18" s="19" t="s">
        <v>91</v>
      </c>
      <c r="C18" s="19"/>
      <c r="D18" s="19"/>
      <c r="E18" s="19"/>
      <c r="F18" s="19"/>
      <c r="G18" s="19"/>
    </row>
    <row r="20" customFormat="false" ht="18.75" hidden="false" customHeight="true" outlineLevel="0" collapsed="false">
      <c r="A20" s="7" t="s">
        <v>92</v>
      </c>
      <c r="B20" s="7"/>
      <c r="C20" s="7"/>
      <c r="D20" s="7"/>
      <c r="E20" s="7"/>
      <c r="F20" s="16"/>
      <c r="G20" s="17" t="str">
        <f aca="false">IF(F20="","",IF(ABS(F20-(256600))&lt;=0.000000001,"Riktig","Prøv igjen"))</f>
        <v/>
      </c>
    </row>
    <row r="21" customFormat="false" ht="16.5" hidden="false" customHeight="true" outlineLevel="0" collapsed="false">
      <c r="A21" s="18" t="s">
        <v>38</v>
      </c>
      <c r="B21" s="19" t="s">
        <v>93</v>
      </c>
      <c r="C21" s="19"/>
      <c r="D21" s="19"/>
      <c r="E21" s="19"/>
      <c r="F21" s="19"/>
      <c r="G21" s="19"/>
    </row>
    <row r="23" customFormat="false" ht="63.75" hidden="false" customHeight="true" outlineLevel="0" collapsed="false">
      <c r="A23" s="7" t="s">
        <v>94</v>
      </c>
      <c r="B23" s="7"/>
      <c r="C23" s="7"/>
      <c r="D23" s="7"/>
      <c r="E23" s="7"/>
      <c r="F23" s="20"/>
      <c r="G23" s="17" t="str">
        <f aca="false">IF(F23="","",IF(UPPER(TRIM(F23))="B","Riktig","Prøv igjen"))</f>
        <v/>
      </c>
    </row>
    <row r="24" customFormat="false" ht="33.75" hidden="false" customHeight="true" outlineLevel="0" collapsed="false">
      <c r="A24" s="7" t="s">
        <v>95</v>
      </c>
      <c r="B24" s="7"/>
      <c r="C24" s="7"/>
      <c r="D24" s="7"/>
      <c r="E24" s="7"/>
    </row>
    <row r="25" customFormat="false" ht="15" hidden="false" customHeight="false" outlineLevel="0" collapsed="false">
      <c r="A25" s="21"/>
      <c r="B25" s="21"/>
      <c r="C25" s="21"/>
      <c r="D25" s="21"/>
      <c r="E25" s="21"/>
      <c r="F25" s="21"/>
      <c r="G25" s="21"/>
    </row>
    <row r="26" customFormat="false" ht="15" hidden="false" customHeight="false" outlineLevel="0" collapsed="false">
      <c r="A26" s="21"/>
      <c r="B26" s="21"/>
      <c r="C26" s="21"/>
      <c r="D26" s="21"/>
      <c r="E26" s="21"/>
      <c r="F26" s="21"/>
      <c r="G26" s="21"/>
    </row>
    <row r="27" customFormat="false" ht="15" hidden="false" customHeight="false" outlineLevel="0" collapsed="false">
      <c r="A27" s="21"/>
      <c r="B27" s="21"/>
      <c r="C27" s="21"/>
      <c r="D27" s="21"/>
      <c r="E27" s="21"/>
      <c r="F27" s="21"/>
      <c r="G27" s="21"/>
    </row>
    <row r="28" customFormat="false" ht="30" hidden="false" customHeight="true" outlineLevel="0" collapsed="false">
      <c r="A28" s="18" t="s">
        <v>38</v>
      </c>
      <c r="B28" s="19" t="s">
        <v>96</v>
      </c>
      <c r="C28" s="19"/>
      <c r="D28" s="19"/>
      <c r="E28" s="19"/>
      <c r="F28" s="19"/>
      <c r="G28" s="19"/>
    </row>
    <row r="31" customFormat="false" ht="15" hidden="false" customHeight="false" outlineLevel="0" collapsed="false">
      <c r="A31" s="22" t="s">
        <v>47</v>
      </c>
      <c r="B31" s="22"/>
      <c r="C31" s="22"/>
      <c r="D31" s="22"/>
      <c r="E31" s="22"/>
      <c r="F31" s="22"/>
      <c r="G31" s="22"/>
    </row>
    <row r="32" customFormat="false" ht="30" hidden="false" customHeight="true" outlineLevel="0" collapsed="false">
      <c r="A32" s="23" t="s">
        <v>97</v>
      </c>
      <c r="B32" s="24" t="s">
        <v>98</v>
      </c>
      <c r="C32" s="24"/>
      <c r="D32" s="24"/>
      <c r="E32" s="24"/>
      <c r="F32" s="24"/>
      <c r="G32" s="24"/>
    </row>
    <row r="33" customFormat="false" ht="30" hidden="false" customHeight="true" outlineLevel="0" collapsed="false">
      <c r="A33" s="23" t="s">
        <v>99</v>
      </c>
      <c r="B33" s="24" t="s">
        <v>100</v>
      </c>
      <c r="C33" s="24"/>
      <c r="D33" s="24"/>
      <c r="E33" s="24"/>
      <c r="F33" s="24"/>
      <c r="G33" s="24"/>
    </row>
    <row r="35" customFormat="false" ht="33.75" hidden="false" customHeight="true" outlineLevel="0" collapsed="false">
      <c r="A35" s="6" t="s">
        <v>101</v>
      </c>
      <c r="B35" s="6"/>
      <c r="C35" s="6"/>
      <c r="D35" s="6"/>
      <c r="E35" s="6"/>
      <c r="F35" s="6"/>
      <c r="G35" s="6"/>
    </row>
    <row r="36" customFormat="false" ht="15" hidden="false" customHeight="true" outlineLevel="0" collapsed="false">
      <c r="A36" s="6" t="s">
        <v>53</v>
      </c>
      <c r="B36" s="6"/>
      <c r="C36" s="6"/>
      <c r="D36" s="6"/>
      <c r="E36" s="6"/>
      <c r="F36" s="6"/>
      <c r="G36" s="6"/>
    </row>
  </sheetData>
  <mergeCells count="18">
    <mergeCell ref="A4:G4"/>
    <mergeCell ref="A5:G5"/>
    <mergeCell ref="A13:G13"/>
    <mergeCell ref="A15:E15"/>
    <mergeCell ref="A16:E16"/>
    <mergeCell ref="A17:E17"/>
    <mergeCell ref="B18:G18"/>
    <mergeCell ref="A20:E20"/>
    <mergeCell ref="B21:G21"/>
    <mergeCell ref="A23:E23"/>
    <mergeCell ref="A24:E24"/>
    <mergeCell ref="A25:G27"/>
    <mergeCell ref="B28:G28"/>
    <mergeCell ref="A31:G31"/>
    <mergeCell ref="B32:G32"/>
    <mergeCell ref="B33:G33"/>
    <mergeCell ref="A35:G35"/>
    <mergeCell ref="A36:G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102</v>
      </c>
    </row>
    <row r="2" customFormat="false" ht="15" hidden="false" customHeight="false" outlineLevel="0" collapsed="false">
      <c r="A2" s="2" t="s">
        <v>21</v>
      </c>
    </row>
    <row r="4" customFormat="false" ht="48.75" hidden="false" customHeight="true" outlineLevel="0" collapsed="false">
      <c r="A4" s="6" t="s">
        <v>103</v>
      </c>
      <c r="B4" s="6"/>
      <c r="C4" s="6"/>
      <c r="D4" s="6"/>
      <c r="E4" s="6"/>
      <c r="F4" s="6"/>
      <c r="G4" s="6"/>
    </row>
    <row r="5" customFormat="false" ht="78.75" hidden="false" customHeight="true" outlineLevel="0" collapsed="false">
      <c r="A5" s="7" t="s">
        <v>104</v>
      </c>
      <c r="B5" s="7"/>
      <c r="C5" s="7"/>
      <c r="D5" s="7"/>
      <c r="E5" s="7"/>
      <c r="F5" s="7"/>
      <c r="G5" s="7"/>
    </row>
    <row r="7" customFormat="false" ht="26.85" hidden="false" customHeight="false" outlineLevel="0" collapsed="false">
      <c r="A7" s="8" t="s">
        <v>80</v>
      </c>
      <c r="B7" s="9" t="s">
        <v>25</v>
      </c>
      <c r="C7" s="9" t="s">
        <v>81</v>
      </c>
      <c r="D7" s="9" t="s">
        <v>82</v>
      </c>
    </row>
    <row r="8" customFormat="false" ht="15" hidden="false" customHeight="false" outlineLevel="0" collapsed="false">
      <c r="A8" s="10" t="s">
        <v>105</v>
      </c>
      <c r="B8" s="11" t="n">
        <v>2500</v>
      </c>
      <c r="C8" s="11" t="n">
        <v>8000</v>
      </c>
      <c r="D8" s="11" t="n">
        <v>20</v>
      </c>
    </row>
    <row r="9" customFormat="false" ht="15" hidden="false" customHeight="false" outlineLevel="0" collapsed="false">
      <c r="A9" s="12" t="s">
        <v>106</v>
      </c>
      <c r="B9" s="13" t="n">
        <v>3000</v>
      </c>
      <c r="C9" s="13" t="n">
        <v>6000</v>
      </c>
      <c r="D9" s="13" t="n">
        <v>15</v>
      </c>
    </row>
    <row r="10" customFormat="false" ht="15" hidden="false" customHeight="false" outlineLevel="0" collapsed="false">
      <c r="A10" s="10" t="s">
        <v>107</v>
      </c>
      <c r="B10" s="11" t="n">
        <v>700</v>
      </c>
      <c r="C10" s="11" t="n">
        <v>500</v>
      </c>
      <c r="D10" s="11" t="n">
        <v>40</v>
      </c>
    </row>
    <row r="11" customFormat="false" ht="15" hidden="false" customHeight="false" outlineLevel="0" collapsed="false">
      <c r="A11" s="12" t="s">
        <v>108</v>
      </c>
      <c r="B11" s="13" t="n">
        <v>6400</v>
      </c>
      <c r="C11" s="13" t="n">
        <v>2000</v>
      </c>
      <c r="D11" s="13" t="n">
        <v>3</v>
      </c>
    </row>
    <row r="12" customFormat="false" ht="15" hidden="false" customHeight="false" outlineLevel="0" collapsed="false">
      <c r="A12" s="10" t="s">
        <v>87</v>
      </c>
      <c r="B12" s="14" t="s">
        <v>109</v>
      </c>
      <c r="C12" s="11" t="n">
        <v>60000</v>
      </c>
      <c r="D12" s="14"/>
    </row>
    <row r="13" customFormat="false" ht="15" hidden="false" customHeight="true" outlineLevel="0" collapsed="false">
      <c r="A13" s="6" t="s">
        <v>33</v>
      </c>
      <c r="B13" s="6"/>
      <c r="C13" s="6"/>
      <c r="D13" s="6"/>
      <c r="E13" s="6"/>
      <c r="F13" s="6"/>
      <c r="G13" s="6"/>
    </row>
    <row r="15" customFormat="false" ht="15" hidden="false" customHeight="false" outlineLevel="0" collapsed="false">
      <c r="A15" s="15" t="s">
        <v>34</v>
      </c>
      <c r="B15" s="15"/>
      <c r="C15" s="15"/>
      <c r="D15" s="15"/>
      <c r="E15" s="15"/>
      <c r="F15" s="15" t="s">
        <v>35</v>
      </c>
      <c r="G15" s="15" t="s">
        <v>36</v>
      </c>
    </row>
    <row r="16" customFormat="false" ht="18.75" hidden="false" customHeight="true" outlineLevel="0" collapsed="false">
      <c r="A16" s="7" t="s">
        <v>110</v>
      </c>
      <c r="B16" s="7"/>
      <c r="C16" s="7"/>
      <c r="D16" s="7"/>
      <c r="E16" s="7"/>
      <c r="F16" s="16"/>
      <c r="G16" s="17" t="str">
        <f aca="false">IF(F16="","",IF(ABS(F16-(0.5))&lt;=0.01,"Riktig","Prøv igjen"))</f>
        <v/>
      </c>
    </row>
    <row r="17" customFormat="false" ht="30" hidden="false" customHeight="true" outlineLevel="0" collapsed="false">
      <c r="A17" s="18" t="s">
        <v>38</v>
      </c>
      <c r="B17" s="19" t="s">
        <v>91</v>
      </c>
      <c r="C17" s="19"/>
      <c r="D17" s="19"/>
      <c r="E17" s="19"/>
      <c r="F17" s="19"/>
      <c r="G17" s="19"/>
    </row>
    <row r="19" customFormat="false" ht="33.75" hidden="false" customHeight="true" outlineLevel="0" collapsed="false">
      <c r="A19" s="7" t="s">
        <v>111</v>
      </c>
      <c r="B19" s="7"/>
      <c r="C19" s="7"/>
      <c r="D19" s="7"/>
      <c r="E19" s="7"/>
      <c r="F19" s="16"/>
      <c r="G19" s="17" t="str">
        <f aca="false">IF(F19="","",IF(ABS(F19-(5))&lt;=0.000000001,"Riktig","Prøv igjen"))</f>
        <v/>
      </c>
    </row>
    <row r="20" customFormat="false" ht="30" hidden="false" customHeight="true" outlineLevel="0" collapsed="false">
      <c r="A20" s="18" t="s">
        <v>38</v>
      </c>
      <c r="B20" s="19" t="s">
        <v>112</v>
      </c>
      <c r="C20" s="19"/>
      <c r="D20" s="19"/>
      <c r="E20" s="19"/>
      <c r="F20" s="19"/>
      <c r="G20" s="19"/>
    </row>
    <row r="22" customFormat="false" ht="18.75" hidden="false" customHeight="true" outlineLevel="0" collapsed="false">
      <c r="A22" s="7" t="s">
        <v>92</v>
      </c>
      <c r="B22" s="7"/>
      <c r="C22" s="7"/>
      <c r="D22" s="7"/>
      <c r="E22" s="7"/>
      <c r="F22" s="16"/>
      <c r="G22" s="17" t="str">
        <f aca="false">IF(F22="","",IF(ABS(F22-(62200))&lt;=0.000000001,"Riktig","Prøv igjen"))</f>
        <v/>
      </c>
    </row>
    <row r="23" customFormat="false" ht="16.5" hidden="false" customHeight="true" outlineLevel="0" collapsed="false">
      <c r="A23" s="18" t="s">
        <v>38</v>
      </c>
      <c r="B23" s="19" t="s">
        <v>93</v>
      </c>
      <c r="C23" s="19"/>
      <c r="D23" s="19"/>
      <c r="E23" s="19"/>
      <c r="F23" s="19"/>
      <c r="G23" s="19"/>
    </row>
    <row r="25" customFormat="false" ht="63.75" hidden="false" customHeight="true" outlineLevel="0" collapsed="false">
      <c r="A25" s="7" t="s">
        <v>113</v>
      </c>
      <c r="B25" s="7"/>
      <c r="C25" s="7"/>
      <c r="D25" s="7"/>
      <c r="E25" s="7"/>
      <c r="F25" s="20"/>
      <c r="G25" s="17" t="str">
        <f aca="false">IF(F25="","",IF(UPPER(TRIM(F25))="B","Riktig","Prøv igjen"))</f>
        <v/>
      </c>
    </row>
    <row r="26" customFormat="false" ht="33.75" hidden="false" customHeight="true" outlineLevel="0" collapsed="false">
      <c r="A26" s="7" t="s">
        <v>114</v>
      </c>
      <c r="B26" s="7"/>
      <c r="C26" s="7"/>
      <c r="D26" s="7"/>
      <c r="E26" s="7"/>
    </row>
    <row r="27" customFormat="false" ht="15" hidden="false" customHeight="false" outlineLevel="0" collapsed="false">
      <c r="A27" s="21"/>
      <c r="B27" s="21"/>
      <c r="C27" s="21"/>
      <c r="D27" s="21"/>
      <c r="E27" s="21"/>
      <c r="F27" s="21"/>
      <c r="G27" s="21"/>
    </row>
    <row r="28" customFormat="false" ht="15" hidden="false" customHeight="false" outlineLevel="0" collapsed="false">
      <c r="A28" s="21"/>
      <c r="B28" s="21"/>
      <c r="C28" s="21"/>
      <c r="D28" s="21"/>
      <c r="E28" s="21"/>
      <c r="F28" s="21"/>
      <c r="G28" s="21"/>
    </row>
    <row r="29" customFormat="false" ht="15" hidden="false" customHeight="false" outlineLevel="0" collapsed="false">
      <c r="A29" s="21"/>
      <c r="B29" s="21"/>
      <c r="C29" s="21"/>
      <c r="D29" s="21"/>
      <c r="E29" s="21"/>
      <c r="F29" s="21"/>
      <c r="G29" s="21"/>
    </row>
    <row r="30" customFormat="false" ht="30" hidden="false" customHeight="true" outlineLevel="0" collapsed="false">
      <c r="A30" s="18" t="s">
        <v>38</v>
      </c>
      <c r="B30" s="19" t="s">
        <v>115</v>
      </c>
      <c r="C30" s="19"/>
      <c r="D30" s="19"/>
      <c r="E30" s="19"/>
      <c r="F30" s="19"/>
      <c r="G30" s="19"/>
    </row>
    <row r="33" customFormat="false" ht="15" hidden="false" customHeight="false" outlineLevel="0" collapsed="false">
      <c r="A33" s="22" t="s">
        <v>47</v>
      </c>
      <c r="B33" s="22"/>
      <c r="C33" s="22"/>
      <c r="D33" s="22"/>
      <c r="E33" s="22"/>
      <c r="F33" s="22"/>
      <c r="G33" s="22"/>
    </row>
    <row r="34" customFormat="false" ht="30" hidden="false" customHeight="true" outlineLevel="0" collapsed="false">
      <c r="A34" s="23" t="s">
        <v>116</v>
      </c>
      <c r="B34" s="24" t="s">
        <v>117</v>
      </c>
      <c r="C34" s="24"/>
      <c r="D34" s="24"/>
      <c r="E34" s="24"/>
      <c r="F34" s="24"/>
      <c r="G34" s="24"/>
    </row>
    <row r="35" customFormat="false" ht="30" hidden="false" customHeight="true" outlineLevel="0" collapsed="false">
      <c r="A35" s="23" t="s">
        <v>118</v>
      </c>
      <c r="B35" s="24" t="s">
        <v>119</v>
      </c>
      <c r="C35" s="24"/>
      <c r="D35" s="24"/>
      <c r="E35" s="24"/>
      <c r="F35" s="24"/>
      <c r="G35" s="24"/>
    </row>
    <row r="37" customFormat="false" ht="33.75" hidden="false" customHeight="true" outlineLevel="0" collapsed="false">
      <c r="A37" s="6" t="s">
        <v>120</v>
      </c>
      <c r="B37" s="6"/>
      <c r="C37" s="6"/>
      <c r="D37" s="6"/>
      <c r="E37" s="6"/>
      <c r="F37" s="6"/>
      <c r="G37" s="6"/>
    </row>
    <row r="38" customFormat="false" ht="15" hidden="false" customHeight="true" outlineLevel="0" collapsed="false">
      <c r="A38" s="6" t="s">
        <v>53</v>
      </c>
      <c r="B38" s="6"/>
      <c r="C38" s="6"/>
      <c r="D38" s="6"/>
      <c r="E38" s="6"/>
      <c r="F38" s="6"/>
      <c r="G38" s="6"/>
    </row>
  </sheetData>
  <mergeCells count="19">
    <mergeCell ref="A4:G4"/>
    <mergeCell ref="A5:G5"/>
    <mergeCell ref="A13:G13"/>
    <mergeCell ref="A15:E15"/>
    <mergeCell ref="A16:E16"/>
    <mergeCell ref="B17:G17"/>
    <mergeCell ref="A19:E19"/>
    <mergeCell ref="B20:G20"/>
    <mergeCell ref="A22:E22"/>
    <mergeCell ref="B23:G23"/>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2026-10-13T12:15:08Z</dcterms:created>
  <dc:creator>openpyxl</dc:creator>
  <dc:description/>
  <dc:language>en-US</dc:language>
  <cp:lastModifiedBy/>
  <dcterms:modified xsi:type="dcterms:W3CDTF">2026-10-13T12:15:08Z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