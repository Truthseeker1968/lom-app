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 sheetId="1" state="visible" r:id="rId3"/>
    <sheet name="1A" sheetId="2" state="visible" r:id="rId4"/>
    <sheet name="1B" sheetId="3" state="visible" r:id="rId5"/>
    <sheet name="1C" sheetId="4" state="visible" r:id="rId6"/>
    <sheet name="Fasit"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<sst xmlns="http://schemas.openxmlformats.org/spreadsheetml/2006/main" count="171" uniqueCount="138">
  <si>
    <t xml:space="preserve">Produktvalg med én knapp faktor: oppgaver til kapittel 7</t>
  </si>
  <si>
    <t xml:space="preserve">Økonomistyring for LØM-emnet (Hjertnes og Skorpen), kapittel 7. Versjon 6, oktober 2026. Nordlys Elektro AS og Fjell Elektro AS er konstruerte casebedrifter; tallene er faktaarkene.</t>
  </si>
  <si>
    <t xml:space="preserve">Slik bruker du arbeidsboka</t>
  </si>
  <si>
    <t xml:space="preserve">Hver fane er én oppgave. Øverst på fanen står situasjonen, så begrepene og tallene du trenger, så oppgaven trinn for trinn, og til slutt svarfeltene. Alt du trenger for å løse oppgaven, står på fanen. Du kan jobbe alene, i par eller i gruppe; det velger du selv.</t>
  </si>
  <si>
    <t xml:space="preserve">Fargene forteller hva du skal gjøre. Gule celler fyller du inn selv. Hvite celler er tall som er gitt. Grønne celler regner arket ut for deg, og dem skal du ikke endre.</t>
  </si>
  <si>
    <t xml:space="preserve">Ved siden av hvert svarfelt står en sjekk. Den sier «Riktig» når svaret stemmer. Er svaret feil, sier den hva som sannsynligvis gikk galt, slik at du vet hva du skal se på en gang til. Sjekken gir ikke svaret.</t>
  </si>
  <si>
    <t xml:space="preserve">Står du helt fast, skriver du JA i cellen «Står du fast?» på fanen. Da kommer regnestykket fram med ord. Fasiten med alle tall og utregninger ligger på den siste fanen, «Fasit». Prøv oppgaven selv før du ser der.</t>
  </si>
  <si>
    <t xml:space="preserve">Fanene</t>
  </si>
  <si>
    <t xml:space="preserve">1A  Nordlys' fire oppdragstyper: hvem får montørtimene?</t>
  </si>
  <si>
    <t xml:space="preserve">1B  April hos Nordlys: 1 080 timer og forespørsler for 1 370</t>
  </si>
  <si>
    <t xml:space="preserve">1C  Fjell Elektro i mai: 250 timer, forespørsler for 390</t>
  </si>
  <si>
    <t xml:space="preserve">Fasit  Alle svar med regnestykket skrevet ut</t>
  </si>
  <si>
    <t xml:space="preserve">Dette er øvingsmateriell til repetisjons- og øvingsstøtte. I besvarelser, caser, prosjektoppgaver og eksamen gjelder lærebøkene og oppgitte primærkilder.</t>
  </si>
  <si>
    <t xml:space="preserve">Oppgave 1A: Nordlys' fire oppdragstyper: hvem får montørtimene?</t>
  </si>
  <si>
    <t xml:space="preserve">Alene, i par eller i gruppe, slik du vil.</t>
  </si>
  <si>
    <t xml:space="preserve">Situasjonen</t>
  </si>
  <si>
    <t xml:space="preserve">Ronny Fjeld er formann hos Nordlys Elektro og fordeler montørene hver uke. Fire oppdragstyper konkurrerer om de samme montørene: ladepunkt, solcelleanlegg, boliginstallasjon og nybygg. Ordreboka er full, så montørtimene er den knappe faktoren. Ronny vil ta nybyggene før boligene, fordi de gir mest per jobb.</t>
  </si>
  <si>
    <t xml:space="preserve">Begrepene du trenger</t>
  </si>
  <si>
    <t xml:space="preserve">Dekningsbidrag er pris minus variable kostnader: det jobben gir til husleie, kontor og alt annet som løper uansett. Knapp faktor (flaskehals) er det bedriften har for lite av akkurat nå. Dekningsbidrag per enhet av den knappe faktoren = dekningsbidrag per oppdrag / forbruk av den knappe faktoren per oppdrag. Den som gir mest per montørtime, får timene først.</t>
  </si>
  <si>
    <t xml:space="preserve">Tallene</t>
  </si>
  <si>
    <t xml:space="preserve">Ett ladepunkt koster kunden 8 830 kr uten merverdiavgift. Ladeboks og materiell koster Nordlys 6 500 kr, og jobben tar 2 montørtimer à 640 kr i lønnskostnad. De tre andre oppdragstypene står i tabellen med dekningsbidrag per oppdrag og montørtimer per oppdrag.</t>
  </si>
  <si>
    <t xml:space="preserve">Oppdragstype</t>
  </si>
  <si>
    <t xml:space="preserve">Dekningsbidrag per oppdrag, kr</t>
  </si>
  <si>
    <t xml:space="preserve">Montørtimer per oppdrag</t>
  </si>
  <si>
    <t xml:space="preserve">Ladepunkt (regnes i a)</t>
  </si>
  <si>
    <t xml:space="preserve">Solcelleanlegg</t>
  </si>
  <si>
    <t xml:space="preserve">Boliginstallasjon</t>
  </si>
  <si>
    <t xml:space="preserve">Nybygg (prosjekt)</t>
  </si>
  <si>
    <t xml:space="preserve">Oppgaven, trinn for trinn</t>
  </si>
  <si>
    <t xml:space="preserve">1. Regn dekningsbidraget for ett ladepunkt: pris minus ladeboks og materiell minus montørtimene (a).
2. Del dekningsbidraget på timene for hver av de fire typene, og rund til hele kroner (b til e).
3. Velg hvilken type som får timene først og hvilken som får dem sist (f og g).
4. Svar Ronny i h.</t>
  </si>
  <si>
    <t xml:space="preserve">a) Dekningsbidrag for ett ladepunkt: 8 830 − 6 500 − 2 × 640</t>
  </si>
  <si>
    <t xml:space="preserve">kr</t>
  </si>
  <si>
    <t xml:space="preserve">b) Dekningsbidrag per montørtime, ladepunkt (hele kroner)</t>
  </si>
  <si>
    <t xml:space="preserve">kr per time</t>
  </si>
  <si>
    <t xml:space="preserve">c) Dekningsbidrag per montørtime, solcelleanlegg (hele kroner)</t>
  </si>
  <si>
    <t xml:space="preserve">d) Dekningsbidrag per montørtime, boliginstallasjon (hele kroner)</t>
  </si>
  <si>
    <t xml:space="preserve">e) Dekningsbidrag per montørtime, nybygg (hele kroner)</t>
  </si>
  <si>
    <t xml:space="preserve">f) Hvilken oppdragstype får montørtimene først når timene er knappe?</t>
  </si>
  <si>
    <t xml:space="preserve">g) Hvilken oppdragstype får montørtimene sist?</t>
  </si>
  <si>
    <t xml:space="preserve">h) Ronny sier: «Nybygg gir 2 100 kr per jobb, over dobbelt så mye som en bolig. Ta nybyggene før boligene.» Hva svarer du? Bruk kroner per time, og regn hva de 9 timene et nybygg tar, ville gitt i boliger.</t>
  </si>
  <si>
    <t xml:space="preserve">Står du fast? Skriv JA i den gule cellen:</t>
  </si>
  <si>
    <t xml:space="preserve">Gule celler fyller du inn. Grønne regnes ut av arket. Sjekken til høyre forteller om svaret stemmer, og hva du bør se på hvis ikke.</t>
  </si>
  <si>
    <t xml:space="preserve">Oppgave 1B: April hos Nordlys: 1 080 timer og forespørsler for 1 370</t>
  </si>
  <si>
    <t xml:space="preserve">I april tar påsken en del av timene, og Nordlys har 1 080 montørtimer å fordele. Forespørslene som ligger inne, står i tabellen. Ronny vil ta nybyggene før boligene. Du legger planen med de tre reglene: fyll timene ovenfra og ned i rangeringen, aldri flere enn forespurt, og stopp når timene er brukt opp.</t>
  </si>
  <si>
    <t xml:space="preserve">Rangeringen sier rekkefølgen. Forespørslene sier hvor mange. Timene sier når du stopper. Samlet dekningsbidrag = antall × dekningsbidrag per oppdrag, lagt sammen for alle typene. Rangering per jobb er bare riktig når ingenting er knapt.</t>
  </si>
  <si>
    <t xml:space="preserve">Nordlys har 1 080 montørtimer i april. Forespørslene står i tabellen; arket regner hvor mange timer hver type krever (grønne celler). Dekningsbidrag per montørtime: ladepunkt 525, solcelleanlegg 314, boliginstallasjon 300, nybygg 233 kr (fra oppgave 1A).</t>
  </si>
  <si>
    <t xml:space="preserve">Timer per oppdrag</t>
  </si>
  <si>
    <t xml:space="preserve">Forespurt i april</t>
  </si>
  <si>
    <t xml:space="preserve">Ladepunkt</t>
  </si>
  <si>
    <t xml:space="preserve">Timer forespørslene krever (regnes av arket)</t>
  </si>
  <si>
    <t xml:space="preserve">Timer</t>
  </si>
  <si>
    <t xml:space="preserve">Ladepunkt: 120 × 2</t>
  </si>
  <si>
    <t xml:space="preserve">Solcelleanlegg: 40 × 14</t>
  </si>
  <si>
    <t xml:space="preserve">Boliginstallasjon: 100 × 3</t>
  </si>
  <si>
    <t xml:space="preserve">Nybygg: 30 × 9</t>
  </si>
  <si>
    <t xml:space="preserve">Sum forespurt</t>
  </si>
  <si>
    <t xml:space="preserve">Montørtimer i april</t>
  </si>
  <si>
    <t xml:space="preserve">1. Les summen av timer forespørslene krever, og regn hvor mange timer som mangler (a).
2. Legg planen: fyll timene ovenfra og ned i rangeringen fra 1A, aldri flere enn forespurt, og stopp når timene er brukt. Hvor mange boliginstallasjoner får plass (b)? Rund ned til hele oppdrag.
3. Regn samlet dekningsbidrag for planen (c).
4. Regn Ronnys rekkefølge, rangert per jobb: solcelleanlegg, nybygg, ladepunkt, bolig (d), og forskjellen (e).
5. Skriv svaret til Ronny i f.</t>
  </si>
  <si>
    <t xml:space="preserve">a) Hvor mange timer mangler? Sum forespurt minus 1 080</t>
  </si>
  <si>
    <t xml:space="preserve">timer</t>
  </si>
  <si>
    <t xml:space="preserve">b) Hvor mange boliginstallasjoner får plass i planen?</t>
  </si>
  <si>
    <t xml:space="preserve">boliger</t>
  </si>
  <si>
    <t xml:space="preserve">c) Samlet dekningsbidrag i planen: 120 ladepunkt, 40 solcelleanlegg og boligene fra b</t>
  </si>
  <si>
    <t xml:space="preserve">d) Ronnys rekkefølge: 40 solcelleanlegg, 30 nybygg, 120 ladepunkt, og så boliger så langt timene rekker</t>
  </si>
  <si>
    <t xml:space="preserve">e) Hvor mye mindre gir Ronnys rekkefølge enn planen i c?</t>
  </si>
  <si>
    <t xml:space="preserve">f) Hva sier du til Ronny, og hva vil du vite før du bestemmer deg? Bruk tallet fra e, og still ett spørsmål om nybyggene. To–tre setninger.</t>
  </si>
  <si>
    <t xml:space="preserve">Oppgave 1C: Fjell Elektro i mai: 250 timer, forespørsler for 390</t>
  </si>
  <si>
    <t xml:space="preserve">Fjell Elektro AS er i sitt første driftsår, med to montører og eieren Mona Fjell, som jobber halve tiden ute på oppdrag. Mai har flere helligdager, og Fjell har 250 fakturerbare timer. Forespørslene krever 390. Mona vil ta næringsoppdragene først, fordi de gir mest per jobb og kan gi nye kunder.</t>
  </si>
  <si>
    <t xml:space="preserve">Dekningsbidrag per oppdrag = pris til kunden − variable kostnader (materiell til innkjøpspris og lønnskostnaden for timene). Dekningsbidrag per montørtime = dekningsbidrag per oppdrag / timer per oppdrag. Et avvik fra rangeringen måles mot det som faktisk må vike, altså det nederste i planen, ikke mot toppen av rangeringen.</t>
  </si>
  <si>
    <t xml:space="preserve">Fjell Elektro priser montørtimen til 890 kr uten merverdiavgift og selger materiellet med 20 % påslag på innkjøpsprisen. Lønnskostnaden for en montørtime regnes til 590 kr. En elbillader i enebolig tar 3 timer og bruker materiell Fjell kjøper for 8 000 kr. De andre oppdragstypene står i tabellen. Mai har 250 fakturerbare timer; forespørslene krever 390.</t>
  </si>
  <si>
    <t xml:space="preserve">Forespurt i mai</t>
  </si>
  <si>
    <t xml:space="preserve">Elbillader, enebolig (regnes i a)</t>
  </si>
  <si>
    <t xml:space="preserve">Sikringsskapbytte</t>
  </si>
  <si>
    <t xml:space="preserve">Service og feilsøking</t>
  </si>
  <si>
    <t xml:space="preserve">Næringsoppdrag, lite kontor</t>
  </si>
  <si>
    <t xml:space="preserve">Fakturerbare timer i mai</t>
  </si>
  <si>
    <t xml:space="preserve">1. Regn dekningsbidraget for én lader (a): pris til kunden (3 timer × 890 + materiell 8 000 × 1,20) minus variable kostnader (materiell 8 000 + 3 timer × 590). Skriv tallet også i den gule cellen i tabellen.
2. Del på timene og rund til hele kroner (b). Regn gjerne de tre andre også: sikringsskap 3 000 / 6, service 700 / 2, næring 6 400 / 20.
3. Velg hvilken type som får timene først og sist (c og d).
4. Legg planen for mai: fyll de 250 timene ovenfra og ned, aldri flere enn forespurt. Hvor mange serviceoppdrag får plass (e), og hva blir dekningsbidraget (f)?
5. Regn Monas rekkefølge, næringsoppdragene først (g), og hva ett næringsoppdrag likevel koster (h).
6. Skriv svaret til Mona i i.</t>
  </si>
  <si>
    <t xml:space="preserve">a) Dekningsbidrag for én elbillader</t>
  </si>
  <si>
    <t xml:space="preserve">b) Dekningsbidrag per montørtime for laderen (hele kroner)</t>
  </si>
  <si>
    <t xml:space="preserve">c) Hvilken oppdragstype får timene først?</t>
  </si>
  <si>
    <t xml:space="preserve">d) Hvilken oppdragstype får timene sist?</t>
  </si>
  <si>
    <t xml:space="preserve">e) Hvor mange serviceoppdrag får plass i planen for mai?</t>
  </si>
  <si>
    <t xml:space="preserve">oppdrag</t>
  </si>
  <si>
    <t xml:space="preserve">f) Samlet dekningsbidrag i planen: 20 ladere, 25 sikringsskap og serviceoppdragene fra e</t>
  </si>
  <si>
    <t xml:space="preserve">g) Monas rekkefølge: 5 næringsoppdrag først, så sikringsskap, så ladere og service så langt timene rekker</t>
  </si>
  <si>
    <t xml:space="preserve">h) Fjell tar ett næringsoppdrag likevel. Hvor mye lavere blir dekningsbidraget i mai? Mål mot de oppdragene som faktisk må vike</t>
  </si>
  <si>
    <t xml:space="preserve">i) Mona vil ta alle fem næringsoppdragene først, fordi de gir mest per jobb og kan gi nye kunder. Hva sier du? Bruk kroner per time og prisen for ett næringsoppdrag fra h. To–tre setninger.</t>
  </si>
  <si>
    <t xml:space="preserve">Fasit, kapittel 7</t>
  </si>
  <si>
    <t xml:space="preserve">Prøv oppgaven selv før du leser her. Regnestykket står ved siden av hvert svar. Tallene hentes fra fasitformlene, så de stemmer alltid med oppgavefanene.</t>
  </si>
  <si>
    <t xml:space="preserve">Oppgave</t>
  </si>
  <si>
    <t xml:space="preserve">Svar</t>
  </si>
  <si>
    <t xml:space="preserve">Regnestykket</t>
  </si>
  <si>
    <t xml:space="preserve">1A a) Dekningsbidrag ladepunkt</t>
  </si>
  <si>
    <t xml:space="preserve">8 830 − 6 500 − 2 × 640 = 1 050 kr</t>
  </si>
  <si>
    <t xml:space="preserve">1A b) Ladepunkt per time</t>
  </si>
  <si>
    <t xml:space="preserve">1 050 / 2 = 525 kr</t>
  </si>
  <si>
    <t xml:space="preserve">1A c) Solcelleanlegg per time</t>
  </si>
  <si>
    <t xml:space="preserve">4 400 / 14 = 314 kr</t>
  </si>
  <si>
    <t xml:space="preserve">1A d) Boliginstallasjon per time</t>
  </si>
  <si>
    <t xml:space="preserve">900 / 3 = 300 kr</t>
  </si>
  <si>
    <t xml:space="preserve">1A e) Nybygg per time</t>
  </si>
  <si>
    <t xml:space="preserve">2 100 / 9 = 233 kr</t>
  </si>
  <si>
    <t xml:space="preserve">1A f) Først</t>
  </si>
  <si>
    <t xml:space="preserve">Ladepunkt, 525 kr per montørtime</t>
  </si>
  <si>
    <t xml:space="preserve">1A g) Sist</t>
  </si>
  <si>
    <t xml:space="preserve">Nybygg, 233 kr per montørtime</t>
  </si>
  <si>
    <t xml:space="preserve">1A h) Til Ronny</t>
  </si>
  <si>
    <t xml:space="preserve">Nybygg gir 233 kr per time, bolig 300. De 9 timene et nybygg tar, gir 3 boliger à 900 = 2 700 kr; nybygget gir 2 100. Hvert nybygg før boligene koster 600 kr</t>
  </si>
  <si>
    <t xml:space="preserve">1B a) Timer som mangler</t>
  </si>
  <si>
    <t xml:space="preserve">120 × 2 + 40 × 14 + 100 × 3 + 30 × 9 = 1 370 timer. 1 370 − 1 080 = 290 timer</t>
  </si>
  <si>
    <t xml:space="preserve">1B b) Boliger i planen</t>
  </si>
  <si>
    <t xml:space="preserve">1 080 − 240 − 560 = 280 timer igjen. 280 / 3 = 93,3, altså 93 boliger (279 timer). Ingen nybygg</t>
  </si>
  <si>
    <t xml:space="preserve">1B c) Dekningsbidrag, planen</t>
  </si>
  <si>
    <t xml:space="preserve">120 × 1 050 + 40 × 4 400 + 93 × 900 = 385 700 kr</t>
  </si>
  <si>
    <t xml:space="preserve">1B d) Ronnys rekkefølge</t>
  </si>
  <si>
    <t xml:space="preserve">40 × 4 400 + 30 × 2 100 + 120 × 1 050 + 3 × 900 = 367 700 kr (1 070 timer + 10 timer til 3 boliger)</t>
  </si>
  <si>
    <t xml:space="preserve">1B e) Forskjellen</t>
  </si>
  <si>
    <t xml:space="preserve">385 700 − 367 700 = 18 000 kr, 600 kr per nybygg</t>
  </si>
  <si>
    <t xml:space="preserve">1B f) Til Ronny</t>
  </si>
  <si>
    <t xml:space="preserve">Nybygg gir 233 kr per time, bolig 300. Din rekkefølge koster 18 000 kr i april. Er nybyggene del av en avtale, eller kan de flyttes til mai? Tar vi dem likevel, vet vi prisen</t>
  </si>
  <si>
    <t xml:space="preserve">1C a) Dekningsbidrag lader</t>
  </si>
  <si>
    <t xml:space="preserve">(3 × 890 + 8 000 × 1,20) − (8 000 + 3 × 590) = 12 270 − 9 770 = 2 500 kr</t>
  </si>
  <si>
    <t xml:space="preserve">1C b) Lader per time</t>
  </si>
  <si>
    <t xml:space="preserve">2 500 / 3 = 833 kr. Sikringsskap 500, service 350, næring 320</t>
  </si>
  <si>
    <t xml:space="preserve">1C c) Først</t>
  </si>
  <si>
    <t xml:space="preserve">Elbillader, 833 kr per time</t>
  </si>
  <si>
    <t xml:space="preserve">1C d) Sist</t>
  </si>
  <si>
    <t xml:space="preserve">Næringsoppdrag, 320 kr per time</t>
  </si>
  <si>
    <t xml:space="preserve">1C e) Serviceoppdrag i planen</t>
  </si>
  <si>
    <t xml:space="preserve">250 − 60 − 150 = 40 timer igjen, 40 / 2 = 20 serviceoppdrag</t>
  </si>
  <si>
    <t xml:space="preserve">1C f) Dekningsbidrag, planen</t>
  </si>
  <si>
    <t xml:space="preserve">20 × 2 500 + 25 × 3 000 + 20 × 700 = 139 000 kr</t>
  </si>
  <si>
    <t xml:space="preserve">1C g) Monas rekkefølge</t>
  </si>
  <si>
    <t xml:space="preserve">5 × 6 400 + 25 × 3 000 = 107 000 kr (alle 250 timer brukt). 32 000 kr mindre, ingen ladere</t>
  </si>
  <si>
    <t xml:space="preserve">1C h) Ett næringsoppdrag likevel</t>
  </si>
  <si>
    <t xml:space="preserve">10 serviceoppdrag à 700 = 7 000 kr viker, næringsoppdraget gir 6 400: 600 kr lavere</t>
  </si>
  <si>
    <t xml:space="preserve">1C i) Til Mona</t>
  </si>
  <si>
    <t xml:space="preserve">Næring gir 320 kr per time, laderne 833. Alle fem først koster 32 000 kr. Ett oppdrag for en ny kunde koster 600 kr og kan være verdt det, men bevisst</t>
  </si>
</sst>
</file>

<file path=xl/styles.xml><?xml version="1.0" encoding="utf-8"?>
<styleSheet xmlns="http://schemas.openxmlformats.org/spreadsheetml/2006/main">
  <numFmts count="2">
    <numFmt numFmtId="164" formatCode="General"/>
    <numFmt numFmtId="165" formatCode="#,##0"/>
  </numFmts>
  <fonts count="11">
    <font>
      <sz val="11"/>
      <color theme="1"/>
      <name val="Calibri"/>
      <family val="2"/>
      <charset val="1"/>
    </font>
    <font>
      <sz val="10"/>
      <name val="Arial"/>
      <family val="0"/>
    </font>
    <font>
      <sz val="10"/>
      <name val="Arial"/>
      <family val="0"/>
    </font>
    <font>
      <sz val="10"/>
      <name val="Arial"/>
      <family val="0"/>
    </font>
    <font>
      <b val="true"/>
      <sz val="16"/>
      <color rgb="FF2F4A6D"/>
      <name val="Cambria"/>
      <family val="0"/>
      <charset val="1"/>
    </font>
    <font>
      <sz val="11"/>
      <name val="Calibri"/>
      <family val="0"/>
      <charset val="1"/>
    </font>
    <font>
      <b val="true"/>
      <sz val="11"/>
      <name val="Calibri"/>
      <family val="0"/>
      <charset val="1"/>
    </font>
    <font>
      <i val="true"/>
      <sz val="10"/>
      <color rgb="FF595959"/>
      <name val="Calibri"/>
      <family val="0"/>
      <charset val="1"/>
    </font>
    <font>
      <b val="true"/>
      <sz val="11"/>
      <color rgb="FFFFFFFF"/>
      <name val="Calibri"/>
      <family val="0"/>
      <charset val="1"/>
    </font>
    <font>
      <sz val="10.5"/>
      <name val="Calibri"/>
      <family val="0"/>
      <charset val="1"/>
    </font>
    <font>
      <i val="true"/>
      <sz val="10.5"/>
      <color rgb="FF2F4A6D"/>
      <name val="Calibri"/>
      <family val="0"/>
      <charset val="1"/>
    </font>
  </fonts>
  <fills count="6">
    <fill>
      <patternFill patternType="none"/>
    </fill>
    <fill>
      <patternFill patternType="gray125"/>
    </fill>
    <fill>
      <patternFill patternType="solid">
        <fgColor rgb="FF2F4A6D"/>
        <bgColor rgb="FF333333"/>
      </patternFill>
    </fill>
    <fill>
      <patternFill patternType="solid">
        <fgColor rgb="FFFFF2CC"/>
        <bgColor rgb="FFE2EFDA"/>
      </patternFill>
    </fill>
    <fill>
      <patternFill patternType="solid">
        <fgColor rgb="FFDDEBF7"/>
        <bgColor rgb="FFE2EFDA"/>
      </patternFill>
    </fill>
    <fill>
      <patternFill patternType="solid">
        <fgColor rgb="FFE2EFDA"/>
        <bgColor rgb="FFDDEBF7"/>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center" textRotation="0" wrapText="false" indent="0" shrinkToFit="false"/>
      <protection locked="true" hidden="false"/>
    </xf>
    <xf numFmtId="164" fontId="8" fillId="2" borderId="1" xfId="0" applyFont="true" applyBorder="true" applyAlignment="true" applyProtection="false">
      <alignment horizontal="right" vertical="center"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5" fontId="0" fillId="0" borderId="1" xfId="0" applyFont="false" applyBorder="true" applyAlignment="true" applyProtection="false">
      <alignment horizontal="right" vertical="center"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5" fontId="0" fillId="3" borderId="1" xfId="0" applyFont="false" applyBorder="true" applyAlignment="true" applyProtection="false">
      <alignment horizontal="right" vertical="center"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0" fillId="3" borderId="1" xfId="0" applyFont="false" applyBorder="true" applyAlignment="false" applyProtection="false">
      <alignment horizontal="general" vertical="bottom" textRotation="0" wrapText="false" indent="0" shrinkToFit="false"/>
      <protection locked="true" hidden="false"/>
    </xf>
    <xf numFmtId="164" fontId="0" fillId="3" borderId="2" xfId="0" applyFont="false" applyBorder="true" applyAlignment="true" applyProtection="false">
      <alignment horizontal="general" vertical="top" textRotation="0" wrapText="tru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4" borderId="0" xfId="0" applyFont="false" applyBorder="true" applyAlignment="true" applyProtection="false">
      <alignment horizontal="general" vertical="top" textRotation="0" wrapText="true" indent="0" shrinkToFit="false"/>
      <protection locked="true" hidden="false"/>
    </xf>
    <xf numFmtId="165" fontId="0" fillId="5" borderId="1" xfId="0" applyFont="false" applyBorder="true" applyAlignment="true" applyProtection="false">
      <alignment horizontal="right" vertical="center"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E2EFDA"/>
        </patternFill>
      </fill>
    </dxf>
    <dxf>
      <fill>
        <patternFill>
          <bgColor rgb="FFF8CBA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B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0"/>
  </cols>
  <sheetData>
    <row r="2" customFormat="false" ht="25.5" hidden="false" customHeight="true" outlineLevel="0" collapsed="false">
      <c r="B2" s="1" t="s">
        <v>0</v>
      </c>
    </row>
    <row r="3" customFormat="false" ht="30" hidden="false" customHeight="true" outlineLevel="0" collapsed="false">
      <c r="B3" s="2" t="s">
        <v>1</v>
      </c>
    </row>
    <row r="5" customFormat="false" ht="15" hidden="false" customHeight="true" outlineLevel="0" collapsed="false">
      <c r="B5" s="3" t="s">
        <v>2</v>
      </c>
    </row>
    <row r="6" customFormat="false" ht="45" hidden="false" customHeight="true" outlineLevel="0" collapsed="false">
      <c r="B6" s="2" t="s">
        <v>3</v>
      </c>
    </row>
    <row r="7" customFormat="false" ht="30" hidden="false" customHeight="true" outlineLevel="0" collapsed="false">
      <c r="B7" s="2" t="s">
        <v>4</v>
      </c>
    </row>
    <row r="8" customFormat="false" ht="30" hidden="false" customHeight="true" outlineLevel="0" collapsed="false">
      <c r="B8" s="2" t="s">
        <v>5</v>
      </c>
    </row>
    <row r="9" customFormat="false" ht="30" hidden="false" customHeight="true" outlineLevel="0" collapsed="false">
      <c r="B9" s="2" t="s">
        <v>6</v>
      </c>
    </row>
    <row r="11" customFormat="false" ht="15" hidden="false" customHeight="true" outlineLevel="0" collapsed="false">
      <c r="B11" s="3" t="s">
        <v>7</v>
      </c>
    </row>
    <row r="12" customFormat="false" ht="15" hidden="false" customHeight="true" outlineLevel="0" collapsed="false">
      <c r="B12" s="2" t="s">
        <v>8</v>
      </c>
    </row>
    <row r="13" customFormat="false" ht="15" hidden="false" customHeight="true" outlineLevel="0" collapsed="false">
      <c r="B13" s="2" t="s">
        <v>9</v>
      </c>
    </row>
    <row r="14" customFormat="false" ht="15" hidden="false" customHeight="true" outlineLevel="0" collapsed="false">
      <c r="B14" s="2" t="s">
        <v>10</v>
      </c>
    </row>
    <row r="15" customFormat="false" ht="15" hidden="false" customHeight="true" outlineLevel="0" collapsed="false">
      <c r="B15" s="2" t="s">
        <v>11</v>
      </c>
    </row>
    <row r="17" customFormat="false" ht="30" hidden="false" customHeight="true" outlineLevel="0" collapsed="false">
      <c r="B17" s="4" t="s">
        <v>12</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s>
  <sheetData>
    <row r="2" customFormat="false" ht="25.5" hidden="false" customHeight="true" outlineLevel="0" collapsed="false">
      <c r="B2" s="5" t="s">
        <v>13</v>
      </c>
      <c r="C2" s="5"/>
      <c r="D2" s="5"/>
      <c r="E2" s="5"/>
      <c r="F2" s="5"/>
      <c r="G2" s="5"/>
    </row>
    <row r="3" customFormat="false" ht="15" hidden="false" customHeight="true" outlineLevel="0" collapsed="false">
      <c r="B3" s="6" t="s">
        <v>14</v>
      </c>
      <c r="C3" s="6"/>
      <c r="D3" s="6"/>
      <c r="E3" s="6"/>
      <c r="F3" s="6"/>
      <c r="G3" s="6"/>
    </row>
    <row r="4" customFormat="false" ht="15.75" hidden="false" customHeight="true" outlineLevel="0" collapsed="false">
      <c r="B4" s="7" t="s">
        <v>15</v>
      </c>
      <c r="C4" s="7"/>
      <c r="D4" s="7"/>
      <c r="E4" s="7"/>
      <c r="F4" s="7"/>
      <c r="G4" s="7"/>
    </row>
    <row r="5" customFormat="false" ht="45" hidden="false" customHeight="true" outlineLevel="0" collapsed="false">
      <c r="B5" s="8" t="s">
        <v>16</v>
      </c>
      <c r="C5" s="8"/>
      <c r="D5" s="8"/>
      <c r="E5" s="8"/>
      <c r="F5" s="8"/>
      <c r="G5" s="8"/>
    </row>
    <row r="6" customFormat="false" ht="15.75" hidden="false" customHeight="true" outlineLevel="0" collapsed="false">
      <c r="B6" s="7" t="s">
        <v>17</v>
      </c>
      <c r="C6" s="7"/>
      <c r="D6" s="7"/>
      <c r="E6" s="7"/>
      <c r="F6" s="7"/>
      <c r="G6" s="7"/>
    </row>
    <row r="7" customFormat="false" ht="60" hidden="false" customHeight="true" outlineLevel="0" collapsed="false">
      <c r="B7" s="8" t="s">
        <v>18</v>
      </c>
      <c r="C7" s="8"/>
      <c r="D7" s="8"/>
      <c r="E7" s="8"/>
      <c r="F7" s="8"/>
      <c r="G7" s="8"/>
    </row>
    <row r="9" customFormat="false" ht="15.75" hidden="false" customHeight="true" outlineLevel="0" collapsed="false">
      <c r="B9" s="7" t="s">
        <v>19</v>
      </c>
      <c r="C9" s="7"/>
      <c r="D9" s="7"/>
      <c r="E9" s="7"/>
      <c r="F9" s="7"/>
      <c r="G9" s="7"/>
    </row>
    <row r="10" customFormat="false" ht="45" hidden="false" customHeight="true" outlineLevel="0" collapsed="false">
      <c r="B10" s="8" t="s">
        <v>20</v>
      </c>
      <c r="C10" s="8"/>
      <c r="D10" s="8"/>
      <c r="E10" s="8"/>
      <c r="F10" s="8"/>
      <c r="G10" s="8"/>
    </row>
    <row r="11" customFormat="false" ht="15" hidden="false" customHeight="false" outlineLevel="0" collapsed="false">
      <c r="B11" s="9" t="s">
        <v>21</v>
      </c>
      <c r="C11" s="10" t="s">
        <v>22</v>
      </c>
      <c r="D11" s="10" t="s">
        <v>23</v>
      </c>
    </row>
    <row r="12" customFormat="false" ht="15" hidden="false" customHeight="false" outlineLevel="0" collapsed="false">
      <c r="B12" s="11" t="s">
        <v>24</v>
      </c>
      <c r="C12" s="12" t="n">
        <v>1050</v>
      </c>
      <c r="D12" s="12" t="n">
        <v>2</v>
      </c>
    </row>
    <row r="13" customFormat="false" ht="15" hidden="false" customHeight="false" outlineLevel="0" collapsed="false">
      <c r="B13" s="11" t="s">
        <v>25</v>
      </c>
      <c r="C13" s="12" t="n">
        <v>4400</v>
      </c>
      <c r="D13" s="12" t="n">
        <v>14</v>
      </c>
    </row>
    <row r="14" customFormat="false" ht="15" hidden="false" customHeight="false" outlineLevel="0" collapsed="false">
      <c r="B14" s="11" t="s">
        <v>26</v>
      </c>
      <c r="C14" s="12" t="n">
        <v>900</v>
      </c>
      <c r="D14" s="12" t="n">
        <v>3</v>
      </c>
    </row>
    <row r="15" customFormat="false" ht="15" hidden="false" customHeight="false" outlineLevel="0" collapsed="false">
      <c r="B15" s="11" t="s">
        <v>27</v>
      </c>
      <c r="C15" s="12" t="n">
        <v>2100</v>
      </c>
      <c r="D15" s="12" t="n">
        <v>9</v>
      </c>
    </row>
    <row r="17" customFormat="false" ht="15.75" hidden="false" customHeight="true" outlineLevel="0" collapsed="false">
      <c r="B17" s="7" t="s">
        <v>28</v>
      </c>
      <c r="C17" s="7"/>
      <c r="D17" s="7"/>
      <c r="E17" s="7"/>
      <c r="F17" s="7"/>
      <c r="G17" s="7"/>
    </row>
    <row r="18" customFormat="false" ht="45" hidden="false" customHeight="true" outlineLevel="0" collapsed="false">
      <c r="B18" s="8" t="s">
        <v>29</v>
      </c>
      <c r="C18" s="8"/>
      <c r="D18" s="8"/>
      <c r="E18" s="8"/>
      <c r="F18" s="8"/>
      <c r="G18" s="8"/>
    </row>
    <row r="20" customFormat="false" ht="43.5" hidden="false" customHeight="true" outlineLevel="0" collapsed="false">
      <c r="B20" s="13" t="s">
        <v>30</v>
      </c>
      <c r="C20" s="14"/>
      <c r="D20" s="15" t="s">
        <v>31</v>
      </c>
      <c r="G20" s="16" t="str">
        <f aca="false">IF(C20="","Skriv svaret i den gule cellen.",IF(C20=(8830-6500-2*640),"Riktig.",IF(ABS(C20-(8830-6500))&lt;=0,"Du har glemt montørtimene, 2 × 640 = 1 280 kr. Timene på jobben er en variabel kostnad.",IF(ABS(C20-(8830-2*640))&lt;=0,"Du har glemt ladeboksen og materiellet, 6 500 kr.",IF(ABS(C20-(8830-6500*1.2-2*640))&lt;=0,"Du har trukket fra materiellet med påslag. Prisen 8 830 er allerede med påslag; trekk fra innkjøpsprisen 6 500.","Ikke riktig ennå. Se på regnestykket øverst på fanen, og sjekk at du har med alle leddene.")))))</f>
        <v>Skriv svaret i den gule cellen.</v>
      </c>
    </row>
    <row r="21" customFormat="false" ht="43.5" hidden="false" customHeight="true" outlineLevel="0" collapsed="false">
      <c r="B21" s="13" t="s">
        <v>32</v>
      </c>
      <c r="C21" s="14"/>
      <c r="D21" s="15" t="s">
        <v>33</v>
      </c>
      <c r="G21" s="16" t="str">
        <f aca="false">IF(C21="","Skriv svaret i den gule cellen.",IF(ABS(C21-(ROUND(1050/2,0)))&lt;=1,"Riktig.",IF(ABS(C21-(ROUND(2/1050,2)))&lt;=1,"Du har delt motsatt vei. Dekningsbidraget skal deles på timene.","Ikke riktig ennå. Se på regnestykket øverst på fanen, og sjekk at du har med alle leddene.")))</f>
        <v>Skriv svaret i den gule cellen.</v>
      </c>
    </row>
    <row r="22" customFormat="false" ht="43.5" hidden="false" customHeight="true" outlineLevel="0" collapsed="false">
      <c r="B22" s="13" t="s">
        <v>34</v>
      </c>
      <c r="C22" s="14"/>
      <c r="D22" s="15" t="s">
        <v>33</v>
      </c>
      <c r="G22" s="16" t="str">
        <f aca="false">IF(C22="","Skriv svaret i den gule cellen.",IF(ABS(C22-(ROUND(4400/14,0)))&lt;=1,"Riktig.",IF(ABS(C22-(4400))&lt;=1,"Du har svart dekningsbidraget per oppdrag. Del det på de 14 timene.","Ikke riktig ennå. Se på regnestykket øverst på fanen, og sjekk at du har med alle leddene.")))</f>
        <v>Skriv svaret i den gule cellen.</v>
      </c>
    </row>
    <row r="23" customFormat="false" ht="43.5" hidden="false" customHeight="true" outlineLevel="0" collapsed="false">
      <c r="B23" s="13" t="s">
        <v>35</v>
      </c>
      <c r="C23" s="14"/>
      <c r="D23" s="15" t="s">
        <v>33</v>
      </c>
      <c r="G23" s="16" t="str">
        <f aca="false">IF(C23="","Skriv svaret i den gule cellen.",IF(ABS(C23-(ROUND(900/3,0)))&lt;=1,"Riktig.",IF(ABS(C23-(900))&lt;=1,"Du har svart dekningsbidraget per oppdrag. Del det på de 3 timene.","Ikke riktig ennå. Se på regnestykket øverst på fanen, og sjekk at du har med alle leddene.")))</f>
        <v>Skriv svaret i den gule cellen.</v>
      </c>
    </row>
    <row r="24" customFormat="false" ht="43.5" hidden="false" customHeight="true" outlineLevel="0" collapsed="false">
      <c r="B24" s="13" t="s">
        <v>36</v>
      </c>
      <c r="C24" s="14"/>
      <c r="D24" s="15" t="s">
        <v>33</v>
      </c>
      <c r="G24" s="16" t="str">
        <f aca="false">IF(C24="","Skriv svaret i den gule cellen.",IF(ABS(C24-(ROUND(2100/9,0)))&lt;=1,"Riktig.",IF(ABS(C24-(2100))&lt;=1,"Du har svart dekningsbidraget per oppdrag. Del det på de 9 timene.",IF(ABS(C24-(ROUND(2100/3,0)))&lt;=1,"Du har delt på 3 timer. Nybygget tar 9 timer.","Ikke riktig ennå. Se på regnestykket øverst på fanen, og sjekk at du har med alle leddene."))))</f>
        <v>Skriv svaret i den gule cellen.</v>
      </c>
    </row>
    <row r="26" customFormat="false" ht="39.75" hidden="false" customHeight="true" outlineLevel="0" collapsed="false">
      <c r="B26" s="13" t="s">
        <v>37</v>
      </c>
      <c r="C26" s="17"/>
      <c r="G26" s="16" t="str">
        <f aca="false">IF(C26="","Velg i nedtrekksmenyen.",IF(C26="Ladepunkt","Riktig. Ladepunktet gir mest per montørtime, 525 kr. Solcelleanlegget gir mest per jobb, men bare 314 kr per time.","Ikke riktig. Ladepunktet gir mest per montørtime, 525 kr. Solcelleanlegget gir mest per jobb, men bare 314 kr per time."))</f>
        <v>Velg i nedtrekksmenyen.</v>
      </c>
    </row>
    <row r="27" customFormat="false" ht="39.75" hidden="false" customHeight="true" outlineLevel="0" collapsed="false">
      <c r="B27" s="13" t="s">
        <v>38</v>
      </c>
      <c r="C27" s="17"/>
      <c r="G27" s="16" t="str">
        <f aca="false">IF(C27="","Velg i nedtrekksmenyen.",IF(C27="Nybygg","Riktig. Nybygget gir 2 100 kr per jobb, men bare 233 kr per time. Rangert per jobb hopper det fra sist til nest først; det er fella.","Ikke riktig. Nybygget gir 2 100 kr per jobb, men bare 233 kr per time. Rangert per jobb hopper det fra sist til nest først; det er fella."))</f>
        <v>Velg i nedtrekksmenyen.</v>
      </c>
    </row>
    <row r="29" customFormat="false" ht="30" hidden="false" customHeight="true" outlineLevel="0" collapsed="false">
      <c r="B29" s="8" t="s">
        <v>39</v>
      </c>
      <c r="C29" s="8"/>
      <c r="D29" s="8"/>
      <c r="E29" s="8"/>
      <c r="F29" s="8"/>
      <c r="G29" s="8"/>
    </row>
    <row r="30" customFormat="false" ht="21.75" hidden="false" customHeight="true" outlineLevel="0" collapsed="false">
      <c r="B30" s="18"/>
      <c r="C30" s="18"/>
      <c r="D30" s="18"/>
      <c r="E30" s="18"/>
      <c r="F30" s="18"/>
      <c r="G30" s="18"/>
    </row>
    <row r="31" customFormat="false" ht="21.75" hidden="false" customHeight="true" outlineLevel="0" collapsed="false">
      <c r="B31" s="18"/>
      <c r="C31" s="18"/>
      <c r="D31" s="18"/>
      <c r="E31" s="18"/>
      <c r="F31" s="18"/>
      <c r="G31" s="18"/>
    </row>
    <row r="32" customFormat="false" ht="21.75" hidden="false" customHeight="true" outlineLevel="0" collapsed="false">
      <c r="B32" s="18"/>
      <c r="C32" s="18"/>
      <c r="D32" s="18"/>
      <c r="E32" s="18"/>
      <c r="F32" s="18"/>
      <c r="G32" s="18"/>
    </row>
    <row r="33" customFormat="false" ht="39.75" hidden="false" customHeight="true" outlineLevel="0" collapsed="false">
      <c r="B33" s="19" t="str">
        <f aca="false">IF(LEN(B30)&lt;40,"",IF(AND(ISNUMBER(SEARCH("time",B30)),ISNUMBER(SEARCH("2 700",B30))),"Bra: du bruker kroner per time og viser at 9 timer gir 3 boliger à 900 = 2 700 kr, mot 2 100 for nybygget.",IF(OR(ISNUMBER(SEARCH("time",B30)),ISNUMBER(SEARCH("2 700",B30))),"Du er på sporet. Vis også regnestykket: 9 timer gir 3 boliger à 900 = 2 700 kr, mens nybygget gir 2 100 kr på de samme timene.","Tips: nybygget gir 233 kr per time, boligen 300. De 9 timene et nybygg tar, gir 3 boliger à 900 = 2 700 kr. Nybygget gir 2 100. Hvert nybygg før boligene koster 600 kr.")))</f>
        <v/>
      </c>
      <c r="C33" s="19"/>
      <c r="D33" s="19"/>
      <c r="E33" s="19"/>
      <c r="F33" s="19"/>
      <c r="G33" s="19"/>
    </row>
    <row r="34" customFormat="false" ht="15" hidden="false" customHeight="false" outlineLevel="0" collapsed="false">
      <c r="B34" s="20" t="s">
        <v>40</v>
      </c>
      <c r="C34" s="17"/>
    </row>
    <row r="35" customFormat="false" ht="31.5" hidden="false" customHeight="true" outlineLevel="0" collapsed="false">
      <c r="B35" s="21" t="str">
        <f aca="false">IF(C34="JA","Hint: a: 8 830 − 6 500 − 1 280 = 1 050. Per time: ladepunkt 1 050 / 2 = 525, solcelleanlegg 4 400 / 14 = 314, bolig 900 / 3 = 300, nybygg 2 100 / 9 = 233. Den med høyest tall per time får timene først.","")</f>
        <v/>
      </c>
      <c r="C35" s="21"/>
      <c r="D35" s="21"/>
      <c r="E35" s="21"/>
      <c r="F35" s="21"/>
      <c r="G35" s="21"/>
    </row>
    <row r="37" customFormat="false" ht="30" hidden="false" customHeight="true" outlineLevel="0" collapsed="false">
      <c r="B37" s="6" t="s">
        <v>41</v>
      </c>
      <c r="C37" s="6"/>
      <c r="D37" s="6"/>
      <c r="E37" s="6"/>
      <c r="F37" s="6"/>
      <c r="G37" s="6"/>
    </row>
  </sheetData>
  <mergeCells count="15">
    <mergeCell ref="B2:G2"/>
    <mergeCell ref="B3:G3"/>
    <mergeCell ref="B4:G4"/>
    <mergeCell ref="B5:G5"/>
    <mergeCell ref="B6:G6"/>
    <mergeCell ref="B7:G7"/>
    <mergeCell ref="B9:G9"/>
    <mergeCell ref="B10:G10"/>
    <mergeCell ref="B17:G17"/>
    <mergeCell ref="B18:G18"/>
    <mergeCell ref="B29:G29"/>
    <mergeCell ref="B30:G32"/>
    <mergeCell ref="B33:G33"/>
    <mergeCell ref="B35:G35"/>
    <mergeCell ref="B37:G37"/>
  </mergeCells>
  <conditionalFormatting sqref="G20">
    <cfRule type="expression" priority="2" aboveAverage="0" equalAverage="0" bottom="0" percent="0" rank="0" text="" dxfId="0">
      <formula>LEFT(G20,6)="Riktig"</formula>
    </cfRule>
    <cfRule type="expression" priority="3" aboveAverage="0" equalAverage="0" bottom="0" percent="0" rank="0" text="" dxfId="1">
      <formula>AND(G20&lt;&gt;"",LEFT(G20,6)&lt;&gt;"Riktig",LEFT(G20,5)&lt;&gt;"Skriv")</formula>
    </cfRule>
  </conditionalFormatting>
  <conditionalFormatting sqref="G21">
    <cfRule type="expression" priority="4" aboveAverage="0" equalAverage="0" bottom="0" percent="0" rank="0" text="" dxfId="0">
      <formula>LEFT(G21,6)="Riktig"</formula>
    </cfRule>
    <cfRule type="expression" priority="5" aboveAverage="0" equalAverage="0" bottom="0" percent="0" rank="0" text="" dxfId="1">
      <formula>AND(G21&lt;&gt;"",LEFT(G21,6)&lt;&gt;"Riktig",LEFT(G21,5)&lt;&gt;"Skriv")</formula>
    </cfRule>
  </conditionalFormatting>
  <conditionalFormatting sqref="G22">
    <cfRule type="expression" priority="6" aboveAverage="0" equalAverage="0" bottom="0" percent="0" rank="0" text="" dxfId="0">
      <formula>LEFT(G22,6)="Riktig"</formula>
    </cfRule>
    <cfRule type="expression" priority="7" aboveAverage="0" equalAverage="0" bottom="0" percent="0" rank="0" text="" dxfId="1">
      <formula>AND(G22&lt;&gt;"",LEFT(G22,6)&lt;&gt;"Riktig",LEFT(G22,5)&lt;&gt;"Skriv")</formula>
    </cfRule>
  </conditionalFormatting>
  <conditionalFormatting sqref="G23">
    <cfRule type="expression" priority="8" aboveAverage="0" equalAverage="0" bottom="0" percent="0" rank="0" text="" dxfId="0">
      <formula>LEFT(G23,6)="Riktig"</formula>
    </cfRule>
    <cfRule type="expression" priority="9" aboveAverage="0" equalAverage="0" bottom="0" percent="0" rank="0" text="" dxfId="1">
      <formula>AND(G23&lt;&gt;"",LEFT(G23,6)&lt;&gt;"Riktig",LEFT(G23,5)&lt;&gt;"Skriv")</formula>
    </cfRule>
  </conditionalFormatting>
  <conditionalFormatting sqref="G24">
    <cfRule type="expression" priority="10" aboveAverage="0" equalAverage="0" bottom="0" percent="0" rank="0" text="" dxfId="0">
      <formula>LEFT(G24,6)="Riktig"</formula>
    </cfRule>
    <cfRule type="expression" priority="11" aboveAverage="0" equalAverage="0" bottom="0" percent="0" rank="0" text="" dxfId="1">
      <formula>AND(G24&lt;&gt;"",LEFT(G24,6)&lt;&gt;"Riktig",LEFT(G24,5)&lt;&gt;"Skriv")</formula>
    </cfRule>
  </conditionalFormatting>
  <conditionalFormatting sqref="G26">
    <cfRule type="expression" priority="12" aboveAverage="0" equalAverage="0" bottom="0" percent="0" rank="0" text="" dxfId="0">
      <formula>LEFT(G26,6)="Riktig"</formula>
    </cfRule>
    <cfRule type="expression" priority="13" aboveAverage="0" equalAverage="0" bottom="0" percent="0" rank="0" text="" dxfId="1">
      <formula>LEFT(G26,4)="Ikke"</formula>
    </cfRule>
  </conditionalFormatting>
  <conditionalFormatting sqref="G27">
    <cfRule type="expression" priority="14" aboveAverage="0" equalAverage="0" bottom="0" percent="0" rank="0" text="" dxfId="0">
      <formula>LEFT(G27,6)="Riktig"</formula>
    </cfRule>
    <cfRule type="expression" priority="15" aboveAverage="0" equalAverage="0" bottom="0" percent="0" rank="0" text="" dxfId="1">
      <formula>LEFT(G27,4)="Ikke"</formula>
    </cfRule>
  </conditionalFormatting>
  <dataValidations count="3">
    <dataValidation allowBlank="true" errorStyle="stop" operator="between" showDropDown="false" showErrorMessage="false" showInputMessage="false" sqref="C26" type="list">
      <formula1>"Ladepunkt,Solcelleanlegg,Boliginstallasjon,Nybygg"</formula1>
      <formula2>0</formula2>
    </dataValidation>
    <dataValidation allowBlank="true" errorStyle="stop" operator="between" showDropDown="false" showErrorMessage="false" showInputMessage="false" sqref="C27" type="list">
      <formula1>"Ladepunkt,Solcelleanlegg,Boliginstallasjon,Nybygg"</formula1>
      <formula2>0</formula2>
    </dataValidation>
    <dataValidation allowBlank="true" errorStyle="stop" operator="between" showDropDown="false" showErrorMessage="false" showInputMessage="false" sqref="C34"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s>
  <sheetData>
    <row r="2" customFormat="false" ht="25.5" hidden="false" customHeight="true" outlineLevel="0" collapsed="false">
      <c r="B2" s="5" t="s">
        <v>42</v>
      </c>
      <c r="C2" s="5"/>
      <c r="D2" s="5"/>
      <c r="E2" s="5"/>
      <c r="F2" s="5"/>
      <c r="G2" s="5"/>
    </row>
    <row r="3" customFormat="false" ht="15" hidden="false" customHeight="true" outlineLevel="0" collapsed="false">
      <c r="B3" s="6" t="s">
        <v>14</v>
      </c>
      <c r="C3" s="6"/>
      <c r="D3" s="6"/>
      <c r="E3" s="6"/>
      <c r="F3" s="6"/>
      <c r="G3" s="6"/>
    </row>
    <row r="4" customFormat="false" ht="15.75" hidden="false" customHeight="true" outlineLevel="0" collapsed="false">
      <c r="B4" s="7" t="s">
        <v>15</v>
      </c>
      <c r="C4" s="7"/>
      <c r="D4" s="7"/>
      <c r="E4" s="7"/>
      <c r="F4" s="7"/>
      <c r="G4" s="7"/>
    </row>
    <row r="5" customFormat="false" ht="45" hidden="false" customHeight="true" outlineLevel="0" collapsed="false">
      <c r="B5" s="8" t="s">
        <v>43</v>
      </c>
      <c r="C5" s="8"/>
      <c r="D5" s="8"/>
      <c r="E5" s="8"/>
      <c r="F5" s="8"/>
      <c r="G5" s="8"/>
    </row>
    <row r="6" customFormat="false" ht="15.75" hidden="false" customHeight="true" outlineLevel="0" collapsed="false">
      <c r="B6" s="7" t="s">
        <v>17</v>
      </c>
      <c r="C6" s="7"/>
      <c r="D6" s="7"/>
      <c r="E6" s="7"/>
      <c r="F6" s="7"/>
      <c r="G6" s="7"/>
    </row>
    <row r="7" customFormat="false" ht="30" hidden="false" customHeight="true" outlineLevel="0" collapsed="false">
      <c r="B7" s="8" t="s">
        <v>44</v>
      </c>
      <c r="C7" s="8"/>
      <c r="D7" s="8"/>
      <c r="E7" s="8"/>
      <c r="F7" s="8"/>
      <c r="G7" s="8"/>
    </row>
    <row r="9" customFormat="false" ht="15.75" hidden="false" customHeight="true" outlineLevel="0" collapsed="false">
      <c r="B9" s="7" t="s">
        <v>19</v>
      </c>
      <c r="C9" s="7"/>
      <c r="D9" s="7"/>
      <c r="E9" s="7"/>
      <c r="F9" s="7"/>
      <c r="G9" s="7"/>
    </row>
    <row r="10" customFormat="false" ht="45" hidden="false" customHeight="true" outlineLevel="0" collapsed="false">
      <c r="B10" s="8" t="s">
        <v>45</v>
      </c>
      <c r="C10" s="8"/>
      <c r="D10" s="8"/>
      <c r="E10" s="8"/>
      <c r="F10" s="8"/>
      <c r="G10" s="8"/>
    </row>
    <row r="11" customFormat="false" ht="15" hidden="false" customHeight="false" outlineLevel="0" collapsed="false">
      <c r="B11" s="9" t="s">
        <v>21</v>
      </c>
      <c r="C11" s="10" t="s">
        <v>22</v>
      </c>
      <c r="D11" s="10" t="s">
        <v>46</v>
      </c>
      <c r="E11" s="10" t="s">
        <v>47</v>
      </c>
    </row>
    <row r="12" customFormat="false" ht="15" hidden="false" customHeight="false" outlineLevel="0" collapsed="false">
      <c r="B12" s="11" t="s">
        <v>48</v>
      </c>
      <c r="C12" s="12" t="n">
        <v>1050</v>
      </c>
      <c r="D12" s="12" t="n">
        <v>2</v>
      </c>
      <c r="E12" s="12" t="n">
        <v>120</v>
      </c>
    </row>
    <row r="13" customFormat="false" ht="15" hidden="false" customHeight="false" outlineLevel="0" collapsed="false">
      <c r="B13" s="11" t="s">
        <v>25</v>
      </c>
      <c r="C13" s="12" t="n">
        <v>4400</v>
      </c>
      <c r="D13" s="12" t="n">
        <v>14</v>
      </c>
      <c r="E13" s="12" t="n">
        <v>40</v>
      </c>
    </row>
    <row r="14" customFormat="false" ht="15" hidden="false" customHeight="false" outlineLevel="0" collapsed="false">
      <c r="B14" s="11" t="s">
        <v>26</v>
      </c>
      <c r="C14" s="12" t="n">
        <v>900</v>
      </c>
      <c r="D14" s="12" t="n">
        <v>3</v>
      </c>
      <c r="E14" s="12" t="n">
        <v>100</v>
      </c>
    </row>
    <row r="15" customFormat="false" ht="15" hidden="false" customHeight="false" outlineLevel="0" collapsed="false">
      <c r="B15" s="11" t="s">
        <v>27</v>
      </c>
      <c r="C15" s="12" t="n">
        <v>2100</v>
      </c>
      <c r="D15" s="12" t="n">
        <v>9</v>
      </c>
      <c r="E15" s="12" t="n">
        <v>30</v>
      </c>
    </row>
    <row r="17" customFormat="false" ht="15" hidden="false" customHeight="false" outlineLevel="0" collapsed="false">
      <c r="B17" s="9" t="s">
        <v>49</v>
      </c>
      <c r="C17" s="10" t="s">
        <v>50</v>
      </c>
    </row>
    <row r="18" customFormat="false" ht="15" hidden="false" customHeight="false" outlineLevel="0" collapsed="false">
      <c r="B18" s="11" t="s">
        <v>51</v>
      </c>
      <c r="C18" s="22" t="n">
        <f aca="false">D12*E12</f>
        <v>240</v>
      </c>
    </row>
    <row r="19" customFormat="false" ht="15" hidden="false" customHeight="false" outlineLevel="0" collapsed="false">
      <c r="B19" s="11" t="s">
        <v>52</v>
      </c>
      <c r="C19" s="22" t="n">
        <f aca="false">D13*E13</f>
        <v>560</v>
      </c>
    </row>
    <row r="20" customFormat="false" ht="15" hidden="false" customHeight="false" outlineLevel="0" collapsed="false">
      <c r="B20" s="11" t="s">
        <v>53</v>
      </c>
      <c r="C20" s="22" t="n">
        <f aca="false">D14*E14</f>
        <v>300</v>
      </c>
    </row>
    <row r="21" customFormat="false" ht="15" hidden="false" customHeight="false" outlineLevel="0" collapsed="false">
      <c r="B21" s="11" t="s">
        <v>54</v>
      </c>
      <c r="C21" s="22" t="n">
        <f aca="false">D15*E15</f>
        <v>270</v>
      </c>
    </row>
    <row r="22" customFormat="false" ht="15" hidden="false" customHeight="false" outlineLevel="0" collapsed="false">
      <c r="B22" s="11" t="s">
        <v>55</v>
      </c>
      <c r="C22" s="22" t="n">
        <f aca="false">SUM(C18:C21)</f>
        <v>1370</v>
      </c>
    </row>
    <row r="23" customFormat="false" ht="15" hidden="false" customHeight="false" outlineLevel="0" collapsed="false">
      <c r="B23" s="11" t="s">
        <v>56</v>
      </c>
      <c r="C23" s="12" t="n">
        <v>1080</v>
      </c>
    </row>
    <row r="25" customFormat="false" ht="15.75" hidden="false" customHeight="true" outlineLevel="0" collapsed="false">
      <c r="B25" s="7" t="s">
        <v>28</v>
      </c>
      <c r="C25" s="7"/>
      <c r="D25" s="7"/>
      <c r="E25" s="7"/>
      <c r="F25" s="7"/>
      <c r="G25" s="7"/>
    </row>
    <row r="26" customFormat="false" ht="60" hidden="false" customHeight="true" outlineLevel="0" collapsed="false">
      <c r="B26" s="8" t="s">
        <v>57</v>
      </c>
      <c r="C26" s="8"/>
      <c r="D26" s="8"/>
      <c r="E26" s="8"/>
      <c r="F26" s="8"/>
      <c r="G26" s="8"/>
    </row>
    <row r="28" customFormat="false" ht="43.5" hidden="false" customHeight="true" outlineLevel="0" collapsed="false">
      <c r="B28" s="13" t="s">
        <v>58</v>
      </c>
      <c r="C28" s="14"/>
      <c r="D28" s="15" t="s">
        <v>59</v>
      </c>
      <c r="G28" s="16" t="str">
        <f aca="false">IF(C28="","Skriv svaret i den gule cellen.",IF(C28=(1370-1080),"Riktig.",IF(ABS(C28-(1370))&lt;=0,"Du har svart timene forespørslene krever. Trekk fra de 1 080 timene Nordlys har.",IF(ABS(C28-(120+40+100+30-1080))&lt;=0,"Du har summert antall oppdrag, ikke timene. Gang antallet med timer per oppdrag først.","Ikke riktig ennå. Se på regnestykket øverst på fanen, og sjekk at du har med alle leddene."))))</f>
        <v>Skriv svaret i den gule cellen.</v>
      </c>
    </row>
    <row r="29" customFormat="false" ht="43.5" hidden="false" customHeight="true" outlineLevel="0" collapsed="false">
      <c r="B29" s="13" t="s">
        <v>60</v>
      </c>
      <c r="C29" s="14"/>
      <c r="D29" s="15" t="s">
        <v>61</v>
      </c>
      <c r="G29" s="16" t="str">
        <f aca="false">IF(C29="","Skriv svaret i den gule cellen.",IF(C29=(93),"Riktig.",IF(ABS(C29-(94))&lt;=0,"Du har rundet opp. 94 × 3 = 282 timer, men det er bare 280 igjen etter ladepunkt (240) og solcelleanlegg (560). Rund ned.",IF(ABS(C29-(100))&lt;=0,"Du har tatt alle 100. Etter ladepunkt og solcelleanlegg er det 1 080 − 800 = 280 timer igjen, og det rekker ikke til 300 timer.",IF(ABS(C29-(0))&lt;=0,"Boligene gir 300 kr per time og står foran nybygg (233). De får timene som er igjen etter ladepunkt og solcelleanlegg.","Ikke riktig ennå. Se på regnestykket øverst på fanen, og sjekk at du har med alle leddene.")))))</f>
        <v>Skriv svaret i den gule cellen.</v>
      </c>
    </row>
    <row r="30" customFormat="false" ht="43.5" hidden="false" customHeight="true" outlineLevel="0" collapsed="false">
      <c r="B30" s="13" t="s">
        <v>62</v>
      </c>
      <c r="C30" s="14"/>
      <c r="D30" s="15" t="s">
        <v>31</v>
      </c>
      <c r="G30" s="16" t="str">
        <f aca="false">IF(C30="","Skriv svaret i den gule cellen.",IF(C30=(120*1050+40*4400+93*900),"Riktig.",IF(ABS(C30-(120*1050+40*4400+94*900))&lt;=0,"Du har brukt 94 boliger. Det er bare timer til 93.",IF(ABS(C30-(120*1050+40*4400))&lt;=0,"Du har glemt boligene, 93 × 900 = 83 700 kr.",IF(ABS(C30-(120*1050+40*4400+93*900+30*2100))&lt;=0,"Du har tatt med nybyggene. Det er ingen timer igjen til dem.","Ikke riktig ennå. Se på regnestykket øverst på fanen, og sjekk at du har med alle leddene.")))))</f>
        <v>Skriv svaret i den gule cellen.</v>
      </c>
    </row>
    <row r="31" customFormat="false" ht="43.5" hidden="false" customHeight="true" outlineLevel="0" collapsed="false">
      <c r="B31" s="13" t="s">
        <v>63</v>
      </c>
      <c r="C31" s="14"/>
      <c r="D31" s="15" t="s">
        <v>31</v>
      </c>
      <c r="G31" s="16" t="str">
        <f aca="false">IF(C31="","Skriv svaret i den gule cellen.",IF(C31=(40*4400+30*2100+120*1050+3*900),"Riktig.",IF(ABS(C31-(40*4400+30*2100+120*1050))&lt;=0,"Du har glemt boligene. Etter 560 + 270 + 240 = 1 070 timer er det 10 timer igjen, nok til 3 boliger.",IF(ABS(C31-(40*4400+30*2100+120*1050+100*900))&lt;=0,"Du har tatt alle 100 boligene. Ronnys rekkefølge må også stoppe når de 1 080 timene er brukt: bare 3 får plass.","Ikke riktig ennå. Se på regnestykket øverst på fanen, og sjekk at du har med alle leddene."))))</f>
        <v>Skriv svaret i den gule cellen.</v>
      </c>
    </row>
    <row r="32" customFormat="false" ht="43.5" hidden="false" customHeight="true" outlineLevel="0" collapsed="false">
      <c r="B32" s="13" t="s">
        <v>64</v>
      </c>
      <c r="C32" s="14"/>
      <c r="D32" s="15" t="s">
        <v>31</v>
      </c>
      <c r="G32" s="16" t="str">
        <f aca="false">IF(C32="","Skriv svaret i den gule cellen.",IF(C32=((120*1050+40*4400+93*900)-(40*4400+30*2100+120*1050+3*900)),"Riktig.",IF(ABS(C32-((40*4400+30*2100+120*1050+3*900)-(120*1050+40*4400+93*900)))&lt;=0,"Du har fått negativt tall. Oppgaven spør hvor mye mindre Ronnys rekkefølge gir: planen i c minus Ronnys.","Ikke riktig ennå. Planen i c minus Ronnys rekkefølge i d.")))</f>
        <v>Skriv svaret i den gule cellen.</v>
      </c>
    </row>
    <row r="34" customFormat="false" ht="30" hidden="false" customHeight="true" outlineLevel="0" collapsed="false">
      <c r="B34" s="8" t="s">
        <v>65</v>
      </c>
      <c r="C34" s="8"/>
      <c r="D34" s="8"/>
      <c r="E34" s="8"/>
      <c r="F34" s="8"/>
      <c r="G34" s="8"/>
    </row>
    <row r="35" customFormat="false" ht="21.75" hidden="false" customHeight="true" outlineLevel="0" collapsed="false">
      <c r="B35" s="18"/>
      <c r="C35" s="18"/>
      <c r="D35" s="18"/>
      <c r="E35" s="18"/>
      <c r="F35" s="18"/>
      <c r="G35" s="18"/>
    </row>
    <row r="36" customFormat="false" ht="21.75" hidden="false" customHeight="true" outlineLevel="0" collapsed="false">
      <c r="B36" s="18"/>
      <c r="C36" s="18"/>
      <c r="D36" s="18"/>
      <c r="E36" s="18"/>
      <c r="F36" s="18"/>
      <c r="G36" s="18"/>
    </row>
    <row r="37" customFormat="false" ht="21.75" hidden="false" customHeight="true" outlineLevel="0" collapsed="false">
      <c r="B37" s="18"/>
      <c r="C37" s="18"/>
      <c r="D37" s="18"/>
      <c r="E37" s="18"/>
      <c r="F37" s="18"/>
      <c r="G37" s="18"/>
    </row>
    <row r="38" customFormat="false" ht="39.75" hidden="false" customHeight="true" outlineLevel="0" collapsed="false">
      <c r="B38" s="19" t="str">
        <f aca="false">IF(LEN(B35)&lt;40,"",IF(AND(ISNUMBER(SEARCH("18 000",B35)),ISNUMBER(SEARCH("mai",B35))),"Bra: du gir Ronny prisen, 18 000 kr, og spør om nybyggene kan flyttes til mai eller er del av en avtale.",IF(OR(ISNUMBER(SEARCH("18 000",B35)),ISNUMBER(SEARCH("mai",B35))),"Du har med noe av det. Gi Ronny tallet (18 000 kr, 600 kr per nybygg) og still spørsmålet: kan nybyggene flyttes til mai, eller er de del av en avtale?","Tips: Ronnys rekkefølge koster 18 000 kr i april, 600 kr per nybygg. Spør om nybyggene er del av en avtale, eller om de kan flyttes til mai. Tar dere dem likevel, gjør dere det bevisst og vet prisen.")))</f>
        <v/>
      </c>
      <c r="C38" s="19"/>
      <c r="D38" s="19"/>
      <c r="E38" s="19"/>
      <c r="F38" s="19"/>
      <c r="G38" s="19"/>
    </row>
    <row r="39" customFormat="false" ht="15" hidden="false" customHeight="false" outlineLevel="0" collapsed="false">
      <c r="B39" s="20" t="s">
        <v>40</v>
      </c>
      <c r="C39" s="17"/>
    </row>
    <row r="40" customFormat="false" ht="45" hidden="false" customHeight="true" outlineLevel="0" collapsed="false">
      <c r="B40" s="21" t="str">
        <f aca="false">IF(C39="JA","Hint: Forespurt: 240 + 560 + 300 + 270 = 1 370 timer, 290 for mye. Planen: 120 ladepunkt (240 t), 40 solcelleanlegg (560 t), 280 timer igjen gir 93 boliger (279 t). 126 000 + 176 000 + 83 700 = 385 700. Ronny: 560 + 270 + 240 = 1 070 timer, 3 boliger: 176 000 + 63 000 + 126 000 + 2 700 = 367 700. Forskjell 18 000.","")</f>
        <v/>
      </c>
      <c r="C40" s="21"/>
      <c r="D40" s="21"/>
      <c r="E40" s="21"/>
      <c r="F40" s="21"/>
      <c r="G40" s="21"/>
    </row>
    <row r="42" customFormat="false" ht="30" hidden="false" customHeight="true" outlineLevel="0" collapsed="false">
      <c r="B42" s="6" t="s">
        <v>41</v>
      </c>
      <c r="C42" s="6"/>
      <c r="D42" s="6"/>
      <c r="E42" s="6"/>
      <c r="F42" s="6"/>
      <c r="G42" s="6"/>
    </row>
  </sheetData>
  <mergeCells count="15">
    <mergeCell ref="B2:G2"/>
    <mergeCell ref="B3:G3"/>
    <mergeCell ref="B4:G4"/>
    <mergeCell ref="B5:G5"/>
    <mergeCell ref="B6:G6"/>
    <mergeCell ref="B7:G7"/>
    <mergeCell ref="B9:G9"/>
    <mergeCell ref="B10:G10"/>
    <mergeCell ref="B25:G25"/>
    <mergeCell ref="B26:G26"/>
    <mergeCell ref="B34:G34"/>
    <mergeCell ref="B35:G37"/>
    <mergeCell ref="B38:G38"/>
    <mergeCell ref="B40:G40"/>
    <mergeCell ref="B42:G42"/>
  </mergeCells>
  <conditionalFormatting sqref="G28">
    <cfRule type="expression" priority="2" aboveAverage="0" equalAverage="0" bottom="0" percent="0" rank="0" text="" dxfId="0">
      <formula>LEFT(G28,6)="Riktig"</formula>
    </cfRule>
    <cfRule type="expression" priority="3" aboveAverage="0" equalAverage="0" bottom="0" percent="0" rank="0" text="" dxfId="1">
      <formula>AND(G28&lt;&gt;"",LEFT(G28,6)&lt;&gt;"Riktig",LEFT(G28,5)&lt;&gt;"Skriv")</formula>
    </cfRule>
  </conditionalFormatting>
  <conditionalFormatting sqref="G29">
    <cfRule type="expression" priority="4" aboveAverage="0" equalAverage="0" bottom="0" percent="0" rank="0" text="" dxfId="0">
      <formula>LEFT(G29,6)="Riktig"</formula>
    </cfRule>
    <cfRule type="expression" priority="5" aboveAverage="0" equalAverage="0" bottom="0" percent="0" rank="0" text="" dxfId="1">
      <formula>AND(G29&lt;&gt;"",LEFT(G29,6)&lt;&gt;"Riktig",LEFT(G29,5)&lt;&gt;"Skriv")</formula>
    </cfRule>
  </conditionalFormatting>
  <conditionalFormatting sqref="G30">
    <cfRule type="expression" priority="6" aboveAverage="0" equalAverage="0" bottom="0" percent="0" rank="0" text="" dxfId="0">
      <formula>LEFT(G30,6)="Riktig"</formula>
    </cfRule>
    <cfRule type="expression" priority="7" aboveAverage="0" equalAverage="0" bottom="0" percent="0" rank="0" text="" dxfId="1">
      <formula>AND(G30&lt;&gt;"",LEFT(G30,6)&lt;&gt;"Riktig",LEFT(G30,5)&lt;&gt;"Skriv")</formula>
    </cfRule>
  </conditionalFormatting>
  <conditionalFormatting sqref="G31">
    <cfRule type="expression" priority="8" aboveAverage="0" equalAverage="0" bottom="0" percent="0" rank="0" text="" dxfId="0">
      <formula>LEFT(G31,6)="Riktig"</formula>
    </cfRule>
    <cfRule type="expression" priority="9" aboveAverage="0" equalAverage="0" bottom="0" percent="0" rank="0" text="" dxfId="1">
      <formula>AND(G31&lt;&gt;"",LEFT(G31,6)&lt;&gt;"Riktig",LEFT(G31,5)&lt;&gt;"Skriv")</formula>
    </cfRule>
  </conditionalFormatting>
  <conditionalFormatting sqref="G32">
    <cfRule type="expression" priority="10" aboveAverage="0" equalAverage="0" bottom="0" percent="0" rank="0" text="" dxfId="0">
      <formula>LEFT(G32,6)="Riktig"</formula>
    </cfRule>
    <cfRule type="expression" priority="11" aboveAverage="0" equalAverage="0" bottom="0" percent="0" rank="0" text="" dxfId="1">
      <formula>AND(G32&lt;&gt;"",LEFT(G32,6)&lt;&gt;"Riktig",LEFT(G32,5)&lt;&gt;"Skriv")</formula>
    </cfRule>
  </conditionalFormatting>
  <dataValidations count="1">
    <dataValidation allowBlank="true" errorStyle="stop" operator="between" showDropDown="false" showErrorMessage="false" showInputMessage="false" sqref="C39"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s>
  <sheetData>
    <row r="2" customFormat="false" ht="25.5" hidden="false" customHeight="true" outlineLevel="0" collapsed="false">
      <c r="B2" s="5" t="s">
        <v>66</v>
      </c>
      <c r="C2" s="5"/>
      <c r="D2" s="5"/>
      <c r="E2" s="5"/>
      <c r="F2" s="5"/>
      <c r="G2" s="5"/>
    </row>
    <row r="3" customFormat="false" ht="15" hidden="false" customHeight="true" outlineLevel="0" collapsed="false">
      <c r="B3" s="6" t="s">
        <v>14</v>
      </c>
      <c r="C3" s="6"/>
      <c r="D3" s="6"/>
      <c r="E3" s="6"/>
      <c r="F3" s="6"/>
      <c r="G3" s="6"/>
    </row>
    <row r="4" customFormat="false" ht="15.75" hidden="false" customHeight="true" outlineLevel="0" collapsed="false">
      <c r="B4" s="7" t="s">
        <v>15</v>
      </c>
      <c r="C4" s="7"/>
      <c r="D4" s="7"/>
      <c r="E4" s="7"/>
      <c r="F4" s="7"/>
      <c r="G4" s="7"/>
    </row>
    <row r="5" customFormat="false" ht="45" hidden="false" customHeight="true" outlineLevel="0" collapsed="false">
      <c r="B5" s="8" t="s">
        <v>67</v>
      </c>
      <c r="C5" s="8"/>
      <c r="D5" s="8"/>
      <c r="E5" s="8"/>
      <c r="F5" s="8"/>
      <c r="G5" s="8"/>
    </row>
    <row r="6" customFormat="false" ht="15.75" hidden="false" customHeight="true" outlineLevel="0" collapsed="false">
      <c r="B6" s="7" t="s">
        <v>17</v>
      </c>
      <c r="C6" s="7"/>
      <c r="D6" s="7"/>
      <c r="E6" s="7"/>
      <c r="F6" s="7"/>
      <c r="G6" s="7"/>
    </row>
    <row r="7" customFormat="false" ht="45" hidden="false" customHeight="true" outlineLevel="0" collapsed="false">
      <c r="B7" s="8" t="s">
        <v>68</v>
      </c>
      <c r="C7" s="8"/>
      <c r="D7" s="8"/>
      <c r="E7" s="8"/>
      <c r="F7" s="8"/>
      <c r="G7" s="8"/>
    </row>
    <row r="9" customFormat="false" ht="15.75" hidden="false" customHeight="true" outlineLevel="0" collapsed="false">
      <c r="B9" s="7" t="s">
        <v>19</v>
      </c>
      <c r="C9" s="7"/>
      <c r="D9" s="7"/>
      <c r="E9" s="7"/>
      <c r="F9" s="7"/>
      <c r="G9" s="7"/>
    </row>
    <row r="10" customFormat="false" ht="45" hidden="false" customHeight="true" outlineLevel="0" collapsed="false">
      <c r="B10" s="8" t="s">
        <v>69</v>
      </c>
      <c r="C10" s="8"/>
      <c r="D10" s="8"/>
      <c r="E10" s="8"/>
      <c r="F10" s="8"/>
      <c r="G10" s="8"/>
    </row>
    <row r="11" customFormat="false" ht="15" hidden="false" customHeight="false" outlineLevel="0" collapsed="false">
      <c r="B11" s="9" t="s">
        <v>21</v>
      </c>
      <c r="C11" s="10" t="s">
        <v>22</v>
      </c>
      <c r="D11" s="10" t="s">
        <v>46</v>
      </c>
      <c r="E11" s="10" t="s">
        <v>70</v>
      </c>
    </row>
    <row r="12" customFormat="false" ht="15" hidden="false" customHeight="false" outlineLevel="0" collapsed="false">
      <c r="B12" s="11" t="s">
        <v>71</v>
      </c>
      <c r="C12" s="14"/>
      <c r="D12" s="12" t="n">
        <v>3</v>
      </c>
      <c r="E12" s="12" t="n">
        <v>20</v>
      </c>
    </row>
    <row r="13" customFormat="false" ht="15" hidden="false" customHeight="false" outlineLevel="0" collapsed="false">
      <c r="B13" s="11" t="s">
        <v>72</v>
      </c>
      <c r="C13" s="12" t="n">
        <v>3000</v>
      </c>
      <c r="D13" s="12" t="n">
        <v>6</v>
      </c>
      <c r="E13" s="12" t="n">
        <v>25</v>
      </c>
    </row>
    <row r="14" customFormat="false" ht="15" hidden="false" customHeight="false" outlineLevel="0" collapsed="false">
      <c r="B14" s="11" t="s">
        <v>73</v>
      </c>
      <c r="C14" s="12" t="n">
        <v>700</v>
      </c>
      <c r="D14" s="12" t="n">
        <v>2</v>
      </c>
      <c r="E14" s="12" t="n">
        <v>40</v>
      </c>
    </row>
    <row r="15" customFormat="false" ht="15" hidden="false" customHeight="false" outlineLevel="0" collapsed="false">
      <c r="B15" s="11" t="s">
        <v>74</v>
      </c>
      <c r="C15" s="12" t="n">
        <v>6400</v>
      </c>
      <c r="D15" s="12" t="n">
        <v>20</v>
      </c>
      <c r="E15" s="12" t="n">
        <v>5</v>
      </c>
    </row>
    <row r="16" customFormat="false" ht="15" hidden="false" customHeight="false" outlineLevel="0" collapsed="false">
      <c r="B16" s="11" t="s">
        <v>75</v>
      </c>
      <c r="C16" s="12"/>
      <c r="D16" s="12" t="n">
        <v>250</v>
      </c>
      <c r="E16" s="12"/>
    </row>
    <row r="18" customFormat="false" ht="15.75" hidden="false" customHeight="true" outlineLevel="0" collapsed="false">
      <c r="B18" s="7" t="s">
        <v>28</v>
      </c>
      <c r="C18" s="7"/>
      <c r="D18" s="7"/>
      <c r="E18" s="7"/>
      <c r="F18" s="7"/>
      <c r="G18" s="7"/>
    </row>
    <row r="19" customFormat="false" ht="90" hidden="false" customHeight="true" outlineLevel="0" collapsed="false">
      <c r="B19" s="8" t="s">
        <v>76</v>
      </c>
      <c r="C19" s="8"/>
      <c r="D19" s="8"/>
      <c r="E19" s="8"/>
      <c r="F19" s="8"/>
      <c r="G19" s="8"/>
    </row>
    <row r="21" customFormat="false" ht="43.5" hidden="false" customHeight="true" outlineLevel="0" collapsed="false">
      <c r="B21" s="13" t="s">
        <v>77</v>
      </c>
      <c r="C21" s="14"/>
      <c r="D21" s="15" t="s">
        <v>31</v>
      </c>
      <c r="G21" s="16" t="str">
        <f aca="false">IF(C21="","Skriv svaret i den gule cellen.",IF(C21=((3*890+8000*1.2)-(8000+3*590)),"Riktig.",IF(ABS(C21-((3*890+8000*1.2)-(8000*1.2+3*590)))&lt;=0,"Du har trukket fra materiellet til salgspris, 9 600. Variabel kostnad er innkjøpsprisen, 8 000.",IF(ABS(C21-((3*890+8000*1.2)-8000))&lt;=0,"Du har glemt lønna, 3 × 590 = 1 770 kr.",IF(ABS(C21-(3*(890-590)))&lt;=0,"Du har bare timene. Påslaget på materiellet, 8 000 × 0,20 = 1 600 kr, er også dekningsbidrag.","Ikke riktig ennå. Se på regnestykket øverst på fanen, og sjekk at du har med alle leddene.")))))</f>
        <v>Skriv svaret i den gule cellen.</v>
      </c>
    </row>
    <row r="22" customFormat="false" ht="43.5" hidden="false" customHeight="true" outlineLevel="0" collapsed="false">
      <c r="B22" s="13" t="s">
        <v>78</v>
      </c>
      <c r="C22" s="14"/>
      <c r="D22" s="15" t="s">
        <v>33</v>
      </c>
      <c r="G22" s="16" t="str">
        <f aca="false">IF(C22="","Skriv svaret i den gule cellen.",IF(ABS(C22-(ROUND(2500/3,0)))&lt;=1,"Riktig.",IF(ABS(C22-(2500))&lt;=1,"Du har svart dekningsbidraget per oppdrag. Del på de 3 timene.",IF(ABS(C22-(ROUND(3*300/3,0)))&lt;=1,"Du har delt bare timedelen. Hele dekningsbidraget, 2 500 kr, skal deles på 3 timer.","Ikke riktig ennå. Se på regnestykket øverst på fanen, og sjekk at du har med alle leddene."))))</f>
        <v>Skriv svaret i den gule cellen.</v>
      </c>
    </row>
    <row r="23" customFormat="false" ht="39.75" hidden="false" customHeight="true" outlineLevel="0" collapsed="false">
      <c r="B23" s="13" t="s">
        <v>79</v>
      </c>
      <c r="C23" s="17"/>
      <c r="G23" s="16" t="str">
        <f aca="false">IF(C23="","Velg i nedtrekksmenyen.",IF(C23="Elbillader","Riktig. Laderen gir 833 kr per time: 2 500 / 3. Sikringsskap 500, service 350, næring 320.","Ikke riktig. Laderen gir 833 kr per time: 2 500 / 3. Sikringsskap 500, service 350, næring 320."))</f>
        <v>Velg i nedtrekksmenyen.</v>
      </c>
    </row>
    <row r="24" customFormat="false" ht="39.75" hidden="false" customHeight="true" outlineLevel="0" collapsed="false">
      <c r="B24" s="13" t="s">
        <v>80</v>
      </c>
      <c r="C24" s="17"/>
      <c r="G24" s="16" t="str">
        <f aca="false">IF(C24="","Velg i nedtrekksmenyen.",IF(C24="Næringsoppdrag","Riktig. Næringsoppdraget gir mest per jobb, 6 400 kr, men tar 20 timer: 320 kr per time, lavest av de fire.","Ikke riktig. Næringsoppdraget gir mest per jobb, 6 400 kr, men tar 20 timer: 320 kr per time, lavest av de fire."))</f>
        <v>Velg i nedtrekksmenyen.</v>
      </c>
    </row>
    <row r="26" customFormat="false" ht="43.5" hidden="false" customHeight="true" outlineLevel="0" collapsed="false">
      <c r="B26" s="13" t="s">
        <v>81</v>
      </c>
      <c r="C26" s="14"/>
      <c r="D26" s="15" t="s">
        <v>82</v>
      </c>
      <c r="G26" s="16" t="str">
        <f aca="false">IF(C26="","Skriv svaret i den gule cellen.",IF(C26=(20),"Riktig.",IF(ABS(C26-(40))&lt;=0,"Du har tatt alle 40. Etter 20 ladere (60 t) og 25 sikringsskap (150 t) er det bare 250 − 210 = 40 timer igjen, nok til 20.",IF(ABS(C26-(0))&lt;=0,"Service står foran næringsoppdrag i rangeringen (350 mot 320 kr per time) og får timene som er igjen etter ladere og sikringsskap.","Ikke riktig ennå. Se på regnestykket øverst på fanen, og sjekk at du har med alle leddene."))))</f>
        <v>Skriv svaret i den gule cellen.</v>
      </c>
    </row>
    <row r="27" customFormat="false" ht="43.5" hidden="false" customHeight="true" outlineLevel="0" collapsed="false">
      <c r="B27" s="13" t="s">
        <v>83</v>
      </c>
      <c r="C27" s="14"/>
      <c r="D27" s="15" t="s">
        <v>31</v>
      </c>
      <c r="G27" s="16" t="str">
        <f aca="false">IF(C27="","Skriv svaret i den gule cellen.",IF(C27=(20*2500+25*3000+20*700),"Riktig.",IF(ABS(C27-(20*2500+25*3000))&lt;=0,"Du har glemt serviceoppdragene, 20 × 700 = 14 000 kr.",IF(ABS(C27-(20*2500+25*3000+40*700))&lt;=0,"Du har tatt med alle 40 serviceoppdrag. Bare 20 får plass.",IF(ABS(C27-(20*2500+25*3000+20*700+5*6400))&lt;=0,"Du har tatt med næringsoppdragene. Timene er brukt opp før dem.","Ikke riktig ennå. Se på regnestykket øverst på fanen, og sjekk at du har med alle leddene.")))))</f>
        <v>Skriv svaret i den gule cellen.</v>
      </c>
    </row>
    <row r="28" customFormat="false" ht="43.5" hidden="false" customHeight="true" outlineLevel="0" collapsed="false">
      <c r="B28" s="13" t="s">
        <v>84</v>
      </c>
      <c r="C28" s="14"/>
      <c r="D28" s="15" t="s">
        <v>31</v>
      </c>
      <c r="G28" s="16" t="str">
        <f aca="false">IF(C28="","Skriv svaret i den gule cellen.",IF(C28=(5*6400+25*3000),"Riktig.",IF(ABS(C28-(5*6400+25*3000+20*2500))&lt;=0,"Du har tatt med laderne. Etter 5 næringsoppdrag (100 t) og 25 sikringsskap (150 t) er alle 250 timer brukt.",IF(ABS(C28-(5*6400+20*2500+25*3000+20*700))&lt;=0,"Du har tatt med alt. Timene strekker bare til næringsoppdragene og sikringsskapene.","Ikke riktig ennå. Se på regnestykket øverst på fanen, og sjekk at du har med alle leddene."))))</f>
        <v>Skriv svaret i den gule cellen.</v>
      </c>
    </row>
    <row r="29" customFormat="false" ht="43.5" hidden="false" customHeight="true" outlineLevel="0" collapsed="false">
      <c r="B29" s="13" t="s">
        <v>85</v>
      </c>
      <c r="C29" s="14"/>
      <c r="D29" s="15" t="s">
        <v>31</v>
      </c>
      <c r="G29" s="16" t="str">
        <f aca="false">IF(C29="","Skriv svaret i den gule cellen.",IF(C29=(10*700-6400),"Riktig.",IF(ABS(C29-(ROUND(20*2500/3,0)-6400))&lt;=0,"Du har målt mot laderne. De er allerede tatt. De 20 timene tas fra det nederste i planen: 10 serviceoppdrag à 700.",IF(ABS(C29-(6400-10*700))&lt;=0,"Du har fått negativt tall. Spørsmålet er hvor mye lavere: det som må vike (7 000) minus det næringsoppdraget gir (6 400).",IF(ABS(C29-(20*700-6400))&lt;=0,"Du har regnet 20 serviceoppdrag. 20 timer er 10 serviceoppdrag à 2 timer.","Ikke riktig ennå. 20 timer tas fra serviceoppdragene: 20 / 2 = 10 oppdrag à 700. Trekk fra det næringsoppdraget gir.")))))</f>
        <v>Skriv svaret i den gule cellen.</v>
      </c>
    </row>
    <row r="31" customFormat="false" ht="30" hidden="false" customHeight="true" outlineLevel="0" collapsed="false">
      <c r="B31" s="8" t="s">
        <v>86</v>
      </c>
      <c r="C31" s="8"/>
      <c r="D31" s="8"/>
      <c r="E31" s="8"/>
      <c r="F31" s="8"/>
      <c r="G31" s="8"/>
    </row>
    <row r="32" customFormat="false" ht="21.75" hidden="false" customHeight="true" outlineLevel="0" collapsed="false">
      <c r="B32" s="18"/>
      <c r="C32" s="18"/>
      <c r="D32" s="18"/>
      <c r="E32" s="18"/>
      <c r="F32" s="18"/>
      <c r="G32" s="18"/>
    </row>
    <row r="33" customFormat="false" ht="21.75" hidden="false" customHeight="true" outlineLevel="0" collapsed="false">
      <c r="B33" s="18"/>
      <c r="C33" s="18"/>
      <c r="D33" s="18"/>
      <c r="E33" s="18"/>
      <c r="F33" s="18"/>
      <c r="G33" s="18"/>
    </row>
    <row r="34" customFormat="false" ht="21.75" hidden="false" customHeight="true" outlineLevel="0" collapsed="false">
      <c r="B34" s="18"/>
      <c r="C34" s="18"/>
      <c r="D34" s="18"/>
      <c r="E34" s="18"/>
      <c r="F34" s="18"/>
      <c r="G34" s="18"/>
    </row>
    <row r="35" customFormat="false" ht="39.75" hidden="false" customHeight="true" outlineLevel="0" collapsed="false">
      <c r="B35" s="19" t="str">
        <f aca="false">IF(LEN(B32)&lt;40,"",IF(AND(ISNUMBER(SEARCH("600",B32)),ISNUMBER(SEARCH("time",B32))),"Bra: du bruker kroner per time og viser at ett næringsoppdrag koster 600 kr målt mot serviceoppdragene som må vike. Alle fem først koster 32 000 kr.",IF(OR(ISNUMBER(SEARCH("600",B32)),ISNUMBER(SEARCH("time",B32))),"Du er på sporet. Ta med at ett næringsoppdrag koster 600 kr (7 000 fra 10 serviceoppdrag minus 6 400), og at alle fem først koster 32 000 kr.","Tips: næringsoppdraget gir 320 kr per time, laderen 833. Alle fem først gir 107 000 i stedet for 139 000, 32 000 kr mindre. Ett næringsoppdrag for en ny kunde koster bare 600 kr, fordi det er serviceoppdragene som viker. Det kan være verdt det, men da bevisst.")))</f>
        <v/>
      </c>
      <c r="C35" s="19"/>
      <c r="D35" s="19"/>
      <c r="E35" s="19"/>
      <c r="F35" s="19"/>
      <c r="G35" s="19"/>
    </row>
    <row r="36" customFormat="false" ht="15" hidden="false" customHeight="false" outlineLevel="0" collapsed="false">
      <c r="B36" s="20" t="s">
        <v>40</v>
      </c>
      <c r="C36" s="17"/>
    </row>
    <row r="37" customFormat="false" ht="60" hidden="false" customHeight="true" outlineLevel="0" collapsed="false">
      <c r="B37" s="21" t="str">
        <f aca="false">IF(C36="JA","Hint: a: pris 2 670 + 9 600 = 12 270, kostnad 8 000 + 1 770 = 9 770, dekningsbidrag 2 500. b: 2 500 / 3 = 833. Plan: 20 ladere (60 t), 25 sikringsskap (150 t), 40 timer igjen gir 20 service. 50 000 + 75 000 + 14 000 = 139 000. Mona: 5 næring (100 t) + 25 skap (150 t) = 107 000. Ett næringsoppdrag likevel: 10 service à 700 = 7 000 viker, 6 400 kommer inn, 600 i tap.","")</f>
        <v/>
      </c>
      <c r="C37" s="21"/>
      <c r="D37" s="21"/>
      <c r="E37" s="21"/>
      <c r="F37" s="21"/>
      <c r="G37" s="21"/>
    </row>
    <row r="39" customFormat="false" ht="30" hidden="false" customHeight="true" outlineLevel="0" collapsed="false">
      <c r="B39" s="6" t="s">
        <v>41</v>
      </c>
      <c r="C39" s="6"/>
      <c r="D39" s="6"/>
      <c r="E39" s="6"/>
      <c r="F39" s="6"/>
      <c r="G39" s="6"/>
    </row>
  </sheetData>
  <mergeCells count="15">
    <mergeCell ref="B2:G2"/>
    <mergeCell ref="B3:G3"/>
    <mergeCell ref="B4:G4"/>
    <mergeCell ref="B5:G5"/>
    <mergeCell ref="B6:G6"/>
    <mergeCell ref="B7:G7"/>
    <mergeCell ref="B9:G9"/>
    <mergeCell ref="B10:G10"/>
    <mergeCell ref="B18:G18"/>
    <mergeCell ref="B19:G19"/>
    <mergeCell ref="B31:G31"/>
    <mergeCell ref="B32:G34"/>
    <mergeCell ref="B35:G35"/>
    <mergeCell ref="B37:G37"/>
    <mergeCell ref="B39:G39"/>
  </mergeCells>
  <conditionalFormatting sqref="G21">
    <cfRule type="expression" priority="2" aboveAverage="0" equalAverage="0" bottom="0" percent="0" rank="0" text="" dxfId="0">
      <formula>LEFT(G21,6)="Riktig"</formula>
    </cfRule>
    <cfRule type="expression" priority="3" aboveAverage="0" equalAverage="0" bottom="0" percent="0" rank="0" text="" dxfId="1">
      <formula>AND(G21&lt;&gt;"",LEFT(G21,6)&lt;&gt;"Riktig",LEFT(G21,5)&lt;&gt;"Skriv")</formula>
    </cfRule>
  </conditionalFormatting>
  <conditionalFormatting sqref="G22">
    <cfRule type="expression" priority="4" aboveAverage="0" equalAverage="0" bottom="0" percent="0" rank="0" text="" dxfId="0">
      <formula>LEFT(G22,6)="Riktig"</formula>
    </cfRule>
    <cfRule type="expression" priority="5" aboveAverage="0" equalAverage="0" bottom="0" percent="0" rank="0" text="" dxfId="1">
      <formula>AND(G22&lt;&gt;"",LEFT(G22,6)&lt;&gt;"Riktig",LEFT(G22,5)&lt;&gt;"Skriv")</formula>
    </cfRule>
  </conditionalFormatting>
  <conditionalFormatting sqref="G23">
    <cfRule type="expression" priority="6" aboveAverage="0" equalAverage="0" bottom="0" percent="0" rank="0" text="" dxfId="0">
      <formula>LEFT(G23,6)="Riktig"</formula>
    </cfRule>
    <cfRule type="expression" priority="7" aboveAverage="0" equalAverage="0" bottom="0" percent="0" rank="0" text="" dxfId="1">
      <formula>LEFT(G23,4)="Ikke"</formula>
    </cfRule>
  </conditionalFormatting>
  <conditionalFormatting sqref="G24">
    <cfRule type="expression" priority="8" aboveAverage="0" equalAverage="0" bottom="0" percent="0" rank="0" text="" dxfId="0">
      <formula>LEFT(G24,6)="Riktig"</formula>
    </cfRule>
    <cfRule type="expression" priority="9" aboveAverage="0" equalAverage="0" bottom="0" percent="0" rank="0" text="" dxfId="1">
      <formula>LEFT(G24,4)="Ikke"</formula>
    </cfRule>
  </conditionalFormatting>
  <conditionalFormatting sqref="G26">
    <cfRule type="expression" priority="10" aboveAverage="0" equalAverage="0" bottom="0" percent="0" rank="0" text="" dxfId="0">
      <formula>LEFT(G26,6)="Riktig"</formula>
    </cfRule>
    <cfRule type="expression" priority="11" aboveAverage="0" equalAverage="0" bottom="0" percent="0" rank="0" text="" dxfId="1">
      <formula>AND(G26&lt;&gt;"",LEFT(G26,6)&lt;&gt;"Riktig",LEFT(G26,5)&lt;&gt;"Skriv")</formula>
    </cfRule>
  </conditionalFormatting>
  <conditionalFormatting sqref="G27">
    <cfRule type="expression" priority="12" aboveAverage="0" equalAverage="0" bottom="0" percent="0" rank="0" text="" dxfId="0">
      <formula>LEFT(G27,6)="Riktig"</formula>
    </cfRule>
    <cfRule type="expression" priority="13" aboveAverage="0" equalAverage="0" bottom="0" percent="0" rank="0" text="" dxfId="1">
      <formula>AND(G27&lt;&gt;"",LEFT(G27,6)&lt;&gt;"Riktig",LEFT(G27,5)&lt;&gt;"Skriv")</formula>
    </cfRule>
  </conditionalFormatting>
  <conditionalFormatting sqref="G28">
    <cfRule type="expression" priority="14" aboveAverage="0" equalAverage="0" bottom="0" percent="0" rank="0" text="" dxfId="0">
      <formula>LEFT(G28,6)="Riktig"</formula>
    </cfRule>
    <cfRule type="expression" priority="15" aboveAverage="0" equalAverage="0" bottom="0" percent="0" rank="0" text="" dxfId="1">
      <formula>AND(G28&lt;&gt;"",LEFT(G28,6)&lt;&gt;"Riktig",LEFT(G28,5)&lt;&gt;"Skriv")</formula>
    </cfRule>
  </conditionalFormatting>
  <conditionalFormatting sqref="G29">
    <cfRule type="expression" priority="16" aboveAverage="0" equalAverage="0" bottom="0" percent="0" rank="0" text="" dxfId="0">
      <formula>LEFT(G29,6)="Riktig"</formula>
    </cfRule>
    <cfRule type="expression" priority="17" aboveAverage="0" equalAverage="0" bottom="0" percent="0" rank="0" text="" dxfId="1">
      <formula>AND(G29&lt;&gt;"",LEFT(G29,6)&lt;&gt;"Riktig",LEFT(G29,5)&lt;&gt;"Skriv")</formula>
    </cfRule>
  </conditionalFormatting>
  <dataValidations count="3">
    <dataValidation allowBlank="true" errorStyle="stop" operator="between" showDropDown="false" showErrorMessage="false" showInputMessage="false" sqref="C23" type="list">
      <formula1>"Elbillader,Sikringsskapbytte,Service og feilsøking,Næringsoppdrag"</formula1>
      <formula2>0</formula2>
    </dataValidation>
    <dataValidation allowBlank="true" errorStyle="stop" operator="between" showDropDown="false" showErrorMessage="false" showInputMessage="false" sqref="C24" type="list">
      <formula1>"Elbillader,Sikringsskapbytte,Service og feilsøking,Næringsoppdrag"</formula1>
      <formula2>0</formula2>
    </dataValidation>
    <dataValidation allowBlank="true" errorStyle="stop" operator="between" showDropDown="false" showErrorMessage="false" showInputMessage="false" sqref="C36"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D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0"/>
    <col collapsed="false" customWidth="true" hidden="false" outlineLevel="0" max="3" min="3" style="0" width="16"/>
    <col collapsed="false" customWidth="true" hidden="false" outlineLevel="0" max="4" min="4" style="0" width="78"/>
  </cols>
  <sheetData>
    <row r="2" customFormat="false" ht="19.7" hidden="false" customHeight="false" outlineLevel="0" collapsed="false">
      <c r="B2" s="23" t="s">
        <v>87</v>
      </c>
    </row>
    <row r="3" customFormat="false" ht="30" hidden="false" customHeight="true" outlineLevel="0" collapsed="false">
      <c r="B3" s="6" t="s">
        <v>88</v>
      </c>
      <c r="C3" s="6"/>
      <c r="D3" s="6"/>
    </row>
    <row r="5" customFormat="false" ht="15" hidden="false" customHeight="false" outlineLevel="0" collapsed="false">
      <c r="B5" s="24" t="s">
        <v>89</v>
      </c>
      <c r="C5" s="24" t="s">
        <v>90</v>
      </c>
      <c r="D5" s="24" t="s">
        <v>91</v>
      </c>
    </row>
    <row r="6" customFormat="false" ht="30" hidden="false" customHeight="true" outlineLevel="0" collapsed="false">
      <c r="B6" s="25" t="s">
        <v>92</v>
      </c>
      <c r="C6" s="22" t="n">
        <v>1050</v>
      </c>
      <c r="D6" s="25" t="s">
        <v>93</v>
      </c>
    </row>
    <row r="7" customFormat="false" ht="30" hidden="false" customHeight="true" outlineLevel="0" collapsed="false">
      <c r="B7" s="25" t="s">
        <v>94</v>
      </c>
      <c r="C7" s="22" t="n">
        <v>525</v>
      </c>
      <c r="D7" s="25" t="s">
        <v>95</v>
      </c>
    </row>
    <row r="8" customFormat="false" ht="30" hidden="false" customHeight="true" outlineLevel="0" collapsed="false">
      <c r="B8" s="25" t="s">
        <v>96</v>
      </c>
      <c r="C8" s="22" t="n">
        <v>314</v>
      </c>
      <c r="D8" s="25" t="s">
        <v>97</v>
      </c>
    </row>
    <row r="9" customFormat="false" ht="30" hidden="false" customHeight="true" outlineLevel="0" collapsed="false">
      <c r="B9" s="25" t="s">
        <v>98</v>
      </c>
      <c r="C9" s="22" t="n">
        <v>300</v>
      </c>
      <c r="D9" s="25" t="s">
        <v>99</v>
      </c>
    </row>
    <row r="10" customFormat="false" ht="30" hidden="false" customHeight="true" outlineLevel="0" collapsed="false">
      <c r="B10" s="25" t="s">
        <v>100</v>
      </c>
      <c r="C10" s="22" t="n">
        <v>233</v>
      </c>
      <c r="D10" s="25" t="s">
        <v>101</v>
      </c>
    </row>
    <row r="11" customFormat="false" ht="30" hidden="false" customHeight="true" outlineLevel="0" collapsed="false">
      <c r="B11" s="25" t="s">
        <v>102</v>
      </c>
      <c r="C11" s="22"/>
      <c r="D11" s="25" t="s">
        <v>103</v>
      </c>
    </row>
    <row r="12" customFormat="false" ht="30" hidden="false" customHeight="true" outlineLevel="0" collapsed="false">
      <c r="B12" s="25" t="s">
        <v>104</v>
      </c>
      <c r="C12" s="22"/>
      <c r="D12" s="25" t="s">
        <v>105</v>
      </c>
    </row>
    <row r="13" customFormat="false" ht="30" hidden="false" customHeight="true" outlineLevel="0" collapsed="false">
      <c r="B13" s="25" t="s">
        <v>106</v>
      </c>
      <c r="C13" s="22"/>
      <c r="D13" s="25" t="s">
        <v>107</v>
      </c>
    </row>
    <row r="14" customFormat="false" ht="30" hidden="false" customHeight="true" outlineLevel="0" collapsed="false">
      <c r="B14" s="25" t="s">
        <v>108</v>
      </c>
      <c r="C14" s="22" t="n">
        <v>290</v>
      </c>
      <c r="D14" s="25" t="s">
        <v>109</v>
      </c>
    </row>
    <row r="15" customFormat="false" ht="30" hidden="false" customHeight="true" outlineLevel="0" collapsed="false">
      <c r="B15" s="25" t="s">
        <v>110</v>
      </c>
      <c r="C15" s="22" t="n">
        <v>93</v>
      </c>
      <c r="D15" s="25" t="s">
        <v>111</v>
      </c>
    </row>
    <row r="16" customFormat="false" ht="30" hidden="false" customHeight="true" outlineLevel="0" collapsed="false">
      <c r="B16" s="25" t="s">
        <v>112</v>
      </c>
      <c r="C16" s="22" t="n">
        <v>385700</v>
      </c>
      <c r="D16" s="25" t="s">
        <v>113</v>
      </c>
    </row>
    <row r="17" customFormat="false" ht="30" hidden="false" customHeight="true" outlineLevel="0" collapsed="false">
      <c r="B17" s="25" t="s">
        <v>114</v>
      </c>
      <c r="C17" s="22" t="n">
        <v>367700</v>
      </c>
      <c r="D17" s="25" t="s">
        <v>115</v>
      </c>
    </row>
    <row r="18" customFormat="false" ht="30" hidden="false" customHeight="true" outlineLevel="0" collapsed="false">
      <c r="B18" s="25" t="s">
        <v>116</v>
      </c>
      <c r="C18" s="22" t="n">
        <v>18000</v>
      </c>
      <c r="D18" s="25" t="s">
        <v>117</v>
      </c>
    </row>
    <row r="19" customFormat="false" ht="45" hidden="false" customHeight="true" outlineLevel="0" collapsed="false">
      <c r="B19" s="25" t="s">
        <v>118</v>
      </c>
      <c r="C19" s="22"/>
      <c r="D19" s="25" t="s">
        <v>119</v>
      </c>
    </row>
    <row r="20" customFormat="false" ht="30" hidden="false" customHeight="true" outlineLevel="0" collapsed="false">
      <c r="B20" s="25" t="s">
        <v>120</v>
      </c>
      <c r="C20" s="22" t="n">
        <v>2500</v>
      </c>
      <c r="D20" s="25" t="s">
        <v>121</v>
      </c>
    </row>
    <row r="21" customFormat="false" ht="30" hidden="false" customHeight="true" outlineLevel="0" collapsed="false">
      <c r="B21" s="25" t="s">
        <v>122</v>
      </c>
      <c r="C21" s="22" t="n">
        <v>833</v>
      </c>
      <c r="D21" s="25" t="s">
        <v>123</v>
      </c>
    </row>
    <row r="22" customFormat="false" ht="30" hidden="false" customHeight="true" outlineLevel="0" collapsed="false">
      <c r="B22" s="25" t="s">
        <v>124</v>
      </c>
      <c r="C22" s="22"/>
      <c r="D22" s="25" t="s">
        <v>125</v>
      </c>
    </row>
    <row r="23" customFormat="false" ht="30" hidden="false" customHeight="true" outlineLevel="0" collapsed="false">
      <c r="B23" s="25" t="s">
        <v>126</v>
      </c>
      <c r="C23" s="22"/>
      <c r="D23" s="25" t="s">
        <v>127</v>
      </c>
    </row>
    <row r="24" customFormat="false" ht="30" hidden="false" customHeight="true" outlineLevel="0" collapsed="false">
      <c r="B24" s="25" t="s">
        <v>128</v>
      </c>
      <c r="C24" s="22" t="n">
        <v>20</v>
      </c>
      <c r="D24" s="25" t="s">
        <v>129</v>
      </c>
    </row>
    <row r="25" customFormat="false" ht="30" hidden="false" customHeight="true" outlineLevel="0" collapsed="false">
      <c r="B25" s="25" t="s">
        <v>130</v>
      </c>
      <c r="C25" s="22" t="n">
        <v>139000</v>
      </c>
      <c r="D25" s="25" t="s">
        <v>131</v>
      </c>
    </row>
    <row r="26" customFormat="false" ht="30" hidden="false" customHeight="true" outlineLevel="0" collapsed="false">
      <c r="B26" s="25" t="s">
        <v>132</v>
      </c>
      <c r="C26" s="22" t="n">
        <v>107000</v>
      </c>
      <c r="D26" s="25" t="s">
        <v>133</v>
      </c>
    </row>
    <row r="27" customFormat="false" ht="30" hidden="false" customHeight="true" outlineLevel="0" collapsed="false">
      <c r="B27" s="25" t="s">
        <v>134</v>
      </c>
      <c r="C27" s="22" t="n">
        <v>600</v>
      </c>
      <c r="D27" s="25" t="s">
        <v>135</v>
      </c>
    </row>
    <row r="28" customFormat="false" ht="30" hidden="false" customHeight="true" outlineLevel="0" collapsed="false">
      <c r="B28" s="25" t="s">
        <v>136</v>
      </c>
      <c r="C28" s="22"/>
      <c r="D28" s="25" t="s">
        <v>137</v>
      </c>
    </row>
  </sheetData>
  <sheetProtection sheet="true"/>
  <mergeCells count="1">
    <mergeCell ref="B3:D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2026-10-14T08:11:17Z</dcterms:created>
  <dc:creator>openpyxl</dc:creator>
  <dc:description/>
  <dc:language>en-US</dc:language>
  <cp:lastModifiedBy/>
  <dcterms:modified xsi:type="dcterms:W3CDTF">2026-10-14T08:11:17Z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