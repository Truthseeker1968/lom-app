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<sst xmlns="http://schemas.openxmlformats.org/spreadsheetml/2006/main" count="200" uniqueCount="170">
  <si>
    <t xml:space="preserve">Klasseoppgaver til Markedsføring kapittel 2: Kjøpsatferd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</si>
  <si>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</si>
  <si>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</si>
  <si>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</si>
  <si>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</si>
  <si>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</si>
  <si>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</si>
  <si>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</si>
  <si>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</si>
  <si>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og familien Lunde: ladeboks før elbilen kommer (Nordlys)</t>
  </si>
  <si>
    <t xml:space="preserve">A2</t>
  </si>
  <si>
    <t xml:space="preserve">Fjell Elektro og boligeieren: solceller, behov og fornuft (Egen el-bedrift)</t>
  </si>
  <si>
    <t xml:space="preserve">B1</t>
  </si>
  <si>
    <t xml:space="preserve">Nordlys og borettslaget: billigst, og likevel tapt (Nordlys)</t>
  </si>
  <si>
    <t xml:space="preserve">B2</t>
  </si>
  <si>
    <t xml:space="preserve">Fjell Elektro og entreprenøren: inn som underleverandør (Egen el-bedrift)</t>
  </si>
  <si>
    <t xml:space="preserve">Læreboka</t>
  </si>
  <si>
    <t xml:space="preserve">Hjertnes, F.: Markedsføring, organisasjon og ledelse for LØM-emnet, kapittel 2.</t>
  </si>
  <si>
    <t xml:space="preserve">Appen</t>
  </si>
  <si>
    <t xml:space="preserve">Markedsføring kap. 2 → Øv → Klasseoppgaver gir fasit per deloppgave.</t>
  </si>
  <si>
    <t xml:space="preserve">A1 · Nordlys og familien Lunde: ladeboks før elbilen kommer</t>
  </si>
  <si>
    <t xml:space="preserve">25 minutter · Helst alene. Sammen med sidemannen eller flere hvis du vil. Ark og blyant, appen (PC eller mobil) eller læreboka.</t>
  </si>
  <si>
    <t xml:space="preserve">Kort oppsummert: Forbrukeren går gjennom fem trinn: behov, søk etter alternativer, vurdering av alternativer, kjøp og evaluering. Et behov er en følt mangeltilstand som søkes fjernet; Maslow ordner behovene i fem nivåer. Ved større kjøp har familien fire kjøpsroller: påvirker, bruker, beslutningstager og kjøper. Etter kjøpet kommer ofte etterkjøpskvalene, og selgeren kan dempe dem ved å være tilgjengelig.</t>
  </si>
  <si>
    <t xml:space="preserve">Familien Lunde bor i en enebolig i Oslo og har bestilt elbil med levering i mars. De har fått tre tilbud på ladeboks: Nordlys 19 900 kr, tilbud B 17 500 kr og tilbud C 18 900 kr, alle inkl. mva og montering. Datteren på 17 har funnet et bestemt merke og mast om det i ukevis. Naboen har ladeboks fra Nordlys og anbefalte dem. Far sier at han først og fremst vil slippe å dra skjøteledning ut av kjellervinduet hele vinteren. Mor og far bestemmer sammen; far ringer, bestiller og betaler. Nordlys fikk jobben. To uker etter montering sier mor: «Burde vi ikke tatt den billigste?» Bruk læreboka kap. 2.2–2.3 og svar på deloppgavene.</t>
  </si>
  <si>
    <t xml:space="preserve">Forutsetning</t>
  </si>
  <si>
    <t xml:space="preserve">Verdi</t>
  </si>
  <si>
    <t xml:space="preserve">Familien</t>
  </si>
  <si>
    <t xml:space="preserve">Enebolig, mor, far og datter (17)</t>
  </si>
  <si>
    <t xml:space="preserve">Elbilen</t>
  </si>
  <si>
    <t xml:space="preserve">Bestilt, levering i mars</t>
  </si>
  <si>
    <t xml:space="preserve">Tilbud på ladeboks</t>
  </si>
  <si>
    <t xml:space="preserve">Nordlys 19 900 · B 17 500 · C 18 900 kr</t>
  </si>
  <si>
    <t xml:space="preserve">Datteren</t>
  </si>
  <si>
    <t xml:space="preserve">Har mast om ett bestemt merke i ukevis</t>
  </si>
  <si>
    <t xml:space="preserve">Naboen</t>
  </si>
  <si>
    <t xml:space="preserve">Har ladeboks, anbefalte Nordlys</t>
  </si>
  <si>
    <t xml:space="preserve">Far om behovet</t>
  </si>
  <si>
    <t xml:space="preserve">«Slippe skjøteledning ut av kjelleren»</t>
  </si>
  <si>
    <t xml:space="preserve">Beslutningen</t>
  </si>
  <si>
    <t xml:space="preserve">Mor og far; far ringer og betaler</t>
  </si>
  <si>
    <t xml:space="preserve">Etter montering</t>
  </si>
  <si>
    <t xml:space="preserve">Mor: «Burde vi tatt den billigste?»</t>
  </si>
  <si>
    <t xml:space="preserve">Deloppgave</t>
  </si>
  <si>
    <t xml:space="preserve">Ditt svar</t>
  </si>
  <si>
    <t xml:space="preserve">Sjekk</t>
  </si>
  <si>
    <t xml:space="preserve">a)  Familien legger de tre tilbudene ved siden av hverandre og sammenligner pris, garanti og hvor tidlig montøren kan komme. Hvilket trinn i kjøpsprosessen på forbrukermarkedet er de på?   A: Søk etter alternativer   B: Vurdering av alternativer   C: Kjøp   (skriv bokstaven)</t>
  </si>
  <si>
    <t xml:space="preserve">b)  Far sier at han først og fremst vil slippe skjøteledningen ut av kjellervinduet hele vinteren. Hvilket nivå i Maslows behovspyramide treffer det?   A: Fysiologiske behov   B: Sikkerhetsbehov   C: Statusbehov   (skriv bokstaven)</t>
  </si>
  <si>
    <t xml:space="preserve">c)  Familiekjøpet har fire kjøpsroller (avsnitt 2.3). Ja eller nei for hver påstand.</t>
  </si>
  <si>
    <t xml:space="preserve">      Datteren er påvirker   (Ja eller Nei)</t>
  </si>
  <si>
    <t xml:space="preserve">      Far er kjøper (og beslutningstager)   (Ja eller Nei)</t>
  </si>
  <si>
    <t xml:space="preserve">      Mor er beslutningstager   (Ja eller Nei)</t>
  </si>
  <si>
    <t xml:space="preserve">      Naboen er beslutningstager   (Ja eller Nei)</t>
  </si>
  <si>
    <t xml:space="preserve">      Montøren fra Nordlys er bruker   (Ja eller Nei)</t>
  </si>
  <si>
    <t xml:space="preserve">d)  To uker etter montering sier mor: «Burde vi ikke tatt den billigste?» Hva er dette, faglig sett?   A: Etterkjøpsrasjonalisering   B: Etterkjøpskvaler   C: Et tegn på at prisen var for høy, så Nordlys bør gi rabatt   (skriv bokstaven)</t>
  </si>
  <si>
    <t xml:space="preserve">e)  Hva bør Nordlys gjøre de første ukene etter montering, og hvorfor lønner det seg? To setninger, med begrepene fra kapitlet.</t>
  </si>
  <si>
    <t xml:space="preserve">Formel og begrep</t>
  </si>
  <si>
    <t xml:space="preserve">Evaluering av kjøpet, etterkjøpskvaler og etterkjøpsrasjonalisering (Markedsføring 2.2.5). Påvirkerrollen (2.3) forklarer hvorfor en fornøyd kunde kan gi nye kunder.</t>
  </si>
  <si>
    <t xml:space="preserve">Hint, hvis du står fast</t>
  </si>
  <si>
    <t xml:space="preserve">Trinn og behov</t>
  </si>
  <si>
    <t xml:space="preserve">Søk er å finne alternativene, vurdering er å veie dem mot hverandre, kjøp er å velge installatør, dag og betaling. For behovet: hva er far redd for?</t>
  </si>
  <si>
    <t xml:space="preserve">Rollene</t>
  </si>
  <si>
    <t xml:space="preserve">Fire roller: påvirker, bruker, beslutningstager og kjøper. Spør for hver person: bestemmer hun, betaler han, eller prøver de bare å påvirke? Én person kan ha flere roller.</t>
  </si>
  <si>
    <t xml:space="preserve">Kilde: Hjertnes, F.: Markedsføring, organisasjon og ledelse for LØM-emnet, kap. 2, avsnitt 2.2 (kjøpsprosessen og Maslow), 2.2.5 (etterkjøpskvaler) og 2.3 (kjøpsroller). Nordlys Elektro AS er en konstruert casebedrift.</t>
  </si>
  <si>
    <t xml:space="preserve">Regnearket er øvingsstøtte. Det kan ikke siteres eller vises til i besvarelser, prosjektoppgaver eller eksamen; der gjelder læreboka og oppgitte primærkilder.</t>
  </si>
  <si>
    <t xml:space="preserve">A2 · Fjell Elektro og boligeieren: solceller, behov og fornuft</t>
  </si>
  <si>
    <t xml:space="preserve">Kort oppsummert: Maslow ordner behovene i fem nivåer: fysiologiske behov, sikkerhet, sosiale behov, status og selvrealisering. Jo flere behov et produkt dekker, og jo bedre, jo mer konkurransedyktig er det. Kunden er ikke fullt ut rasjonell: noen behov er bevisste (manifeste), andre ubevisste (latente). For Veblen-goder kan etterspørselen falle når prisen settes ned. Hvor grundig kunden søker, avhenger av økonomi, antall alternativer, hvor viktig behovet er, hvor mange som er med og hvor mye tid han har.</t>
  </si>
  <si>
    <t xml:space="preserve">Fjell Elektro AS har fått en henvendelse fra en boligeier i Oslo øst. Han eier en enebolig fra 1978 og vurderer solceller på taket og ny ladeboks. Han sier: «Jeg vil bevise at huset kan bli helt selvforsynt med strøm, selv om batteriet koster mer enn det sparer.» Han sier også at virkningsgraden er det viktigste for ham, men spør mest om et helsvart designpanel som er dyrere og synes godt fra veien. Det er et stort kjøp, det finnes mange leverandører, og anlegget skal ikke stå klart før neste vår. Mona tar kundemøtene og skriver tilbudene selv; Fjell har ingen selger. Bruk læreboka kap. 2.2 og svar på deloppgavene.</t>
  </si>
  <si>
    <t xml:space="preserve">Kunden</t>
  </si>
  <si>
    <t xml:space="preserve">Boligeier i Oslo øst, enebolig fra 1978</t>
  </si>
  <si>
    <t xml:space="preserve">Han vurderer</t>
  </si>
  <si>
    <t xml:space="preserve">Solceller på taket og ny ladeboks</t>
  </si>
  <si>
    <t xml:space="preserve">Han sier</t>
  </si>
  <si>
    <t xml:space="preserve">«Bevise at huset kan bli selvforsynt»</t>
  </si>
  <si>
    <t xml:space="preserve">Han sier også</t>
  </si>
  <si>
    <t xml:space="preserve">«Virkningsgrad er det viktigste»</t>
  </si>
  <si>
    <t xml:space="preserve">Men spør mest om</t>
  </si>
  <si>
    <t xml:space="preserve">Helsvart designpanel, dyrt, synes fra veien</t>
  </si>
  <si>
    <t xml:space="preserve">Kjøpet</t>
  </si>
  <si>
    <t xml:space="preserve">Stort beløp, mange leverandører, god tid</t>
  </si>
  <si>
    <t xml:space="preserve">Fjell Elektro</t>
  </si>
  <si>
    <t xml:space="preserve">Mona tar kundemøtene og skriver tilbudet</t>
  </si>
  <si>
    <t xml:space="preserve">a)  Boligeieren vil bevise at huset kan bli helt selvforsynt med strøm, selv om batteriet koster mer enn det sparer. Hvilket nivå i Maslows behovspyramide treffer det?   A: Sikkerhetsbehov   B: Statusbehov   C: Selvrealiseringsbehov   (skriv bokstaven)</t>
  </si>
  <si>
    <t xml:space="preserve">b)  Kjøpet er stort, det finnes mange leverandører, og han har god tid. Hvordan blir søket etter alternativer?   A: Kort, fordi han allerede har bestemt seg   B: Grundig og omstendelig   C: Det avhenger bare av prisen   (skriv bokstaven)</t>
  </si>
  <si>
    <t xml:space="preserve">c)  Ja eller nei for hver påstand om boligeieren, etter læreboka avsnitt 2.2.1.</t>
  </si>
  <si>
    <t xml:space="preserve">      Han kan ende med designpanelet selv om han sa at virkningsgraden var viktigst   (Ja eller Nei)</t>
  </si>
  <si>
    <t xml:space="preserve">      Alle psykologer er enige om at behovene dekkes nedenfra og opp   (Ja eller Nei)</t>
  </si>
  <si>
    <t xml:space="preserve">      Et anlegg som dekker flere behov samtidig, står sterkere i konkurransen   (Ja eller Nei)</t>
  </si>
  <si>
    <t xml:space="preserve">      Et fullt rasjonelt kjøp er det vanlige for forbrukere   (Ja eller Nei)</t>
  </si>
  <si>
    <t xml:space="preserve">      Ønsket om at panelet skal synes fra veien er et statusbehov   (Ja eller Nei)</t>
  </si>
  <si>
    <t xml:space="preserve">d)  Mona vil sette ned prisen på designpanelet for å selge flere. Hva kan skje hvis kundene kjøper det som statussymbol?   A: Etterspørselen øker, som for alle varer   B: Etterspørselen kan falle, fordi panelet taper verdi som statussymbol   C: Prisen spiller ingen rolle for statusprodukter   (skriv bokstaven)</t>
  </si>
  <si>
    <t xml:space="preserve">e)  Skriv to setninger Mona kan ha i tilbudet som treffer boligeierens behov, og si én ting hun gjør etter montering. Bruk begrepene fra kapitlet.</t>
  </si>
  <si>
    <t xml:space="preserve">Flere behov samtidig og manifeste og latente behov (Markedsføring 2.2.1), søk etter alternativer (2.2.2) og evaluering med etterkjøpskvaler (2.2.5).</t>
  </si>
  <si>
    <t xml:space="preserve">Maslow</t>
  </si>
  <si>
    <t xml:space="preserve">Sikkerhet er å beskytte liv, helse og eiendom. Status er å bli sett opp til. Selvrealisering er å nå så langt som mulig, selv om det ikke lønner seg.</t>
  </si>
  <si>
    <t xml:space="preserve">Veblen og rasjonalitet</t>
  </si>
  <si>
    <t xml:space="preserve">Boka: for et Veblen-gode minker etterspørselen når prisen settes ned. Og: fullkommen rasjonalitet i kjøpsprosessen har bare teoretisk interesse.</t>
  </si>
  <si>
    <t xml:space="preserve">Kilde: Hjertnes, F.: Markedsføring, organisasjon og ledelse for LØM-emnet, kap. 2, avsnitt 2.2.1 (behov, Maslow, Freud og Veblen) og 2.2.2 (søk etter alternativer). Fjell Elektro AS er en konstruert casebedrift.</t>
  </si>
  <si>
    <t xml:space="preserve">B1 · Nordlys og borettslaget: billigst, og likevel tapt</t>
  </si>
  <si>
    <t xml:space="preserve">Kort oppsummert: Et borettslag kjøper som en bedrift: formalisert, etter regler som skal sikre riktig vare, mengde, pris og tidspunkt og redusere kjøpsrisikoen. En nyanskaffelse går gjennom alle åtte trinnene i tabell 2.1, og leverandøren velges etter tekniske, økonomiske og tidsplanmessige krav. Kjøpsrollene er initiativtager, påvirker, bruker, beslutningstager, godkjenner, innkjøper og portvakt.</t>
  </si>
  <si>
    <t xml:space="preserve">Borettslaget har 48 leiligheter og 52 parkeringsplasser og har aldri hatt ladeanlegg. Styrelederen tok initiativet etter klager fra beboere. En beboer som er elektroingeniør, er den eneste i styret som forstår lastbalansering, og styret stoler på ham. En innleid rådgiver skrev kravspesifikasjonen. Forretningsføreren sorterer henvendelsene fra leverandører og sender ut forespørslene. Styret på fem innstiller på leverandør, og generalforsamlingen i mai vedtar låneopptaket. Anlegget koster 1 350 000 kr inkl. mva. Laget er ikke mva-registrert, så hele summen må lånes. Nordlys leverte det billigste av tre anbud og tapte. Ida sendte dette til styret: «Hei! Vedlagt følger vårt tilbud, 1 350 000 kr inkl. mva. Vi bruker markedets beste lader med dynamisk lastbalansering. Prisen er den laveste du får i byen. Ring meg gjerne direkte hvis du lurer på noe teknisk. Vi kan starte om tre uker.»</t>
  </si>
  <si>
    <t xml:space="preserve">Borettslaget</t>
  </si>
  <si>
    <t xml:space="preserve">48 leiligheter, 52 parkeringsplasser</t>
  </si>
  <si>
    <t xml:space="preserve">Anlegget</t>
  </si>
  <si>
    <t xml:space="preserve">Lading på alle plasser, 1 350 000 kr inkl. mva</t>
  </si>
  <si>
    <t xml:space="preserve">Mva</t>
  </si>
  <si>
    <t xml:space="preserve">Laget er ikke mva-registrert: alt lånes</t>
  </si>
  <si>
    <t xml:space="preserve">Styrelederen</t>
  </si>
  <si>
    <t xml:space="preserve">Tok initiativet etter klager fra beboere</t>
  </si>
  <si>
    <t xml:space="preserve">Elektroingeniøren</t>
  </si>
  <si>
    <t xml:space="preserve">Beboer; styret stoler på ham</t>
  </si>
  <si>
    <t xml:space="preserve">Styret (5)</t>
  </si>
  <si>
    <t xml:space="preserve">Innstiller på leverandør</t>
  </si>
  <si>
    <t xml:space="preserve">Generalforsamlingen</t>
  </si>
  <si>
    <t xml:space="preserve">Vedtar låneopptaket i mai</t>
  </si>
  <si>
    <t xml:space="preserve">Forretningsføreren</t>
  </si>
  <si>
    <t xml:space="preserve">Sorterer henvendelser, sender forespørsler</t>
  </si>
  <si>
    <t xml:space="preserve">Nordlys</t>
  </si>
  <si>
    <t xml:space="preserve">Billigst av tre anbud, men tapte</t>
  </si>
  <si>
    <t xml:space="preserve">a)  Hva koster anlegget per leilighet, i kroner? Laget er ikke mva-registrert, så bruk prisen inkl. mva og del på antall leiligheter.</t>
  </si>
  <si>
    <t xml:space="preserve">Pris per enhet = totalpris / antall enheter. Pris uten mva = pris inkl. mva / 1,25 (mva 25 %, merverdiavgiftsloven § 5-1). Regnestykket står ikke i Markedsføring kap. 2, men det handler om «riktig pris», ett av de fire kravene i 2.4.</t>
  </si>
  <si>
    <t xml:space="preserve">b)  Borettslaget har aldri hatt ladeanlegg. Hvilken kjøpssituasjon er det?   A: Nyanskaffelse   B: Overveid gjenkjøp   C: Rent gjenkjøp   (skriv bokstaven)</t>
  </si>
  <si>
    <t xml:space="preserve">c)  Ja eller nei for hver påstand om kjøpsrollene i borettslaget (avsnitt 2.5).</t>
  </si>
  <si>
    <t xml:space="preserve">      Forretningsføreren er portvakt (og innkjøper)   (Ja eller Nei)</t>
  </si>
  <si>
    <t xml:space="preserve">      Elektroingeniøren er beslutningstager   (Ja eller Nei)</t>
  </si>
  <si>
    <t xml:space="preserve">      Generalforsamlingen er godkjenner   (Ja eller Nei)</t>
  </si>
  <si>
    <t xml:space="preserve">      Styrelederen er initiativtager   (Ja eller Nei)</t>
  </si>
  <si>
    <t xml:space="preserve">      Ida i Nordlys er innkjøper   (Ja eller Nei)</t>
  </si>
  <si>
    <t xml:space="preserve">d)  Styret valgte et anbud som var dyrere enn Nordlys'. Hva sier det, etter læreboka?   A: Styret gjorde en feil; laveste pris skal vinne   B: Styret valgte anbudet som best møtte tekniske, økonomiske og tidsplanmessige krav   C: Valget var tilfeldig, fordi styret ikke forstår elektro   (skriv bokstaven)</t>
  </si>
  <si>
    <t xml:space="preserve">e)  Les Idas brev i situasjonen. Finn minst tre feil om kjøpsatferd, sett navn på begrepet for hver, og si hva brevet burde inneholdt.</t>
  </si>
  <si>
    <t xml:space="preserve">Formalisert kjøpsatferd og de fire «riktig» (Markedsføring 2.4), tabell 2.1 trinn 6 og 7, og kjøpsrollene med portvakten (2.5).</t>
  </si>
  <si>
    <t xml:space="preserve">Pris og situasjon</t>
  </si>
  <si>
    <t xml:space="preserve">Laget får ikke fradrag for mva, så del hele 1 350 000 på 48. Har borettslaget kjøpt et slikt anlegg før? Da vet du situasjonen.</t>
  </si>
  <si>
    <t xml:space="preserve">Rollene og valget</t>
  </si>
  <si>
    <t xml:space="preserve">Spør for hver person: tok hun initiativet, gir han råd, vedtar de, eller sorterer hun posten? Og trinn 6 i tabell 2.1: hva avgjør valget av leverandør?</t>
  </si>
  <si>
    <t xml:space="preserve">Kilde: Hjertnes, F.: Markedsføring, organisasjon og ledelse for LØM-emnet, kap. 2, avsnitt 2.4 (formalisert kjøpsatferd, kjøpssituasjoner, tabell 2.1) og 2.5 (kjøpsroller og portvakten). Merverdiavgift 25 %: merverdiavgiftsloven § 5-1. Nordlys Elektro AS er en konstruert casebedrift.</t>
  </si>
  <si>
    <t xml:space="preserve">B2 · Fjell Elektro og entreprenøren: inn som underleverandør</t>
  </si>
  <si>
    <t xml:space="preserve">Kort oppsummert: Kjøpssituasjonen avgjør hvor lett en ny leverandør kommer inn: ved et rent gjenkjøp nærmest ikke, ved et overveid gjenkjøp sjekkes markedet på nytt. Produksjonsvarer påvirker kvaliteten på egen leveranse mest direkte, så kjøpsprosessen bør være grundigst der. Portvakten skiller interessante henvendelser fra mindre interessante; leverandøren må bygge en god relasjon til henne eller ham.</t>
  </si>
  <si>
    <t xml:space="preserve">Haugerud Bygg AS er en byggentreprenør i Oslo øst som skal bygge 24 rekkehus. Elektroarbeidet er anslått til om lag 1 800 fakturerbare timer over seks måneder. I fire år har Haugerud kjøpt elektro fra samme installatør på rammeavtale, men avtalen utløper nå, og innkjøpssjefen henter inn nye priser. Innkjøpssjefen sorterer alle henvendelser fra leverandører. En rådgivende ingeniør er leid inn av byggherren og gir råd om elektroanlegget. Fjell Elektro har 3 500 fakturerbare timer i året og tre årsverk. Mona vil ringe daglig leder i Haugerud direkte for å slippe innkjøpssjefen. Bruk læreboka kap. 2.4–2.5 og svar på deloppgavene.</t>
  </si>
  <si>
    <t xml:space="preserve">Haugerud Bygg AS</t>
  </si>
  <si>
    <t xml:space="preserve">Byggentreprenør, 24 rekkehus i Oslo øst</t>
  </si>
  <si>
    <t xml:space="preserve">Elektroarbeidet</t>
  </si>
  <si>
    <t xml:space="preserve">Ca. 1 800 fakturerbare timer, seks måneder</t>
  </si>
  <si>
    <t xml:space="preserve">Til nå</t>
  </si>
  <si>
    <t xml:space="preserve">Samme installatør på rammeavtale i fire år</t>
  </si>
  <si>
    <t xml:space="preserve">Nå</t>
  </si>
  <si>
    <t xml:space="preserve">Avtalen utløper; nye priser hentes inn</t>
  </si>
  <si>
    <t xml:space="preserve">Innkjøpssjefen</t>
  </si>
  <si>
    <t xml:space="preserve">Sorterer alle henvendelser fra leverandører</t>
  </si>
  <si>
    <t xml:space="preserve">Rådgivende ingeniør</t>
  </si>
  <si>
    <t xml:space="preserve">Leid inn av byggherren, gir råd om elektro</t>
  </si>
  <si>
    <t xml:space="preserve">3 500 fakturerbare timer i året, 3 årsverk</t>
  </si>
  <si>
    <t xml:space="preserve">Mona vil</t>
  </si>
  <si>
    <t xml:space="preserve">Ringe daglig leder direkte</t>
  </si>
  <si>
    <t xml:space="preserve">a)  Rammeavtalen utløper, og innkjøpssjefen henter inn nye priser. Hvilken kjøpssituasjon er det for Haugerud Bygg nå?   A: Nyanskaffelse   B: Overveid gjenkjøp   C: Rent gjenkjøp   (skriv bokstaven)</t>
  </si>
  <si>
    <t xml:space="preserve">b)  Prosjektet er anslått til 1 800 fakturerbare timer. Fjell har 3 500 fakturerbare timer i et år. Hvor stor andel av årskapasiteten binder prosjektet? Svar i prosent med én desimal.</t>
  </si>
  <si>
    <t xml:space="preserve">Andel i prosent = del / helhet × 100. Ingen formel i Markedsføring kap. 2; tallet belyser kravet om riktig tidspunkt (2.4).</t>
  </si>
  <si>
    <t xml:space="preserve">c)  Ja eller nei for hver påstand om det Haugerud Bygg kjøper (avsnitt 2.4).</t>
  </si>
  <si>
    <t xml:space="preserve">      Kabelen til rekkehusene er en kortsiktig produksjonsvare   (Ja eller Nei)</t>
  </si>
  <si>
    <t xml:space="preserve">      Kranen entreprenøren eier, er en langsiktig produksjonsvare   (Ja eller Nei)</t>
  </si>
  <si>
    <t xml:space="preserve">      PC-ene i anleggsbrakka er produksjonsvarer   (Ja eller Nei)</t>
  </si>
  <si>
    <t xml:space="preserve">      Regnskapsføreren er en tjeneste knyttet til administrasjonen   (Ja eller Nei)</t>
  </si>
  <si>
    <t xml:space="preserve">      Elektroarbeidet påvirker kvaliteten på rekkehusene direkte og bør kjøpes grundigere enn kontorrekvisita   (Ja eller Nei)</t>
  </si>
  <si>
    <t xml:space="preserve">d)  Mona vil ringe daglig leder i Haugerud direkte for å slippe innkjøpssjefen. Hva sier læreboka?   A: Lurt: den som bestemmer, bør høre det først   B: Ikke lurt: hun må bygge en god relasjon med portvakten, ellers blir henvendelsen stengt ute   C: Det spiller ingen rolle hvem hun kontakter   (skriv bokstaven)</t>
  </si>
  <si>
    <t xml:space="preserve">e)  Hva skal stå i Fjell Elektros tilbud for å redusere kjøpsrisikoen for Haugerud Bygg? Og er det at prosjektet binder 51,4 % av årskapasiteten et argument for eller mot Fjell? To–tre setninger.</t>
  </si>
  <si>
    <t xml:space="preserve">Formalisert kjøpsatferd og de fire «riktig», produktkategoriene (Markedsføring 2.4), portvakten og eksterne konsulenter (2.5).</t>
  </si>
  <si>
    <t xml:space="preserve">Situasjon og kapasitet</t>
  </si>
  <si>
    <t xml:space="preserve">Rent gjenkjøp er når bestillingene går automatisk på en avtale. Hva skjer når avtalen utløper? Kapasitet: 1 800 delt på 3 500, ganger 100.</t>
  </si>
  <si>
    <t xml:space="preserve">Varer og portvakt</t>
  </si>
  <si>
    <t xml:space="preserve">Inngår det i rekkehusene? Da er det produksjon. Holder det bare virksomheten i gang? Da er det institusjonsvare. Portvakten: boka sier hva leverandøren skal gjøre med ham.</t>
  </si>
  <si>
    <t xml:space="preserve">Kilde: Hjertnes, F.: Markedsføring, organisasjon og ledelse for LØM-emnet, kap. 2, avsnitt 2.4 (kjøpssituasjoner, produktkategorier, de fire «riktig») og 2.5 (portvakten, eksterne konsulenter). Haugerud Bygg AS og Fjell Elektro AS er konstruerte casebedrifter.</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</si>
</sst>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EEF2F8"/>
        <bgColor rgb="FFFBF6EA"/>
      </patternFill>
    </fill>
    <fill>
      <patternFill patternType="solid">
        <fgColor rgb="FFB8954A"/>
        <bgColor rgb="FF808080"/>
      </patternFill>
    </fill>
    <fill>
      <patternFill patternType="solid">
        <fgColor rgb="FFFBF6EA"/>
        <bgColor rgb="FFEEF2F8"/>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12" fillId="5" borderId="0"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5" customFormat="false" ht="18.75" hidden="false" customHeight="true" outlineLevel="0" collapsed="false">
      <c r="A15" s="9" t="s">
        <v>40</v>
      </c>
      <c r="B15" s="7" t="s">
        <v>41</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48.75" hidden="false" customHeight="true" outlineLevel="0" collapsed="false">
      <c r="A18" s="7" t="s">
        <v>45</v>
      </c>
      <c r="B18" s="7"/>
      <c r="C18" s="7"/>
      <c r="D18" s="7"/>
      <c r="E18" s="7"/>
      <c r="F18" s="10"/>
      <c r="G18" s="11" t="str">
        <f aca="false">IF(F18="","",IF(UPPER(TRIM(F18))="B","Riktig","Prøv igjen"))</f>
        <v/>
      </c>
    </row>
    <row r="19" customFormat="false" ht="48.75" hidden="false" customHeight="true" outlineLevel="0" collapsed="false">
      <c r="A19" s="7" t="s">
        <v>46</v>
      </c>
      <c r="B19" s="7"/>
      <c r="C19" s="7"/>
      <c r="D19" s="7"/>
      <c r="E19" s="7"/>
      <c r="F19" s="10"/>
      <c r="G19" s="11" t="str">
        <f aca="false">IF(F19="","",IF(UPPER(TRIM(F19))="B","Riktig","Prøv igjen"))</f>
        <v/>
      </c>
    </row>
    <row r="20" customFormat="false" ht="18.75" hidden="false" customHeight="true" outlineLevel="0" collapsed="false">
      <c r="A20" s="7" t="s">
        <v>47</v>
      </c>
      <c r="B20" s="7"/>
      <c r="C20" s="7"/>
      <c r="D20" s="7"/>
      <c r="E20" s="7"/>
    </row>
    <row r="21" customFormat="false" ht="15" hidden="false" customHeight="true" outlineLevel="0" collapsed="false">
      <c r="A21" s="7" t="s">
        <v>48</v>
      </c>
      <c r="B21" s="7"/>
      <c r="C21" s="7"/>
      <c r="D21" s="7"/>
      <c r="E21" s="7"/>
      <c r="F21" s="10"/>
      <c r="G21" s="11" t="str">
        <f aca="false">IF(F21="","",IF(UPPER(TRIM(F21))="JA","Riktig","Prøv igjen"))</f>
        <v/>
      </c>
    </row>
    <row r="22" customFormat="false" ht="15" hidden="false" customHeight="true" outlineLevel="0" collapsed="false">
      <c r="A22" s="7" t="s">
        <v>49</v>
      </c>
      <c r="B22" s="7"/>
      <c r="C22" s="7"/>
      <c r="D22" s="7"/>
      <c r="E22" s="7"/>
      <c r="F22" s="10"/>
      <c r="G22" s="11" t="str">
        <f aca="false">IF(F22="","",IF(UPPER(TRIM(F22))="JA","Riktig","Prøv igjen"))</f>
        <v/>
      </c>
    </row>
    <row r="23" customFormat="false" ht="15" hidden="false" customHeight="true" outlineLevel="0" collapsed="false">
      <c r="A23" s="7" t="s">
        <v>50</v>
      </c>
      <c r="B23" s="7"/>
      <c r="C23" s="7"/>
      <c r="D23" s="7"/>
      <c r="E23" s="7"/>
      <c r="F23" s="10"/>
      <c r="G23" s="11" t="str">
        <f aca="false">IF(F23="","",IF(UPPER(TRIM(F23))="JA","Riktig","Prøv igjen"))</f>
        <v/>
      </c>
    </row>
    <row r="24" customFormat="false" ht="15" hidden="false" customHeight="true" outlineLevel="0" collapsed="false">
      <c r="A24" s="7" t="s">
        <v>51</v>
      </c>
      <c r="B24" s="7"/>
      <c r="C24" s="7"/>
      <c r="D24" s="7"/>
      <c r="E24" s="7"/>
      <c r="F24" s="10"/>
      <c r="G24" s="11" t="str">
        <f aca="false">IF(F24="","",IF(UPPER(TRIM(F24))="NEI","Riktig","Prøv igjen"))</f>
        <v/>
      </c>
    </row>
    <row r="25" customFormat="false" ht="15" hidden="false" customHeight="true" outlineLevel="0" collapsed="false">
      <c r="A25" s="7" t="s">
        <v>52</v>
      </c>
      <c r="B25" s="7"/>
      <c r="C25" s="7"/>
      <c r="D25" s="7"/>
      <c r="E25" s="7"/>
      <c r="F25" s="10"/>
      <c r="G25" s="11" t="str">
        <f aca="false">IF(F25="","",IF(UPPER(TRIM(F25))="NEI","Riktig","Prøv igjen"))</f>
        <v/>
      </c>
    </row>
    <row r="26" customFormat="false" ht="48.75" hidden="false" customHeight="true" outlineLevel="0" collapsed="false">
      <c r="A26" s="7" t="s">
        <v>53</v>
      </c>
      <c r="B26" s="7"/>
      <c r="C26" s="7"/>
      <c r="D26" s="7"/>
      <c r="E26" s="7"/>
      <c r="F26" s="10"/>
      <c r="G26" s="11" t="str">
        <f aca="false">IF(F26="","",IF(UPPER(TRIM(F26))="B","Riktig","Prøv igjen"))</f>
        <v/>
      </c>
    </row>
    <row r="27" customFormat="false" ht="33.75" hidden="false" customHeight="true" outlineLevel="0" collapsed="false">
      <c r="A27" s="7" t="s">
        <v>54</v>
      </c>
      <c r="B27" s="7"/>
      <c r="C27" s="7"/>
      <c r="D27" s="7"/>
      <c r="E27" s="7"/>
    </row>
    <row r="28" customFormat="false" ht="15" hidden="false" customHeight="false" outlineLevel="0" collapsed="false">
      <c r="A28" s="12"/>
      <c r="B28" s="12"/>
      <c r="C28" s="12"/>
      <c r="D28" s="12"/>
      <c r="E28" s="12"/>
      <c r="F28" s="12"/>
      <c r="G28" s="12"/>
    </row>
    <row r="29" customFormat="false" ht="15" hidden="false" customHeight="false" outlineLevel="0" collapsed="false">
      <c r="A29" s="12"/>
      <c r="B29" s="12"/>
      <c r="C29" s="12"/>
      <c r="D29" s="12"/>
      <c r="E29" s="12"/>
      <c r="F29" s="12"/>
      <c r="G29" s="12"/>
    </row>
    <row r="30" customFormat="false" ht="15" hidden="false" customHeight="false" outlineLevel="0" collapsed="false">
      <c r="A30" s="12"/>
      <c r="B30" s="12"/>
      <c r="C30" s="12"/>
      <c r="D30" s="12"/>
      <c r="E30" s="12"/>
      <c r="F30" s="12"/>
      <c r="G30" s="12"/>
    </row>
    <row r="31" customFormat="false" ht="30" hidden="false" customHeight="true" outlineLevel="0" collapsed="false">
      <c r="A31" s="13" t="s">
        <v>55</v>
      </c>
      <c r="B31" s="14" t="s">
        <v>56</v>
      </c>
      <c r="C31" s="14"/>
      <c r="D31" s="14"/>
      <c r="E31" s="14"/>
      <c r="F31" s="14"/>
      <c r="G31" s="14"/>
    </row>
    <row r="34" customFormat="false" ht="15" hidden="false" customHeight="false" outlineLevel="0" collapsed="false">
      <c r="A34" s="15" t="s">
        <v>57</v>
      </c>
      <c r="B34" s="15"/>
      <c r="C34" s="15"/>
      <c r="D34" s="15"/>
      <c r="E34" s="15"/>
      <c r="F34" s="15"/>
      <c r="G34" s="15"/>
    </row>
    <row r="35" customFormat="false" ht="30" hidden="false" customHeight="true" outlineLevel="0" collapsed="false">
      <c r="A35" s="16" t="s">
        <v>58</v>
      </c>
      <c r="B35" s="17" t="s">
        <v>59</v>
      </c>
      <c r="C35" s="17"/>
      <c r="D35" s="17"/>
      <c r="E35" s="17"/>
      <c r="F35" s="17"/>
      <c r="G35" s="17"/>
    </row>
    <row r="36" customFormat="false" ht="30" hidden="false" customHeight="true" outlineLevel="0" collapsed="false">
      <c r="A36" s="16" t="s">
        <v>60</v>
      </c>
      <c r="B36" s="17" t="s">
        <v>61</v>
      </c>
      <c r="C36" s="17"/>
      <c r="D36" s="17"/>
      <c r="E36" s="17"/>
      <c r="F36" s="17"/>
      <c r="G36" s="17"/>
    </row>
    <row r="38" customFormat="false" ht="33.75" hidden="false" customHeight="true" outlineLevel="0" collapsed="false">
      <c r="A38" s="6" t="s">
        <v>62</v>
      </c>
      <c r="B38" s="6"/>
      <c r="C38" s="6"/>
      <c r="D38" s="6"/>
      <c r="E38" s="6"/>
      <c r="F38" s="6"/>
      <c r="G38" s="6"/>
    </row>
    <row r="39" customFormat="false" ht="15" hidden="false" customHeight="true" outlineLevel="0" collapsed="false">
      <c r="A39" s="6" t="s">
        <v>63</v>
      </c>
      <c r="B39" s="6"/>
      <c r="C39" s="6"/>
      <c r="D39" s="6"/>
      <c r="E39" s="6"/>
      <c r="F39" s="6"/>
      <c r="G39" s="6"/>
    </row>
  </sheetData>
  <mergeCells count="29">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G30"/>
    <mergeCell ref="B31:G31"/>
    <mergeCell ref="A34:G34"/>
    <mergeCell ref="B35:G35"/>
    <mergeCell ref="B36:G36"/>
    <mergeCell ref="A38:G38"/>
    <mergeCell ref="A39:G3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64</v>
      </c>
    </row>
    <row r="2" customFormat="false" ht="15" hidden="false" customHeight="false" outlineLevel="0" collapsed="false">
      <c r="A2" s="2" t="s">
        <v>21</v>
      </c>
    </row>
    <row r="4" customFormat="false" ht="78.75" hidden="false" customHeight="true" outlineLevel="0" collapsed="false">
      <c r="A4" s="6" t="s">
        <v>65</v>
      </c>
      <c r="B4" s="6"/>
      <c r="C4" s="6"/>
      <c r="D4" s="6"/>
      <c r="E4" s="6"/>
      <c r="F4" s="6"/>
      <c r="G4" s="6"/>
    </row>
    <row r="5" customFormat="false" ht="93.75" hidden="false" customHeight="true" outlineLevel="0" collapsed="false">
      <c r="A5" s="7" t="s">
        <v>66</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67</v>
      </c>
      <c r="B8" s="7" t="s">
        <v>68</v>
      </c>
      <c r="C8" s="7"/>
      <c r="D8" s="7"/>
      <c r="E8" s="7"/>
      <c r="F8" s="7"/>
      <c r="G8" s="7"/>
    </row>
    <row r="9" customFormat="false" ht="18.75" hidden="false" customHeight="true" outlineLevel="0" collapsed="false">
      <c r="A9" s="9" t="s">
        <v>69</v>
      </c>
      <c r="B9" s="7" t="s">
        <v>70</v>
      </c>
      <c r="C9" s="7"/>
      <c r="D9" s="7"/>
      <c r="E9" s="7"/>
      <c r="F9" s="7"/>
      <c r="G9" s="7"/>
    </row>
    <row r="10" customFormat="false" ht="18.75" hidden="false" customHeight="true" outlineLevel="0" collapsed="false">
      <c r="A10" s="9" t="s">
        <v>71</v>
      </c>
      <c r="B10" s="7" t="s">
        <v>72</v>
      </c>
      <c r="C10" s="7"/>
      <c r="D10" s="7"/>
      <c r="E10" s="7"/>
      <c r="F10" s="7"/>
      <c r="G10" s="7"/>
    </row>
    <row r="11" customFormat="false" ht="18.75" hidden="false" customHeight="true" outlineLevel="0" collapsed="false">
      <c r="A11" s="9" t="s">
        <v>73</v>
      </c>
      <c r="B11" s="7" t="s">
        <v>74</v>
      </c>
      <c r="C11" s="7"/>
      <c r="D11" s="7"/>
      <c r="E11" s="7"/>
      <c r="F11" s="7"/>
      <c r="G11" s="7"/>
    </row>
    <row r="12" customFormat="false" ht="18.75" hidden="false" customHeight="true" outlineLevel="0" collapsed="false">
      <c r="A12" s="9" t="s">
        <v>75</v>
      </c>
      <c r="B12" s="7" t="s">
        <v>76</v>
      </c>
      <c r="C12" s="7"/>
      <c r="D12" s="7"/>
      <c r="E12" s="7"/>
      <c r="F12" s="7"/>
      <c r="G12" s="7"/>
    </row>
    <row r="13" customFormat="false" ht="18.75" hidden="false" customHeight="true" outlineLevel="0" collapsed="false">
      <c r="A13" s="9" t="s">
        <v>77</v>
      </c>
      <c r="B13" s="7" t="s">
        <v>78</v>
      </c>
      <c r="C13" s="7"/>
      <c r="D13" s="7"/>
      <c r="E13" s="7"/>
      <c r="F13" s="7"/>
      <c r="G13" s="7"/>
    </row>
    <row r="14" customFormat="false" ht="18.75" hidden="false" customHeight="true" outlineLevel="0" collapsed="false">
      <c r="A14" s="9" t="s">
        <v>79</v>
      </c>
      <c r="B14" s="7" t="s">
        <v>80</v>
      </c>
      <c r="C14" s="7"/>
      <c r="D14" s="7"/>
      <c r="E14" s="7"/>
      <c r="F14" s="7"/>
      <c r="G14" s="7"/>
    </row>
    <row r="16" customFormat="false" ht="15" hidden="false" customHeight="false" outlineLevel="0" collapsed="false">
      <c r="A16" s="8" t="s">
        <v>42</v>
      </c>
      <c r="B16" s="8"/>
      <c r="C16" s="8"/>
      <c r="D16" s="8"/>
      <c r="E16" s="8"/>
      <c r="F16" s="8" t="s">
        <v>43</v>
      </c>
      <c r="G16" s="8" t="s">
        <v>44</v>
      </c>
    </row>
    <row r="17" customFormat="false" ht="48.75" hidden="false" customHeight="true" outlineLevel="0" collapsed="false">
      <c r="A17" s="7" t="s">
        <v>81</v>
      </c>
      <c r="B17" s="7"/>
      <c r="C17" s="7"/>
      <c r="D17" s="7"/>
      <c r="E17" s="7"/>
      <c r="F17" s="10"/>
      <c r="G17" s="11" t="str">
        <f aca="false">IF(F17="","",IF(UPPER(TRIM(F17))="C","Riktig","Prøv igjen"))</f>
        <v/>
      </c>
    </row>
    <row r="18" customFormat="false" ht="48.75" hidden="false" customHeight="true" outlineLevel="0" collapsed="false">
      <c r="A18" s="7" t="s">
        <v>82</v>
      </c>
      <c r="B18" s="7"/>
      <c r="C18" s="7"/>
      <c r="D18" s="7"/>
      <c r="E18" s="7"/>
      <c r="F18" s="10"/>
      <c r="G18" s="11" t="str">
        <f aca="false">IF(F18="","",IF(UPPER(TRIM(F18))="B","Riktig","Prøv igjen"))</f>
        <v/>
      </c>
    </row>
    <row r="19" customFormat="false" ht="18.75" hidden="false" customHeight="true" outlineLevel="0" collapsed="false">
      <c r="A19" s="7" t="s">
        <v>83</v>
      </c>
      <c r="B19" s="7"/>
      <c r="C19" s="7"/>
      <c r="D19" s="7"/>
      <c r="E19" s="7"/>
    </row>
    <row r="20" customFormat="false" ht="15" hidden="false" customHeight="true" outlineLevel="0" collapsed="false">
      <c r="A20" s="7" t="s">
        <v>84</v>
      </c>
      <c r="B20" s="7"/>
      <c r="C20" s="7"/>
      <c r="D20" s="7"/>
      <c r="E20" s="7"/>
      <c r="F20" s="10"/>
      <c r="G20" s="11" t="str">
        <f aca="false">IF(F20="","",IF(UPPER(TRIM(F20))="JA","Riktig","Prøv igjen"))</f>
        <v/>
      </c>
    </row>
    <row r="21" customFormat="false" ht="15" hidden="false" customHeight="true" outlineLevel="0" collapsed="false">
      <c r="A21" s="7" t="s">
        <v>85</v>
      </c>
      <c r="B21" s="7"/>
      <c r="C21" s="7"/>
      <c r="D21" s="7"/>
      <c r="E21" s="7"/>
      <c r="F21" s="10"/>
      <c r="G21" s="11" t="str">
        <f aca="false">IF(F21="","",IF(UPPER(TRIM(F21))="NEI","Riktig","Prøv igjen"))</f>
        <v/>
      </c>
    </row>
    <row r="22" customFormat="false" ht="15" hidden="false" customHeight="true" outlineLevel="0" collapsed="false">
      <c r="A22" s="7" t="s">
        <v>86</v>
      </c>
      <c r="B22" s="7"/>
      <c r="C22" s="7"/>
      <c r="D22" s="7"/>
      <c r="E22" s="7"/>
      <c r="F22" s="10"/>
      <c r="G22" s="11" t="str">
        <f aca="false">IF(F22="","",IF(UPPER(TRIM(F22))="JA","Riktig","Prøv igjen"))</f>
        <v/>
      </c>
    </row>
    <row r="23" customFormat="false" ht="15" hidden="false" customHeight="true" outlineLevel="0" collapsed="false">
      <c r="A23" s="7" t="s">
        <v>87</v>
      </c>
      <c r="B23" s="7"/>
      <c r="C23" s="7"/>
      <c r="D23" s="7"/>
      <c r="E23" s="7"/>
      <c r="F23" s="10"/>
      <c r="G23" s="11" t="str">
        <f aca="false">IF(F23="","",IF(UPPER(TRIM(F23))="NEI","Riktig","Prøv igjen"))</f>
        <v/>
      </c>
    </row>
    <row r="24" customFormat="false" ht="15" hidden="false" customHeight="true" outlineLevel="0" collapsed="false">
      <c r="A24" s="7" t="s">
        <v>88</v>
      </c>
      <c r="B24" s="7"/>
      <c r="C24" s="7"/>
      <c r="D24" s="7"/>
      <c r="E24" s="7"/>
      <c r="F24" s="10"/>
      <c r="G24" s="11" t="str">
        <f aca="false">IF(F24="","",IF(UPPER(TRIM(F24))="JA","Riktig","Prøv igjen"))</f>
        <v/>
      </c>
    </row>
    <row r="25" customFormat="false" ht="63.75" hidden="false" customHeight="true" outlineLevel="0" collapsed="false">
      <c r="A25" s="7" t="s">
        <v>89</v>
      </c>
      <c r="B25" s="7"/>
      <c r="C25" s="7"/>
      <c r="D25" s="7"/>
      <c r="E25" s="7"/>
      <c r="F25" s="10"/>
      <c r="G25" s="11" t="str">
        <f aca="false">IF(F25="","",IF(UPPER(TRIM(F25))="B","Riktig","Prøv igjen"))</f>
        <v/>
      </c>
    </row>
    <row r="26" customFormat="false" ht="33.75" hidden="false" customHeight="true" outlineLevel="0" collapsed="false">
      <c r="A26" s="7" t="s">
        <v>90</v>
      </c>
      <c r="B26" s="7"/>
      <c r="C26" s="7"/>
      <c r="D26" s="7"/>
      <c r="E26" s="7"/>
    </row>
    <row r="27" customFormat="false" ht="15" hidden="false" customHeight="false" outlineLevel="0" collapsed="false">
      <c r="A27" s="12"/>
      <c r="B27" s="12"/>
      <c r="C27" s="12"/>
      <c r="D27" s="12"/>
      <c r="E27" s="12"/>
      <c r="F27" s="12"/>
      <c r="G27" s="12"/>
    </row>
    <row r="28" customFormat="false" ht="15" hidden="false" customHeight="false" outlineLevel="0" collapsed="false">
      <c r="A28" s="12"/>
      <c r="B28" s="12"/>
      <c r="C28" s="12"/>
      <c r="D28" s="12"/>
      <c r="E28" s="12"/>
      <c r="F28" s="12"/>
      <c r="G28" s="12"/>
    </row>
    <row r="29" customFormat="false" ht="15" hidden="false" customHeight="false" outlineLevel="0" collapsed="false">
      <c r="A29" s="12"/>
      <c r="B29" s="12"/>
      <c r="C29" s="12"/>
      <c r="D29" s="12"/>
      <c r="E29" s="12"/>
      <c r="F29" s="12"/>
      <c r="G29" s="12"/>
    </row>
    <row r="30" customFormat="false" ht="30" hidden="false" customHeight="true" outlineLevel="0" collapsed="false">
      <c r="A30" s="13" t="s">
        <v>55</v>
      </c>
      <c r="B30" s="14" t="s">
        <v>91</v>
      </c>
      <c r="C30" s="14"/>
      <c r="D30" s="14"/>
      <c r="E30" s="14"/>
      <c r="F30" s="14"/>
      <c r="G30" s="14"/>
    </row>
    <row r="33" customFormat="false" ht="15" hidden="false" customHeight="false" outlineLevel="0" collapsed="false">
      <c r="A33" s="15" t="s">
        <v>57</v>
      </c>
      <c r="B33" s="15"/>
      <c r="C33" s="15"/>
      <c r="D33" s="15"/>
      <c r="E33" s="15"/>
      <c r="F33" s="15"/>
      <c r="G33" s="15"/>
    </row>
    <row r="34" customFormat="false" ht="30" hidden="false" customHeight="true" outlineLevel="0" collapsed="false">
      <c r="A34" s="16" t="s">
        <v>92</v>
      </c>
      <c r="B34" s="17" t="s">
        <v>93</v>
      </c>
      <c r="C34" s="17"/>
      <c r="D34" s="17"/>
      <c r="E34" s="17"/>
      <c r="F34" s="17"/>
      <c r="G34" s="17"/>
    </row>
    <row r="35" customFormat="false" ht="30" hidden="false" customHeight="true" outlineLevel="0" collapsed="false">
      <c r="A35" s="16" t="s">
        <v>94</v>
      </c>
      <c r="B35" s="17" t="s">
        <v>95</v>
      </c>
      <c r="C35" s="17"/>
      <c r="D35" s="17"/>
      <c r="E35" s="17"/>
      <c r="F35" s="17"/>
      <c r="G35" s="17"/>
    </row>
    <row r="37" customFormat="false" ht="33.75" hidden="false" customHeight="true" outlineLevel="0" collapsed="false">
      <c r="A37" s="6" t="s">
        <v>96</v>
      </c>
      <c r="B37" s="6"/>
      <c r="C37" s="6"/>
      <c r="D37" s="6"/>
      <c r="E37" s="6"/>
      <c r="F37" s="6"/>
      <c r="G37" s="6"/>
    </row>
    <row r="38" customFormat="false" ht="15" hidden="false" customHeight="true" outlineLevel="0" collapsed="false">
      <c r="A38" s="6" t="s">
        <v>63</v>
      </c>
      <c r="B38" s="6"/>
      <c r="C38" s="6"/>
      <c r="D38" s="6"/>
      <c r="E38" s="6"/>
      <c r="F38" s="6"/>
      <c r="G38" s="6"/>
    </row>
  </sheetData>
  <mergeCells count="28">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97</v>
      </c>
    </row>
    <row r="2" customFormat="false" ht="15" hidden="false" customHeight="false" outlineLevel="0" collapsed="false">
      <c r="A2" s="2" t="s">
        <v>21</v>
      </c>
    </row>
    <row r="4" customFormat="false" ht="63.75" hidden="false" customHeight="true" outlineLevel="0" collapsed="false">
      <c r="A4" s="6" t="s">
        <v>98</v>
      </c>
      <c r="B4" s="6"/>
      <c r="C4" s="6"/>
      <c r="D4" s="6"/>
      <c r="E4" s="6"/>
      <c r="F4" s="6"/>
      <c r="G4" s="6"/>
    </row>
    <row r="5" customFormat="false" ht="138.75" hidden="false" customHeight="true" outlineLevel="0" collapsed="false">
      <c r="A5" s="7" t="s">
        <v>99</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100</v>
      </c>
      <c r="B8" s="7" t="s">
        <v>101</v>
      </c>
      <c r="C8" s="7"/>
      <c r="D8" s="7"/>
      <c r="E8" s="7"/>
      <c r="F8" s="7"/>
      <c r="G8" s="7"/>
    </row>
    <row r="9" customFormat="false" ht="18.75" hidden="false" customHeight="true" outlineLevel="0" collapsed="false">
      <c r="A9" s="9" t="s">
        <v>102</v>
      </c>
      <c r="B9" s="7" t="s">
        <v>103</v>
      </c>
      <c r="C9" s="7"/>
      <c r="D9" s="7"/>
      <c r="E9" s="7"/>
      <c r="F9" s="7"/>
      <c r="G9" s="7"/>
    </row>
    <row r="10" customFormat="false" ht="18.75" hidden="false" customHeight="true" outlineLevel="0" collapsed="false">
      <c r="A10" s="9" t="s">
        <v>104</v>
      </c>
      <c r="B10" s="7" t="s">
        <v>105</v>
      </c>
      <c r="C10" s="7"/>
      <c r="D10" s="7"/>
      <c r="E10" s="7"/>
      <c r="F10" s="7"/>
      <c r="G10" s="7"/>
    </row>
    <row r="11" customFormat="false" ht="18.75" hidden="false" customHeight="true" outlineLevel="0" collapsed="false">
      <c r="A11" s="9" t="s">
        <v>106</v>
      </c>
      <c r="B11" s="7" t="s">
        <v>107</v>
      </c>
      <c r="C11" s="7"/>
      <c r="D11" s="7"/>
      <c r="E11" s="7"/>
      <c r="F11" s="7"/>
      <c r="G11" s="7"/>
    </row>
    <row r="12" customFormat="false" ht="18.75" hidden="false" customHeight="true" outlineLevel="0" collapsed="false">
      <c r="A12" s="9" t="s">
        <v>108</v>
      </c>
      <c r="B12" s="7" t="s">
        <v>109</v>
      </c>
      <c r="C12" s="7"/>
      <c r="D12" s="7"/>
      <c r="E12" s="7"/>
      <c r="F12" s="7"/>
      <c r="G12" s="7"/>
    </row>
    <row r="13" customFormat="false" ht="18.75" hidden="false" customHeight="true" outlineLevel="0" collapsed="false">
      <c r="A13" s="9" t="s">
        <v>110</v>
      </c>
      <c r="B13" s="7" t="s">
        <v>111</v>
      </c>
      <c r="C13" s="7"/>
      <c r="D13" s="7"/>
      <c r="E13" s="7"/>
      <c r="F13" s="7"/>
      <c r="G13" s="7"/>
    </row>
    <row r="14" customFormat="false" ht="18.75" hidden="false" customHeight="true" outlineLevel="0" collapsed="false">
      <c r="A14" s="9" t="s">
        <v>112</v>
      </c>
      <c r="B14" s="7" t="s">
        <v>113</v>
      </c>
      <c r="C14" s="7"/>
      <c r="D14" s="7"/>
      <c r="E14" s="7"/>
      <c r="F14" s="7"/>
      <c r="G14" s="7"/>
    </row>
    <row r="15" customFormat="false" ht="18.75" hidden="false" customHeight="true" outlineLevel="0" collapsed="false">
      <c r="A15" s="9" t="s">
        <v>114</v>
      </c>
      <c r="B15" s="7" t="s">
        <v>115</v>
      </c>
      <c r="C15" s="7"/>
      <c r="D15" s="7"/>
      <c r="E15" s="7"/>
      <c r="F15" s="7"/>
      <c r="G15" s="7"/>
    </row>
    <row r="16" customFormat="false" ht="18.75" hidden="false" customHeight="true" outlineLevel="0" collapsed="false">
      <c r="A16" s="9" t="s">
        <v>116</v>
      </c>
      <c r="B16" s="7" t="s">
        <v>117</v>
      </c>
      <c r="C16" s="7"/>
      <c r="D16" s="7"/>
      <c r="E16" s="7"/>
      <c r="F16" s="7"/>
      <c r="G16" s="7"/>
    </row>
    <row r="18" customFormat="false" ht="15" hidden="false" customHeight="false" outlineLevel="0" collapsed="false">
      <c r="A18" s="8" t="s">
        <v>42</v>
      </c>
      <c r="B18" s="8"/>
      <c r="C18" s="8"/>
      <c r="D18" s="8"/>
      <c r="E18" s="8"/>
      <c r="F18" s="8" t="s">
        <v>43</v>
      </c>
      <c r="G18" s="8" t="s">
        <v>44</v>
      </c>
    </row>
    <row r="19" customFormat="false" ht="33.75" hidden="false" customHeight="true" outlineLevel="0" collapsed="false">
      <c r="A19" s="7" t="s">
        <v>118</v>
      </c>
      <c r="B19" s="7"/>
      <c r="C19" s="7"/>
      <c r="D19" s="7"/>
      <c r="E19" s="7"/>
      <c r="F19" s="18"/>
      <c r="G19" s="11" t="str">
        <f aca="false">IF(F19="","",IF(ABS(F19-(28125))&lt;=0.000000001,"Riktig","Prøv igjen"))</f>
        <v/>
      </c>
    </row>
    <row r="20" customFormat="false" ht="42.75" hidden="false" customHeight="true" outlineLevel="0" collapsed="false">
      <c r="A20" s="13" t="s">
        <v>55</v>
      </c>
      <c r="B20" s="14" t="s">
        <v>119</v>
      </c>
      <c r="C20" s="14"/>
      <c r="D20" s="14"/>
      <c r="E20" s="14"/>
      <c r="F20" s="14"/>
      <c r="G20" s="14"/>
    </row>
    <row r="22" customFormat="false" ht="33.75" hidden="false" customHeight="true" outlineLevel="0" collapsed="false">
      <c r="A22" s="7" t="s">
        <v>120</v>
      </c>
      <c r="B22" s="7"/>
      <c r="C22" s="7"/>
      <c r="D22" s="7"/>
      <c r="E22" s="7"/>
      <c r="F22" s="10"/>
      <c r="G22" s="11" t="str">
        <f aca="false">IF(F22="","",IF(UPPER(TRIM(F22))="A","Riktig","Prøv igjen"))</f>
        <v/>
      </c>
    </row>
    <row r="23" customFormat="false" ht="18.75" hidden="false" customHeight="true" outlineLevel="0" collapsed="false">
      <c r="A23" s="7" t="s">
        <v>121</v>
      </c>
      <c r="B23" s="7"/>
      <c r="C23" s="7"/>
      <c r="D23" s="7"/>
      <c r="E23" s="7"/>
    </row>
    <row r="24" customFormat="false" ht="15" hidden="false" customHeight="true" outlineLevel="0" collapsed="false">
      <c r="A24" s="7" t="s">
        <v>122</v>
      </c>
      <c r="B24" s="7"/>
      <c r="C24" s="7"/>
      <c r="D24" s="7"/>
      <c r="E24" s="7"/>
      <c r="F24" s="10"/>
      <c r="G24" s="11" t="str">
        <f aca="false">IF(F24="","",IF(UPPER(TRIM(F24))="JA","Riktig","Prøv igjen"))</f>
        <v/>
      </c>
    </row>
    <row r="25" customFormat="false" ht="15" hidden="false" customHeight="true" outlineLevel="0" collapsed="false">
      <c r="A25" s="7" t="s">
        <v>123</v>
      </c>
      <c r="B25" s="7"/>
      <c r="C25" s="7"/>
      <c r="D25" s="7"/>
      <c r="E25" s="7"/>
      <c r="F25" s="10"/>
      <c r="G25" s="11" t="str">
        <f aca="false">IF(F25="","",IF(UPPER(TRIM(F25))="NEI","Riktig","Prøv igjen"))</f>
        <v/>
      </c>
    </row>
    <row r="26" customFormat="false" ht="15" hidden="false" customHeight="true" outlineLevel="0" collapsed="false">
      <c r="A26" s="7" t="s">
        <v>124</v>
      </c>
      <c r="B26" s="7"/>
      <c r="C26" s="7"/>
      <c r="D26" s="7"/>
      <c r="E26" s="7"/>
      <c r="F26" s="10"/>
      <c r="G26" s="11" t="str">
        <f aca="false">IF(F26="","",IF(UPPER(TRIM(F26))="JA","Riktig","Prøv igjen"))</f>
        <v/>
      </c>
    </row>
    <row r="27" customFormat="false" ht="15" hidden="false" customHeight="true" outlineLevel="0" collapsed="false">
      <c r="A27" s="7" t="s">
        <v>125</v>
      </c>
      <c r="B27" s="7"/>
      <c r="C27" s="7"/>
      <c r="D27" s="7"/>
      <c r="E27" s="7"/>
      <c r="F27" s="10"/>
      <c r="G27" s="11" t="str">
        <f aca="false">IF(F27="","",IF(UPPER(TRIM(F27))="JA","Riktig","Prøv igjen"))</f>
        <v/>
      </c>
    </row>
    <row r="28" customFormat="false" ht="15" hidden="false" customHeight="true" outlineLevel="0" collapsed="false">
      <c r="A28" s="7" t="s">
        <v>126</v>
      </c>
      <c r="B28" s="7"/>
      <c r="C28" s="7"/>
      <c r="D28" s="7"/>
      <c r="E28" s="7"/>
      <c r="F28" s="10"/>
      <c r="G28" s="11" t="str">
        <f aca="false">IF(F28="","",IF(UPPER(TRIM(F28))="NEI","Riktig","Prøv igjen"))</f>
        <v/>
      </c>
    </row>
    <row r="29" customFormat="false" ht="63.75" hidden="false" customHeight="true" outlineLevel="0" collapsed="false">
      <c r="A29" s="7" t="s">
        <v>127</v>
      </c>
      <c r="B29" s="7"/>
      <c r="C29" s="7"/>
      <c r="D29" s="7"/>
      <c r="E29" s="7"/>
      <c r="F29" s="10"/>
      <c r="G29" s="11" t="str">
        <f aca="false">IF(F29="","",IF(UPPER(TRIM(F29))="B","Riktig","Prøv igjen"))</f>
        <v/>
      </c>
    </row>
    <row r="30" customFormat="false" ht="33.75" hidden="false" customHeight="true" outlineLevel="0" collapsed="false">
      <c r="A30" s="7" t="s">
        <v>128</v>
      </c>
      <c r="B30" s="7"/>
      <c r="C30" s="7"/>
      <c r="D30" s="7"/>
      <c r="E30" s="7"/>
    </row>
    <row r="31" customFormat="false" ht="15" hidden="false" customHeight="false" outlineLevel="0" collapsed="false">
      <c r="A31" s="12"/>
      <c r="B31" s="12"/>
      <c r="C31" s="12"/>
      <c r="D31" s="12"/>
      <c r="E31" s="12"/>
      <c r="F31" s="12"/>
      <c r="G31" s="12"/>
    </row>
    <row r="32" customFormat="false" ht="15" hidden="false" customHeight="false" outlineLevel="0" collapsed="false">
      <c r="A32" s="12"/>
      <c r="B32" s="12"/>
      <c r="C32" s="12"/>
      <c r="D32" s="12"/>
      <c r="E32" s="12"/>
      <c r="F32" s="12"/>
      <c r="G32" s="12"/>
    </row>
    <row r="33" customFormat="false" ht="15" hidden="false" customHeight="false" outlineLevel="0" collapsed="false">
      <c r="A33" s="12"/>
      <c r="B33" s="12"/>
      <c r="C33" s="12"/>
      <c r="D33" s="12"/>
      <c r="E33" s="12"/>
      <c r="F33" s="12"/>
      <c r="G33" s="12"/>
    </row>
    <row r="34" customFormat="false" ht="30" hidden="false" customHeight="true" outlineLevel="0" collapsed="false">
      <c r="A34" s="13" t="s">
        <v>55</v>
      </c>
      <c r="B34" s="14" t="s">
        <v>129</v>
      </c>
      <c r="C34" s="14"/>
      <c r="D34" s="14"/>
      <c r="E34" s="14"/>
      <c r="F34" s="14"/>
      <c r="G34" s="14"/>
    </row>
    <row r="37" customFormat="false" ht="15" hidden="false" customHeight="false" outlineLevel="0" collapsed="false">
      <c r="A37" s="15" t="s">
        <v>57</v>
      </c>
      <c r="B37" s="15"/>
      <c r="C37" s="15"/>
      <c r="D37" s="15"/>
      <c r="E37" s="15"/>
      <c r="F37" s="15"/>
      <c r="G37" s="15"/>
    </row>
    <row r="38" customFormat="false" ht="30" hidden="false" customHeight="true" outlineLevel="0" collapsed="false">
      <c r="A38" s="16" t="s">
        <v>130</v>
      </c>
      <c r="B38" s="17" t="s">
        <v>131</v>
      </c>
      <c r="C38" s="17"/>
      <c r="D38" s="17"/>
      <c r="E38" s="17"/>
      <c r="F38" s="17"/>
      <c r="G38" s="17"/>
    </row>
    <row r="39" customFormat="false" ht="30" hidden="false" customHeight="true" outlineLevel="0" collapsed="false">
      <c r="A39" s="16" t="s">
        <v>132</v>
      </c>
      <c r="B39" s="17" t="s">
        <v>133</v>
      </c>
      <c r="C39" s="17"/>
      <c r="D39" s="17"/>
      <c r="E39" s="17"/>
      <c r="F39" s="17"/>
      <c r="G39" s="17"/>
    </row>
    <row r="41" customFormat="false" ht="48.75" hidden="false" customHeight="true" outlineLevel="0" collapsed="false">
      <c r="A41" s="6" t="s">
        <v>134</v>
      </c>
      <c r="B41" s="6"/>
      <c r="C41" s="6"/>
      <c r="D41" s="6"/>
      <c r="E41" s="6"/>
      <c r="F41" s="6"/>
      <c r="G41" s="6"/>
    </row>
    <row r="42" customFormat="false" ht="15" hidden="false" customHeight="true" outlineLevel="0" collapsed="false">
      <c r="A42" s="6" t="s">
        <v>63</v>
      </c>
      <c r="B42" s="6"/>
      <c r="C42" s="6"/>
      <c r="D42" s="6"/>
      <c r="E42" s="6"/>
      <c r="F42" s="6"/>
      <c r="G42" s="6"/>
    </row>
  </sheetData>
  <mergeCells count="31">
    <mergeCell ref="A4:G4"/>
    <mergeCell ref="A5:G5"/>
    <mergeCell ref="B7:G7"/>
    <mergeCell ref="B8:G8"/>
    <mergeCell ref="B9:G9"/>
    <mergeCell ref="B10:G10"/>
    <mergeCell ref="B11:G11"/>
    <mergeCell ref="B12:G12"/>
    <mergeCell ref="B13:G13"/>
    <mergeCell ref="B14:G14"/>
    <mergeCell ref="B15:G15"/>
    <mergeCell ref="B16:G16"/>
    <mergeCell ref="A18:E18"/>
    <mergeCell ref="A19:E19"/>
    <mergeCell ref="B20:G20"/>
    <mergeCell ref="A22:E22"/>
    <mergeCell ref="A23:E23"/>
    <mergeCell ref="A24:E24"/>
    <mergeCell ref="A25:E25"/>
    <mergeCell ref="A26:E26"/>
    <mergeCell ref="A27:E27"/>
    <mergeCell ref="A28:E28"/>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135</v>
      </c>
    </row>
    <row r="2" customFormat="false" ht="15" hidden="false" customHeight="false" outlineLevel="0" collapsed="false">
      <c r="A2" s="2" t="s">
        <v>21</v>
      </c>
    </row>
    <row r="4" customFormat="false" ht="63.75" hidden="false" customHeight="true" outlineLevel="0" collapsed="false">
      <c r="A4" s="6" t="s">
        <v>136</v>
      </c>
      <c r="B4" s="6"/>
      <c r="C4" s="6"/>
      <c r="D4" s="6"/>
      <c r="E4" s="6"/>
      <c r="F4" s="6"/>
      <c r="G4" s="6"/>
    </row>
    <row r="5" customFormat="false" ht="93.75" hidden="false" customHeight="true" outlineLevel="0" collapsed="false">
      <c r="A5" s="7" t="s">
        <v>137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138</v>
      </c>
      <c r="B8" s="7" t="s">
        <v>139</v>
      </c>
      <c r="C8" s="7"/>
      <c r="D8" s="7"/>
      <c r="E8" s="7"/>
      <c r="F8" s="7"/>
      <c r="G8" s="7"/>
    </row>
    <row r="9" customFormat="false" ht="18.75" hidden="false" customHeight="true" outlineLevel="0" collapsed="false">
      <c r="A9" s="9" t="s">
        <v>140</v>
      </c>
      <c r="B9" s="7" t="s">
        <v>141</v>
      </c>
      <c r="C9" s="7"/>
      <c r="D9" s="7"/>
      <c r="E9" s="7"/>
      <c r="F9" s="7"/>
      <c r="G9" s="7"/>
    </row>
    <row r="10" customFormat="false" ht="18.75" hidden="false" customHeight="true" outlineLevel="0" collapsed="false">
      <c r="A10" s="9" t="s">
        <v>142</v>
      </c>
      <c r="B10" s="7" t="s">
        <v>143</v>
      </c>
      <c r="C10" s="7"/>
      <c r="D10" s="7"/>
      <c r="E10" s="7"/>
      <c r="F10" s="7"/>
      <c r="G10" s="7"/>
    </row>
    <row r="11" customFormat="false" ht="18.75" hidden="false" customHeight="true" outlineLevel="0" collapsed="false">
      <c r="A11" s="9" t="s">
        <v>144</v>
      </c>
      <c r="B11" s="7" t="s">
        <v>145</v>
      </c>
      <c r="C11" s="7"/>
      <c r="D11" s="7"/>
      <c r="E11" s="7"/>
      <c r="F11" s="7"/>
      <c r="G11" s="7"/>
    </row>
    <row r="12" customFormat="false" ht="18.75" hidden="false" customHeight="true" outlineLevel="0" collapsed="false">
      <c r="A12" s="9" t="s">
        <v>146</v>
      </c>
      <c r="B12" s="7" t="s">
        <v>147</v>
      </c>
      <c r="C12" s="7"/>
      <c r="D12" s="7"/>
      <c r="E12" s="7"/>
      <c r="F12" s="7"/>
      <c r="G12" s="7"/>
    </row>
    <row r="13" customFormat="false" ht="18.75" hidden="false" customHeight="true" outlineLevel="0" collapsed="false">
      <c r="A13" s="9" t="s">
        <v>148</v>
      </c>
      <c r="B13" s="7" t="s">
        <v>149</v>
      </c>
      <c r="C13" s="7"/>
      <c r="D13" s="7"/>
      <c r="E13" s="7"/>
      <c r="F13" s="7"/>
      <c r="G13" s="7"/>
    </row>
    <row r="14" customFormat="false" ht="18.75" hidden="false" customHeight="true" outlineLevel="0" collapsed="false">
      <c r="A14" s="9" t="s">
        <v>79</v>
      </c>
      <c r="B14" s="7" t="s">
        <v>150</v>
      </c>
      <c r="C14" s="7"/>
      <c r="D14" s="7"/>
      <c r="E14" s="7"/>
      <c r="F14" s="7"/>
      <c r="G14" s="7"/>
    </row>
    <row r="15" customFormat="false" ht="18.75" hidden="false" customHeight="true" outlineLevel="0" collapsed="false">
      <c r="A15" s="9" t="s">
        <v>151</v>
      </c>
      <c r="B15" s="7" t="s">
        <v>152</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48.75" hidden="false" customHeight="true" outlineLevel="0" collapsed="false">
      <c r="A18" s="7" t="s">
        <v>153</v>
      </c>
      <c r="B18" s="7"/>
      <c r="C18" s="7"/>
      <c r="D18" s="7"/>
      <c r="E18" s="7"/>
      <c r="F18" s="10"/>
      <c r="G18" s="11" t="str">
        <f aca="false">IF(F18="","",IF(UPPER(TRIM(F18))="B","Riktig","Prøv igjen"))</f>
        <v/>
      </c>
    </row>
    <row r="19" customFormat="false" ht="33.75" hidden="false" customHeight="true" outlineLevel="0" collapsed="false">
      <c r="A19" s="7" t="s">
        <v>154</v>
      </c>
      <c r="B19" s="7"/>
      <c r="C19" s="7"/>
      <c r="D19" s="7"/>
      <c r="E19" s="7"/>
      <c r="F19" s="18"/>
      <c r="G19" s="11" t="str">
        <f aca="false">IF(F19="","",IF(ABS(F19-(51.4))&lt;=0.1,"Riktig","Prøv igjen"))</f>
        <v/>
      </c>
    </row>
    <row r="20" customFormat="false" ht="30" hidden="false" customHeight="true" outlineLevel="0" collapsed="false">
      <c r="A20" s="13" t="s">
        <v>55</v>
      </c>
      <c r="B20" s="14" t="s">
        <v>155</v>
      </c>
      <c r="C20" s="14"/>
      <c r="D20" s="14"/>
      <c r="E20" s="14"/>
      <c r="F20" s="14"/>
      <c r="G20" s="14"/>
    </row>
    <row r="22" customFormat="false" ht="18.75" hidden="false" customHeight="true" outlineLevel="0" collapsed="false">
      <c r="A22" s="7" t="s">
        <v>156</v>
      </c>
      <c r="B22" s="7"/>
      <c r="C22" s="7"/>
      <c r="D22" s="7"/>
      <c r="E22" s="7"/>
    </row>
    <row r="23" customFormat="false" ht="15" hidden="false" customHeight="true" outlineLevel="0" collapsed="false">
      <c r="A23" s="7" t="s">
        <v>157</v>
      </c>
      <c r="B23" s="7"/>
      <c r="C23" s="7"/>
      <c r="D23" s="7"/>
      <c r="E23" s="7"/>
      <c r="F23" s="10"/>
      <c r="G23" s="11" t="str">
        <f aca="false">IF(F23="","",IF(UPPER(TRIM(F23))="JA","Riktig","Prøv igjen"))</f>
        <v/>
      </c>
    </row>
    <row r="24" customFormat="false" ht="15" hidden="false" customHeight="true" outlineLevel="0" collapsed="false">
      <c r="A24" s="7" t="s">
        <v>158</v>
      </c>
      <c r="B24" s="7"/>
      <c r="C24" s="7"/>
      <c r="D24" s="7"/>
      <c r="E24" s="7"/>
      <c r="F24" s="10"/>
      <c r="G24" s="11" t="str">
        <f aca="false">IF(F24="","",IF(UPPER(TRIM(F24))="JA","Riktig","Prøv igjen"))</f>
        <v/>
      </c>
    </row>
    <row r="25" customFormat="false" ht="15" hidden="false" customHeight="true" outlineLevel="0" collapsed="false">
      <c r="A25" s="7" t="s">
        <v>159</v>
      </c>
      <c r="B25" s="7"/>
      <c r="C25" s="7"/>
      <c r="D25" s="7"/>
      <c r="E25" s="7"/>
      <c r="F25" s="10"/>
      <c r="G25" s="11" t="str">
        <f aca="false">IF(F25="","",IF(UPPER(TRIM(F25))="NEI","Riktig","Prøv igjen"))</f>
        <v/>
      </c>
    </row>
    <row r="26" customFormat="false" ht="15" hidden="false" customHeight="true" outlineLevel="0" collapsed="false">
      <c r="A26" s="7" t="s">
        <v>160</v>
      </c>
      <c r="B26" s="7"/>
      <c r="C26" s="7"/>
      <c r="D26" s="7"/>
      <c r="E26" s="7"/>
      <c r="F26" s="10"/>
      <c r="G26" s="11" t="str">
        <f aca="false">IF(F26="","",IF(UPPER(TRIM(F26))="JA","Riktig","Prøv igjen"))</f>
        <v/>
      </c>
    </row>
    <row r="27" customFormat="false" ht="26.85" hidden="false" customHeight="true" outlineLevel="0" collapsed="false">
      <c r="A27" s="7" t="s">
        <v>161</v>
      </c>
      <c r="B27" s="7"/>
      <c r="C27" s="7"/>
      <c r="D27" s="7"/>
      <c r="E27" s="7"/>
      <c r="F27" s="10"/>
      <c r="G27" s="11" t="str">
        <f aca="false">IF(F27="","",IF(UPPER(TRIM(F27))="JA","Riktig","Prøv igjen"))</f>
        <v/>
      </c>
    </row>
    <row r="28" customFormat="false" ht="63.75" hidden="false" customHeight="true" outlineLevel="0" collapsed="false">
      <c r="A28" s="7" t="s">
        <v>162</v>
      </c>
      <c r="B28" s="7"/>
      <c r="C28" s="7"/>
      <c r="D28" s="7"/>
      <c r="E28" s="7"/>
      <c r="F28" s="10"/>
      <c r="G28" s="11" t="str">
        <f aca="false">IF(F28="","",IF(UPPER(TRIM(F28))="B","Riktig","Prøv igjen"))</f>
        <v/>
      </c>
    </row>
    <row r="29" customFormat="false" ht="48.75" hidden="false" customHeight="true" outlineLevel="0" collapsed="false">
      <c r="A29" s="7" t="s">
        <v>163</v>
      </c>
      <c r="B29" s="7"/>
      <c r="C29" s="7"/>
      <c r="D29" s="7"/>
      <c r="E29" s="7"/>
    </row>
    <row r="30" customFormat="false" ht="15" hidden="false" customHeight="false" outlineLevel="0" collapsed="false">
      <c r="A30" s="12"/>
      <c r="B30" s="12"/>
      <c r="C30" s="12"/>
      <c r="D30" s="12"/>
      <c r="E30" s="12"/>
      <c r="F30" s="12"/>
      <c r="G30" s="12"/>
    </row>
    <row r="31" customFormat="false" ht="15" hidden="false" customHeight="false" outlineLevel="0" collapsed="false">
      <c r="A31" s="12"/>
      <c r="B31" s="12"/>
      <c r="C31" s="12"/>
      <c r="D31" s="12"/>
      <c r="E31" s="12"/>
      <c r="F31" s="12"/>
      <c r="G31" s="12"/>
    </row>
    <row r="32" customFormat="false" ht="15" hidden="false" customHeight="false" outlineLevel="0" collapsed="false">
      <c r="A32" s="12"/>
      <c r="B32" s="12"/>
      <c r="C32" s="12"/>
      <c r="D32" s="12"/>
      <c r="E32" s="12"/>
      <c r="F32" s="12"/>
      <c r="G32" s="12"/>
    </row>
    <row r="33" customFormat="false" ht="30" hidden="false" customHeight="true" outlineLevel="0" collapsed="false">
      <c r="A33" s="13" t="s">
        <v>55</v>
      </c>
      <c r="B33" s="14" t="s">
        <v>164</v>
      </c>
      <c r="C33" s="14"/>
      <c r="D33" s="14"/>
      <c r="E33" s="14"/>
      <c r="F33" s="14"/>
      <c r="G33" s="14"/>
    </row>
    <row r="36" customFormat="false" ht="15" hidden="false" customHeight="false" outlineLevel="0" collapsed="false">
      <c r="A36" s="15" t="s">
        <v>57</v>
      </c>
      <c r="B36" s="15"/>
      <c r="C36" s="15"/>
      <c r="D36" s="15"/>
      <c r="E36" s="15"/>
      <c r="F36" s="15"/>
      <c r="G36" s="15"/>
    </row>
    <row r="37" customFormat="false" ht="30" hidden="false" customHeight="true" outlineLevel="0" collapsed="false">
      <c r="A37" s="16" t="s">
        <v>165</v>
      </c>
      <c r="B37" s="17" t="s">
        <v>166</v>
      </c>
      <c r="C37" s="17"/>
      <c r="D37" s="17"/>
      <c r="E37" s="17"/>
      <c r="F37" s="17"/>
      <c r="G37" s="17"/>
    </row>
    <row r="38" customFormat="false" ht="30" hidden="false" customHeight="true" outlineLevel="0" collapsed="false">
      <c r="A38" s="16" t="s">
        <v>167</v>
      </c>
      <c r="B38" s="17" t="s">
        <v>168</v>
      </c>
      <c r="C38" s="17"/>
      <c r="D38" s="17"/>
      <c r="E38" s="17"/>
      <c r="F38" s="17"/>
      <c r="G38" s="17"/>
    </row>
    <row r="40" customFormat="false" ht="48.75" hidden="false" customHeight="true" outlineLevel="0" collapsed="false">
      <c r="A40" s="6" t="s">
        <v>169</v>
      </c>
      <c r="B40" s="6"/>
      <c r="C40" s="6"/>
      <c r="D40" s="6"/>
      <c r="E40" s="6"/>
      <c r="F40" s="6"/>
      <c r="G40" s="6"/>
    </row>
    <row r="41" customFormat="false" ht="15" hidden="false" customHeight="true" outlineLevel="0" collapsed="false">
      <c r="A41" s="6" t="s">
        <v>63</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B20:G20"/>
    <mergeCell ref="A22:E22"/>
    <mergeCell ref="A23:E23"/>
    <mergeCell ref="A24:E24"/>
    <mergeCell ref="A25:E25"/>
    <mergeCell ref="A26:E26"/>
    <mergeCell ref="A27:E27"/>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2026-10-11T09:57:02Z</dcterms:created>
  <dc:creator>openpyxl</dc:creator>
  <dc:description/>
  <dc:language>en-US</dc:language>
  <cp:lastModifiedBy/>
  <dcterms:modified xsi:type="dcterms:W3CDTF">2026-10-11T09:57:03Z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