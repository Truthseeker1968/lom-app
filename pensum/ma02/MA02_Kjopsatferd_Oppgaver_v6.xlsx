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Fasi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<sst xmlns="http://schemas.openxmlformats.org/spreadsheetml/2006/main" count="290" uniqueCount="148">
  <si>
    <t xml:space="preserve">Kjøpsatferd. Oppgaver til kapittel 2</t>
  </si>
  <si>
    <t xml:space="preserve">Markedsføring, organisasjon og ledelse for LØM-emnet (Hjertnes), kapittel 2. Versjon 6, oktober 2026. Nordlys Elektro AS, Fjell Elektro AS, Haugerud Bygg AS, Kruttverket Utvikling AS og familien Lunde er konstruerte eksempler; tallene er faktaarkene og casetall.</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</si>
  <si>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</si>
  <si>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</si>
  <si>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</si>
  <si>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</si>
  <si>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</si>
  <si>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</si>
  <si>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Familien Lunde skal ha hjemmelader: kjøpsprosessen for en villaeier</t>
  </si>
  <si>
    <t xml:space="preserve">1B  Kontorbygget til Kruttverket Utvikling: innkjøpsgruppa hos en byggherre</t>
  </si>
  <si>
    <t xml:space="preserve">Fasit  Alle svar med regnestykket skrevet ut</t>
  </si>
  <si>
    <t xml:space="preserve">Dette er øvingsmateriell til repetisjons- og øvingsstøtte. I besvarelser, caser, prosjektoppgaver og eksamen gjelder lærebøkene og oppgitte primærkilder.</t>
  </si>
  <si>
    <t xml:space="preserve">1 Behov</t>
  </si>
  <si>
    <t xml:space="preserve">Oppgave 1A: Familien Lunde skal ha hjemmelader: kjøpsprosessen for en villaeier</t>
  </si>
  <si>
    <t xml:space="preserve">2 Søk etter alternativer</t>
  </si>
  <si>
    <t xml:space="preserve">Del 1, kjøpsprosessen og Maslow, hører til økt 1 av 3 (privatkunden). Del 2, fra «Tilbudet i kroner», hører til økt 2 av 3 (valget og familien). Alene, i par eller i gruppe, slik du vil.</t>
  </si>
  <si>
    <t xml:space="preserve">3 Vurdering av alternativer</t>
  </si>
  <si>
    <t xml:space="preserve">Situasjonen</t>
  </si>
  <si>
    <t xml:space="preserve">4 Kjøp</t>
  </si>
  <si>
    <t xml:space="preserve">Familien Lunde bor i en enebolig i Oslo og har bestilt elbil med levering i mars. Mor leser tester på nett, far spør naboen, og de ber tre installatører om tilbud på ladeboks: Nordlys 19 900 kr, et annet firma 17 500 kr og et tredje 18 900 kr, alle inkludert merverdiavgift og montering. Datteren på 17 har mast om ett bestemt merke i ukevis. Naboen har ladeboks fra Nordlys og anbefalte dem. Far sier at han først og fremst vil slippe å dra skjøteledning ut av kjellervinduet hele vinteren. Mor og far bestemmer sammen; far ringer, bestiller og betaler. Sønnen på 19 skal låne bilen i helgene. Nordlys' pris ligger over standardprisen for et ladepunkt i enebolig (9 580 kr uten merverdiavgift) fordi garasjen står 25 meter fra sikringsskapet, jobben krever kabel i trekkerør langs innkjørselen og større tverrsnitt på grunn av spenningsfallet, og familien ville ha ladeboksen datteren hadde valgt. Nordlys fikk jobben. To uker etter montering sier mor: «Burde vi ikke tatt den billigste?»</t>
  </si>
  <si>
    <t xml:space="preserve">5 Evaluering</t>
  </si>
  <si>
    <t xml:space="preserve">Begrepene du trenger</t>
  </si>
  <si>
    <t xml:space="preserve">Kjøpsatferd er kundens atferd før, under og etter et kjøp, og faktorene som påvirker den (2.1). På forbrukermarkedet går kjøperen gjennom fem trinn: behov, søk etter alternativer, vurdering av alternativene, kjøp og evaluering (2.2). Et behov er en følt mangeltilstand som søkes fjernet; Maslow ordner behovene i fem nivåer: fysiologiske behov, sikkerhetsbehov, sosiale behov, statusbehov og selvrealiseringsbehov (2.2.1). Ved større kjøp har familien fire kjøpsroller: påvirker, bruker, beslutningstager og kjøper; én person kan ha flere (2.3). Etterkjøpskvaler er usikkerheten etter et viktig kjøp; etterkjøpsrasjonalisering er at kunden snakker seg til rette (2.2.5).</t>
  </si>
  <si>
    <t xml:space="preserve">Oppgaven, trinn for trinn</t>
  </si>
  <si>
    <t xml:space="preserve">1. Fyll ut oppstillingen over kjøpsprosessen: velg hvilket av de fem trinnene hver hendelse hører til.
2. Velg hvilket nivå i Maslows behovspyramide hvert utsagn treffer.
3. Regn to tall om tilbudet (a og b).
4. Fyll ut kjøpsrollene i familien.
5. Velg hva mors spørsmål etter monteringen er, faglig sett.
6. Skriv hva Nordlys bør gjøre de første ukene etter montering (c).</t>
  </si>
  <si>
    <t xml:space="preserve">Kjøpsprosessen for familien Lunde: hvilket trinn hører hendelsen til? (velg i nedtrekksmenyen)</t>
  </si>
  <si>
    <t xml:space="preserve">Far ringer Nordlys, avtaler monteringsdag og sier at fakturaen kan sendes på e-post</t>
  </si>
  <si>
    <t xml:space="preserve">Elbilen er bestilt med levering i mars. Far vil slippe skjøteledningen ut av kjellervinduet</t>
  </si>
  <si>
    <t xml:space="preserve">Familien legger de tre tilbudene ved siden av hverandre: pris, garanti og hvor tidlig montøren kan komme</t>
  </si>
  <si>
    <t xml:space="preserve">To uker etter montering sier mor: «Burde vi ikke tatt den billigste?»</t>
  </si>
  <si>
    <t xml:space="preserve">Mor leser tester på nett, far spør naboen, og de ber tre installatører om tilbud</t>
  </si>
  <si>
    <t xml:space="preserve">Behovene: hvilket nivå i Maslows behovspyramide treffer utsagnet? (velg i nedtrekksmenyen)</t>
  </si>
  <si>
    <t xml:space="preserve">Far: «Jeg vil slippe å dra skjøteledning ut av kjellervinduet hele vinteren.»</t>
  </si>
  <si>
    <t xml:space="preserve">Mor: «Alle de andre i veien har fått ladeboks nå.»</t>
  </si>
  <si>
    <t xml:space="preserve">Datteren: «Den laderen er den alle snakker om. Den må vi ha, og den må synes fra veien.»</t>
  </si>
  <si>
    <t xml:space="preserve">Tilbudet i kroner</t>
  </si>
  <si>
    <t xml:space="preserve">Nordlys' tilbud er 19 900 kr inkludert merverdiavgift og montering. De to andre tilbudene er 17 500 kr og 18 900 kr. Merverdiavgiften er 25 % (merverdiavgiftsloven § 5-1). Hele kroner.</t>
  </si>
  <si>
    <t xml:space="preserve">a) Hvor mye dyrere er Nordlys enn det billigste tilbudet, i kroner?</t>
  </si>
  <si>
    <t xml:space="preserve">kr</t>
  </si>
  <si>
    <t xml:space="preserve">Fysiologiske behov</t>
  </si>
  <si>
    <t xml:space="preserve">b) Hva er Nordlys' pris uten merverdiavgift? 19 900 kr delt på 1,25</t>
  </si>
  <si>
    <t xml:space="preserve">Sikkerhetsbehov</t>
  </si>
  <si>
    <t xml:space="preserve">Sosiale behov</t>
  </si>
  <si>
    <t xml:space="preserve">Kjøpsrollene i familien (2.3): hvilken rolle har personen? (velg i nedtrekksmenyen)</t>
  </si>
  <si>
    <t xml:space="preserve">Statusbehov</t>
  </si>
  <si>
    <t xml:space="preserve">Datteren på 17, som har mast om ett bestemt merke i ukevis og lagt fram tester</t>
  </si>
  <si>
    <t xml:space="preserve">Selvrealiseringsbehov</t>
  </si>
  <si>
    <t xml:space="preserve">Mor, som sammen med far velger hvilket tilbud familien tar</t>
  </si>
  <si>
    <t xml:space="preserve">Far, som ringer, bestiller og betaler fakturaen</t>
  </si>
  <si>
    <t xml:space="preserve">Naboen, som har ladeboks fra Nordlys og anbefalte dem</t>
  </si>
  <si>
    <t xml:space="preserve">Sønnen på 19, som skal låne bilen i helgene og lade den</t>
  </si>
  <si>
    <t xml:space="preserve">Mor spør to uker etter montering: «Burde vi ikke tatt den billigste?» Hva er det, faglig sett?</t>
  </si>
  <si>
    <t xml:space="preserve">c) Hva bør Nordlys gjøre de første ukene etter montering, og hvorfor lønner det seg? To setninger, med begrepene fra kapitlet.</t>
  </si>
  <si>
    <t xml:space="preserve">Påvirker</t>
  </si>
  <si>
    <t xml:space="preserve">Bruker</t>
  </si>
  <si>
    <t xml:space="preserve">Står du fast? Skriv JA i den gule cellen:</t>
  </si>
  <si>
    <t xml:space="preserve">Beslutningstager</t>
  </si>
  <si>
    <t xml:space="preserve">Kjøper</t>
  </si>
  <si>
    <t xml:space="preserve">Gule celler fyller du inn. Grønne regnes ut av arket. Sjekken til høyre forteller om svaret stemmer, og hva du bør se på hvis ikke.</t>
  </si>
  <si>
    <t xml:space="preserve">Etterkjøpsrasjonalisering</t>
  </si>
  <si>
    <t xml:space="preserve">Etterkjøpskvaler</t>
  </si>
  <si>
    <t xml:space="preserve">Et tegn på at Nordlys bør gi rabatt</t>
  </si>
  <si>
    <t xml:space="preserve">Initiativtager</t>
  </si>
  <si>
    <t xml:space="preserve">Oppgave 1B: Kontorbygget til Kruttverket Utvikling: innkjøpsgruppa hos en byggherre</t>
  </si>
  <si>
    <t xml:space="preserve">Økt 3 av 3, bedriftskunden. Alene, i par eller i gruppe, slik du vil.</t>
  </si>
  <si>
    <t xml:space="preserve">Kruttverket Utvikling AS er byggherre for et nytt kontorbygg med lager som skal leies ut. Byggherren har kontrakt med totalentreprenøren Haugerud Bygg AS etter Norsk Standard (NS) 8407, og totalentreprenøren henter inn anbud fra elektrobedrifter som underentreprenør. En rådgivende ingeniør for elektro, innleid av byggherren, har skrevet kravspesifikasjonen. Elektroarbeidet er anslått til 1 800 fakturerbare montørtimer over seks måneder. Nordlys vil ha jobben. Ida har aldri levert anbud til Haugerud Bygg før, og hun sendte anbudet rett til prosjektlederen. Innkjøpsgruppa er de sju personene og organene som har hver sin kjøpsrolle i anskaffelsen.</t>
  </si>
  <si>
    <t xml:space="preserve">Godkjenner</t>
  </si>
  <si>
    <t xml:space="preserve">Innkjøper</t>
  </si>
  <si>
    <t xml:space="preserve">Bedriftens kjøp er formalisert: innkjøpsregler og rutiner skal sikre riktige varer, i riktige mengder, til riktige priser og til riktig tidspunkt, og redusere kjøpsrisikoen (2.4). Kjøpssituasjonene er nyanskaffelse, overveid gjenkjøp og rent gjenkjøp. Produktkategoriene er produksjonsvarer, institusjonsvarer og tjenester, kortsiktige eller langsiktige. Den fullstendige kjøpsprosessen har åtte trinn (tabell 2.1): problemerkjennelse, beskrivelse av behov og ønsket løsning, kravspesifikasjon, søk etter leverandør, anbudsrunde, valg av leverandør, kontraktsinngåelse og evaluering. Kjøpsrollene på bedriftsmarkedet er initiativtager, påvirker, bruker, beslutningstager, godkjenner, innkjøper og portvakt; portvakten skiller interessante henvendelser fra mindre interessante (2.5).</t>
  </si>
  <si>
    <t xml:space="preserve">Portvakt</t>
  </si>
  <si>
    <t xml:space="preserve">1. Fyll ut oppstillingen over innkjøpsgruppa: velg hvilken av de sju kjøpsrollene hver person har.
2. Velg kjøpssituasjonen for byggherren, og for tre innkjøp hos Nordlys.
3. Regn hvor stor del av Nordlys' timer prosjektet binder (a).
4. Plasser tre hendelser på riktig trinn i den åttetrinns kjøpsprosessen.
5. Sorter fem innkjøp hos Haugerud Bygg i produktkategori.
6. Les Idas e-post og skriv hva anbudet burde inneholdt, og hvem det skal gå til (b).</t>
  </si>
  <si>
    <t xml:space="preserve">Innkjøpsgruppa: hvilken kjøpsrolle har personen? (velg i nedtrekksmenyen)</t>
  </si>
  <si>
    <t xml:space="preserve">Daglig leder i Kruttverket Utvikling AS, som meldte at bygget må reises for at leiekontraktene skal holde</t>
  </si>
  <si>
    <t xml:space="preserve">Den rådgivende ingeniøren for elektro, innleid av byggherren, som skrev kravspesifikasjonen for elektro og gir råd under anbudsrunden</t>
  </si>
  <si>
    <t xml:space="preserve">Leietakerne som skal flytte inn i kontorene, og driftslederen som skal drifte bygget</t>
  </si>
  <si>
    <t xml:space="preserve">Prosjektlederen hos totalentreprenøren Haugerud Bygg AS, som velger hvilken elektrobedrift som får kontrakten</t>
  </si>
  <si>
    <t xml:space="preserve">Regionsjefen i Haugerud Bygg, fordi underentreprisen er over prosjektlederens fullmakt</t>
  </si>
  <si>
    <t xml:space="preserve">Innkjøpssjefen hos Haugerud Bygg AS, som sender forespørselen, henter inn anbudene og forhandler kontrakten</t>
  </si>
  <si>
    <t xml:space="preserve">Prosjektkoordinatoren hos Haugerud Bygg AS, som tar imot alle henvendelser fra leverandører og sender videre dem bedriften kan ha nytte av</t>
  </si>
  <si>
    <t xml:space="preserve">Kjøpssituasjonen (2.4): første gang, lenge siden, eller på avtale? (velg i nedtrekksmenyen)</t>
  </si>
  <si>
    <t xml:space="preserve">Kruttverket Utvikling AS har aldri bygd et kontorbygg med lager før</t>
  </si>
  <si>
    <t xml:space="preserve">Nordlys bestiller arbeidsklær med logo hver høst, på en fast avtale med samme leverandør</t>
  </si>
  <si>
    <t xml:space="preserve">Nordlys skal bytte installasjonstestinstrumentet. Det forrige ble kjøpt for seks år siden, og Tom sjekker hva som finnes nå</t>
  </si>
  <si>
    <t xml:space="preserve">Nordlys skal kjøpe en lift til montasje av belysning i lagerhaller. Nordlys har aldri eid en lift</t>
  </si>
  <si>
    <t xml:space="preserve">Prosjektet i timer</t>
  </si>
  <si>
    <t xml:space="preserve">Elektroarbeidet i kontorbygget er anslått til 1 800 fakturerbare montørtimer over seks måneder. Nordlys har 14 400 fakturerbare montørtimer i året (12 montører × 1 200, faktaarket). Svar i prosent med én desimal; cellen er ikke prosentformatert, så 12,5 skrives som 12,5.</t>
  </si>
  <si>
    <t xml:space="preserve">a) Hvor stor del av Nordlys' fakturerbare timer i året binder prosjektet? 1 800 / 14 400 × 100</t>
  </si>
  <si>
    <t xml:space="preserve">prosent</t>
  </si>
  <si>
    <t xml:space="preserve">Den åttetrinns kjøpsprosessen (tabell 2.1): hvilket trinn hører hendelsen til? (velg i nedtrekksmenyen)</t>
  </si>
  <si>
    <t xml:space="preserve">Byggherrens rådgivende ingeniør skriver funksjonskravene til elkraft og tele og automatisering (bygningsdel 4 og 5 i NS 3451): lavspent, belysning, nødlys, alarmer, data og porttelefon</t>
  </si>
  <si>
    <t xml:space="preserve">Innkjøpssjefen setter opp en lang liste over elektrobedrifter med kapasitet, og korter den ned til fem som får forespørsel</t>
  </si>
  <si>
    <t xml:space="preserve">Underveis i byggingen sjekker byggherren framdrift, kostnad og kvalitet mot kravene, og gjør det igjen ved overtakelse</t>
  </si>
  <si>
    <t xml:space="preserve">Produktkategoriene (2.4): hva kjøper Haugerud Bygg AS? (velg i nedtrekksmenyen)</t>
  </si>
  <si>
    <t xml:space="preserve">Betong, trelast og gipsplater til kontorbygget</t>
  </si>
  <si>
    <t xml:space="preserve">Tårnkranen entreprenøren eier og bruker på alle byggeplassene</t>
  </si>
  <si>
    <t xml:space="preserve">Datamaskinene i anleggsbrakka</t>
  </si>
  <si>
    <t xml:space="preserve">Kopipapir og skrivesaker til brakka</t>
  </si>
  <si>
    <t xml:space="preserve">Elektroinstallasjonen Nordlys skal levere, montert og dokumentert</t>
  </si>
  <si>
    <t xml:space="preserve">Idas e-post</t>
  </si>
  <si>
    <t xml:space="preserve">Ida sendte dette på e-post til prosjektlederen hos Haugerud Bygg, som hun kjente fra et tidligere prosjekt, i stedet for til tilbudsadressen i forespørselen: «Hei! Vedlagt følger vårt anbud på elektro. Vi bruker markedets beste komponenter, og prisen er den laveste du får i byen. Ring meg gjerne direkte hvis du lurer på noe teknisk. Vi kan starte om tre uker.» Innkjøpssjefen fikk ikke e-posten, og prosjektkoordinatoren hadde ikke registrert Nordlys som tilbyder.</t>
  </si>
  <si>
    <t xml:space="preserve">b) Hva er galt med Idas e-post, sett fra innkjøpsgruppa? Hva burde anbudet inneholdt, og hvem skulle det gått til? Tre–fire setninger, med begrepene fra kapitlet.</t>
  </si>
  <si>
    <t xml:space="preserve">Nyanskaffelse</t>
  </si>
  <si>
    <t xml:space="preserve">Overveid gjenkjøp</t>
  </si>
  <si>
    <t xml:space="preserve">Rent gjenkjøp</t>
  </si>
  <si>
    <t xml:space="preserve">1 Problemerkjennelse</t>
  </si>
  <si>
    <t xml:space="preserve">2 Behov og ønsket løsning</t>
  </si>
  <si>
    <t xml:space="preserve">3 Kravspesifikasjon</t>
  </si>
  <si>
    <t xml:space="preserve">4 Søk etter leverandør</t>
  </si>
  <si>
    <t xml:space="preserve">5 Anbudsrunde</t>
  </si>
  <si>
    <t xml:space="preserve">6 Valg av leverandør</t>
  </si>
  <si>
    <t xml:space="preserve">7 Kontraktsinngåelse</t>
  </si>
  <si>
    <t xml:space="preserve">8 Evaluering</t>
  </si>
  <si>
    <t xml:space="preserve">Kortsiktig produksjonsvare</t>
  </si>
  <si>
    <t xml:space="preserve">Langsiktig produksjonsvare</t>
  </si>
  <si>
    <t xml:space="preserve">Kortsiktig institusjonsvare</t>
  </si>
  <si>
    <t xml:space="preserve">Langsiktig institusjonsvare</t>
  </si>
  <si>
    <t xml:space="preserve">Tjeneste</t>
  </si>
  <si>
    <t xml:space="preserve">Fasit, kapittel 2</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</si>
  <si>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</si>
  <si>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</si>
  <si>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</si>
  <si>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</si>
  <si>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Kjøpsprosessen</t>
  </si>
  <si>
    <t xml:space="preserve">Elbilen bestilt og skjøteledningen: 1 behov. Tester, naboen og tre tilbud: 2 søk etter alternativer. Tilbudene ved siden av hverandre: 3 vurdering av alternativer. Far ringer og avtaler: 4 kjøp. «Burde vi tatt den billigste?»: 5 evaluering.</t>
  </si>
  <si>
    <t xml:space="preserve">1A Maslow</t>
  </si>
  <si>
    <t xml:space="preserve">Skjøteledningen: sikkerhetsbehov. Alle i veien har ladeboks: sosiale behov. Laderen som skal synes: statusbehov.</t>
  </si>
  <si>
    <t xml:space="preserve">1A a) Dyrere enn billigste</t>
  </si>
  <si>
    <t xml:space="preserve">19 900 − 17 500 = 2 400 kr</t>
  </si>
  <si>
    <t xml:space="preserve">1A b) Nordlys' pris uten merverdiavgift</t>
  </si>
  <si>
    <t xml:space="preserve">19 900 / 1,25 = 15 920 kr</t>
  </si>
  <si>
    <t xml:space="preserve">1A Kjøpsrollene</t>
  </si>
  <si>
    <t xml:space="preserve">Datteren: påvirker. Mor: beslutningstager. Far: kjøper (og beslutningstager). Naboen: påvirker. Sønnen: bruker.</t>
  </si>
  <si>
    <t xml:space="preserve">1A Mors spørsmål</t>
  </si>
  <si>
    <t xml:space="preserve">Etterkjøpskvaler (2.2.5).</t>
  </si>
  <si>
    <t xml:space="preserve">1A c) Etter montering</t>
  </si>
  <si>
    <t xml:space="preserve">Mor har etterkjøpskvaler. Nordlys er tilgjengelig: Tom ringer etter to uker, sender dokumentasjonen ferdig sortert og sier hva familien gjør hvis laderen stopper. Det lønner seg fordi evalueringen (trinn 5) avgjør om familien anbefaler Nordlys videre, slik naboen gjorde, og om de kommer tilbake når de vurderer solceller.</t>
  </si>
  <si>
    <t xml:space="preserve">1B Innkjøpsgruppa</t>
  </si>
  <si>
    <t xml:space="preserve">Daglig leder i Kruttverket Utvikling: initiativtager. Rådgivende ingeniør: påvirker (ekstern konsulent). Leietakerne og driftslederen: bruker. Prosjektlederen hos Haugerud Bygg: beslutningstager. Regionsjefen i Haugerud Bygg: godkjenner (kontrakten er over prosjektlederens fullmakt; Kruttverket kan bare nekte med saklig grunn). Innkjøpssjefen: innkjøper. Prosjektkoordinatoren: portvakt.</t>
  </si>
  <si>
    <t xml:space="preserve">1B Kjøpssituasjonene</t>
  </si>
  <si>
    <t xml:space="preserve">Kontorbygget: nyanskaffelse. Arbeidsklær: rent gjenkjøp. Testinstrument: overveid gjenkjøp. Lift: nyanskaffelse.</t>
  </si>
  <si>
    <t xml:space="preserve">1B a) Andel av Nordlys' timer</t>
  </si>
  <si>
    <t xml:space="preserve">1 800 / 14 400 × 100 = 12,5 %</t>
  </si>
  <si>
    <t xml:space="preserve">1B Trinnene</t>
  </si>
  <si>
    <t xml:space="preserve">Kravspesifikasjonen: trinn 3. Longlist og shortlist: trinn 4. Kontroll underveis og ved overtakelse: trinn 8.</t>
  </si>
  <si>
    <t xml:space="preserve">1B Produktkategoriene</t>
  </si>
  <si>
    <t xml:space="preserve">Betong og trelast: kortsiktig produksjonsvare. Tårnkranen: langsiktig produksjonsvare. Datamaskinene: langsiktig institusjonsvare. Kopipapir: kortsiktig institusjonsvare. Elektroinstallasjonen fra Nordlys: tjeneste knyttet til produksjonen.</t>
  </si>
  <si>
    <t xml:space="preserve">1B b) Idas e-post</t>
  </si>
  <si>
    <t xml:space="preserve">Ida gikk rundt portvakten og innkjøperen, så anbudet ble ikke registrert. «Laveste pris» svarer på ett av fire krav (riktig vare, mengde, pris, tidspunkt). Anbudet skal svare punkt for punkt på kravspesifikasjonen, vise bemanning og framdrift for seks måneder, dokumentasjon og referanser; det tekniske skal den rådgivende ingeniøren lese. «Start om tre uker» overser at oppstarten må følge totalentreprenørens framdriftsplan, og at byggherren kan nekte valgt underentreprenør. Og neste gang: vær kjent hos rådgiveren og innkjøpssjefen før trinn 3.</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</si>
</sst>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6" customFormat="false" ht="30" hidden="false" customHeight="true" outlineLevel="0" collapsed="false">
      <c r="B16" s="4" t="s">
        <v>11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12</v>
      </c>
    </row>
    <row r="2" customFormat="false" ht="25.5" hidden="false" customHeight="true" outlineLevel="0" collapsed="false">
      <c r="B2" s="5" t="s">
        <v>13</v>
      </c>
      <c r="C2" s="5"/>
      <c r="D2" s="5"/>
      <c r="E2" s="5"/>
      <c r="F2" s="5"/>
      <c r="G2" s="5"/>
      <c r="Z2" s="6" t="s">
        <v>14</v>
      </c>
    </row>
    <row r="3" customFormat="false" ht="30" hidden="false" customHeight="true" outlineLevel="0" collapsed="false">
      <c r="B3" s="7" t="s">
        <v>15</v>
      </c>
      <c r="C3" s="7"/>
      <c r="D3" s="7"/>
      <c r="E3" s="7"/>
      <c r="F3" s="7"/>
      <c r="G3" s="7"/>
      <c r="Z3" s="6" t="s">
        <v>16</v>
      </c>
    </row>
    <row r="4" customFormat="false" ht="15.75" hidden="false" customHeight="true" outlineLevel="0" collapsed="false">
      <c r="B4" s="8" t="s">
        <v>17</v>
      </c>
      <c r="C4" s="8"/>
      <c r="D4" s="8"/>
      <c r="E4" s="8"/>
      <c r="F4" s="8"/>
      <c r="G4" s="8"/>
      <c r="Z4" s="6" t="s">
        <v>18</v>
      </c>
    </row>
    <row r="5" customFormat="false" ht="135" hidden="false" customHeight="true" outlineLevel="0" collapsed="false">
      <c r="B5" s="9" t="s">
        <v>19</v>
      </c>
      <c r="C5" s="9"/>
      <c r="D5" s="9"/>
      <c r="E5" s="9"/>
      <c r="F5" s="9"/>
      <c r="G5" s="9"/>
      <c r="Z5" s="6" t="s">
        <v>20</v>
      </c>
    </row>
    <row r="6" customFormat="false" ht="15.75" hidden="false" customHeight="true" outlineLevel="0" collapsed="false">
      <c r="B6" s="8" t="s">
        <v>21</v>
      </c>
      <c r="C6" s="8"/>
      <c r="D6" s="8"/>
      <c r="E6" s="8"/>
      <c r="F6" s="8"/>
      <c r="G6" s="8"/>
      <c r="Z6" s="6" t="s">
        <v>12</v>
      </c>
    </row>
    <row r="7" customFormat="false" ht="90" hidden="false" customHeight="true" outlineLevel="0" collapsed="false">
      <c r="B7" s="9" t="s">
        <v>22</v>
      </c>
      <c r="C7" s="9"/>
      <c r="D7" s="9"/>
      <c r="E7" s="9"/>
      <c r="F7" s="9"/>
      <c r="G7" s="9"/>
      <c r="Z7" s="6" t="s">
        <v>14</v>
      </c>
    </row>
    <row r="8" customFormat="false" ht="15" hidden="false" customHeight="false" outlineLevel="0" collapsed="false">
      <c r="Z8" s="0" t="s">
        <v>16</v>
      </c>
    </row>
    <row r="9" customFormat="false" ht="15.75" hidden="false" customHeight="true" outlineLevel="0" collapsed="false">
      <c r="B9" s="8" t="s">
        <v>23</v>
      </c>
      <c r="C9" s="8"/>
      <c r="D9" s="8"/>
      <c r="E9" s="8"/>
      <c r="F9" s="8"/>
      <c r="G9" s="8"/>
      <c r="Z9" s="6" t="s">
        <v>18</v>
      </c>
    </row>
    <row r="10" customFormat="false" ht="96" hidden="false" customHeight="true" outlineLevel="0" collapsed="false">
      <c r="B10" s="9" t="s">
        <v>24</v>
      </c>
      <c r="C10" s="9"/>
      <c r="D10" s="9"/>
      <c r="E10" s="9"/>
      <c r="F10" s="9"/>
      <c r="G10" s="9"/>
      <c r="Z10" s="6" t="s">
        <v>20</v>
      </c>
    </row>
    <row r="11" customFormat="false" ht="15" hidden="false" customHeight="false" outlineLevel="0" collapsed="false">
      <c r="Z11" s="0" t="s">
        <v>12</v>
      </c>
    </row>
    <row r="12" customFormat="false" ht="15" hidden="false" customHeight="true" outlineLevel="0" collapsed="false">
      <c r="B12" s="10" t="s">
        <v>25</v>
      </c>
      <c r="C12" s="10"/>
      <c r="D12" s="10"/>
      <c r="E12" s="10"/>
      <c r="F12" s="10"/>
      <c r="G12" s="10"/>
      <c r="Z12" s="6" t="s">
        <v>14</v>
      </c>
    </row>
    <row r="13" customFormat="false" ht="39.75" hidden="false" customHeight="true" outlineLevel="0" collapsed="false">
      <c r="B13" s="11" t="s">
        <v>26</v>
      </c>
      <c r="C13" s="12"/>
      <c r="G13" s="13" t="str">
        <f aca="false">IF(C13="","Velg i nedtrekksmenyen.",IF(C13="4 Kjøp","Riktig. Kjøpet (2.2.4) er valg av merke og forhandler, leveringstidspunkt og betalingsmåte. Nå er det bestemt.","Ikke riktig. Kjøpet (2.2.4) er valg av merke og forhandler, leveringstidspunkt og betalingsmåte. Nå er det bestemt."))</f>
        <v>Velg i nedtrekksmenyen.</v>
      </c>
      <c r="Z13" s="6" t="s">
        <v>16</v>
      </c>
    </row>
    <row r="14" customFormat="false" ht="39.75" hidden="false" customHeight="true" outlineLevel="0" collapsed="false">
      <c r="B14" s="11" t="s">
        <v>27</v>
      </c>
      <c r="C14" s="12"/>
      <c r="G14" s="13" t="str">
        <f aca="false">IF(C14="","Velg i nedtrekksmenyen.",IF(C14="1 Behov","Riktig. Behovet (2.2.1) er en følt mangeltilstand som søkes fjernet. Det oppstår når bilen er bestilt, ikke når den kommer.","Ikke riktig. Behovet (2.2.1) er en følt mangeltilstand som søkes fjernet. Det oppstår når bilen er bestilt, ikke når den kommer."))</f>
        <v>Velg i nedtrekksmenyen.</v>
      </c>
      <c r="Z14" s="6" t="s">
        <v>18</v>
      </c>
    </row>
    <row r="15" customFormat="false" ht="39.75" hidden="false" customHeight="true" outlineLevel="0" collapsed="false">
      <c r="B15" s="11" t="s">
        <v>28</v>
      </c>
      <c r="C15" s="12"/>
      <c r="G15" s="13" t="str">
        <f aca="false">IF(C15="","Velg i nedtrekksmenyen.",IF(C15="3 Vurdering av alternativer","Riktig. Vurdering av alternativene (2.2.3): pris mot kvalitet, og leverings- og betalingsbetingelser, service og garantier teller med.","Ikke riktig. Vurdering av alternativene (2.2.3): pris mot kvalitet, og leverings- og betalingsbetingelser, service og garantier teller med."))</f>
        <v>Velg i nedtrekksmenyen.</v>
      </c>
      <c r="Z15" s="6" t="s">
        <v>20</v>
      </c>
    </row>
    <row r="16" customFormat="false" ht="39.75" hidden="false" customHeight="true" outlineLevel="0" collapsed="false">
      <c r="B16" s="11" t="s">
        <v>29</v>
      </c>
      <c r="C16" s="12"/>
      <c r="G16" s="13" t="str">
        <f aca="false">IF(C16="","Velg i nedtrekksmenyen.",IF(C16="5 Evaluering","Riktig. Evalueringen (2.2.5) kommer etter at produktet er tatt i bruk. Det er her etterkjøpskvalene melder seg.","Ikke riktig. Evalueringen (2.2.5) kommer etter at produktet er tatt i bruk. Det er her etterkjøpskvalene melder seg."))</f>
        <v>Velg i nedtrekksmenyen.</v>
      </c>
      <c r="Z16" s="6" t="s">
        <v>12</v>
      </c>
    </row>
    <row r="17" customFormat="false" ht="39.75" hidden="false" customHeight="true" outlineLevel="0" collapsed="false">
      <c r="B17" s="11" t="s">
        <v>30</v>
      </c>
      <c r="C17" s="12"/>
      <c r="G17" s="13" t="str">
        <f aca="false">IF(C17="","Velg i nedtrekksmenyen.",IF(C17="2 Søk etter alternativer","Riktig. Søk etter alternativer (2.2.2) er først og fremst informasjonsinnhenting: nett, omtaler og direkte kontakt med leverandører.","Ikke riktig. Søk etter alternativer (2.2.2) er først og fremst informasjonsinnhenting: nett, omtaler og direkte kontakt med leverandører."))</f>
        <v>Velg i nedtrekksmenyen.</v>
      </c>
      <c r="Z17" s="6" t="s">
        <v>14</v>
      </c>
    </row>
    <row r="18" customFormat="false" ht="15" hidden="false" customHeight="false" outlineLevel="0" collapsed="false">
      <c r="Z18" s="0" t="s">
        <v>16</v>
      </c>
    </row>
    <row r="19" customFormat="false" ht="15" hidden="false" customHeight="true" outlineLevel="0" collapsed="false">
      <c r="B19" s="10" t="s">
        <v>31</v>
      </c>
      <c r="C19" s="10"/>
      <c r="D19" s="10"/>
      <c r="E19" s="10"/>
      <c r="F19" s="10"/>
      <c r="G19" s="10"/>
      <c r="Z19" s="6" t="s">
        <v>18</v>
      </c>
    </row>
    <row r="20" customFormat="false" ht="39.75" hidden="false" customHeight="true" outlineLevel="0" collapsed="false">
      <c r="B20" s="11" t="s">
        <v>32</v>
      </c>
      <c r="C20" s="12"/>
      <c r="G20" s="13" t="str">
        <f aca="false">IF(C20="","Velg i nedtrekksmenyen.",IF(C20="Sikkerhetsbehov","Riktig. Sikkerhetsbehov (2.2.1): trygghet for liv, helse og eiendom. En skjøteledning ut av et vindu om vinteren er en risiko han vil bli kvitt.","Ikke riktig. Sikkerhetsbehov (2.2.1): trygghet for liv, helse og eiendom. En skjøteledning ut av et vindu om vinteren er en risiko han vil bli kvitt."))</f>
        <v>Velg i nedtrekksmenyen.</v>
      </c>
      <c r="Z20" s="6" t="s">
        <v>20</v>
      </c>
    </row>
    <row r="21" customFormat="false" ht="39.75" hidden="false" customHeight="true" outlineLevel="0" collapsed="false">
      <c r="B21" s="11" t="s">
        <v>33</v>
      </c>
      <c r="C21" s="12"/>
      <c r="G21" s="13" t="str">
        <f aca="false">IF(C21="","Velg i nedtrekksmenyen.",IF(C21="Sosiale behov","Riktig. Sosiale behov (2.2.1): tilhørighet, å være som dem vi omgås. Hva naboene har, er en sosial faktor.","Ikke riktig. Sosiale behov (2.2.1): tilhørighet, å være som dem vi omgås. Hva naboene har, er en sosial faktor."))</f>
        <v>Velg i nedtrekksmenyen.</v>
      </c>
      <c r="Z21" s="6" t="s">
        <v>12</v>
      </c>
    </row>
    <row r="22" customFormat="false" ht="39.75" hidden="false" customHeight="true" outlineLevel="0" collapsed="false">
      <c r="B22" s="11" t="s">
        <v>34</v>
      </c>
      <c r="C22" s="12"/>
      <c r="G22" s="13" t="str">
        <f aca="false">IF(C22="","Velg i nedtrekksmenyen.",IF(C22="Statusbehov","Riktig. Statusbehov (2.2.1): å bli sett opp til gjennom bestemte varer. Boka: slike produkter er som regel kostbare og oppfattes som høy kvalitet.","Ikke riktig. Statusbehov (2.2.1): å bli sett opp til gjennom bestemte varer. Boka: slike produkter er som regel kostbare og oppfattes som høy kvalitet."))</f>
        <v>Velg i nedtrekksmenyen.</v>
      </c>
      <c r="Z22" s="6" t="s">
        <v>14</v>
      </c>
    </row>
    <row r="23" customFormat="false" ht="15" hidden="false" customHeight="false" outlineLevel="0" collapsed="false">
      <c r="Z23" s="0" t="s">
        <v>16</v>
      </c>
    </row>
    <row r="24" customFormat="false" ht="15.75" hidden="false" customHeight="true" outlineLevel="0" collapsed="false">
      <c r="B24" s="8" t="s">
        <v>35</v>
      </c>
      <c r="C24" s="8"/>
      <c r="D24" s="8"/>
      <c r="E24" s="8"/>
      <c r="F24" s="8"/>
      <c r="G24" s="8"/>
      <c r="Z24" s="6" t="s">
        <v>18</v>
      </c>
    </row>
    <row r="25" customFormat="false" ht="30" hidden="false" customHeight="true" outlineLevel="0" collapsed="false">
      <c r="B25" s="9" t="s">
        <v>36</v>
      </c>
      <c r="C25" s="9"/>
      <c r="D25" s="9"/>
      <c r="E25" s="9"/>
      <c r="F25" s="9"/>
      <c r="G25" s="9"/>
      <c r="Z25" s="6" t="s">
        <v>20</v>
      </c>
    </row>
    <row r="26" customFormat="false" ht="43.5" hidden="false" customHeight="true" outlineLevel="0" collapsed="false">
      <c r="B26" s="11" t="s">
        <v>37</v>
      </c>
      <c r="C26" s="14"/>
      <c r="D26" s="15" t="s">
        <v>38</v>
      </c>
      <c r="G26" s="13" t="str">
        <f aca="false">IF(C26="","Skriv svaret i den gule cellen.",IF(C26=(19900-17500),"Riktig.",IF(ABS(C26-(19900-18900))&lt;=0,"Du har sammenliknet med tilbudet på 18 900 kr. Det billigste er 17 500 kr.",IF(ABS(C26-(ROUND(19900/1.25-17500,0)))&lt;=0,"Du har tatt merverdiavgiften ut av Nordlys' pris, men ikke av det andre tilbudet. Begge er oppgitt inkludert merverdiavgift; sammenlikn dem slik de står.","Ikke riktig ennå. Se på regnestykket øverst på fanen, og sjekk at du har med alle leddene."))))</f>
        <v>Skriv svaret i den gule cellen.</v>
      </c>
      <c r="Z26" s="6" t="s">
        <v>39</v>
      </c>
    </row>
    <row r="27" customFormat="false" ht="43.5" hidden="false" customHeight="true" outlineLevel="0" collapsed="false">
      <c r="B27" s="11" t="s">
        <v>40</v>
      </c>
      <c r="C27" s="14"/>
      <c r="D27" s="15" t="s">
        <v>38</v>
      </c>
      <c r="G27" s="13" t="str">
        <f aca="false">IF(C27="","Skriv svaret i den gule cellen.",IF(C27=(ROUND(19900/1.25,0)),"Riktig.",IF(ABS(C27-(ROUND(19900*0.75,0)))&lt;=0,"Du har trukket fra 25 % av prisen. Merverdiavgiften er 25 % av prisen uten avgift, så du deler på 1,25.",IF(ABS(C27-(ROUND(19900*1.25,0)))&lt;=0,"Du har lagt merverdiavgift på en pris som allerede har den. Del på 1,25 for å komme tilbake til prisen uten avgift.","Ikke riktig ennå. Se på regnestykket øverst på fanen, og sjekk at du har med alle leddene."))))</f>
        <v>Skriv svaret i den gule cellen.</v>
      </c>
      <c r="Z27" s="6" t="s">
        <v>41</v>
      </c>
    </row>
    <row r="28" customFormat="false" ht="15" hidden="false" customHeight="false" outlineLevel="0" collapsed="false">
      <c r="Z28" s="0" t="s">
        <v>42</v>
      </c>
    </row>
    <row r="29" customFormat="false" ht="15" hidden="false" customHeight="true" outlineLevel="0" collapsed="false">
      <c r="B29" s="10" t="s">
        <v>43</v>
      </c>
      <c r="C29" s="10"/>
      <c r="D29" s="10"/>
      <c r="E29" s="10"/>
      <c r="F29" s="10"/>
      <c r="G29" s="10"/>
      <c r="Z29" s="6" t="s">
        <v>44</v>
      </c>
    </row>
    <row r="30" customFormat="false" ht="39.75" hidden="false" customHeight="true" outlineLevel="0" collapsed="false">
      <c r="B30" s="11" t="s">
        <v>45</v>
      </c>
      <c r="C30" s="12"/>
      <c r="G30" s="13" t="str">
        <f aca="false">IF(C30="","Velg i nedtrekksmenyen.",IF(C30="Påvirker","Riktig. Påvirker (2.3): hun henter informasjon og legger press, men bestemmer ikke og betaler ikke.","Ikke riktig. Påvirker (2.3): hun henter informasjon og legger press, men bestemmer ikke og betaler ikke."))</f>
        <v>Velg i nedtrekksmenyen.</v>
      </c>
      <c r="Z30" s="6" t="s">
        <v>46</v>
      </c>
    </row>
    <row r="31" customFormat="false" ht="39.75" hidden="false" customHeight="true" outlineLevel="0" collapsed="false">
      <c r="B31" s="11" t="s">
        <v>47</v>
      </c>
      <c r="C31" s="12"/>
      <c r="G31" s="13" t="str">
        <f aca="false">IF(C31="","Velg i nedtrekksmenyen.",IF(C31="Beslutningstager","Riktig. Beslutningstager (2.3): den som avgjør valget. Mor og far deler rollen, og de påvirker hverandre.","Ikke riktig. Beslutningstager (2.3): den som avgjør valget. Mor og far deler rollen, og de påvirker hverandre."))</f>
        <v>Velg i nedtrekksmenyen.</v>
      </c>
      <c r="Z31" s="6" t="s">
        <v>39</v>
      </c>
    </row>
    <row r="32" customFormat="false" ht="39.75" hidden="false" customHeight="true" outlineLevel="0" collapsed="false">
      <c r="B32" s="11" t="s">
        <v>48</v>
      </c>
      <c r="C32" s="12"/>
      <c r="G32" s="13" t="str">
        <f aca="false">IF(C32="","Velg i nedtrekksmenyen.",IF(C32="Kjøper","Riktig. Kjøper (2.3): den som gjennomfører kjøpet og betaler. Far er også beslutningstager; én person kan ha flere roller.","Ikke riktig. Kjøper (2.3): den som gjennomfører kjøpet og betaler. Far er også beslutningstager; én person kan ha flere roller."))</f>
        <v>Velg i nedtrekksmenyen.</v>
      </c>
      <c r="Z32" s="6" t="s">
        <v>41</v>
      </c>
    </row>
    <row r="33" customFormat="false" ht="39.75" hidden="false" customHeight="true" outlineLevel="0" collapsed="false">
      <c r="B33" s="11" t="s">
        <v>49</v>
      </c>
      <c r="C33" s="12"/>
      <c r="G33" s="13" t="str">
        <f aca="false">IF(C33="","Velg i nedtrekksmenyen.",IF(C33="Påvirker","Riktig. Påvirker (2.3): anbefalingen påvirker valget, men naboen bestemmer ingenting i familien Lunde.","Ikke riktig. Påvirker (2.3): anbefalingen påvirker valget, men naboen bestemmer ingenting i familien Lunde."))</f>
        <v>Velg i nedtrekksmenyen.</v>
      </c>
      <c r="Z33" s="6" t="s">
        <v>42</v>
      </c>
    </row>
    <row r="34" customFormat="false" ht="39.75" hidden="false" customHeight="true" outlineLevel="0" collapsed="false">
      <c r="B34" s="11" t="s">
        <v>50</v>
      </c>
      <c r="C34" s="12"/>
      <c r="G34" s="13" t="str">
        <f aca="false">IF(C34="","Velg i nedtrekksmenyen.",IF(C34="Bruker","Riktig. Bruker (2.3): den som bruker produktet. Barna er ofte brukere som passasjerer eller sjåfører, sier boka.","Ikke riktig. Bruker (2.3): den som bruker produktet. Barna er ofte brukere som passasjerer eller sjåfører, sier boka."))</f>
        <v>Velg i nedtrekksmenyen.</v>
      </c>
      <c r="Z34" s="6" t="s">
        <v>44</v>
      </c>
    </row>
    <row r="35" customFormat="false" ht="15" hidden="false" customHeight="false" outlineLevel="0" collapsed="false">
      <c r="Z35" s="0" t="s">
        <v>46</v>
      </c>
    </row>
    <row r="36" customFormat="false" ht="39.75" hidden="false" customHeight="true" outlineLevel="0" collapsed="false">
      <c r="B36" s="11" t="s">
        <v>51</v>
      </c>
      <c r="C36" s="12"/>
      <c r="G36" s="13" t="str">
        <f aca="false">IF(C36="","Velg i nedtrekksmenyen.",IF(C36="Etterkjøpskvaler","Riktig. Etterkjøpskvaler (2.2.5): usikkerheten etter en viktig kjøpsbeslutning, sterkest når flere nokså likeverdige alternativer er vurdert. Etterkjøpsrasjonalisering er det motsatte, at kunden snakker seg til rette. Boka sier at selgeren demper kvalene ved å være tilgjengelig, ikke ved rabatt.","Ikke riktig. Etterkjøpskvaler (2.2.5): usikkerheten etter en viktig kjøpsbeslutning, sterkest når flere nokså likeverdige alternativer er vurdert. Etterkjøpsrasjonalisering er det motsatte, at kunden snakker seg til rette. Boka sier at selgeren demper kvalene ved å være tilgjengelig, ikke ved rabatt."))</f>
        <v>Velg i nedtrekksmenyen.</v>
      </c>
      <c r="Z36" s="6" t="s">
        <v>39</v>
      </c>
    </row>
    <row r="37" customFormat="false" ht="15" hidden="false" customHeight="false" outlineLevel="0" collapsed="false">
      <c r="Z37" s="0" t="s">
        <v>41</v>
      </c>
    </row>
    <row r="38" customFormat="false" ht="30" hidden="false" customHeight="true" outlineLevel="0" collapsed="false">
      <c r="B38" s="9" t="s">
        <v>52</v>
      </c>
      <c r="C38" s="9"/>
      <c r="D38" s="9"/>
      <c r="E38" s="9"/>
      <c r="F38" s="9"/>
      <c r="G38" s="9"/>
      <c r="Z38" s="6" t="s">
        <v>42</v>
      </c>
    </row>
    <row r="39" customFormat="false" ht="21.75" hidden="false" customHeight="true" outlineLevel="0" collapsed="false">
      <c r="B39" s="16"/>
      <c r="C39" s="16"/>
      <c r="D39" s="16"/>
      <c r="E39" s="16"/>
      <c r="F39" s="16"/>
      <c r="G39" s="16"/>
      <c r="Z39" s="6" t="s">
        <v>44</v>
      </c>
    </row>
    <row r="40" customFormat="false" ht="21.75" hidden="false" customHeight="true" outlineLevel="0" collapsed="false">
      <c r="B40" s="16"/>
      <c r="C40" s="16"/>
      <c r="D40" s="16"/>
      <c r="E40" s="16"/>
      <c r="F40" s="16"/>
      <c r="G40" s="16"/>
      <c r="Z40" s="6" t="s">
        <v>46</v>
      </c>
    </row>
    <row r="41" customFormat="false" ht="21.75" hidden="false" customHeight="true" outlineLevel="0" collapsed="false">
      <c r="B41" s="16"/>
      <c r="C41" s="16"/>
      <c r="D41" s="16"/>
      <c r="E41" s="16"/>
      <c r="F41" s="16"/>
      <c r="G41" s="16"/>
      <c r="Z41" s="6" t="s">
        <v>53</v>
      </c>
    </row>
    <row r="42" customFormat="false" ht="39.75" hidden="false" customHeight="true" outlineLevel="0" collapsed="false">
      <c r="B42" s="17" t="str">
        <f aca="false">IF(LEN(B39)&lt;40,"",IF(AND(ISNUMBER(SEARCH("kvaler",B39)),ISNUMBER(SEARCH("tilgjengelig",B39))),"Bra: du bruker etterkjøpskvaler og sier at Nordlys skal være tilgjengelig. Sjekk at du også sier hvorfor det lønner seg: evalueringen avgjør om familien anbefaler Nordlys videre, slik naboen gjorde.",IF(OR(ISNUMBER(SEARCH("kvaler",B39)),ISNUMBER(SEARCH("tilgjengelig",B39))),"Du er på sporet. Sett navn på det mor kjenner på (etterkjøpskvaler), og si hva boka ber selgeren gjøre med det: være tilgjengelig og svare på spørsmål om bruk og vedlikehold.","Tips: mor har etterkjøpskvaler (2.2.5). Boka sier at selgeren demper dem ved å være tilgjengelig og svare på spørsmål om bruk og vedlikehold. Tom ringer etter to uker, sender dokumentasjonen og sier hva familien gjør hvis laderen stopper. Det lønner seg fordi evalueringen avgjør om familien anbefaler Nordlys videre.")))</f>
        <v/>
      </c>
      <c r="C42" s="17"/>
      <c r="D42" s="17"/>
      <c r="E42" s="17"/>
      <c r="F42" s="17"/>
      <c r="G42" s="17"/>
      <c r="Z42" s="6" t="s">
        <v>54</v>
      </c>
    </row>
    <row r="43" customFormat="false" ht="15" hidden="false" customHeight="false" outlineLevel="0" collapsed="false">
      <c r="B43" s="18" t="s">
        <v>55</v>
      </c>
      <c r="C43" s="12"/>
      <c r="Z43" s="6" t="s">
        <v>56</v>
      </c>
    </row>
    <row r="44" customFormat="false" ht="60" hidden="false" customHeight="true" outlineLevel="0" collapsed="false">
      <c r="B44" s="19" t="str">
        <f aca="false">IF(C43="JA","Hint: Trinnene i rekkefølge: behov, søk, vurdering, kjøp, evaluering. Spør for hver hendelse: oppstår behovet, leter de, veier de, bestemmer de, eller ser de tilbake? Maslow: trygghet for liv, helse og eiendom er sikkerhet; det naboene har, er sosialt; det som skal synes og beundres, er status. Rollene: bestemmer hun, betaler han, bruker han, eller prøver de bare å påvirke? Tallene: 19 900 − 17 500 = 2 400 kr, og 19 900 / 1,25 = 15 920 kr.","")</f>
        <v/>
      </c>
      <c r="C44" s="19"/>
      <c r="D44" s="19"/>
      <c r="E44" s="19"/>
      <c r="F44" s="19"/>
      <c r="G44" s="19"/>
      <c r="Z44" s="6" t="s">
        <v>57</v>
      </c>
    </row>
    <row r="45" customFormat="false" ht="15" hidden="false" customHeight="false" outlineLevel="0" collapsed="false">
      <c r="Z45" s="0" t="s">
        <v>53</v>
      </c>
    </row>
    <row r="46" customFormat="false" ht="30" hidden="false" customHeight="true" outlineLevel="0" collapsed="false">
      <c r="B46" s="7" t="s">
        <v>58</v>
      </c>
      <c r="C46" s="7"/>
      <c r="D46" s="7"/>
      <c r="E46" s="7"/>
      <c r="F46" s="7"/>
      <c r="G46" s="7"/>
      <c r="Z46" s="6" t="s">
        <v>54</v>
      </c>
    </row>
    <row r="47" customFormat="false" ht="15" hidden="false" customHeight="false" outlineLevel="0" collapsed="false">
      <c r="Z47" s="0" t="s">
        <v>56</v>
      </c>
    </row>
    <row r="48" customFormat="false" ht="15" hidden="false" customHeight="false" outlineLevel="0" collapsed="false">
      <c r="Z48" s="0" t="s">
        <v>57</v>
      </c>
    </row>
    <row r="49" customFormat="false" ht="15" hidden="false" customHeight="false" outlineLevel="0" collapsed="false">
      <c r="Z49" s="0" t="s">
        <v>53</v>
      </c>
    </row>
    <row r="50" customFormat="false" ht="15" hidden="false" customHeight="false" outlineLevel="0" collapsed="false">
      <c r="Z50" s="0" t="s">
        <v>54</v>
      </c>
    </row>
    <row r="51" customFormat="false" ht="15" hidden="false" customHeight="false" outlineLevel="0" collapsed="false">
      <c r="Z51" s="0" t="s">
        <v>56</v>
      </c>
    </row>
    <row r="52" customFormat="false" ht="15" hidden="false" customHeight="false" outlineLevel="0" collapsed="false">
      <c r="Z52" s="0" t="s">
        <v>57</v>
      </c>
    </row>
    <row r="53" customFormat="false" ht="15" hidden="false" customHeight="false" outlineLevel="0" collapsed="false">
      <c r="Z53" s="0" t="s">
        <v>53</v>
      </c>
    </row>
    <row r="54" customFormat="false" ht="15" hidden="false" customHeight="false" outlineLevel="0" collapsed="false">
      <c r="Z54" s="0" t="s">
        <v>54</v>
      </c>
    </row>
    <row r="55" customFormat="false" ht="15" hidden="false" customHeight="false" outlineLevel="0" collapsed="false">
      <c r="Z55" s="0" t="s">
        <v>56</v>
      </c>
    </row>
    <row r="56" customFormat="false" ht="15" hidden="false" customHeight="false" outlineLevel="0" collapsed="false">
      <c r="Z56" s="0" t="s">
        <v>57</v>
      </c>
    </row>
    <row r="57" customFormat="false" ht="15" hidden="false" customHeight="false" outlineLevel="0" collapsed="false">
      <c r="Z57" s="0" t="s">
        <v>53</v>
      </c>
    </row>
    <row r="58" customFormat="false" ht="15" hidden="false" customHeight="false" outlineLevel="0" collapsed="false">
      <c r="Z58" s="0" t="s">
        <v>54</v>
      </c>
    </row>
    <row r="59" customFormat="false" ht="15" hidden="false" customHeight="false" outlineLevel="0" collapsed="false">
      <c r="Z59" s="0" t="s">
        <v>56</v>
      </c>
    </row>
    <row r="60" customFormat="false" ht="15" hidden="false" customHeight="false" outlineLevel="0" collapsed="false">
      <c r="Z60" s="0" t="s">
        <v>57</v>
      </c>
    </row>
    <row r="61" customFormat="false" ht="15" hidden="false" customHeight="false" outlineLevel="0" collapsed="false">
      <c r="Z61" s="0" t="s">
        <v>59</v>
      </c>
    </row>
    <row r="62" customFormat="false" ht="15" hidden="false" customHeight="false" outlineLevel="0" collapsed="false">
      <c r="Z62" s="0" t="s">
        <v>60</v>
      </c>
    </row>
    <row r="63" customFormat="false" ht="15" hidden="false" customHeight="false" outlineLevel="0" collapsed="false">
      <c r="Z63" s="0" t="s">
        <v>61</v>
      </c>
    </row>
  </sheetData>
  <mergeCells count="18">
    <mergeCell ref="B2:G2"/>
    <mergeCell ref="B3:G3"/>
    <mergeCell ref="B4:G4"/>
    <mergeCell ref="B5:G5"/>
    <mergeCell ref="B6:G6"/>
    <mergeCell ref="B7:G7"/>
    <mergeCell ref="B9:G9"/>
    <mergeCell ref="B10:G10"/>
    <mergeCell ref="B12:G12"/>
    <mergeCell ref="B19:G19"/>
    <mergeCell ref="B24:G24"/>
    <mergeCell ref="B25:G25"/>
    <mergeCell ref="B29:G29"/>
    <mergeCell ref="B38:G38"/>
    <mergeCell ref="B39:G41"/>
    <mergeCell ref="B42:G42"/>
    <mergeCell ref="B44:G44"/>
    <mergeCell ref="B46:G46"/>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20">
    <cfRule type="expression" priority="12" aboveAverage="0" equalAverage="0" bottom="0" percent="0" rank="0" text="" dxfId="0">
      <formula>LEFT(G20,6)="Riktig"</formula>
    </cfRule>
    <cfRule type="expression" priority="13" aboveAverage="0" equalAverage="0" bottom="0" percent="0" rank="0" text="" dxfId="1">
      <formula>LEFT(G20,4)="Ikke"</formula>
    </cfRule>
  </conditionalFormatting>
  <conditionalFormatting sqref="G21">
    <cfRule type="expression" priority="14" aboveAverage="0" equalAverage="0" bottom="0" percent="0" rank="0" text="" dxfId="0">
      <formula>LEFT(G21,6)="Riktig"</formula>
    </cfRule>
    <cfRule type="expression" priority="15" aboveAverage="0" equalAverage="0" bottom="0" percent="0" rank="0" text="" dxfId="1">
      <formula>LEFT(G21,4)="Ikke"</formula>
    </cfRule>
  </conditionalFormatting>
  <conditionalFormatting sqref="G22">
    <cfRule type="expression" priority="16" aboveAverage="0" equalAverage="0" bottom="0" percent="0" rank="0" text="" dxfId="0">
      <formula>LEFT(G22,6)="Riktig"</formula>
    </cfRule>
    <cfRule type="expression" priority="17" aboveAverage="0" equalAverage="0" bottom="0" percent="0" rank="0" text="" dxfId="1">
      <formula>LEFT(G22,4)="Ikke"</formula>
    </cfRule>
  </conditionalFormatting>
  <conditionalFormatting sqref="G26">
    <cfRule type="expression" priority="18" aboveAverage="0" equalAverage="0" bottom="0" percent="0" rank="0" text="" dxfId="0">
      <formula>LEFT(G26,6)="Riktig"</formula>
    </cfRule>
    <cfRule type="expression" priority="19" aboveAverage="0" equalAverage="0" bottom="0" percent="0" rank="0" text="" dxfId="1">
      <formula>AND(G26&lt;&gt;"",LEFT(G26,6)&lt;&gt;"Riktig",LEFT(G26,5)&lt;&gt;"Skriv")</formula>
    </cfRule>
  </conditionalFormatting>
  <conditionalFormatting sqref="G27">
    <cfRule type="expression" priority="20" aboveAverage="0" equalAverage="0" bottom="0" percent="0" rank="0" text="" dxfId="0">
      <formula>LEFT(G27,6)="Riktig"</formula>
    </cfRule>
    <cfRule type="expression" priority="21" aboveAverage="0" equalAverage="0" bottom="0" percent="0" rank="0" text="" dxfId="1">
      <formula>AND(G27&lt;&gt;"",LEFT(G27,6)&lt;&gt;"Riktig",LEFT(G27,5)&lt;&gt;"Skriv")</formula>
    </cfRule>
  </conditionalFormatting>
  <conditionalFormatting sqref="G30">
    <cfRule type="expression" priority="22" aboveAverage="0" equalAverage="0" bottom="0" percent="0" rank="0" text="" dxfId="0">
      <formula>LEFT(G30,6)="Riktig"</formula>
    </cfRule>
    <cfRule type="expression" priority="23" aboveAverage="0" equalAverage="0" bottom="0" percent="0" rank="0" text="" dxfId="1">
      <formula>LEFT(G30,4)="Ikke"</formula>
    </cfRule>
  </conditionalFormatting>
  <conditionalFormatting sqref="G31">
    <cfRule type="expression" priority="24" aboveAverage="0" equalAverage="0" bottom="0" percent="0" rank="0" text="" dxfId="0">
      <formula>LEFT(G31,6)="Riktig"</formula>
    </cfRule>
    <cfRule type="expression" priority="25" aboveAverage="0" equalAverage="0" bottom="0" percent="0" rank="0" text="" dxfId="1">
      <formula>LEFT(G31,4)="Ikke"</formula>
    </cfRule>
  </conditionalFormatting>
  <conditionalFormatting sqref="G32">
    <cfRule type="expression" priority="26" aboveAverage="0" equalAverage="0" bottom="0" percent="0" rank="0" text="" dxfId="0">
      <formula>LEFT(G32,6)="Riktig"</formula>
    </cfRule>
    <cfRule type="expression" priority="27" aboveAverage="0" equalAverage="0" bottom="0" percent="0" rank="0" text="" dxfId="1">
      <formula>LEFT(G32,4)="Ikke"</formula>
    </cfRule>
  </conditionalFormatting>
  <conditionalFormatting sqref="G33">
    <cfRule type="expression" priority="28" aboveAverage="0" equalAverage="0" bottom="0" percent="0" rank="0" text="" dxfId="0">
      <formula>LEFT(G33,6)="Riktig"</formula>
    </cfRule>
    <cfRule type="expression" priority="29" aboveAverage="0" equalAverage="0" bottom="0" percent="0" rank="0" text="" dxfId="1">
      <formula>LEFT(G33,4)="Ikke"</formula>
    </cfRule>
  </conditionalFormatting>
  <conditionalFormatting sqref="G34">
    <cfRule type="expression" priority="30" aboveAverage="0" equalAverage="0" bottom="0" percent="0" rank="0" text="" dxfId="0">
      <formula>LEFT(G34,6)="Riktig"</formula>
    </cfRule>
    <cfRule type="expression" priority="31" aboveAverage="0" equalAverage="0" bottom="0" percent="0" rank="0" text="" dxfId="1">
      <formula>LEFT(G34,4)="Ikke"</formula>
    </cfRule>
  </conditionalFormatting>
  <conditionalFormatting sqref="G36">
    <cfRule type="expression" priority="32" aboveAverage="0" equalAverage="0" bottom="0" percent="0" rank="0" text="" dxfId="0">
      <formula>LEFT(G36,6)="Riktig"</formula>
    </cfRule>
    <cfRule type="expression" priority="33" aboveAverage="0" equalAverage="0" bottom="0" percent="0" rank="0" text="" dxfId="1">
      <formula>LEFT(G36,4)="Ikke"</formula>
    </cfRule>
  </conditionalFormatting>
  <dataValidations count="15">
    <dataValidation allowBlank="true" errorStyle="stop" operator="between" showDropDown="false" showErrorMessage="false" showInputMessage="false" sqref="C13" type="list">
      <formula1>$Z$1:$Z$5</formula1>
      <formula2>0</formula2>
    </dataValidation>
    <dataValidation allowBlank="true" errorStyle="stop" operator="between" showDropDown="false" showErrorMessage="false" showInputMessage="false" sqref="C14" type="list">
      <formula1>$Z$6:$Z$10</formula1>
      <formula2>0</formula2>
    </dataValidation>
    <dataValidation allowBlank="true" errorStyle="stop" operator="between" showDropDown="false" showErrorMessage="false" showInputMessage="false" sqref="C15" type="list">
      <formula1>$Z$11:$Z$15</formula1>
      <formula2>0</formula2>
    </dataValidation>
    <dataValidation allowBlank="true" errorStyle="stop" operator="between" showDropDown="false" showErrorMessage="false" showInputMessage="false" sqref="C16" type="list">
      <formula1>$Z$16:$Z$20</formula1>
      <formula2>0</formula2>
    </dataValidation>
    <dataValidation allowBlank="true" errorStyle="stop" operator="between" showDropDown="false" showErrorMessage="false" showInputMessage="false" sqref="C17" type="list">
      <formula1>$Z$21:$Z$25</formula1>
      <formula2>0</formula2>
    </dataValidation>
    <dataValidation allowBlank="true" errorStyle="stop" operator="between" showDropDown="false" showErrorMessage="false" showInputMessage="false" sqref="C20" type="list">
      <formula1>$Z$26:$Z$30</formula1>
      <formula2>0</formula2>
    </dataValidation>
    <dataValidation allowBlank="true" errorStyle="stop" operator="between" showDropDown="false" showErrorMessage="false" showInputMessage="false" sqref="C21" type="list">
      <formula1>$Z$31:$Z$35</formula1>
      <formula2>0</formula2>
    </dataValidation>
    <dataValidation allowBlank="true" errorStyle="stop" operator="between" showDropDown="false" showErrorMessage="false" showInputMessage="false" sqref="C22" type="list">
      <formula1>$Z$36:$Z$40</formula1>
      <formula2>0</formula2>
    </dataValidation>
    <dataValidation allowBlank="true" errorStyle="stop" operator="between" showDropDown="false" showErrorMessage="false" showInputMessage="false" sqref="C30" type="list">
      <formula1>$Z$41:$Z$44</formula1>
      <formula2>0</formula2>
    </dataValidation>
    <dataValidation allowBlank="true" errorStyle="stop" operator="between" showDropDown="false" showErrorMessage="false" showInputMessage="false" sqref="C31" type="list">
      <formula1>$Z$45:$Z$48</formula1>
      <formula2>0</formula2>
    </dataValidation>
    <dataValidation allowBlank="true" errorStyle="stop" operator="between" showDropDown="false" showErrorMessage="false" showInputMessage="false" sqref="C32" type="list">
      <formula1>$Z$49:$Z$52</formula1>
      <formula2>0</formula2>
    </dataValidation>
    <dataValidation allowBlank="true" errorStyle="stop" operator="between" showDropDown="false" showErrorMessage="false" showInputMessage="false" sqref="C33" type="list">
      <formula1>$Z$53:$Z$56</formula1>
      <formula2>0</formula2>
    </dataValidation>
    <dataValidation allowBlank="true" errorStyle="stop" operator="between" showDropDown="false" showErrorMessage="false" showInputMessage="false" sqref="C34" type="list">
      <formula1>$Z$57:$Z$60</formula1>
      <formula2>0</formula2>
    </dataValidation>
    <dataValidation allowBlank="true" errorStyle="stop" operator="between" showDropDown="false" showErrorMessage="false" showInputMessage="false" sqref="C36" type="list">
      <formula1>$Z$61:$Z$63</formula1>
      <formula2>0</formula2>
    </dataValidation>
    <dataValidation allowBlank="true" errorStyle="stop" operator="between" showDropDown="false" showErrorMessage="false" showInputMessage="false" sqref="C43"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62</v>
      </c>
    </row>
    <row r="2" customFormat="false" ht="25.5" hidden="false" customHeight="true" outlineLevel="0" collapsed="false">
      <c r="B2" s="5" t="s">
        <v>63</v>
      </c>
      <c r="C2" s="5"/>
      <c r="D2" s="5"/>
      <c r="E2" s="5"/>
      <c r="F2" s="5"/>
      <c r="G2" s="5"/>
      <c r="Z2" s="6" t="s">
        <v>53</v>
      </c>
    </row>
    <row r="3" customFormat="false" ht="15" hidden="false" customHeight="true" outlineLevel="0" collapsed="false">
      <c r="B3" s="7" t="s">
        <v>64</v>
      </c>
      <c r="C3" s="7"/>
      <c r="D3" s="7"/>
      <c r="E3" s="7"/>
      <c r="F3" s="7"/>
      <c r="G3" s="7"/>
      <c r="Z3" s="6" t="s">
        <v>54</v>
      </c>
    </row>
    <row r="4" customFormat="false" ht="15.75" hidden="false" customHeight="true" outlineLevel="0" collapsed="false">
      <c r="B4" s="8" t="s">
        <v>17</v>
      </c>
      <c r="C4" s="8"/>
      <c r="D4" s="8"/>
      <c r="E4" s="8"/>
      <c r="F4" s="8"/>
      <c r="G4" s="8"/>
      <c r="Z4" s="6" t="s">
        <v>56</v>
      </c>
    </row>
    <row r="5" customFormat="false" ht="90" hidden="false" customHeight="true" outlineLevel="0" collapsed="false">
      <c r="B5" s="9" t="s">
        <v>65</v>
      </c>
      <c r="C5" s="9"/>
      <c r="D5" s="9"/>
      <c r="E5" s="9"/>
      <c r="F5" s="9"/>
      <c r="G5" s="9"/>
      <c r="Z5" s="6" t="s">
        <v>66</v>
      </c>
    </row>
    <row r="6" customFormat="false" ht="15.75" hidden="false" customHeight="true" outlineLevel="0" collapsed="false">
      <c r="B6" s="8" t="s">
        <v>21</v>
      </c>
      <c r="C6" s="8"/>
      <c r="D6" s="8"/>
      <c r="E6" s="8"/>
      <c r="F6" s="8"/>
      <c r="G6" s="8"/>
      <c r="Z6" s="6" t="s">
        <v>67</v>
      </c>
    </row>
    <row r="7" customFormat="false" ht="105" hidden="false" customHeight="true" outlineLevel="0" collapsed="false">
      <c r="B7" s="9" t="s">
        <v>68</v>
      </c>
      <c r="C7" s="9"/>
      <c r="D7" s="9"/>
      <c r="E7" s="9"/>
      <c r="F7" s="9"/>
      <c r="G7" s="9"/>
      <c r="Z7" s="6" t="s">
        <v>69</v>
      </c>
    </row>
    <row r="8" customFormat="false" ht="15" hidden="false" customHeight="false" outlineLevel="0" collapsed="false">
      <c r="Z8" s="0" t="s">
        <v>62</v>
      </c>
    </row>
    <row r="9" customFormat="false" ht="15.75" hidden="false" customHeight="true" outlineLevel="0" collapsed="false">
      <c r="B9" s="8" t="s">
        <v>23</v>
      </c>
      <c r="C9" s="8"/>
      <c r="D9" s="8"/>
      <c r="E9" s="8"/>
      <c r="F9" s="8"/>
      <c r="G9" s="8"/>
      <c r="Z9" s="6" t="s">
        <v>53</v>
      </c>
    </row>
    <row r="10" customFormat="false" ht="96" hidden="false" customHeight="true" outlineLevel="0" collapsed="false">
      <c r="B10" s="9" t="s">
        <v>70</v>
      </c>
      <c r="C10" s="9"/>
      <c r="D10" s="9"/>
      <c r="E10" s="9"/>
      <c r="F10" s="9"/>
      <c r="G10" s="9"/>
      <c r="Z10" s="6" t="s">
        <v>54</v>
      </c>
    </row>
    <row r="11" customFormat="false" ht="15" hidden="false" customHeight="false" outlineLevel="0" collapsed="false">
      <c r="Z11" s="0" t="s">
        <v>56</v>
      </c>
    </row>
    <row r="12" customFormat="false" ht="15" hidden="false" customHeight="true" outlineLevel="0" collapsed="false">
      <c r="B12" s="10" t="s">
        <v>71</v>
      </c>
      <c r="C12" s="10"/>
      <c r="D12" s="10"/>
      <c r="E12" s="10"/>
      <c r="F12" s="10"/>
      <c r="G12" s="10"/>
      <c r="Z12" s="6" t="s">
        <v>66</v>
      </c>
    </row>
    <row r="13" customFormat="false" ht="39.75" hidden="false" customHeight="true" outlineLevel="0" collapsed="false">
      <c r="B13" s="11" t="s">
        <v>72</v>
      </c>
      <c r="C13" s="12"/>
      <c r="G13" s="13" t="str">
        <f aca="false">IF(C13="","Velg i nedtrekksmenyen.",IF(C13="Initiativtager","Riktig. Initiativtager (2.5): den som setter kjøpet i gang ved å melde behovet.","Ikke riktig. Initiativtager (2.5): den som setter kjøpet i gang ved å melde behovet."))</f>
        <v>Velg i nedtrekksmenyen.</v>
      </c>
      <c r="Z13" s="6" t="s">
        <v>67</v>
      </c>
    </row>
    <row r="14" customFormat="false" ht="39.75" hidden="false" customHeight="true" outlineLevel="0" collapsed="false">
      <c r="B14" s="11" t="s">
        <v>73</v>
      </c>
      <c r="C14" s="12"/>
      <c r="G14" s="13" t="str">
        <f aca="false">IF(C14="","Velg i nedtrekksmenyen.",IF(C14="Påvirker","Riktig. Påvirker (2.5): en ekstern konsulent som gir råd til beslutningstagere og godkjennere. Boka sier at slike funksjoner settes ut ved større kjøp.","Ikke riktig. Påvirker (2.5): en ekstern konsulent som gir råd til beslutningstagere og godkjennere. Boka sier at slike funksjoner settes ut ved større kjøp."))</f>
        <v>Velg i nedtrekksmenyen.</v>
      </c>
      <c r="Z14" s="6" t="s">
        <v>69</v>
      </c>
    </row>
    <row r="15" customFormat="false" ht="39.75" hidden="false" customHeight="true" outlineLevel="0" collapsed="false">
      <c r="B15" s="11" t="s">
        <v>74</v>
      </c>
      <c r="C15" s="12"/>
      <c r="G15" s="13" t="str">
        <f aca="false">IF(C15="","Velg i nedtrekksmenyen.",IF(C15="Bruker","Riktig. Bruker (2.5): de som skal bruke anlegget etter overtakelse. De sitter sjelden i møtene, men kravene deres står i kravspesifikasjonen.","Ikke riktig. Bruker (2.5): de som skal bruke anlegget etter overtakelse. De sitter sjelden i møtene, men kravene deres står i kravspesifikasjonen."))</f>
        <v>Velg i nedtrekksmenyen.</v>
      </c>
      <c r="Z15" s="6" t="s">
        <v>62</v>
      </c>
    </row>
    <row r="16" customFormat="false" ht="39.75" hidden="false" customHeight="true" outlineLevel="0" collapsed="false">
      <c r="B16" s="11" t="s">
        <v>75</v>
      </c>
      <c r="C16" s="12"/>
      <c r="G16" s="13" t="str">
        <f aca="false">IF(C16="","Velg i nedtrekksmenyen.",IF(C16="Beslutningstager","Riktig. Beslutningstager (2.5): den som avgjør valget av leverandør.","Ikke riktig. Beslutningstager (2.5): den som avgjør valget av leverandør."))</f>
        <v>Velg i nedtrekksmenyen.</v>
      </c>
      <c r="Z16" s="6" t="s">
        <v>53</v>
      </c>
    </row>
    <row r="17" customFormat="false" ht="39.75" hidden="false" customHeight="true" outlineLevel="0" collapsed="false">
      <c r="B17" s="11" t="s">
        <v>76</v>
      </c>
      <c r="C17" s="12"/>
      <c r="G17" s="13" t="str">
        <f aca="false">IF(C17="","Velg i nedtrekksmenyen.",IF(C17="Godkjenner","Riktig. Godkjenner (2.5): den som kan si nei. I totalentreprise velger totalentreprenøren sine underentreprenører; byggherren Kruttverket kan bare nekte med saklig grunn.","Ikke riktig. Godkjenner (2.5): den som kan si nei. I totalentreprise velger totalentreprenøren sine underentreprenører; byggherren Kruttverket kan bare nekte med saklig grunn."))</f>
        <v>Velg i nedtrekksmenyen.</v>
      </c>
      <c r="Z17" s="6" t="s">
        <v>54</v>
      </c>
    </row>
    <row r="18" customFormat="false" ht="39.75" hidden="false" customHeight="true" outlineLevel="0" collapsed="false">
      <c r="B18" s="11" t="s">
        <v>77</v>
      </c>
      <c r="C18" s="12"/>
      <c r="G18" s="13" t="str">
        <f aca="false">IF(C18="","Velg i nedtrekksmenyen.",IF(C18="Innkjøper","Riktig. Innkjøper (2.5): den som gjennomfører anskaffelsen etter rutinene.","Ikke riktig. Innkjøper (2.5): den som gjennomfører anskaffelsen etter rutinene."))</f>
        <v>Velg i nedtrekksmenyen.</v>
      </c>
      <c r="Z18" s="6" t="s">
        <v>56</v>
      </c>
    </row>
    <row r="19" customFormat="false" ht="39.75" hidden="false" customHeight="true" outlineLevel="0" collapsed="false">
      <c r="B19" s="11" t="s">
        <v>78</v>
      </c>
      <c r="C19" s="12"/>
      <c r="G19" s="13" t="str">
        <f aca="false">IF(C19="","Velg i nedtrekksmenyen.",IF(C19="Portvakt","Riktig. Portvakt (2.5): skiller interessante henvendelser fra mindre interessante. Boka: leverandøren må bygge gode relasjoner med portvakten.","Ikke riktig. Portvakt (2.5): skiller interessante henvendelser fra mindre interessante. Boka: leverandøren må bygge gode relasjoner med portvakten."))</f>
        <v>Velg i nedtrekksmenyen.</v>
      </c>
      <c r="Z19" s="6" t="s">
        <v>66</v>
      </c>
    </row>
    <row r="20" customFormat="false" ht="15" hidden="false" customHeight="false" outlineLevel="0" collapsed="false">
      <c r="Z20" s="0" t="s">
        <v>67</v>
      </c>
    </row>
    <row r="21" customFormat="false" ht="15" hidden="false" customHeight="true" outlineLevel="0" collapsed="false">
      <c r="B21" s="10" t="s">
        <v>79</v>
      </c>
      <c r="C21" s="10"/>
      <c r="D21" s="10"/>
      <c r="E21" s="10"/>
      <c r="F21" s="10"/>
      <c r="G21" s="10"/>
      <c r="Z21" s="6" t="s">
        <v>69</v>
      </c>
    </row>
    <row r="22" customFormat="false" ht="39.75" hidden="false" customHeight="true" outlineLevel="0" collapsed="false">
      <c r="B22" s="11" t="s">
        <v>80</v>
      </c>
      <c r="C22" s="12"/>
      <c r="G22" s="13" t="str">
        <f aca="false">IF(C22="","Velg i nedtrekksmenyen.",IF(C22="Nyanskaffelse","Riktig. Nyanskaffelse (2.4): et kjøp bedriften ikke har gjort før, med liten kjennskap til alternativene og leverandørene. Boka: ethvert byggeprosjekt skiller seg fra tidligere og er en nyanskaffelse. Hele åttetrinnsprosessen brukes.","Ikke riktig. Nyanskaffelse (2.4): et kjøp bedriften ikke har gjort før, med liten kjennskap til alternativene og leverandørene. Boka: ethvert byggeprosjekt skiller seg fra tidligere og er en nyanskaffelse. Hele åttetrinnsprosessen brukes."))</f>
        <v>Velg i nedtrekksmenyen.</v>
      </c>
      <c r="Z22" s="6" t="s">
        <v>62</v>
      </c>
    </row>
    <row r="23" customFormat="false" ht="39.75" hidden="false" customHeight="true" outlineLevel="0" collapsed="false">
      <c r="B23" s="11" t="s">
        <v>81</v>
      </c>
      <c r="C23" s="12"/>
      <c r="G23" s="13" t="str">
        <f aca="false">IF(C23="","Velg i nedtrekksmenyen.",IF(C23="Rent gjenkjøp","Riktig. Rent gjenkjøp (2.4): løpende avtale, leveransene går nærmest automatisk. En ny leverandør kommer ikke inn før avtalen utløper.","Ikke riktig. Rent gjenkjøp (2.4): løpende avtale, leveransene går nærmest automatisk. En ny leverandør kommer ikke inn før avtalen utløper."))</f>
        <v>Velg i nedtrekksmenyen.</v>
      </c>
      <c r="Z23" s="6" t="s">
        <v>53</v>
      </c>
    </row>
    <row r="24" customFormat="false" ht="39.75" hidden="false" customHeight="true" outlineLevel="0" collapsed="false">
      <c r="B24" s="11" t="s">
        <v>82</v>
      </c>
      <c r="C24" s="12"/>
      <c r="G24" s="13" t="str">
        <f aca="false">IF(C24="","Velg i nedtrekksmenyen.",IF(C24="Overveid gjenkjøp","Riktig. Overveid gjenkjøp (2.4): kjøpt før, men en stund siden; bedriften orienterer seg i markedet på nytt. At instrumentet er nytt, gjør det ikke til en nyanskaffelse; det avgjørende er om bedriften har gjort kjøpet før.","Ikke riktig. Overveid gjenkjøp (2.4): kjøpt før, men en stund siden; bedriften orienterer seg i markedet på nytt. At instrumentet er nytt, gjør det ikke til en nyanskaffelse; det avgjørende er om bedriften har gjort kjøpet før."))</f>
        <v>Velg i nedtrekksmenyen.</v>
      </c>
      <c r="Z24" s="6" t="s">
        <v>54</v>
      </c>
    </row>
    <row r="25" customFormat="false" ht="39.75" hidden="false" customHeight="true" outlineLevel="0" collapsed="false">
      <c r="B25" s="11" t="s">
        <v>83</v>
      </c>
      <c r="C25" s="12"/>
      <c r="G25" s="13" t="str">
        <f aca="false">IF(C25="","Velg i nedtrekksmenyen.",IF(C25="Nyanskaffelse","Riktig. Nyanskaffelse (2.4): Nordlys har ikke gjort kjøpet før. Usikkerheten er størst, og liften påvirker kvaliteten og sikkerheten i leveransen direkte.","Ikke riktig. Nyanskaffelse (2.4): Nordlys har ikke gjort kjøpet før. Usikkerheten er størst, og liften påvirker kvaliteten og sikkerheten i leveransen direkte."))</f>
        <v>Velg i nedtrekksmenyen.</v>
      </c>
      <c r="Z25" s="6" t="s">
        <v>56</v>
      </c>
    </row>
    <row r="26" customFormat="false" ht="15" hidden="false" customHeight="false" outlineLevel="0" collapsed="false">
      <c r="Z26" s="0" t="s">
        <v>66</v>
      </c>
    </row>
    <row r="27" customFormat="false" ht="15.75" hidden="false" customHeight="true" outlineLevel="0" collapsed="false">
      <c r="B27" s="8" t="s">
        <v>84</v>
      </c>
      <c r="C27" s="8"/>
      <c r="D27" s="8"/>
      <c r="E27" s="8"/>
      <c r="F27" s="8"/>
      <c r="G27" s="8"/>
      <c r="Z27" s="6" t="s">
        <v>67</v>
      </c>
    </row>
    <row r="28" customFormat="false" ht="45" hidden="false" customHeight="true" outlineLevel="0" collapsed="false">
      <c r="B28" s="9" t="s">
        <v>85</v>
      </c>
      <c r="C28" s="9"/>
      <c r="D28" s="9"/>
      <c r="E28" s="9"/>
      <c r="F28" s="9"/>
      <c r="G28" s="9"/>
      <c r="Z28" s="6" t="s">
        <v>69</v>
      </c>
    </row>
    <row r="29" customFormat="false" ht="43.5" hidden="false" customHeight="true" outlineLevel="0" collapsed="false">
      <c r="B29" s="11" t="s">
        <v>86</v>
      </c>
      <c r="C29" s="20"/>
      <c r="D29" s="15" t="s">
        <v>87</v>
      </c>
      <c r="G29" s="13" t="str">
        <f aca="false">IF(C29="","Skriv svaret i den gule cellen.",IF(ABS(C29-(ROUND(1800/14400*100,1)))&lt;=0.05,"Riktig.",IF(ABS(C29-(ROUND(1800/7200*100,1)))&lt;=0.05,"Du har delt på timene i et halvt år. Spørsmålet gjelder årskapasiteten, 14 400 timer.",IF(ABS(C29-(ROUND(1800/14400,3)))&lt;=0.05,"Det er andelen som brøk. Gang med 100 og svar i prosent.",IF(ABS(C29-(ROUND(14400/1800,1)))&lt;=0.05,"Du har delt motsatt vei. Prosjektets timer skal deles på Nordlys' timer.","Ikke riktig ennå. Se på regnestykket øverst på fanen, og sjekk at du har med alle leddene.")))))</f>
        <v>Skriv svaret i den gule cellen.</v>
      </c>
      <c r="Z29" s="6" t="s">
        <v>62</v>
      </c>
    </row>
    <row r="30" customFormat="false" ht="15" hidden="false" customHeight="false" outlineLevel="0" collapsed="false">
      <c r="Z30" s="0" t="s">
        <v>53</v>
      </c>
    </row>
    <row r="31" customFormat="false" ht="15" hidden="false" customHeight="true" outlineLevel="0" collapsed="false">
      <c r="B31" s="10" t="s">
        <v>88</v>
      </c>
      <c r="C31" s="10"/>
      <c r="D31" s="10"/>
      <c r="E31" s="10"/>
      <c r="F31" s="10"/>
      <c r="G31" s="10"/>
      <c r="Z31" s="6" t="s">
        <v>54</v>
      </c>
    </row>
    <row r="32" customFormat="false" ht="39.75" hidden="false" customHeight="true" outlineLevel="0" collapsed="false">
      <c r="B32" s="11" t="s">
        <v>89</v>
      </c>
      <c r="C32" s="12"/>
      <c r="G32" s="13" t="str">
        <f aca="false">IF(C32="","Velg i nedtrekksmenyen.",IF(C32="3 Kravspesifikasjon","Riktig. Trinn 3, kravspesifikasjon (tabell 2.1): kravlista settes opp sammen med arkitekt og konsulenter før leverandørene kommer inn.","Ikke riktig. Trinn 3, kravspesifikasjon (tabell 2.1): kravlista settes opp sammen med arkitekt og konsulenter før leverandørene kommer inn."))</f>
        <v>Velg i nedtrekksmenyen.</v>
      </c>
      <c r="Z32" s="6" t="s">
        <v>56</v>
      </c>
    </row>
    <row r="33" customFormat="false" ht="39.75" hidden="false" customHeight="true" outlineLevel="0" collapsed="false">
      <c r="B33" s="11" t="s">
        <v>90</v>
      </c>
      <c r="C33" s="12"/>
      <c r="G33" s="13" t="str">
        <f aca="false">IF(C33="","Velg i nedtrekksmenyen.",IF(C33="4 Søk etter leverandør","Riktig. Trinn 4, søk etter leverandør (tabell 2.1): en «longlist» som kortes ned til en «shortlist». Her kommer Nordlys inn, og kravene er allerede skrevet.","Ikke riktig. Trinn 4, søk etter leverandør (tabell 2.1): en «longlist» som kortes ned til en «shortlist». Her kommer Nordlys inn, og kravene er allerede skrevet."))</f>
        <v>Velg i nedtrekksmenyen.</v>
      </c>
      <c r="Z33" s="6" t="s">
        <v>66</v>
      </c>
    </row>
    <row r="34" customFormat="false" ht="39.75" hidden="false" customHeight="true" outlineLevel="0" collapsed="false">
      <c r="B34" s="11" t="s">
        <v>91</v>
      </c>
      <c r="C34" s="12"/>
      <c r="G34" s="13" t="str">
        <f aca="false">IF(C34="","Velg i nedtrekksmenyen.",IF(C34="8 Evaluering","Riktig. Trinn 8, evaluering (tabell 2.1): underveis og ved avslutning, mot de samme tekniske, økonomiske og tidsplanmessige kravene.","Ikke riktig. Trinn 8, evaluering (tabell 2.1): underveis og ved avslutning, mot de samme tekniske, økonomiske og tidsplanmessige kravene."))</f>
        <v>Velg i nedtrekksmenyen.</v>
      </c>
      <c r="Z34" s="6" t="s">
        <v>67</v>
      </c>
    </row>
    <row r="35" customFormat="false" ht="15" hidden="false" customHeight="false" outlineLevel="0" collapsed="false">
      <c r="Z35" s="0" t="s">
        <v>69</v>
      </c>
    </row>
    <row r="36" customFormat="false" ht="15" hidden="false" customHeight="true" outlineLevel="0" collapsed="false">
      <c r="B36" s="10" t="s">
        <v>92</v>
      </c>
      <c r="C36" s="10"/>
      <c r="D36" s="10"/>
      <c r="E36" s="10"/>
      <c r="F36" s="10"/>
      <c r="G36" s="10"/>
      <c r="Z36" s="6" t="s">
        <v>62</v>
      </c>
    </row>
    <row r="37" customFormat="false" ht="39.75" hidden="false" customHeight="true" outlineLevel="0" collapsed="false">
      <c r="B37" s="11" t="s">
        <v>93</v>
      </c>
      <c r="C37" s="12"/>
      <c r="G37" s="13" t="str">
        <f aca="false">IF(C37="","Velg i nedtrekksmenyen.",IF(C37="Kortsiktig produksjonsvare","Riktig. Kortsiktig produksjonsvare (2.4): materialer til et byggeprosjekt er råvarer som inngår i egen produksjon.","Ikke riktig. Kortsiktig produksjonsvare (2.4): materialer til et byggeprosjekt er råvarer som inngår i egen produksjon."))</f>
        <v>Velg i nedtrekksmenyen.</v>
      </c>
      <c r="Z37" s="6" t="s">
        <v>53</v>
      </c>
    </row>
    <row r="38" customFormat="false" ht="39.75" hidden="false" customHeight="true" outlineLevel="0" collapsed="false">
      <c r="B38" s="11" t="s">
        <v>94</v>
      </c>
      <c r="C38" s="12"/>
      <c r="G38" s="13" t="str">
        <f aca="false">IF(C38="","Velg i nedtrekksmenyen.",IF(C38="Langsiktig produksjonsvare","Riktig. Langsiktig produksjonsvare (2.4): anleggsmaskiner og andre maskiner.","Ikke riktig. Langsiktig produksjonsvare (2.4): anleggsmaskiner og andre maskiner."))</f>
        <v>Velg i nedtrekksmenyen.</v>
      </c>
      <c r="Z38" s="6" t="s">
        <v>54</v>
      </c>
    </row>
    <row r="39" customFormat="false" ht="39.75" hidden="false" customHeight="true" outlineLevel="0" collapsed="false">
      <c r="B39" s="11" t="s">
        <v>95</v>
      </c>
      <c r="C39" s="12"/>
      <c r="G39" s="13" t="str">
        <f aca="false">IF(C39="","Velg i nedtrekksmenyen.",IF(C39="Langsiktig institusjonsvare","Riktig. Langsiktig institusjonsvare (2.4): inventar og datamaskiner trengs for at virksomheten skal fungere, men inngår ikke i produksjonen.","Ikke riktig. Langsiktig institusjonsvare (2.4): inventar og datamaskiner trengs for at virksomheten skal fungere, men inngår ikke i produksjonen."))</f>
        <v>Velg i nedtrekksmenyen.</v>
      </c>
      <c r="Z39" s="6" t="s">
        <v>56</v>
      </c>
    </row>
    <row r="40" customFormat="false" ht="39.75" hidden="false" customHeight="true" outlineLevel="0" collapsed="false">
      <c r="B40" s="11" t="s">
        <v>96</v>
      </c>
      <c r="C40" s="12"/>
      <c r="G40" s="13" t="str">
        <f aca="false">IF(C40="","Velg i nedtrekksmenyen.",IF(C40="Kortsiktig institusjonsvare","Riktig. Kortsiktig institusjonsvare (2.4): kontorrekvisita.","Ikke riktig. Kortsiktig institusjonsvare (2.4): kontorrekvisita."))</f>
        <v>Velg i nedtrekksmenyen.</v>
      </c>
      <c r="Z40" s="6" t="s">
        <v>66</v>
      </c>
    </row>
    <row r="41" customFormat="false" ht="39.75" hidden="false" customHeight="true" outlineLevel="0" collapsed="false">
      <c r="B41" s="11" t="s">
        <v>97</v>
      </c>
      <c r="C41" s="12"/>
      <c r="G41" s="13" t="str">
        <f aca="false">IF(C41="","Velg i nedtrekksmenyen.",IF(C41="Tjeneste","Riktig. Tjeneste knyttet til produksjonen (2.4): som når en entreprenør kjøper ingeniørtjenester til bygging. Den inngår i det kunden får levert, og derfor kjøpes den grundig.","Ikke riktig. Tjeneste knyttet til produksjonen (2.4): som når en entreprenør kjøper ingeniørtjenester til bygging. Den inngår i det kunden får levert, og derfor kjøpes den grundig."))</f>
        <v>Velg i nedtrekksmenyen.</v>
      </c>
      <c r="Z41" s="6" t="s">
        <v>67</v>
      </c>
    </row>
    <row r="42" customFormat="false" ht="15" hidden="false" customHeight="false" outlineLevel="0" collapsed="false">
      <c r="Z42" s="0" t="s">
        <v>69</v>
      </c>
    </row>
    <row r="43" customFormat="false" ht="15.75" hidden="false" customHeight="true" outlineLevel="0" collapsed="false">
      <c r="B43" s="8" t="s">
        <v>98</v>
      </c>
      <c r="C43" s="8"/>
      <c r="D43" s="8"/>
      <c r="E43" s="8"/>
      <c r="F43" s="8"/>
      <c r="G43" s="8"/>
      <c r="Z43" s="6" t="s">
        <v>62</v>
      </c>
    </row>
    <row r="44" customFormat="false" ht="60" hidden="false" customHeight="true" outlineLevel="0" collapsed="false">
      <c r="B44" s="9" t="s">
        <v>99</v>
      </c>
      <c r="C44" s="9"/>
      <c r="D44" s="9"/>
      <c r="E44" s="9"/>
      <c r="F44" s="9"/>
      <c r="G44" s="9"/>
      <c r="Z44" s="6" t="s">
        <v>53</v>
      </c>
    </row>
    <row r="45" customFormat="false" ht="30" hidden="false" customHeight="true" outlineLevel="0" collapsed="false">
      <c r="B45" s="9" t="s">
        <v>100</v>
      </c>
      <c r="C45" s="9"/>
      <c r="D45" s="9"/>
      <c r="E45" s="9"/>
      <c r="F45" s="9"/>
      <c r="G45" s="9"/>
      <c r="Z45" s="6" t="s">
        <v>54</v>
      </c>
    </row>
    <row r="46" customFormat="false" ht="21.75" hidden="false" customHeight="true" outlineLevel="0" collapsed="false">
      <c r="B46" s="16"/>
      <c r="C46" s="16"/>
      <c r="D46" s="16"/>
      <c r="E46" s="16"/>
      <c r="F46" s="16"/>
      <c r="G46" s="16"/>
      <c r="Z46" s="6" t="s">
        <v>56</v>
      </c>
    </row>
    <row r="47" customFormat="false" ht="21.75" hidden="false" customHeight="true" outlineLevel="0" collapsed="false">
      <c r="B47" s="16"/>
      <c r="C47" s="16"/>
      <c r="D47" s="16"/>
      <c r="E47" s="16"/>
      <c r="F47" s="16"/>
      <c r="G47" s="16"/>
      <c r="Z47" s="6" t="s">
        <v>66</v>
      </c>
    </row>
    <row r="48" customFormat="false" ht="21.75" hidden="false" customHeight="true" outlineLevel="0" collapsed="false">
      <c r="B48" s="16"/>
      <c r="C48" s="16"/>
      <c r="D48" s="16"/>
      <c r="E48" s="16"/>
      <c r="F48" s="16"/>
      <c r="G48" s="16"/>
      <c r="Z48" s="6" t="s">
        <v>67</v>
      </c>
    </row>
    <row r="49" customFormat="false" ht="39.75" hidden="false" customHeight="true" outlineLevel="0" collapsed="false">
      <c r="B49" s="17" t="str">
        <f aca="false">IF(LEN(B46)&lt;40,"",IF(AND(ISNUMBER(SEARCH("portvakt",B46)),ISNUMBER(SEARCH("krav",B46))),"Bra: du ser at Ida gikk rundt portvakten, og at anbudet må svare på kravene. Sjekk at du også nevner de fire riktige (vare, mengde, pris, tidspunkt) og at det tekniske skal til den rådgivende ingeniøren.",IF(OR(ISNUMBER(SEARCH("portvakt",B46)),ISNUMBER(SEARCH("krav",B46))),"Du er på sporet. Hvem skulle e-posten gått gjennom (rollen som sorterer henvendelser), og hva skal anbudet svare på (kravspesifikasjonen og de fire riktige, ikke bare pris)?","Tips: Ida gikk rundt portvakten (prosjektkoordinatoren) og innkjøperen (innkjøpssjefen). «Laveste pris» svarer på ett av fire krav: riktig vare, mengde, pris og tidspunkt. Anbudet skal svare punkt for punkt på kravspesifikasjonen, vise bemanning for de seks månedene, framdrift, dokumentasjon og referanser, og det tekniske skal den rådgivende ingeniøren lese. «Start om tre uker» overser totalentreprenørens framdriftsplan og byggherrens rett til å nekte valgt underentreprenør.")))</f>
        <v/>
      </c>
      <c r="C49" s="17"/>
      <c r="D49" s="17"/>
      <c r="E49" s="17"/>
      <c r="F49" s="17"/>
      <c r="G49" s="17"/>
      <c r="Z49" s="6" t="s">
        <v>69</v>
      </c>
    </row>
    <row r="50" customFormat="false" ht="15" hidden="false" customHeight="false" outlineLevel="0" collapsed="false">
      <c r="B50" s="18" t="s">
        <v>55</v>
      </c>
      <c r="C50" s="12"/>
      <c r="Z50" s="6" t="s">
        <v>101</v>
      </c>
    </row>
    <row r="51" customFormat="false" ht="90" hidden="false" customHeight="true" outlineLevel="0" collapsed="false">
      <c r="B51" s="19" t="str">
        <f aca="false">IF(C50="JA","Hint: Rollene: hvem meldte behovet, hvem gir råd, hvem skal bruke bygget, hvem velger, hvem må si ja, hvem gjennomfører kjøpet, og hvem sorterer posten? Situasjonen avgjøres av om bedriften har gjort kjøpet før, ikke av om varen er ny. Timer: 1 800 / 14 400 × 100 = 12,5. Trinnene: kravene skrives på 3, leverandørene finnes på 4, evalueringen er 8. Kategoriene: inngår det i, eller brukes det direkte i, produksjonen av det kunden får levert? Da er det produksjon eller tjeneste til produksjonen (kabelen og vernet følger med i elektroentreprisen). Holder det bare virksomheten i gang? Da er det institusjonsvare.","")</f>
        <v/>
      </c>
      <c r="C51" s="19"/>
      <c r="D51" s="19"/>
      <c r="E51" s="19"/>
      <c r="F51" s="19"/>
      <c r="G51" s="19"/>
      <c r="Z51" s="6" t="s">
        <v>102</v>
      </c>
    </row>
    <row r="52" customFormat="false" ht="15" hidden="false" customHeight="false" outlineLevel="0" collapsed="false">
      <c r="Z52" s="0" t="s">
        <v>103</v>
      </c>
    </row>
    <row r="53" customFormat="false" ht="30" hidden="false" customHeight="true" outlineLevel="0" collapsed="false">
      <c r="B53" s="7" t="s">
        <v>58</v>
      </c>
      <c r="C53" s="7"/>
      <c r="D53" s="7"/>
      <c r="E53" s="7"/>
      <c r="F53" s="7"/>
      <c r="G53" s="7"/>
      <c r="Z53" s="6" t="s">
        <v>101</v>
      </c>
    </row>
    <row r="54" customFormat="false" ht="15" hidden="false" customHeight="false" outlineLevel="0" collapsed="false">
      <c r="Z54" s="0" t="s">
        <v>102</v>
      </c>
    </row>
    <row r="55" customFormat="false" ht="15" hidden="false" customHeight="false" outlineLevel="0" collapsed="false">
      <c r="Z55" s="0" t="s">
        <v>103</v>
      </c>
    </row>
    <row r="56" customFormat="false" ht="15" hidden="false" customHeight="false" outlineLevel="0" collapsed="false">
      <c r="Z56" s="0" t="s">
        <v>101</v>
      </c>
    </row>
    <row r="57" customFormat="false" ht="15" hidden="false" customHeight="false" outlineLevel="0" collapsed="false">
      <c r="Z57" s="0" t="s">
        <v>102</v>
      </c>
    </row>
    <row r="58" customFormat="false" ht="15" hidden="false" customHeight="false" outlineLevel="0" collapsed="false">
      <c r="Z58" s="0" t="s">
        <v>103</v>
      </c>
    </row>
    <row r="59" customFormat="false" ht="15" hidden="false" customHeight="false" outlineLevel="0" collapsed="false">
      <c r="Z59" s="0" t="s">
        <v>101</v>
      </c>
    </row>
    <row r="60" customFormat="false" ht="15" hidden="false" customHeight="false" outlineLevel="0" collapsed="false">
      <c r="Z60" s="0" t="s">
        <v>102</v>
      </c>
    </row>
    <row r="61" customFormat="false" ht="15" hidden="false" customHeight="false" outlineLevel="0" collapsed="false">
      <c r="Z61" s="0" t="s">
        <v>103</v>
      </c>
    </row>
    <row r="62" customFormat="false" ht="15" hidden="false" customHeight="false" outlineLevel="0" collapsed="false">
      <c r="Z62" s="0" t="s">
        <v>104</v>
      </c>
    </row>
    <row r="63" customFormat="false" ht="15" hidden="false" customHeight="false" outlineLevel="0" collapsed="false">
      <c r="Z63" s="0" t="s">
        <v>105</v>
      </c>
    </row>
    <row r="64" customFormat="false" ht="15" hidden="false" customHeight="false" outlineLevel="0" collapsed="false">
      <c r="Z64" s="0" t="s">
        <v>106</v>
      </c>
    </row>
    <row r="65" customFormat="false" ht="15" hidden="false" customHeight="false" outlineLevel="0" collapsed="false">
      <c r="Z65" s="0" t="s">
        <v>107</v>
      </c>
    </row>
    <row r="66" customFormat="false" ht="15" hidden="false" customHeight="false" outlineLevel="0" collapsed="false">
      <c r="Z66" s="0" t="s">
        <v>108</v>
      </c>
    </row>
    <row r="67" customFormat="false" ht="15" hidden="false" customHeight="false" outlineLevel="0" collapsed="false">
      <c r="Z67" s="0" t="s">
        <v>109</v>
      </c>
    </row>
    <row r="68" customFormat="false" ht="15" hidden="false" customHeight="false" outlineLevel="0" collapsed="false">
      <c r="Z68" s="0" t="s">
        <v>110</v>
      </c>
    </row>
    <row r="69" customFormat="false" ht="15" hidden="false" customHeight="false" outlineLevel="0" collapsed="false">
      <c r="Z69" s="0" t="s">
        <v>111</v>
      </c>
    </row>
    <row r="70" customFormat="false" ht="15" hidden="false" customHeight="false" outlineLevel="0" collapsed="false">
      <c r="Z70" s="0" t="s">
        <v>104</v>
      </c>
    </row>
    <row r="71" customFormat="false" ht="15" hidden="false" customHeight="false" outlineLevel="0" collapsed="false">
      <c r="Z71" s="0" t="s">
        <v>105</v>
      </c>
    </row>
    <row r="72" customFormat="false" ht="15" hidden="false" customHeight="false" outlineLevel="0" collapsed="false">
      <c r="Z72" s="0" t="s">
        <v>106</v>
      </c>
    </row>
    <row r="73" customFormat="false" ht="15" hidden="false" customHeight="false" outlineLevel="0" collapsed="false">
      <c r="Z73" s="0" t="s">
        <v>107</v>
      </c>
    </row>
    <row r="74" customFormat="false" ht="15" hidden="false" customHeight="false" outlineLevel="0" collapsed="false">
      <c r="Z74" s="0" t="s">
        <v>108</v>
      </c>
    </row>
    <row r="75" customFormat="false" ht="15" hidden="false" customHeight="false" outlineLevel="0" collapsed="false">
      <c r="Z75" s="0" t="s">
        <v>109</v>
      </c>
    </row>
    <row r="76" customFormat="false" ht="15" hidden="false" customHeight="false" outlineLevel="0" collapsed="false">
      <c r="Z76" s="0" t="s">
        <v>110</v>
      </c>
    </row>
    <row r="77" customFormat="false" ht="15" hidden="false" customHeight="false" outlineLevel="0" collapsed="false">
      <c r="Z77" s="0" t="s">
        <v>111</v>
      </c>
    </row>
    <row r="78" customFormat="false" ht="15" hidden="false" customHeight="false" outlineLevel="0" collapsed="false">
      <c r="Z78" s="0" t="s">
        <v>104</v>
      </c>
    </row>
    <row r="79" customFormat="false" ht="15" hidden="false" customHeight="false" outlineLevel="0" collapsed="false">
      <c r="Z79" s="0" t="s">
        <v>105</v>
      </c>
    </row>
    <row r="80" customFormat="false" ht="15" hidden="false" customHeight="false" outlineLevel="0" collapsed="false">
      <c r="Z80" s="0" t="s">
        <v>106</v>
      </c>
    </row>
    <row r="81" customFormat="false" ht="15" hidden="false" customHeight="false" outlineLevel="0" collapsed="false">
      <c r="Z81" s="0" t="s">
        <v>107</v>
      </c>
    </row>
    <row r="82" customFormat="false" ht="15" hidden="false" customHeight="false" outlineLevel="0" collapsed="false">
      <c r="Z82" s="0" t="s">
        <v>108</v>
      </c>
    </row>
    <row r="83" customFormat="false" ht="15" hidden="false" customHeight="false" outlineLevel="0" collapsed="false">
      <c r="Z83" s="0" t="s">
        <v>109</v>
      </c>
    </row>
    <row r="84" customFormat="false" ht="15" hidden="false" customHeight="false" outlineLevel="0" collapsed="false">
      <c r="Z84" s="0" t="s">
        <v>110</v>
      </c>
    </row>
    <row r="85" customFormat="false" ht="15" hidden="false" customHeight="false" outlineLevel="0" collapsed="false">
      <c r="Z85" s="0" t="s">
        <v>111</v>
      </c>
    </row>
    <row r="86" customFormat="false" ht="15" hidden="false" customHeight="false" outlineLevel="0" collapsed="false">
      <c r="Z86" s="0" t="s">
        <v>112</v>
      </c>
    </row>
    <row r="87" customFormat="false" ht="15" hidden="false" customHeight="false" outlineLevel="0" collapsed="false">
      <c r="Z87" s="0" t="s">
        <v>113</v>
      </c>
    </row>
    <row r="88" customFormat="false" ht="15" hidden="false" customHeight="false" outlineLevel="0" collapsed="false">
      <c r="Z88" s="0" t="s">
        <v>114</v>
      </c>
    </row>
    <row r="89" customFormat="false" ht="15" hidden="false" customHeight="false" outlineLevel="0" collapsed="false">
      <c r="Z89" s="0" t="s">
        <v>115</v>
      </c>
    </row>
    <row r="90" customFormat="false" ht="15" hidden="false" customHeight="false" outlineLevel="0" collapsed="false">
      <c r="Z90" s="0" t="s">
        <v>116</v>
      </c>
    </row>
    <row r="91" customFormat="false" ht="15" hidden="false" customHeight="false" outlineLevel="0" collapsed="false">
      <c r="Z91" s="0" t="s">
        <v>112</v>
      </c>
    </row>
    <row r="92" customFormat="false" ht="15" hidden="false" customHeight="false" outlineLevel="0" collapsed="false">
      <c r="Z92" s="0" t="s">
        <v>113</v>
      </c>
    </row>
    <row r="93" customFormat="false" ht="15" hidden="false" customHeight="false" outlineLevel="0" collapsed="false">
      <c r="Z93" s="0" t="s">
        <v>114</v>
      </c>
    </row>
    <row r="94" customFormat="false" ht="15" hidden="false" customHeight="false" outlineLevel="0" collapsed="false">
      <c r="Z94" s="0" t="s">
        <v>115</v>
      </c>
    </row>
    <row r="95" customFormat="false" ht="15" hidden="false" customHeight="false" outlineLevel="0" collapsed="false">
      <c r="Z95" s="0" t="s">
        <v>116</v>
      </c>
    </row>
    <row r="96" customFormat="false" ht="15" hidden="false" customHeight="false" outlineLevel="0" collapsed="false">
      <c r="Z96" s="0" t="s">
        <v>112</v>
      </c>
    </row>
    <row r="97" customFormat="false" ht="15" hidden="false" customHeight="false" outlineLevel="0" collapsed="false">
      <c r="Z97" s="0" t="s">
        <v>113</v>
      </c>
    </row>
    <row r="98" customFormat="false" ht="15" hidden="false" customHeight="false" outlineLevel="0" collapsed="false">
      <c r="Z98" s="0" t="s">
        <v>114</v>
      </c>
    </row>
    <row r="99" customFormat="false" ht="15" hidden="false" customHeight="false" outlineLevel="0" collapsed="false">
      <c r="Z99" s="0" t="s">
        <v>115</v>
      </c>
    </row>
    <row r="100" customFormat="false" ht="15" hidden="false" customHeight="false" outlineLevel="0" collapsed="false">
      <c r="Z100" s="0" t="s">
        <v>116</v>
      </c>
    </row>
    <row r="101" customFormat="false" ht="15" hidden="false" customHeight="false" outlineLevel="0" collapsed="false">
      <c r="Z101" s="0" t="s">
        <v>112</v>
      </c>
    </row>
    <row r="102" customFormat="false" ht="15" hidden="false" customHeight="false" outlineLevel="0" collapsed="false">
      <c r="Z102" s="0" t="s">
        <v>113</v>
      </c>
    </row>
    <row r="103" customFormat="false" ht="15" hidden="false" customHeight="false" outlineLevel="0" collapsed="false">
      <c r="Z103" s="0" t="s">
        <v>114</v>
      </c>
    </row>
    <row r="104" customFormat="false" ht="15" hidden="false" customHeight="false" outlineLevel="0" collapsed="false">
      <c r="Z104" s="0" t="s">
        <v>115</v>
      </c>
    </row>
    <row r="105" customFormat="false" ht="15" hidden="false" customHeight="false" outlineLevel="0" collapsed="false">
      <c r="Z105" s="0" t="s">
        <v>116</v>
      </c>
    </row>
    <row r="106" customFormat="false" ht="15" hidden="false" customHeight="false" outlineLevel="0" collapsed="false">
      <c r="Z106" s="0" t="s">
        <v>112</v>
      </c>
    </row>
    <row r="107" customFormat="false" ht="15" hidden="false" customHeight="false" outlineLevel="0" collapsed="false">
      <c r="Z107" s="0" t="s">
        <v>113</v>
      </c>
    </row>
    <row r="108" customFormat="false" ht="15" hidden="false" customHeight="false" outlineLevel="0" collapsed="false">
      <c r="Z108" s="0" t="s">
        <v>114</v>
      </c>
    </row>
    <row r="109" customFormat="false" ht="15" hidden="false" customHeight="false" outlineLevel="0" collapsed="false">
      <c r="Z109" s="0" t="s">
        <v>115</v>
      </c>
    </row>
    <row r="110" customFormat="false" ht="15" hidden="false" customHeight="false" outlineLevel="0" collapsed="false">
      <c r="Z110" s="0" t="s">
        <v>116</v>
      </c>
    </row>
  </sheetData>
  <mergeCells count="21">
    <mergeCell ref="B2:G2"/>
    <mergeCell ref="B3:G3"/>
    <mergeCell ref="B4:G4"/>
    <mergeCell ref="B5:G5"/>
    <mergeCell ref="B6:G6"/>
    <mergeCell ref="B7:G7"/>
    <mergeCell ref="B9:G9"/>
    <mergeCell ref="B10:G10"/>
    <mergeCell ref="B12:G12"/>
    <mergeCell ref="B21:G21"/>
    <mergeCell ref="B27:G27"/>
    <mergeCell ref="B28:G28"/>
    <mergeCell ref="B31:G31"/>
    <mergeCell ref="B36:G36"/>
    <mergeCell ref="B43:G43"/>
    <mergeCell ref="B44:G44"/>
    <mergeCell ref="B45:G45"/>
    <mergeCell ref="B46:G48"/>
    <mergeCell ref="B49:G49"/>
    <mergeCell ref="B51:G51"/>
    <mergeCell ref="B53:G53"/>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2">
    <cfRule type="expression" priority="16" aboveAverage="0" equalAverage="0" bottom="0" percent="0" rank="0" text="" dxfId="0">
      <formula>LEFT(G22,6)="Riktig"</formula>
    </cfRule>
    <cfRule type="expression" priority="17" aboveAverage="0" equalAverage="0" bottom="0" percent="0" rank="0" text="" dxfId="1">
      <formula>LEFT(G22,4)="Ikke"</formula>
    </cfRule>
  </conditionalFormatting>
  <conditionalFormatting sqref="G23">
    <cfRule type="expression" priority="18" aboveAverage="0" equalAverage="0" bottom="0" percent="0" rank="0" text="" dxfId="0">
      <formula>LEFT(G23,6)="Riktig"</formula>
    </cfRule>
    <cfRule type="expression" priority="19" aboveAverage="0" equalAverage="0" bottom="0" percent="0" rank="0" text="" dxfId="1">
      <formula>LEFT(G23,4)="Ikke"</formula>
    </cfRule>
  </conditionalFormatting>
  <conditionalFormatting sqref="G24">
    <cfRule type="expression" priority="20" aboveAverage="0" equalAverage="0" bottom="0" percent="0" rank="0" text="" dxfId="0">
      <formula>LEFT(G24,6)="Riktig"</formula>
    </cfRule>
    <cfRule type="expression" priority="21" aboveAverage="0" equalAverage="0" bottom="0" percent="0" rank="0" text="" dxfId="1">
      <formula>LEFT(G24,4)="Ikke"</formula>
    </cfRule>
  </conditionalFormatting>
  <conditionalFormatting sqref="G25">
    <cfRule type="expression" priority="22" aboveAverage="0" equalAverage="0" bottom="0" percent="0" rank="0" text="" dxfId="0">
      <formula>LEFT(G25,6)="Riktig"</formula>
    </cfRule>
    <cfRule type="expression" priority="23" aboveAverage="0" equalAverage="0" bottom="0" percent="0" rank="0" text="" dxfId="1">
      <formula>LEFT(G25,4)="Ikke"</formula>
    </cfRule>
  </conditionalFormatting>
  <conditionalFormatting sqref="G29">
    <cfRule type="expression" priority="24" aboveAverage="0" equalAverage="0" bottom="0" percent="0" rank="0" text="" dxfId="0">
      <formula>LEFT(G29,6)="Riktig"</formula>
    </cfRule>
    <cfRule type="expression" priority="25" aboveAverage="0" equalAverage="0" bottom="0" percent="0" rank="0" text="" dxfId="1">
      <formula>AND(G29&lt;&gt;"",LEFT(G29,6)&lt;&gt;"Riktig",LEFT(G29,5)&lt;&gt;"Skriv")</formula>
    </cfRule>
  </conditionalFormatting>
  <conditionalFormatting sqref="G32">
    <cfRule type="expression" priority="26" aboveAverage="0" equalAverage="0" bottom="0" percent="0" rank="0" text="" dxfId="0">
      <formula>LEFT(G32,6)="Riktig"</formula>
    </cfRule>
    <cfRule type="expression" priority="27" aboveAverage="0" equalAverage="0" bottom="0" percent="0" rank="0" text="" dxfId="1">
      <formula>LEFT(G32,4)="Ikke"</formula>
    </cfRule>
  </conditionalFormatting>
  <conditionalFormatting sqref="G33">
    <cfRule type="expression" priority="28" aboveAverage="0" equalAverage="0" bottom="0" percent="0" rank="0" text="" dxfId="0">
      <formula>LEFT(G33,6)="Riktig"</formula>
    </cfRule>
    <cfRule type="expression" priority="29" aboveAverage="0" equalAverage="0" bottom="0" percent="0" rank="0" text="" dxfId="1">
      <formula>LEFT(G33,4)="Ikke"</formula>
    </cfRule>
  </conditionalFormatting>
  <conditionalFormatting sqref="G34">
    <cfRule type="expression" priority="30" aboveAverage="0" equalAverage="0" bottom="0" percent="0" rank="0" text="" dxfId="0">
      <formula>LEFT(G34,6)="Riktig"</formula>
    </cfRule>
    <cfRule type="expression" priority="31" aboveAverage="0" equalAverage="0" bottom="0" percent="0" rank="0" text="" dxfId="1">
      <formula>LEFT(G34,4)="Ikke"</formula>
    </cfRule>
  </conditionalFormatting>
  <conditionalFormatting sqref="G37">
    <cfRule type="expression" priority="32" aboveAverage="0" equalAverage="0" bottom="0" percent="0" rank="0" text="" dxfId="0">
      <formula>LEFT(G37,6)="Riktig"</formula>
    </cfRule>
    <cfRule type="expression" priority="33" aboveAverage="0" equalAverage="0" bottom="0" percent="0" rank="0" text="" dxfId="1">
      <formula>LEFT(G37,4)="Ikke"</formula>
    </cfRule>
  </conditionalFormatting>
  <conditionalFormatting sqref="G38">
    <cfRule type="expression" priority="34" aboveAverage="0" equalAverage="0" bottom="0" percent="0" rank="0" text="" dxfId="0">
      <formula>LEFT(G38,6)="Riktig"</formula>
    </cfRule>
    <cfRule type="expression" priority="35" aboveAverage="0" equalAverage="0" bottom="0" percent="0" rank="0" text="" dxfId="1">
      <formula>LEFT(G38,4)="Ikke"</formula>
    </cfRule>
  </conditionalFormatting>
  <conditionalFormatting sqref="G39">
    <cfRule type="expression" priority="36" aboveAverage="0" equalAverage="0" bottom="0" percent="0" rank="0" text="" dxfId="0">
      <formula>LEFT(G39,6)="Riktig"</formula>
    </cfRule>
    <cfRule type="expression" priority="37" aboveAverage="0" equalAverage="0" bottom="0" percent="0" rank="0" text="" dxfId="1">
      <formula>LEFT(G39,4)="Ikke"</formula>
    </cfRule>
  </conditionalFormatting>
  <conditionalFormatting sqref="G40">
    <cfRule type="expression" priority="38" aboveAverage="0" equalAverage="0" bottom="0" percent="0" rank="0" text="" dxfId="0">
      <formula>LEFT(G40,6)="Riktig"</formula>
    </cfRule>
    <cfRule type="expression" priority="39" aboveAverage="0" equalAverage="0" bottom="0" percent="0" rank="0" text="" dxfId="1">
      <formula>LEFT(G40,4)="Ikke"</formula>
    </cfRule>
  </conditionalFormatting>
  <conditionalFormatting sqref="G41">
    <cfRule type="expression" priority="40" aboveAverage="0" equalAverage="0" bottom="0" percent="0" rank="0" text="" dxfId="0">
      <formula>LEFT(G41,6)="Riktig"</formula>
    </cfRule>
    <cfRule type="expression" priority="41" aboveAverage="0" equalAverage="0" bottom="0" percent="0" rank="0" text="" dxfId="1">
      <formula>LEFT(G41,4)="Ikke"</formula>
    </cfRule>
  </conditionalFormatting>
  <dataValidations count="20">
    <dataValidation allowBlank="true" errorStyle="stop" operator="between" showDropDown="false" showErrorMessage="false" showInputMessage="false" sqref="C13" type="list">
      <formula1>$Z$1:$Z$7</formula1>
      <formula2>0</formula2>
    </dataValidation>
    <dataValidation allowBlank="true" errorStyle="stop" operator="between" showDropDown="false" showErrorMessage="false" showInputMessage="false" sqref="C14" type="list">
      <formula1>$Z$8:$Z$14</formula1>
      <formula2>0</formula2>
    </dataValidation>
    <dataValidation allowBlank="true" errorStyle="stop" operator="between" showDropDown="false" showErrorMessage="false" showInputMessage="false" sqref="C15" type="list">
      <formula1>$Z$15:$Z$21</formula1>
      <formula2>0</formula2>
    </dataValidation>
    <dataValidation allowBlank="true" errorStyle="stop" operator="between" showDropDown="false" showErrorMessage="false" showInputMessage="false" sqref="C16" type="list">
      <formula1>$Z$22:$Z$28</formula1>
      <formula2>0</formula2>
    </dataValidation>
    <dataValidation allowBlank="true" errorStyle="stop" operator="between" showDropDown="false" showErrorMessage="false" showInputMessage="false" sqref="C17" type="list">
      <formula1>$Z$29:$Z$35</formula1>
      <formula2>0</formula2>
    </dataValidation>
    <dataValidation allowBlank="true" errorStyle="stop" operator="between" showDropDown="false" showErrorMessage="false" showInputMessage="false" sqref="C18" type="list">
      <formula1>$Z$36:$Z$42</formula1>
      <formula2>0</formula2>
    </dataValidation>
    <dataValidation allowBlank="true" errorStyle="stop" operator="between" showDropDown="false" showErrorMessage="false" showInputMessage="false" sqref="C19" type="list">
      <formula1>$Z$43:$Z$49</formula1>
      <formula2>0</formula2>
    </dataValidation>
    <dataValidation allowBlank="true" errorStyle="stop" operator="between" showDropDown="false" showErrorMessage="false" showInputMessage="false" sqref="C22" type="list">
      <formula1>$Z$50:$Z$52</formula1>
      <formula2>0</formula2>
    </dataValidation>
    <dataValidation allowBlank="true" errorStyle="stop" operator="between" showDropDown="false" showErrorMessage="false" showInputMessage="false" sqref="C23" type="list">
      <formula1>$Z$53:$Z$55</formula1>
      <formula2>0</formula2>
    </dataValidation>
    <dataValidation allowBlank="true" errorStyle="stop" operator="between" showDropDown="false" showErrorMessage="false" showInputMessage="false" sqref="C24" type="list">
      <formula1>$Z$56:$Z$58</formula1>
      <formula2>0</formula2>
    </dataValidation>
    <dataValidation allowBlank="true" errorStyle="stop" operator="between" showDropDown="false" showErrorMessage="false" showInputMessage="false" sqref="C25" type="list">
      <formula1>$Z$59:$Z$61</formula1>
      <formula2>0</formula2>
    </dataValidation>
    <dataValidation allowBlank="true" errorStyle="stop" operator="between" showDropDown="false" showErrorMessage="false" showInputMessage="false" sqref="C32" type="list">
      <formula1>$Z$62:$Z$69</formula1>
      <formula2>0</formula2>
    </dataValidation>
    <dataValidation allowBlank="true" errorStyle="stop" operator="between" showDropDown="false" showErrorMessage="false" showInputMessage="false" sqref="C33" type="list">
      <formula1>$Z$70:$Z$77</formula1>
      <formula2>0</formula2>
    </dataValidation>
    <dataValidation allowBlank="true" errorStyle="stop" operator="between" showDropDown="false" showErrorMessage="false" showInputMessage="false" sqref="C34" type="list">
      <formula1>$Z$78:$Z$85</formula1>
      <formula2>0</formula2>
    </dataValidation>
    <dataValidation allowBlank="true" errorStyle="stop" operator="between" showDropDown="false" showErrorMessage="false" showInputMessage="false" sqref="C37" type="list">
      <formula1>$Z$86:$Z$90</formula1>
      <formula2>0</formula2>
    </dataValidation>
    <dataValidation allowBlank="true" errorStyle="stop" operator="between" showDropDown="false" showErrorMessage="false" showInputMessage="false" sqref="C38" type="list">
      <formula1>$Z$91:$Z$95</formula1>
      <formula2>0</formula2>
    </dataValidation>
    <dataValidation allowBlank="true" errorStyle="stop" operator="between" showDropDown="false" showErrorMessage="false" showInputMessage="false" sqref="C39" type="list">
      <formula1>$Z$96:$Z$100</formula1>
      <formula2>0</formula2>
    </dataValidation>
    <dataValidation allowBlank="true" errorStyle="stop" operator="between" showDropDown="false" showErrorMessage="false" showInputMessage="false" sqref="C40" type="list">
      <formula1>$Z$101:$Z$105</formula1>
      <formula2>0</formula2>
    </dataValidation>
    <dataValidation allowBlank="true" errorStyle="stop" operator="between" showDropDown="false" showErrorMessage="false" showInputMessage="false" sqref="C41" type="list">
      <formula1>$Z$106:$Z$110</formula1>
      <formula2>0</formula2>
    </dataValidation>
    <dataValidation allowBlank="true" errorStyle="stop" operator="between" showDropDown="false" showErrorMessage="false" showInputMessage="false" sqref="C5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1" t="s">
        <v>117</v>
      </c>
    </row>
    <row r="3" customFormat="false" ht="30" hidden="false" customHeight="true" outlineLevel="0" collapsed="false">
      <c r="B3" s="7" t="s">
        <v>118</v>
      </c>
      <c r="C3" s="7"/>
      <c r="D3" s="7"/>
    </row>
    <row r="5" customFormat="false" ht="15" hidden="false" customHeight="false" outlineLevel="0" collapsed="false">
      <c r="B5" s="22" t="s">
        <v>119</v>
      </c>
      <c r="C5" s="22" t="s">
        <v>120</v>
      </c>
      <c r="D5" s="22" t="s">
        <v>121</v>
      </c>
    </row>
    <row r="6" customFormat="false" ht="45" hidden="false" customHeight="true" outlineLevel="0" collapsed="false">
      <c r="B6" s="23" t="s">
        <v>122</v>
      </c>
      <c r="C6" s="24"/>
      <c r="D6" s="23" t="s">
        <v>123</v>
      </c>
    </row>
    <row r="7" customFormat="false" ht="30" hidden="false" customHeight="true" outlineLevel="0" collapsed="false">
      <c r="B7" s="23" t="s">
        <v>124</v>
      </c>
      <c r="C7" s="24"/>
      <c r="D7" s="23" t="s">
        <v>125</v>
      </c>
    </row>
    <row r="8" customFormat="false" ht="30" hidden="false" customHeight="true" outlineLevel="0" collapsed="false">
      <c r="B8" s="23" t="s">
        <v>126</v>
      </c>
      <c r="C8" s="24" t="n">
        <v>2400</v>
      </c>
      <c r="D8" s="23" t="s">
        <v>127</v>
      </c>
    </row>
    <row r="9" customFormat="false" ht="30" hidden="false" customHeight="true" outlineLevel="0" collapsed="false">
      <c r="B9" s="23" t="s">
        <v>128</v>
      </c>
      <c r="C9" s="24" t="n">
        <v>15920</v>
      </c>
      <c r="D9" s="23" t="s">
        <v>129</v>
      </c>
    </row>
    <row r="10" customFormat="false" ht="30" hidden="false" customHeight="true" outlineLevel="0" collapsed="false">
      <c r="B10" s="23" t="s">
        <v>130</v>
      </c>
      <c r="C10" s="24"/>
      <c r="D10" s="23" t="s">
        <v>131</v>
      </c>
    </row>
    <row r="11" customFormat="false" ht="30" hidden="false" customHeight="true" outlineLevel="0" collapsed="false">
      <c r="B11" s="23" t="s">
        <v>132</v>
      </c>
      <c r="C11" s="24"/>
      <c r="D11" s="23" t="s">
        <v>133</v>
      </c>
    </row>
    <row r="12" customFormat="false" ht="60" hidden="false" customHeight="true" outlineLevel="0" collapsed="false">
      <c r="B12" s="23" t="s">
        <v>134</v>
      </c>
      <c r="C12" s="24"/>
      <c r="D12" s="23" t="s">
        <v>135</v>
      </c>
    </row>
    <row r="13" customFormat="false" ht="75" hidden="false" customHeight="true" outlineLevel="0" collapsed="false">
      <c r="B13" s="23" t="s">
        <v>136</v>
      </c>
      <c r="C13" s="24"/>
      <c r="D13" s="23" t="s">
        <v>137</v>
      </c>
    </row>
    <row r="14" customFormat="false" ht="30" hidden="false" customHeight="true" outlineLevel="0" collapsed="false">
      <c r="B14" s="23" t="s">
        <v>138</v>
      </c>
      <c r="C14" s="24"/>
      <c r="D14" s="23" t="s">
        <v>139</v>
      </c>
    </row>
    <row r="15" customFormat="false" ht="30" hidden="false" customHeight="true" outlineLevel="0" collapsed="false">
      <c r="B15" s="23" t="s">
        <v>140</v>
      </c>
      <c r="C15" s="24" t="n">
        <v>12.5</v>
      </c>
      <c r="D15" s="23" t="s">
        <v>141</v>
      </c>
    </row>
    <row r="16" customFormat="false" ht="30" hidden="false" customHeight="true" outlineLevel="0" collapsed="false">
      <c r="B16" s="23" t="s">
        <v>142</v>
      </c>
      <c r="C16" s="24"/>
      <c r="D16" s="23" t="s">
        <v>143</v>
      </c>
    </row>
    <row r="17" customFormat="false" ht="45" hidden="false" customHeight="true" outlineLevel="0" collapsed="false">
      <c r="B17" s="23" t="s">
        <v>144</v>
      </c>
      <c r="C17" s="24"/>
      <c r="D17" s="23" t="s">
        <v>145</v>
      </c>
    </row>
    <row r="18" customFormat="false" ht="105" hidden="false" customHeight="true" outlineLevel="0" collapsed="false">
      <c r="B18" s="23" t="s">
        <v>146</v>
      </c>
      <c r="C18" s="24"/>
      <c r="D18" s="23" t="s">
        <v>147</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2026-10-22T17:01:59Z</dcterms:created>
  <dc:creator>openpyxl</dc:creator>
  <dc:description/>
  <dc:language>en-US</dc:language>
  <cp:lastModifiedBy/>
  <dcterms:modified xsi:type="dcterms:W3CDTF">2026-10-22T17:01:59Z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