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<sst xmlns="http://schemas.openxmlformats.org/spreadsheetml/2006/main" count="188" uniqueCount="157">
  <si>
    <t xml:space="preserve">Klasseoppgaver til Organisasjon og ledelse kapittel 17: Ledelse og motivasjon (versjon 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</si>
  <si>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</si>
  <si>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</si>
  <si>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</si>
  <si>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</si>
  <si>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</si>
  <si>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</si>
  <si>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</si>
  <si>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</si>
  <si>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hvor går formannens uke? (Nordlys)</t>
  </si>
  <si>
    <t xml:space="preserve">A2</t>
  </si>
  <si>
    <t xml:space="preserve">Fjell Elektro: tre personer, tre oppgaver, én leder (Egen el-bedrift)</t>
  </si>
  <si>
    <t xml:space="preserve">B1</t>
  </si>
  <si>
    <t xml:space="preserve">Nordlys: 150 000 kroner for å beholde folkene (Nordlys)</t>
  </si>
  <si>
    <t xml:space="preserve">B2</t>
  </si>
  <si>
    <t xml:space="preserve">Fjell Elektro: målet på tavla (Egen el-bedrift)</t>
  </si>
  <si>
    <t xml:space="preserve">Læreboka</t>
  </si>
  <si>
    <t xml:space="preserve">Hjertnes, F.: Markedsføring, organisasjon og ledelse for LØM-emnet, kapittel 17.</t>
  </si>
  <si>
    <t xml:space="preserve">Appen</t>
  </si>
  <si>
    <t xml:space="preserve">Organisasjon og ledelse kap. 17 → Øv → Klasseoppgaver gir fasit per deloppgave.</t>
  </si>
  <si>
    <t xml:space="preserve">A1 · Nordlys: hvor går formannens uke?</t>
  </si>
  <si>
    <t xml:space="preserve">25 minutter · Helst alene. Sammen med sidemannen eller flere hvis du vil. Ark og blyant, appen (PC eller mobil) eller læreboka.</t>
  </si>
  <si>
    <t xml:space="preserve">Kort oppsummert: Lederoppgavene er de samme på alle nivåer: formulere mål, planlegge tiltak, iverksette og gjennomføre, og kontrollere og evaluere, og i tillegg informere, kommunisere og motivere (17.2). Adizes peker på fire roller som en leder eller et lederteam må fylle: produsent, administrator, entreprenør og integrator. Mintzberg deler rollene i interpersonelle roller, informasjonsroller og beslutningsroller; rollene lederen vanskelig kommer utenom i det daglige, er ressursfordeler, overvåker og informasjonsformidler. Synliggjøring og evaluering av tidsbruk kan hjelpe lederen til å prioritere bedre (17.3).</t>
  </si>
  <si>
    <t xml:space="preserve">Casen er lagt til 2026/2027. Ronny Fjeld er formann for prosjekt og nybygg hos Nordlys og leder 6 montører og 1 lærling. Solcelle og lading har 2 montører og ingen leder. Kari har flere alternativer: å gjøre den mest erfarne solcellemontøren til leder, å la Ronny ta avdelingen i tillegg, slik at han får 7 + 2 = 9 under seg, å legge den under Tom i service, eller å ansette en leder utenfra. Ronny er det første hun ser nærmere på. Før hun bestemmer seg, ber hun Ronny skrive ned hvor timene går i en vanlig uke på 37,5 timer. Tabellen viser det han skrev. Gå fram slik: regn hvor stor del av uka han monterer selv, finn timene i de tre rollene boka sier lederen ikke kommer utenom, se hvilken av Adizes' roller som mangler, sorter hva som er lederoppgaver, og gi Kari et råd.</t>
  </si>
  <si>
    <t xml:space="preserve">Ronnys uke</t>
  </si>
  <si>
    <t xml:space="preserve">Timer</t>
  </si>
  <si>
    <t xml:space="preserve">Andel</t>
  </si>
  <si>
    <t xml:space="preserve">Monterer selv på bygget</t>
  </si>
  <si>
    <t xml:space="preserve">Fordeler folk og materiell</t>
  </si>
  <si>
    <t xml:space="preserve">Runden: framdrift og kvalitet</t>
  </si>
  <si>
    <t xml:space="preserve">Samsvarserklæringer og avvik</t>
  </si>
  <si>
    <t xml:space="preserve">Byggemøter, byggherre og fag</t>
  </si>
  <si>
    <t xml:space="preserve">Morgenmøte med laget</t>
  </si>
  <si>
    <t xml:space="preserve">Det akutte: syk montør og lignende</t>
  </si>
  <si>
    <t xml:space="preserve">= Sum uka</t>
  </si>
  <si>
    <t xml:space="preserve">100 %</t>
  </si>
  <si>
    <t xml:space="preserve">Gule celler med spørsmålstegn kan du fylle inn selv mens du regner.</t>
  </si>
  <si>
    <t xml:space="preserve">Deloppgave</t>
  </si>
  <si>
    <t xml:space="preserve">Ditt svar</t>
  </si>
  <si>
    <t xml:space="preserve">Sjekk</t>
  </si>
  <si>
    <t xml:space="preserve">a)  Hvor mange prosent av uka på 37,5 timer bruker Ronny på å montere selv? Én desimal.</t>
  </si>
  <si>
    <t xml:space="preserve">Formel og begrep</t>
  </si>
  <si>
    <t xml:space="preserve">Andel av uka = timer på aktiviteten / timer i uka × 100. Begrepet bak er lederen på operativt nivå som «den første blant likemenn» (Organisasjon og ledelse 17.1).</t>
  </si>
  <si>
    <t xml:space="preserve">b)  Boka sier at rollene lederen vanskelig kommer utenom i det daglige, er ressursfordeler, overvåker og informasjonsformidler (17.3). Hvor mange timer i Ronnys uke går til disse tre rollene til sammen?</t>
  </si>
  <si>
    <t xml:space="preserve">Mintzbergs roller: ressursfordeler (beslutningsrolle), overvåker og informasjonsformidler (informasjonsroller). De tre er rollene lederen vanskelig kommer utenom i det daglige (Organisasjon og ledelse 17.3, 17.3.2–17.3.3).</t>
  </si>
  <si>
    <t xml:space="preserve">c)  Hvilken av disse tre rollene hos Adizes får ingen egne timer i Ronnys uke?   A: Produsenten   B: Administratoren   C: Integratoren   (skriv bokstaven)</t>
  </si>
  <si>
    <t xml:space="preserve">d)  Ja eller nei: er dette en av lederoppgavene slik boka beskriver dem (formulere mål, planlegge, iverksette og gjennomføre, kontrollere og evaluere, og i tillegg informere, kommunisere og motivere)?</t>
  </si>
  <si>
    <t xml:space="preserve">      Ronny setter ukemålet: 3. etasje trukket ferdig fredag   (Ja eller Nei)</t>
  </si>
  <si>
    <t xml:space="preserve">      Ronny lager plan for hvem som gjør hva i uka   (Ja eller Nei)</t>
  </si>
  <si>
    <t xml:space="preserve">      Ronny sjekker fredag om etasjen er ferdig, og hvorfor ikke   (Ja eller Nei)</t>
  </si>
  <si>
    <t xml:space="preserve">      Ronny forteller på morgenmøtet hvorfor planen er endret   (Ja eller Nei)</t>
  </si>
  <si>
    <t xml:space="preserve">      Ronny trekker kabel selv fordi det går fortere   (Ja eller Nei)</t>
  </si>
  <si>
    <t xml:space="preserve">e)  Kari spør om Ronny kan ta solcelle og lading i tillegg, slik at han får 7 + 2 = 9 under seg. Hva sier uka hans om det, og hva bør Ronny endre hvis han får avdelingen? Tre–fire setninger med minst ett tall.</t>
  </si>
  <si>
    <t xml:space="preserve">Ingen ny formel. Bruk tidsbruken (17.3), Adizes' roller (17.3), delegering som lederegenskap (tabell 17.1) og kontrollspennet (kap. 14.2).</t>
  </si>
  <si>
    <t xml:space="preserve">Hint, hvis du står fast</t>
  </si>
  <si>
    <t xml:space="preserve">Tallene</t>
  </si>
  <si>
    <t xml:space="preserve">Andelen: 15 delt på 37,5. De tre rollene: hvilken linje er å fordele (ressursfordeler), å følge med (overvåker) og å fortelle videre (informasjonsformidler)? Legg sammen timene.</t>
  </si>
  <si>
    <t xml:space="preserve">Rollene</t>
  </si>
  <si>
    <t xml:space="preserve">Adizes: produsenten får jobben gjort, administratoren har rutiner og kontroll, integratoren bygger team. Finn en linje i uka for hver. Hvilken finner du ikke?</t>
  </si>
  <si>
    <t xml:space="preserve">Kilde: Hjertnes, F.: Markedsføring, organisasjon og ledelse for LØM-emnet, kap. 17, avsnitt 17.2 (lederoppgaver), 17.3 (Adizes' fire roller, Mintzbergs roller, rollene lederen ikke kommer utenom, tidsbruk) og 17.4 (tabell 17.1, delegering). Ronnys lag: kap. 11 og appen. Nordlys Elektro AS er en konstruert casebedrift.</t>
  </si>
  <si>
    <t xml:space="preserve">Regnearket er øvingsstøtte. Det kan ikke siteres eller vises til i besvarelser, prosjektoppgaver eller eksamen; der gjelder læreboka og oppgitte primærkilder.</t>
  </si>
  <si>
    <t xml:space="preserve">A2 · Fjell Elektro: tre personer, tre oppgaver, én leder</t>
  </si>
  <si>
    <t xml:space="preserve">Kort oppsummert: Situasjonsbestemt ledelse (17.5.3): situasjonen beskrives med egenskaper ved lederen, ved de underordnede og ved beslutningssituasjonen. Summen av kompetanse og motivasjon er medarbeiderens modenhetsnivå. Hersey og Blanchard: lederen må tilpasse seg modenhetsnivået, ikke omvendt. Instruerende (sterkt styrende, svakt støttende) når den ansatte mangler både kompetanse og motivasjon; overtalende eller selgende (sterkt styrende, sterkt støttende) når motivasjonen er der, men ikke kompetansen; deltagende (svakt styrende, sterkt støttende) når kompetansen er der, men lederen må støtte og oppmuntre; delegerende (svakt styrende, svakt støttende) når den ansatte er både kompetent og motivert.</t>
  </si>
  <si>
    <t xml:space="preserve">Fjell Elektro AS er i sitt andre driftsår. Mona Fjell er eier, daglig leder og faglig ansvarlig, og jobber halve tiden ute på oppdrag. Etter sommeren skal Fjell ta inn sin første lærling, rett fra skolen, og en tredje montør med erfaring; Mona planlegger allerede hvordan hun skal lede lærlingen den første uka. Den ene montøren har montert de fleste av Fjells ladebokser og vil gjerne ha ansvaret for dem selv. Nå skal Fjell montere sitt første solcelleanlegg, på en enebolig, og den samme montøren gleder seg, men har aldri montert solceller. Den andre montøren kan sikringsskap godt, men har mistet lysten etter en reklamasjon i vinter og vil ikke ta avgjørelser alene. Mona sier: «Jeg er demokratisk. Jeg liker ikke å bestemme over folk.» Gå fram slik: bestem modenhetsnivået for hver person i hver oppgave, velg lederstil etter Hersey og Blanchard, og vurder til slutt hva Monas utsagn betyr.</t>
  </si>
  <si>
    <t xml:space="preserve">Forutsetning</t>
  </si>
  <si>
    <t xml:space="preserve">Verdi</t>
  </si>
  <si>
    <t xml:space="preserve">Lærlingen (etter sommeren)</t>
  </si>
  <si>
    <t xml:space="preserve">Første uke: kan ennå ikke oppgavene, vil være usikker og si lite</t>
  </si>
  <si>
    <t xml:space="preserve">Montør 1, ladebokser</t>
  </si>
  <si>
    <t xml:space="preserve">Har montert de fleste; vil gjerne ha ansvaret selv</t>
  </si>
  <si>
    <t xml:space="preserve">Montør 1, solceller</t>
  </si>
  <si>
    <t xml:space="preserve">Fjells første anlegg: aldri gjort, gleder seg</t>
  </si>
  <si>
    <t xml:space="preserve">Montør 2, sikringsskap</t>
  </si>
  <si>
    <t xml:space="preserve">Kan jobben godt; mistet lysten etter en reklamasjon, vil ikke avgjøre alene</t>
  </si>
  <si>
    <t xml:space="preserve">Mona</t>
  </si>
  <si>
    <t xml:space="preserve">Eier, daglig leder og faglig ansvarlig; halve tiden ute på oppdrag</t>
  </si>
  <si>
    <t xml:space="preserve">Mona om seg selv</t>
  </si>
  <si>
    <t xml:space="preserve">«Jeg er demokratisk. Jeg liker ikke å bestemme over folk.»</t>
  </si>
  <si>
    <t xml:space="preserve">a)  Hvilken av Hersey og Blanchards fire lederstiler passer for lærlingen den første uka?   A: Delegerende   B: Instruerende   C: Deltagende   (skriv bokstaven)</t>
  </si>
  <si>
    <t xml:space="preserve">b)  Montør 2 kan sikringsskap godt, men har mistet lysten og vil ikke ta avgjørelser alene. Hvilken lederstil passer?   A: Instruerende: forklar ham hvordan et skap byttes   B: Deltagende: lite styring, mye støtte, be om forslagene hans   C: Delegerende: overlat alt og la ham være   (skriv bokstaven)</t>
  </si>
  <si>
    <t xml:space="preserve">c)  Ja eller nei: stemmer dette med Hersey og Blanchard slik boka gjengir dem (17.5.3)?</t>
  </si>
  <si>
    <t xml:space="preserve">      Lederen må tilpasse seg medarbeiderens modenhetsnivå   (Ja eller Nei)</t>
  </si>
  <si>
    <t xml:space="preserve">      Montørene må venne seg til Monas demokratiske stil   (Ja eller Nei)</t>
  </si>
  <si>
    <t xml:space="preserve">      Modenhetsnivå er summen av kompetanse og motivasjon   (Ja eller Nei)</t>
  </si>
  <si>
    <t xml:space="preserve">      Overtalende og selgende er samme lederstil   (Ja eller Nei)</t>
  </si>
  <si>
    <t xml:space="preserve">      Delegerende stil er sterkt styrende og svakt støttende   (Ja eller Nei)</t>
  </si>
  <si>
    <t xml:space="preserve">d)  Montør 1 er Fjells beste på ladebokser, og Mona vil delegere hele solcelleanlegget til ham. Hva er riktig?   A: Ja: han har høy modenhet, så hun kan delegere alt   B: Nei: i solceller er han motivert, men mangler kompetansen; da passer overtalende (selgende) stil   C: Nei: han bør ha instruerende stil i alt, også ladebokser   (skriv bokstaven)</t>
  </si>
  <si>
    <t xml:space="preserve">e)  Mona sier: «Jeg er demokratisk. Jeg liker ikke å bestemme over folk.» Hvordan bør hun lede lærlingen og de to montørene de første ukene etter at lærlingen har begynt, og hva betyr utsagnet hennes? Tre–fire setninger.</t>
  </si>
  <si>
    <t xml:space="preserve">Ingen ny formel. Bruk skalaen demokratisk–autoritær (17.5.1–17.5.2) og situasjonsbestemt ledelse med Hersey og Blanchard (17.5.3, figur 17.3).</t>
  </si>
  <si>
    <t xml:space="preserve">Modenheten</t>
  </si>
  <si>
    <t xml:space="preserve">Spør to ting om hver person i hver oppgave: kan hun eller han det (kompetanse)? Vil hun eller han det (motivasjon)? Begge nei: instruerende. Vil, men kan ikke: overtalende.</t>
  </si>
  <si>
    <t xml:space="preserve">Én person, to oppgaver</t>
  </si>
  <si>
    <t xml:space="preserve">Montør 1 har to oppgaver. Er han like moden i begge? Boka sier at situasjonen også avhenger av om oppgaven er kjent eller ny. For e: les 17.5.2 om skalaen demokratisk–autoritær.</t>
  </si>
  <si>
    <t xml:space="preserve">Kilde: Hjertnes, F.: Markedsføring, organisasjon og ledelse for LØM-emnet, kap. 17, avsnitt 17.5.1–17.5.2 (demokratisk og autoritær lederstil som ytterpunkter), 17.5.3 (situasjonsvariablene, modenhetsnivå, Hersey og Blanchards fire lederstiler, figur 17.3). Fjell Elektro AS er en konstruert casebedrift.</t>
  </si>
  <si>
    <t xml:space="preserve">B1 · Nordlys: 150 000 kroner for å beholde folkene</t>
  </si>
  <si>
    <t xml:space="preserve">Kort oppsummert: Herzberg (17.8.3) fant at motivasjonsfaktorene (egne arbeidsprestasjoner, anerkjennelse, arbeidet i seg selv, ansvar, forfremmelse, personlig utvikling) gir trivsel, mens hygienefaktorene (lønn og andre goder, policy og administrasjon, kollegiale forhold, fysisk arbeidsmiljø, ledelse, status, jobbsikkerhet) gir mistrivsel når de er dårlige, men bare fravær av mistrivsel når de er gode. Trivsel er utelukkende et resultat av høy score på motivasjonsfaktorene, og jobbene må derfor utformes slik at de ivaretas. Maslow (17.8.1): et motiv er et behov som er blitt så sterkt at det fører til handling; belønninger kan være ytre og materielle eller indre og psykologiske.</t>
  </si>
  <si>
    <t xml:space="preserve">Casen er lagt til 2026/2027. I fjor sa en montør i service opp, selv om han hadde fått 2 000 kr mer i måneden; han hadde i et halvt år bedt om å få være med på solcelleoppdragene. Kari vil ikke miste flere, og har satt av 150 000 kr neste år til tiltak for å beholde folkene. Ledergruppa har kommet med åtte forslag. Tom mener at det enkleste er å gi alle lønnstillegg. Gå fram slik: regn hva alle åtte koster, sorter forslagene etter Herzberg, regn hvor stor del av potten motivasjonstiltakene tar, ta stilling til Toms forslag, og sett sammen en pakke innenfor potten.</t>
  </si>
  <si>
    <t xml:space="preserve">Forslag</t>
  </si>
  <si>
    <t xml:space="preserve">Kroner</t>
  </si>
  <si>
    <t xml:space="preserve">Faktor</t>
  </si>
  <si>
    <t xml:space="preserve">1 Lønnstillegg, to montører</t>
  </si>
  <si>
    <t xml:space="preserve">2 Solcellekurs, to montører</t>
  </si>
  <si>
    <t xml:space="preserve">3 Ny brakke med garderobe</t>
  </si>
  <si>
    <t xml:space="preserve">4 Egne solcelleanlegg, én montør</t>
  </si>
  <si>
    <t xml:space="preserve">5 Firmatur for alle</t>
  </si>
  <si>
    <t xml:space="preserve">6 Ros på mandagsmøtet</t>
  </si>
  <si>
    <t xml:space="preserve">7 Nye telefoner til alle</t>
  </si>
  <si>
    <t xml:space="preserve">8 Bedre pensjon</t>
  </si>
  <si>
    <t xml:space="preserve">= Potten</t>
  </si>
  <si>
    <t xml:space="preserve">a)  Hva koster alle åtte forslagene til sammen, og hvor mye mer er det enn potten?</t>
  </si>
  <si>
    <t xml:space="preserve">Ingen formel fra boka; dette er en sum og en differanse. Begrepet bak er knappe ressurser, som lederen som ressursfordeler må prioritere (Organisasjon og ledelse 17.3.3).</t>
  </si>
  <si>
    <t xml:space="preserve">b)  Ja eller nei: er forslaget en motivasjonsfaktor hos Herzberg (17.8.3)? Nei betyr at det er en hygienefaktor.</t>
  </si>
  <si>
    <t xml:space="preserve">      1 Lønnstillegg til to montører   (Ja eller Nei)</t>
  </si>
  <si>
    <t xml:space="preserve">      2 Solcellekurs for to montører   (Ja eller Nei)</t>
  </si>
  <si>
    <t xml:space="preserve">      3 Ny brakke med garderobe   (Ja eller Nei)</t>
  </si>
  <si>
    <t xml:space="preserve">      4 Ansvar for egne solcelleanlegg til én montør   (Ja eller Nei)</t>
  </si>
  <si>
    <t xml:space="preserve">      6 Ros og tilbakemelding på mandagsmøtet   (Ja eller Nei)</t>
  </si>
  <si>
    <t xml:space="preserve">      8 Bedre pensjon   (Ja eller Nei)</t>
  </si>
  <si>
    <t xml:space="preserve">c)  Hvor mange prosent av potten på 150 000 kr koster de forslagene du sorterte som motivasjonsfaktorer i b) til sammen?</t>
  </si>
  <si>
    <t xml:space="preserve">Andel av potten = kroner til tiltakene / potten × 100. Motivasjonsfaktorene etter Herzberg (Organisasjon og ledelse 17.8.3).</t>
  </si>
  <si>
    <t xml:space="preserve">d)  Tom sier: «Gi alle lønnstillegg, så trives de.» Hva sier Herzbergs undersøkelse?   A: Tom har rett: høy lønn gir trivsel   B: Lønn er uviktig og kan droppes   C: God lønn fjerner mistrivsel, men skaper ikke trivsel   (skriv bokstaven)</t>
  </si>
  <si>
    <t xml:space="preserve">e)  Sett sammen en pakke innenfor 150 000 kr, og begrunn den med Herzberg og Maslow. Si hva den koster og hvor stor del av potten den tar, og hvilket forslag du forkaster. Tre–fire setninger.</t>
  </si>
  <si>
    <t xml:space="preserve">Ingen ny formel. Bruk Herzberg (17.8.3), Maslow med ytre og indre belønning (17.8.1, behovskategoriene i kap. 2, figur 2.1) og eventuelt McGregor (17.8.2).</t>
  </si>
  <si>
    <t xml:space="preserve">Summen og sorteringen</t>
  </si>
  <si>
    <t xml:space="preserve">Legg sammen alle åtte. Sorter så: ligger tiltaket i selve arbeidet (ansvar, anerkjennelse, utvikling), eller rundt arbeidet (lønn, goder, lokaler, kolleger)?</t>
  </si>
  <si>
    <t xml:space="preserve">Prosenten og Tom</t>
  </si>
  <si>
    <t xml:space="preserve">Legg sammen kronene for forslagene du sa ja til i b), og del på 150 000. Noen av dem koster ingenting. Til Tom: hva skjer hvis lønna er lav? Hva skjer hvis den er høy? Det er to forskjellige svar.</t>
  </si>
  <si>
    <t xml:space="preserve">Kilde: Hjertnes, F.: Markedsføring, organisasjon og ledelse for LØM-emnet, kap. 17, avsnitt 17.8.1 (Maslow, ytre og indre belønning), 17.8.2 (McGregor) og 17.8.3 (Herzbergs motivasjons- og hygienefaktorer). Potten er fra appens Vurdering 1 og øvingsheftet, forslagene er tilpasset. Nordlys Elektro AS er en konstruert casebedrift.</t>
  </si>
  <si>
    <t xml:space="preserve">B2 · Fjell Elektro: målet på tavla</t>
  </si>
  <si>
    <t xml:space="preserve">Kort oppsummert: Styring handler om systemer og prinsipper for beslutningstaking og samordning (17.9). Målstyring er standardisering av resultater: de som utfører arbeidet, vet hva resultatet skal bli, men har en viss styring med virkemiddelbruken (17.9.3). Den legger til rette for desentralisering og fremmer kreativitet og initiativ. Ulempen er at personer kan bli så opptatt av egne delmål at organisasjonens overordnede mål blir skadelidende. Målene må være klare og tydelige, realistiske, kjente og aksepterte, og innbyrdes i samsvar. Regelstyring skaper forutsigbarhet, men hemmer kreativiteten (17.9.2).</t>
  </si>
  <si>
    <t xml:space="preserve">Fjell Elektro AS er i sitt andre driftsår. En montør har 1 800 betalte timer i året: 1 400 fakturerbare og 400 andre (henting av materiell, kurs, dokumentasjon). Timeprisen er 890 kr uten merverdiavgift. En mandag skrev Mona på tavla på verkstedet: «Mål: 1 500 fakturerbare timer per montør i år.» Hun snakket ikke med montørene om det først. Etter tre måneder ligger den ene montøren over målet. Samtidig har Mona sett at sjekklista før spenningssetting er hoppet over to ganger, og montør 1 har meldt seg av solcellekurset før Fjells første solcelleanlegg fordi kurstimer ikke er fakturerbare. Gå fram slik: regn faktureringsgraden i dag og hva målet er verdt, finn hvilket krav til mål som er svakest, se hva som har skjedd, og gi Mona et råd om styringen.</t>
  </si>
  <si>
    <t xml:space="preserve">Betalte timer per montør</t>
  </si>
  <si>
    <t xml:space="preserve">1 800 i året: 1 400 fakturerbare + 400 andre</t>
  </si>
  <si>
    <t xml:space="preserve">Timepris</t>
  </si>
  <si>
    <t xml:space="preserve">890 kr uten merverdiavgift</t>
  </si>
  <si>
    <t xml:space="preserve">Monas mål</t>
  </si>
  <si>
    <t xml:space="preserve">1 500 fakturerbare timer per montør i året</t>
  </si>
  <si>
    <t xml:space="preserve">Slik kom målet</t>
  </si>
  <si>
    <t xml:space="preserve">Skrevet på tavla en mandag; ikke snakket om</t>
  </si>
  <si>
    <t xml:space="preserve">Etter tre måneder</t>
  </si>
  <si>
    <t xml:space="preserve">Den ene montøren ligger over målet</t>
  </si>
  <si>
    <t xml:space="preserve">Det Mona har sett</t>
  </si>
  <si>
    <t xml:space="preserve">Sjekklista før spenningssetting hoppet over to ganger</t>
  </si>
  <si>
    <t xml:space="preserve">Solcellekurset</t>
  </si>
  <si>
    <t xml:space="preserve">Montør 1 har meldt seg av; kurstimer faktureres ikke</t>
  </si>
  <si>
    <t xml:space="preserve">a)  Hvor mange prosent av en montørs 1 800 betalte timer faktureres i dag? Én desimal.</t>
  </si>
  <si>
    <t xml:space="preserve">Faktureringsgrad = fakturerbare timer / betalte timer × 100. Timetallene er fra Fjell-casen (Økonomistyring kap. 2). Målstyring er standardisering av resultater (Organisasjon og ledelse 17.9.3).</t>
  </si>
  <si>
    <t xml:space="preserve">b)  Hvor mange kroner mer i året fakturerer Fjell hvis begge montørene når 1 500 timer?</t>
  </si>
  <si>
    <t xml:space="preserve">Økt fakturering = antall montører × økning i timer × timepris. Timeprisen 890 kr er Fjells (Økonomistyring kap. 2).</t>
  </si>
  <si>
    <t xml:space="preserve">c)  Boka sier at mål må være klare og tydelige, realistiske, kjente og aksepterte, og innbyrdes i samsvar (17.9.3). Hvilket krav er svakest ivaretatt når Mona skrev målet på tavla uten å snakke med montørene?   A: Klare og tydelige   B: Kjente og aksepterte   C: Realistiske   (skriv bokstaven)</t>
  </si>
  <si>
    <t xml:space="preserve">d)  Sjekklista før spenningssetting er hoppet over to ganger, og montør 1 har meldt seg av solcellekurset. Hva har skjedd med målstyringen?   A: Målstyring passer ikke i el-bedrifter og bør droppes   B: Målene er ikke i samsvar: timemålet går foran sikkerhet og opplæring   C: Montøren er lat og trenger direkte styring   (skriv bokstaven)</t>
  </si>
  <si>
    <t xml:space="preserve">e)  Hvordan bør Mona styre Fjell etter dette? Si hva som bør målstyres, hva som bør regelstyres, og hva hun gjør med målet på tavla. Bruk minst to av bokas styringsformer. Tre–fire setninger.</t>
  </si>
  <si>
    <t xml:space="preserve">Ingen ny formel. Bruk styringsformene i 17.9.1–17.9.5 og kravene til mål i 17.9.3.</t>
  </si>
  <si>
    <t xml:space="preserve">Faktureringsgrad: 1 400 delt på 1 800. Målet: 100 timer mer per montør, to montører, 890 kr timen.</t>
  </si>
  <si>
    <t xml:space="preserve">Kravene</t>
  </si>
  <si>
    <t xml:space="preserve">Les de fire kravene i 17.9.3 og spør: har montørene fått si ja til målet? Henger timemålet sammen med sjekklista og kurset, eller går det på bekostning av dem?</t>
  </si>
  <si>
    <t xml:space="preserve">Kilde: Hjertnes, F.: Markedsføring, organisasjon og ledelse for LØM-emnet, kap. 17, avsnitt 17.9 (styring), 17.9.1–17.9.5 (direkte styring, regelstyring, målstyring med fire krav, standardisering av kunnskap og normer). Suboptimalisering: kap. 14. Timetallene: Fjell_Elektro_fakta.md og Økonomistyring kap. 2. Fjell Elektro AS er en konstruert casebedrift.</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</si>
</sst>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FFF00"/>
        <bgColor rgb="FFFFFF00"/>
      </patternFill>
    </fill>
    <fill>
      <patternFill patternType="solid">
        <fgColor rgb="FFF4F6FA"/>
        <bgColor rgb="FFEEF2F8"/>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left" vertical="bottom" textRotation="0" wrapText="true" indent="0" shrinkToFit="false"/>
      <protection locked="true" hidden="false"/>
    </xf>
    <xf numFmtId="165" fontId="7" fillId="4" borderId="1" xfId="0" applyFont="true" applyBorder="true" applyAlignment="true" applyProtection="false">
      <alignment horizontal="right" vertical="bottom" textRotation="0" wrapText="false" indent="0" shrinkToFit="false"/>
      <protection locked="true" hidden="false"/>
    </xf>
    <xf numFmtId="164" fontId="7" fillId="4"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6" fillId="4" borderId="1" xfId="0" applyFont="true" applyBorder="true" applyAlignment="true" applyProtection="false">
      <alignment horizontal="left" vertical="bottom" textRotation="0" wrapText="true" indent="0" shrinkToFit="false"/>
      <protection locked="true" hidden="false"/>
    </xf>
    <xf numFmtId="165" fontId="6" fillId="4" borderId="1" xfId="0" applyFont="true" applyBorder="true" applyAlignment="true" applyProtection="false">
      <alignment horizontal="right" vertical="bottom" textRotation="0" wrapText="false" indent="0" shrinkToFit="false"/>
      <protection locked="true" hidden="false"/>
    </xf>
    <xf numFmtId="164" fontId="6" fillId="4" borderId="1" xfId="0" applyFont="true" applyBorder="true" applyAlignment="true" applyProtection="false">
      <alignment horizontal="right" vertical="bottom"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true" indent="0" shrinkToFit="false"/>
      <protection locked="true" hidden="false"/>
    </xf>
    <xf numFmtId="165" fontId="6" fillId="0" borderId="1" xfId="0" applyFont="true" applyBorder="true" applyAlignment="true" applyProtection="false">
      <alignment horizontal="right" vertical="bottom" textRotation="0" wrapText="false" indent="0" shrinkToFit="false"/>
      <protection locked="true" hidden="false"/>
    </xf>
    <xf numFmtId="164" fontId="6" fillId="0" borderId="1" xfId="0" applyFont="true" applyBorder="true" applyAlignment="true" applyProtection="false">
      <alignment horizontal="righ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93.75" hidden="false" customHeight="true" outlineLevel="0" collapsed="false">
      <c r="A4" s="6" t="s">
        <v>22</v>
      </c>
      <c r="B4" s="6"/>
      <c r="C4" s="6"/>
      <c r="D4" s="6"/>
      <c r="E4" s="6"/>
      <c r="F4" s="6"/>
      <c r="G4" s="6"/>
    </row>
    <row r="5" customFormat="false" ht="123.75" hidden="false" customHeight="true" outlineLevel="0" collapsed="false">
      <c r="A5" s="7" t="s">
        <v>23</v>
      </c>
      <c r="B5" s="7"/>
      <c r="C5" s="7"/>
      <c r="D5" s="7"/>
      <c r="E5" s="7"/>
      <c r="F5" s="7"/>
      <c r="G5" s="7"/>
    </row>
    <row r="7" customFormat="false" ht="15" hidden="false" customHeight="false" outlineLevel="0" collapsed="false">
      <c r="A7" s="8" t="s">
        <v>24</v>
      </c>
      <c r="B7" s="9" t="s">
        <v>25</v>
      </c>
      <c r="C7" s="9" t="s">
        <v>26</v>
      </c>
    </row>
    <row r="8" customFormat="false" ht="15" hidden="false" customHeight="false" outlineLevel="0" collapsed="false">
      <c r="A8" s="10" t="s">
        <v>27</v>
      </c>
      <c r="B8" s="11" t="n">
        <v>15</v>
      </c>
      <c r="C8" s="12"/>
    </row>
    <row r="9" customFormat="false" ht="15" hidden="false" customHeight="false" outlineLevel="0" collapsed="false">
      <c r="A9" s="13" t="s">
        <v>28</v>
      </c>
      <c r="B9" s="14" t="n">
        <v>6</v>
      </c>
      <c r="C9" s="15"/>
    </row>
    <row r="10" customFormat="false" ht="15" hidden="false" customHeight="false" outlineLevel="0" collapsed="false">
      <c r="A10" s="10" t="s">
        <v>29</v>
      </c>
      <c r="B10" s="11" t="n">
        <v>4</v>
      </c>
      <c r="C10" s="16"/>
    </row>
    <row r="11" customFormat="false" ht="15" hidden="false" customHeight="false" outlineLevel="0" collapsed="false">
      <c r="A11" s="13" t="s">
        <v>30</v>
      </c>
      <c r="B11" s="14" t="n">
        <v>4</v>
      </c>
      <c r="C11" s="15"/>
    </row>
    <row r="12" customFormat="false" ht="15" hidden="false" customHeight="false" outlineLevel="0" collapsed="false">
      <c r="A12" s="10" t="s">
        <v>31</v>
      </c>
      <c r="B12" s="11" t="n">
        <v>4</v>
      </c>
      <c r="C12" s="16"/>
    </row>
    <row r="13" customFormat="false" ht="15" hidden="false" customHeight="false" outlineLevel="0" collapsed="false">
      <c r="A13" s="13" t="s">
        <v>32</v>
      </c>
      <c r="B13" s="14" t="n">
        <v>2.5</v>
      </c>
      <c r="C13" s="15"/>
    </row>
    <row r="14" customFormat="false" ht="15" hidden="false" customHeight="false" outlineLevel="0" collapsed="false">
      <c r="A14" s="10" t="s">
        <v>33</v>
      </c>
      <c r="B14" s="11" t="n">
        <v>2</v>
      </c>
      <c r="C14" s="16"/>
    </row>
    <row r="15" customFormat="false" ht="15" hidden="false" customHeight="false" outlineLevel="0" collapsed="false">
      <c r="A15" s="17" t="s">
        <v>34</v>
      </c>
      <c r="B15" s="18" t="n">
        <v>37.5</v>
      </c>
      <c r="C15" s="19" t="s">
        <v>35</v>
      </c>
    </row>
    <row r="16" customFormat="false" ht="15" hidden="false" customHeight="true" outlineLevel="0" collapsed="false">
      <c r="A16" s="6" t="s">
        <v>36</v>
      </c>
      <c r="B16" s="6"/>
      <c r="C16" s="6"/>
      <c r="D16" s="6"/>
      <c r="E16" s="6"/>
      <c r="F16" s="6"/>
      <c r="G16" s="6"/>
    </row>
    <row r="18" customFormat="false" ht="15" hidden="false" customHeight="false" outlineLevel="0" collapsed="false">
      <c r="A18" s="20" t="s">
        <v>37</v>
      </c>
      <c r="B18" s="20"/>
      <c r="C18" s="20"/>
      <c r="D18" s="20"/>
      <c r="E18" s="20"/>
      <c r="F18" s="20" t="s">
        <v>38</v>
      </c>
      <c r="G18" s="20" t="s">
        <v>39</v>
      </c>
    </row>
    <row r="19" customFormat="false" ht="18.75" hidden="false" customHeight="true" outlineLevel="0" collapsed="false">
      <c r="A19" s="7" t="s">
        <v>40</v>
      </c>
      <c r="B19" s="7"/>
      <c r="C19" s="7"/>
      <c r="D19" s="7"/>
      <c r="E19" s="7"/>
      <c r="F19" s="12"/>
      <c r="G19" s="21" t="str">
        <f aca="false">IF(F19="","",IF(ABS(F19-(40))&lt;=0.1,"Riktig","Prøv igjen"))</f>
        <v/>
      </c>
    </row>
    <row r="20" customFormat="false" ht="30" hidden="false" customHeight="true" outlineLevel="0" collapsed="false">
      <c r="A20" s="22" t="s">
        <v>41</v>
      </c>
      <c r="B20" s="23" t="s">
        <v>42</v>
      </c>
      <c r="C20" s="23"/>
      <c r="D20" s="23"/>
      <c r="E20" s="23"/>
      <c r="F20" s="23"/>
      <c r="G20" s="23"/>
    </row>
    <row r="22" customFormat="false" ht="48.75" hidden="false" customHeight="true" outlineLevel="0" collapsed="false">
      <c r="A22" s="7" t="s">
        <v>43</v>
      </c>
      <c r="B22" s="7"/>
      <c r="C22" s="7"/>
      <c r="D22" s="7"/>
      <c r="E22" s="7"/>
      <c r="F22" s="12"/>
      <c r="G22" s="21" t="str">
        <f aca="false">IF(F22="","",IF(ABS(F22-(12.5))&lt;=0.000000001,"Riktig","Prøv igjen"))</f>
        <v/>
      </c>
    </row>
    <row r="23" customFormat="false" ht="42.75" hidden="false" customHeight="true" outlineLevel="0" collapsed="false">
      <c r="A23" s="22" t="s">
        <v>41</v>
      </c>
      <c r="B23" s="23" t="s">
        <v>44</v>
      </c>
      <c r="C23" s="23"/>
      <c r="D23" s="23"/>
      <c r="E23" s="23"/>
      <c r="F23" s="23"/>
      <c r="G23" s="23"/>
    </row>
    <row r="25" customFormat="false" ht="33.75" hidden="false" customHeight="true" outlineLevel="0" collapsed="false">
      <c r="A25" s="7" t="s">
        <v>45</v>
      </c>
      <c r="B25" s="7"/>
      <c r="C25" s="7"/>
      <c r="D25" s="7"/>
      <c r="E25" s="7"/>
      <c r="F25" s="24"/>
      <c r="G25" s="21" t="str">
        <f aca="false">IF(F25="","",IF(UPPER(TRIM(F25))="C","Riktig","Prøv igjen"))</f>
        <v/>
      </c>
    </row>
    <row r="26" customFormat="false" ht="48.75" hidden="false" customHeight="true" outlineLevel="0" collapsed="false">
      <c r="A26" s="7" t="s">
        <v>46</v>
      </c>
      <c r="B26" s="7"/>
      <c r="C26" s="7"/>
      <c r="D26" s="7"/>
      <c r="E26" s="7"/>
    </row>
    <row r="27" customFormat="false" ht="15" hidden="false" customHeight="true" outlineLevel="0" collapsed="false">
      <c r="A27" s="7" t="s">
        <v>47</v>
      </c>
      <c r="B27" s="7"/>
      <c r="C27" s="7"/>
      <c r="D27" s="7"/>
      <c r="E27" s="7"/>
      <c r="F27" s="24"/>
      <c r="G27" s="21" t="str">
        <f aca="false">IF(F27="","",IF(UPPER(TRIM(F27))="JA","Riktig","Prøv igjen"))</f>
        <v/>
      </c>
    </row>
    <row r="28" customFormat="false" ht="15" hidden="false" customHeight="true" outlineLevel="0" collapsed="false">
      <c r="A28" s="7" t="s">
        <v>48</v>
      </c>
      <c r="B28" s="7"/>
      <c r="C28" s="7"/>
      <c r="D28" s="7"/>
      <c r="E28" s="7"/>
      <c r="F28" s="24"/>
      <c r="G28" s="21" t="str">
        <f aca="false">IF(F28="","",IF(UPPER(TRIM(F28))="JA","Riktig","Prøv igjen"))</f>
        <v/>
      </c>
    </row>
    <row r="29" customFormat="false" ht="15" hidden="false" customHeight="true" outlineLevel="0" collapsed="false">
      <c r="A29" s="7" t="s">
        <v>49</v>
      </c>
      <c r="B29" s="7"/>
      <c r="C29" s="7"/>
      <c r="D29" s="7"/>
      <c r="E29" s="7"/>
      <c r="F29" s="24"/>
      <c r="G29" s="21" t="str">
        <f aca="false">IF(F29="","",IF(UPPER(TRIM(F29))="JA","Riktig","Prøv igjen"))</f>
        <v/>
      </c>
    </row>
    <row r="30" customFormat="false" ht="15" hidden="false" customHeight="true" outlineLevel="0" collapsed="false">
      <c r="A30" s="7" t="s">
        <v>50</v>
      </c>
      <c r="B30" s="7"/>
      <c r="C30" s="7"/>
      <c r="D30" s="7"/>
      <c r="E30" s="7"/>
      <c r="F30" s="24"/>
      <c r="G30" s="21" t="str">
        <f aca="false">IF(F30="","",IF(UPPER(TRIM(F30))="JA","Riktig","Prøv igjen"))</f>
        <v/>
      </c>
    </row>
    <row r="31" customFormat="false" ht="15" hidden="false" customHeight="true" outlineLevel="0" collapsed="false">
      <c r="A31" s="7" t="s">
        <v>51</v>
      </c>
      <c r="B31" s="7"/>
      <c r="C31" s="7"/>
      <c r="D31" s="7"/>
      <c r="E31" s="7"/>
      <c r="F31" s="24"/>
      <c r="G31" s="21" t="str">
        <f aca="false">IF(F31="","",IF(UPPER(TRIM(F31))="NEI","Riktig","Prøv igjen"))</f>
        <v/>
      </c>
    </row>
    <row r="32" customFormat="false" ht="48.75" hidden="false" customHeight="true" outlineLevel="0" collapsed="false">
      <c r="A32" s="7" t="s">
        <v>52</v>
      </c>
      <c r="B32" s="7"/>
      <c r="C32" s="7"/>
      <c r="D32" s="7"/>
      <c r="E32" s="7"/>
    </row>
    <row r="33" customFormat="false" ht="15" hidden="false" customHeight="false" outlineLevel="0" collapsed="false">
      <c r="A33" s="25"/>
      <c r="B33" s="25"/>
      <c r="C33" s="25"/>
      <c r="D33" s="25"/>
      <c r="E33" s="25"/>
      <c r="F33" s="25"/>
      <c r="G33" s="25"/>
    </row>
    <row r="34" customFormat="false" ht="15" hidden="false" customHeight="false" outlineLevel="0" collapsed="false">
      <c r="A34" s="25"/>
      <c r="B34" s="25"/>
      <c r="C34" s="25"/>
      <c r="D34" s="25"/>
      <c r="E34" s="25"/>
      <c r="F34" s="25"/>
      <c r="G34" s="25"/>
    </row>
    <row r="35" customFormat="false" ht="15" hidden="false" customHeight="false" outlineLevel="0" collapsed="false">
      <c r="A35" s="25"/>
      <c r="B35" s="25"/>
      <c r="C35" s="25"/>
      <c r="D35" s="25"/>
      <c r="E35" s="25"/>
      <c r="F35" s="25"/>
      <c r="G35" s="25"/>
    </row>
    <row r="36" customFormat="false" ht="30" hidden="false" customHeight="true" outlineLevel="0" collapsed="false">
      <c r="A36" s="22" t="s">
        <v>41</v>
      </c>
      <c r="B36" s="23" t="s">
        <v>53</v>
      </c>
      <c r="C36" s="23"/>
      <c r="D36" s="23"/>
      <c r="E36" s="23"/>
      <c r="F36" s="23"/>
      <c r="G36" s="23"/>
    </row>
    <row r="39" customFormat="false" ht="15" hidden="false" customHeight="false" outlineLevel="0" collapsed="false">
      <c r="A39" s="26" t="s">
        <v>54</v>
      </c>
      <c r="B39" s="26"/>
      <c r="C39" s="26"/>
      <c r="D39" s="26"/>
      <c r="E39" s="26"/>
      <c r="F39" s="26"/>
      <c r="G39" s="26"/>
    </row>
    <row r="40" customFormat="false" ht="30" hidden="false" customHeight="true" outlineLevel="0" collapsed="false">
      <c r="A40" s="27" t="s">
        <v>55</v>
      </c>
      <c r="B40" s="28" t="s">
        <v>56</v>
      </c>
      <c r="C40" s="28"/>
      <c r="D40" s="28"/>
      <c r="E40" s="28"/>
      <c r="F40" s="28"/>
      <c r="G40" s="28"/>
    </row>
    <row r="41" customFormat="false" ht="30" hidden="false" customHeight="true" outlineLevel="0" collapsed="false">
      <c r="A41" s="27" t="s">
        <v>57</v>
      </c>
      <c r="B41" s="28" t="s">
        <v>58</v>
      </c>
      <c r="C41" s="28"/>
      <c r="D41" s="28"/>
      <c r="E41" s="28"/>
      <c r="F41" s="28"/>
      <c r="G41" s="28"/>
    </row>
    <row r="43" customFormat="false" ht="48.75" hidden="false" customHeight="true" outlineLevel="0" collapsed="false">
      <c r="A43" s="6" t="s">
        <v>59</v>
      </c>
      <c r="B43" s="6"/>
      <c r="C43" s="6"/>
      <c r="D43" s="6"/>
      <c r="E43" s="6"/>
      <c r="F43" s="6"/>
      <c r="G43" s="6"/>
    </row>
    <row r="44" customFormat="false" ht="15" hidden="false" customHeight="true" outlineLevel="0" collapsed="false">
      <c r="A44" s="6" t="s">
        <v>60</v>
      </c>
      <c r="B44" s="6"/>
      <c r="C44" s="6"/>
      <c r="D44" s="6"/>
      <c r="E44" s="6"/>
      <c r="F44" s="6"/>
      <c r="G44" s="6"/>
    </row>
  </sheetData>
  <mergeCells count="23">
    <mergeCell ref="A4:G4"/>
    <mergeCell ref="A5:G5"/>
    <mergeCell ref="A16:G16"/>
    <mergeCell ref="A18:E18"/>
    <mergeCell ref="A19:E19"/>
    <mergeCell ref="B20:G20"/>
    <mergeCell ref="A22:E22"/>
    <mergeCell ref="B23:G23"/>
    <mergeCell ref="A25:E25"/>
    <mergeCell ref="A26:E26"/>
    <mergeCell ref="A27:E27"/>
    <mergeCell ref="A28:E28"/>
    <mergeCell ref="A29:E29"/>
    <mergeCell ref="A30:E30"/>
    <mergeCell ref="A31:E31"/>
    <mergeCell ref="A32:E32"/>
    <mergeCell ref="A33:G35"/>
    <mergeCell ref="B36:G36"/>
    <mergeCell ref="A39:G39"/>
    <mergeCell ref="B40:G40"/>
    <mergeCell ref="B41:G41"/>
    <mergeCell ref="A43:G43"/>
    <mergeCell ref="A44:G4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61</v>
      </c>
    </row>
    <row r="2" customFormat="false" ht="15" hidden="false" customHeight="false" outlineLevel="0" collapsed="false">
      <c r="A2" s="2" t="s">
        <v>21</v>
      </c>
    </row>
    <row r="4" customFormat="false" ht="108.75" hidden="false" customHeight="true" outlineLevel="0" collapsed="false">
      <c r="A4" s="6" t="s">
        <v>62</v>
      </c>
      <c r="B4" s="6"/>
      <c r="C4" s="6"/>
      <c r="D4" s="6"/>
      <c r="E4" s="6"/>
      <c r="F4" s="6"/>
      <c r="G4" s="6"/>
    </row>
    <row r="5" customFormat="false" ht="138.75" hidden="false" customHeight="true" outlineLevel="0" collapsed="false">
      <c r="A5" s="7" t="s">
        <v>63</v>
      </c>
      <c r="B5" s="7"/>
      <c r="C5" s="7"/>
      <c r="D5" s="7"/>
      <c r="E5" s="7"/>
      <c r="F5" s="7"/>
      <c r="G5" s="7"/>
    </row>
    <row r="7" customFormat="false" ht="15" hidden="false" customHeight="false" outlineLevel="0" collapsed="false">
      <c r="A7" s="20" t="s">
        <v>64</v>
      </c>
      <c r="B7" s="20" t="s">
        <v>65</v>
      </c>
      <c r="C7" s="20"/>
      <c r="D7" s="20"/>
      <c r="E7" s="20"/>
      <c r="F7" s="20"/>
      <c r="G7" s="20"/>
    </row>
    <row r="8" customFormat="false" ht="18.75" hidden="false" customHeight="true" outlineLevel="0" collapsed="false">
      <c r="A8" s="29" t="s">
        <v>66</v>
      </c>
      <c r="B8" s="7" t="s">
        <v>67</v>
      </c>
      <c r="C8" s="7"/>
      <c r="D8" s="7"/>
      <c r="E8" s="7"/>
      <c r="F8" s="7"/>
      <c r="G8" s="7"/>
    </row>
    <row r="9" customFormat="false" ht="18.75" hidden="false" customHeight="true" outlineLevel="0" collapsed="false">
      <c r="A9" s="29" t="s">
        <v>68</v>
      </c>
      <c r="B9" s="7" t="s">
        <v>69</v>
      </c>
      <c r="C9" s="7"/>
      <c r="D9" s="7"/>
      <c r="E9" s="7"/>
      <c r="F9" s="7"/>
      <c r="G9" s="7"/>
    </row>
    <row r="10" customFormat="false" ht="18.75" hidden="false" customHeight="true" outlineLevel="0" collapsed="false">
      <c r="A10" s="29" t="s">
        <v>70</v>
      </c>
      <c r="B10" s="7" t="s">
        <v>71</v>
      </c>
      <c r="C10" s="7"/>
      <c r="D10" s="7"/>
      <c r="E10" s="7"/>
      <c r="F10" s="7"/>
      <c r="G10" s="7"/>
    </row>
    <row r="11" customFormat="false" ht="18.75" hidden="false" customHeight="true" outlineLevel="0" collapsed="false">
      <c r="A11" s="29" t="s">
        <v>72</v>
      </c>
      <c r="B11" s="7" t="s">
        <v>73</v>
      </c>
      <c r="C11" s="7"/>
      <c r="D11" s="7"/>
      <c r="E11" s="7"/>
      <c r="F11" s="7"/>
      <c r="G11" s="7"/>
    </row>
    <row r="12" customFormat="false" ht="18.75" hidden="false" customHeight="true" outlineLevel="0" collapsed="false">
      <c r="A12" s="29" t="s">
        <v>74</v>
      </c>
      <c r="B12" s="7" t="s">
        <v>75</v>
      </c>
      <c r="C12" s="7"/>
      <c r="D12" s="7"/>
      <c r="E12" s="7"/>
      <c r="F12" s="7"/>
      <c r="G12" s="7"/>
    </row>
    <row r="13" customFormat="false" ht="18.75" hidden="false" customHeight="true" outlineLevel="0" collapsed="false">
      <c r="A13" s="29" t="s">
        <v>76</v>
      </c>
      <c r="B13" s="7" t="s">
        <v>77</v>
      </c>
      <c r="C13" s="7"/>
      <c r="D13" s="7"/>
      <c r="E13" s="7"/>
      <c r="F13" s="7"/>
      <c r="G13" s="7"/>
    </row>
    <row r="15" customFormat="false" ht="15" hidden="false" customHeight="false" outlineLevel="0" collapsed="false">
      <c r="A15" s="20" t="s">
        <v>37</v>
      </c>
      <c r="B15" s="20"/>
      <c r="C15" s="20"/>
      <c r="D15" s="20"/>
      <c r="E15" s="20"/>
      <c r="F15" s="20" t="s">
        <v>38</v>
      </c>
      <c r="G15" s="20" t="s">
        <v>39</v>
      </c>
    </row>
    <row r="16" customFormat="false" ht="33.75" hidden="false" customHeight="true" outlineLevel="0" collapsed="false">
      <c r="A16" s="7" t="s">
        <v>78</v>
      </c>
      <c r="B16" s="7"/>
      <c r="C16" s="7"/>
      <c r="D16" s="7"/>
      <c r="E16" s="7"/>
      <c r="F16" s="24"/>
      <c r="G16" s="21" t="str">
        <f aca="false">IF(F16="","",IF(UPPER(TRIM(F16))="B","Riktig","Prøv igjen"))</f>
        <v/>
      </c>
    </row>
    <row r="17" customFormat="false" ht="63.75" hidden="false" customHeight="true" outlineLevel="0" collapsed="false">
      <c r="A17" s="7" t="s">
        <v>79</v>
      </c>
      <c r="B17" s="7"/>
      <c r="C17" s="7"/>
      <c r="D17" s="7"/>
      <c r="E17" s="7"/>
      <c r="F17" s="24"/>
      <c r="G17" s="21" t="str">
        <f aca="false">IF(F17="","",IF(UPPER(TRIM(F17))="B","Riktig","Prøv igjen"))</f>
        <v/>
      </c>
    </row>
    <row r="18" customFormat="false" ht="18.75" hidden="false" customHeight="true" outlineLevel="0" collapsed="false">
      <c r="A18" s="7" t="s">
        <v>80</v>
      </c>
      <c r="B18" s="7"/>
      <c r="C18" s="7"/>
      <c r="D18" s="7"/>
      <c r="E18" s="7"/>
    </row>
    <row r="19" customFormat="false" ht="15" hidden="false" customHeight="true" outlineLevel="0" collapsed="false">
      <c r="A19" s="7" t="s">
        <v>81</v>
      </c>
      <c r="B19" s="7"/>
      <c r="C19" s="7"/>
      <c r="D19" s="7"/>
      <c r="E19" s="7"/>
      <c r="F19" s="24"/>
      <c r="G19" s="21" t="str">
        <f aca="false">IF(F19="","",IF(UPPER(TRIM(F19))="JA","Riktig","Prøv igjen"))</f>
        <v/>
      </c>
    </row>
    <row r="20" customFormat="false" ht="15" hidden="false" customHeight="true" outlineLevel="0" collapsed="false">
      <c r="A20" s="7" t="s">
        <v>82</v>
      </c>
      <c r="B20" s="7"/>
      <c r="C20" s="7"/>
      <c r="D20" s="7"/>
      <c r="E20" s="7"/>
      <c r="F20" s="24"/>
      <c r="G20" s="21" t="str">
        <f aca="false">IF(F20="","",IF(UPPER(TRIM(F20))="NEI","Riktig","Prøv igjen"))</f>
        <v/>
      </c>
    </row>
    <row r="21" customFormat="false" ht="15" hidden="false" customHeight="true" outlineLevel="0" collapsed="false">
      <c r="A21" s="7" t="s">
        <v>83</v>
      </c>
      <c r="B21" s="7"/>
      <c r="C21" s="7"/>
      <c r="D21" s="7"/>
      <c r="E21" s="7"/>
      <c r="F21" s="24"/>
      <c r="G21" s="21" t="str">
        <f aca="false">IF(F21="","",IF(UPPER(TRIM(F21))="JA","Riktig","Prøv igjen"))</f>
        <v/>
      </c>
    </row>
    <row r="22" customFormat="false" ht="15" hidden="false" customHeight="true" outlineLevel="0" collapsed="false">
      <c r="A22" s="7" t="s">
        <v>84</v>
      </c>
      <c r="B22" s="7"/>
      <c r="C22" s="7"/>
      <c r="D22" s="7"/>
      <c r="E22" s="7"/>
      <c r="F22" s="24"/>
      <c r="G22" s="21" t="str">
        <f aca="false">IF(F22="","",IF(UPPER(TRIM(F22))="JA","Riktig","Prøv igjen"))</f>
        <v/>
      </c>
    </row>
    <row r="23" customFormat="false" ht="15" hidden="false" customHeight="true" outlineLevel="0" collapsed="false">
      <c r="A23" s="7" t="s">
        <v>85</v>
      </c>
      <c r="B23" s="7"/>
      <c r="C23" s="7"/>
      <c r="D23" s="7"/>
      <c r="E23" s="7"/>
      <c r="F23" s="24"/>
      <c r="G23" s="21" t="str">
        <f aca="false">IF(F23="","",IF(UPPER(TRIM(F23))="NEI","Riktig","Prøv igjen"))</f>
        <v/>
      </c>
    </row>
    <row r="24" customFormat="false" ht="63.75" hidden="false" customHeight="true" outlineLevel="0" collapsed="false">
      <c r="A24" s="7" t="s">
        <v>86</v>
      </c>
      <c r="B24" s="7"/>
      <c r="C24" s="7"/>
      <c r="D24" s="7"/>
      <c r="E24" s="7"/>
      <c r="F24" s="24"/>
      <c r="G24" s="21" t="str">
        <f aca="false">IF(F24="","",IF(UPPER(TRIM(F24))="B","Riktig","Prøv igjen"))</f>
        <v/>
      </c>
    </row>
    <row r="25" customFormat="false" ht="48.75" hidden="false" customHeight="true" outlineLevel="0" collapsed="false">
      <c r="A25" s="7" t="s">
        <v>87</v>
      </c>
      <c r="B25" s="7"/>
      <c r="C25" s="7"/>
      <c r="D25" s="7"/>
      <c r="E25" s="7"/>
    </row>
    <row r="26" customFormat="false" ht="15" hidden="false" customHeight="false" outlineLevel="0" collapsed="false">
      <c r="A26" s="25"/>
      <c r="B26" s="25"/>
      <c r="C26" s="25"/>
      <c r="D26" s="25"/>
      <c r="E26" s="25"/>
      <c r="F26" s="25"/>
      <c r="G26" s="25"/>
    </row>
    <row r="27" customFormat="false" ht="15" hidden="false" customHeight="false" outlineLevel="0" collapsed="false">
      <c r="A27" s="25"/>
      <c r="B27" s="25"/>
      <c r="C27" s="25"/>
      <c r="D27" s="25"/>
      <c r="E27" s="25"/>
      <c r="F27" s="25"/>
      <c r="G27" s="25"/>
    </row>
    <row r="28" customFormat="false" ht="15" hidden="false" customHeight="false" outlineLevel="0" collapsed="false">
      <c r="A28" s="25"/>
      <c r="B28" s="25"/>
      <c r="C28" s="25"/>
      <c r="D28" s="25"/>
      <c r="E28" s="25"/>
      <c r="F28" s="25"/>
      <c r="G28" s="25"/>
    </row>
    <row r="29" customFormat="false" ht="30" hidden="false" customHeight="true" outlineLevel="0" collapsed="false">
      <c r="A29" s="22" t="s">
        <v>41</v>
      </c>
      <c r="B29" s="23" t="s">
        <v>88</v>
      </c>
      <c r="C29" s="23"/>
      <c r="D29" s="23"/>
      <c r="E29" s="23"/>
      <c r="F29" s="23"/>
      <c r="G29" s="23"/>
    </row>
    <row r="32" customFormat="false" ht="15" hidden="false" customHeight="false" outlineLevel="0" collapsed="false">
      <c r="A32" s="26" t="s">
        <v>54</v>
      </c>
      <c r="B32" s="26"/>
      <c r="C32" s="26"/>
      <c r="D32" s="26"/>
      <c r="E32" s="26"/>
      <c r="F32" s="26"/>
      <c r="G32" s="26"/>
    </row>
    <row r="33" customFormat="false" ht="30" hidden="false" customHeight="true" outlineLevel="0" collapsed="false">
      <c r="A33" s="27" t="s">
        <v>89</v>
      </c>
      <c r="B33" s="28" t="s">
        <v>90</v>
      </c>
      <c r="C33" s="28"/>
      <c r="D33" s="28"/>
      <c r="E33" s="28"/>
      <c r="F33" s="28"/>
      <c r="G33" s="28"/>
    </row>
    <row r="34" customFormat="false" ht="30" hidden="false" customHeight="true" outlineLevel="0" collapsed="false">
      <c r="A34" s="27" t="s">
        <v>91</v>
      </c>
      <c r="B34" s="28" t="s">
        <v>92</v>
      </c>
      <c r="C34" s="28"/>
      <c r="D34" s="28"/>
      <c r="E34" s="28"/>
      <c r="F34" s="28"/>
      <c r="G34" s="28"/>
    </row>
    <row r="36" customFormat="false" ht="48.75" hidden="false" customHeight="true" outlineLevel="0" collapsed="false">
      <c r="A36" s="6" t="s">
        <v>93</v>
      </c>
      <c r="B36" s="6"/>
      <c r="C36" s="6"/>
      <c r="D36" s="6"/>
      <c r="E36" s="6"/>
      <c r="F36" s="6"/>
      <c r="G36" s="6"/>
    </row>
    <row r="37" customFormat="false" ht="15" hidden="false" customHeight="true" outlineLevel="0" collapsed="false">
      <c r="A37" s="6" t="s">
        <v>60</v>
      </c>
      <c r="B37" s="6"/>
      <c r="C37" s="6"/>
      <c r="D37" s="6"/>
      <c r="E37" s="6"/>
      <c r="F37" s="6"/>
      <c r="G37" s="6"/>
    </row>
  </sheetData>
  <mergeCells count="27">
    <mergeCell ref="A4:G4"/>
    <mergeCell ref="A5:G5"/>
    <mergeCell ref="B7:G7"/>
    <mergeCell ref="B8:G8"/>
    <mergeCell ref="B9:G9"/>
    <mergeCell ref="B10:G10"/>
    <mergeCell ref="B11:G11"/>
    <mergeCell ref="B12:G12"/>
    <mergeCell ref="B13:G13"/>
    <mergeCell ref="A15:E15"/>
    <mergeCell ref="A16:E16"/>
    <mergeCell ref="A17:E17"/>
    <mergeCell ref="A18:E18"/>
    <mergeCell ref="A19:E19"/>
    <mergeCell ref="A20:E20"/>
    <mergeCell ref="A21:E21"/>
    <mergeCell ref="A22:E22"/>
    <mergeCell ref="A23:E23"/>
    <mergeCell ref="A24:E24"/>
    <mergeCell ref="A25:E25"/>
    <mergeCell ref="A26:G28"/>
    <mergeCell ref="B29:G29"/>
    <mergeCell ref="A32:G32"/>
    <mergeCell ref="B33:G33"/>
    <mergeCell ref="B34:G34"/>
    <mergeCell ref="A36:G36"/>
    <mergeCell ref="A37:G3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94</v>
      </c>
    </row>
    <row r="2" customFormat="false" ht="15" hidden="false" customHeight="false" outlineLevel="0" collapsed="false">
      <c r="A2" s="2" t="s">
        <v>21</v>
      </c>
    </row>
    <row r="4" customFormat="false" ht="108.75" hidden="false" customHeight="true" outlineLevel="0" collapsed="false">
      <c r="A4" s="6" t="s">
        <v>95</v>
      </c>
      <c r="B4" s="6"/>
      <c r="C4" s="6"/>
      <c r="D4" s="6"/>
      <c r="E4" s="6"/>
      <c r="F4" s="6"/>
      <c r="G4" s="6"/>
    </row>
    <row r="5" customFormat="false" ht="93.75" hidden="false" customHeight="true" outlineLevel="0" collapsed="false">
      <c r="A5" s="7" t="s">
        <v>96</v>
      </c>
      <c r="B5" s="7"/>
      <c r="C5" s="7"/>
      <c r="D5" s="7"/>
      <c r="E5" s="7"/>
      <c r="F5" s="7"/>
      <c r="G5" s="7"/>
    </row>
    <row r="7" customFormat="false" ht="15" hidden="false" customHeight="false" outlineLevel="0" collapsed="false">
      <c r="A7" s="8" t="s">
        <v>97</v>
      </c>
      <c r="B7" s="9" t="s">
        <v>98</v>
      </c>
      <c r="C7" s="9" t="s">
        <v>99</v>
      </c>
    </row>
    <row r="8" customFormat="false" ht="15" hidden="false" customHeight="false" outlineLevel="0" collapsed="false">
      <c r="A8" s="10" t="s">
        <v>100</v>
      </c>
      <c r="B8" s="11" t="n">
        <v>70000</v>
      </c>
      <c r="C8" s="12"/>
    </row>
    <row r="9" customFormat="false" ht="15" hidden="false" customHeight="false" outlineLevel="0" collapsed="false">
      <c r="A9" s="13" t="s">
        <v>101</v>
      </c>
      <c r="B9" s="14" t="n">
        <v>48000</v>
      </c>
      <c r="C9" s="12"/>
    </row>
    <row r="10" customFormat="false" ht="15" hidden="false" customHeight="false" outlineLevel="0" collapsed="false">
      <c r="A10" s="10" t="s">
        <v>102</v>
      </c>
      <c r="B10" s="11" t="n">
        <v>35000</v>
      </c>
      <c r="C10" s="12"/>
    </row>
    <row r="11" customFormat="false" ht="15" hidden="false" customHeight="false" outlineLevel="0" collapsed="false">
      <c r="A11" s="13" t="s">
        <v>103</v>
      </c>
      <c r="B11" s="14" t="n">
        <v>0</v>
      </c>
      <c r="C11" s="12"/>
    </row>
    <row r="12" customFormat="false" ht="15" hidden="false" customHeight="false" outlineLevel="0" collapsed="false">
      <c r="A12" s="10" t="s">
        <v>104</v>
      </c>
      <c r="B12" s="11" t="n">
        <v>60000</v>
      </c>
      <c r="C12" s="12"/>
    </row>
    <row r="13" customFormat="false" ht="15" hidden="false" customHeight="false" outlineLevel="0" collapsed="false">
      <c r="A13" s="13" t="s">
        <v>105</v>
      </c>
      <c r="B13" s="14" t="n">
        <v>0</v>
      </c>
      <c r="C13" s="12"/>
    </row>
    <row r="14" customFormat="false" ht="15" hidden="false" customHeight="false" outlineLevel="0" collapsed="false">
      <c r="A14" s="10" t="s">
        <v>106</v>
      </c>
      <c r="B14" s="11" t="n">
        <v>45000</v>
      </c>
      <c r="C14" s="12"/>
    </row>
    <row r="15" customFormat="false" ht="15" hidden="false" customHeight="false" outlineLevel="0" collapsed="false">
      <c r="A15" s="13" t="s">
        <v>107</v>
      </c>
      <c r="B15" s="14" t="n">
        <v>55000</v>
      </c>
      <c r="C15" s="12"/>
    </row>
    <row r="16" customFormat="false" ht="15" hidden="false" customHeight="false" outlineLevel="0" collapsed="false">
      <c r="A16" s="30" t="s">
        <v>108</v>
      </c>
      <c r="B16" s="31" t="n">
        <v>150000</v>
      </c>
      <c r="C16" s="32"/>
    </row>
    <row r="17" customFormat="false" ht="15" hidden="false" customHeight="true" outlineLevel="0" collapsed="false">
      <c r="A17" s="6" t="s">
        <v>36</v>
      </c>
      <c r="B17" s="6"/>
      <c r="C17" s="6"/>
      <c r="D17" s="6"/>
      <c r="E17" s="6"/>
      <c r="F17" s="6"/>
      <c r="G17" s="6"/>
    </row>
    <row r="19" customFormat="false" ht="15" hidden="false" customHeight="false" outlineLevel="0" collapsed="false">
      <c r="A19" s="20" t="s">
        <v>37</v>
      </c>
      <c r="B19" s="20"/>
      <c r="C19" s="20"/>
      <c r="D19" s="20"/>
      <c r="E19" s="20"/>
      <c r="F19" s="20" t="s">
        <v>38</v>
      </c>
      <c r="G19" s="20" t="s">
        <v>39</v>
      </c>
    </row>
    <row r="20" customFormat="false" ht="18.75" hidden="false" customHeight="true" outlineLevel="0" collapsed="false">
      <c r="A20" s="7" t="s">
        <v>109</v>
      </c>
      <c r="B20" s="7"/>
      <c r="C20" s="7"/>
      <c r="D20" s="7"/>
      <c r="E20" s="7"/>
      <c r="F20" s="12"/>
      <c r="G20" s="21" t="str">
        <f aca="false">IF(F20="","",IF(ABS(F20-(313000))&lt;=1,"Riktig","Prøv igjen"))</f>
        <v/>
      </c>
    </row>
    <row r="21" customFormat="false" ht="30" hidden="false" customHeight="true" outlineLevel="0" collapsed="false">
      <c r="A21" s="22" t="s">
        <v>41</v>
      </c>
      <c r="B21" s="23" t="s">
        <v>110</v>
      </c>
      <c r="C21" s="23"/>
      <c r="D21" s="23"/>
      <c r="E21" s="23"/>
      <c r="F21" s="23"/>
      <c r="G21" s="23"/>
    </row>
    <row r="23" customFormat="false" ht="33.75" hidden="false" customHeight="true" outlineLevel="0" collapsed="false">
      <c r="A23" s="7" t="s">
        <v>111</v>
      </c>
      <c r="B23" s="7"/>
      <c r="C23" s="7"/>
      <c r="D23" s="7"/>
      <c r="E23" s="7"/>
    </row>
    <row r="24" customFormat="false" ht="15" hidden="false" customHeight="true" outlineLevel="0" collapsed="false">
      <c r="A24" s="7" t="s">
        <v>112</v>
      </c>
      <c r="B24" s="7"/>
      <c r="C24" s="7"/>
      <c r="D24" s="7"/>
      <c r="E24" s="7"/>
      <c r="F24" s="24"/>
      <c r="G24" s="21" t="str">
        <f aca="false">IF(F24="","",IF(UPPER(TRIM(F24))="NEI","Riktig","Prøv igjen"))</f>
        <v/>
      </c>
    </row>
    <row r="25" customFormat="false" ht="15" hidden="false" customHeight="true" outlineLevel="0" collapsed="false">
      <c r="A25" s="7" t="s">
        <v>113</v>
      </c>
      <c r="B25" s="7"/>
      <c r="C25" s="7"/>
      <c r="D25" s="7"/>
      <c r="E25" s="7"/>
      <c r="F25" s="24"/>
      <c r="G25" s="21" t="str">
        <f aca="false">IF(F25="","",IF(UPPER(TRIM(F25))="JA","Riktig","Prøv igjen"))</f>
        <v/>
      </c>
    </row>
    <row r="26" customFormat="false" ht="15" hidden="false" customHeight="true" outlineLevel="0" collapsed="false">
      <c r="A26" s="7" t="s">
        <v>114</v>
      </c>
      <c r="B26" s="7"/>
      <c r="C26" s="7"/>
      <c r="D26" s="7"/>
      <c r="E26" s="7"/>
      <c r="F26" s="24"/>
      <c r="G26" s="21" t="str">
        <f aca="false">IF(F26="","",IF(UPPER(TRIM(F26))="NEI","Riktig","Prøv igjen"))</f>
        <v/>
      </c>
    </row>
    <row r="27" customFormat="false" ht="15" hidden="false" customHeight="true" outlineLevel="0" collapsed="false">
      <c r="A27" s="7" t="s">
        <v>115</v>
      </c>
      <c r="B27" s="7"/>
      <c r="C27" s="7"/>
      <c r="D27" s="7"/>
      <c r="E27" s="7"/>
      <c r="F27" s="24"/>
      <c r="G27" s="21" t="str">
        <f aca="false">IF(F27="","",IF(UPPER(TRIM(F27))="JA","Riktig","Prøv igjen"))</f>
        <v/>
      </c>
    </row>
    <row r="28" customFormat="false" ht="15" hidden="false" customHeight="true" outlineLevel="0" collapsed="false">
      <c r="A28" s="7" t="s">
        <v>116</v>
      </c>
      <c r="B28" s="7"/>
      <c r="C28" s="7"/>
      <c r="D28" s="7"/>
      <c r="E28" s="7"/>
      <c r="F28" s="24"/>
      <c r="G28" s="21" t="str">
        <f aca="false">IF(F28="","",IF(UPPER(TRIM(F28))="JA","Riktig","Prøv igjen"))</f>
        <v/>
      </c>
    </row>
    <row r="29" customFormat="false" ht="15" hidden="false" customHeight="true" outlineLevel="0" collapsed="false">
      <c r="A29" s="7" t="s">
        <v>117</v>
      </c>
      <c r="B29" s="7"/>
      <c r="C29" s="7"/>
      <c r="D29" s="7"/>
      <c r="E29" s="7"/>
      <c r="F29" s="24"/>
      <c r="G29" s="21" t="str">
        <f aca="false">IF(F29="","",IF(UPPER(TRIM(F29))="NEI","Riktig","Prøv igjen"))</f>
        <v/>
      </c>
    </row>
    <row r="30" customFormat="false" ht="33.75" hidden="false" customHeight="true" outlineLevel="0" collapsed="false">
      <c r="A30" s="7" t="s">
        <v>118</v>
      </c>
      <c r="B30" s="7"/>
      <c r="C30" s="7"/>
      <c r="D30" s="7"/>
      <c r="E30" s="7"/>
      <c r="F30" s="12"/>
      <c r="G30" s="21" t="str">
        <f aca="false">IF(F30="","",IF(ABS(F30-(32))&lt;=0.1,"Riktig","Prøv igjen"))</f>
        <v/>
      </c>
    </row>
    <row r="31" customFormat="false" ht="30" hidden="false" customHeight="true" outlineLevel="0" collapsed="false">
      <c r="A31" s="22" t="s">
        <v>41</v>
      </c>
      <c r="B31" s="23" t="s">
        <v>119</v>
      </c>
      <c r="C31" s="23"/>
      <c r="D31" s="23"/>
      <c r="E31" s="23"/>
      <c r="F31" s="23"/>
      <c r="G31" s="23"/>
    </row>
    <row r="33" customFormat="false" ht="48.75" hidden="false" customHeight="true" outlineLevel="0" collapsed="false">
      <c r="A33" s="7" t="s">
        <v>120</v>
      </c>
      <c r="B33" s="7"/>
      <c r="C33" s="7"/>
      <c r="D33" s="7"/>
      <c r="E33" s="7"/>
      <c r="F33" s="24"/>
      <c r="G33" s="21" t="str">
        <f aca="false">IF(F33="","",IF(UPPER(TRIM(F33))="C","Riktig","Prøv igjen"))</f>
        <v/>
      </c>
    </row>
    <row r="34" customFormat="false" ht="48.75" hidden="false" customHeight="true" outlineLevel="0" collapsed="false">
      <c r="A34" s="7" t="s">
        <v>121</v>
      </c>
      <c r="B34" s="7"/>
      <c r="C34" s="7"/>
      <c r="D34" s="7"/>
      <c r="E34" s="7"/>
    </row>
    <row r="35" customFormat="false" ht="15" hidden="false" customHeight="false" outlineLevel="0" collapsed="false">
      <c r="A35" s="25"/>
      <c r="B35" s="25"/>
      <c r="C35" s="25"/>
      <c r="D35" s="25"/>
      <c r="E35" s="25"/>
      <c r="F35" s="25"/>
      <c r="G35" s="25"/>
    </row>
    <row r="36" customFormat="false" ht="15" hidden="false" customHeight="false" outlineLevel="0" collapsed="false">
      <c r="A36" s="25"/>
      <c r="B36" s="25"/>
      <c r="C36" s="25"/>
      <c r="D36" s="25"/>
      <c r="E36" s="25"/>
      <c r="F36" s="25"/>
      <c r="G36" s="25"/>
    </row>
    <row r="37" customFormat="false" ht="15" hidden="false" customHeight="false" outlineLevel="0" collapsed="false">
      <c r="A37" s="25"/>
      <c r="B37" s="25"/>
      <c r="C37" s="25"/>
      <c r="D37" s="25"/>
      <c r="E37" s="25"/>
      <c r="F37" s="25"/>
      <c r="G37" s="25"/>
    </row>
    <row r="38" customFormat="false" ht="30" hidden="false" customHeight="true" outlineLevel="0" collapsed="false">
      <c r="A38" s="22" t="s">
        <v>41</v>
      </c>
      <c r="B38" s="23" t="s">
        <v>122</v>
      </c>
      <c r="C38" s="23"/>
      <c r="D38" s="23"/>
      <c r="E38" s="23"/>
      <c r="F38" s="23"/>
      <c r="G38" s="23"/>
    </row>
    <row r="41" customFormat="false" ht="15" hidden="false" customHeight="false" outlineLevel="0" collapsed="false">
      <c r="A41" s="26" t="s">
        <v>54</v>
      </c>
      <c r="B41" s="26"/>
      <c r="C41" s="26"/>
      <c r="D41" s="26"/>
      <c r="E41" s="26"/>
      <c r="F41" s="26"/>
      <c r="G41" s="26"/>
    </row>
    <row r="42" customFormat="false" ht="30" hidden="false" customHeight="true" outlineLevel="0" collapsed="false">
      <c r="A42" s="27" t="s">
        <v>123</v>
      </c>
      <c r="B42" s="28" t="s">
        <v>124</v>
      </c>
      <c r="C42" s="28"/>
      <c r="D42" s="28"/>
      <c r="E42" s="28"/>
      <c r="F42" s="28"/>
      <c r="G42" s="28"/>
    </row>
    <row r="43" customFormat="false" ht="42.75" hidden="false" customHeight="true" outlineLevel="0" collapsed="false">
      <c r="A43" s="27" t="s">
        <v>125</v>
      </c>
      <c r="B43" s="28" t="s">
        <v>126</v>
      </c>
      <c r="C43" s="28"/>
      <c r="D43" s="28"/>
      <c r="E43" s="28"/>
      <c r="F43" s="28"/>
      <c r="G43" s="28"/>
    </row>
    <row r="45" customFormat="false" ht="48.75" hidden="false" customHeight="true" outlineLevel="0" collapsed="false">
      <c r="A45" s="6" t="s">
        <v>127</v>
      </c>
      <c r="B45" s="6"/>
      <c r="C45" s="6"/>
      <c r="D45" s="6"/>
      <c r="E45" s="6"/>
      <c r="F45" s="6"/>
      <c r="G45" s="6"/>
    </row>
    <row r="46" customFormat="false" ht="15" hidden="false" customHeight="true" outlineLevel="0" collapsed="false">
      <c r="A46" s="6" t="s">
        <v>60</v>
      </c>
      <c r="B46" s="6"/>
      <c r="C46" s="6"/>
      <c r="D46" s="6"/>
      <c r="E46" s="6"/>
      <c r="F46" s="6"/>
      <c r="G46" s="6"/>
    </row>
  </sheetData>
  <mergeCells count="24">
    <mergeCell ref="A4:G4"/>
    <mergeCell ref="A5:G5"/>
    <mergeCell ref="A17:G17"/>
    <mergeCell ref="A19:E19"/>
    <mergeCell ref="A20:E20"/>
    <mergeCell ref="B21:G21"/>
    <mergeCell ref="A23:E23"/>
    <mergeCell ref="A24:E24"/>
    <mergeCell ref="A25:E25"/>
    <mergeCell ref="A26:E26"/>
    <mergeCell ref="A27:E27"/>
    <mergeCell ref="A28:E28"/>
    <mergeCell ref="A29:E29"/>
    <mergeCell ref="A30:E30"/>
    <mergeCell ref="B31:G31"/>
    <mergeCell ref="A33:E33"/>
    <mergeCell ref="A34:E34"/>
    <mergeCell ref="A35:G37"/>
    <mergeCell ref="B38:G38"/>
    <mergeCell ref="A41:G41"/>
    <mergeCell ref="B42:G42"/>
    <mergeCell ref="B43:G43"/>
    <mergeCell ref="A45:G45"/>
    <mergeCell ref="A46:G4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128</v>
      </c>
    </row>
    <row r="2" customFormat="false" ht="15" hidden="false" customHeight="false" outlineLevel="0" collapsed="false">
      <c r="A2" s="2" t="s">
        <v>21</v>
      </c>
    </row>
    <row r="4" customFormat="false" ht="93.75" hidden="false" customHeight="true" outlineLevel="0" collapsed="false">
      <c r="A4" s="6" t="s">
        <v>129</v>
      </c>
      <c r="B4" s="6"/>
      <c r="C4" s="6"/>
      <c r="D4" s="6"/>
      <c r="E4" s="6"/>
      <c r="F4" s="6"/>
      <c r="G4" s="6"/>
    </row>
    <row r="5" customFormat="false" ht="108.75" hidden="false" customHeight="true" outlineLevel="0" collapsed="false">
      <c r="A5" s="7" t="s">
        <v>130</v>
      </c>
      <c r="B5" s="7"/>
      <c r="C5" s="7"/>
      <c r="D5" s="7"/>
      <c r="E5" s="7"/>
      <c r="F5" s="7"/>
      <c r="G5" s="7"/>
    </row>
    <row r="7" customFormat="false" ht="15" hidden="false" customHeight="false" outlineLevel="0" collapsed="false">
      <c r="A7" s="20" t="s">
        <v>64</v>
      </c>
      <c r="B7" s="20" t="s">
        <v>65</v>
      </c>
      <c r="C7" s="20"/>
      <c r="D7" s="20"/>
      <c r="E7" s="20"/>
      <c r="F7" s="20"/>
      <c r="G7" s="20"/>
    </row>
    <row r="8" customFormat="false" ht="18.75" hidden="false" customHeight="true" outlineLevel="0" collapsed="false">
      <c r="A8" s="29" t="s">
        <v>131</v>
      </c>
      <c r="B8" s="7" t="s">
        <v>132</v>
      </c>
      <c r="C8" s="7"/>
      <c r="D8" s="7"/>
      <c r="E8" s="7"/>
      <c r="F8" s="7"/>
      <c r="G8" s="7"/>
    </row>
    <row r="9" customFormat="false" ht="18.75" hidden="false" customHeight="true" outlineLevel="0" collapsed="false">
      <c r="A9" s="29" t="s">
        <v>133</v>
      </c>
      <c r="B9" s="7" t="s">
        <v>134</v>
      </c>
      <c r="C9" s="7"/>
      <c r="D9" s="7"/>
      <c r="E9" s="7"/>
      <c r="F9" s="7"/>
      <c r="G9" s="7"/>
    </row>
    <row r="10" customFormat="false" ht="18.75" hidden="false" customHeight="true" outlineLevel="0" collapsed="false">
      <c r="A10" s="29" t="s">
        <v>135</v>
      </c>
      <c r="B10" s="7" t="s">
        <v>136</v>
      </c>
      <c r="C10" s="7"/>
      <c r="D10" s="7"/>
      <c r="E10" s="7"/>
      <c r="F10" s="7"/>
      <c r="G10" s="7"/>
    </row>
    <row r="11" customFormat="false" ht="18.75" hidden="false" customHeight="true" outlineLevel="0" collapsed="false">
      <c r="A11" s="29" t="s">
        <v>137</v>
      </c>
      <c r="B11" s="7" t="s">
        <v>138</v>
      </c>
      <c r="C11" s="7"/>
      <c r="D11" s="7"/>
      <c r="E11" s="7"/>
      <c r="F11" s="7"/>
      <c r="G11" s="7"/>
    </row>
    <row r="12" customFormat="false" ht="18.75" hidden="false" customHeight="true" outlineLevel="0" collapsed="false">
      <c r="A12" s="29" t="s">
        <v>139</v>
      </c>
      <c r="B12" s="7" t="s">
        <v>140</v>
      </c>
      <c r="C12" s="7"/>
      <c r="D12" s="7"/>
      <c r="E12" s="7"/>
      <c r="F12" s="7"/>
      <c r="G12" s="7"/>
    </row>
    <row r="13" customFormat="false" ht="18.75" hidden="false" customHeight="true" outlineLevel="0" collapsed="false">
      <c r="A13" s="29" t="s">
        <v>141</v>
      </c>
      <c r="B13" s="7" t="s">
        <v>142</v>
      </c>
      <c r="C13" s="7"/>
      <c r="D13" s="7"/>
      <c r="E13" s="7"/>
      <c r="F13" s="7"/>
      <c r="G13" s="7"/>
    </row>
    <row r="14" customFormat="false" ht="18.75" hidden="false" customHeight="true" outlineLevel="0" collapsed="false">
      <c r="A14" s="29" t="s">
        <v>143</v>
      </c>
      <c r="B14" s="7" t="s">
        <v>144</v>
      </c>
      <c r="C14" s="7"/>
      <c r="D14" s="7"/>
      <c r="E14" s="7"/>
      <c r="F14" s="7"/>
      <c r="G14" s="7"/>
    </row>
    <row r="16" customFormat="false" ht="15" hidden="false" customHeight="false" outlineLevel="0" collapsed="false">
      <c r="A16" s="20" t="s">
        <v>37</v>
      </c>
      <c r="B16" s="20"/>
      <c r="C16" s="20"/>
      <c r="D16" s="20"/>
      <c r="E16" s="20"/>
      <c r="F16" s="20" t="s">
        <v>38</v>
      </c>
      <c r="G16" s="20" t="s">
        <v>39</v>
      </c>
    </row>
    <row r="17" customFormat="false" ht="18.75" hidden="false" customHeight="true" outlineLevel="0" collapsed="false">
      <c r="A17" s="7" t="s">
        <v>145</v>
      </c>
      <c r="B17" s="7"/>
      <c r="C17" s="7"/>
      <c r="D17" s="7"/>
      <c r="E17" s="7"/>
      <c r="F17" s="12"/>
      <c r="G17" s="21" t="str">
        <f aca="false">IF(F17="","",IF(ABS(F17-(77.8))&lt;=0.1,"Riktig","Prøv igjen"))</f>
        <v/>
      </c>
    </row>
    <row r="18" customFormat="false" ht="42.75" hidden="false" customHeight="true" outlineLevel="0" collapsed="false">
      <c r="A18" s="22" t="s">
        <v>41</v>
      </c>
      <c r="B18" s="23" t="s">
        <v>146</v>
      </c>
      <c r="C18" s="23"/>
      <c r="D18" s="23"/>
      <c r="E18" s="23"/>
      <c r="F18" s="23"/>
      <c r="G18" s="23"/>
    </row>
    <row r="20" customFormat="false" ht="18.75" hidden="false" customHeight="true" outlineLevel="0" collapsed="false">
      <c r="A20" s="7" t="s">
        <v>147</v>
      </c>
      <c r="B20" s="7"/>
      <c r="C20" s="7"/>
      <c r="D20" s="7"/>
      <c r="E20" s="7"/>
      <c r="F20" s="12"/>
      <c r="G20" s="21" t="str">
        <f aca="false">IF(F20="","",IF(ABS(F20-(178000))&lt;=1,"Riktig","Prøv igjen"))</f>
        <v/>
      </c>
    </row>
    <row r="21" customFormat="false" ht="30" hidden="false" customHeight="true" outlineLevel="0" collapsed="false">
      <c r="A21" s="22" t="s">
        <v>41</v>
      </c>
      <c r="B21" s="23" t="s">
        <v>148</v>
      </c>
      <c r="C21" s="23"/>
      <c r="D21" s="23"/>
      <c r="E21" s="23"/>
      <c r="F21" s="23"/>
      <c r="G21" s="23"/>
    </row>
    <row r="23" customFormat="false" ht="63.75" hidden="false" customHeight="true" outlineLevel="0" collapsed="false">
      <c r="A23" s="7" t="s">
        <v>149</v>
      </c>
      <c r="B23" s="7"/>
      <c r="C23" s="7"/>
      <c r="D23" s="7"/>
      <c r="E23" s="7"/>
      <c r="F23" s="24"/>
      <c r="G23" s="21" t="str">
        <f aca="false">IF(F23="","",IF(UPPER(TRIM(F23))="B","Riktig","Prøv igjen"))</f>
        <v/>
      </c>
    </row>
    <row r="24" customFormat="false" ht="63.75" hidden="false" customHeight="true" outlineLevel="0" collapsed="false">
      <c r="A24" s="7" t="s">
        <v>150</v>
      </c>
      <c r="B24" s="7"/>
      <c r="C24" s="7"/>
      <c r="D24" s="7"/>
      <c r="E24" s="7"/>
      <c r="F24" s="24"/>
      <c r="G24" s="21" t="str">
        <f aca="false">IF(F24="","",IF(UPPER(TRIM(F24))="B","Riktig","Prøv igjen"))</f>
        <v/>
      </c>
    </row>
    <row r="25" customFormat="false" ht="48.75" hidden="false" customHeight="true" outlineLevel="0" collapsed="false">
      <c r="A25" s="7" t="s">
        <v>151</v>
      </c>
      <c r="B25" s="7"/>
      <c r="C25" s="7"/>
      <c r="D25" s="7"/>
      <c r="E25" s="7"/>
    </row>
    <row r="26" customFormat="false" ht="15" hidden="false" customHeight="false" outlineLevel="0" collapsed="false">
      <c r="A26" s="25"/>
      <c r="B26" s="25"/>
      <c r="C26" s="25"/>
      <c r="D26" s="25"/>
      <c r="E26" s="25"/>
      <c r="F26" s="25"/>
      <c r="G26" s="25"/>
    </row>
    <row r="27" customFormat="false" ht="15" hidden="false" customHeight="false" outlineLevel="0" collapsed="false">
      <c r="A27" s="25"/>
      <c r="B27" s="25"/>
      <c r="C27" s="25"/>
      <c r="D27" s="25"/>
      <c r="E27" s="25"/>
      <c r="F27" s="25"/>
      <c r="G27" s="25"/>
    </row>
    <row r="28" customFormat="false" ht="15" hidden="false" customHeight="false" outlineLevel="0" collapsed="false">
      <c r="A28" s="25"/>
      <c r="B28" s="25"/>
      <c r="C28" s="25"/>
      <c r="D28" s="25"/>
      <c r="E28" s="25"/>
      <c r="F28" s="25"/>
      <c r="G28" s="25"/>
    </row>
    <row r="29" customFormat="false" ht="16.5" hidden="false" customHeight="true" outlineLevel="0" collapsed="false">
      <c r="A29" s="22" t="s">
        <v>41</v>
      </c>
      <c r="B29" s="23" t="s">
        <v>152</v>
      </c>
      <c r="C29" s="23"/>
      <c r="D29" s="23"/>
      <c r="E29" s="23"/>
      <c r="F29" s="23"/>
      <c r="G29" s="23"/>
    </row>
    <row r="32" customFormat="false" ht="15" hidden="false" customHeight="false" outlineLevel="0" collapsed="false">
      <c r="A32" s="26" t="s">
        <v>54</v>
      </c>
      <c r="B32" s="26"/>
      <c r="C32" s="26"/>
      <c r="D32" s="26"/>
      <c r="E32" s="26"/>
      <c r="F32" s="26"/>
      <c r="G32" s="26"/>
    </row>
    <row r="33" customFormat="false" ht="30" hidden="false" customHeight="true" outlineLevel="0" collapsed="false">
      <c r="A33" s="27" t="s">
        <v>55</v>
      </c>
      <c r="B33" s="28" t="s">
        <v>153</v>
      </c>
      <c r="C33" s="28"/>
      <c r="D33" s="28"/>
      <c r="E33" s="28"/>
      <c r="F33" s="28"/>
      <c r="G33" s="28"/>
    </row>
    <row r="34" customFormat="false" ht="30" hidden="false" customHeight="true" outlineLevel="0" collapsed="false">
      <c r="A34" s="27" t="s">
        <v>154</v>
      </c>
      <c r="B34" s="28" t="s">
        <v>155</v>
      </c>
      <c r="C34" s="28"/>
      <c r="D34" s="28"/>
      <c r="E34" s="28"/>
      <c r="F34" s="28"/>
      <c r="G34" s="28"/>
    </row>
    <row r="36" customFormat="false" ht="63.75" hidden="false" customHeight="true" outlineLevel="0" collapsed="false">
      <c r="A36" s="6" t="s">
        <v>156</v>
      </c>
      <c r="B36" s="6"/>
      <c r="C36" s="6"/>
      <c r="D36" s="6"/>
      <c r="E36" s="6"/>
      <c r="F36" s="6"/>
      <c r="G36" s="6"/>
    </row>
    <row r="37" customFormat="false" ht="15" hidden="false" customHeight="true" outlineLevel="0" collapsed="false">
      <c r="A37" s="6" t="s">
        <v>60</v>
      </c>
      <c r="B37" s="6"/>
      <c r="C37" s="6"/>
      <c r="D37" s="6"/>
      <c r="E37" s="6"/>
      <c r="F37" s="6"/>
      <c r="G37" s="6"/>
    </row>
  </sheetData>
  <mergeCells count="25">
    <mergeCell ref="A4:G4"/>
    <mergeCell ref="A5:G5"/>
    <mergeCell ref="B7:G7"/>
    <mergeCell ref="B8:G8"/>
    <mergeCell ref="B9:G9"/>
    <mergeCell ref="B10:G10"/>
    <mergeCell ref="B11:G11"/>
    <mergeCell ref="B12:G12"/>
    <mergeCell ref="B13:G13"/>
    <mergeCell ref="B14:G14"/>
    <mergeCell ref="A16:E16"/>
    <mergeCell ref="A17:E17"/>
    <mergeCell ref="B18:G18"/>
    <mergeCell ref="A20:E20"/>
    <mergeCell ref="B21:G21"/>
    <mergeCell ref="A23:E23"/>
    <mergeCell ref="A24:E24"/>
    <mergeCell ref="A25:E25"/>
    <mergeCell ref="A26:G28"/>
    <mergeCell ref="B29:G29"/>
    <mergeCell ref="A32:G32"/>
    <mergeCell ref="B33:G33"/>
    <mergeCell ref="B34:G34"/>
    <mergeCell ref="A36:G36"/>
    <mergeCell ref="A37:G3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2026-10-13T12:15:05Z</dcterms:created>
  <dc:creator>openpyxl</dc:creator>
  <dc:description/>
  <dc:language>en-US</dc:language>
  <cp:lastModifiedBy/>
  <dcterms:modified xsi:type="dcterms:W3CDTF">2026-10-13T12:15:05Z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