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<sst xmlns="http://schemas.openxmlformats.org/spreadsheetml/2006/main" count="446" uniqueCount="283">
  <si>
    <t xml:space="preserve">Ledelse og motivasjon: oppgaver til kapittel 17</t>
  </si>
  <si>
    <t xml:space="preserve">Markedsføring, organisasjon og ledelse for LØM-emnet (Hjertnes), kapittel 17.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</si>
  <si>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</si>
  <si>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</si>
  <si>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</si>
  <si>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</si>
  <si>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</si>
  <si>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</si>
  <si>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Ni ting som skjer hos Nordlys: hva er hva, og på hvilket nivå?</t>
  </si>
  <si>
    <t xml:space="preserve">1B  Kari vil gi Ronny solcelle og lading i tillegg: hvor går uka hans?</t>
  </si>
  <si>
    <t xml:space="preserve">1C  Fire ledere i gitteret, og tre personer hos Fjell som trenger hver sin stil</t>
  </si>
  <si>
    <t xml:space="preserve">2A  Montøren som fikk 2 000 kr mer og sluttet: hva kostet det, og hva ba han om?</t>
  </si>
  <si>
    <t xml:space="preserve">2B  Kari har 150 000 kr for å beholde folkene: åtte forslag på bordet</t>
  </si>
  <si>
    <t xml:space="preserve">2C  Fem grep hos Nordlys, og målet Mona skrev på tavla hos Fjell</t>
  </si>
  <si>
    <t xml:space="preserve">Fasit  Alle svar med regnestykket skrevet ut</t>
  </si>
  <si>
    <t xml:space="preserve">Dette er øvingsmateriell til repetisjons- og øvingsstøtte. I besvarelser, caser, prosjektoppgaver og eksamen gjelder lærebøkene og oppgitte primærkilder.</t>
  </si>
  <si>
    <t xml:space="preserve">Formulere mål</t>
  </si>
  <si>
    <t xml:space="preserve">Oppgave 1A: Ni ting som skjer hos Nordlys: hva er hva, og på hvilket nivå?</t>
  </si>
  <si>
    <t xml:space="preserve">Planlegge tiltak</t>
  </si>
  <si>
    <t xml:space="preserve">Alene, i par eller i gruppe, slik du vil.</t>
  </si>
  <si>
    <t xml:space="preserve">Iverksette og gjennomføre</t>
  </si>
  <si>
    <t xml:space="preserve">Situasjonen</t>
  </si>
  <si>
    <t xml:space="preserve">Kontrollere og evaluere</t>
  </si>
  <si>
    <t xml:space="preserve">Nordlys Elektro AS har 18 ansatte: Kari Nordlund er daglig leder, Tom Berg driftsleder for service, Ronny Fjeld formann på nybygg og Ida Haugen kalkulatør. Alle fire leder, men på ulike nivåer. Her er seks ting som skjer i en vanlig uke, og tre planer.</t>
  </si>
  <si>
    <t xml:space="preserve">Informere og motivere</t>
  </si>
  <si>
    <t xml:space="preserve">Begrepene du trenger</t>
  </si>
  <si>
    <t xml:space="preserve">Ikke en lederoppgave</t>
  </si>
  <si>
    <t xml:space="preserve">Ledere på alle nivåer må formulere mål, planlegge tiltak, iverksette og gjennomføre, og kontrollere og evaluere; i tillegg informere, kommunisere og motivere (17.2). Ledelse er å få andre til å arbeide for målene (17.1); gjør lederen jobben selv, er det fagarbeid. Nivåene: strategisk (toppledelsen, lang sikt, verdigrunnlag), administrativt (mellomlederne, egen avdeling, kortere sikt), operativt (ukenivå, improvisering).</t>
  </si>
  <si>
    <t xml:space="preserve">Oppgaven, trinn for trinn</t>
  </si>
  <si>
    <t xml:space="preserve">1. Seks handlinger hos Nordlys: velg i nedtrekksmenyen hvilken av lederoppgavene hver er, eller «Ikke en lederoppgave».
2. Tre planer: velg om de hører til strategisk, administrativt eller operativt nivå.
3. Skriv to setninger om hva som skiller nivåene når oppgavene er de samme.</t>
  </si>
  <si>
    <t xml:space="preserve">Hvilken lederoppgave er dette? (velg i nedtrekksmenyen)</t>
  </si>
  <si>
    <t xml:space="preserve">Kari bestemmer at solcelle og lading skal bli en egen avdeling med egen leder innen sommeren</t>
  </si>
  <si>
    <t xml:space="preserve">Ronny lager ukeplan for hvem som gjør hva i 3. etasje</t>
  </si>
  <si>
    <t xml:space="preserve">Tom flytter to montører fra service til nybygget når leveransen kommer</t>
  </si>
  <si>
    <t xml:space="preserve">Ida sammenlikner timene brukt på sikringsskapet med de 14 timene i kalkylen</t>
  </si>
  <si>
    <t xml:space="preserve">Ronny forteller laget på morgenmøtet hvorfor planen er endret</t>
  </si>
  <si>
    <t xml:space="preserve">Kari rykker selv ut på en jordfeil hos en servicekunde fordi kunden ringer henne direkte</t>
  </si>
  <si>
    <t xml:space="preserve">Hvilket nivå hører planen til? (velg i nedtrekksmenyen)</t>
  </si>
  <si>
    <t xml:space="preserve">Verdigrunnlaget og satsingen på solceller de neste fem årene</t>
  </si>
  <si>
    <t xml:space="preserve">Budsjett og bemanning for prosjektavdelingen neste kvartal</t>
  </si>
  <si>
    <t xml:space="preserve">3. etasje skal være trukket ferdig fredag; en montør er syk, så planen må legges om</t>
  </si>
  <si>
    <t xml:space="preserve">Med egne ord: oppgavene er de samme på alle nivåer. Hva er det da som skiller nivåene? Bruk ordene innhold og tidshorisont. (To setninger.)</t>
  </si>
  <si>
    <t xml:space="preserve">Står du fast? Skriv JA i den gule cellen:</t>
  </si>
  <si>
    <t xml:space="preserve">Gule celler fyller du inn. Grønne regnes ut av arket. Sjekken til høyre forteller om svaret stemmer, og hva du bør se på hvis ikke.</t>
  </si>
  <si>
    <t xml:space="preserve">Strategisk</t>
  </si>
  <si>
    <t xml:space="preserve">Administrativt</t>
  </si>
  <si>
    <t xml:space="preserve">Operativt</t>
  </si>
  <si>
    <t xml:space="preserve">Produsenten</t>
  </si>
  <si>
    <t xml:space="preserve">Oppgave 1B: Kari vil gi Ronny solcelle og lading i tillegg: hvor går uka hans?</t>
  </si>
  <si>
    <t xml:space="preserve">Administratoren</t>
  </si>
  <si>
    <t xml:space="preserve">Integratoren</t>
  </si>
  <si>
    <t xml:space="preserve">Ja</t>
  </si>
  <si>
    <t xml:space="preserve">Ronny Fjeld er formann for prosjekt og nybygg hos Nordlys og leder 6 montører og 1 lærling. Solcelle og lading har 2 montører og ingen leder. Kari vurderer å la Ronny ta avdelingen i tillegg, slik at han får 7 + 2 = 9 under seg. Før hun bestemmer seg, ber hun Ronny skrive ned hvor timene går i en vanlig uke på 37,5 timer. Tabellen viser det han skrev.</t>
  </si>
  <si>
    <t xml:space="preserve">Nei</t>
  </si>
  <si>
    <t xml:space="preserve">Lederoppgavene (17.2): formulere mål, planlegge, iverksette og gjennomføre, kontrollere og evaluere, og i tillegg informere, kommunisere og motivere. Adizes (17.3): produsenten får jobben gjort, administratoren har rutiner og kontroll, entreprenøren omstiller, integratoren bygger team; rollene fylles av en leder eller et lederteam. Mintzberg (17.3): rollene lederen vanskelig kommer utenom i det daglige, er ressursfordeler, overvåker og informasjonsformidler. Fayol (kapittel 14): seks til ti underordnede regnes som optimalt kontrollspenn.</t>
  </si>
  <si>
    <t xml:space="preserve">Ronnys uke, slik han skrev den ned</t>
  </si>
  <si>
    <t xml:space="preserve">En vanlig uke på 37,5 timer.</t>
  </si>
  <si>
    <t xml:space="preserve">Ronnys uke</t>
  </si>
  <si>
    <t xml:space="preserve">Timer</t>
  </si>
  <si>
    <t xml:space="preserve">Monterer selv på bygget</t>
  </si>
  <si>
    <t xml:space="preserve">Fordeler folk og materiell</t>
  </si>
  <si>
    <t xml:space="preserve">Runden: framdrift og kvalitet</t>
  </si>
  <si>
    <t xml:space="preserve">Sluttkontroll, dokumentasjon og avvik</t>
  </si>
  <si>
    <t xml:space="preserve">Byggemøter med byggherre og andre fag</t>
  </si>
  <si>
    <t xml:space="preserve">Morgenmøte med laget</t>
  </si>
  <si>
    <t xml:space="preserve">Det akutte: syk montør, forsinket leveranse</t>
  </si>
  <si>
    <t xml:space="preserve">Sum uka</t>
  </si>
  <si>
    <t xml:space="preserve">1. Regn hvor stor del av uka Ronny monterer selv, i prosent med én desimal (skriv 40,0 for 40,0 %).
2. Finn de tre rollene boka sier lederen vanskelig kommer utenom i det daglige (17.3): ressursfordeler, overvåker og informasjonsformidler. Hvilken linje i uka er hver av dem? Legg sammen timene.
3. Velg hvilken av Adizes' roller som ikke får egne timer.
4. Sorter de fem utsagnene: lederoppgave, ja eller nei.
5. Gi Kari et råd med minst ett tall.</t>
  </si>
  <si>
    <t xml:space="preserve">a) Andel av uka Ronny monterer selv, i prosent (én desimal)</t>
  </si>
  <si>
    <t xml:space="preserve">prosent</t>
  </si>
  <si>
    <t xml:space="preserve">b) Timer til ressursfordeler, overvåker og informasjonsformidler til sammen</t>
  </si>
  <si>
    <t xml:space="preserve">timer</t>
  </si>
  <si>
    <t xml:space="preserve">c) Hvilken av disse tre rollene hos Adizes får ingen egne timer i Ronnys uke?</t>
  </si>
  <si>
    <t xml:space="preserve">d) Er dette en lederoppgave slik boka beskriver dem i 17.2? (velg Ja eller Nei)</t>
  </si>
  <si>
    <t xml:space="preserve">Ronny setter ukemålet: 3. etasje trukket ferdig fredag</t>
  </si>
  <si>
    <t xml:space="preserve">Ronny lager plan for hvem som gjør hva i uka</t>
  </si>
  <si>
    <t xml:space="preserve">Ronny sjekker fredag om etasjen er ferdig, og hvorfor ikke</t>
  </si>
  <si>
    <t xml:space="preserve">Ronny forteller på morgenmøtet hvorfor planen er endret</t>
  </si>
  <si>
    <t xml:space="preserve">Ronny trekker kabel selv fordi det går fortere</t>
  </si>
  <si>
    <t xml:space="preserve">e) Kari spør om Ronny kan ta solcelle og lading i tillegg, så han får 7 + 2 = 9 under seg. Hva sier uka hans om det, og hva bør han endre? Tre–fire setninger med minst ett tall, og si hva han bør delegere.</t>
  </si>
  <si>
    <t xml:space="preserve">1,9</t>
  </si>
  <si>
    <t xml:space="preserve">Oppgave 1C: Fire ledere i gitteret, og tre personer hos Fjell som trenger hver sin stil</t>
  </si>
  <si>
    <t xml:space="preserve">9,1</t>
  </si>
  <si>
    <t xml:space="preserve">1,1</t>
  </si>
  <si>
    <t xml:space="preserve">5,5</t>
  </si>
  <si>
    <t xml:space="preserve">Først fire utsagn fra ledere i el-bransjen. Så Fjell Elektro AS i sitt andre driftsår: Mona Fjell er eier, daglig leder og faglig ansvarlig. Etter sommeren skal Fjell ta inn sin første lærling, rett fra skolen. Montør 1 har montert de fleste av Fjells ladebokser og vil ha ansvaret selv; nå skal Fjell montere sitt første solcelleanlegg, og han gleder seg, men har aldri montert solceller. Montør 2 kan sikringsskap godt, men har mistet lysten etter en reklamasjon i vinter og vil ikke ta avgjørelser alene. Mona sier: «Jeg er demokratisk. Jeg liker ikke å bestemme over folk.»</t>
  </si>
  <si>
    <t xml:space="preserve">9,9</t>
  </si>
  <si>
    <t xml:space="preserve">Demokratisk og autoritær lederstil er ytterpunkter på en skala (17.5.1–17.5.2). Ledergitteret (figur 17.2) har fem punkter. Situasjonsbestemt ledelse (17.5.3): situasjonen beskrives med egenskaper ved lederen, de underordnede og beslutningssituasjonen. Modenhet er kompetanse pluss motivasjon, i den oppgaven. Hersey og Blanchard: lederen tilpasser seg modenheten med instruerende, overtalende (selgende), deltagende eller delegerende stil.</t>
  </si>
  <si>
    <t xml:space="preserve">Del 1: fire ledere i ledergitteret</t>
  </si>
  <si>
    <t xml:space="preserve">Ledergitteret (figur 17.2) måler produksjonsorientering vannrett og menneskeorientering loddrett. Første tall er produksjon, andre er menneske. Punktene er 1,9 (menneskeorientert), 9,1 (oppgaveorientert), 1,1 (makteløs), 5,5 (middelhavsfareren) og 9,9 (gruppeorientert). Utsagnene er laget for oppgaven.</t>
  </si>
  <si>
    <t xml:space="preserve">Formannen: «Det viktigste er at alle har det trivelig. Fristen ordner seg.»</t>
  </si>
  <si>
    <t xml:space="preserve">Prosjektlederen: «Anlegget skal være ferdig fredag. Hvordan folk har det, er ikke mitt bord.»</t>
  </si>
  <si>
    <t xml:space="preserve">Basen: «Jeg gjør det jeg må, så lenge ingen klager.»</t>
  </si>
  <si>
    <t xml:space="preserve">Driftslederen: «Litt framdrift, litt trivsel. Ingen blir helt fornøyd, men ingen klager.»</t>
  </si>
  <si>
    <t xml:space="preserve">Del 2: tre personer hos Fjell Elektro, én leder</t>
  </si>
  <si>
    <t xml:space="preserve">Hersey og Blanchard (17.5.3): lederen tilpasser seg medarbeiderens modenhet. Modenhet er kompetanse pluss motivasjon, i den oppgaven. Instruerende: sterkt styrende, svakt støttende. Overtalende (selgende): sterkt styrende, sterkt støttende. Deltagende: svakt styrende, sterkt støttende. Delegerende: svakt styrende, svakt støttende.</t>
  </si>
  <si>
    <t xml:space="preserve">Hvem</t>
  </si>
  <si>
    <t xml:space="preserve">Slik er det</t>
  </si>
  <si>
    <t xml:space="preserve">Lærlingen, første uke etter sommeren</t>
  </si>
  <si>
    <t xml:space="preserve">Kan ennå ikke oppgavene, usikker, sier lite</t>
  </si>
  <si>
    <t xml:space="preserve">Montør 1, ladebokser</t>
  </si>
  <si>
    <t xml:space="preserve">Har montert de fleste; vil ha ansvaret selv</t>
  </si>
  <si>
    <t xml:space="preserve">Montør 1, solceller</t>
  </si>
  <si>
    <t xml:space="preserve">Fjells første anlegg: aldri gjort, gleder seg</t>
  </si>
  <si>
    <t xml:space="preserve">Delegerende</t>
  </si>
  <si>
    <t xml:space="preserve">Montør 2, sikringsskap</t>
  </si>
  <si>
    <t xml:space="preserve">Kan jobben godt; mistet lysten etter en reklamasjon</t>
  </si>
  <si>
    <t xml:space="preserve">Instruerende</t>
  </si>
  <si>
    <t xml:space="preserve">Mona om seg selv</t>
  </si>
  <si>
    <t xml:space="preserve">«Jeg er demokratisk. Jeg liker ikke å bestemme over folk.»</t>
  </si>
  <si>
    <t xml:space="preserve">Deltagende</t>
  </si>
  <si>
    <t xml:space="preserve">Instruerende: forklar ham hvordan et skap byttes</t>
  </si>
  <si>
    <t xml:space="preserve">a) Hvilken lederstil passer for lærlingen den første uka?</t>
  </si>
  <si>
    <t xml:space="preserve">Deltagende: lite styring, mye støtte, be om forslagene hans</t>
  </si>
  <si>
    <t xml:space="preserve">b) Montør 2 kan sikringsskap godt, men har mistet lysten og vil ikke avgjøre alene. Hvilken stil passer?</t>
  </si>
  <si>
    <t xml:space="preserve">Delegerende: overlat alt og la ham være</t>
  </si>
  <si>
    <t xml:space="preserve">c) Stemmer dette med Hersey og Blanchard slik boka gjengir dem? (velg Ja eller Nei)</t>
  </si>
  <si>
    <t xml:space="preserve">Lederen må tilpasse seg medarbeiderens modenhetsnivå</t>
  </si>
  <si>
    <t xml:space="preserve">Montørene må venne seg til Monas demokratiske stil</t>
  </si>
  <si>
    <t xml:space="preserve">Modenhetsnivå er summen av kompetanse og motivasjon</t>
  </si>
  <si>
    <t xml:space="preserve">Overtalende og selgende er samme lederstil</t>
  </si>
  <si>
    <t xml:space="preserve">Delegerende stil er sterkt styrende og svakt støttende</t>
  </si>
  <si>
    <t xml:space="preserve">d) Montør 1 er Fjells beste på ladebokser. Mona vil delegere hele det første solcelleanlegget til ham. Hva er riktig?</t>
  </si>
  <si>
    <t xml:space="preserve">e) Mona sier: «Jeg er demokratisk. Jeg liker ikke å bestemme over folk.» Hvordan bør hun lede lærlingen og de to montørene de første ukene, og hva betyr utsagnet hennes? Tre–fire setninger; nevn stilen for lærlingen og for ladeboksene.</t>
  </si>
  <si>
    <t xml:space="preserve">Ja: han har høy modenhet, så hun kan delegere alt</t>
  </si>
  <si>
    <t xml:space="preserve">Nei: i solceller er han motivert, men mangler kompetansen; da passer overtalende (selgende) stil</t>
  </si>
  <si>
    <t xml:space="preserve">Nei: han bør ha instruerende stil i alt, også ladebokser</t>
  </si>
  <si>
    <t xml:space="preserve">Ytre, materiell</t>
  </si>
  <si>
    <t xml:space="preserve">Oppgave 2A: Montøren som fikk 2 000 kr mer og sluttet: hva kostet det, og hva ba han om?</t>
  </si>
  <si>
    <t xml:space="preserve">Indre, psykologisk</t>
  </si>
  <si>
    <t xml:space="preserve">En montør i service hos Nordlys ba i et halvt år om å få være med på batteri- og ladeanleggene. Det ble aldri noe av, fordi serviceavtalene alltid gikk foran. I mars fikk han 2 000 kr mer i måneden. I juni sa han opp og begynte hos en konkurrent, til omtrent samme lønn. Stillingen sto tom i fire måneder.</t>
  </si>
  <si>
    <t xml:space="preserve">Et motiv er et behov som er blitt så sterkt at det fører til handling (17.8.1). Behovstilfredsstillelse er belønning; belønninger kan være ytre og materielle (lønn) eller indre og psykologiske (ros, anerkjennelse, respekt). Et behov som allerede er dekket, driver ikke. Lønnskostnad = lønn × (1 + sosiale kostnader), 46,8 % etter bokas tabell 2.4 i Økonomistyring.</t>
  </si>
  <si>
    <t xml:space="preserve">Tallene</t>
  </si>
  <si>
    <t xml:space="preserve">Tillegget var 2 000 kr per måned. Sosiale kostnader er 46,8 % av lønna (Økonomistyring for LØM-emnet, tabell 2.4). En montør hos Nordlys fakturerer 1 200 timer i året (faktaarket: 12 montører × 1 200 = 14 400 timer). Stillingen sto tom i 4 måneder, og ordreboka var full. Timeprisen er 890 kr uten merverdiavgift, og montørlønna med sosiale kostnader er 586 kr per fakturert time (faktaarket). Den som ikke er ansatt, får ingen lønn, så det Nordlys tapte, er dekningsbidraget: 890 − 586 = 304 kr per time.</t>
  </si>
  <si>
    <t xml:space="preserve">Post</t>
  </si>
  <si>
    <t xml:space="preserve">Verdi</t>
  </si>
  <si>
    <t xml:space="preserve">Tillegg per måned, kr</t>
  </si>
  <si>
    <t xml:space="preserve">Sosiale kostnader, prosent av lønn</t>
  </si>
  <si>
    <t xml:space="preserve">Fakturerbare timer per montør og år</t>
  </si>
  <si>
    <t xml:space="preserve">Måneder stillingen sto tom</t>
  </si>
  <si>
    <t xml:space="preserve">Dekningsbidrag per fakturert time, kr (890 − 586)</t>
  </si>
  <si>
    <t xml:space="preserve">1. Regn tillegget per år i lønn (a), og hva det kostet Nordlys med sosiale kostnader (b): gang med 1,468.
2. Regn timene som gikk tapt mens stillingen sto tom (c), og dekningsbidraget som gikk tapt (d).
3. Regn hvor mange ganger tillegget det tapte dekningsbidraget er (e), med én desimal.
4. Sorter seks belønninger som ytre, materielle eller indre, psykologiske (17.8.1).
5. Svar på spørsmålet til slutt med Maslow.</t>
  </si>
  <si>
    <t xml:space="preserve">a) Tillegget per år, i lønn</t>
  </si>
  <si>
    <t xml:space="preserve">kr</t>
  </si>
  <si>
    <t xml:space="preserve">b) Hva tillegget kostet Nordlys per år, med 46,8 % sosiale kostnader</t>
  </si>
  <si>
    <t xml:space="preserve">c) Fakturerbare timer som gikk tapt mens stillingen sto tom</t>
  </si>
  <si>
    <t xml:space="preserve">d) Tapt dekningsbidrag mens stillingen sto tom</t>
  </si>
  <si>
    <t xml:space="preserve">e) Hvor mange ganger tillegget (svaret i b) er det tapte dekningsbidraget (svaret i d)? Én desimal</t>
  </si>
  <si>
    <t xml:space="preserve">ganger</t>
  </si>
  <si>
    <t xml:space="preserve">Er belønningen ytre og materiell, eller indre og psykologisk? (velg i nedtrekksmenyen)</t>
  </si>
  <si>
    <t xml:space="preserve">2 000 kr mer i måneden</t>
  </si>
  <si>
    <t xml:space="preserve">Ros på mandagsmøtet der alle hører det</t>
  </si>
  <si>
    <t xml:space="preserve">Firmabil</t>
  </si>
  <si>
    <t xml:space="preserve">Ansvar for et eget ladeanlegg fra befaring til sluttkontroll</t>
  </si>
  <si>
    <t xml:space="preserve">Bonus ved årets slutt</t>
  </si>
  <si>
    <t xml:space="preserve">Å bli spurt til råds når nye anlegg planlegges</t>
  </si>
  <si>
    <t xml:space="preserve">Var tillegget for lite? Svar med Maslow: hvilket behov ba montøren om å få dekket, og hvorfor virket ikke mer av noe som allerede var dekket? Bruk ordene behov og dekket. (To–tre setninger.)</t>
  </si>
  <si>
    <t xml:space="preserve">Motivasjonsfaktor</t>
  </si>
  <si>
    <t xml:space="preserve">Oppgave 2B: Kari har 150 000 kr for å beholde folkene: åtte forslag på bordet</t>
  </si>
  <si>
    <t xml:space="preserve">Hygienefaktor</t>
  </si>
  <si>
    <t xml:space="preserve">I fjor sa en montør i service opp, selv om han hadde fått 2 000 kr mer i måneden; han hadde i et halvt år bedt om å få være med på batteri- og ladeanleggene. Kari vil ikke miste flere, og har satt av 150 000 kr neste år til tiltak for å beholde folkene. Ledergruppa har kommet med åtte forslag. Tom mener at det enkleste er å gi alle lønnstillegg.</t>
  </si>
  <si>
    <t xml:space="preserve">Herzberg (17.8.3): motivasjonsfaktorene ligger i selve arbeidet (egne prestasjoner, anerkjennelse, arbeidet i seg selv, ansvar, forfremmelse, personlig utvikling) og gir trivsel. Hygienefaktorene ligger rundt arbeidet (lønn og goder, policy og administrasjon, kollegiale forhold, fysisk arbeidsmiljø, ledelse, status, jobbsikkerhet); dårlige gir mistrivsel, gode gir bare fravær av mistrivsel. Jobbene må utformes slik at motivasjonsfaktorene ivaretas.</t>
  </si>
  <si>
    <t xml:space="preserve">Forslagene</t>
  </si>
  <si>
    <t xml:space="preserve">Ledergruppa har kommet med åtte forslag. Potten er 150 000 kr.</t>
  </si>
  <si>
    <t xml:space="preserve">Forslag</t>
  </si>
  <si>
    <t xml:space="preserve">Kroner</t>
  </si>
  <si>
    <t xml:space="preserve">1 Lønnstillegg til to montører</t>
  </si>
  <si>
    <t xml:space="preserve">2 Solcellekurs for to montører</t>
  </si>
  <si>
    <t xml:space="preserve">3 Ny brakke med garderobe</t>
  </si>
  <si>
    <t xml:space="preserve">4 Ansvar for egne solcelleanlegg til én montør</t>
  </si>
  <si>
    <t xml:space="preserve">5 Firmatur for alle</t>
  </si>
  <si>
    <t xml:space="preserve">6 Ros og tilbakemelding på mandagsmøtet</t>
  </si>
  <si>
    <t xml:space="preserve">Tom har rett: høy lønn gir trivsel</t>
  </si>
  <si>
    <t xml:space="preserve">7 Nye telefoner til alle</t>
  </si>
  <si>
    <t xml:space="preserve">Lønn er uviktig og kan droppes</t>
  </si>
  <si>
    <t xml:space="preserve">8 Bedre pensjon</t>
  </si>
  <si>
    <t xml:space="preserve">God lønn fjerner mistrivsel, men skaper ikke trivsel</t>
  </si>
  <si>
    <t xml:space="preserve">Potten</t>
  </si>
  <si>
    <t xml:space="preserve">1. Regn hva alle åtte forslagene koster til sammen.
2. Sorter hvert forslag etter Herzberg (17.8.3): motivasjonsfaktor (ligger i selve arbeidet) eller hygienefaktor (ligger rundt arbeidet).
3. Regn hvor mange prosent av potten de forslagene du sorterte som motivasjonsfaktorer, koster til sammen (én desimal).
4. Ta stilling til Toms forslag.
5. Sett sammen en pakke innenfor 150 000 kr.</t>
  </si>
  <si>
    <t xml:space="preserve">a) Hva koster alle åtte forslagene til sammen?</t>
  </si>
  <si>
    <t xml:space="preserve">b) Motivasjonsfaktor eller hygienefaktor hos Herzberg? (velg i nedtrekksmenyen)</t>
  </si>
  <si>
    <t xml:space="preserve">c) Hvor mange prosent av potten på 150 000 kr koster motivasjonsfaktorene til sammen? (én desimal, skriv 32,0 for 32,0 %)</t>
  </si>
  <si>
    <t xml:space="preserve">d) Tom sier: «Gi alle lønnstillegg, så trives de.» Hva sier Herzbergs undersøkelse?</t>
  </si>
  <si>
    <t xml:space="preserve">e) Sett sammen en pakke innenfor 150 000 kr, og begrunn den med Herzberg og Maslow. Si hva den koster i kroner og hvilket forslag du forkaster. Tre–fire setninger. (Motivasjonstiltakene koster 48 000 kr til sammen.)</t>
  </si>
  <si>
    <t xml:space="preserve">Direkte styring</t>
  </si>
  <si>
    <t xml:space="preserve">Oppgave 2C: Fem grep hos Nordlys, og målet Mona skrev på tavla hos Fjell</t>
  </si>
  <si>
    <t xml:space="preserve">Regelstyring</t>
  </si>
  <si>
    <t xml:space="preserve">Målstyring</t>
  </si>
  <si>
    <t xml:space="preserve">Standardisering av kunnskap</t>
  </si>
  <si>
    <t xml:space="preserve">Del 1 er fem grep hos Nordlys, der du velger styringsform. Del 2 er Fjell Elektro i andre driftsår: en mandag skrev Mona et mål på tavla på verkstedet, uten å snakke med montørene først. Etter tre måneder har noe skjedd med sluttkontrollen og solcellekurset.</t>
  </si>
  <si>
    <t xml:space="preserve">Standardisering av normer</t>
  </si>
  <si>
    <t xml:space="preserve">Styring handler om systemer for beslutninger og samordning (17.9): direkte styring, regelstyring, målstyring, standardisering av kunnskap og standardisering av normer. Målstyring er standardisering av resultater: resultatet er gitt, veien er fri (17.9.3). Målene må være klare og tydelige, realistiske, kjente og aksepterte, og innbyrdes i samsvar. Ulempen: egne delmål kan gå foran helheten (suboptimalisering, kapittel 14). Regler skaper forutsigbarhet (17.9.2).</t>
  </si>
  <si>
    <t xml:space="preserve">Del 1: fem grep hos Nordlys</t>
  </si>
  <si>
    <t xml:space="preserve">Boka har fem styringsformer (17.9): direkte styring (ordre og tilsyn ovenfra), regelstyring (oppgavene standardiseres med regler og rutiner), målstyring (resultatet standardiseres, veien er fri), standardisering av kunnskap (utdanning og fagstandarder) og standardisering av normer (felles verdier og kultur). Velg styringsform for hvert grep.</t>
  </si>
  <si>
    <t xml:space="preserve">Kari ringer kvelden før og sier hvem som kjører hvor</t>
  </si>
  <si>
    <t xml:space="preserve">Sjekklista for sluttkontroll følges punkt for punkt</t>
  </si>
  <si>
    <t xml:space="preserve">14 timer per sikringsskap. Rekkefølgen velger laget selv</t>
  </si>
  <si>
    <t xml:space="preserve">To montører som ikke kjenner hverandre, kobler skapet likt</t>
  </si>
  <si>
    <t xml:space="preserve">«Hos oss rydder vi etter oss.» Det står ingen steder</t>
  </si>
  <si>
    <t xml:space="preserve">Del 2: målet på tavla hos Fjell Elektro</t>
  </si>
  <si>
    <t xml:space="preserve">En montør hos Fjell har 1 800 betalte timer i året: 1 400 fakturerbare og 400 andre (henting av materiell, kurs, dokumentasjon). Timeprisen er 890 kr uten merverdiavgift. Mona skrev på tavla: «Mål: 1 500 fakturerbare timer per montør i år», uten å snakke med montørene først. Etter tre måneder ligger den ene over målet. Samtidig er sluttkontrollen med måling og prøving hoppet over to ganger, og montør 1 har meldt seg av solcellekurset fordi kurstimer ikke faktureres.</t>
  </si>
  <si>
    <t xml:space="preserve">Fjell Elektro</t>
  </si>
  <si>
    <t xml:space="preserve">Betalte timer per montør og år</t>
  </si>
  <si>
    <t xml:space="preserve">Fakturerbare timer i dag</t>
  </si>
  <si>
    <t xml:space="preserve">Monas mål, fakturerbare timer</t>
  </si>
  <si>
    <t xml:space="preserve">Montører</t>
  </si>
  <si>
    <t xml:space="preserve">Timepris uten merverdiavgift, kr</t>
  </si>
  <si>
    <t xml:space="preserve">Klare og tydelige</t>
  </si>
  <si>
    <t xml:space="preserve">1. Regn faktureringsgraden i dag: fakturerbare timer delt på betalte timer, i prosent med én desimal.
2. Regn hvor mye mer Fjell fakturerer i året hvis begge montørene når målet.
3. Velg hvilket krav til mål som er svakest ivaretatt, og hva som har skjedd med sluttkontrollen og kurset.
4. Gi Mona et råd om styringen.</t>
  </si>
  <si>
    <t xml:space="preserve">Kjente og aksepterte</t>
  </si>
  <si>
    <t xml:space="preserve">Realistiske</t>
  </si>
  <si>
    <t xml:space="preserve">a) Faktureringsgrad i dag, i prosent (én desimal, skriv 77,8 for 77,8 %)</t>
  </si>
  <si>
    <t xml:space="preserve">Målstyring passer ikke i el-bedrifter og bør droppes</t>
  </si>
  <si>
    <t xml:space="preserve">b) Hvor mye mer fakturerer Fjell i året hvis begge montørene når målet?</t>
  </si>
  <si>
    <t xml:space="preserve">Målene er ikke i samsvar: timemålet går foran sikkerhet og opplæring</t>
  </si>
  <si>
    <t xml:space="preserve">Montøren er lat og trenger direkte styring</t>
  </si>
  <si>
    <t xml:space="preserve">c) Målet sto på tavla uten at Mona snakket med montørene. Hvilket av bokas fire krav til mål (17.9.3) er svakest ivaretatt?</t>
  </si>
  <si>
    <t xml:space="preserve">d) Sluttkontrollen med måling og prøving er hoppet over, og solcellekurset er droppet. Hva har skjedd?</t>
  </si>
  <si>
    <t xml:space="preserve">e) Hvordan bør Mona styre Fjell etter dette? Si hva som bør målstyres, hva som bør regelstyres, og hva hun gjør med målet på tavla. Tre–fire setninger.</t>
  </si>
  <si>
    <t xml:space="preserve">Fasit, kapittel 17</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</si>
  <si>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</si>
  <si>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</si>
  <si>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</si>
  <si>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</si>
  <si>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Lederoppgavene</t>
  </si>
  <si>
    <t xml:space="preserve">Formulere mål (Kari, egen avdeling), planlegge tiltak (Ronnys ukeplan), iverksette og gjennomføre (Tom flytter montører), kontrollere og evaluere (Ida og kalkylen), informere og motivere (morgenmøtet). Kari som selv rykker ut på jordfeilen: ikke en lederoppgave, fagarbeid</t>
  </si>
  <si>
    <t xml:space="preserve">1A Nivåene</t>
  </si>
  <si>
    <t xml:space="preserve">Strategisk: verdigrunnlag og fem år. Administrativt: budsjett og bemanning neste kvartal. Operativt: etasjen ferdig fredag</t>
  </si>
  <si>
    <t xml:space="preserve">1A Forskjellen på nivåene</t>
  </si>
  <si>
    <t xml:space="preserve">Oppgavene er de samme; innholdet i planene og tidshorisonten er forskjellig (17.2)</t>
  </si>
  <si>
    <t xml:space="preserve">1B a) Andel montering</t>
  </si>
  <si>
    <t xml:space="preserve">15 / 37,5 × 100 = 40,0 %</t>
  </si>
  <si>
    <t xml:space="preserve">1B b) De tre daglige rollene</t>
  </si>
  <si>
    <t xml:space="preserve">6 + 4 + 2,5 = 12,5 timer (33,3 % av uka)</t>
  </si>
  <si>
    <t xml:space="preserve">1B c) Rollen uten timer</t>
  </si>
  <si>
    <t xml:space="preserve">1B d) Lederoppgave?</t>
  </si>
  <si>
    <t xml:space="preserve">Ja, ja, ja, ja, nei (kabeltrekking er fagarbeid)</t>
  </si>
  <si>
    <t xml:space="preserve">1B e) Rådet til Kari</t>
  </si>
  <si>
    <t xml:space="preserve">Ronny monterer 40,0 % av uka; de tre daglige rollene tar 12,5 timer og vokser med 9 under seg. Integratoren mangler. Delegere mer av monteringen; Kari eller et lederteam kan fylle integratoren. 9 er innenfor Fayols 6–10, så tiden avgjør</t>
  </si>
  <si>
    <t xml:space="preserve">1C Ledergitteret</t>
  </si>
  <si>
    <t xml:space="preserve">Formannen 1,9 · prosjektlederen 9,1 · basen 1,1 · driftslederen 5,5. Ingen er 9,9</t>
  </si>
  <si>
    <t xml:space="preserve">1C a) Lærlingen</t>
  </si>
  <si>
    <t xml:space="preserve">1C b) Montør 2</t>
  </si>
  <si>
    <t xml:space="preserve">1C c) Påstandene</t>
  </si>
  <si>
    <t xml:space="preserve">Ja, nei, ja, ja, nei</t>
  </si>
  <si>
    <t xml:space="preserve">1C d) Montør 1 på solceller</t>
  </si>
  <si>
    <t xml:space="preserve">Overtalende (selgende): motivert, men mangler kompetanse. På ladebokser: delegerende</t>
  </si>
  <si>
    <t xml:space="preserve">1C e) Monas utsagn</t>
  </si>
  <si>
    <t xml:space="preserve">Demokratisk og autoritær er en skala. Lærlingen instruerende, montør 1 delegerende på ladebokser og overtalende på solceller, montør 2 deltagende. Lederen tilpasser seg; skal en jobb gjøres på eller nær et spenningssatt anlegg, bestemmer hun metoden før start</t>
  </si>
  <si>
    <t xml:space="preserve">2A a) Tillegget i lønn</t>
  </si>
  <si>
    <t xml:space="preserve">2 000 × 12 = 24 000 kr</t>
  </si>
  <si>
    <t xml:space="preserve">2A b) Med sosiale kostnader</t>
  </si>
  <si>
    <t xml:space="preserve">24 000 × 1,468 = 35 232 kr</t>
  </si>
  <si>
    <t xml:space="preserve">2A c) Tapte timer</t>
  </si>
  <si>
    <t xml:space="preserve">1 200 / 12 × 4 = 400 timer</t>
  </si>
  <si>
    <t xml:space="preserve">2A d) Tapt dekningsbidrag</t>
  </si>
  <si>
    <t xml:space="preserve">400 × (890 − 586) = 121 600 kr. Faktureringen som uteble, 356 000 kr, er omsetning; lønna til den som ikke var ansatt, slapp Nordlys</t>
  </si>
  <si>
    <t xml:space="preserve">2A e) Ganger tillegget</t>
  </si>
  <si>
    <t xml:space="preserve">121 600 / 35 232 = 3,5</t>
  </si>
  <si>
    <t xml:space="preserve">2A Sorteringen</t>
  </si>
  <si>
    <t xml:space="preserve">Ytre, materiell: lønnstillegg, firmabil, bonus. Indre, psykologisk: ros, ansvar for eget anlegg, å bli spurt til råds</t>
  </si>
  <si>
    <t xml:space="preserve">2A Var tillegget for lite?</t>
  </si>
  <si>
    <t xml:space="preserve">Nei. Han ba om utvikling og ansvar, et behov som ikke var dekket. Lønn traff et behov som allerede var dekket, og et dekket behov driver ikke (17.8.1)</t>
  </si>
  <si>
    <t xml:space="preserve">2B a) Alle forslagene</t>
  </si>
  <si>
    <t xml:space="preserve">70 000 + 48 000 + 35 000 + 0 + 60 000 + 0 + 45 000 + 55 000 = 313 000 kr (163 000 over potten)</t>
  </si>
  <si>
    <t xml:space="preserve">2B b) Sorteringen</t>
  </si>
  <si>
    <t xml:space="preserve">Motivasjonsfaktor: kurs, ansvar, ros. Hygienefaktor: lønnstillegg, brakke, firmatur, telefoner, pensjon</t>
  </si>
  <si>
    <t xml:space="preserve">2B c) Motivasjonsfaktorenes andel</t>
  </si>
  <si>
    <t xml:space="preserve">(48 000 + 0 + 0) / 150 000 × 100 = 32,0 %</t>
  </si>
  <si>
    <t xml:space="preserve">2B d) Toms forslag</t>
  </si>
  <si>
    <t xml:space="preserve">2B e) Pakken</t>
  </si>
  <si>
    <t xml:space="preserve">Kurs, ansvar og ros: 48 000 kr. Med brakka 83 000 kr (55,3 %); med pensjon 138 000 kr (92,0 %). Forkast lønnstillegget til to (70 000 kr)</t>
  </si>
  <si>
    <t xml:space="preserve">2C Fem grep hos Nordlys</t>
  </si>
  <si>
    <t xml:space="preserve">Direkte styring, regelstyring, målstyring, standardisering av kunnskap, standardisering av normer</t>
  </si>
  <si>
    <t xml:space="preserve">2C a) Faktureringsgrad</t>
  </si>
  <si>
    <t xml:space="preserve">1 400 / 1 800 × 100 = 77,8 % (med målet 83,3 %)</t>
  </si>
  <si>
    <t xml:space="preserve">2C b) Målet er verdt</t>
  </si>
  <si>
    <t xml:space="preserve">2 × (1 500 − 1 400) × 890 = 178 000 kr uten merverdiavgift</t>
  </si>
  <si>
    <t xml:space="preserve">2C c) Svakeste krav</t>
  </si>
  <si>
    <t xml:space="preserve">2C d) Hva har skjedd</t>
  </si>
  <si>
    <t xml:space="preserve">Målene er ikke i samsvar: timemålet går foran sikkerhet og opplæring (suboptimalisering, kapittel 14)</t>
  </si>
  <si>
    <t xml:space="preserve">2C e) Rådet til Mona</t>
  </si>
  <si>
    <t xml:space="preserve">Målstyr timene, men gjør målet akseptert. Regelstyr sluttkontrollen før anlegget tas i bruk (forskrift om elektriske lavspenningsanlegg (FEL) § 12). Legg til et mål for kurs og opplæring, så målene er i samsvar</t>
  </si>
</sst>
</file>

<file path=xl/styles.xml><?xml version="1.0" encoding="utf-8"?>
<styleSheet xmlns="http://schemas.openxmlformats.org/spreadsheetml/2006/main">
  <numFmts count="5">
    <numFmt numFmtId="164" formatCode="General"/>
    <numFmt numFmtId="165" formatCode="0.0"/>
    <numFmt numFmtId="166" formatCode="@"/>
    <numFmt numFmtId="167" formatCode="#,##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5"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0" borderId="1" xfId="0" applyFont="true" applyBorder="true" applyAlignment="true" applyProtection="false">
      <alignment horizontal="right" vertical="center" textRotation="0" wrapText="false" indent="0" shrinkToFit="false"/>
      <protection locked="true" hidden="false"/>
    </xf>
    <xf numFmtId="167" fontId="0" fillId="0" borderId="1" xfId="0" applyFont="false" applyBorder="true" applyAlignment="true" applyProtection="false">
      <alignment horizontal="right" vertical="center" textRotation="0" wrapText="false" indent="0" shrinkToFit="false"/>
      <protection locked="true" hidden="false"/>
    </xf>
    <xf numFmtId="168" fontId="0" fillId="2" borderId="1" xfId="0" applyFont="false" applyBorder="true" applyAlignment="true" applyProtection="false">
      <alignment horizontal="right" vertical="center" textRotation="0" wrapText="false" indent="0" shrinkToFit="false"/>
      <protection locked="true" hidden="false"/>
    </xf>
    <xf numFmtId="168" fontId="0" fillId="0"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8"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ht="17.25" customHeight="true" r="16" customFormat="false" hidden="false" outlineLevel="0" collapsed="false">
      <c r="B16" s="2" t="s">
        <v>12</v>
      </c>
    </row>
    <row ht="17.25" customHeight="true" r="17" customFormat="false" hidden="false" outlineLevel="0" collapsed="false">
      <c r="B17" s="2" t="s">
        <v>13</v>
      </c>
    </row>
    <row ht="17.25" customHeight="true" r="18" customFormat="false" hidden="fals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16</v>
      </c>
    </row>
    <row r="2" customFormat="false" ht="25.5" hidden="false" customHeight="true" outlineLevel="0" collapsed="false">
      <c r="B2" s="5" t="s">
        <v>17</v>
      </c>
      <c r="C2" s="5"/>
      <c r="D2" s="5"/>
      <c r="E2" s="5"/>
      <c r="F2" s="5"/>
      <c r="G2" s="5"/>
      <c r="Z2" s="6" t="s">
        <v>18</v>
      </c>
    </row>
    <row r="3" customFormat="false" ht="15" hidden="false" customHeight="true" outlineLevel="0" collapsed="false">
      <c r="B3" s="7" t="s">
        <v>19</v>
      </c>
      <c r="C3" s="7"/>
      <c r="D3" s="7"/>
      <c r="E3" s="7"/>
      <c r="F3" s="7"/>
      <c r="G3" s="7"/>
      <c r="Z3" s="6" t="s">
        <v>20</v>
      </c>
    </row>
    <row r="4" customFormat="false" ht="15.75" hidden="false" customHeight="true" outlineLevel="0" collapsed="false">
      <c r="B4" s="8" t="s">
        <v>21</v>
      </c>
      <c r="C4" s="8"/>
      <c r="D4" s="8"/>
      <c r="E4" s="8"/>
      <c r="F4" s="8"/>
      <c r="G4" s="8"/>
      <c r="Z4" s="6" t="s">
        <v>22</v>
      </c>
    </row>
    <row r="5" customFormat="false" ht="45" hidden="false" customHeight="true" outlineLevel="0" collapsed="false">
      <c r="B5" s="9" t="s">
        <v>23</v>
      </c>
      <c r="C5" s="9"/>
      <c r="D5" s="9"/>
      <c r="E5" s="9"/>
      <c r="F5" s="9"/>
      <c r="G5" s="9"/>
      <c r="Z5" s="6" t="s">
        <v>24</v>
      </c>
    </row>
    <row r="6" customFormat="false" ht="15.75" hidden="false" customHeight="true" outlineLevel="0" collapsed="false">
      <c r="B6" s="8" t="s">
        <v>25</v>
      </c>
      <c r="C6" s="8"/>
      <c r="D6" s="8"/>
      <c r="E6" s="8"/>
      <c r="F6" s="8"/>
      <c r="G6" s="8"/>
      <c r="Z6" s="6" t="s">
        <v>26</v>
      </c>
    </row>
    <row r="7" customFormat="false" ht="60" hidden="false" customHeight="true" outlineLevel="0" collapsed="false">
      <c r="B7" s="9" t="s">
        <v>27</v>
      </c>
      <c r="C7" s="9"/>
      <c r="D7" s="9"/>
      <c r="E7" s="9"/>
      <c r="F7" s="9"/>
      <c r="G7" s="9"/>
      <c r="Z7" s="6" t="s">
        <v>16</v>
      </c>
    </row>
    <row r="8" customFormat="false" ht="15" hidden="false" customHeight="false" outlineLevel="0" collapsed="false">
      <c r="Z8" s="0" t="s">
        <v>18</v>
      </c>
    </row>
    <row r="9" customFormat="false" ht="15.75" hidden="false" customHeight="true" outlineLevel="0" collapsed="false">
      <c r="B9" s="8" t="s">
        <v>28</v>
      </c>
      <c r="C9" s="8"/>
      <c r="D9" s="8"/>
      <c r="E9" s="8"/>
      <c r="F9" s="8"/>
      <c r="G9" s="8"/>
      <c r="Z9" s="6" t="s">
        <v>20</v>
      </c>
    </row>
    <row r="10" customFormat="false" ht="45" hidden="false" customHeight="true" outlineLevel="0" collapsed="false">
      <c r="B10" s="9" t="s">
        <v>29</v>
      </c>
      <c r="C10" s="9"/>
      <c r="D10" s="9"/>
      <c r="E10" s="9"/>
      <c r="F10" s="9"/>
      <c r="G10" s="9"/>
      <c r="Z10" s="6" t="s">
        <v>22</v>
      </c>
    </row>
    <row r="11" customFormat="false" ht="15" hidden="false" customHeight="false" outlineLevel="0" collapsed="false">
      <c r="Z11" s="0" t="s">
        <v>24</v>
      </c>
    </row>
    <row ht="17.25" customHeight="true" r="12" customFormat="false" hidden="false" outlineLevel="0" collapsed="false">
      <c r="B12" s="8" t="s">
        <v>30</v>
      </c>
      <c r="C12" s="8"/>
      <c r="D12" s="8"/>
      <c r="E12" s="8"/>
      <c r="F12" s="8"/>
      <c r="G12" s="8"/>
      <c r="Z12" s="6" t="s">
        <v>26</v>
      </c>
    </row>
    <row r="13" customFormat="false" ht="39.75" hidden="false" customHeight="true" outlineLevel="0" collapsed="false">
      <c r="B13" s="10" t="s">
        <v>31</v>
      </c>
      <c r="C13" s="11"/>
      <c r="G13" s="12" t="str">
        <f aca="false">IF(C13="","Velg i nedtrekksmenyen.",IF(C13="Formulere mål","Riktig. Å bestemme hva bedriften skal oppnå, er å formulere mål (17.2).","Ikke riktig. Å bestemme hva bedriften skal oppnå, er å formulere mål (17.2)."))</f>
        <v>Velg i nedtrekksmenyen.</v>
      </c>
      <c r="Z13" s="6" t="s">
        <v>16</v>
      </c>
    </row>
    <row r="14" customFormat="false" ht="39.75" hidden="false" customHeight="true" outlineLevel="0" collapsed="false">
      <c r="B14" s="10" t="s">
        <v>32</v>
      </c>
      <c r="C14" s="11"/>
      <c r="G14" s="12" t="str">
        <f aca="false">IF(C14="","Velg i nedtrekksmenyen.",IF(C14="Planlegge tiltak","Riktig. Planen sier hvordan målet skal nås: planlegge tiltak (17.2).","Ikke riktig. Planen sier hvordan målet skal nås: planlegge tiltak (17.2)."))</f>
        <v>Velg i nedtrekksmenyen.</v>
      </c>
      <c r="Z14" s="6" t="s">
        <v>18</v>
      </c>
    </row>
    <row r="15" customFormat="false" ht="39.75" hidden="false" customHeight="true" outlineLevel="0" collapsed="false">
      <c r="B15" s="10" t="s">
        <v>33</v>
      </c>
      <c r="C15" s="11"/>
      <c r="G15" s="12" t="str">
        <f aca="false">IF(C15="","Velg i nedtrekksmenyen.",IF(C15="Iverksette og gjennomføre","Riktig. Ressursene settes inn og planen settes ut i livet: iverksette og gjennomføre (17.2).","Ikke riktig. Ressursene settes inn og planen settes ut i livet: iverksette og gjennomføre (17.2)."))</f>
        <v>Velg i nedtrekksmenyen.</v>
      </c>
      <c r="Z15" s="6" t="s">
        <v>20</v>
      </c>
    </row>
    <row r="16" customFormat="false" ht="39.75" hidden="false" customHeight="true" outlineLevel="0" collapsed="false">
      <c r="B16" s="10" t="s">
        <v>34</v>
      </c>
      <c r="C16" s="11"/>
      <c r="G16" s="12" t="str">
        <f aca="false">IF(C16="","Velg i nedtrekksmenyen.",IF(C16="Kontrollere og evaluere","Riktig. Å måle resultatet mot målet er å kontrollere og evaluere (17.2).","Ikke riktig. Å måle resultatet mot målet er å kontrollere og evaluere (17.2)."))</f>
        <v>Velg i nedtrekksmenyen.</v>
      </c>
      <c r="Z16" s="6" t="s">
        <v>22</v>
      </c>
    </row>
    <row r="17" customFormat="false" ht="39.75" hidden="false" customHeight="true" outlineLevel="0" collapsed="false">
      <c r="B17" s="10" t="s">
        <v>35</v>
      </c>
      <c r="C17" s="11"/>
      <c r="G17" s="12" t="str">
        <f aca="false">IF(C17="","Velg i nedtrekksmenyen.",IF(C17="Informere og motivere","Riktig. Boka sier at lederen i tillegg til de fire oppgavene må informere, kommunisere og motivere (17.2).","Ikke riktig. Boka sier at lederen i tillegg til de fire oppgavene må informere, kommunisere og motivere (17.2)."))</f>
        <v>Velg i nedtrekksmenyen.</v>
      </c>
      <c r="Z17" s="6" t="s">
        <v>24</v>
      </c>
    </row>
    <row r="18" customFormat="false" ht="39.75" hidden="false" customHeight="true" outlineLevel="0" collapsed="false">
      <c r="B18" s="10" t="s">
        <v>36</v>
      </c>
      <c r="C18" s="11"/>
      <c r="G18" s="12" t="str">
        <f aca="false">IF(C18="","Velg i nedtrekksmenyen.",IF(C18="Ikke en lederoppgave","Riktig. Det er fagarbeid. Ledelse er å få andre til å arbeide for målene (17.1). Kari fyller produsentrollen hos Adizes, men leder ikke.","Ikke riktig. Det er fagarbeid. Ledelse er å få andre til å arbeide for målene (17.1). Kari fyller produsentrollen hos Adizes, men leder ikke."))</f>
        <v>Velg i nedtrekksmenyen.</v>
      </c>
      <c r="Z18" s="6" t="s">
        <v>26</v>
      </c>
    </row>
    <row r="19" customFormat="false" ht="15" hidden="false" customHeight="false" outlineLevel="0" collapsed="false">
      <c r="Z19" s="0" t="s">
        <v>16</v>
      </c>
    </row>
    <row ht="17.25" customHeight="true" r="20" customFormat="false" hidden="false" outlineLevel="0" collapsed="false">
      <c r="B20" s="8" t="s">
        <v>37</v>
      </c>
      <c r="C20" s="8"/>
      <c r="D20" s="8"/>
      <c r="E20" s="8"/>
      <c r="F20" s="8"/>
      <c r="G20" s="8"/>
      <c r="Z20" s="6" t="s">
        <v>18</v>
      </c>
    </row>
    <row r="21" customFormat="false" ht="39.75" hidden="false" customHeight="true" outlineLevel="0" collapsed="false">
      <c r="B21" s="10" t="s">
        <v>38</v>
      </c>
      <c r="C21" s="11"/>
      <c r="G21" s="12" t="str">
        <f aca="false">IF(C21="","Velg i nedtrekksmenyen.",IF(C21="Strategisk","Riktig. Toppledelsen formulerer overordnede mål, langsiktige planer og verdigrunnlaget (17.1).","Ikke riktig. Toppledelsen formulerer overordnede mål, langsiktige planer og verdigrunnlaget (17.1)."))</f>
        <v>Velg i nedtrekksmenyen.</v>
      </c>
      <c r="Z21" s="6" t="s">
        <v>20</v>
      </c>
    </row>
    <row r="22" customFormat="false" ht="39.75" hidden="false" customHeight="true" outlineLevel="0" collapsed="false">
      <c r="B22" s="10" t="s">
        <v>39</v>
      </c>
      <c r="C22" s="11"/>
      <c r="G22" s="12" t="str">
        <f aca="false">IF(C22="","Velg i nedtrekksmenyen.",IF(C22="Administrativt","Riktig. Mellomlederne lager mål, planer og budsjetter for egen avdeling og skaffer ressurser (17.1–17.2).","Ikke riktig. Mellomlederne lager mål, planer og budsjetter for egen avdeling og skaffer ressurser (17.1–17.2)."))</f>
        <v>Velg i nedtrekksmenyen.</v>
      </c>
      <c r="Z22" s="6" t="s">
        <v>22</v>
      </c>
    </row>
    <row r="23" customFormat="false" ht="39.75" hidden="false" customHeight="true" outlineLevel="0" collapsed="false">
      <c r="B23" s="10" t="s">
        <v>40</v>
      </c>
      <c r="C23" s="11"/>
      <c r="G23" s="12" t="str">
        <f aca="false">IF(C23="","Velg i nedtrekksmenyen.",IF(C23="Operativt","Riktig. Planlegging på ukenivå, konkrete mål og improvisering ved sykdom er operativt nivå (17.2).","Ikke riktig. Planlegging på ukenivå, konkrete mål og improvisering ved sykdom er operativt nivå (17.2)."))</f>
        <v>Velg i nedtrekksmenyen.</v>
      </c>
      <c r="Z23" s="6" t="s">
        <v>24</v>
      </c>
    </row>
    <row r="24" customFormat="false" ht="15" hidden="false" customHeight="false" outlineLevel="0" collapsed="false">
      <c r="Z24" s="0" t="s">
        <v>26</v>
      </c>
    </row>
    <row r="25" customFormat="false" ht="30" hidden="false" customHeight="true" outlineLevel="0" collapsed="false">
      <c r="B25" s="9" t="s">
        <v>41</v>
      </c>
      <c r="C25" s="9"/>
      <c r="D25" s="9"/>
      <c r="E25" s="9"/>
      <c r="F25" s="9"/>
      <c r="G25" s="9"/>
      <c r="Z25" s="6" t="s">
        <v>16</v>
      </c>
    </row>
    <row r="26" customFormat="false" ht="21.75" hidden="false" customHeight="true" outlineLevel="0" collapsed="false">
      <c r="B26" s="13"/>
      <c r="C26" s="13"/>
      <c r="D26" s="13"/>
      <c r="E26" s="13"/>
      <c r="F26" s="13"/>
      <c r="G26" s="13"/>
      <c r="Z26" s="6" t="s">
        <v>18</v>
      </c>
    </row>
    <row r="27" customFormat="false" ht="21.75" hidden="false" customHeight="true" outlineLevel="0" collapsed="false">
      <c r="B27" s="13"/>
      <c r="C27" s="13"/>
      <c r="D27" s="13"/>
      <c r="E27" s="13"/>
      <c r="F27" s="13"/>
      <c r="G27" s="13"/>
      <c r="Z27" s="6" t="s">
        <v>20</v>
      </c>
    </row>
    <row r="28" customFormat="false" ht="21.75" hidden="false" customHeight="true" outlineLevel="0" collapsed="false">
      <c r="B28" s="13"/>
      <c r="C28" s="13"/>
      <c r="D28" s="13"/>
      <c r="E28" s="13"/>
      <c r="F28" s="13"/>
      <c r="G28" s="13"/>
      <c r="Z28" s="6" t="s">
        <v>22</v>
      </c>
    </row>
    <row r="29" customFormat="false" ht="39.75" hidden="false" customHeight="true" outlineLevel="0" collapsed="false">
      <c r="B29" s="14" t="str">
        <f aca="false">IF(LEN(B26)&lt;40,"",IF(AND(ISNUMBER(SEARCH("innhold",B26)),ISNUMBER(SEARCH("tidshorisont",B26))),"Bra: du har med både innholdet i planene og tidshorisonten. Det er nettopp bokas konklusjon (17.2).",IF(OR(ISNUMBER(SEARCH("innhold",B26)),ISNUMBER(SEARCH("tidshorisont",B26))),"Du er på sporet. Boka sier at det er innholdet i planene og aktivitetene, og tidshorisonten, som er forskjellig.","Tips: Kari planlegger fem år fram, Ronny planlegger uka. Oppgavene er de samme, men innholdet i planene og tidshorisonten er forskjellig (17.2).")))</f>
        <v/>
      </c>
      <c r="C29" s="14"/>
      <c r="D29" s="14"/>
      <c r="E29" s="14"/>
      <c r="F29" s="14"/>
      <c r="G29" s="14"/>
      <c r="Z29" s="6" t="s">
        <v>24</v>
      </c>
    </row>
    <row r="30" customFormat="false" ht="15" hidden="false" customHeight="false" outlineLevel="0" collapsed="false">
      <c r="B30" s="15" t="s">
        <v>42</v>
      </c>
      <c r="C30" s="11"/>
      <c r="Z30" s="6" t="s">
        <v>26</v>
      </c>
    </row>
    <row r="31" customFormat="false" ht="60" hidden="false" customHeight="true" outlineLevel="0" collapsed="false">
      <c r="B31" s="16" t="str">
        <f aca="false">IF(C30="JA","Hint: Spør for hver handling: er dette å bestemme hva vi skal oppnå (mål), hvordan (plan), å sette det i gang (iverksette), å måle om vi nådde det (kontrollere), eller å fortelle og motivere? Gjør lederen jobben selv, er det fagarbeid, ikke ledelse. Nivåene: lang sikt og verdigrunnlag er strategisk, avdelingens kvartal er administrativt, uka på bygget er operativt.","")</f>
        <v/>
      </c>
      <c r="C31" s="16"/>
      <c r="D31" s="16"/>
      <c r="E31" s="16"/>
      <c r="F31" s="16"/>
      <c r="G31" s="16"/>
      <c r="Z31" s="6" t="s">
        <v>16</v>
      </c>
    </row>
    <row r="32" customFormat="false" ht="15" hidden="false" customHeight="false" outlineLevel="0" collapsed="false">
      <c r="Z32" s="0" t="s">
        <v>18</v>
      </c>
    </row>
    <row r="33" customFormat="false" ht="30" hidden="false" customHeight="true" outlineLevel="0" collapsed="false">
      <c r="B33" s="7" t="s">
        <v>43</v>
      </c>
      <c r="C33" s="7"/>
      <c r="D33" s="7"/>
      <c r="E33" s="7"/>
      <c r="F33" s="7"/>
      <c r="G33" s="7"/>
      <c r="Z33" s="6" t="s">
        <v>20</v>
      </c>
    </row>
    <row r="34" customFormat="false" ht="15" hidden="false" customHeight="false" outlineLevel="0" collapsed="false">
      <c r="Z34" s="0" t="s">
        <v>22</v>
      </c>
    </row>
    <row r="35" customFormat="false" ht="15" hidden="false" customHeight="false" outlineLevel="0" collapsed="false">
      <c r="Z35" s="0" t="s">
        <v>24</v>
      </c>
    </row>
    <row r="36" customFormat="false" ht="15" hidden="false" customHeight="false" outlineLevel="0" collapsed="false">
      <c r="Z36" s="0" t="s">
        <v>26</v>
      </c>
    </row>
    <row r="37" customFormat="false" ht="15" hidden="false" customHeight="false" outlineLevel="0" collapsed="false">
      <c r="Z37" s="0" t="s">
        <v>44</v>
      </c>
    </row>
    <row r="38" customFormat="false" ht="15" hidden="false" customHeight="false" outlineLevel="0" collapsed="false">
      <c r="Z38" s="0" t="s">
        <v>45</v>
      </c>
    </row>
    <row r="39" customFormat="false" ht="15" hidden="false" customHeight="false" outlineLevel="0" collapsed="false">
      <c r="Z39" s="0" t="s">
        <v>46</v>
      </c>
    </row>
    <row r="40" customFormat="false" ht="15" hidden="false" customHeight="false" outlineLevel="0" collapsed="false">
      <c r="Z40" s="0" t="s">
        <v>44</v>
      </c>
    </row>
    <row r="41" customFormat="false" ht="15" hidden="false" customHeight="false" outlineLevel="0" collapsed="false">
      <c r="Z41" s="0" t="s">
        <v>45</v>
      </c>
    </row>
    <row r="42" customFormat="false" ht="15" hidden="false" customHeight="false" outlineLevel="0" collapsed="false">
      <c r="Z42" s="0" t="s">
        <v>46</v>
      </c>
    </row>
    <row r="43" customFormat="false" ht="15" hidden="false" customHeight="false" outlineLevel="0" collapsed="false">
      <c r="Z43" s="0" t="s">
        <v>44</v>
      </c>
    </row>
    <row r="44" customFormat="false" ht="15" hidden="false" customHeight="false" outlineLevel="0" collapsed="false">
      <c r="Z44" s="0" t="s">
        <v>45</v>
      </c>
    </row>
    <row r="45" customFormat="false" ht="15" hidden="false" customHeight="false" outlineLevel="0" collapsed="false">
      <c r="Z45" s="0" t="s">
        <v>46</v>
      </c>
    </row>
  </sheetData>
  <mergeCells count="15">
    <mergeCell ref="B2:G2"/>
    <mergeCell ref="B3:G3"/>
    <mergeCell ref="B4:G4"/>
    <mergeCell ref="B5:G5"/>
    <mergeCell ref="B6:G6"/>
    <mergeCell ref="B7:G7"/>
    <mergeCell ref="B9:G9"/>
    <mergeCell ref="B10:G10"/>
    <mergeCell ref="B12:G12"/>
    <mergeCell ref="B20:G20"/>
    <mergeCell ref="B25:G25"/>
    <mergeCell ref="B26:G28"/>
    <mergeCell ref="B29:G29"/>
    <mergeCell ref="B31:G31"/>
    <mergeCell ref="B33:G33"/>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21">
    <cfRule type="expression" priority="14" aboveAverage="0" equalAverage="0" bottom="0" percent="0" rank="0" text="" dxfId="0">
      <formula>LEFT(G21,6)="Riktig"</formula>
    </cfRule>
    <cfRule type="expression" priority="15" aboveAverage="0" equalAverage="0" bottom="0" percent="0" rank="0" text="" dxfId="1">
      <formula>LEFT(G21,4)="Ikke"</formula>
    </cfRule>
  </conditionalFormatting>
  <conditionalFormatting sqref="G22">
    <cfRule type="expression" priority="16" aboveAverage="0" equalAverage="0" bottom="0" percent="0" rank="0" text="" dxfId="0">
      <formula>LEFT(G22,6)="Riktig"</formula>
    </cfRule>
    <cfRule type="expression" priority="17" aboveAverage="0" equalAverage="0" bottom="0" percent="0" rank="0" text="" dxfId="1">
      <formula>LEFT(G22,4)="Ikke"</formula>
    </cfRule>
  </conditionalFormatting>
  <conditionalFormatting sqref="G23">
    <cfRule type="expression" priority="18" aboveAverage="0" equalAverage="0" bottom="0" percent="0" rank="0" text="" dxfId="0">
      <formula>LEFT(G23,6)="Riktig"</formula>
    </cfRule>
    <cfRule type="expression" priority="19" aboveAverage="0" equalAverage="0" bottom="0" percent="0" rank="0" text="" dxfId="1">
      <formula>LEFT(G23,4)="Ikke"</formula>
    </cfRule>
  </conditionalFormatting>
  <dataValidations count="10">
    <dataValidation allowBlank="true" errorStyle="stop" operator="between" showDropDown="false" showErrorMessage="false" showInputMessage="false" sqref="C13" type="list">
      <formula1>$Z$1:$Z$6</formula1>
      <formula2>0</formula2>
    </dataValidation>
    <dataValidation allowBlank="true" errorStyle="stop" operator="between" showDropDown="false" showErrorMessage="false" showInputMessage="false" sqref="C14" type="list">
      <formula1>$Z$7:$Z$12</formula1>
      <formula2>0</formula2>
    </dataValidation>
    <dataValidation allowBlank="true" errorStyle="stop" operator="between" showDropDown="false" showErrorMessage="false" showInputMessage="false" sqref="C15" type="list">
      <formula1>$Z$13:$Z$18</formula1>
      <formula2>0</formula2>
    </dataValidation>
    <dataValidation allowBlank="true" errorStyle="stop" operator="between" showDropDown="false" showErrorMessage="false" showInputMessage="false" sqref="C16" type="list">
      <formula1>$Z$19:$Z$24</formula1>
      <formula2>0</formula2>
    </dataValidation>
    <dataValidation allowBlank="true" errorStyle="stop" operator="between" showDropDown="false" showErrorMessage="false" showInputMessage="false" sqref="C17" type="list">
      <formula1>$Z$25:$Z$30</formula1>
      <formula2>0</formula2>
    </dataValidation>
    <dataValidation allowBlank="true" errorStyle="stop" operator="between" showDropDown="false" showErrorMessage="false" showInputMessage="false" sqref="C18" type="list">
      <formula1>$Z$31:$Z$36</formula1>
      <formula2>0</formula2>
    </dataValidation>
    <dataValidation allowBlank="true" errorStyle="stop" operator="between" showDropDown="false" showErrorMessage="false" showInputMessage="false" sqref="C21" type="list">
      <formula1>$Z$37:$Z$39</formula1>
      <formula2>0</formula2>
    </dataValidation>
    <dataValidation allowBlank="true" errorStyle="stop" operator="between" showDropDown="false" showErrorMessage="false" showInputMessage="false" sqref="C22" type="list">
      <formula1>$Z$40:$Z$42</formula1>
      <formula2>0</formula2>
    </dataValidation>
    <dataValidation allowBlank="true" errorStyle="stop" operator="between" showDropDown="false" showErrorMessage="false" showInputMessage="false" sqref="C23" type="list">
      <formula1>$Z$43:$Z$45</formula1>
      <formula2>0</formula2>
    </dataValidation>
    <dataValidation allowBlank="true" errorStyle="stop" operator="between" showDropDown="false" showErrorMessage="false" showInputMessage="false" sqref="C3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47</v>
      </c>
    </row>
    <row r="2" customFormat="false" ht="25.5" hidden="false" customHeight="true" outlineLevel="0" collapsed="false">
      <c r="B2" s="5" t="s">
        <v>48</v>
      </c>
      <c r="C2" s="5"/>
      <c r="D2" s="5"/>
      <c r="E2" s="5"/>
      <c r="F2" s="5"/>
      <c r="G2" s="5"/>
      <c r="Z2" s="6" t="s">
        <v>49</v>
      </c>
    </row>
    <row r="3" customFormat="false" ht="15" hidden="false" customHeight="true" outlineLevel="0" collapsed="false">
      <c r="B3" s="7" t="s">
        <v>19</v>
      </c>
      <c r="C3" s="7"/>
      <c r="D3" s="7"/>
      <c r="E3" s="7"/>
      <c r="F3" s="7"/>
      <c r="G3" s="7"/>
      <c r="Z3" s="6" t="s">
        <v>50</v>
      </c>
    </row>
    <row r="4" customFormat="false" ht="15.75" hidden="false" customHeight="true" outlineLevel="0" collapsed="false">
      <c r="B4" s="8" t="s">
        <v>21</v>
      </c>
      <c r="C4" s="8"/>
      <c r="D4" s="8"/>
      <c r="E4" s="8"/>
      <c r="F4" s="8"/>
      <c r="G4" s="8"/>
      <c r="Z4" s="6" t="s">
        <v>51</v>
      </c>
    </row>
    <row r="5" customFormat="false" ht="45" hidden="false" customHeight="true" outlineLevel="0" collapsed="false">
      <c r="B5" s="9" t="s">
        <v>52</v>
      </c>
      <c r="C5" s="9"/>
      <c r="D5" s="9"/>
      <c r="E5" s="9"/>
      <c r="F5" s="9"/>
      <c r="G5" s="9"/>
      <c r="Z5" s="6" t="s">
        <v>53</v>
      </c>
    </row>
    <row r="6" customFormat="false" ht="15.75" hidden="false" customHeight="true" outlineLevel="0" collapsed="false">
      <c r="B6" s="8" t="s">
        <v>25</v>
      </c>
      <c r="C6" s="8"/>
      <c r="D6" s="8"/>
      <c r="E6" s="8"/>
      <c r="F6" s="8"/>
      <c r="G6" s="8"/>
      <c r="Z6" s="6" t="s">
        <v>51</v>
      </c>
    </row>
    <row r="7" customFormat="false" ht="75" hidden="false" customHeight="true" outlineLevel="0" collapsed="false">
      <c r="B7" s="9" t="s">
        <v>54</v>
      </c>
      <c r="C7" s="9"/>
      <c r="D7" s="9"/>
      <c r="E7" s="9"/>
      <c r="F7" s="9"/>
      <c r="G7" s="9"/>
      <c r="Z7" s="6" t="s">
        <v>53</v>
      </c>
    </row>
    <row r="8" customFormat="false" ht="15" hidden="false" customHeight="false" outlineLevel="0" collapsed="false">
      <c r="Z8" s="0" t="s">
        <v>51</v>
      </c>
    </row>
    <row r="9" customFormat="false" ht="15.75" hidden="false" customHeight="true" outlineLevel="0" collapsed="false">
      <c r="B9" s="8" t="s">
        <v>55</v>
      </c>
      <c r="C9" s="8"/>
      <c r="D9" s="8"/>
      <c r="E9" s="8"/>
      <c r="F9" s="8"/>
      <c r="G9" s="8"/>
      <c r="Z9" s="6" t="s">
        <v>53</v>
      </c>
    </row>
    <row ht="17.25" customHeight="true" r="10" customFormat="false" hidden="false" outlineLevel="0" collapsed="false">
      <c r="B10" s="9" t="s">
        <v>56</v>
      </c>
      <c r="C10" s="9"/>
      <c r="D10" s="9"/>
      <c r="E10" s="9"/>
      <c r="F10" s="9"/>
      <c r="G10" s="9"/>
      <c r="Z10" s="6" t="s">
        <v>51</v>
      </c>
    </row>
    <row r="11" customFormat="false" ht="15" hidden="false" customHeight="false" outlineLevel="0" collapsed="false">
      <c r="B11" s="17" t="s">
        <v>57</v>
      </c>
      <c r="C11" s="18" t="s">
        <v>58</v>
      </c>
      <c r="Z11" s="6" t="s">
        <v>53</v>
      </c>
    </row>
    <row r="12" customFormat="false" ht="15" hidden="false" customHeight="false" outlineLevel="0" collapsed="false">
      <c r="B12" s="19" t="s">
        <v>59</v>
      </c>
      <c r="C12" s="20" t="n">
        <v>15</v>
      </c>
      <c r="Z12" s="6" t="s">
        <v>51</v>
      </c>
    </row>
    <row r="13" customFormat="false" ht="15" hidden="false" customHeight="false" outlineLevel="0" collapsed="false">
      <c r="B13" s="19" t="s">
        <v>60</v>
      </c>
      <c r="C13" s="20" t="n">
        <v>6</v>
      </c>
      <c r="Z13" s="6" t="s">
        <v>53</v>
      </c>
    </row>
    <row r="14" customFormat="false" ht="15" hidden="false" customHeight="false" outlineLevel="0" collapsed="false">
      <c r="B14" s="19" t="s">
        <v>61</v>
      </c>
      <c r="C14" s="20" t="n">
        <v>4</v>
      </c>
    </row>
    <row r="15" customFormat="false" ht="15" hidden="false" customHeight="false" outlineLevel="0" collapsed="false">
      <c r="B15" s="19" t="s">
        <v>62</v>
      </c>
      <c r="C15" s="20" t="n">
        <v>4</v>
      </c>
    </row>
    <row r="16" customFormat="false" ht="15" hidden="false" customHeight="false" outlineLevel="0" collapsed="false">
      <c r="B16" s="19" t="s">
        <v>63</v>
      </c>
      <c r="C16" s="20" t="n">
        <v>4</v>
      </c>
    </row>
    <row r="17" customFormat="false" ht="15" hidden="false" customHeight="false" outlineLevel="0" collapsed="false">
      <c r="B17" s="19" t="s">
        <v>64</v>
      </c>
      <c r="C17" s="20" t="n">
        <v>2.5</v>
      </c>
    </row>
    <row r="18" customFormat="false" ht="15" hidden="false" customHeight="false" outlineLevel="0" collapsed="false">
      <c r="B18" s="19" t="s">
        <v>65</v>
      </c>
      <c r="C18" s="20" t="n">
        <v>2</v>
      </c>
    </row>
    <row r="19" customFormat="false" ht="15" hidden="false" customHeight="false" outlineLevel="0" collapsed="false">
      <c r="B19" s="19" t="s">
        <v>66</v>
      </c>
      <c r="C19" s="21" t="n">
        <f aca="false">SUM(C12:C18)</f>
        <v>37.5</v>
      </c>
    </row>
    <row r="21" customFormat="false" ht="15.75" hidden="false" customHeight="true" outlineLevel="0" collapsed="false">
      <c r="B21" s="8" t="s">
        <v>28</v>
      </c>
      <c r="C21" s="8"/>
      <c r="D21" s="8"/>
      <c r="E21" s="8"/>
      <c r="F21" s="8"/>
      <c r="G21" s="8"/>
    </row>
    <row ht="90" customHeight="true" r="22" customFormat="false" hidden="false" outlineLevel="0" collapsed="false">
      <c r="B22" s="9" t="s">
        <v>67</v>
      </c>
      <c r="C22" s="9"/>
      <c r="D22" s="9"/>
      <c r="E22" s="9"/>
      <c r="F22" s="9"/>
      <c r="G22" s="9"/>
    </row>
    <row r="24" customFormat="false" ht="43.5" hidden="false" customHeight="true" outlineLevel="0" collapsed="false">
      <c r="B24" s="10" t="s">
        <v>68</v>
      </c>
      <c r="C24" s="22"/>
      <c r="D24" s="23" t="s">
        <v>69</v>
      </c>
      <c r="G24" s="12" t="str">
        <f aca="false">IF(C24="","Skriv svaret i den gule cellen.",IF(ABS(C24-(ROUND(C12/C19*100,1)))&lt;=0.05,"Riktig.",IF(ABS(C24-(ROUND(C12/40*100,1)))&lt;=0.05,"Du har delt på 40 timer. Uka er 37,5 timer; del på summen i tabellen.",IF(ABS(C24-(ROUND((C19-C12)/C19*100,1)))&lt;=0.05,"Du har regnet resten av uka. Spørsmålet er andelen han monterer selv.",IF(ABS(C24-(ROUND(C12/C19,1)))&lt;=0.05,"Du har brøken, ikke prosenten. Gang med 100.","Ikke riktig ennå. Se på regnestykket øverst på fanen, og sjekk at du har med alle leddene.")))))</f>
        <v>Skriv svaret i den gule cellen.</v>
      </c>
    </row>
    <row r="25" customFormat="false" ht="43.5" hidden="false" customHeight="true" outlineLevel="0" collapsed="false">
      <c r="B25" s="10" t="s">
        <v>70</v>
      </c>
      <c r="C25" s="22"/>
      <c r="D25" s="23" t="s">
        <v>71</v>
      </c>
      <c r="G25" s="12" t="str">
        <f aca="false">IF(C25="","Skriv svaret i den gule cellen.",IF(C25=(C13+C14+C17),"Riktig.",IF(ABS(C25-(C13+C14+C17+C15))&lt;=0,"Du har tatt med sluttkontroll, dokumentasjon og avvik. Det er administratorrollen hos Adizes, ikke en av de tre daglige rollene hos Mintzberg.",IF(ABS(C25-(C13+C14))&lt;=0,"Du mangler morgenmøtet. Der forteller Ronny laget hva som er bestemt: informasjonsformidler.",IF(ABS(C25-(C13+C14+C17+2))&lt;=0,"Du har tatt med det akutte. Kriseløseren er ikke en av de tre daglige rollene.","Ikke riktig ennå. Se på regnestykket øverst på fanen, og sjekk at du har med alle leddene.")))))</f>
        <v>Skriv svaret i den gule cellen.</v>
      </c>
    </row>
    <row r="27" customFormat="false" ht="39.75" hidden="false" customHeight="true" outlineLevel="0" collapsed="false">
      <c r="B27" s="10" t="s">
        <v>72</v>
      </c>
      <c r="C27" s="11"/>
      <c r="G27" s="12" t="str">
        <f aca="false">IF(C27="","Velg i nedtrekksmenyen.",IF(C27="Integratoren","Riktig. Integratoren (17.3) bygger team og tar vare på relasjonene. Ingen linje i uka handler om det. Produsenten får 15 timer (monterer selv), administratoren 4 (sluttkontroll, dokumentasjon og avvik; Kari signerer samsvarserklæringen).","Ikke riktig. Integratoren (17.3) bygger team og tar vare på relasjonene. Ingen linje i uka handler om det. Produsenten får 15 timer (monterer selv), administratoren 4 (sluttkontroll, dokumentasjon og avvik; Kari signerer samsvarserklæringen)."))</f>
        <v>Velg i nedtrekksmenyen.</v>
      </c>
    </row>
    <row ht="17.25" customHeight="true" r="29" customFormat="false" hidden="false" outlineLevel="0" collapsed="false">
      <c r="B29" s="8" t="s">
        <v>73</v>
      </c>
      <c r="C29" s="8"/>
      <c r="D29" s="8"/>
      <c r="E29" s="8"/>
      <c r="F29" s="8"/>
      <c r="G29" s="8"/>
    </row>
    <row r="30" customFormat="false" ht="39.75" hidden="false" customHeight="true" outlineLevel="0" collapsed="false">
      <c r="B30" s="10" t="s">
        <v>74</v>
      </c>
      <c r="C30" s="11"/>
      <c r="G30" s="12" t="str">
        <f aca="false">IF(C30="","Velg i nedtrekksmenyen.",IF(C30="Ja","Riktig. Formulere mål (17.2).","Ikke riktig. Formulere mål (17.2)."))</f>
        <v>Velg i nedtrekksmenyen.</v>
      </c>
    </row>
    <row r="31" customFormat="false" ht="39.75" hidden="false" customHeight="true" outlineLevel="0" collapsed="false">
      <c r="B31" s="10" t="s">
        <v>75</v>
      </c>
      <c r="C31" s="11"/>
      <c r="G31" s="12" t="str">
        <f aca="false">IF(C31="","Velg i nedtrekksmenyen.",IF(C31="Ja","Riktig. Planlegge tiltak for å nå målet (17.2).","Ikke riktig. Planlegge tiltak for å nå målet (17.2)."))</f>
        <v>Velg i nedtrekksmenyen.</v>
      </c>
    </row>
    <row r="32" customFormat="false" ht="39.75" hidden="false" customHeight="true" outlineLevel="0" collapsed="false">
      <c r="B32" s="10" t="s">
        <v>76</v>
      </c>
      <c r="C32" s="11"/>
      <c r="G32" s="12" t="str">
        <f aca="false">IF(C32="","Velg i nedtrekksmenyen.",IF(C32="Ja","Riktig. Kontrollere og evaluere grad av måloppnåelse (17.2).","Ikke riktig. Kontrollere og evaluere grad av måloppnåelse (17.2)."))</f>
        <v>Velg i nedtrekksmenyen.</v>
      </c>
    </row>
    <row r="33" customFormat="false" ht="39.75" hidden="false" customHeight="true" outlineLevel="0" collapsed="false">
      <c r="B33" s="10" t="s">
        <v>77</v>
      </c>
      <c r="C33" s="11"/>
      <c r="G33" s="12" t="str">
        <f aca="false">IF(C33="","Velg i nedtrekksmenyen.",IF(C33="Ja","Riktig. Informere og kommunisere hører med i tillegg til de fire (17.2).","Ikke riktig. Informere og kommunisere hører med i tillegg til de fire (17.2)."))</f>
        <v>Velg i nedtrekksmenyen.</v>
      </c>
    </row>
    <row r="34" customFormat="false" ht="39.75" hidden="false" customHeight="true" outlineLevel="0" collapsed="false">
      <c r="B34" s="10" t="s">
        <v>78</v>
      </c>
      <c r="C34" s="11"/>
      <c r="G34" s="12" t="str">
        <f aca="false">IF(C34="","Velg i nedtrekksmenyen.",IF(C34="Nei","Riktig. Det er fagarbeid han gjør som montør. Ledelse er å få andre til å arbeide for målene (17.1).","Ikke riktig. Det er fagarbeid han gjør som montør. Ledelse er å få andre til å arbeide for målene (17.1)."))</f>
        <v>Velg i nedtrekksmenyen.</v>
      </c>
    </row>
    <row r="36" customFormat="false" ht="30" hidden="false" customHeight="true" outlineLevel="0" collapsed="false">
      <c r="B36" s="9" t="s">
        <v>79</v>
      </c>
      <c r="C36" s="9"/>
      <c r="D36" s="9"/>
      <c r="E36" s="9"/>
      <c r="F36" s="9"/>
      <c r="G36" s="9"/>
    </row>
    <row r="37" customFormat="false" ht="21.75" hidden="false" customHeight="true" outlineLevel="0" collapsed="false">
      <c r="B37" s="13"/>
      <c r="C37" s="13"/>
      <c r="D37" s="13"/>
      <c r="E37" s="13"/>
      <c r="F37" s="13"/>
      <c r="G37" s="13"/>
    </row>
    <row r="38" customFormat="false" ht="21.75" hidden="false" customHeight="true" outlineLevel="0" collapsed="false">
      <c r="B38" s="13"/>
      <c r="C38" s="13"/>
      <c r="D38" s="13"/>
      <c r="E38" s="13"/>
      <c r="F38" s="13"/>
      <c r="G38" s="13"/>
    </row>
    <row r="39" customFormat="false" ht="21.75" hidden="false" customHeight="true" outlineLevel="0" collapsed="false">
      <c r="B39" s="13"/>
      <c r="C39" s="13"/>
      <c r="D39" s="13"/>
      <c r="E39" s="13"/>
      <c r="F39" s="13"/>
      <c r="G39" s="13"/>
    </row>
    <row r="40" customFormat="false" ht="39.75" hidden="false" customHeight="true" outlineLevel="0" collapsed="false">
      <c r="B40" s="14" t="str">
        <f aca="false">IF(LEN(B37)&lt;40,"",IF(AND(ISNUMBER(SEARCH("40",B37)),ISNUMBER(SEARCH("deleger",B37))),"Bra: du bruker tallet fra uka og sier hva Ronny bør delegere. Husk også at integratoren mangler, og at Adizes tillater et lederteam: Kari kan ta noe.",IF(OR(ISNUMBER(SEARCH("40",B37)),ISNUMBER(SEARCH("deleger",B37))),"Du er på sporet. Bruk tallene (40,0 % montering, 12,5 timer i de tre daglige rollene), og si hva Ronny må gi fra seg: delegere mer av monteringen.","Tips: Ronny monterer 40,0 % av uka, og de tre daglige rollene tar 12,5 timer. Med 9 under seg vokser de. Integratoren har ingen timer. Rådet: delegere mer av monteringen til de erfarne på laget, og bruke timene på lederoppgavene. 9 er innenfor Fayols 6–10, så det er tiden som avgjør.")))</f>
        <v/>
      </c>
      <c r="C40" s="14"/>
      <c r="D40" s="14"/>
      <c r="E40" s="14"/>
      <c r="F40" s="14"/>
      <c r="G40" s="14"/>
    </row>
    <row r="41" customFormat="false" ht="15" hidden="false" customHeight="false" outlineLevel="0" collapsed="false">
      <c r="B41" s="15" t="s">
        <v>42</v>
      </c>
      <c r="C41" s="11"/>
    </row>
    <row r="42" customFormat="false" ht="45" hidden="false" customHeight="true" outlineLevel="0" collapsed="false">
      <c r="B42" s="16" t="str">
        <f aca="false">IF(C41="JA","Hint: a: 15 delt på 37,5, ganger 100. b: fordeler folk og materiell er ressursfordeler (6), runden er overvåker (4), morgenmøtet er informasjonsformidler (2,5). c: produsenten får jobben gjort, administratoren har rutiner og kontroll, integratoren bygger laget; finn en linje i uka for hver, og se hvilken du ikke finner.","")</f>
        <v/>
      </c>
      <c r="C42" s="16"/>
      <c r="D42" s="16"/>
      <c r="E42" s="16"/>
      <c r="F42" s="16"/>
      <c r="G42" s="16"/>
    </row>
    <row r="44" customFormat="false" ht="30" hidden="false" customHeight="true" outlineLevel="0" collapsed="false">
      <c r="B44" s="7" t="s">
        <v>43</v>
      </c>
      <c r="C44" s="7"/>
      <c r="D44" s="7"/>
      <c r="E44" s="7"/>
      <c r="F44" s="7"/>
      <c r="G44" s="7"/>
    </row>
  </sheetData>
  <mergeCells count="16">
    <mergeCell ref="B2:G2"/>
    <mergeCell ref="B3:G3"/>
    <mergeCell ref="B4:G4"/>
    <mergeCell ref="B5:G5"/>
    <mergeCell ref="B6:G6"/>
    <mergeCell ref="B7:G7"/>
    <mergeCell ref="B9:G9"/>
    <mergeCell ref="B10:G10"/>
    <mergeCell ref="B21:G21"/>
    <mergeCell ref="B22:G22"/>
    <mergeCell ref="B29:G29"/>
    <mergeCell ref="B36:G36"/>
    <mergeCell ref="B37:G39"/>
    <mergeCell ref="B40:G40"/>
    <mergeCell ref="B42:G42"/>
    <mergeCell ref="B44:G44"/>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LEFT(G27,4)="Ikke"</formula>
    </cfRule>
  </conditionalFormatting>
  <conditionalFormatting sqref="G30">
    <cfRule type="expression" priority="8" aboveAverage="0" equalAverage="0" bottom="0" percent="0" rank="0" text="" dxfId="0">
      <formula>LEFT(G30,6)="Riktig"</formula>
    </cfRule>
    <cfRule type="expression" priority="9" aboveAverage="0" equalAverage="0" bottom="0" percent="0" rank="0" text="" dxfId="1">
      <formula>LEFT(G30,4)="Ikke"</formula>
    </cfRule>
  </conditionalFormatting>
  <conditionalFormatting sqref="G31">
    <cfRule type="expression" priority="10" aboveAverage="0" equalAverage="0" bottom="0" percent="0" rank="0" text="" dxfId="0">
      <formula>LEFT(G31,6)="Riktig"</formula>
    </cfRule>
    <cfRule type="expression" priority="11" aboveAverage="0" equalAverage="0" bottom="0" percent="0" rank="0" text="" dxfId="1">
      <formula>LEFT(G31,4)="Ikke"</formula>
    </cfRule>
  </conditionalFormatting>
  <conditionalFormatting sqref="G32">
    <cfRule type="expression" priority="12" aboveAverage="0" equalAverage="0" bottom="0" percent="0" rank="0" text="" dxfId="0">
      <formula>LEFT(G32,6)="Riktig"</formula>
    </cfRule>
    <cfRule type="expression" priority="13" aboveAverage="0" equalAverage="0" bottom="0" percent="0" rank="0" text="" dxfId="1">
      <formula>LEFT(G32,4)="Ikke"</formula>
    </cfRule>
  </conditionalFormatting>
  <conditionalFormatting sqref="G33">
    <cfRule type="expression" priority="14" aboveAverage="0" equalAverage="0" bottom="0" percent="0" rank="0" text="" dxfId="0">
      <formula>LEFT(G33,6)="Riktig"</formula>
    </cfRule>
    <cfRule type="expression" priority="15" aboveAverage="0" equalAverage="0" bottom="0" percent="0" rank="0" text="" dxfId="1">
      <formula>LEFT(G33,4)="Ikke"</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LEFT(G34,4)="Ikke"</formula>
    </cfRule>
  </conditionalFormatting>
  <dataValidations count="7">
    <dataValidation allowBlank="true" errorStyle="stop" operator="between" showDropDown="false" showErrorMessage="false" showInputMessage="false" sqref="C27" type="list">
      <formula1>$Z$1:$Z$3</formula1>
      <formula2>0</formula2>
    </dataValidation>
    <dataValidation allowBlank="true" errorStyle="stop" operator="between" showDropDown="false" showErrorMessage="false" showInputMessage="false" sqref="C30" type="list">
      <formula1>$Z$4:$Z$5</formula1>
      <formula2>0</formula2>
    </dataValidation>
    <dataValidation allowBlank="true" errorStyle="stop" operator="between" showDropDown="false" showErrorMessage="false" showInputMessage="false" sqref="C31" type="list">
      <formula1>$Z$6:$Z$7</formula1>
      <formula2>0</formula2>
    </dataValidation>
    <dataValidation allowBlank="true" errorStyle="stop" operator="between" showDropDown="false" showErrorMessage="false" showInputMessage="false" sqref="C32" type="list">
      <formula1>$Z$8:$Z$9</formula1>
      <formula2>0</formula2>
    </dataValidation>
    <dataValidation allowBlank="true" errorStyle="stop" operator="between" showDropDown="false" showErrorMessage="false" showInputMessage="false" sqref="C33" type="list">
      <formula1>$Z$10:$Z$11</formula1>
      <formula2>0</formula2>
    </dataValidation>
    <dataValidation allowBlank="true" errorStyle="stop" operator="between" showDropDown="false" showErrorMessage="false" showInputMessage="false" sqref="C34" type="list">
      <formula1>$Z$12:$Z$13</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80</v>
      </c>
    </row>
    <row r="2" customFormat="false" ht="25.5" hidden="false" customHeight="true" outlineLevel="0" collapsed="false">
      <c r="B2" s="5" t="s">
        <v>81</v>
      </c>
      <c r="C2" s="5"/>
      <c r="D2" s="5"/>
      <c r="E2" s="5"/>
      <c r="F2" s="5"/>
      <c r="G2" s="5"/>
      <c r="Z2" s="6" t="s">
        <v>82</v>
      </c>
    </row>
    <row r="3" customFormat="false" ht="15" hidden="false" customHeight="true" outlineLevel="0" collapsed="false">
      <c r="B3" s="7" t="s">
        <v>19</v>
      </c>
      <c r="C3" s="7"/>
      <c r="D3" s="7"/>
      <c r="E3" s="7"/>
      <c r="F3" s="7"/>
      <c r="G3" s="7"/>
      <c r="Z3" s="6" t="s">
        <v>83</v>
      </c>
    </row>
    <row r="4" customFormat="false" ht="15.75" hidden="false" customHeight="true" outlineLevel="0" collapsed="false">
      <c r="B4" s="8" t="s">
        <v>21</v>
      </c>
      <c r="C4" s="8"/>
      <c r="D4" s="8"/>
      <c r="E4" s="8"/>
      <c r="F4" s="8"/>
      <c r="G4" s="8"/>
      <c r="Z4" s="6" t="s">
        <v>84</v>
      </c>
    </row>
    <row r="5" customFormat="false" ht="75" hidden="false" customHeight="true" outlineLevel="0" collapsed="false">
      <c r="B5" s="9" t="s">
        <v>85</v>
      </c>
      <c r="C5" s="9"/>
      <c r="D5" s="9"/>
      <c r="E5" s="9"/>
      <c r="F5" s="9"/>
      <c r="G5" s="9"/>
      <c r="Z5" s="6" t="s">
        <v>86</v>
      </c>
    </row>
    <row r="6" customFormat="false" ht="15.75" hidden="false" customHeight="true" outlineLevel="0" collapsed="false">
      <c r="B6" s="8" t="s">
        <v>25</v>
      </c>
      <c r="C6" s="8"/>
      <c r="D6" s="8"/>
      <c r="E6" s="8"/>
      <c r="F6" s="8"/>
      <c r="G6" s="8"/>
      <c r="Z6" s="6" t="s">
        <v>80</v>
      </c>
    </row>
    <row r="7" customFormat="false" ht="60" hidden="false" customHeight="true" outlineLevel="0" collapsed="false">
      <c r="B7" s="9" t="s">
        <v>87</v>
      </c>
      <c r="C7" s="9"/>
      <c r="D7" s="9"/>
      <c r="E7" s="9"/>
      <c r="F7" s="9"/>
      <c r="G7" s="9"/>
      <c r="Z7" s="6" t="s">
        <v>82</v>
      </c>
    </row>
    <row r="8" customFormat="false" ht="15" hidden="false" customHeight="false" outlineLevel="0" collapsed="false">
      <c r="Z8" s="0" t="s">
        <v>83</v>
      </c>
    </row>
    <row r="9" customFormat="false" ht="15.75" hidden="false" customHeight="true" outlineLevel="0" collapsed="false">
      <c r="B9" s="8" t="s">
        <v>88</v>
      </c>
      <c r="C9" s="8"/>
      <c r="D9" s="8"/>
      <c r="E9" s="8"/>
      <c r="F9" s="8"/>
      <c r="G9" s="8"/>
      <c r="Z9" s="6" t="s">
        <v>84</v>
      </c>
    </row>
    <row r="10" customFormat="false" ht="45" hidden="false" customHeight="true" outlineLevel="0" collapsed="false">
      <c r="B10" s="9" t="s">
        <v>89</v>
      </c>
      <c r="C10" s="9"/>
      <c r="D10" s="9"/>
      <c r="E10" s="9"/>
      <c r="F10" s="9"/>
      <c r="G10" s="9"/>
      <c r="Z10" s="6" t="s">
        <v>86</v>
      </c>
    </row>
    <row r="11" customFormat="false" ht="39.75" hidden="false" customHeight="true" outlineLevel="0" collapsed="false">
      <c r="B11" s="10" t="s">
        <v>90</v>
      </c>
      <c r="C11" s="11"/>
      <c r="G11" s="12" t="str">
        <f aca="false">IF(C11="","Velg i nedtrekksmenyen.",IF(C11="1,9","Riktig. Menneskeorientert: medarbeidernes behov foran produksjonen. Faren er snillisme (17.5.2).","Ikke riktig. Menneskeorientert: medarbeidernes behov foran produksjonen. Faren er snillisme (17.5.2)."))</f>
        <v>Velg i nedtrekksmenyen.</v>
      </c>
      <c r="Z11" s="6" t="s">
        <v>80</v>
      </c>
    </row>
    <row r="12" customFormat="false" ht="39.75" hidden="false" customHeight="true" outlineLevel="0" collapsed="false">
      <c r="B12" s="10" t="s">
        <v>91</v>
      </c>
      <c r="C12" s="11"/>
      <c r="G12" s="12" t="str">
        <f aca="false">IF(C12="","Velg i nedtrekksmenyen.",IF(C12="9,1","Riktig. Oppgaveorientert: produksjonsmålene foran hensynet til de ansatte. Relativt autoritær (17.5.2).","Ikke riktig. Oppgaveorientert: produksjonsmålene foran hensynet til de ansatte. Relativt autoritær (17.5.2)."))</f>
        <v>Velg i nedtrekksmenyen.</v>
      </c>
      <c r="Z12" s="6" t="s">
        <v>82</v>
      </c>
    </row>
    <row r="13" customFormat="false" ht="39.75" hidden="false" customHeight="true" outlineLevel="0" collapsed="false">
      <c r="B13" s="10" t="s">
        <v>92</v>
      </c>
      <c r="C13" s="11"/>
      <c r="G13" s="12" t="str">
        <f aca="false">IF(C13="","Velg i nedtrekksmenyen.",IF(C13="1,1","Riktig. Makteløs ledelse: verken menneskene eller produksjonen. Minst mulig uten å få sparken (17.5.2).","Ikke riktig. Makteløs ledelse: verken menneskene eller produksjonen. Minst mulig uten å få sparken (17.5.2)."))</f>
        <v>Velg i nedtrekksmenyen.</v>
      </c>
      <c r="Z13" s="6" t="s">
        <v>83</v>
      </c>
    </row>
    <row r="14" customFormat="false" ht="39.75" hidden="false" customHeight="true" outlineLevel="0" collapsed="false">
      <c r="B14" s="10" t="s">
        <v>93</v>
      </c>
      <c r="C14" s="11"/>
      <c r="G14" s="12" t="str">
        <f aca="false">IF(C14="","Velg i nedtrekksmenyen.",IF(C14="5,5","Riktig. Middelhavsfareren: et kompromiss som kan bli utydelig, og gi verken gode resultater eller godt arbeidsmiljø (17.5.2).","Ikke riktig. Middelhavsfareren: et kompromiss som kan bli utydelig, og gi verken gode resultater eller godt arbeidsmiljø (17.5.2)."))</f>
        <v>Velg i nedtrekksmenyen.</v>
      </c>
      <c r="Z14" s="6" t="s">
        <v>84</v>
      </c>
    </row>
    <row r="15" customFormat="false" ht="15" hidden="false" customHeight="false" outlineLevel="0" collapsed="false">
      <c r="Z15" s="0" t="s">
        <v>86</v>
      </c>
    </row>
    <row r="16" customFormat="false" ht="15.75" hidden="false" customHeight="true" outlineLevel="0" collapsed="false">
      <c r="B16" s="8" t="s">
        <v>94</v>
      </c>
      <c r="C16" s="8"/>
      <c r="D16" s="8"/>
      <c r="E16" s="8"/>
      <c r="F16" s="8"/>
      <c r="G16" s="8"/>
      <c r="Z16" s="6" t="s">
        <v>80</v>
      </c>
    </row>
    <row r="17" customFormat="false" ht="45" hidden="false" customHeight="true" outlineLevel="0" collapsed="false">
      <c r="B17" s="9" t="s">
        <v>95</v>
      </c>
      <c r="C17" s="9"/>
      <c r="D17" s="9"/>
      <c r="E17" s="9"/>
      <c r="F17" s="9"/>
      <c r="G17" s="9"/>
      <c r="Z17" s="6" t="s">
        <v>82</v>
      </c>
    </row>
    <row r="18" customFormat="false" ht="15" hidden="false" customHeight="false" outlineLevel="0" collapsed="false">
      <c r="B18" s="17" t="s">
        <v>96</v>
      </c>
      <c r="C18" s="18" t="s">
        <v>97</v>
      </c>
      <c r="Z18" s="6" t="s">
        <v>83</v>
      </c>
    </row>
    <row r="19" customFormat="false" ht="15" hidden="false" customHeight="false" outlineLevel="0" collapsed="false">
      <c r="B19" s="19" t="s">
        <v>98</v>
      </c>
      <c r="C19" s="24" t="s">
        <v>99</v>
      </c>
      <c r="Z19" s="6" t="s">
        <v>84</v>
      </c>
    </row>
    <row r="20" customFormat="false" ht="15" hidden="false" customHeight="false" outlineLevel="0" collapsed="false">
      <c r="B20" s="19" t="s">
        <v>100</v>
      </c>
      <c r="C20" s="24" t="s">
        <v>101</v>
      </c>
      <c r="Z20" s="6" t="s">
        <v>86</v>
      </c>
    </row>
    <row r="21" customFormat="false" ht="15" hidden="false" customHeight="false" outlineLevel="0" collapsed="false">
      <c r="B21" s="19" t="s">
        <v>102</v>
      </c>
      <c r="C21" s="24" t="s">
        <v>103</v>
      </c>
      <c r="Z21" s="6" t="s">
        <v>104</v>
      </c>
    </row>
    <row r="22" customFormat="false" ht="15" hidden="false" customHeight="false" outlineLevel="0" collapsed="false">
      <c r="B22" s="19" t="s">
        <v>105</v>
      </c>
      <c r="C22" s="24" t="s">
        <v>106</v>
      </c>
      <c r="Z22" s="6" t="s">
        <v>107</v>
      </c>
    </row>
    <row r="23" customFormat="false" ht="15" hidden="false" customHeight="false" outlineLevel="0" collapsed="false">
      <c r="B23" s="19" t="s">
        <v>108</v>
      </c>
      <c r="C23" s="24" t="s">
        <v>109</v>
      </c>
      <c r="Z23" s="6" t="s">
        <v>110</v>
      </c>
    </row>
    <row r="24" customFormat="false" ht="15" hidden="false" customHeight="false" outlineLevel="0" collapsed="false">
      <c r="Z24" s="0" t="s">
        <v>111</v>
      </c>
    </row>
    <row r="25" customFormat="false" ht="39.75" hidden="false" customHeight="true" outlineLevel="0" collapsed="false">
      <c r="B25" s="10" t="s">
        <v>112</v>
      </c>
      <c r="C25" s="11"/>
      <c r="G25" s="12" t="str">
        <f aca="false">IF(C25="","Velg i nedtrekksmenyen.",IF(C25="Instruerende","Riktig. Sterkt styrende og svakt støttende, når den ansatte mangler både kompetanse og motivasjon. Bokas eget eksempel er den nyansatte, som må instrueres i detalj (17.5.3).","Ikke riktig. Sterkt styrende og svakt støttende, når den ansatte mangler både kompetanse og motivasjon. Bokas eget eksempel er den nyansatte, som må instrueres i detalj (17.5.3)."))</f>
        <v>Velg i nedtrekksmenyen.</v>
      </c>
      <c r="Z25" s="6" t="s">
        <v>113</v>
      </c>
    </row>
    <row r="26" customFormat="false" ht="39.75" hidden="false" customHeight="true" outlineLevel="0" collapsed="false">
      <c r="B26" s="10" t="s">
        <v>114</v>
      </c>
      <c r="C26" s="11"/>
      <c r="G26" s="12" t="str">
        <f aca="false">IF(C26="","Velg i nedtrekksmenyen.",IF(C26="Deltagende: lite styring, mye støtte, be om forslagene hans","Riktig. Kompetansen er der, så styringen kan reduseres, men lederen må støtte og oppmuntre til forslag (17.5.3). Å instruere en som kan jobben, er detaljstyring; å delegere til en som har mistet lysten, er å la ham være alene.","Ikke riktig. Kompetansen er der, så styringen kan reduseres, men lederen må støtte og oppmuntre til forslag (17.5.3). Å instruere en som kan jobben, er detaljstyring; å delegere til en som har mistet lysten, er å la ham være alene."))</f>
        <v>Velg i nedtrekksmenyen.</v>
      </c>
      <c r="Z26" s="6" t="s">
        <v>115</v>
      </c>
    </row>
    <row r="27" customFormat="false" ht="15" hidden="false" customHeight="false" outlineLevel="0" collapsed="false">
      <c r="Z27" s="0" t="s">
        <v>51</v>
      </c>
    </row>
    <row ht="17.25" customHeight="true" r="28" customFormat="false" hidden="false" outlineLevel="0" collapsed="false">
      <c r="B28" s="8" t="s">
        <v>116</v>
      </c>
      <c r="C28" s="8"/>
      <c r="D28" s="8"/>
      <c r="E28" s="8"/>
      <c r="F28" s="8"/>
      <c r="G28" s="8"/>
      <c r="Z28" s="6" t="s">
        <v>53</v>
      </c>
    </row>
    <row r="29" customFormat="false" ht="39.75" hidden="false" customHeight="true" outlineLevel="0" collapsed="false">
      <c r="B29" s="10" t="s">
        <v>117</v>
      </c>
      <c r="C29" s="11"/>
      <c r="G29" s="12" t="str">
        <f aca="false">IF(C29="","Velg i nedtrekksmenyen.",IF(C29="Ja","Riktig. Lederen kan ikke forvente at underordnede tilpasser seg lederen (17.5.3).","Ikke riktig. Lederen kan ikke forvente at underordnede tilpasser seg lederen (17.5.3)."))</f>
        <v>Velg i nedtrekksmenyen.</v>
      </c>
      <c r="Z29" s="6" t="s">
        <v>51</v>
      </c>
    </row>
    <row r="30" customFormat="false" ht="39.75" hidden="false" customHeight="true" outlineLevel="0" collapsed="false">
      <c r="B30" s="10" t="s">
        <v>118</v>
      </c>
      <c r="C30" s="11"/>
      <c r="G30" s="12" t="str">
        <f aca="false">IF(C30="","Velg i nedtrekksmenyen.",IF(C30="Nei","Riktig. Det motsatte av Hersey og Blanchard: lederen tilpasser seg (17.5.3).","Ikke riktig. Det motsatte av Hersey og Blanchard: lederen tilpasser seg (17.5.3)."))</f>
        <v>Velg i nedtrekksmenyen.</v>
      </c>
      <c r="Z30" s="6" t="s">
        <v>53</v>
      </c>
    </row>
    <row r="31" customFormat="false" ht="39.75" hidden="false" customHeight="true" outlineLevel="0" collapsed="false">
      <c r="B31" s="10" t="s">
        <v>119</v>
      </c>
      <c r="C31" s="11"/>
      <c r="G31" s="12" t="str">
        <f aca="false">IF(C31="","Velg i nedtrekksmenyen.",IF(C31="Ja","Riktig. Slik definerer boka modenhetsnivået (17.5.3).","Ikke riktig. Slik definerer boka modenhetsnivået (17.5.3)."))</f>
        <v>Velg i nedtrekksmenyen.</v>
      </c>
      <c r="Z31" s="6" t="s">
        <v>51</v>
      </c>
    </row>
    <row r="32" customFormat="false" ht="39.75" hidden="false" customHeight="true" outlineLevel="0" collapsed="false">
      <c r="B32" s="10" t="s">
        <v>120</v>
      </c>
      <c r="C32" s="11"/>
      <c r="G32" s="12" t="str">
        <f aca="false">IF(C32="","Velg i nedtrekksmenyen.",IF(C32="Ja","Riktig. Boka sier at overtalende stil også kalles selgende (17.5.3).","Ikke riktig. Boka sier at overtalende stil også kalles selgende (17.5.3)."))</f>
        <v>Velg i nedtrekksmenyen.</v>
      </c>
      <c r="Z32" s="6" t="s">
        <v>53</v>
      </c>
    </row>
    <row r="33" customFormat="false" ht="39.75" hidden="false" customHeight="true" outlineLevel="0" collapsed="false">
      <c r="B33" s="10" t="s">
        <v>121</v>
      </c>
      <c r="C33" s="11"/>
      <c r="G33" s="12" t="str">
        <f aca="false">IF(C33="","Velg i nedtrekksmenyen.",IF(C33="Nei","Riktig. Det er instruerende. Delegerende er svakt styrende og svakt støttende (17.5.3).","Ikke riktig. Det er instruerende. Delegerende er svakt styrende og svakt støttende (17.5.3)."))</f>
        <v>Velg i nedtrekksmenyen.</v>
      </c>
      <c r="Z33" s="6" t="s">
        <v>51</v>
      </c>
    </row>
    <row r="34" customFormat="false" ht="15" hidden="false" customHeight="false" outlineLevel="0" collapsed="false">
      <c r="Z34" s="0" t="s">
        <v>53</v>
      </c>
    </row>
    <row ht="46.5" customHeight="true" r="35" customFormat="false" hidden="false" outlineLevel="0" collapsed="false">
      <c r="B35" s="10" t="s">
        <v>122</v>
      </c>
      <c r="C35" s="11"/>
      <c r="G35" s="12" t="str">
        <f aca="false">IF(C35="","Velg i nedtrekksmenyen.",IF(C35="Nei: i solceller er han motivert, men mangler kompetansen; da passer overtalende (selgende) stil","Riktig. Beslutningssituasjonen er én av tre situasjonsvariabler: er oppgaven kjent eller ny (17.5.3)? På ladebokser er han kompetent og motivert: delegerende. På Fjells første solcelleanlegg er han motivert uten kompetanse: overtalende. Samme person, to stiler samme uke.","Ikke riktig. Beslutningssituasjonen er én av tre situasjonsvariabler: er oppgaven kjent eller ny (17.5.3)? På ladebokser er han kompetent og motivert: delegerende. På Fjells første solcelleanlegg er han motivert uten kompetanse: overtalende. Samme person, to stiler samme uke."))</f>
        <v>Velg i nedtrekksmenyen.</v>
      </c>
      <c r="Z35" s="6" t="s">
        <v>51</v>
      </c>
    </row>
    <row r="36" customFormat="false" ht="15" hidden="false" customHeight="false" outlineLevel="0" collapsed="false">
      <c r="Z36" s="0" t="s">
        <v>53</v>
      </c>
    </row>
    <row r="37" customFormat="false" ht="30" hidden="false" customHeight="true" outlineLevel="0" collapsed="false">
      <c r="B37" s="9" t="s">
        <v>123</v>
      </c>
      <c r="C37" s="9"/>
      <c r="D37" s="9"/>
      <c r="E37" s="9"/>
      <c r="F37" s="9"/>
      <c r="G37" s="9"/>
      <c r="Z37" s="6" t="s">
        <v>124</v>
      </c>
    </row>
    <row r="38" customFormat="false" ht="21.75" hidden="false" customHeight="true" outlineLevel="0" collapsed="false">
      <c r="B38" s="13"/>
      <c r="C38" s="13"/>
      <c r="D38" s="13"/>
      <c r="E38" s="13"/>
      <c r="F38" s="13"/>
      <c r="G38" s="13"/>
      <c r="Z38" s="6" t="s">
        <v>125</v>
      </c>
    </row>
    <row r="39" customFormat="false" ht="21.75" hidden="false" customHeight="true" outlineLevel="0" collapsed="false">
      <c r="B39" s="13"/>
      <c r="C39" s="13"/>
      <c r="D39" s="13"/>
      <c r="E39" s="13"/>
      <c r="F39" s="13"/>
      <c r="G39" s="13"/>
      <c r="Z39" s="6" t="s">
        <v>126</v>
      </c>
    </row>
    <row r="40" customFormat="false" ht="21.75" hidden="false" customHeight="true" outlineLevel="0" collapsed="false">
      <c r="B40" s="13"/>
      <c r="C40" s="13"/>
      <c r="D40" s="13"/>
      <c r="E40" s="13"/>
      <c r="F40" s="13"/>
      <c r="G40" s="13"/>
    </row>
    <row r="41" customFormat="false" ht="39.75" hidden="false" customHeight="true" outlineLevel="0" collapsed="false">
      <c r="B41" s="14" t="str">
        <f aca="false">IF(LEN(B38)&lt;40,"",IF(AND(ISNUMBER(SEARCH("instruer",B38)),ISNUMBER(SEARCH("deleger",B38))),"Bra: du gir lærlingen instruerende stil og delegerer ladeboksene. Husk også at demokratisk og autoritær er en skala, og at Mona bestemmer metoden før start når en jobb skal gjøres på eller nær et spenningssatt anlegg.",IF(OR(ISNUMBER(SEARCH("instruer",B38)),ISNUMBER(SEARCH("deleger",B38))),"Du er på sporet. Si hvilken stil hver person får: lærlingen instruerende, montør 1 delegerende på ladebokser og overtalende på solceller, montør 2 deltagende.","Tips: demokratisk og autoritær er ytterpunkter på en skala (17.5.2), og lederens egenskaper er bare én av tre situasjonsvariabler (17.5.3). Lærlingen: instruerende. Montør 1: delegerende på ladebokser, overtalende på solceller. Montør 2: deltagende. Skal en jobb gjøres på eller nær et spenningssatt anlegg, bestemmer hun metoden før start; å instruere er omsorg.")))</f>
        <v/>
      </c>
      <c r="C41" s="14"/>
      <c r="D41" s="14"/>
      <c r="E41" s="14"/>
      <c r="F41" s="14"/>
      <c r="G41" s="14"/>
    </row>
    <row r="42" customFormat="false" ht="15" hidden="false" customHeight="false" outlineLevel="0" collapsed="false">
      <c r="B42" s="15" t="s">
        <v>42</v>
      </c>
      <c r="C42" s="11"/>
    </row>
    <row r="43" customFormat="false" ht="45" hidden="false" customHeight="true" outlineLevel="0" collapsed="false">
      <c r="B43" s="16" t="str">
        <f aca="false">IF(C42="JA","Hint: Gitteret: trivsel foran frist er 1,9; frist foran folk er 9,1; minst mulig er 1,1; litt av hvert er 5,5. Fjell: spør to ting om hver person i hver oppgave: kan han det (kompetanse)? Vil han det (motivasjon)? Begge nei: instruerende. Vil, men kan ikke: overtalende. Kan, men trenger støtte: deltagende. Kan og vil: delegerende.","")</f>
        <v/>
      </c>
      <c r="C43" s="16"/>
      <c r="D43" s="16"/>
      <c r="E43" s="16"/>
      <c r="F43" s="16"/>
      <c r="G43" s="16"/>
    </row>
    <row r="45" customFormat="false" ht="30" hidden="false" customHeight="true" outlineLevel="0" collapsed="false">
      <c r="B45" s="7" t="s">
        <v>43</v>
      </c>
      <c r="C45" s="7"/>
      <c r="D45" s="7"/>
      <c r="E45" s="7"/>
      <c r="F45" s="7"/>
      <c r="G45" s="7"/>
    </row>
  </sheetData>
  <mergeCells count="16">
    <mergeCell ref="B2:G2"/>
    <mergeCell ref="B3:G3"/>
    <mergeCell ref="B4:G4"/>
    <mergeCell ref="B5:G5"/>
    <mergeCell ref="B6:G6"/>
    <mergeCell ref="B7:G7"/>
    <mergeCell ref="B9:G9"/>
    <mergeCell ref="B10:G10"/>
    <mergeCell ref="B16:G16"/>
    <mergeCell ref="B17:G17"/>
    <mergeCell ref="B28:G28"/>
    <mergeCell ref="B37:G37"/>
    <mergeCell ref="B38:G40"/>
    <mergeCell ref="B41:G41"/>
    <mergeCell ref="B43:G43"/>
    <mergeCell ref="B45:G45"/>
  </mergeCells>
  <conditionalFormatting sqref="G11">
    <cfRule type="expression" priority="2" aboveAverage="0" equalAverage="0" bottom="0" percent="0" rank="0" text="" dxfId="0">
      <formula>LEFT(G11,6)="Riktig"</formula>
    </cfRule>
    <cfRule type="expression" priority="3" aboveAverage="0" equalAverage="0" bottom="0" percent="0" rank="0" text="" dxfId="1">
      <formula>LEFT(G11,4)="Ikke"</formula>
    </cfRule>
  </conditionalFormatting>
  <conditionalFormatting sqref="G12">
    <cfRule type="expression" priority="4" aboveAverage="0" equalAverage="0" bottom="0" percent="0" rank="0" text="" dxfId="0">
      <formula>LEFT(G12,6)="Riktig"</formula>
    </cfRule>
    <cfRule type="expression" priority="5" aboveAverage="0" equalAverage="0" bottom="0" percent="0" rank="0" text="" dxfId="1">
      <formula>LEFT(G12,4)="Ikke"</formula>
    </cfRule>
  </conditionalFormatting>
  <conditionalFormatting sqref="G13">
    <cfRule type="expression" priority="6" aboveAverage="0" equalAverage="0" bottom="0" percent="0" rank="0" text="" dxfId="0">
      <formula>LEFT(G13,6)="Riktig"</formula>
    </cfRule>
    <cfRule type="expression" priority="7" aboveAverage="0" equalAverage="0" bottom="0" percent="0" rank="0" text="" dxfId="1">
      <formula>LEFT(G13,4)="Ikke"</formula>
    </cfRule>
  </conditionalFormatting>
  <conditionalFormatting sqref="G14">
    <cfRule type="expression" priority="8" aboveAverage="0" equalAverage="0" bottom="0" percent="0" rank="0" text="" dxfId="0">
      <formula>LEFT(G14,6)="Riktig"</formula>
    </cfRule>
    <cfRule type="expression" priority="9" aboveAverage="0" equalAverage="0" bottom="0" percent="0" rank="0" text="" dxfId="1">
      <formula>LEFT(G14,4)="Ikke"</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LEFT(G25,4)="Ikke"</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LEFT(G26,4)="Ikke"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LEFT(G31,4)="Ikke"</formula>
    </cfRule>
  </conditionalFormatting>
  <conditionalFormatting sqref="G32">
    <cfRule type="expression" priority="20" aboveAverage="0" equalAverage="0" bottom="0" percent="0" rank="0" text="" dxfId="0">
      <formula>LEFT(G32,6)="Riktig"</formula>
    </cfRule>
    <cfRule type="expression" priority="21" aboveAverage="0" equalAverage="0" bottom="0" percent="0" rank="0" text="" dxfId="1">
      <formula>LEFT(G32,4)="Ikke"</formula>
    </cfRule>
  </conditionalFormatting>
  <conditionalFormatting sqref="G33">
    <cfRule type="expression" priority="22" aboveAverage="0" equalAverage="0" bottom="0" percent="0" rank="0" text="" dxfId="0">
      <formula>LEFT(G33,6)="Riktig"</formula>
    </cfRule>
    <cfRule type="expression" priority="23" aboveAverage="0" equalAverage="0" bottom="0" percent="0" rank="0" text="" dxfId="1">
      <formula>LEFT(G33,4)="Ikke"</formula>
    </cfRule>
  </conditionalFormatting>
  <conditionalFormatting sqref="G35">
    <cfRule type="expression" priority="24" aboveAverage="0" equalAverage="0" bottom="0" percent="0" rank="0" text="" dxfId="0">
      <formula>LEFT(G35,6)="Riktig"</formula>
    </cfRule>
    <cfRule type="expression" priority="25" aboveAverage="0" equalAverage="0" bottom="0" percent="0" rank="0" text="" dxfId="1">
      <formula>LEFT(G35,4)="Ikke"</formula>
    </cfRule>
  </conditionalFormatting>
  <dataValidations count="13">
    <dataValidation allowBlank="true" errorStyle="stop" operator="between" showDropDown="false" showErrorMessage="false" showInputMessage="false" sqref="C11" type="list">
      <formula1>$Z$1:$Z$5</formula1>
      <formula2>0</formula2>
    </dataValidation>
    <dataValidation allowBlank="true" errorStyle="stop" operator="between" showDropDown="false" showErrorMessage="false" showInputMessage="false" sqref="C12" type="list">
      <formula1>$Z$6:$Z$10</formula1>
      <formula2>0</formula2>
    </dataValidation>
    <dataValidation allowBlank="true" errorStyle="stop" operator="between" showDropDown="false" showErrorMessage="false" showInputMessage="false" sqref="C13" type="list">
      <formula1>$Z$11:$Z$15</formula1>
      <formula2>0</formula2>
    </dataValidation>
    <dataValidation allowBlank="true" errorStyle="stop" operator="between" showDropDown="false" showErrorMessage="false" showInputMessage="false" sqref="C14" type="list">
      <formula1>$Z$16:$Z$20</formula1>
      <formula2>0</formula2>
    </dataValidation>
    <dataValidation allowBlank="true" errorStyle="stop" operator="between" showDropDown="false" showErrorMessage="false" showInputMessage="false" sqref="C25" type="list">
      <formula1>$Z$21:$Z$23</formula1>
      <formula2>0</formula2>
    </dataValidation>
    <dataValidation allowBlank="true" errorStyle="stop" operator="between" showDropDown="false" showErrorMessage="false" showInputMessage="false" sqref="C26" type="list">
      <formula1>$Z$24:$Z$26</formula1>
      <formula2>0</formula2>
    </dataValidation>
    <dataValidation allowBlank="true" errorStyle="stop" operator="between" showDropDown="false" showErrorMessage="false" showInputMessage="false" sqref="C29" type="list">
      <formula1>$Z$27:$Z$28</formula1>
      <formula2>0</formula2>
    </dataValidation>
    <dataValidation allowBlank="true" errorStyle="stop" operator="between" showDropDown="false" showErrorMessage="false" showInputMessage="false" sqref="C30" type="list">
      <formula1>$Z$29:$Z$30</formula1>
      <formula2>0</formula2>
    </dataValidation>
    <dataValidation allowBlank="true" errorStyle="stop" operator="between" showDropDown="false" showErrorMessage="false" showInputMessage="false" sqref="C31" type="list">
      <formula1>$Z$31:$Z$32</formula1>
      <formula2>0</formula2>
    </dataValidation>
    <dataValidation allowBlank="true" errorStyle="stop" operator="between" showDropDown="false" showErrorMessage="false" showInputMessage="false" sqref="C32" type="list">
      <formula1>$Z$33:$Z$34</formula1>
      <formula2>0</formula2>
    </dataValidation>
    <dataValidation allowBlank="true" errorStyle="stop" operator="between" showDropDown="false" showErrorMessage="false" showInputMessage="false" sqref="C33" type="list">
      <formula1>$Z$35:$Z$36</formula1>
      <formula2>0</formula2>
    </dataValidation>
    <dataValidation allowBlank="true" errorStyle="stop" operator="between" showDropDown="false" showErrorMessage="false" showInputMessage="false" sqref="C35" type="list">
      <formula1>$Z$37:$Z$39</formula1>
      <formula2>0</formula2>
    </dataValidation>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127</v>
      </c>
    </row>
    <row r="2" customFormat="false" ht="25.5" hidden="false" customHeight="true" outlineLevel="0" collapsed="false">
      <c r="B2" s="5" t="s">
        <v>128</v>
      </c>
      <c r="C2" s="5"/>
      <c r="D2" s="5"/>
      <c r="E2" s="5"/>
      <c r="F2" s="5"/>
      <c r="G2" s="5"/>
      <c r="Z2" s="6" t="s">
        <v>129</v>
      </c>
    </row>
    <row r="3" customFormat="false" ht="15" hidden="false" customHeight="true" outlineLevel="0" collapsed="false">
      <c r="B3" s="7" t="s">
        <v>19</v>
      </c>
      <c r="C3" s="7"/>
      <c r="D3" s="7"/>
      <c r="E3" s="7"/>
      <c r="F3" s="7"/>
      <c r="G3" s="7"/>
      <c r="Z3" s="6" t="s">
        <v>127</v>
      </c>
    </row>
    <row r="4" customFormat="false" ht="15.75" hidden="false" customHeight="true" outlineLevel="0" collapsed="false">
      <c r="B4" s="8" t="s">
        <v>21</v>
      </c>
      <c r="C4" s="8"/>
      <c r="D4" s="8"/>
      <c r="E4" s="8"/>
      <c r="F4" s="8"/>
      <c r="G4" s="8"/>
      <c r="Z4" s="6" t="s">
        <v>129</v>
      </c>
    </row>
    <row r="5" customFormat="false" ht="45" hidden="false" customHeight="true" outlineLevel="0" collapsed="false">
      <c r="B5" s="9" t="s">
        <v>130</v>
      </c>
      <c r="C5" s="9"/>
      <c r="D5" s="9"/>
      <c r="E5" s="9"/>
      <c r="F5" s="9"/>
      <c r="G5" s="9"/>
      <c r="Z5" s="6" t="s">
        <v>127</v>
      </c>
    </row>
    <row r="6" customFormat="false" ht="15.75" hidden="false" customHeight="true" outlineLevel="0" collapsed="false">
      <c r="B6" s="8" t="s">
        <v>25</v>
      </c>
      <c r="C6" s="8"/>
      <c r="D6" s="8"/>
      <c r="E6" s="8"/>
      <c r="F6" s="8"/>
      <c r="G6" s="8"/>
      <c r="Z6" s="6" t="s">
        <v>129</v>
      </c>
    </row>
    <row r="7" customFormat="false" ht="60" hidden="false" customHeight="true" outlineLevel="0" collapsed="false">
      <c r="B7" s="9" t="s">
        <v>131</v>
      </c>
      <c r="C7" s="9"/>
      <c r="D7" s="9"/>
      <c r="E7" s="9"/>
      <c r="F7" s="9"/>
      <c r="G7" s="9"/>
      <c r="Z7" s="6" t="s">
        <v>127</v>
      </c>
    </row>
    <row r="8" customFormat="false" ht="15" hidden="false" customHeight="false" outlineLevel="0" collapsed="false">
      <c r="Z8" s="0" t="s">
        <v>129</v>
      </c>
    </row>
    <row r="9" customFormat="false" ht="15.75" hidden="false" customHeight="true" outlineLevel="0" collapsed="false">
      <c r="B9" s="8" t="s">
        <v>132</v>
      </c>
      <c r="C9" s="8"/>
      <c r="D9" s="8"/>
      <c r="E9" s="8"/>
      <c r="F9" s="8"/>
      <c r="G9" s="8"/>
      <c r="Z9" s="6" t="s">
        <v>127</v>
      </c>
    </row>
    <row r="10" customFormat="false" ht="75" hidden="false" customHeight="true" outlineLevel="0" collapsed="false">
      <c r="B10" s="9" t="s">
        <v>133</v>
      </c>
      <c r="C10" s="9"/>
      <c r="D10" s="9"/>
      <c r="E10" s="9"/>
      <c r="F10" s="9"/>
      <c r="G10" s="9"/>
      <c r="Z10" s="6" t="s">
        <v>129</v>
      </c>
    </row>
    <row r="11" customFormat="false" ht="15" hidden="false" customHeight="false" outlineLevel="0" collapsed="false">
      <c r="B11" s="17" t="s">
        <v>134</v>
      </c>
      <c r="C11" s="18" t="s">
        <v>135</v>
      </c>
      <c r="Z11" s="6" t="s">
        <v>127</v>
      </c>
    </row>
    <row r="12" customFormat="false" ht="15" hidden="false" customHeight="false" outlineLevel="0" collapsed="false">
      <c r="B12" s="19" t="s">
        <v>136</v>
      </c>
      <c r="C12" s="25" t="n">
        <v>2000</v>
      </c>
      <c r="Z12" s="6" t="s">
        <v>129</v>
      </c>
    </row>
    <row r="13" customFormat="false" ht="15" hidden="false" customHeight="false" outlineLevel="0" collapsed="false">
      <c r="B13" s="19" t="s">
        <v>137</v>
      </c>
      <c r="C13" s="25" t="n">
        <v>46.8</v>
      </c>
    </row>
    <row r="14" customFormat="false" ht="15" hidden="false" customHeight="false" outlineLevel="0" collapsed="false">
      <c r="B14" s="19" t="s">
        <v>138</v>
      </c>
      <c r="C14" s="25" t="n">
        <v>1200</v>
      </c>
    </row>
    <row r="15" customFormat="false" ht="15" hidden="false" customHeight="false" outlineLevel="0" collapsed="false">
      <c r="B15" s="19" t="s">
        <v>139</v>
      </c>
      <c r="C15" s="25" t="n">
        <v>4</v>
      </c>
    </row>
    <row r="16" customFormat="false" ht="15" hidden="false" customHeight="false" outlineLevel="0" collapsed="false">
      <c r="B16" s="19" t="s">
        <v>140</v>
      </c>
      <c r="C16" s="25" t="n">
        <v>304</v>
      </c>
    </row>
    <row r="18" customFormat="false" ht="15.75" hidden="false" customHeight="true" outlineLevel="0" collapsed="false">
      <c r="B18" s="8" t="s">
        <v>28</v>
      </c>
      <c r="C18" s="8"/>
      <c r="D18" s="8"/>
      <c r="E18" s="8"/>
      <c r="F18" s="8"/>
      <c r="G18" s="8"/>
    </row>
    <row ht="75.75" customHeight="true" r="19" customFormat="false" hidden="false" outlineLevel="0" collapsed="false">
      <c r="B19" s="9" t="s">
        <v>141</v>
      </c>
      <c r="C19" s="9"/>
      <c r="D19" s="9"/>
      <c r="E19" s="9"/>
      <c r="F19" s="9"/>
      <c r="G19" s="9"/>
    </row>
    <row r="21" customFormat="false" ht="43.5" hidden="false" customHeight="true" outlineLevel="0" collapsed="false">
      <c r="B21" s="10" t="s">
        <v>142</v>
      </c>
      <c r="C21" s="26"/>
      <c r="D21" s="23" t="s">
        <v>143</v>
      </c>
      <c r="G21" s="12" t="str">
        <f aca="false">IF(C21="","Skriv svaret i den gule cellen.",IF(C21=(2000*12),"Riktig.",IF(ABS(C21-(2000))&lt;=0,"Du har svart tillegget per måned. Gang med 12 måneder.","Ikke riktig ennå. Se på regnestykket øverst på fanen, og sjekk at du har med alle leddene.")))</f>
        <v>Skriv svaret i den gule cellen.</v>
      </c>
    </row>
    <row r="22" customFormat="false" ht="43.5" hidden="false" customHeight="true" outlineLevel="0" collapsed="false">
      <c r="B22" s="10" t="s">
        <v>144</v>
      </c>
      <c r="C22" s="26"/>
      <c r="D22" s="23" t="s">
        <v>143</v>
      </c>
      <c r="G22" s="12" t="str">
        <f aca="false">IF(C22="","Skriv svaret i den gule cellen.",IF(C22=(ROUND(2000*12*1.468,0)),"Riktig.",IF(ABS(C22-(2000*12))&lt;=0,"Du har glemt de sosiale kostnadene. Gang lønna med 1,468.",IF(ABS(C22-(ROUND(2000*12*0.468,0)))&lt;=0,"Du har regnet bare de sosiale kostnadene. Lønnskostnaden er lønna pluss de sosiale: gang med 1,468.","Ikke riktig ennå. Se på regnestykket øverst på fanen, og sjekk at du har med alle leddene."))))</f>
        <v>Skriv svaret i den gule cellen.</v>
      </c>
    </row>
    <row r="23" customFormat="false" ht="43.5" hidden="false" customHeight="true" outlineLevel="0" collapsed="false">
      <c r="B23" s="10" t="s">
        <v>145</v>
      </c>
      <c r="C23" s="26"/>
      <c r="D23" s="23" t="s">
        <v>71</v>
      </c>
      <c r="G23" s="12" t="str">
        <f aca="false">IF(C23="","Skriv svaret i den gule cellen.",IF(C23=(1200/12*4),"Riktig.",IF(ABS(C23-(1200))&lt;=0,"Du har tatt hele året. Stillingen sto tom i 4 av 12 måneder.",IF(ABS(C23-(1200/12))&lt;=0,"Det er timene for én måned. Stillingen sto tom i 4.","Ikke riktig ennå. Se på regnestykket øverst på fanen, og sjekk at du har med alle leddene."))))</f>
        <v>Skriv svaret i den gule cellen.</v>
      </c>
    </row>
    <row r="24" customFormat="false" ht="43.5" hidden="false" customHeight="true" outlineLevel="0" collapsed="false">
      <c r="B24" s="10" t="s">
        <v>146</v>
      </c>
      <c r="C24" s="26"/>
      <c r="D24" s="23" t="s">
        <v>143</v>
      </c>
      <c r="G24" s="12" t="str">
        <f aca="false">IF(C24="","Skriv svaret i den gule cellen.",IF(C24=(1200/12*4*304),"Riktig.",IF(ABS(C24-(1200/12*4*890))&lt;=0,"Det er faktureringen som uteble, 356 000 kr. Den som ikke er ansatt, får heller ikke lønn, så tapet er dekningsbidraget: 304 kr per time.",IF(ABS(C24-(1200*304))&lt;=0,"Du har regnet hele året. Bruk de 400 timene fra c.","Ikke riktig ennå. Se på regnestykket øverst på fanen, og sjekk at du har med alle leddene."))))</f>
        <v>Skriv svaret i den gule cellen.</v>
      </c>
    </row>
    <row r="25" customFormat="false" ht="43.5" hidden="false" customHeight="true" outlineLevel="0" collapsed="false">
      <c r="B25" s="10" t="s">
        <v>147</v>
      </c>
      <c r="C25" s="22"/>
      <c r="D25" s="23" t="s">
        <v>148</v>
      </c>
      <c r="G25" s="12" t="str">
        <f aca="false">IF(C25="","Skriv svaret i den gule cellen.",IF(ABS(C25-(ROUND(1200/12*4*304/ROUND(2000*12*1.468,0),1)))&lt;=0.05,"Riktig.",IF(ABS(C25-(ROUND(1200/12*4*890/ROUND(2000*12*1.468,0),1)))&lt;=0.05,"Du har brukt faktureringen. Bruk dekningsbidraget fra d.",IF(ABS(C25-(ROUND(1200/12*4*304/24000,1)))&lt;=0.05,"Du har delt på tillegget uten sosiale kostnader. Bruk svaret i b, 35 232.","Ikke riktig ennå. Se på regnestykket øverst på fanen, og sjekk at du har med alle leddene."))))</f>
        <v>Skriv svaret i den gule cellen.</v>
      </c>
    </row>
    <row ht="17.25" customHeight="true" r="27" customFormat="false" hidden="false" outlineLevel="0" collapsed="false">
      <c r="B27" s="8" t="s">
        <v>149</v>
      </c>
      <c r="C27" s="8"/>
      <c r="D27" s="8"/>
      <c r="E27" s="8"/>
      <c r="F27" s="8"/>
      <c r="G27" s="8"/>
    </row>
    <row r="28" customFormat="false" ht="39.75" hidden="false" customHeight="true" outlineLevel="0" collapsed="false">
      <c r="B28" s="10" t="s">
        <v>150</v>
      </c>
      <c r="C28" s="11"/>
      <c r="G28" s="12" t="str">
        <f aca="false">IF(C28="","Velg i nedtrekksmenyen.",IF(C28="Ytre, materiell","Riktig. Lønn er en ytre, materiell belønning (17.8.1).","Ikke riktig. Lønn er en ytre, materiell belønning (17.8.1)."))</f>
        <v>Velg i nedtrekksmenyen.</v>
      </c>
    </row>
    <row r="29" customFormat="false" ht="39.75" hidden="false" customHeight="true" outlineLevel="0" collapsed="false">
      <c r="B29" s="10" t="s">
        <v>151</v>
      </c>
      <c r="C29" s="11"/>
      <c r="G29" s="12" t="str">
        <f aca="false">IF(C29="","Velg i nedtrekksmenyen.",IF(C29="Indre, psykologisk","Riktig. Ros og anerkjennelse er indre, psykologiske belønninger (17.8.1).","Ikke riktig. Ros og anerkjennelse er indre, psykologiske belønninger (17.8.1)."))</f>
        <v>Velg i nedtrekksmenyen.</v>
      </c>
    </row>
    <row r="30" customFormat="false" ht="39.75" hidden="false" customHeight="true" outlineLevel="0" collapsed="false">
      <c r="B30" s="10" t="s">
        <v>152</v>
      </c>
      <c r="C30" s="11"/>
      <c r="G30" s="12" t="str">
        <f aca="false">IF(C30="","Velg i nedtrekksmenyen.",IF(C30="Ytre, materiell","Riktig. Et materielt gode.","Ikke riktig. Et materielt gode."))</f>
        <v>Velg i nedtrekksmenyen.</v>
      </c>
    </row>
    <row r="31" customFormat="false" ht="39.75" hidden="false" customHeight="true" outlineLevel="0" collapsed="false">
      <c r="B31" s="10" t="s">
        <v>153</v>
      </c>
      <c r="C31" s="11"/>
      <c r="G31" s="12" t="str">
        <f aca="false">IF(C31="","Velg i nedtrekksmenyen.",IF(C31="Indre, psykologisk","Riktig. Ansvar og respekt er indre, psykologiske belønninger. Det var dette montøren ba om.","Ikke riktig. Ansvar og respekt er indre, psykologiske belønninger. Det var dette montøren ba om."))</f>
        <v>Velg i nedtrekksmenyen.</v>
      </c>
    </row>
    <row r="32" customFormat="false" ht="39.75" hidden="false" customHeight="true" outlineLevel="0" collapsed="false">
      <c r="B32" s="10" t="s">
        <v>154</v>
      </c>
      <c r="C32" s="11"/>
      <c r="G32" s="12" t="str">
        <f aca="false">IF(C32="","Velg i nedtrekksmenyen.",IF(C32="Ytre, materiell","Riktig. Penger er en ytre, materiell belønning.","Ikke riktig. Penger er en ytre, materiell belønning."))</f>
        <v>Velg i nedtrekksmenyen.</v>
      </c>
    </row>
    <row r="33" customFormat="false" ht="39.75" hidden="false" customHeight="true" outlineLevel="0" collapsed="false">
      <c r="B33" s="10" t="s">
        <v>155</v>
      </c>
      <c r="C33" s="11"/>
      <c r="G33" s="12" t="str">
        <f aca="false">IF(C33="","Velg i nedtrekksmenyen.",IF(C33="Indre, psykologisk","Riktig. Respekt og anerkjennelse: indre, psykologisk (17.8.1).","Ikke riktig. Respekt og anerkjennelse: indre, psykologisk (17.8.1)."))</f>
        <v>Velg i nedtrekksmenyen.</v>
      </c>
    </row>
    <row r="35" customFormat="false" ht="30" hidden="false" customHeight="true" outlineLevel="0" collapsed="false">
      <c r="B35" s="9" t="s">
        <v>156</v>
      </c>
      <c r="C35" s="9"/>
      <c r="D35" s="9"/>
      <c r="E35" s="9"/>
      <c r="F35" s="9"/>
      <c r="G35" s="9"/>
    </row>
    <row r="36" customFormat="false" ht="21.75" hidden="false" customHeight="true" outlineLevel="0" collapsed="false">
      <c r="B36" s="13"/>
      <c r="C36" s="13"/>
      <c r="D36" s="13"/>
      <c r="E36" s="13"/>
      <c r="F36" s="13"/>
      <c r="G36" s="13"/>
    </row>
    <row r="37" customFormat="false" ht="21.75" hidden="false" customHeight="true" outlineLevel="0" collapsed="false">
      <c r="B37" s="13"/>
      <c r="C37" s="13"/>
      <c r="D37" s="13"/>
      <c r="E37" s="13"/>
      <c r="F37" s="13"/>
      <c r="G37" s="13"/>
    </row>
    <row r="38" customFormat="false" ht="21.75" hidden="false" customHeight="true" outlineLevel="0" collapsed="false">
      <c r="B38" s="13"/>
      <c r="C38" s="13"/>
      <c r="D38" s="13"/>
      <c r="E38" s="13"/>
      <c r="F38" s="13"/>
      <c r="G38" s="13"/>
    </row>
    <row r="39" customFormat="false" ht="39.75" hidden="false" customHeight="true" outlineLevel="0" collapsed="false">
      <c r="B39" s="14" t="str">
        <f aca="false">IF(LEN(B36)&lt;40,"",IF(AND(ISNUMBER(SEARCH("behov",B36)),ISNUMBER(SEARCH("dekket",B36))),"Bra: du bruker Maslow riktig. Et behov som allerede er dekket, driver ikke; montøren ba om noe på et høyere nivå.",IF(OR(ISNUMBER(SEARCH("behov",B36)),ISNUMBER(SEARCH("dekket",B36))),"Du er på sporet. Si hvilket behov han ba om (utvikling og ansvar), og at lønn dekker et behov som allerede var dekket.","Tips: et motiv er et behov som er blitt så sterkt at det fører til handling (17.8.1). Han ba om utvikling og ansvar, høyt i hierarkiet. Tillegget traff et behov som allerede var dekket, og et dekket behov driver ikke. Tillegget var ikke for lite; det var på feil skala.")))</f>
        <v/>
      </c>
      <c r="C39" s="14"/>
      <c r="D39" s="14"/>
      <c r="E39" s="14"/>
      <c r="F39" s="14"/>
      <c r="G39" s="14"/>
    </row>
    <row r="40" customFormat="false" ht="15" hidden="false" customHeight="false" outlineLevel="0" collapsed="false">
      <c r="B40" s="15" t="s">
        <v>42</v>
      </c>
      <c r="C40" s="11"/>
    </row>
    <row r="41" customFormat="false" ht="31.5" hidden="false" customHeight="true" outlineLevel="0" collapsed="false">
      <c r="B41" s="16" t="str">
        <f aca="false">IF(C40="JA","Hint: a: 2 000 × 12 = 24 000. b: 24 000 × 1,468 = 35 232. c: 1 200 / 12 × 4 = 400 timer. d: 400 × 304 = 121 600. e: 121 600 / 35 232 = 3,5.","")</f>
        <v/>
      </c>
      <c r="C41" s="16"/>
      <c r="D41" s="16"/>
      <c r="E41" s="16"/>
      <c r="F41" s="16"/>
      <c r="G41" s="16"/>
    </row>
    <row r="43" customFormat="false" ht="30" hidden="false" customHeight="true" outlineLevel="0" collapsed="false">
      <c r="B43" s="7" t="s">
        <v>43</v>
      </c>
      <c r="C43" s="7"/>
      <c r="D43" s="7"/>
      <c r="E43" s="7"/>
      <c r="F43" s="7"/>
      <c r="G43" s="7"/>
    </row>
  </sheetData>
  <mergeCells count="16">
    <mergeCell ref="B2:G2"/>
    <mergeCell ref="B3:G3"/>
    <mergeCell ref="B4:G4"/>
    <mergeCell ref="B5:G5"/>
    <mergeCell ref="B6:G6"/>
    <mergeCell ref="B7:G7"/>
    <mergeCell ref="B9:G9"/>
    <mergeCell ref="B10:G10"/>
    <mergeCell ref="B18:G18"/>
    <mergeCell ref="B19:G19"/>
    <mergeCell ref="B27:G27"/>
    <mergeCell ref="B35:G35"/>
    <mergeCell ref="B36:G38"/>
    <mergeCell ref="B39:G39"/>
    <mergeCell ref="B41:G41"/>
    <mergeCell ref="B43:G43"/>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AND(G24&lt;&gt;"",LEFT(G24,6)&lt;&gt;"Riktig",LEFT(G24,5)&lt;&gt;"Skriv")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AND(G25&lt;&gt;"",LEFT(G25,6)&lt;&gt;"Riktig",LEFT(G25,5)&lt;&gt;"Skriv")</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LEFT(G28,4)="Ikke"</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LEFT(G29,4)="Ikke"</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LEFT(G30,4)="Ikke"</formula>
    </cfRule>
  </conditionalFormatting>
  <conditionalFormatting sqref="G31">
    <cfRule type="expression" priority="18" aboveAverage="0" equalAverage="0" bottom="0" percent="0" rank="0" text="" dxfId="0">
      <formula>LEFT(G31,6)="Riktig"</formula>
    </cfRule>
    <cfRule type="expression" priority="19" aboveAverage="0" equalAverage="0" bottom="0" percent="0" rank="0" text="" dxfId="1">
      <formula>LEFT(G31,4)="Ikke"</formula>
    </cfRule>
  </conditionalFormatting>
  <conditionalFormatting sqref="G32">
    <cfRule type="expression" priority="20" aboveAverage="0" equalAverage="0" bottom="0" percent="0" rank="0" text="" dxfId="0">
      <formula>LEFT(G32,6)="Riktig"</formula>
    </cfRule>
    <cfRule type="expression" priority="21" aboveAverage="0" equalAverage="0" bottom="0" percent="0" rank="0" text="" dxfId="1">
      <formula>LEFT(G32,4)="Ikke"</formula>
    </cfRule>
  </conditionalFormatting>
  <conditionalFormatting sqref="G33">
    <cfRule type="expression" priority="22" aboveAverage="0" equalAverage="0" bottom="0" percent="0" rank="0" text="" dxfId="0">
      <formula>LEFT(G33,6)="Riktig"</formula>
    </cfRule>
    <cfRule type="expression" priority="23" aboveAverage="0" equalAverage="0" bottom="0" percent="0" rank="0" text="" dxfId="1">
      <formula>LEFT(G33,4)="Ikke"</formula>
    </cfRule>
  </conditionalFormatting>
  <dataValidations count="7">
    <dataValidation allowBlank="true" errorStyle="stop" operator="between" showDropDown="false" showErrorMessage="false" showInputMessage="false" sqref="C28" type="list">
      <formula1>$Z$1:$Z$2</formula1>
      <formula2>0</formula2>
    </dataValidation>
    <dataValidation allowBlank="true" errorStyle="stop" operator="between" showDropDown="false" showErrorMessage="false" showInputMessage="false" sqref="C29" type="list">
      <formula1>$Z$3:$Z$4</formula1>
      <formula2>0</formula2>
    </dataValidation>
    <dataValidation allowBlank="true" errorStyle="stop" operator="between" showDropDown="false" showErrorMessage="false" showInputMessage="false" sqref="C30" type="list">
      <formula1>$Z$5:$Z$6</formula1>
      <formula2>0</formula2>
    </dataValidation>
    <dataValidation allowBlank="true" errorStyle="stop" operator="between" showDropDown="false" showErrorMessage="false" showInputMessage="false" sqref="C31" type="list">
      <formula1>$Z$7:$Z$8</formula1>
      <formula2>0</formula2>
    </dataValidation>
    <dataValidation allowBlank="true" errorStyle="stop" operator="between" showDropDown="false" showErrorMessage="false" showInputMessage="false" sqref="C32" type="list">
      <formula1>$Z$9:$Z$10</formula1>
      <formula2>0</formula2>
    </dataValidation>
    <dataValidation allowBlank="true" errorStyle="stop" operator="between" showDropDown="false" showErrorMessage="false" showInputMessage="false" sqref="C33" type="list">
      <formula1>$Z$11:$Z$12</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157</v>
      </c>
    </row>
    <row r="2" customFormat="false" ht="25.5" hidden="false" customHeight="true" outlineLevel="0" collapsed="false">
      <c r="B2" s="5" t="s">
        <v>158</v>
      </c>
      <c r="C2" s="5"/>
      <c r="D2" s="5"/>
      <c r="E2" s="5"/>
      <c r="F2" s="5"/>
      <c r="G2" s="5"/>
      <c r="Z2" s="6" t="s">
        <v>159</v>
      </c>
    </row>
    <row r="3" customFormat="false" ht="15" hidden="false" customHeight="true" outlineLevel="0" collapsed="false">
      <c r="B3" s="7" t="s">
        <v>19</v>
      </c>
      <c r="C3" s="7"/>
      <c r="D3" s="7"/>
      <c r="E3" s="7"/>
      <c r="F3" s="7"/>
      <c r="G3" s="7"/>
      <c r="Z3" s="6" t="s">
        <v>157</v>
      </c>
    </row>
    <row r="4" customFormat="false" ht="15.75" hidden="false" customHeight="true" outlineLevel="0" collapsed="false">
      <c r="B4" s="8" t="s">
        <v>21</v>
      </c>
      <c r="C4" s="8"/>
      <c r="D4" s="8"/>
      <c r="E4" s="8"/>
      <c r="F4" s="8"/>
      <c r="G4" s="8"/>
      <c r="Z4" s="6" t="s">
        <v>159</v>
      </c>
    </row>
    <row r="5" customFormat="false" ht="45" hidden="false" customHeight="true" outlineLevel="0" collapsed="false">
      <c r="B5" s="9" t="s">
        <v>160</v>
      </c>
      <c r="C5" s="9"/>
      <c r="D5" s="9"/>
      <c r="E5" s="9"/>
      <c r="F5" s="9"/>
      <c r="G5" s="9"/>
      <c r="Z5" s="6" t="s">
        <v>157</v>
      </c>
    </row>
    <row r="6" customFormat="false" ht="15.75" hidden="false" customHeight="true" outlineLevel="0" collapsed="false">
      <c r="B6" s="8" t="s">
        <v>25</v>
      </c>
      <c r="C6" s="8"/>
      <c r="D6" s="8"/>
      <c r="E6" s="8"/>
      <c r="F6" s="8"/>
      <c r="G6" s="8"/>
      <c r="Z6" s="6" t="s">
        <v>159</v>
      </c>
    </row>
    <row r="7" customFormat="false" ht="60" hidden="false" customHeight="true" outlineLevel="0" collapsed="false">
      <c r="B7" s="9" t="s">
        <v>161</v>
      </c>
      <c r="C7" s="9"/>
      <c r="D7" s="9"/>
      <c r="E7" s="9"/>
      <c r="F7" s="9"/>
      <c r="G7" s="9"/>
      <c r="Z7" s="6" t="s">
        <v>157</v>
      </c>
    </row>
    <row r="8" customFormat="false" ht="15" hidden="false" customHeight="false" outlineLevel="0" collapsed="false">
      <c r="Z8" s="0" t="s">
        <v>159</v>
      </c>
    </row>
    <row r="9" customFormat="false" ht="15.75" hidden="false" customHeight="true" outlineLevel="0" collapsed="false">
      <c r="B9" s="8" t="s">
        <v>162</v>
      </c>
      <c r="C9" s="8"/>
      <c r="D9" s="8"/>
      <c r="E9" s="8"/>
      <c r="F9" s="8"/>
      <c r="G9" s="8"/>
      <c r="Z9" s="6" t="s">
        <v>157</v>
      </c>
    </row>
    <row ht="17.25" customHeight="true" r="10" customFormat="false" hidden="false" outlineLevel="0" collapsed="false">
      <c r="B10" s="9" t="s">
        <v>163</v>
      </c>
      <c r="C10" s="9"/>
      <c r="D10" s="9"/>
      <c r="E10" s="9"/>
      <c r="F10" s="9"/>
      <c r="G10" s="9"/>
      <c r="Z10" s="6" t="s">
        <v>159</v>
      </c>
    </row>
    <row r="11" customFormat="false" ht="15" hidden="false" customHeight="false" outlineLevel="0" collapsed="false">
      <c r="B11" s="17" t="s">
        <v>164</v>
      </c>
      <c r="C11" s="18" t="s">
        <v>165</v>
      </c>
      <c r="Z11" s="6" t="s">
        <v>157</v>
      </c>
    </row>
    <row r="12" customFormat="false" ht="15" hidden="false" customHeight="false" outlineLevel="0" collapsed="false">
      <c r="B12" s="19" t="s">
        <v>166</v>
      </c>
      <c r="C12" s="27" t="n">
        <v>70000</v>
      </c>
      <c r="Z12" s="6" t="s">
        <v>159</v>
      </c>
    </row>
    <row r="13" customFormat="false" ht="15" hidden="false" customHeight="false" outlineLevel="0" collapsed="false">
      <c r="B13" s="19" t="s">
        <v>167</v>
      </c>
      <c r="C13" s="27" t="n">
        <v>48000</v>
      </c>
      <c r="Z13" s="6" t="s">
        <v>157</v>
      </c>
    </row>
    <row r="14" customFormat="false" ht="15" hidden="false" customHeight="false" outlineLevel="0" collapsed="false">
      <c r="B14" s="19" t="s">
        <v>168</v>
      </c>
      <c r="C14" s="27" t="n">
        <v>35000</v>
      </c>
      <c r="Z14" s="6" t="s">
        <v>159</v>
      </c>
    </row>
    <row r="15" customFormat="false" ht="15" hidden="false" customHeight="false" outlineLevel="0" collapsed="false">
      <c r="B15" s="19" t="s">
        <v>169</v>
      </c>
      <c r="C15" s="27" t="n">
        <v>0</v>
      </c>
      <c r="Z15" s="6" t="s">
        <v>157</v>
      </c>
    </row>
    <row r="16" customFormat="false" ht="15" hidden="false" customHeight="false" outlineLevel="0" collapsed="false">
      <c r="B16" s="19" t="s">
        <v>170</v>
      </c>
      <c r="C16" s="27" t="n">
        <v>60000</v>
      </c>
      <c r="Z16" s="6" t="s">
        <v>159</v>
      </c>
    </row>
    <row r="17" customFormat="false" ht="15" hidden="false" customHeight="false" outlineLevel="0" collapsed="false">
      <c r="B17" s="19" t="s">
        <v>171</v>
      </c>
      <c r="C17" s="27" t="n">
        <v>0</v>
      </c>
      <c r="Z17" s="6" t="s">
        <v>172</v>
      </c>
    </row>
    <row r="18" customFormat="false" ht="15" hidden="false" customHeight="false" outlineLevel="0" collapsed="false">
      <c r="B18" s="19" t="s">
        <v>173</v>
      </c>
      <c r="C18" s="27" t="n">
        <v>45000</v>
      </c>
      <c r="Z18" s="6" t="s">
        <v>174</v>
      </c>
    </row>
    <row r="19" customFormat="false" ht="15" hidden="false" customHeight="false" outlineLevel="0" collapsed="false">
      <c r="B19" s="19" t="s">
        <v>175</v>
      </c>
      <c r="C19" s="27" t="n">
        <v>55000</v>
      </c>
      <c r="Z19" s="6" t="s">
        <v>176</v>
      </c>
    </row>
    <row r="20" customFormat="false" ht="15" hidden="false" customHeight="false" outlineLevel="0" collapsed="false">
      <c r="B20" s="19" t="s">
        <v>177</v>
      </c>
      <c r="C20" s="27" t="n">
        <v>150000</v>
      </c>
    </row>
    <row r="22" customFormat="false" ht="15.75" hidden="false" customHeight="true" outlineLevel="0" collapsed="false">
      <c r="B22" s="8" t="s">
        <v>28</v>
      </c>
      <c r="C22" s="8"/>
      <c r="D22" s="8"/>
      <c r="E22" s="8"/>
      <c r="F22" s="8"/>
      <c r="G22" s="8"/>
    </row>
    <row ht="75.75" customHeight="true" r="23" customFormat="false" hidden="false" outlineLevel="0" collapsed="false">
      <c r="B23" s="9" t="s">
        <v>178</v>
      </c>
      <c r="C23" s="9"/>
      <c r="D23" s="9"/>
      <c r="E23" s="9"/>
      <c r="F23" s="9"/>
      <c r="G23" s="9"/>
    </row>
    <row r="25" customFormat="false" ht="43.5" hidden="false" customHeight="true" outlineLevel="0" collapsed="false">
      <c r="B25" s="10" t="s">
        <v>179</v>
      </c>
      <c r="C25" s="26"/>
      <c r="D25" s="23" t="s">
        <v>143</v>
      </c>
      <c r="G25" s="12" t="str">
        <f aca="false">IF(C25="","Skriv svaret i den gule cellen.",IF(C25=(SUM(C12:C19)),"Riktig.",IF(ABS(C25-(SUM(C12:C19)-C20))&lt;=0,"Du har regnet hvor mye forslagene overstiger potten. Spørsmålet er hva alle koster til sammen.",IF(ABS(C25-(SUM(C12:C19)+C20))&lt;=0,"Du har tatt med potten i summen. Potten er det Kari har, ikke et forslag.","Ikke riktig ennå. Se på regnestykket øverst på fanen, og sjekk at du har med alle leddene."))))</f>
        <v>Skriv svaret i den gule cellen.</v>
      </c>
    </row>
    <row ht="17.25" customHeight="true" r="27" customFormat="false" hidden="false" outlineLevel="0" collapsed="false">
      <c r="B27" s="8" t="s">
        <v>180</v>
      </c>
      <c r="C27" s="8"/>
      <c r="D27" s="8"/>
      <c r="E27" s="8"/>
      <c r="F27" s="8"/>
      <c r="G27" s="8"/>
    </row>
    <row r="28" customFormat="false" ht="39.75" hidden="false" customHeight="true" outlineLevel="0" collapsed="false">
      <c r="B28" s="10" t="s">
        <v>166</v>
      </c>
      <c r="C28" s="11"/>
      <c r="G28" s="12" t="str">
        <f aca="false">IF(C28="","Velg i nedtrekksmenyen.",IF(C28="Hygienefaktor","Riktig. Lønn og andre goder er en hygienefaktor (17.8.3).","Ikke riktig. Lønn og andre goder er en hygienefaktor (17.8.3)."))</f>
        <v>Velg i nedtrekksmenyen.</v>
      </c>
    </row>
    <row r="29" customFormat="false" ht="39.75" hidden="false" customHeight="true" outlineLevel="0" collapsed="false">
      <c r="B29" s="10" t="s">
        <v>167</v>
      </c>
      <c r="C29" s="11"/>
      <c r="G29" s="12" t="str">
        <f aca="false">IF(C29="","Velg i nedtrekksmenyen.",IF(C29="Motivasjonsfaktor","Riktig. Personlig utvikling i arbeidet (17.8.3).","Ikke riktig. Personlig utvikling i arbeidet (17.8.3)."))</f>
        <v>Velg i nedtrekksmenyen.</v>
      </c>
    </row>
    <row r="30" customFormat="false" ht="39.75" hidden="false" customHeight="true" outlineLevel="0" collapsed="false">
      <c r="B30" s="10" t="s">
        <v>168</v>
      </c>
      <c r="C30" s="11"/>
      <c r="G30" s="12" t="str">
        <f aca="false">IF(C30="","Velg i nedtrekksmenyen.",IF(C30="Hygienefaktor","Riktig. Fysisk arbeidsmiljø er en hygienefaktor (17.8.3).","Ikke riktig. Fysisk arbeidsmiljø er en hygienefaktor (17.8.3)."))</f>
        <v>Velg i nedtrekksmenyen.</v>
      </c>
    </row>
    <row r="31" customFormat="false" ht="39.75" hidden="false" customHeight="true" outlineLevel="0" collapsed="false">
      <c r="B31" s="10" t="s">
        <v>169</v>
      </c>
      <c r="C31" s="11"/>
      <c r="G31" s="12" t="str">
        <f aca="false">IF(C31="","Velg i nedtrekksmenyen.",IF(C31="Motivasjonsfaktor","Riktig. Ansvar og arbeidet i seg selv (17.8.3).","Ikke riktig. Ansvar og arbeidet i seg selv (17.8.3)."))</f>
        <v>Velg i nedtrekksmenyen.</v>
      </c>
    </row>
    <row r="32" customFormat="false" ht="39.75" hidden="false" customHeight="true" outlineLevel="0" collapsed="false">
      <c r="B32" s="10" t="s">
        <v>170</v>
      </c>
      <c r="C32" s="11"/>
      <c r="G32" s="12" t="str">
        <f aca="false">IF(C32="","Velg i nedtrekksmenyen.",IF(C32="Hygienefaktor","Riktig. Kollegiale forhold er en hygienefaktor (17.8.3).","Ikke riktig. Kollegiale forhold er en hygienefaktor (17.8.3)."))</f>
        <v>Velg i nedtrekksmenyen.</v>
      </c>
    </row>
    <row r="33" customFormat="false" ht="39.75" hidden="false" customHeight="true" outlineLevel="0" collapsed="false">
      <c r="B33" s="10" t="s">
        <v>171</v>
      </c>
      <c r="C33" s="11"/>
      <c r="G33" s="12" t="str">
        <f aca="false">IF(C33="","Velg i nedtrekksmenyen.",IF(C33="Motivasjonsfaktor","Riktig. Anerkjennelse (17.8.3).","Ikke riktig. Anerkjennelse (17.8.3)."))</f>
        <v>Velg i nedtrekksmenyen.</v>
      </c>
    </row>
    <row r="34" customFormat="false" ht="39.75" hidden="false" customHeight="true" outlineLevel="0" collapsed="false">
      <c r="B34" s="10" t="s">
        <v>173</v>
      </c>
      <c r="C34" s="11"/>
      <c r="G34" s="12" t="str">
        <f aca="false">IF(C34="","Velg i nedtrekksmenyen.",IF(C34="Hygienefaktor","Riktig. Goder er en hygienefaktor: merkes første uka og aldri mer.","Ikke riktig. Goder er en hygienefaktor: merkes første uka og aldri mer."))</f>
        <v>Velg i nedtrekksmenyen.</v>
      </c>
    </row>
    <row r="35" customFormat="false" ht="39.75" hidden="false" customHeight="true" outlineLevel="0" collapsed="false">
      <c r="B35" s="10" t="s">
        <v>175</v>
      </c>
      <c r="C35" s="11"/>
      <c r="G35" s="12" t="str">
        <f aca="false">IF(C35="","Velg i nedtrekksmenyen.",IF(C35="Hygienefaktor","Riktig. Lønn og andre goder er en hygienefaktor (17.8.3).","Ikke riktig. Lønn og andre goder er en hygienefaktor (17.8.3)."))</f>
        <v>Velg i nedtrekksmenyen.</v>
      </c>
    </row>
    <row ht="46.5" customHeight="true" r="37" customFormat="false" hidden="false" outlineLevel="0" collapsed="false">
      <c r="B37" s="10" t="s">
        <v>181</v>
      </c>
      <c r="C37" s="22"/>
      <c r="D37" s="23" t="s">
        <v>69</v>
      </c>
      <c r="G37" s="12" t="str">
        <f aca="false">IF(C37="","Skriv svaret i den gule cellen.",IF(ABS(C37-(ROUND(C13/C20*100,1)))&lt;=0.05,"Riktig.",IF(ABS(C37-(ROUND(C13/SUM(C12:C19)*100,1)))&lt;=0.05,"Du har delt på summen av forslagene. Spørsmålet gjelder potten på 150 000 kr.",IF(ABS(C37-(ROUND((C13+C14)/C20*100,1)))&lt;=0.05,"Du har tatt med brakka. Den er en hygienefaktor, ikke en motivasjonsfaktor.","Ikke riktig ennå. Se på regnestykket øverst på fanen, og sjekk at du har med alle leddene."))))</f>
        <v>Skriv svaret i den gule cellen.</v>
      </c>
    </row>
    <row r="39" customFormat="false" ht="39.75" hidden="false" customHeight="true" outlineLevel="0" collapsed="false">
      <c r="B39" s="10" t="s">
        <v>182</v>
      </c>
      <c r="C39" s="11"/>
      <c r="G39" s="12" t="str">
        <f aca="false">IF(C39="","Velg i nedtrekksmenyen.",IF(C39="God lønn fjerner mistrivsel, men skaper ikke trivsel","Riktig. Høy score på hygienefaktorene gir fravær av mistrivsel, ikke trivsel; trivsel er utelukkende et resultat av høy score på motivasjonsfaktorene (17.8.3). Men lønn er ikke uviktig: lav score gir mistrivsel.","Ikke riktig. Høy score på hygienefaktorene gir fravær av mistrivsel, ikke trivsel; trivsel er utelukkende et resultat av høy score på motivasjonsfaktorene (17.8.3). Men lønn er ikke uviktig: lav score gir mistrivsel."))</f>
        <v>Velg i nedtrekksmenyen.</v>
      </c>
    </row>
    <row r="41" customFormat="false" ht="30" hidden="false" customHeight="true" outlineLevel="0" collapsed="false">
      <c r="B41" s="9" t="s">
        <v>183</v>
      </c>
      <c r="C41" s="9"/>
      <c r="D41" s="9"/>
      <c r="E41" s="9"/>
      <c r="F41" s="9"/>
      <c r="G41" s="9"/>
    </row>
    <row r="42" customFormat="false" ht="21.75" hidden="false" customHeight="true" outlineLevel="0" collapsed="false">
      <c r="B42" s="13"/>
      <c r="C42" s="13"/>
      <c r="D42" s="13"/>
      <c r="E42" s="13"/>
      <c r="F42" s="13"/>
      <c r="G42" s="13"/>
    </row>
    <row r="43" customFormat="false" ht="21.75" hidden="false" customHeight="true" outlineLevel="0" collapsed="false">
      <c r="B43" s="13"/>
      <c r="C43" s="13"/>
      <c r="D43" s="13"/>
      <c r="E43" s="13"/>
      <c r="F43" s="13"/>
      <c r="G43" s="13"/>
    </row>
    <row r="44" customFormat="false" ht="21.75" hidden="false" customHeight="true" outlineLevel="0" collapsed="false">
      <c r="B44" s="13"/>
      <c r="C44" s="13"/>
      <c r="D44" s="13"/>
      <c r="E44" s="13"/>
      <c r="F44" s="13"/>
      <c r="G44" s="13"/>
    </row>
    <row r="45" customFormat="false" ht="39.75" hidden="false" customHeight="true" outlineLevel="0" collapsed="false">
      <c r="B45" s="14" t="str">
        <f aca="false">IF(LEN(B42)&lt;40,"",IF(AND(ISNUMBER(SEARCH("48",B42)),ISNUMBER(SEARCH("trivsel",B42))),"Bra: du tar med motivasjonstiltakene og bruker begrepet trivsel. Sjekk at du også sier noe om hygienen: en dårlig brakke gir mistrivsel hver dag.",IF(OR(ISNUMBER(SEARCH("48",B42)),ISNUMBER(SEARCH("trivsel",B42))),"Du er på sporet. Ta med alle tre motivasjonstiltakene (48 000 kr), si hva du gjør med hygienefaktorene, og hvilket forslag du forkaster.","Tips: ta alle tre motivasjonstiltakene, 48 000 kr, fordi bare de gir trivsel. Vurder brakka: dårlig hygiene gir mistrivsel. 48 000 + 35 000 = 83 000 kr er 55,3 % av potten; med pensjon 138 000 kr, 92,0 %. Lønnstillegget til to (70 000 kr) er lettest å forkaste: det svarer ikke på det montøren ba om.")))</f>
        <v/>
      </c>
      <c r="C45" s="14"/>
      <c r="D45" s="14"/>
      <c r="E45" s="14"/>
      <c r="F45" s="14"/>
      <c r="G45" s="14"/>
    </row>
    <row r="46" customFormat="false" ht="15" hidden="false" customHeight="false" outlineLevel="0" collapsed="false">
      <c r="B46" s="15" t="s">
        <v>42</v>
      </c>
      <c r="C46" s="11"/>
    </row>
    <row r="47" customFormat="false" ht="45" hidden="false" customHeight="true" outlineLevel="0" collapsed="false">
      <c r="B47" s="16" t="str">
        <f aca="false">IF(C46="JA","Hint: a: legg sammen alle åtte. b: ligger tiltaket i selve arbeidet (ansvar, anerkjennelse, utvikling) eller rundt arbeidet (lønn, goder, lokaler, kolleger)? c: kronene for de tre motivasjonsfaktorene (48 000 + 0 + 0) delt på 150 000, ganger 100.","")</f>
        <v/>
      </c>
      <c r="C47" s="16"/>
      <c r="D47" s="16"/>
      <c r="E47" s="16"/>
      <c r="F47" s="16"/>
      <c r="G47" s="16"/>
    </row>
    <row r="49" customFormat="false" ht="30" hidden="false" customHeight="true" outlineLevel="0" collapsed="false">
      <c r="B49" s="7" t="s">
        <v>43</v>
      </c>
      <c r="C49" s="7"/>
      <c r="D49" s="7"/>
      <c r="E49" s="7"/>
      <c r="F49" s="7"/>
      <c r="G49" s="7"/>
    </row>
  </sheetData>
  <mergeCells count="16">
    <mergeCell ref="B2:G2"/>
    <mergeCell ref="B3:G3"/>
    <mergeCell ref="B4:G4"/>
    <mergeCell ref="B5:G5"/>
    <mergeCell ref="B6:G6"/>
    <mergeCell ref="B7:G7"/>
    <mergeCell ref="B9:G9"/>
    <mergeCell ref="B10:G10"/>
    <mergeCell ref="B22:G22"/>
    <mergeCell ref="B23:G23"/>
    <mergeCell ref="B27:G27"/>
    <mergeCell ref="B41:G41"/>
    <mergeCell ref="B42:G44"/>
    <mergeCell ref="B45:G45"/>
    <mergeCell ref="B47:G47"/>
    <mergeCell ref="B49:G49"/>
  </mergeCells>
  <conditionalFormatting sqref="G25">
    <cfRule type="expression" priority="2" aboveAverage="0" equalAverage="0" bottom="0" percent="0" rank="0" text="" dxfId="0">
      <formula>LEFT(G25,6)="Riktig"</formula>
    </cfRule>
    <cfRule type="expression" priority="3" aboveAverage="0" equalAverage="0" bottom="0" percent="0" rank="0" text="" dxfId="1">
      <formula>AND(G25&lt;&gt;"",LEFT(G25,6)&lt;&gt;"Riktig",LEFT(G25,5)&lt;&gt;"Skriv")</formula>
    </cfRule>
  </conditionalFormatting>
  <conditionalFormatting sqref="G28">
    <cfRule type="expression" priority="4" aboveAverage="0" equalAverage="0" bottom="0" percent="0" rank="0" text="" dxfId="0">
      <formula>LEFT(G28,6)="Riktig"</formula>
    </cfRule>
    <cfRule type="expression" priority="5" aboveAverage="0" equalAverage="0" bottom="0" percent="0" rank="0" text="" dxfId="1">
      <formula>LEFT(G28,4)="Ikke"</formula>
    </cfRule>
  </conditionalFormatting>
  <conditionalFormatting sqref="G29">
    <cfRule type="expression" priority="6" aboveAverage="0" equalAverage="0" bottom="0" percent="0" rank="0" text="" dxfId="0">
      <formula>LEFT(G29,6)="Riktig"</formula>
    </cfRule>
    <cfRule type="expression" priority="7" aboveAverage="0" equalAverage="0" bottom="0" percent="0" rank="0" text="" dxfId="1">
      <formula>LEFT(G29,4)="Ikke"</formula>
    </cfRule>
  </conditionalFormatting>
  <conditionalFormatting sqref="G30">
    <cfRule type="expression" priority="8" aboveAverage="0" equalAverage="0" bottom="0" percent="0" rank="0" text="" dxfId="0">
      <formula>LEFT(G30,6)="Riktig"</formula>
    </cfRule>
    <cfRule type="expression" priority="9" aboveAverage="0" equalAverage="0" bottom="0" percent="0" rank="0" text="" dxfId="1">
      <formula>LEFT(G30,4)="Ikke"</formula>
    </cfRule>
  </conditionalFormatting>
  <conditionalFormatting sqref="G31">
    <cfRule type="expression" priority="10" aboveAverage="0" equalAverage="0" bottom="0" percent="0" rank="0" text="" dxfId="0">
      <formula>LEFT(G31,6)="Riktig"</formula>
    </cfRule>
    <cfRule type="expression" priority="11" aboveAverage="0" equalAverage="0" bottom="0" percent="0" rank="0" text="" dxfId="1">
      <formula>LEFT(G31,4)="Ikke"</formula>
    </cfRule>
  </conditionalFormatting>
  <conditionalFormatting sqref="G32">
    <cfRule type="expression" priority="12" aboveAverage="0" equalAverage="0" bottom="0" percent="0" rank="0" text="" dxfId="0">
      <formula>LEFT(G32,6)="Riktig"</formula>
    </cfRule>
    <cfRule type="expression" priority="13" aboveAverage="0" equalAverage="0" bottom="0" percent="0" rank="0" text="" dxfId="1">
      <formula>LEFT(G32,4)="Ikke"</formula>
    </cfRule>
  </conditionalFormatting>
  <conditionalFormatting sqref="G33">
    <cfRule type="expression" priority="14" aboveAverage="0" equalAverage="0" bottom="0" percent="0" rank="0" text="" dxfId="0">
      <formula>LEFT(G33,6)="Riktig"</formula>
    </cfRule>
    <cfRule type="expression" priority="15" aboveAverage="0" equalAverage="0" bottom="0" percent="0" rank="0" text="" dxfId="1">
      <formula>LEFT(G33,4)="Ikke"</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LEFT(G34,4)="Ikke"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LEFT(G35,4)="Ikke"</formula>
    </cfRule>
  </conditionalFormatting>
  <conditionalFormatting sqref="G37">
    <cfRule type="expression" priority="20" aboveAverage="0" equalAverage="0" bottom="0" percent="0" rank="0" text="" dxfId="0">
      <formula>LEFT(G37,6)="Riktig"</formula>
    </cfRule>
    <cfRule type="expression" priority="21" aboveAverage="0" equalAverage="0" bottom="0" percent="0" rank="0" text="" dxfId="1">
      <formula>AND(G37&lt;&gt;"",LEFT(G37,6)&lt;&gt;"Riktig",LEFT(G37,5)&lt;&gt;"Skriv")</formula>
    </cfRule>
  </conditionalFormatting>
  <conditionalFormatting sqref="G39">
    <cfRule type="expression" priority="22" aboveAverage="0" equalAverage="0" bottom="0" percent="0" rank="0" text="" dxfId="0">
      <formula>LEFT(G39,6)="Riktig"</formula>
    </cfRule>
    <cfRule type="expression" priority="23" aboveAverage="0" equalAverage="0" bottom="0" percent="0" rank="0" text="" dxfId="1">
      <formula>LEFT(G39,4)="Ikke"</formula>
    </cfRule>
  </conditionalFormatting>
  <dataValidations count="10">
    <dataValidation allowBlank="true" errorStyle="stop" operator="between" showDropDown="false" showErrorMessage="false" showInputMessage="false" sqref="C28" type="list">
      <formula1>$Z$1:$Z$2</formula1>
      <formula2>0</formula2>
    </dataValidation>
    <dataValidation allowBlank="true" errorStyle="stop" operator="between" showDropDown="false" showErrorMessage="false" showInputMessage="false" sqref="C29" type="list">
      <formula1>$Z$3:$Z$4</formula1>
      <formula2>0</formula2>
    </dataValidation>
    <dataValidation allowBlank="true" errorStyle="stop" operator="between" showDropDown="false" showErrorMessage="false" showInputMessage="false" sqref="C30" type="list">
      <formula1>$Z$5:$Z$6</formula1>
      <formula2>0</formula2>
    </dataValidation>
    <dataValidation allowBlank="true" errorStyle="stop" operator="between" showDropDown="false" showErrorMessage="false" showInputMessage="false" sqref="C31" type="list">
      <formula1>$Z$7:$Z$8</formula1>
      <formula2>0</formula2>
    </dataValidation>
    <dataValidation allowBlank="true" errorStyle="stop" operator="between" showDropDown="false" showErrorMessage="false" showInputMessage="false" sqref="C32" type="list">
      <formula1>$Z$9:$Z$10</formula1>
      <formula2>0</formula2>
    </dataValidation>
    <dataValidation allowBlank="true" errorStyle="stop" operator="between" showDropDown="false" showErrorMessage="false" showInputMessage="false" sqref="C33" type="list">
      <formula1>$Z$11:$Z$12</formula1>
      <formula2>0</formula2>
    </dataValidation>
    <dataValidation allowBlank="true" errorStyle="stop" operator="between" showDropDown="false" showErrorMessage="false" showInputMessage="false" sqref="C34" type="list">
      <formula1>$Z$13:$Z$14</formula1>
      <formula2>0</formula2>
    </dataValidation>
    <dataValidation allowBlank="true" errorStyle="stop" operator="between" showDropDown="false" showErrorMessage="false" showInputMessage="false" sqref="C35" type="list">
      <formula1>$Z$15:$Z$16</formula1>
      <formula2>0</formula2>
    </dataValidation>
    <dataValidation allowBlank="true" errorStyle="stop" operator="between" showDropDown="false" showErrorMessage="false" showInputMessage="false" sqref="C39" type="list">
      <formula1>$Z$17:$Z$19</formula1>
      <formula2>0</formula2>
    </dataValidation>
    <dataValidation allowBlank="true" errorStyle="stop" operator="between" showDropDown="false" showErrorMessage="false" showInputMessage="false" sqref="C4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184</v>
      </c>
    </row>
    <row r="2" customFormat="false" ht="25.5" hidden="false" customHeight="true" outlineLevel="0" collapsed="false">
      <c r="B2" s="5" t="s">
        <v>185</v>
      </c>
      <c r="C2" s="5"/>
      <c r="D2" s="5"/>
      <c r="E2" s="5"/>
      <c r="F2" s="5"/>
      <c r="G2" s="5"/>
      <c r="Z2" s="6" t="s">
        <v>186</v>
      </c>
    </row>
    <row r="3" customFormat="false" ht="15" hidden="false" customHeight="true" outlineLevel="0" collapsed="false">
      <c r="B3" s="7" t="s">
        <v>19</v>
      </c>
      <c r="C3" s="7"/>
      <c r="D3" s="7"/>
      <c r="E3" s="7"/>
      <c r="F3" s="7"/>
      <c r="G3" s="7"/>
      <c r="Z3" s="6" t="s">
        <v>187</v>
      </c>
    </row>
    <row r="4" customFormat="false" ht="15.75" hidden="false" customHeight="true" outlineLevel="0" collapsed="false">
      <c r="B4" s="8" t="s">
        <v>21</v>
      </c>
      <c r="C4" s="8"/>
      <c r="D4" s="8"/>
      <c r="E4" s="8"/>
      <c r="F4" s="8"/>
      <c r="G4" s="8"/>
      <c r="Z4" s="6" t="s">
        <v>188</v>
      </c>
    </row>
    <row r="5" customFormat="false" ht="45" hidden="false" customHeight="true" outlineLevel="0" collapsed="false">
      <c r="B5" s="9" t="s">
        <v>189</v>
      </c>
      <c r="C5" s="9"/>
      <c r="D5" s="9"/>
      <c r="E5" s="9"/>
      <c r="F5" s="9"/>
      <c r="G5" s="9"/>
      <c r="Z5" s="6" t="s">
        <v>190</v>
      </c>
    </row>
    <row r="6" customFormat="false" ht="15.75" hidden="false" customHeight="true" outlineLevel="0" collapsed="false">
      <c r="B6" s="8" t="s">
        <v>25</v>
      </c>
      <c r="C6" s="8"/>
      <c r="D6" s="8"/>
      <c r="E6" s="8"/>
      <c r="F6" s="8"/>
      <c r="G6" s="8"/>
      <c r="Z6" s="6" t="s">
        <v>184</v>
      </c>
    </row>
    <row r="7" customFormat="false" ht="60" hidden="false" customHeight="true" outlineLevel="0" collapsed="false">
      <c r="B7" s="9" t="s">
        <v>191</v>
      </c>
      <c r="C7" s="9"/>
      <c r="D7" s="9"/>
      <c r="E7" s="9"/>
      <c r="F7" s="9"/>
      <c r="G7" s="9"/>
      <c r="Z7" s="6" t="s">
        <v>186</v>
      </c>
    </row>
    <row r="8" customFormat="false" ht="15" hidden="false" customHeight="false" outlineLevel="0" collapsed="false">
      <c r="Z8" s="0" t="s">
        <v>187</v>
      </c>
    </row>
    <row r="9" customFormat="false" ht="15.75" hidden="false" customHeight="true" outlineLevel="0" collapsed="false">
      <c r="B9" s="8" t="s">
        <v>192</v>
      </c>
      <c r="C9" s="8"/>
      <c r="D9" s="8"/>
      <c r="E9" s="8"/>
      <c r="F9" s="8"/>
      <c r="G9" s="8"/>
      <c r="Z9" s="6" t="s">
        <v>188</v>
      </c>
    </row>
    <row r="10" customFormat="false" ht="45" hidden="false" customHeight="true" outlineLevel="0" collapsed="false">
      <c r="B10" s="9" t="s">
        <v>193</v>
      </c>
      <c r="C10" s="9"/>
      <c r="D10" s="9"/>
      <c r="E10" s="9"/>
      <c r="F10" s="9"/>
      <c r="G10" s="9"/>
      <c r="Z10" s="6" t="s">
        <v>190</v>
      </c>
    </row>
    <row r="11" customFormat="false" ht="39.75" hidden="false" customHeight="true" outlineLevel="0" collapsed="false">
      <c r="B11" s="10" t="s">
        <v>194</v>
      </c>
      <c r="C11" s="11"/>
      <c r="G11" s="12" t="str">
        <f aca="false">IF(C11="","Velg i nedtrekksmenyen.",IF(C11="Direkte styring","Riktig. Ordre ovenfra, liten handlefrihet (17.9.1).","Ikke riktig. Ordre ovenfra, liten handlefrihet (17.9.1)."))</f>
        <v>Velg i nedtrekksmenyen.</v>
      </c>
      <c r="Z11" s="6" t="s">
        <v>184</v>
      </c>
    </row>
    <row r="12" customFormat="false" ht="39.75" hidden="false" customHeight="true" outlineLevel="0" collapsed="false">
      <c r="B12" s="10" t="s">
        <v>195</v>
      </c>
      <c r="C12" s="11"/>
      <c r="G12" s="12" t="str">
        <f aca="false">IF(C12="","Velg i nedtrekksmenyen.",IF(C12="Regelstyring","Riktig. Oppgaven er standardisert med en rutine. Forutsigbart; i elsikkerhet er det poenget (17.9.2).","Ikke riktig. Oppgaven er standardisert med en rutine. Forutsigbart; i elsikkerhet er det poenget (17.9.2)."))</f>
        <v>Velg i nedtrekksmenyen.</v>
      </c>
      <c r="Z12" s="6" t="s">
        <v>186</v>
      </c>
    </row>
    <row r="13" customFormat="false" ht="39.75" hidden="false" customHeight="true" outlineLevel="0" collapsed="false">
      <c r="B13" s="10" t="s">
        <v>196</v>
      </c>
      <c r="C13" s="11"/>
      <c r="G13" s="12" t="str">
        <f aca="false">IF(C13="","Velg i nedtrekksmenyen.",IF(C13="Målstyring","Riktig. Resultatet er gitt, veien er fri (17.9.3).","Ikke riktig. Resultatet er gitt, veien er fri (17.9.3)."))</f>
        <v>Velg i nedtrekksmenyen.</v>
      </c>
      <c r="Z13" s="6" t="s">
        <v>187</v>
      </c>
    </row>
    <row r="14" customFormat="false" ht="39.75" hidden="false" customHeight="true" outlineLevel="0" collapsed="false">
      <c r="B14" s="10" t="s">
        <v>197</v>
      </c>
      <c r="C14" s="11"/>
      <c r="G14" s="12" t="str">
        <f aca="false">IF(C14="","Velg i nedtrekksmenyen.",IF(C14="Standardisering av kunnskap","Riktig. Fagbrevet og normene gir enhetlig praksis (17.9.4).","Ikke riktig. Fagbrevet og normene gir enhetlig praksis (17.9.4)."))</f>
        <v>Velg i nedtrekksmenyen.</v>
      </c>
      <c r="Z14" s="6" t="s">
        <v>188</v>
      </c>
    </row>
    <row r="15" customFormat="false" ht="39.75" hidden="false" customHeight="true" outlineLevel="0" collapsed="false">
      <c r="B15" s="10" t="s">
        <v>198</v>
      </c>
      <c r="C15" s="11"/>
      <c r="G15" s="12" t="str">
        <f aca="false">IF(C15="","Velg i nedtrekksmenyen.",IF(C15="Standardisering av normer","Riktig. Kulturen styrer, uten at noe står skrevet (17.9.5).","Ikke riktig. Kulturen styrer, uten at noe står skrevet (17.9.5)."))</f>
        <v>Velg i nedtrekksmenyen.</v>
      </c>
      <c r="Z15" s="6" t="s">
        <v>190</v>
      </c>
    </row>
    <row r="16" customFormat="false" ht="15" hidden="false" customHeight="false" outlineLevel="0" collapsed="false">
      <c r="Z16" s="0" t="s">
        <v>184</v>
      </c>
    </row>
    <row r="17" customFormat="false" ht="15.75" hidden="false" customHeight="true" outlineLevel="0" collapsed="false">
      <c r="B17" s="8" t="s">
        <v>199</v>
      </c>
      <c r="C17" s="8"/>
      <c r="D17" s="8"/>
      <c r="E17" s="8"/>
      <c r="F17" s="8"/>
      <c r="G17" s="8"/>
      <c r="Z17" s="6" t="s">
        <v>186</v>
      </c>
    </row>
    <row r="18" customFormat="false" ht="60" hidden="false" customHeight="true" outlineLevel="0" collapsed="false">
      <c r="B18" s="9" t="s">
        <v>200</v>
      </c>
      <c r="C18" s="9"/>
      <c r="D18" s="9"/>
      <c r="E18" s="9"/>
      <c r="F18" s="9"/>
      <c r="G18" s="9"/>
      <c r="Z18" s="6" t="s">
        <v>187</v>
      </c>
    </row>
    <row r="19" customFormat="false" ht="15" hidden="false" customHeight="false" outlineLevel="0" collapsed="false">
      <c r="B19" s="17" t="s">
        <v>201</v>
      </c>
      <c r="C19" s="18" t="s">
        <v>135</v>
      </c>
      <c r="Z19" s="6" t="s">
        <v>188</v>
      </c>
    </row>
    <row r="20" customFormat="false" ht="15" hidden="false" customHeight="false" outlineLevel="0" collapsed="false">
      <c r="B20" s="19" t="s">
        <v>202</v>
      </c>
      <c r="C20" s="27" t="n">
        <v>1800</v>
      </c>
      <c r="Z20" s="6" t="s">
        <v>190</v>
      </c>
    </row>
    <row r="21" customFormat="false" ht="15" hidden="false" customHeight="false" outlineLevel="0" collapsed="false">
      <c r="B21" s="19" t="s">
        <v>203</v>
      </c>
      <c r="C21" s="27" t="n">
        <v>1400</v>
      </c>
      <c r="Z21" s="6" t="s">
        <v>184</v>
      </c>
    </row>
    <row r="22" customFormat="false" ht="15" hidden="false" customHeight="false" outlineLevel="0" collapsed="false">
      <c r="B22" s="19" t="s">
        <v>204</v>
      </c>
      <c r="C22" s="27" t="n">
        <v>1500</v>
      </c>
      <c r="Z22" s="6" t="s">
        <v>186</v>
      </c>
    </row>
    <row r="23" customFormat="false" ht="15" hidden="false" customHeight="false" outlineLevel="0" collapsed="false">
      <c r="B23" s="19" t="s">
        <v>205</v>
      </c>
      <c r="C23" s="27" t="n">
        <v>2</v>
      </c>
      <c r="Z23" s="6" t="s">
        <v>187</v>
      </c>
    </row>
    <row r="24" customFormat="false" ht="15" hidden="false" customHeight="false" outlineLevel="0" collapsed="false">
      <c r="B24" s="19" t="s">
        <v>206</v>
      </c>
      <c r="C24" s="27" t="n">
        <v>890</v>
      </c>
      <c r="Z24" s="6" t="s">
        <v>188</v>
      </c>
    </row>
    <row r="25" customFormat="false" ht="15" hidden="false" customHeight="false" outlineLevel="0" collapsed="false">
      <c r="Z25" s="0" t="s">
        <v>190</v>
      </c>
    </row>
    <row r="26" customFormat="false" ht="15.75" hidden="false" customHeight="true" outlineLevel="0" collapsed="false">
      <c r="B26" s="8" t="s">
        <v>28</v>
      </c>
      <c r="C26" s="8"/>
      <c r="D26" s="8"/>
      <c r="E26" s="8"/>
      <c r="F26" s="8"/>
      <c r="G26" s="8"/>
      <c r="Z26" s="6" t="s">
        <v>207</v>
      </c>
    </row>
    <row ht="60.75" customHeight="true" r="27" customFormat="false" hidden="false" outlineLevel="0" collapsed="false">
      <c r="B27" s="9" t="s">
        <v>208</v>
      </c>
      <c r="C27" s="9"/>
      <c r="D27" s="9"/>
      <c r="E27" s="9"/>
      <c r="F27" s="9"/>
      <c r="G27" s="9"/>
      <c r="Z27" s="6" t="s">
        <v>209</v>
      </c>
    </row>
    <row r="28" customFormat="false" ht="15" hidden="false" customHeight="false" outlineLevel="0" collapsed="false">
      <c r="Z28" s="0" t="s">
        <v>210</v>
      </c>
    </row>
    <row r="29" customFormat="false" ht="43.5" hidden="false" customHeight="true" outlineLevel="0" collapsed="false">
      <c r="B29" s="10" t="s">
        <v>211</v>
      </c>
      <c r="C29" s="22"/>
      <c r="D29" s="23" t="s">
        <v>69</v>
      </c>
      <c r="G29" s="12" t="str">
        <f aca="false">IF(C29="","Skriv svaret i den gule cellen.",IF(ABS(C29-(ROUND(1400/1800*100,1)))&lt;=0.05,"Riktig.",IF(ABS(C29-(ROUND(1500/1800*100,1)))&lt;=0.05,"Du har regnet med målet, 1 500 timer. Spørsmålet er i dag: 1 400.",IF(ABS(C29-(ROUND(400/1800*100,1)))&lt;=0.05,"Du har regnet andelen som ikke faktureres. Spørsmålet er andelen som faktureres.","Ikke riktig ennå. Se på regnestykket øverst på fanen, og sjekk at du har med alle leddene."))))</f>
        <v>Skriv svaret i den gule cellen.</v>
      </c>
      <c r="Z29" s="6" t="s">
        <v>212</v>
      </c>
    </row>
    <row r="30" customFormat="false" ht="43.5" hidden="false" customHeight="true" outlineLevel="0" collapsed="false">
      <c r="B30" s="10" t="s">
        <v>213</v>
      </c>
      <c r="C30" s="26"/>
      <c r="D30" s="23" t="s">
        <v>143</v>
      </c>
      <c r="G30" s="12" t="str">
        <f aca="false">IF(C30="","Skriv svaret i den gule cellen.",IF(C30=(2*(1500-1400)*890),"Riktig.",IF(ABS(C30-((1500-1400)*890))&lt;=0,"Du har regnet én montør. Fjell har to.",IF(ABS(C30-(2*(1500-1400)*890*1.25))&lt;=0,"Du har lagt til merverdiavgift. Timeprisen 890 kr er uten, og vi regner uten.",IF(ABS(C30-(2*1500*890))&lt;=0,"Du har regnet hele faktureringen. Spørsmålet er hvor mye mer: 100 timer per montør.","Ikke riktig ennå. Se på regnestykket øverst på fanen, og sjekk at du har med alle leddene.")))))</f>
        <v>Skriv svaret i den gule cellen.</v>
      </c>
      <c r="Z30" s="6" t="s">
        <v>214</v>
      </c>
    </row>
    <row r="31" customFormat="false" ht="15" hidden="false" customHeight="false" outlineLevel="0" collapsed="false">
      <c r="Z31" s="0" t="s">
        <v>215</v>
      </c>
    </row>
    <row ht="46.5" customHeight="true" r="32" customFormat="false" hidden="false" outlineLevel="0" collapsed="false">
      <c r="B32" s="10" t="s">
        <v>216</v>
      </c>
      <c r="C32" s="11"/>
      <c r="G32" s="12" t="str">
        <f aca="false">IF(C32="","Velg i nedtrekksmenyen.",IF(C32="Kjente og aksepterte","Riktig. Målet er kjent, det står på tavla, men ingen har fått si om de godtar det. Det er klart (1 500 timer) og trolig realistisk (100 timer mer av 1 800). Et mål ingen har godtatt, blir lett noe man jobber rundt.","Ikke riktig. Målet er kjent, det står på tavla, men ingen har fått si om de godtar det. Det er klart (1 500 timer) og trolig realistisk (100 timer mer av 1 800). Et mål ingen har godtatt, blir lett noe man jobber rundt."))</f>
        <v>Velg i nedtrekksmenyen.</v>
      </c>
    </row>
    <row r="33" customFormat="false" ht="39.75" hidden="false" customHeight="true" outlineLevel="0" collapsed="false">
      <c r="B33" s="10" t="s">
        <v>217</v>
      </c>
      <c r="C33" s="11"/>
      <c r="G33" s="12" t="str">
        <f aca="false">IF(C33="","Velg i nedtrekksmenyen.",IF(C33="Målene er ikke i samsvar: timemålet går foran sikkerhet og opplæring","Riktig. Ulempen med målstyring er at egne delmål kan gå foran organisasjonens overordnede mål (17.9.3); kapittel 14 kaller det suboptimalisering. Feilen ligger i målene, ikke i montøren.","Ikke riktig. Ulempen med målstyring er at egne delmål kan gå foran organisasjonens overordnede mål (17.9.3); kapittel 14 kaller det suboptimalisering. Feilen ligger i målene, ikke i montøren."))</f>
        <v>Velg i nedtrekksmenyen.</v>
      </c>
    </row>
    <row r="35" customFormat="false" ht="30" hidden="false" customHeight="true" outlineLevel="0" collapsed="false">
      <c r="B35" s="9" t="s">
        <v>218</v>
      </c>
      <c r="C35" s="9"/>
      <c r="D35" s="9"/>
      <c r="E35" s="9"/>
      <c r="F35" s="9"/>
      <c r="G35" s="9"/>
    </row>
    <row r="36" customFormat="false" ht="21.75" hidden="false" customHeight="true" outlineLevel="0" collapsed="false">
      <c r="B36" s="13"/>
      <c r="C36" s="13"/>
      <c r="D36" s="13"/>
      <c r="E36" s="13"/>
      <c r="F36" s="13"/>
      <c r="G36" s="13"/>
    </row>
    <row r="37" customFormat="false" ht="21.75" hidden="false" customHeight="true" outlineLevel="0" collapsed="false">
      <c r="B37" s="13"/>
      <c r="C37" s="13"/>
      <c r="D37" s="13"/>
      <c r="E37" s="13"/>
      <c r="F37" s="13"/>
      <c r="G37" s="13"/>
    </row>
    <row r="38" customFormat="false" ht="21.75" hidden="false" customHeight="true" outlineLevel="0" collapsed="false">
      <c r="B38" s="13"/>
      <c r="C38" s="13"/>
      <c r="D38" s="13"/>
      <c r="E38" s="13"/>
      <c r="F38" s="13"/>
      <c r="G38" s="13"/>
    </row>
    <row r="39" customFormat="false" ht="39.75" hidden="false" customHeight="true" outlineLevel="0" collapsed="false">
      <c r="B39" s="14" t="str">
        <f aca="false">IF(LEN(B36)&lt;40,"",IF(AND(ISNUMBER(SEARCH("målstyr",B36)),ISNUMBER(SEARCH("regelstyr",B36))),"Bra: du skiller mellom det som målstyres og det som regelstyres. Husk også at målet må gjøres akseptert, og at det trengs et mål for opplæring ved siden av timemålet.",IF(OR(ISNUMBER(SEARCH("målstyr",B36)),ISNUMBER(SEARCH("regelstyr",B36))),"Du er på sporet. Bruk begge ordene: timene kan målstyres, sluttkontrollen skal regelstyres. Og si hva hun gjør med målet på tavla.","Tips: timene kan målstyres, men målet må gjøres akseptert: snakk med montørene (17.9.3). Sluttkontrollen med måling og prøving skal regelstyres; den står ikke til forhandling (17.9.2). Legg til et mål for kurs og opplæring, så målene er i samsvar. Målet er verdt 178 000 kr, men ett avvik ved spenningssetting kan koste mer.")))</f>
        <v/>
      </c>
      <c r="C39" s="14"/>
      <c r="D39" s="14"/>
      <c r="E39" s="14"/>
      <c r="F39" s="14"/>
      <c r="G39" s="14"/>
    </row>
    <row r="40" customFormat="false" ht="15" hidden="false" customHeight="false" outlineLevel="0" collapsed="false">
      <c r="B40" s="15" t="s">
        <v>42</v>
      </c>
      <c r="C40" s="11"/>
    </row>
    <row r="41" customFormat="false" ht="45" hidden="false" customHeight="true" outlineLevel="0" collapsed="false">
      <c r="B41" s="16" t="str">
        <f aca="false">IF(C40="JA","Hint: Styringsformene: ordre ovenfra er direkte; sjekkliste er regel; gitt resultat og fri vei er mål; fagbrev og normer er kunnskap; «slik gjør vi det hos oss» er normer. Fjell: 1 400 delt på 1 800 ganger 100. Målet: 100 timer mer per montør, 2 montører, 890 kr timen.","")</f>
        <v/>
      </c>
      <c r="C41" s="16"/>
      <c r="D41" s="16"/>
      <c r="E41" s="16"/>
      <c r="F41" s="16"/>
      <c r="G41" s="16"/>
    </row>
    <row r="43" customFormat="false" ht="30" hidden="false" customHeight="true" outlineLevel="0" collapsed="false">
      <c r="B43" s="7" t="s">
        <v>43</v>
      </c>
      <c r="C43" s="7"/>
      <c r="D43" s="7"/>
      <c r="E43" s="7"/>
      <c r="F43" s="7"/>
      <c r="G43" s="7"/>
    </row>
  </sheetData>
  <mergeCells count="17">
    <mergeCell ref="B2:G2"/>
    <mergeCell ref="B3:G3"/>
    <mergeCell ref="B4:G4"/>
    <mergeCell ref="B5:G5"/>
    <mergeCell ref="B6:G6"/>
    <mergeCell ref="B7:G7"/>
    <mergeCell ref="B9:G9"/>
    <mergeCell ref="B10:G10"/>
    <mergeCell ref="B17:G17"/>
    <mergeCell ref="B18:G18"/>
    <mergeCell ref="B26:G26"/>
    <mergeCell ref="B27:G27"/>
    <mergeCell ref="B35:G35"/>
    <mergeCell ref="B36:G38"/>
    <mergeCell ref="B39:G39"/>
    <mergeCell ref="B41:G41"/>
    <mergeCell ref="B43:G43"/>
  </mergeCells>
  <conditionalFormatting sqref="G11">
    <cfRule type="expression" priority="2" aboveAverage="0" equalAverage="0" bottom="0" percent="0" rank="0" text="" dxfId="0">
      <formula>LEFT(G11,6)="Riktig"</formula>
    </cfRule>
    <cfRule type="expression" priority="3" aboveAverage="0" equalAverage="0" bottom="0" percent="0" rank="0" text="" dxfId="1">
      <formula>LEFT(G11,4)="Ikke"</formula>
    </cfRule>
  </conditionalFormatting>
  <conditionalFormatting sqref="G12">
    <cfRule type="expression" priority="4" aboveAverage="0" equalAverage="0" bottom="0" percent="0" rank="0" text="" dxfId="0">
      <formula>LEFT(G12,6)="Riktig"</formula>
    </cfRule>
    <cfRule type="expression" priority="5" aboveAverage="0" equalAverage="0" bottom="0" percent="0" rank="0" text="" dxfId="1">
      <formula>LEFT(G12,4)="Ikke"</formula>
    </cfRule>
  </conditionalFormatting>
  <conditionalFormatting sqref="G13">
    <cfRule type="expression" priority="6" aboveAverage="0" equalAverage="0" bottom="0" percent="0" rank="0" text="" dxfId="0">
      <formula>LEFT(G13,6)="Riktig"</formula>
    </cfRule>
    <cfRule type="expression" priority="7" aboveAverage="0" equalAverage="0" bottom="0" percent="0" rank="0" text="" dxfId="1">
      <formula>LEFT(G13,4)="Ikke"</formula>
    </cfRule>
  </conditionalFormatting>
  <conditionalFormatting sqref="G14">
    <cfRule type="expression" priority="8" aboveAverage="0" equalAverage="0" bottom="0" percent="0" rank="0" text="" dxfId="0">
      <formula>LEFT(G14,6)="Riktig"</formula>
    </cfRule>
    <cfRule type="expression" priority="9" aboveAverage="0" equalAverage="0" bottom="0" percent="0" rank="0" text="" dxfId="1">
      <formula>LEFT(G14,4)="Ikke"</formula>
    </cfRule>
  </conditionalFormatting>
  <conditionalFormatting sqref="G15">
    <cfRule type="expression" priority="10" aboveAverage="0" equalAverage="0" bottom="0" percent="0" rank="0" text="" dxfId="0">
      <formula>LEFT(G15,6)="Riktig"</formula>
    </cfRule>
    <cfRule type="expression" priority="11" aboveAverage="0" equalAverage="0" bottom="0" percent="0" rank="0" text="" dxfId="1">
      <formula>LEFT(G15,4)="Ikke"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AND(G29&lt;&gt;"",LEFT(G29,6)&lt;&gt;"Riktig",LEFT(G29,5)&lt;&gt;"Skriv")</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AND(G30&lt;&gt;"",LEFT(G30,6)&lt;&gt;"Riktig",LEFT(G30,5)&lt;&gt;"Skriv")</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LEFT(G32,4)="Ikke"</formula>
    </cfRule>
  </conditionalFormatting>
  <conditionalFormatting sqref="G33">
    <cfRule type="expression" priority="18" aboveAverage="0" equalAverage="0" bottom="0" percent="0" rank="0" text="" dxfId="0">
      <formula>LEFT(G33,6)="Riktig"</formula>
    </cfRule>
    <cfRule type="expression" priority="19" aboveAverage="0" equalAverage="0" bottom="0" percent="0" rank="0" text="" dxfId="1">
      <formula>LEFT(G33,4)="Ikke"</formula>
    </cfRule>
  </conditionalFormatting>
  <dataValidations count="8">
    <dataValidation allowBlank="true" errorStyle="stop" operator="between" showDropDown="false" showErrorMessage="false" showInputMessage="false" sqref="C11" type="list">
      <formula1>$Z$1:$Z$5</formula1>
      <formula2>0</formula2>
    </dataValidation>
    <dataValidation allowBlank="true" errorStyle="stop" operator="between" showDropDown="false" showErrorMessage="false" showInputMessage="false" sqref="C12" type="list">
      <formula1>$Z$6:$Z$10</formula1>
      <formula2>0</formula2>
    </dataValidation>
    <dataValidation allowBlank="true" errorStyle="stop" operator="between" showDropDown="false" showErrorMessage="false" showInputMessage="false" sqref="C13" type="list">
      <formula1>$Z$11:$Z$15</formula1>
      <formula2>0</formula2>
    </dataValidation>
    <dataValidation allowBlank="true" errorStyle="stop" operator="between" showDropDown="false" showErrorMessage="false" showInputMessage="false" sqref="C14" type="list">
      <formula1>$Z$16:$Z$20</formula1>
      <formula2>0</formula2>
    </dataValidation>
    <dataValidation allowBlank="true" errorStyle="stop" operator="between" showDropDown="false" showErrorMessage="false" showInputMessage="false" sqref="C15" type="list">
      <formula1>$Z$21:$Z$25</formula1>
      <formula2>0</formula2>
    </dataValidation>
    <dataValidation allowBlank="true" errorStyle="stop" operator="between" showDropDown="false" showErrorMessage="false" showInputMessage="false" sqref="C32" type="list">
      <formula1>$Z$26:$Z$28</formula1>
      <formula2>0</formula2>
    </dataValidation>
    <dataValidation allowBlank="true" errorStyle="stop" operator="between" showDropDown="false" showErrorMessage="false" showInputMessage="false" sqref="C33" type="list">
      <formula1>$Z$29:$Z$31</formula1>
      <formula2>0</formula2>
    </dataValidation>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8" t="s">
        <v>219</v>
      </c>
    </row>
    <row r="3" customFormat="false" ht="30" hidden="false" customHeight="true" outlineLevel="0" collapsed="false">
      <c r="B3" s="7" t="s">
        <v>220</v>
      </c>
      <c r="C3" s="7"/>
      <c r="D3" s="7"/>
    </row>
    <row r="5" customFormat="false" ht="15" hidden="false" customHeight="false" outlineLevel="0" collapsed="false">
      <c r="B5" s="29" t="s">
        <v>221</v>
      </c>
      <c r="C5" s="29" t="s">
        <v>222</v>
      </c>
      <c r="D5" s="29" t="s">
        <v>223</v>
      </c>
    </row>
    <row r="6" customFormat="false" ht="60" hidden="false" customHeight="true" outlineLevel="0" collapsed="false">
      <c r="B6" s="30" t="s">
        <v>224</v>
      </c>
      <c r="C6" s="31"/>
      <c r="D6" s="30" t="s">
        <v>225</v>
      </c>
    </row>
    <row r="7" customFormat="false" ht="30" hidden="false" customHeight="true" outlineLevel="0" collapsed="false">
      <c r="B7" s="30" t="s">
        <v>226</v>
      </c>
      <c r="C7" s="31"/>
      <c r="D7" s="30" t="s">
        <v>227</v>
      </c>
    </row>
    <row r="8" customFormat="false" ht="30" hidden="false" customHeight="true" outlineLevel="0" collapsed="false">
      <c r="B8" s="30" t="s">
        <v>228</v>
      </c>
      <c r="C8" s="31"/>
      <c r="D8" s="30" t="s">
        <v>229</v>
      </c>
    </row>
    <row r="9" customFormat="false" ht="30" hidden="false" customHeight="true" outlineLevel="0" collapsed="false">
      <c r="B9" s="30" t="s">
        <v>230</v>
      </c>
      <c r="C9" s="31" t="n">
        <v>40</v>
      </c>
      <c r="D9" s="30" t="s">
        <v>231</v>
      </c>
    </row>
    <row r="10" customFormat="false" ht="30" hidden="false" customHeight="true" outlineLevel="0" collapsed="false">
      <c r="B10" s="30" t="s">
        <v>232</v>
      </c>
      <c r="C10" s="31" t="n">
        <v>12.5</v>
      </c>
      <c r="D10" s="30" t="s">
        <v>233</v>
      </c>
    </row>
    <row r="11" customFormat="false" ht="30" hidden="false" customHeight="true" outlineLevel="0" collapsed="false">
      <c r="B11" s="30" t="s">
        <v>234</v>
      </c>
      <c r="C11" s="31"/>
      <c r="D11" s="30" t="s">
        <v>50</v>
      </c>
    </row>
    <row r="12" customFormat="false" ht="30" hidden="false" customHeight="true" outlineLevel="0" collapsed="false">
      <c r="B12" s="30" t="s">
        <v>235</v>
      </c>
      <c r="C12" s="31"/>
      <c r="D12" s="30" t="s">
        <v>236</v>
      </c>
    </row>
    <row r="13" customFormat="false" ht="45" hidden="false" customHeight="true" outlineLevel="0" collapsed="false">
      <c r="B13" s="30" t="s">
        <v>237</v>
      </c>
      <c r="C13" s="31"/>
      <c r="D13" s="30" t="s">
        <v>238</v>
      </c>
    </row>
    <row r="14" customFormat="false" ht="30" hidden="false" customHeight="true" outlineLevel="0" collapsed="false">
      <c r="B14" s="30" t="s">
        <v>239</v>
      </c>
      <c r="C14" s="31"/>
      <c r="D14" s="30" t="s">
        <v>240</v>
      </c>
    </row>
    <row r="15" customFormat="false" ht="30" hidden="false" customHeight="true" outlineLevel="0" collapsed="false">
      <c r="B15" s="30" t="s">
        <v>241</v>
      </c>
      <c r="C15" s="31"/>
      <c r="D15" s="30" t="s">
        <v>107</v>
      </c>
    </row>
    <row r="16" customFormat="false" ht="30" hidden="false" customHeight="true" outlineLevel="0" collapsed="false">
      <c r="B16" s="30" t="s">
        <v>242</v>
      </c>
      <c r="C16" s="31"/>
      <c r="D16" s="30" t="s">
        <v>110</v>
      </c>
    </row>
    <row r="17" customFormat="false" ht="30" hidden="false" customHeight="true" outlineLevel="0" collapsed="false">
      <c r="B17" s="30" t="s">
        <v>243</v>
      </c>
      <c r="C17" s="31"/>
      <c r="D17" s="30" t="s">
        <v>244</v>
      </c>
    </row>
    <row r="18" customFormat="false" ht="30" hidden="false" customHeight="true" outlineLevel="0" collapsed="false">
      <c r="B18" s="30" t="s">
        <v>245</v>
      </c>
      <c r="C18" s="31"/>
      <c r="D18" s="30" t="s">
        <v>246</v>
      </c>
    </row>
    <row r="19" customFormat="false" ht="60" hidden="false" customHeight="true" outlineLevel="0" collapsed="false">
      <c r="B19" s="30" t="s">
        <v>247</v>
      </c>
      <c r="C19" s="31"/>
      <c r="D19" s="30" t="s">
        <v>248</v>
      </c>
    </row>
    <row r="20" customFormat="false" ht="30" hidden="false" customHeight="true" outlineLevel="0" collapsed="false">
      <c r="B20" s="30" t="s">
        <v>249</v>
      </c>
      <c r="C20" s="31" t="n">
        <v>24000</v>
      </c>
      <c r="D20" s="30" t="s">
        <v>250</v>
      </c>
    </row>
    <row r="21" customFormat="false" ht="30" hidden="false" customHeight="true" outlineLevel="0" collapsed="false">
      <c r="B21" s="30" t="s">
        <v>251</v>
      </c>
      <c r="C21" s="31" t="n">
        <v>35232</v>
      </c>
      <c r="D21" s="30" t="s">
        <v>252</v>
      </c>
    </row>
    <row r="22" customFormat="false" ht="30" hidden="false" customHeight="true" outlineLevel="0" collapsed="false">
      <c r="B22" s="30" t="s">
        <v>253</v>
      </c>
      <c r="C22" s="31" t="n">
        <v>400</v>
      </c>
      <c r="D22" s="30" t="s">
        <v>254</v>
      </c>
    </row>
    <row r="23" customFormat="false" ht="30" hidden="false" customHeight="true" outlineLevel="0" collapsed="false">
      <c r="B23" s="30" t="s">
        <v>255</v>
      </c>
      <c r="C23" s="31" t="n">
        <v>121600</v>
      </c>
      <c r="D23" s="30" t="s">
        <v>256</v>
      </c>
    </row>
    <row r="24" customFormat="false" ht="30" hidden="false" customHeight="true" outlineLevel="0" collapsed="false">
      <c r="B24" s="30" t="s">
        <v>257</v>
      </c>
      <c r="C24" s="31" t="n">
        <v>3.5</v>
      </c>
      <c r="D24" s="30" t="s">
        <v>258</v>
      </c>
    </row>
    <row r="25" customFormat="false" ht="30" hidden="false" customHeight="true" outlineLevel="0" collapsed="false">
      <c r="B25" s="30" t="s">
        <v>259</v>
      </c>
      <c r="C25" s="31"/>
      <c r="D25" s="30" t="s">
        <v>260</v>
      </c>
    </row>
    <row r="26" customFormat="false" ht="30" hidden="false" customHeight="true" outlineLevel="0" collapsed="false">
      <c r="B26" s="30" t="s">
        <v>261</v>
      </c>
      <c r="C26" s="31"/>
      <c r="D26" s="30" t="s">
        <v>262</v>
      </c>
    </row>
    <row r="27" customFormat="false" ht="30" hidden="false" customHeight="true" outlineLevel="0" collapsed="false">
      <c r="B27" s="30" t="s">
        <v>263</v>
      </c>
      <c r="C27" s="31" t="n">
        <v>313000</v>
      </c>
      <c r="D27" s="30" t="s">
        <v>264</v>
      </c>
    </row>
    <row r="28" customFormat="false" ht="30" hidden="false" customHeight="true" outlineLevel="0" collapsed="false">
      <c r="B28" s="30" t="s">
        <v>265</v>
      </c>
      <c r="C28" s="31"/>
      <c r="D28" s="30" t="s">
        <v>266</v>
      </c>
    </row>
    <row r="29" customFormat="false" ht="30" hidden="false" customHeight="true" outlineLevel="0" collapsed="false">
      <c r="B29" s="30" t="s">
        <v>267</v>
      </c>
      <c r="C29" s="31" t="n">
        <v>32</v>
      </c>
      <c r="D29" s="30" t="s">
        <v>268</v>
      </c>
    </row>
    <row r="30" customFormat="false" ht="30" hidden="false" customHeight="true" outlineLevel="0" collapsed="false">
      <c r="B30" s="30" t="s">
        <v>269</v>
      </c>
      <c r="C30" s="31"/>
      <c r="D30" s="30" t="s">
        <v>176</v>
      </c>
    </row>
    <row r="31" customFormat="false" ht="30" hidden="false" customHeight="true" outlineLevel="0" collapsed="false">
      <c r="B31" s="30" t="s">
        <v>270</v>
      </c>
      <c r="C31" s="31"/>
      <c r="D31" s="30" t="s">
        <v>271</v>
      </c>
    </row>
    <row r="32" customFormat="false" ht="30" hidden="false" customHeight="true" outlineLevel="0" collapsed="false">
      <c r="B32" s="30" t="s">
        <v>272</v>
      </c>
      <c r="C32" s="31"/>
      <c r="D32" s="30" t="s">
        <v>273</v>
      </c>
    </row>
    <row r="33" customFormat="false" ht="30" hidden="false" customHeight="true" outlineLevel="0" collapsed="false">
      <c r="B33" s="30" t="s">
        <v>274</v>
      </c>
      <c r="C33" s="31" t="n">
        <v>77.8</v>
      </c>
      <c r="D33" s="30" t="s">
        <v>275</v>
      </c>
    </row>
    <row r="34" customFormat="false" ht="30" hidden="false" customHeight="true" outlineLevel="0" collapsed="false">
      <c r="B34" s="30" t="s">
        <v>276</v>
      </c>
      <c r="C34" s="31" t="n">
        <v>178000</v>
      </c>
      <c r="D34" s="30" t="s">
        <v>277</v>
      </c>
    </row>
    <row r="35" customFormat="false" ht="30" hidden="false" customHeight="true" outlineLevel="0" collapsed="false">
      <c r="B35" s="30" t="s">
        <v>278</v>
      </c>
      <c r="C35" s="31"/>
      <c r="D35" s="30" t="s">
        <v>209</v>
      </c>
    </row>
    <row r="36" customFormat="false" ht="30" hidden="false" customHeight="true" outlineLevel="0" collapsed="false">
      <c r="B36" s="30" t="s">
        <v>279</v>
      </c>
      <c r="C36" s="31"/>
      <c r="D36" s="30" t="s">
        <v>280</v>
      </c>
    </row>
    <row r="37" customFormat="false" ht="45" hidden="false" customHeight="true" outlineLevel="0" collapsed="false">
      <c r="B37" s="30" t="s">
        <v>281</v>
      </c>
      <c r="C37" s="31"/>
      <c r="D37" s="30" t="s">
        <v>282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2026-10-22T17:55:22Z</dcterms:created>
  <dc:creator>openpyxl</dc:creator>
  <dc:description/>
  <dc:language>en-US</dc:language>
  <cp:lastModifiedBy/>
  <dcterms:modified xsi:type="dcterms:W3CDTF">2026-10-22T17:55:22Z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