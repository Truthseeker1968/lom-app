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Gulv, tak og pris" sheetId="3" state="visible" r:id="rId5"/>
    <sheet name="Pris og dekningsbidrag" sheetId="4" state="visible" r:id="rId6"/>
    <sheet name="Hvor mye må volumet øke" sheetId="5" state="visible" r:id="rId7"/>
    <sheet name="Prisdifferensiering" sheetId="6" state="visible" r:id="rId8"/>
    <sheet name="Scenario" sheetId="7" state="visible" r:id="rId9"/>
    <sheet name="Din egen prisliste"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<sst xmlns="http://schemas.openxmlformats.org/spreadsheetml/2006/main" count="357" uniqueCount="329">
  <si>
    <t xml:space="preserve">Hva koster en rabatt? Den enkle versjonen</t>
  </si>
  <si>
    <t xml:space="preserve">Fyll inn de fire gule cellene. Svaret står i den grønne. Alt annet regner seg selv. Vil du gå dypere, ligger hele modellen i arkene bak.</t>
  </si>
  <si>
    <t xml:space="preserve">Det du vet</t>
  </si>
  <si>
    <t xml:space="preserve">Hva koster jobben kunden i dag, uten mva.?</t>
  </si>
  <si>
    <t xml:space="preserve">Sikringsskapbyttet: selvkost pluss 12 prosent fortjeneste.</t>
  </si>
  <si>
    <t xml:space="preserve">Hva koster timer, materiell og kjøring på jobben?</t>
  </si>
  <si>
    <t xml:space="preserve">De variable kostnadene. Ikke ta med andelen av kontoret her.</t>
  </si>
  <si>
    <t xml:space="preserve">Hvor stor er jobbens andel av kontor og biler?</t>
  </si>
  <si>
    <t xml:space="preserve">Det som løper uansett. Brukes bare til å se fortjenesten til slutt.</t>
  </si>
  <si>
    <t xml:space="preserve">Hvor stor rabatt ber kunden om?</t>
  </si>
  <si>
    <t xml:space="preserve">Skriv for eksempel 10 %. Prøv også 5 % og 20 %.</t>
  </si>
  <si>
    <t xml:space="preserve">Regnestykket</t>
  </si>
  <si>
    <t xml:space="preserve">Dekningsbidrag per jobb i dag</t>
  </si>
  <si>
    <t xml:space="preserve">Prisen minus de variable kostnadene. Det jobben gir til kontor og fortjeneste.</t>
  </si>
  <si>
    <t xml:space="preserve">Ny pris med rabatten</t>
  </si>
  <si>
    <t xml:space="preserve">Prisen kunden får.</t>
  </si>
  <si>
    <t xml:space="preserve">Nytt dekningsbidrag per jobb</t>
  </si>
  <si>
    <t xml:space="preserve">Kostnadene er de samme. Hele rabatten går av dekningsbidraget.</t>
  </si>
  <si>
    <t xml:space="preserve">Så mye faller dekningsbidraget</t>
  </si>
  <si>
    <t xml:space="preserve">Sammenlikn med rabatten. Fallet er alltid større.</t>
  </si>
  <si>
    <t xml:space="preserve">SÅ MANGE FLERE JOBBER MÅ DERE SELGE</t>
  </si>
  <si>
    <t xml:space="preserve">Gammelt dekningsbidrag delt på nytt, minus én. Rundt 61 prosent med tallene som står inne.</t>
  </si>
  <si>
    <t xml:space="preserve">Fortjeneste over selvkost etter rabatten</t>
  </si>
  <si>
    <t xml:space="preserve">Før rabatten var den 2 851,20 kroner.</t>
  </si>
  <si>
    <t xml:space="preserve">Hva svaret betyr</t>
  </si>
  <si>
    <t xml:space="preserve">Prøv selv</t>
  </si>
  <si>
    <t xml:space="preserve">1. Sett rabatten i B8 til 5 %. Hvor mange flere jobber må dere selge nå?</t>
  </si>
  <si>
    <t xml:space="preserve">2. Sett rabatten til 20 %. Hva skjer med svaret, og med fortjenesten i B17?</t>
  </si>
  <si>
    <t xml:space="preserve">3. Hvor stor rabatt kan du gi før fortjenesten i B17 blir null?</t>
  </si>
  <si>
    <t xml:space="preserve">Tallene er sikringsskapkalkylen til Nordlys Elektro AS (sammendraget og regnearket til kap. 7, fra Økonomistyring for LØM-emnet, kap. 5). Kilde: Markedsføring, organisasjon og ledelse for LØM-emnet, kap. 7. Nordlys Elektro AS er en konstruert casebedrift.</t>
  </si>
  <si>
    <t xml:space="preserve">Pris som konkurransevirkemiddel</t>
  </si>
  <si>
    <t xml:space="preserve">LØM Markedsføring kap. 7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</si>
  <si>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</si>
  <si>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</si>
  <si>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</si>
  <si>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</si>
  <si>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</si>
  <si>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</si>
  <si>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</si>
  <si>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</si>
  <si>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</si>
  <si>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</si>
  <si>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Hva en rabatt koster, regnet på den enkleste måten.</t>
  </si>
  <si>
    <t xml:space="preserve">Gulv, tak og pris</t>
  </si>
  <si>
    <t xml:space="preserve">Kalkylen på sikringsskapbyttet. De tre grensene, og hvor konkurrentene ligger.</t>
  </si>
  <si>
    <t xml:space="preserve">Pris og dekningsbidrag</t>
  </si>
  <si>
    <t xml:space="preserve">Hva som skjer med dekningsbidrag, dekningsgrad og fortjeneste når prisen justeres.</t>
  </si>
  <si>
    <t xml:space="preserve">Hvor mye må volumet øke</t>
  </si>
  <si>
    <t xml:space="preserve">DET VIKTIGSTE ARKET. Regnestykket ingen gjør før de gir rabatt.</t>
  </si>
  <si>
    <t xml:space="preserve">Prisdifferensiering</t>
  </si>
  <si>
    <t xml:space="preserve">Fem priser på den samme montørtimen, med dekningsbidrag og kriterium.</t>
  </si>
  <si>
    <t xml:space="preserve">Scenario</t>
  </si>
  <si>
    <t xml:space="preserve">Tre spørsmål: hva avslaget koster på jobben, hva det koster på hele bedriften, og hva du kan tilby i stedet.</t>
  </si>
  <si>
    <t xml:space="preserve">Din egen prisliste</t>
  </si>
  <si>
    <t xml:space="preserve">Samme oppsett, tomt. Legg inn tallene fra din egen bedrift.</t>
  </si>
  <si>
    <t xml:space="preserve">Tallene som ligger inne er Nordlys Elektro AS sine egne for 2026.</t>
  </si>
  <si>
    <t xml:space="preserve">Kalkylen på sikringsskapet er den samme som i Økonomistyring kapittel 5.</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</si>
  <si>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</si>
  <si>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</si>
  <si>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 tre grensene</t>
  </si>
  <si>
    <t xml:space="preserve">1 · Variable kostnader</t>
  </si>
  <si>
    <t xml:space="preserve">Det absolutte gulvet. Under dette taper du på hver eneste jobb.</t>
  </si>
  <si>
    <t xml:space="preserve">2 · Selvkost</t>
  </si>
  <si>
    <t xml:space="preserve">Gulvet på lang sikt. Under dette dekkes ikke husleie og administrasjon.</t>
  </si>
  <si>
    <t xml:space="preserve">3 · Konkurrentenes pris</t>
  </si>
  <si>
    <t xml:space="preserve">Taket — men bare hvis kunden ser tjenestene som like.</t>
  </si>
  <si>
    <t xml:space="preserve">Den ene formelen å huske</t>
  </si>
  <si>
    <t xml:space="preserve">Nødvendig volumfaktor</t>
  </si>
  <si>
    <t xml:space="preserve">gammelt dekningsbidrag delt på nytt dekningsbidrag</t>
  </si>
  <si>
    <t xml:space="preserve">Rabatt tas ikke fra prisen. Den tas fra dekningsbidraget, og det er derfor volumkravet blir så mye større enn rabatten.</t>
  </si>
  <si>
    <t xml:space="preserve">Hvilken oppgave bruker hvilket ark</t>
  </si>
  <si>
    <t xml:space="preserve">Oppgave i øvingsheftet</t>
  </si>
  <si>
    <t xml:space="preserve">Ark</t>
  </si>
  <si>
    <t xml:space="preserve">Celler du endrer og leser av</t>
  </si>
  <si>
    <t xml:space="preserve">A2 · Når er det riktig å tape en jobb på pris?</t>
  </si>
  <si>
    <t xml:space="preserve">Les av de to gulvene i B14 og B15 og konkurrenttilbudene i C27 til C29.</t>
  </si>
  <si>
    <t xml:space="preserve">A3 · Klasseoppgave: sett prisen på tre oppdrag</t>
  </si>
  <si>
    <t xml:space="preserve">Endre faktorene i B11 til B15 og les av dekningsbidraget per time i kolonne E. Rammeavtalen regnes i B25.</t>
  </si>
  <si>
    <t xml:space="preserve">2 · Gulvet, taket og prisen imellom</t>
  </si>
  <si>
    <t xml:space="preserve">Endre B5 til B11. Les av B14, B15, B17, B18, B21 og B22, og konkurrenttilbudene i C27 til C29.</t>
  </si>
  <si>
    <t xml:space="preserve">3 · Hva et prisavslag faktisk koster</t>
  </si>
  <si>
    <t xml:space="preserve">Pris og dekningsbidrag og Hvor mye må volumet øke</t>
  </si>
  <si>
    <t xml:space="preserve">Endre B5 til B8 i «Hvor mye må volumet øke». Les av B17, B19, B22 og B23, og hele rabattstigen i rad 29 til 34. Ladepunktet står i rad 36 til 43.</t>
  </si>
  <si>
    <t xml:space="preserve">4 · Tre kunder, tre priser</t>
  </si>
  <si>
    <t xml:space="preserve">Endre faktorene i kolonne B. Les av kolonne E og F, og volumkravet til rammeavtalen i B25.</t>
  </si>
  <si>
    <t xml:space="preserve">5 · Eksamensnær: ti prosent for å signere i dag</t>
  </si>
  <si>
    <t xml:space="preserve">Sett avslaget i B7 og antall framtidige jobber i B21. Les av B15, B17, B18, B22 og B23 i scenario A, B38, B45 og B46 i scenario B, og hele tabellen i scenario C.</t>
  </si>
  <si>
    <t xml:space="preserve">Kontrollradene</t>
  </si>
  <si>
    <t xml:space="preserve">Hvert ark har en kontrollblokk nederst. Står det OK, henger tallene sammen. Står det AVVIK, farges cellen rød, og teksten sier hva som ikke går opp.</t>
  </si>
  <si>
    <t xml:space="preserve">Tre unntak: kontrollen i «Gulv, tak og pris» C44 og de to i scenario B, C50 og C52, skal vise AVVIK med tallene som ligger inne. Der er avviket selve svaret — jobben kan ikke vinnes på pris, prisavslaget kan ikke tas igjen på volum, og ti prosent på alt snur overskuddet til underskudd.</t>
  </si>
  <si>
    <t xml:space="preserve">Kontroller i arbeidsboka: Gulv, tak og pris C41, Gulv, tak og pris C42, Gulv, tak og pris C43, Gulv, tak og pris C44, Pris og dekningsbidrag C15, Pris og dekningsbidrag C16, Hvor mye må volumet øke C51, Hvor mye må volumet øke C52, Hvor mye må volumet øke C53, Prisdifferensiering C32, Prisdifferensiering C33, Prisdifferensiering C34, Scenario C26, Scenario C27, Scenario C50, Scenario C52, Scenario C65, Scenario C66</t>
  </si>
  <si>
    <t xml:space="preserve">Kilder</t>
  </si>
  <si>
    <t xml:space="preserve">Hjertnes, Frode: Markedsføring, organisasjon og ledelse for LØM-emnet, 4. utgave, kapittel 7 «Pris som konkurransevirkemiddel», avsnitt 7.1 til 7.5.</t>
  </si>
  <si>
    <t xml:space="preserve">Kalkyle, driftstall og elastisitet: Nordlys Elektro AS, Økonomistyring kapittel 2, 3 og 5. Bransjetall: NHO Elektro, Lønnsomhetsrapport 2025, gjengitt i Elektro 24-7 19.08.2026 (hentet 10.09.2026). De 809 er bedriftene i datagrunnlaget, ikke bransjen. NHO Elektro oppgir ikke svarprosent.</t>
  </si>
  <si>
    <t xml:space="preserve">Konstruert for undervisningen: de to konkurrenttilbudene på sikringsskapjobben, de fem prisvariantene på montørtimen og rabattstigen. Nordlys Elektro AS er en konstruert casebedrift.</t>
  </si>
  <si>
    <t xml:space="preserve">Sikringsskapbytte i enebolig — fra kostnad til kundepris</t>
  </si>
  <si>
    <t xml:space="preserve">Endre de gule cellene. Alt annet regner seg selv.</t>
  </si>
  <si>
    <t xml:space="preserve">Kalkylen</t>
  </si>
  <si>
    <t xml:space="preserve">Montørtimer på jobben</t>
  </si>
  <si>
    <t xml:space="preserve">Timekostnad (lønn, sosiale kostnader, bil og verktøy)</t>
  </si>
  <si>
    <t xml:space="preserve">Materiell, inntakskost</t>
  </si>
  <si>
    <t xml:space="preserve">Kjøring</t>
  </si>
  <si>
    <t xml:space="preserve">Indirekte kostnader (andel av kontor, administrasjon og biler)</t>
  </si>
  <si>
    <t xml:space="preserve">Fortjeneste i prosent av selvkost</t>
  </si>
  <si>
    <t xml:space="preserve">Merverdiavgift</t>
  </si>
  <si>
    <t xml:space="preserve">= Variable (direkte) kostnader</t>
  </si>
  <si>
    <t xml:space="preserve">ABSOLUTT GULV. Under dette taper du penger på hver eneste jobb.</t>
  </si>
  <si>
    <t xml:space="preserve">= Selvkost</t>
  </si>
  <si>
    <t xml:space="preserve">GULV PÅ LANG SIKT. Under dette dekkes ikke det som løper uansett.</t>
  </si>
  <si>
    <t xml:space="preserve">+ Fortjeneste</t>
  </si>
  <si>
    <t xml:space="preserve">= Pris eksklusive merverdiavgift</t>
  </si>
  <si>
    <t xml:space="preserve">= Pris til kunden, inklusive merverdiavgift</t>
  </si>
  <si>
    <t xml:space="preserve">Dekningsbidraget på jobben</t>
  </si>
  <si>
    <t xml:space="preserve">= Dekningsbidrag (pris minus VARIABLE kostnader)</t>
  </si>
  <si>
    <t xml:space="preserve">De indirekte kostnadene trekkes IKKE fra her. De er ikke variable.</t>
  </si>
  <si>
    <t xml:space="preserve">= Dekningsgrad</t>
  </si>
  <si>
    <t xml:space="preserve">= Fortjeneste over selvkost</t>
  </si>
  <si>
    <t xml:space="preserve">Hva de andre tok på den samme jobben</t>
  </si>
  <si>
    <t xml:space="preserve">Tilbud</t>
  </si>
  <si>
    <t xml:space="preserve">Inkl. mva.</t>
  </si>
  <si>
    <t xml:space="preserve">Eks. mva.</t>
  </si>
  <si>
    <t xml:space="preserve">Merk</t>
  </si>
  <si>
    <t xml:space="preserve">Det billigste tilbudet kunden hentet inn</t>
  </si>
  <si>
    <t xml:space="preserve">Taket hvis kunden ser de tre tjenestene som like.</t>
  </si>
  <si>
    <t xml:space="preserve">Nordlys Elektro AS</t>
  </si>
  <si>
    <t xml:space="preserve">Kalkylen over. Regnes ut, ikke skrevet inn.</t>
  </si>
  <si>
    <t xml:space="preserve">Det dyreste tilbudet kunden hentet inn</t>
  </si>
  <si>
    <t xml:space="preserve">Taket hvis kunden ser en forskjell og betaler for den.</t>
  </si>
  <si>
    <t xml:space="preserve">= Laveste konkurrenttilbud, eks. mva.</t>
  </si>
  <si>
    <t xml:space="preserve">= Høyeste konkurrenttilbud, eks. mva.</t>
  </si>
  <si>
    <t xml:space="preserve">= Hvem av tilbudene er lavest? (INDEX/MATCH)</t>
  </si>
  <si>
    <t xml:space="preserve">= Handlingsrommet over selvkost, opp til høyeste tilbud</t>
  </si>
  <si>
    <t xml:space="preserve">= Hvor mye det laveste tilbudet ligger over vår selvkost</t>
  </si>
  <si>
    <t xml:space="preserve">Kostnadene gir gulvet. Konkurrentene gir taket. Kundens betalingsvilje bestemmer hvor i mellomrommet du havner.</t>
  </si>
  <si>
    <t xml:space="preserve">De to konkurrenttilbudene er konstruert for undervisningen. Kalkylen er Nordlys' egen, fra Økonomistyring kapittel 5.</t>
  </si>
  <si>
    <t xml:space="preserve">Kontroll</t>
  </si>
  <si>
    <t xml:space="preserve">Går kalkylestigen oppover?</t>
  </si>
  <si>
    <t xml:space="preserve">Er de indirekte kostnadene holdt utenfor dekningsbidraget?</t>
  </si>
  <si>
    <t xml:space="preserve">Ligger prisen over begge gulvene?</t>
  </si>
  <si>
    <t xml:space="preserve">Kan jobben vinnes på pris alene?</t>
  </si>
  <si>
    <t xml:space="preserve">Her SKAL det stå AVVIK med tallene som ligger inne. Det er hele poenget i kapitlet: taket ligger ikke der du tror.</t>
  </si>
  <si>
    <t xml:space="preserve">Hva én prosent på prisen gjør med dekningsbidraget</t>
  </si>
  <si>
    <t xml:space="preserve">Pris og kostnader hentes fra arket «Gulv, tak og pris». Marker A5:B12 og sett inn et linjediagram.</t>
  </si>
  <si>
    <t xml:space="preserve">Endring i pris</t>
  </si>
  <si>
    <t xml:space="preserve">Pris</t>
  </si>
  <si>
    <t xml:space="preserve">Dekningsbidrag</t>
  </si>
  <si>
    <t xml:space="preserve">Dekningsgrad</t>
  </si>
  <si>
    <t xml:space="preserve">Fortjeneste over selvkost</t>
  </si>
  <si>
    <t xml:space="preserve">Volumet må øke</t>
  </si>
  <si>
    <t xml:space="preserve">Hva det betyr</t>
  </si>
  <si>
    <t xml:space="preserve">Under selvkost. Bidrar til de faste kostnadene, men bygger ikke bedriften.</t>
  </si>
  <si>
    <t xml:space="preserve">Under selvkost. Forsvarlig bare i en helt tom uke.</t>
  </si>
  <si>
    <t xml:space="preserve">Så vidt over selvkost. Fortjenesten er praktisk talt borte.</t>
  </si>
  <si>
    <t xml:space="preserve">Halvparten av fortjenesten er igjen.</t>
  </si>
  <si>
    <t xml:space="preserve">Listeprisen. Selvkost pluss avtalt fortjeneste.</t>
  </si>
  <si>
    <t xml:space="preserve">Fem prosent mer pris gir nesten femti prosent mer fortjeneste.</t>
  </si>
  <si>
    <t xml:space="preserve">Nå tåler du å tape en av fire jobber og likevel tjene like mye.</t>
  </si>
  <si>
    <t xml:space="preserve">Legg merke til hvor mye brattere kolonne C og E faller enn kolonne B. Prisen faller ti prosent; dekningsbidraget faller nesten fire ganger så mye.</t>
  </si>
  <si>
    <t xml:space="preserve">Faller dekningsbidraget brattere enn prisen?</t>
  </si>
  <si>
    <t xml:space="preserve">Stemmer listeprisraden med kalkylen?</t>
  </si>
  <si>
    <t xml:space="preserve">Regnestykket ingen gjør før de gir rabatt</t>
  </si>
  <si>
    <t xml:space="preserve">Legg inn din egen pris og dine egne variable kostnader i de gule cellene.</t>
  </si>
  <si>
    <t xml:space="preserve">Jobben du vurderer å gi rabatt på</t>
  </si>
  <si>
    <t xml:space="preserve">Pris i dag, eks. mva.</t>
  </si>
  <si>
    <t xml:space="preserve">Variable kostnader per jobb</t>
  </si>
  <si>
    <t xml:space="preserve">Timer, materiell og kjøring. IKKE andelen av kontoret.</t>
  </si>
  <si>
    <t xml:space="preserve">Antall slike jobber i året i dag</t>
  </si>
  <si>
    <t xml:space="preserve">Rabatten kunden ber om</t>
  </si>
  <si>
    <t xml:space="preserve">Slik det er i dag</t>
  </si>
  <si>
    <t xml:space="preserve">= Dekningsbidrag per jobb</t>
  </si>
  <si>
    <t xml:space="preserve">= Samlet dekningsbidrag i året</t>
  </si>
  <si>
    <t xml:space="preserve">Slik det blir med rabatten</t>
  </si>
  <si>
    <t xml:space="preserve">= Ny pris</t>
  </si>
  <si>
    <t xml:space="preserve">= Nytt dekningsbidrag per jobb</t>
  </si>
  <si>
    <t xml:space="preserve">= Ny dekningsgrad</t>
  </si>
  <si>
    <t xml:space="preserve">= Fall i dekningsbidrag per jobb</t>
  </si>
  <si>
    <t xml:space="preserve">Sammenlikn dette tallet med rabatten i B8. Det er alltid større.</t>
  </si>
  <si>
    <t xml:space="preserve">Hva som må til for å komme ut i null</t>
  </si>
  <si>
    <t xml:space="preserve">= Nødvendig volumfaktor (gammelt DB delt på nytt DB)</t>
  </si>
  <si>
    <t xml:space="preserve">= Volumet må øke</t>
  </si>
  <si>
    <t xml:space="preserve">= Antall jobber dere da må selge</t>
  </si>
  <si>
    <t xml:space="preserve">= Så mange flere jobber enn i dag</t>
  </si>
  <si>
    <t xml:space="preserve">Hele rabattstigen, med tallene over</t>
  </si>
  <si>
    <t xml:space="preserve">Rabatt</t>
  </si>
  <si>
    <t xml:space="preserve">Ny pris</t>
  </si>
  <si>
    <t xml:space="preserve">Nytt DB per jobb</t>
  </si>
  <si>
    <t xml:space="preserve">Antall jobber som må selges</t>
  </si>
  <si>
    <t xml:space="preserve">To prosent rabatt ser lite ut. Se hva den krever av volum, og sammenlikn med hvor mye mer arbeid det er.</t>
  </si>
  <si>
    <t xml:space="preserve">Nordlys' eget eksempel: ladepunktet</t>
  </si>
  <si>
    <t xml:space="preserve">Pris før</t>
  </si>
  <si>
    <t xml:space="preserve">Antall før</t>
  </si>
  <si>
    <t xml:space="preserve">Pris etter</t>
  </si>
  <si>
    <t xml:space="preserve">Antall etter</t>
  </si>
  <si>
    <t xml:space="preserve">Variable enhetskostnader</t>
  </si>
  <si>
    <t xml:space="preserve">= Omsetning før / etter / endring</t>
  </si>
  <si>
    <t xml:space="preserve">= Dekningsbidrag før / etter / endring</t>
  </si>
  <si>
    <t xml:space="preserve">= Antall som måtte vært solgt for å berge dekningsbidraget</t>
  </si>
  <si>
    <t xml:space="preserve">= Så mange flere enn de faktisk solgte</t>
  </si>
  <si>
    <t xml:space="preserve">Omsetningen steg. Dekningsbidraget falt. Elastisk etterspørsel sier noe om omsetningen, ingenting om fortjenesten.</t>
  </si>
  <si>
    <t xml:space="preserve">Er den nødvendige volumøkningen større enn rabatten?</t>
  </si>
  <si>
    <t xml:space="preserve">Stiger rabattstigen nedover?</t>
  </si>
  <si>
    <t xml:space="preserve">Falt dekningsbidraget på ladepunktet?</t>
  </si>
  <si>
    <t xml:space="preserve">Samme montørtime, fem priser</t>
  </si>
  <si>
    <t xml:space="preserve">Timepris og timekostnad er Nordlys' egne. Multiplikatorene er konstruert for undervisningen — endre dem og se hva som skjer.</t>
  </si>
  <si>
    <t xml:space="preserve">Utgangspunktet</t>
  </si>
  <si>
    <t xml:space="preserve">Ordinær timepris, eks. mva.</t>
  </si>
  <si>
    <t xml:space="preserve">Ordinær timekostnad</t>
  </si>
  <si>
    <t xml:space="preserve">Overtidsfaktor på timekostnaden ved kveld, natt og helg</t>
  </si>
  <si>
    <t xml:space="preserve">= Ordinær dekningsgrad</t>
  </si>
  <si>
    <t xml:space="preserve">Når</t>
  </si>
  <si>
    <t xml:space="preserve">Faktor</t>
  </si>
  <si>
    <t xml:space="preserve">Timekostnad</t>
  </si>
  <si>
    <t xml:space="preserve">DB per time</t>
  </si>
  <si>
    <t xml:space="preserve">Kriteriet i boka</t>
  </si>
  <si>
    <t xml:space="preserve">Rammeavtale, borettslag og næringsbygg</t>
  </si>
  <si>
    <t xml:space="preserve">Kundene kjøper ulike mengder</t>
  </si>
  <si>
    <t xml:space="preserve">Ordinært oppdrag, avtalt dagtid</t>
  </si>
  <si>
    <t xml:space="preserve">Referansepris — ingen differensiering</t>
  </si>
  <si>
    <t xml:space="preserve">Hasteoppdrag samme dag, innenfor arbeidstid</t>
  </si>
  <si>
    <t xml:space="preserve">Kundene kjøper til ulikt tidspunkt</t>
  </si>
  <si>
    <t xml:space="preserve">Avtalt kveldsarbeid etter kl. 16</t>
  </si>
  <si>
    <t xml:space="preserve">Utrykning natt og helg</t>
  </si>
  <si>
    <t xml:space="preserve">Oppslag og summering</t>
  </si>
  <si>
    <t xml:space="preserve">Slå opp en variant (skriv nummeret 1–5)</t>
  </si>
  <si>
    <t xml:space="preserve">= Varianten heter (INDEX)</t>
  </si>
  <si>
    <t xml:space="preserve">= og gir dette dekningsbidraget per time</t>
  </si>
  <si>
    <t xml:space="preserve">= Høyeste DB per time i tabellen, og hvilken variant det er (INDEX/MATCH)</t>
  </si>
  <si>
    <t xml:space="preserve">= Samlet DB fra alle timer som prises på kjøpstidspunkt (SUMIFS)</t>
  </si>
  <si>
    <t xml:space="preserve">Summen av dekningsbidraget per time for de tre tidsvariantene.</t>
  </si>
  <si>
    <t xml:space="preserve">Rammeavtalen mot ordinær pris</t>
  </si>
  <si>
    <t xml:space="preserve">= Så mange flere timer må rammeavtalen fylle for å gi like mye</t>
  </si>
  <si>
    <t xml:space="preserve">Lønner seg bare hvis avtalen fyller timer som ellers stod tomme.</t>
  </si>
  <si>
    <t xml:space="preserve">= Kveldspris som ville holdt den ordinære dekningsgraden</t>
  </si>
  <si>
    <t xml:space="preserve">Stiger kostnaden femti prosent, må prisen også stige femti prosent.</t>
  </si>
  <si>
    <t xml:space="preserve">Legg merke til kveldsarbeidet: førti prosent påslag gir LAVERE dekningsgrad enn dagtid, fordi timekostnaden steg femti prosent.</t>
  </si>
  <si>
    <t xml:space="preserve">Det gir likevel flere kroner i dekningsbidrag per time. Etter bidragsmetoden er kveldstimen verdt å ta — hvis den kommer i TILLEGG til dagtimene, ikke i stedet for dem.</t>
  </si>
  <si>
    <t xml:space="preserve">Gir alle fem variantene positivt dekningsbidrag?</t>
  </si>
  <si>
    <t xml:space="preserve">Gir rammeavtalen svakere bidrag enn ordinær pris?</t>
  </si>
  <si>
    <t xml:space="preserve">Gir kveldstimen lavere dekningsgrad enn dagtid?</t>
  </si>
  <si>
    <t xml:space="preserve">Tre scenarioer</t>
  </si>
  <si>
    <t xml:space="preserve">«Ti prosent, så signerer jeg i dag.» Hva svarer du, og hva koster ja?</t>
  </si>
  <si>
    <t xml:space="preserve">Scenario A · kunden ber om avslag på denne jobben</t>
  </si>
  <si>
    <t xml:space="preserve">Sikringsskapbyttet fra arket «Gulv, tak og pris». Alle tall hentes derfra.</t>
  </si>
  <si>
    <t xml:space="preserve">Avslaget kunden ber om</t>
  </si>
  <si>
    <t xml:space="preserve">Den gule cellen. Prøv fem prosent, og prøv femten.</t>
  </si>
  <si>
    <t xml:space="preserve">Pris uten mva. i dag</t>
  </si>
  <si>
    <t xml:space="preserve">Variable kostnader</t>
  </si>
  <si>
    <t xml:space="preserve">Selvkost</t>
  </si>
  <si>
    <t xml:space="preserve">Dekningsbidrag i dag</t>
  </si>
  <si>
    <t xml:space="preserve">Avslaget i kroner</t>
  </si>
  <si>
    <t xml:space="preserve">Ny pris uten mva.</t>
  </si>
  <si>
    <t xml:space="preserve">= Nytt dekningsbidrag</t>
  </si>
  <si>
    <t xml:space="preserve">Fall i dekningsbidrag</t>
  </si>
  <si>
    <t xml:space="preserve">Sammenlikn med avslaget i B7. Fallet er alltid større.</t>
  </si>
  <si>
    <t xml:space="preserve">= Fortjeneste over selvkost etter avslaget</t>
  </si>
  <si>
    <t xml:space="preserve">Dette er det kunden egentlig ber om: hele fortjenesten på jobben.</t>
  </si>
  <si>
    <t xml:space="preserve">= Nødvendig volumøkning for å komme ut likt</t>
  </si>
  <si>
    <t xml:space="preserve">Og så presedensen — kostnaden ingen kalkyle viser</t>
  </si>
  <si>
    <t xml:space="preserve">Antall jobber du regner med hos den samme kunden framover</t>
  </si>
  <si>
    <t xml:space="preserve">Et borettslag har flere leiligheter. Prisen du gir i dag, er utgangspunktet for neste forhandling.</t>
  </si>
  <si>
    <t xml:space="preserve">= Hva avslaget koster over alle jobbene</t>
  </si>
  <si>
    <t xml:space="preserve">Andel av dekningsbidraget på de samme jobbene</t>
  </si>
  <si>
    <t xml:space="preserve">Er det dekningsbidrag igjen etter avslaget?</t>
  </si>
  <si>
    <t xml:space="preserve">Er fortjenesten borte?</t>
  </si>
  <si>
    <t xml:space="preserve">Scenario B · det samme avslaget på alt bedriften selger</t>
  </si>
  <si>
    <t xml:space="preserve">Kunden er ikke alene. Hva om alle får det samme?</t>
  </si>
  <si>
    <t xml:space="preserve">Salgsinntekt 2026</t>
  </si>
  <si>
    <t xml:space="preserve">Sum driftskostnader 2026</t>
  </si>
  <si>
    <t xml:space="preserve">= Driftsresultat i dag</t>
  </si>
  <si>
    <t xml:space="preserve">= Driftsmargin</t>
  </si>
  <si>
    <t xml:space="preserve">Dette tallet er også det største generelle prisavslaget bedriften tåler før driftsresultatet er null.</t>
  </si>
  <si>
    <t xml:space="preserve">Salgsinntekt etter avslaget</t>
  </si>
  <si>
    <t xml:space="preserve">= Driftsresultat etter avslaget</t>
  </si>
  <si>
    <t xml:space="preserve">Endring i driftsresultat</t>
  </si>
  <si>
    <t xml:space="preserve">Legg merke til at fallet er nøyaktig det tapte salgsbeløpet. Ingen kostnad har endret seg.</t>
  </si>
  <si>
    <t xml:space="preserve">Bruttofortjeneste i prosent av salg</t>
  </si>
  <si>
    <t xml:space="preserve">= Volumfaktor som må til for å berge bruttofortjenesten</t>
  </si>
  <si>
    <t xml:space="preserve">Fakturerte montørtimer i dag</t>
  </si>
  <si>
    <t xml:space="preserve">Tilgjengelige montørtimer i året</t>
  </si>
  <si>
    <t xml:space="preserve">= Timer som da må faktureres</t>
  </si>
  <si>
    <t xml:space="preserve">= Faktureringsgrad det krever</t>
  </si>
  <si>
    <t xml:space="preserve">Faktureringsgrad i dag</t>
  </si>
  <si>
    <t xml:space="preserve">Høyeste faktureringsgrad som er realistisk i bransjen</t>
  </si>
  <si>
    <t xml:space="preserve">De best drevne installasjonsbedriftene ligger her. Over dette finnes ikke i praksis.</t>
  </si>
  <si>
    <t xml:space="preserve">Er volumkravet mulig å oppnå?</t>
  </si>
  <si>
    <t xml:space="preserve">Her SKAL det stå AVVIK med ti prosent i B7. Det er hele svaret på slide 7 i presentasjonen: timene finnes på papiret, men faktureringsgraden gjør det ikke.</t>
  </si>
  <si>
    <t xml:space="preserve">Tåler bedriften avslaget i det hele tatt?</t>
  </si>
  <si>
    <t xml:space="preserve">Scenario C · fire ting du kan tilby i stedet, med prislapp</t>
  </si>
  <si>
    <t xml:space="preserve">Alle fire er prisdifferensiering etter lærebokas kriterier, og alle fire koster mindre enn avslaget.</t>
  </si>
  <si>
    <t xml:space="preserve">Det du tilbyr i stedet</t>
  </si>
  <si>
    <t xml:space="preserve">Hva det koster</t>
  </si>
  <si>
    <t xml:space="preserve">Andel av avslaget</t>
  </si>
  <si>
    <t xml:space="preserve">Hvorfor det koster det</t>
  </si>
  <si>
    <t xml:space="preserve">Avtalt dato i en uke med ledig kapasitet</t>
  </si>
  <si>
    <t xml:space="preserve">Koster ingenting så lenge timene ellers hadde stått tomme. Kunden får noe han verdsetter, og Nordlys får fylt en tynn uke.</t>
  </si>
  <si>
    <t xml:space="preserve">30 dager lengre betalingsfrist</t>
  </si>
  <si>
    <t xml:space="preserve">Kundene betaler på ulikt tidspunkt</t>
  </si>
  <si>
    <t xml:space="preserve">Kostnaden er renten på pengene i den ekstra kredittiden, regnet med bedriftens eget avkastningskrav.</t>
  </si>
  <si>
    <t xml:space="preserve">Kontantrabatt 2 prosent ved betaling innen åtte dager</t>
  </si>
  <si>
    <t xml:space="preserve">Rabatten koster, men raskere betaling er verdt noe. Nettokostnaden er differansen.</t>
  </si>
  <si>
    <t xml:space="preserve">Kunden river den gamle kledningen selv, 2 montørtimer</t>
  </si>
  <si>
    <t xml:space="preserve">Kunden utfører en del av arbeidet selv</t>
  </si>
  <si>
    <t xml:space="preserve">Prisen faller med timeprisen, kostnaden med timekostnaden. Det er differansen — dekningsbidraget på de to timene — som er kostnaden.</t>
  </si>
  <si>
    <t xml:space="preserve">= Alle fire til sammen</t>
  </si>
  <si>
    <t xml:space="preserve">Du kan gi kunden alle fire og fortsatt komme billigere ut enn med avslaget — hvis summen her er under hundre prosent.</t>
  </si>
  <si>
    <t xml:space="preserve">Koster alle alternativene mindre enn avslaget?</t>
  </si>
  <si>
    <t xml:space="preserve">Er det billigste alternativet gratis?</t>
  </si>
  <si>
    <t xml:space="preserve">Kilde: Hjertnes kap. 7.4 om prissettingsmetodene og 7.5 om prisdifferensiering. Kalkylen og driftstallene er Nordlys Elektro AS sine egne, fra Økonomistyring kapittel 3 og 5. Avkastningskravet er bedriftens eget, fra Økonomistyring kapittel 10.</t>
  </si>
  <si>
    <t xml:space="preserve">Din egen bedrift</t>
  </si>
  <si>
    <t xml:space="preserve">Samme oppsett som de tre første arkene, men tomt. Fyll inn tallene fra en jobb dere selv har priset.</t>
  </si>
  <si>
    <t xml:space="preserve">Jobben</t>
  </si>
  <si>
    <t xml:space="preserve">Timene dere fakturerer, ikke timene dere bruker.</t>
  </si>
  <si>
    <t xml:space="preserve">Lønn med sosiale kostnader, bil, verktøy. Spør regnskapsføreren.</t>
  </si>
  <si>
    <t xml:space="preserve">Det dere betalte grossisten, uten påslag.</t>
  </si>
  <si>
    <t xml:space="preserve">Kjøring og annet direkte</t>
  </si>
  <si>
    <t xml:space="preserve">Alt som følger av at nettopp denne jobben gjøres.</t>
  </si>
  <si>
    <t xml:space="preserve">Indirekte kostnader</t>
  </si>
  <si>
    <t xml:space="preserve">Andelen av kontor, administrasjon og biler.</t>
  </si>
  <si>
    <t xml:space="preserve">Hva bedriften faktisk krever.</t>
  </si>
  <si>
    <t xml:space="preserve">Resultat</t>
  </si>
  <si>
    <t xml:space="preserve">= Variable kostnader (det absolutte gulvet)</t>
  </si>
  <si>
    <t xml:space="preserve">= Selvkost (gulvet på lang sikt)</t>
  </si>
  <si>
    <t xml:space="preserve">= Pris eks. mva.</t>
  </si>
  <si>
    <t xml:space="preserve">= Pris til kunden inkl. 25 % mva.</t>
  </si>
  <si>
    <t xml:space="preserve">= Dekningsbidrag</t>
  </si>
  <si>
    <t xml:space="preserve">Hva tåler dere?</t>
  </si>
  <si>
    <t xml:space="preserve">Rabatt kunden ber om</t>
  </si>
  <si>
    <t xml:space="preserve">Og de to spørsmålene regnearket ikke kan svare på: hva tar konkurrentene på den samme jobben, og hva er den verdt for kunden?</t>
  </si>
  <si>
    <t xml:space="preserve">Det første kan dere finne ut. Det andre må dere spørre om — og da skal dere spørre om hva som er viktigst: datoen, prisen eller at det blir gjort riktig. De færreste svarer pris.</t>
  </si>
</sst>
</file>

<file path=xl/styles.xml><?xml version="1.0" encoding="utf-8"?>
<styleSheet xmlns="http://schemas.openxmlformats.org/spreadsheetml/2006/main">
  <numFmts count="7">
    <numFmt numFmtId="164" formatCode="General"/>
    <numFmt numFmtId="165" formatCode="#,##0.00"/>
    <numFmt numFmtId="166" formatCode="#,##0"/>
    <numFmt numFmtId="167" formatCode="0.0\ %"/>
    <numFmt numFmtId="168" formatCode="#,##0&quot; kr&quot;"/>
    <numFmt numFmtId="169" formatCode="0.0%"/>
    <numFmt numFmtId="170" formatCode="#,##0.00&quot; kr&quot;"/>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70" fontId="11"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8" fontId="11" fillId="6"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6" fontId="11" fillId="6"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xf numFmtId="164" fontId="11"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26611.2</v>
      </c>
      <c r="C5" s="7" t="s">
        <v>4</v>
      </c>
    </row>
    <row r="6" customFormat="false" ht="15" hidden="false" customHeight="true" outlineLevel="0" collapsed="false">
      <c r="A6" s="5" t="s">
        <v>5</v>
      </c>
      <c r="B6" s="8" t="n">
        <v>19560</v>
      </c>
      <c r="C6" s="7" t="s">
        <v>6</v>
      </c>
    </row>
    <row r="7" customFormat="false" ht="15" hidden="false" customHeight="true" outlineLevel="0" collapsed="false">
      <c r="A7" s="5" t="s">
        <v>7</v>
      </c>
      <c r="B7" s="8" t="n">
        <v>4200</v>
      </c>
      <c r="C7" s="7" t="s">
        <v>8</v>
      </c>
    </row>
    <row r="8" customFormat="false" ht="15" hidden="false" customHeight="true" outlineLevel="0" collapsed="false">
      <c r="A8" s="5" t="s">
        <v>9</v>
      </c>
      <c r="B8" s="9" t="n">
        <v>0.1</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10" t="n">
        <f aca="false">B5-B6</f>
        <v>7051.2</v>
      </c>
      <c r="C11" s="7" t="s">
        <v>13</v>
      </c>
    </row>
    <row r="12" customFormat="false" ht="15" hidden="false" customHeight="true" outlineLevel="0" collapsed="false">
      <c r="A12" s="5" t="s">
        <v>14</v>
      </c>
      <c r="B12" s="10" t="n">
        <f aca="false">B5*(1-B8)</f>
        <v>23950.08</v>
      </c>
      <c r="C12" s="7" t="s">
        <v>15</v>
      </c>
    </row>
    <row r="13" customFormat="false" ht="15" hidden="false" customHeight="true" outlineLevel="0" collapsed="false">
      <c r="A13" s="5" t="s">
        <v>16</v>
      </c>
      <c r="B13" s="10" t="n">
        <f aca="false">B12-B6</f>
        <v>4390.08</v>
      </c>
      <c r="C13" s="7" t="s">
        <v>17</v>
      </c>
    </row>
    <row r="14" customFormat="false" ht="15" hidden="false" customHeight="true" outlineLevel="0" collapsed="false">
      <c r="A14" s="5" t="s">
        <v>18</v>
      </c>
      <c r="B14" s="11" t="n">
        <f aca="false">1-B13/B11</f>
        <v>0.377399591558883</v>
      </c>
      <c r="C14" s="7" t="s">
        <v>19</v>
      </c>
    </row>
    <row r="15" customFormat="false" ht="15" hidden="false" customHeight="true" outlineLevel="0" collapsed="false"/>
    <row ht="32.25" customHeight="true" r="16" customFormat="false" hidden="false" outlineLevel="0" collapsed="false">
      <c r="A16" s="12" t="s">
        <v>20</v>
      </c>
      <c r="B16" s="13" t="n">
        <f aca="false">B11/B13-1</f>
        <v>0.606166630220861</v>
      </c>
      <c r="C16" s="7" t="s">
        <v>21</v>
      </c>
    </row>
    <row r="17" customFormat="false" ht="15" hidden="false" customHeight="true" outlineLevel="0" collapsed="false">
      <c r="A17" s="5" t="s">
        <v>22</v>
      </c>
      <c r="B17" s="10" t="n">
        <f aca="false">B12-B6-B7</f>
        <v>190.080000000002</v>
      </c>
      <c r="C17" s="7" t="s">
        <v>23</v>
      </c>
    </row>
    <row r="18" customFormat="false" ht="15" hidden="false" customHeight="true" outlineLevel="0" collapsed="false"/>
    <row r="19" customFormat="false" ht="15" hidden="false" customHeight="true" outlineLevel="0" collapsed="false">
      <c r="A19" s="3" t="s">
        <v>24</v>
      </c>
      <c r="B19" s="4"/>
      <c r="C19" s="4"/>
    </row>
    <row r="20" customFormat="false" ht="33.75" hidden="false" customHeight="true" outlineLevel="0" collapsed="false">
      <c r="A20" s="14" t="str">
        <f aca="false">"Gir dere "&amp;TEXT(B8,"0.0 %")&amp;" rabatt, må dere selge "&amp;TEXT(B16,"0.0 %")&amp;" flere jobber for å sitte igjen med like mye dekningsbidrag."</f>
        <v>Gir dere 10.0 % rabatt, må dere selge 60.6 % flere jobber for å sitte igjen med like mye dekningsbidrag.</v>
      </c>
      <c r="B20" s="14"/>
      <c r="C20" s="14"/>
    </row>
    <row r="21" customFormat="false" ht="33.75" hidden="false" customHeight="true" outlineLevel="0" collapsed="false">
      <c r="A21" s="14" t="str">
        <f aca="false">"Fortjenesten over selvkost på hver jobb er da bare "&amp;TEXT(ROUND(B17,2),"#,##0.00")&amp;" kroner."</f>
        <v>Fortjenesten over selvkost på hver jobb er da bare 190.08 kroner.</v>
      </c>
      <c r="B21" s="14"/>
      <c r="C21" s="14"/>
    </row>
    <row r="22" customFormat="false" ht="15" hidden="false" customHeight="true" outlineLevel="0" collapsed="false"/>
    <row r="23" customFormat="false" ht="15" hidden="false" customHeight="true" outlineLevel="0" collapsed="false">
      <c r="A23" s="3" t="s">
        <v>25</v>
      </c>
      <c r="B23" s="4"/>
      <c r="C23" s="4"/>
    </row>
    <row r="24" customFormat="false" ht="15" hidden="false" customHeight="true" outlineLevel="0" collapsed="false">
      <c r="A24" s="15" t="s">
        <v>26</v>
      </c>
      <c r="B24" s="15"/>
      <c r="C24" s="15"/>
    </row>
    <row r="25" customFormat="false" ht="15" hidden="false" customHeight="true" outlineLevel="0" collapsed="false">
      <c r="A25" s="15" t="s">
        <v>27</v>
      </c>
      <c r="B25" s="15"/>
      <c r="C25" s="15"/>
    </row>
    <row r="26" customFormat="false" ht="15" hidden="false" customHeight="true" outlineLevel="0" collapsed="false">
      <c r="A26" s="15" t="s">
        <v>28</v>
      </c>
      <c r="B26" s="15"/>
      <c r="C26" s="15"/>
    </row>
    <row r="27" customFormat="false" ht="15" hidden="false" customHeight="true" outlineLevel="0" collapsed="false"/>
    <row r="28" customFormat="false" ht="27" hidden="false" customHeight="true" outlineLevel="0" collapsed="false">
      <c r="A28" s="2" t="s">
        <v>29</v>
      </c>
      <c r="B28" s="2"/>
      <c r="C28" s="2"/>
    </row>
  </sheetData>
  <mergeCells count="7">
    <mergeCell ref="A2:C2"/>
    <mergeCell ref="A20:C20"/>
    <mergeCell ref="A21:C21"/>
    <mergeCell ref="A24:C24"/>
    <mergeCell ref="A25:C25"/>
    <mergeCell ref="A26:C26"/>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30</v>
      </c>
    </row>
    <row r="2" customFormat="false" ht="15" hidden="false" customHeight="false" outlineLevel="0" collapsed="false">
      <c r="A2" s="16" t="s">
        <v>31</v>
      </c>
    </row>
    <row r="3" customFormat="false" ht="15" hidden="false" customHeight="false" outlineLevel="0" collapsed="false">
      <c r="A3" s="17" t="s">
        <v>32</v>
      </c>
    </row>
    <row r="4" customFormat="false" ht="15" hidden="false" customHeight="false" outlineLevel="0" collapsed="false">
      <c r="A4" s="18" t="s">
        <v>33</v>
      </c>
    </row>
    <row r="5" customFormat="false" ht="15" hidden="false" customHeight="false" outlineLevel="0" collapsed="false">
      <c r="A5" s="19" t="s">
        <v>34</v>
      </c>
      <c r="B5" s="20" t="s">
        <v>35</v>
      </c>
    </row>
    <row r="6" customFormat="false" ht="15" hidden="false" customHeight="false" outlineLevel="0" collapsed="false">
      <c r="A6" s="21" t="s">
        <v>36</v>
      </c>
      <c r="B6" s="20" t="s">
        <v>37</v>
      </c>
    </row>
    <row r="7" customFormat="false" ht="15" hidden="false" customHeight="false" outlineLevel="0" collapsed="false">
      <c r="A7" s="21" t="s">
        <v>38</v>
      </c>
      <c r="B7" s="20" t="s">
        <v>39</v>
      </c>
    </row>
    <row r="9" customFormat="false" ht="15" hidden="false" customHeight="false" outlineLevel="0" collapsed="false">
      <c r="A9" s="18" t="s">
        <v>40</v>
      </c>
    </row>
    <row r="10" customFormat="false" ht="15" hidden="false" customHeight="false" outlineLevel="0" collapsed="false">
      <c r="A10" s="22" t="s">
        <v>41</v>
      </c>
      <c r="B10" s="20" t="s">
        <v>42</v>
      </c>
    </row>
    <row r="11" customFormat="false" ht="15" hidden="false" customHeight="false" outlineLevel="0" collapsed="false">
      <c r="A11" s="22" t="s">
        <v>43</v>
      </c>
      <c r="B11" s="20" t="s">
        <v>44</v>
      </c>
    </row>
    <row r="12" customFormat="false" ht="15" hidden="false" customHeight="false" outlineLevel="0" collapsed="false">
      <c r="A12" s="22" t="s">
        <v>45</v>
      </c>
      <c r="B12" s="20" t="s">
        <v>46</v>
      </c>
    </row>
    <row r="13" customFormat="false" ht="15" hidden="false" customHeight="false" outlineLevel="0" collapsed="false">
      <c r="A13" s="22" t="s">
        <v>47</v>
      </c>
      <c r="B13" s="20" t="s">
        <v>48</v>
      </c>
    </row>
    <row r="14" customFormat="false" ht="15" hidden="false" customHeight="false" outlineLevel="0" collapsed="false">
      <c r="A14" s="22" t="s">
        <v>49</v>
      </c>
      <c r="B14" s="20" t="s">
        <v>50</v>
      </c>
    </row>
    <row r="15" customFormat="false" ht="15" hidden="false" customHeight="false" outlineLevel="0" collapsed="false">
      <c r="A15" s="22" t="s">
        <v>51</v>
      </c>
      <c r="B15" s="20" t="s">
        <v>52</v>
      </c>
    </row>
    <row r="16" customFormat="false" ht="15" hidden="false" customHeight="false" outlineLevel="0" collapsed="false">
      <c r="A16" s="22" t="s">
        <v>53</v>
      </c>
      <c r="B16" s="20" t="s">
        <v>54</v>
      </c>
    </row>
    <row r="18" customFormat="false" ht="15" hidden="false" customHeight="false" outlineLevel="0" collapsed="false">
      <c r="A18" s="17" t="s">
        <v>55</v>
      </c>
    </row>
    <row r="19" customFormat="false" ht="15" hidden="false" customHeight="false" outlineLevel="0" collapsed="false">
      <c r="A19" s="17" t="s">
        <v>56</v>
      </c>
    </row>
    <row r="21" customFormat="false" ht="15" hidden="false" customHeight="false" outlineLevel="0" collapsed="false">
      <c r="A21" s="17" t="s">
        <v>57</v>
      </c>
    </row>
    <row r="22" customFormat="false" ht="15" hidden="false" customHeight="false" outlineLevel="0" collapsed="false">
      <c r="A22" s="17" t="s">
        <v>58</v>
      </c>
    </row>
    <row r="24" customFormat="false" ht="15" hidden="false" customHeight="false" outlineLevel="0" collapsed="false">
      <c r="A24" s="18" t="s">
        <v>59</v>
      </c>
    </row>
    <row r="25" customFormat="false" ht="15" hidden="false" customHeight="false" outlineLevel="0" collapsed="false">
      <c r="A25" s="22" t="s">
        <v>60</v>
      </c>
      <c r="B25" s="20" t="s">
        <v>61</v>
      </c>
    </row>
    <row r="26" customFormat="false" ht="15" hidden="false" customHeight="false" outlineLevel="0" collapsed="false">
      <c r="A26" s="22" t="s">
        <v>62</v>
      </c>
      <c r="B26" s="20" t="s">
        <v>63</v>
      </c>
    </row>
    <row r="27" customFormat="false" ht="15" hidden="false" customHeight="false" outlineLevel="0" collapsed="false">
      <c r="A27" s="22" t="s">
        <v>64</v>
      </c>
      <c r="B27" s="20" t="s">
        <v>65</v>
      </c>
    </row>
    <row r="29" customFormat="false" ht="15" hidden="false" customHeight="false" outlineLevel="0" collapsed="false">
      <c r="A29" s="18" t="s">
        <v>66</v>
      </c>
    </row>
    <row ht="27" customHeight="true" r="30" customFormat="false" hidden="false" outlineLevel="0" collapsed="false">
      <c r="A30" s="20" t="s">
        <v>67</v>
      </c>
      <c s="42" r="B30" t="s">
        <v>68</v>
      </c>
      <c r="C30" s="20" t="s">
        <v>69</v>
      </c>
    </row>
    <row r="32" customFormat="false" ht="15" hidden="false" customHeight="false" outlineLevel="0" collapsed="false">
      <c r="A32" s="18" t="s">
        <v>70</v>
      </c>
    </row>
    <row r="33" customFormat="false" ht="27.75" hidden="false" customHeight="true" outlineLevel="0" collapsed="false">
      <c r="A33" s="23" t="s">
        <v>71</v>
      </c>
      <c r="B33" s="23" t="s">
        <v>72</v>
      </c>
      <c r="C33" s="23" t="s">
        <v>73</v>
      </c>
    </row>
    <row r="34" customFormat="false" ht="15" hidden="false" customHeight="false" outlineLevel="0" collapsed="false">
      <c r="A34" s="20" t="s">
        <v>74</v>
      </c>
      <c r="B34" s="22" t="s">
        <v>43</v>
      </c>
      <c r="C34" s="20" t="s">
        <v>75</v>
      </c>
    </row>
    <row r="35" customFormat="false" ht="15" hidden="false" customHeight="false" outlineLevel="0" collapsed="false">
      <c r="A35" s="20" t="s">
        <v>76</v>
      </c>
      <c r="B35" s="22" t="s">
        <v>49</v>
      </c>
      <c r="C35" s="20" t="s">
        <v>77</v>
      </c>
    </row>
    <row r="36" customFormat="false" ht="15" hidden="false" customHeight="false" outlineLevel="0" collapsed="false">
      <c r="A36" s="20" t="s">
        <v>78</v>
      </c>
      <c r="B36" s="22" t="s">
        <v>43</v>
      </c>
      <c r="C36" s="20" t="s">
        <v>79</v>
      </c>
    </row>
    <row ht="27" customHeight="true" r="37" customFormat="false" hidden="false" outlineLevel="0" collapsed="false">
      <c r="A37" s="20" t="s">
        <v>80</v>
      </c>
      <c s="43" r="B37" t="s">
        <v>81</v>
      </c>
      <c r="C37" s="20" t="s">
        <v>82</v>
      </c>
    </row>
    <row r="38" customFormat="false" ht="15" hidden="false" customHeight="false" outlineLevel="0" collapsed="false">
      <c r="A38" s="20" t="s">
        <v>83</v>
      </c>
      <c r="B38" s="22" t="s">
        <v>49</v>
      </c>
      <c r="C38" s="20" t="s">
        <v>84</v>
      </c>
    </row>
    <row r="39" customFormat="false" ht="15" hidden="false" customHeight="false" outlineLevel="0" collapsed="false">
      <c r="A39" s="20" t="s">
        <v>85</v>
      </c>
      <c r="B39" s="22" t="s">
        <v>51</v>
      </c>
      <c r="C39" s="20" t="s">
        <v>86</v>
      </c>
    </row>
    <row r="41" customFormat="false" ht="15" hidden="false" customHeight="false" outlineLevel="0" collapsed="false">
      <c r="A41" s="18" t="s">
        <v>87</v>
      </c>
    </row>
    <row r="42" customFormat="false" ht="15" hidden="false" customHeight="false" outlineLevel="0" collapsed="false">
      <c r="A42" s="20" t="s">
        <v>88</v>
      </c>
    </row>
    <row r="43" customFormat="false" ht="15" hidden="false" customHeight="false" outlineLevel="0" collapsed="false">
      <c r="A43" s="20" t="s">
        <v>89</v>
      </c>
    </row>
    <row r="44" customFormat="false" ht="15" hidden="false" customHeight="false" outlineLevel="0" collapsed="false">
      <c r="A44" s="17" t="s">
        <v>90</v>
      </c>
    </row>
    <row r="46" customFormat="false" ht="15" hidden="false" customHeight="false" outlineLevel="0" collapsed="false">
      <c r="A46" s="18" t="s">
        <v>91</v>
      </c>
    </row>
    <row r="47" customFormat="false" ht="15" hidden="false" customHeight="false" outlineLevel="0" collapsed="false">
      <c r="A47" s="17" t="s">
        <v>92</v>
      </c>
    </row>
    <row r="48" customFormat="false" ht="15" hidden="false" customHeight="false" outlineLevel="0" collapsed="false">
      <c r="A48" s="17" t="s">
        <v>93</v>
      </c>
    </row>
    <row r="49" customFormat="false" ht="15" hidden="false" customHeight="false" outlineLevel="0" collapsed="false">
      <c r="A49" s="17" t="s">
        <v>94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5"/>
    <col collapsed="false" customWidth="true" hidden="false" outlineLevel="0" max="3" min="3" style="0" width="16"/>
    <col collapsed="false" customWidth="true" hidden="false" outlineLevel="0" max="4" min="4" style="0" width="58"/>
  </cols>
  <sheetData>
    <row r="1" customFormat="false" ht="17.35" hidden="false" customHeight="false" outlineLevel="0" collapsed="false">
      <c r="A1" s="1" t="s">
        <v>95</v>
      </c>
    </row>
    <row r="2" customFormat="false" ht="15" hidden="false" customHeight="false" outlineLevel="0" collapsed="false">
      <c r="A2" s="16" t="s">
        <v>96</v>
      </c>
    </row>
    <row r="4" customFormat="false" ht="15" hidden="false" customHeight="false" outlineLevel="0" collapsed="false">
      <c r="A4" s="18" t="s">
        <v>97</v>
      </c>
    </row>
    <row r="5" customFormat="false" ht="15" hidden="false" customHeight="false" outlineLevel="0" collapsed="false">
      <c r="A5" s="20" t="s">
        <v>98</v>
      </c>
      <c r="B5" s="24" t="n">
        <v>14</v>
      </c>
    </row>
    <row ht="27" customHeight="true" r="6" customFormat="false" hidden="false" outlineLevel="0" collapsed="false">
      <c s="42" r="A6" t="s">
        <v>99</v>
      </c>
      <c r="B6" s="25" t="n">
        <v>640</v>
      </c>
    </row>
    <row r="7" customFormat="false" ht="15" hidden="false" customHeight="false" outlineLevel="0" collapsed="false">
      <c r="A7" s="20" t="s">
        <v>100</v>
      </c>
      <c r="B7" s="25" t="n">
        <v>9800</v>
      </c>
    </row>
    <row r="8" customFormat="false" ht="15" hidden="false" customHeight="false" outlineLevel="0" collapsed="false">
      <c r="A8" s="20" t="s">
        <v>101</v>
      </c>
      <c r="B8" s="25" t="n">
        <v>800</v>
      </c>
    </row>
    <row ht="27" customHeight="true" r="9" customFormat="false" hidden="false" outlineLevel="0" collapsed="false">
      <c s="42" r="A9" t="s">
        <v>102</v>
      </c>
      <c r="B9" s="25" t="n">
        <v>4200</v>
      </c>
    </row>
    <row r="10" customFormat="false" ht="15" hidden="false" customHeight="false" outlineLevel="0" collapsed="false">
      <c r="A10" s="20" t="s">
        <v>103</v>
      </c>
      <c r="B10" s="26" t="n">
        <v>0.12</v>
      </c>
    </row>
    <row r="11" customFormat="false" ht="15" hidden="false" customHeight="false" outlineLevel="0" collapsed="false">
      <c r="A11" s="20" t="s">
        <v>104</v>
      </c>
      <c r="B11" s="26" t="n">
        <v>0.25</v>
      </c>
    </row>
    <row r="13" customFormat="false" ht="15" hidden="false" customHeight="false" outlineLevel="0" collapsed="false">
      <c r="A13" s="18" t="s">
        <v>59</v>
      </c>
    </row>
    <row r="14" customFormat="false" ht="15" hidden="false" customHeight="false" outlineLevel="0" collapsed="false">
      <c r="A14" s="20" t="s">
        <v>105</v>
      </c>
      <c r="B14" s="27" t="n">
        <f aca="false">B5*B6+B7+B8</f>
        <v>19560</v>
      </c>
      <c r="D14" s="20" t="s">
        <v>106</v>
      </c>
    </row>
    <row r="15" customFormat="false" ht="15" hidden="false" customHeight="false" outlineLevel="0" collapsed="false">
      <c r="A15" s="20" t="s">
        <v>107</v>
      </c>
      <c r="B15" s="27" t="n">
        <f aca="false">B14+B9</f>
        <v>23760</v>
      </c>
      <c r="D15" s="20" t="s">
        <v>108</v>
      </c>
    </row>
    <row r="16" customFormat="false" ht="15" hidden="false" customHeight="false" outlineLevel="0" collapsed="false">
      <c r="A16" s="20" t="s">
        <v>109</v>
      </c>
      <c r="B16" s="28" t="n">
        <f aca="false">B15*B10</f>
        <v>2851.2</v>
      </c>
    </row>
    <row r="17" customFormat="false" ht="15" hidden="false" customHeight="false" outlineLevel="0" collapsed="false">
      <c r="A17" s="20" t="s">
        <v>110</v>
      </c>
      <c r="B17" s="29" t="n">
        <f aca="false">B15+B16</f>
        <v>26611.2</v>
      </c>
    </row>
    <row r="18" customFormat="false" ht="15" hidden="false" customHeight="false" outlineLevel="0" collapsed="false">
      <c r="A18" s="20" t="s">
        <v>111</v>
      </c>
      <c r="B18" s="27" t="n">
        <f aca="false">B17*(1+B11)</f>
        <v>33264</v>
      </c>
    </row>
    <row r="20" customFormat="false" ht="15" hidden="false" customHeight="false" outlineLevel="0" collapsed="false">
      <c r="A20" s="18" t="s">
        <v>112</v>
      </c>
    </row>
    <row r="21" customFormat="false" ht="15" hidden="false" customHeight="false" outlineLevel="0" collapsed="false">
      <c r="A21" s="20" t="s">
        <v>113</v>
      </c>
      <c r="B21" s="29" t="n">
        <f aca="false">B17-B14</f>
        <v>7051.2</v>
      </c>
      <c r="D21" s="20" t="s">
        <v>114</v>
      </c>
    </row>
    <row r="22" customFormat="false" ht="15" hidden="false" customHeight="false" outlineLevel="0" collapsed="false">
      <c r="A22" s="20" t="s">
        <v>115</v>
      </c>
      <c r="B22" s="30" t="n">
        <f aca="false">IF(B17=0,0,B21/B17)</f>
        <v>0.26497113997114</v>
      </c>
    </row>
    <row r="23" customFormat="false" ht="15" hidden="false" customHeight="false" outlineLevel="0" collapsed="false">
      <c r="A23" s="20" t="s">
        <v>116</v>
      </c>
      <c r="B23" s="31" t="n">
        <f aca="false">B17-B15</f>
        <v>2851.2</v>
      </c>
    </row>
    <row r="25" customFormat="false" ht="15" hidden="false" customHeight="false" outlineLevel="0" collapsed="false">
      <c r="A25" s="18" t="s">
        <v>117</v>
      </c>
    </row>
    <row r="26" customFormat="false" ht="27.75" hidden="false" customHeight="true" outlineLevel="0" collapsed="false">
      <c r="A26" s="23" t="s">
        <v>118</v>
      </c>
      <c r="B26" s="23" t="s">
        <v>119</v>
      </c>
      <c r="C26" s="23" t="s">
        <v>120</v>
      </c>
      <c r="D26" s="23" t="s">
        <v>121</v>
      </c>
    </row>
    <row r="27" customFormat="false" ht="15" hidden="false" customHeight="false" outlineLevel="0" collapsed="false">
      <c r="A27" s="20" t="s">
        <v>122</v>
      </c>
      <c r="B27" s="25" t="n">
        <v>30500</v>
      </c>
      <c r="C27" s="32" t="n">
        <f aca="false">B27/(1+$B$11)</f>
        <v>24400</v>
      </c>
      <c r="D27" s="20" t="s">
        <v>123</v>
      </c>
    </row>
    <row r="28" customFormat="false" ht="15" hidden="false" customHeight="false" outlineLevel="0" collapsed="false">
      <c r="A28" s="20" t="s">
        <v>124</v>
      </c>
      <c r="B28" s="25" t="n">
        <f aca="false">B18</f>
        <v>33264</v>
      </c>
      <c r="C28" s="32" t="n">
        <f aca="false">B28/(1+$B$11)</f>
        <v>26611.2</v>
      </c>
      <c r="D28" s="20" t="s">
        <v>125</v>
      </c>
    </row>
    <row r="29" customFormat="false" ht="15" hidden="false" customHeight="false" outlineLevel="0" collapsed="false">
      <c r="A29" s="20" t="s">
        <v>126</v>
      </c>
      <c r="B29" s="25" t="n">
        <v>35900</v>
      </c>
      <c r="C29" s="32" t="n">
        <f aca="false">B29/(1+$B$11)</f>
        <v>28720</v>
      </c>
      <c r="D29" s="20" t="s">
        <v>127</v>
      </c>
    </row>
    <row r="31" customFormat="false" ht="15" hidden="false" customHeight="false" outlineLevel="0" collapsed="false">
      <c r="A31" s="20" t="s">
        <v>128</v>
      </c>
      <c r="B31" s="27" t="n">
        <f aca="false">MIN(C27,C29)</f>
        <v>24400</v>
      </c>
    </row>
    <row r="32" customFormat="false" ht="15" hidden="false" customHeight="false" outlineLevel="0" collapsed="false">
      <c r="A32" s="20" t="s">
        <v>129</v>
      </c>
      <c r="B32" s="33" t="n">
        <f aca="false">MAX(C27,C29)</f>
        <v>28720</v>
      </c>
    </row>
    <row r="33" customFormat="false" ht="15" hidden="false" customHeight="false" outlineLevel="0" collapsed="false">
      <c r="A33" s="20" t="s">
        <v>130</v>
      </c>
      <c r="C33" s="34" t="str">
        <f aca="false">INDEX(A27:A29,MATCH(MIN(C27:C29),C27:C29,0))</f>
        <v>Det billigste tilbudet kunden hentet inn</v>
      </c>
    </row>
    <row r="34" customFormat="false" ht="15" hidden="false" customHeight="false" outlineLevel="0" collapsed="false">
      <c r="A34" s="20" t="s">
        <v>131</v>
      </c>
      <c r="B34" s="27" t="n">
        <f aca="false">B32-B15</f>
        <v>4960</v>
      </c>
    </row>
    <row r="35" customFormat="false" ht="15" hidden="false" customHeight="false" outlineLevel="0" collapsed="false">
      <c r="A35" s="20" t="s">
        <v>132</v>
      </c>
      <c r="B35" s="33" t="n">
        <f aca="false">B31-B15</f>
        <v>640</v>
      </c>
      <c r="D35" s="34" t="str">
        <f aca="false">IF(B35&lt;0,"Det laveste tilbudet ligger UNDER vår selvkost. Denne jobben kan vi ikke vinne på pris.",IF(B35&lt;B16,"Det laveste tilbudet ligger over selvkost, men under vår fortjeneste. Matcher vi, jobber vi nesten gratis.","Det er rom for å matche og fortsatt tjene penger."))</f>
        <v>Det laveste tilbudet ligger over selvkost, men under vår fortjeneste. Matcher vi, jobber vi nesten gratis.</v>
      </c>
    </row>
    <row r="37" customFormat="false" ht="15" hidden="false" customHeight="false" outlineLevel="0" collapsed="false">
      <c r="A37" s="22" t="s">
        <v>133</v>
      </c>
    </row>
    <row r="38" customFormat="false" ht="15" hidden="false" customHeight="false" outlineLevel="0" collapsed="false">
      <c r="A38" s="17" t="s">
        <v>134</v>
      </c>
    </row>
    <row r="40" customFormat="false" ht="15" hidden="false" customHeight="false" outlineLevel="0" collapsed="false">
      <c r="A40" s="18" t="s">
        <v>135</v>
      </c>
    </row>
    <row r="41" customFormat="false" ht="15" hidden="false" customHeight="false" outlineLevel="0" collapsed="false">
      <c r="A41" s="20" t="s">
        <v>136</v>
      </c>
      <c r="C41" s="35" t="str">
        <f aca="false">IF(AND(B14&lt;B15,B15&lt;B17,B17&lt;B18),"OK — variable kostnader, selvkost, pris uten mva. og pris til kunden stiger i riktig rekkefølge","AVVIK: kalkylen går ikke oppover — kontroller postene")</f>
        <v>OK — variable kostnader, selvkost, pris uten mva. og pris til kunden stiger i riktig rekkefølge</v>
      </c>
    </row>
    <row r="42" customFormat="false" ht="15" hidden="false" customHeight="false" outlineLevel="0" collapsed="false">
      <c r="A42" s="20" t="s">
        <v>137</v>
      </c>
      <c r="C42" s="35" t="str">
        <f aca="false">IF(ABS(B21-(B17-B14))&lt;0.01,"OK — dekningsbidraget er pris minus VARIABLE kostnader","AVVIK: dekningsbidraget er regnet av feil kostnadsgrunnlag")</f>
        <v>OK — dekningsbidraget er pris minus VARIABLE kostnader</v>
      </c>
    </row>
    <row r="43" customFormat="false" ht="15" hidden="false" customHeight="false" outlineLevel="0" collapsed="false">
      <c r="A43" s="20" t="s">
        <v>138</v>
      </c>
      <c r="C43" s="35" t="str">
        <f aca="false">IF(B17&gt;=B15,"OK — prisen dekker selvkost og gir fortjeneste",IF(B17&gt;=B14,"AVVIK: prisen ligger mellom de to gulvene — forsvarlig bare ved ledig kapasitet, aldri som listepris","AVVIK: prisen ligger under de variable kostnadene — si nei"))</f>
        <v>OK — prisen dekker selvkost og gir fortjeneste</v>
      </c>
    </row>
    <row r="44" customFormat="false" ht="15" hidden="false" customHeight="false" outlineLevel="0" collapsed="false">
      <c r="A44" s="20" t="s">
        <v>139</v>
      </c>
      <c r="C44" s="35" t="str">
        <f aca="false">IF(B35&gt;=B16,"OK — det laveste tilbudet ligger over vår selvkost pluss fortjeneste. Jobben kan vinnes på pris","AVVIK: det laveste tilbudet gir oss ikke rom for fortjeneste. Skal jobben vinnes, må tilbudet endres — ikke prisen")</f>
        <v>AVVIK: det laveste tilbudet gir oss ikke rom for fortjeneste. Skal jobben vinnes, må tilbudet endres — ikke prisen</v>
      </c>
    </row>
    <row r="45" customFormat="false" ht="15" hidden="false" customHeight="false" outlineLevel="0" collapsed="false">
      <c r="A45" s="17" t="s">
        <v>140</v>
      </c>
    </row>
  </sheetData>
  <conditionalFormatting sqref="C41">
    <cfRule type="expression" priority="2" aboveAverage="0" equalAverage="0" bottom="0" percent="0" rank="0" text="" dxfId="0">
      <formula>LEFT(C41,5)="AVVIK"</formula>
    </cfRule>
  </conditionalFormatting>
  <conditionalFormatting sqref="C42">
    <cfRule type="expression" priority="3" aboveAverage="0" equalAverage="0" bottom="0" percent="0" rank="0" text="" dxfId="0">
      <formula>LEFT(C42,5)="AVVIK"</formula>
    </cfRule>
  </conditionalFormatting>
  <conditionalFormatting sqref="C43">
    <cfRule type="expression" priority="4" aboveAverage="0" equalAverage="0" bottom="0" percent="0" rank="0" text="" dxfId="0">
      <formula>LEFT(C43,5)="AVVIK"</formula>
    </cfRule>
  </conditionalFormatting>
  <conditionalFormatting sqref="C44">
    <cfRule type="expression" priority="5" aboveAverage="0" equalAverage="0" bottom="0" percent="0" rank="0" text="" dxfId="0">
      <formula>LEFT(C44,5)="AVVIK"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5"/>
    <col collapsed="false" customWidth="true" hidden="false" outlineLevel="0" max="4" min="4" style="0" width="14"/>
    <col collapsed="false" customWidth="true" hidden="false" outlineLevel="0" max="5" min="5" style="0" width="18"/>
    <col collapsed="false" customWidth="true" hidden="false" outlineLevel="0" max="6" min="6" style="0" width="17"/>
    <col collapsed="false" customWidth="true" hidden="false" outlineLevel="0" max="7" min="7" style="0" width="46"/>
  </cols>
  <sheetData>
    <row r="1" customFormat="false" ht="17.35" hidden="false" customHeight="false" outlineLevel="0" collapsed="false">
      <c r="A1" s="1" t="s">
        <v>141</v>
      </c>
    </row>
    <row r="2" customFormat="false" ht="15" hidden="false" customHeight="false" outlineLevel="0" collapsed="false">
      <c r="A2" s="16" t="s">
        <v>142</v>
      </c>
    </row>
    <row r="4" customFormat="false" ht="27.75" hidden="false" customHeight="true" outlineLevel="0" collapsed="false">
      <c r="A4" s="23" t="s">
        <v>143</v>
      </c>
      <c r="B4" s="23" t="s">
        <v>144</v>
      </c>
      <c r="C4" s="23" t="s">
        <v>145</v>
      </c>
      <c r="D4" s="23" t="s">
        <v>146</v>
      </c>
      <c r="E4" s="23" t="s">
        <v>147</v>
      </c>
      <c r="F4" s="23" t="s">
        <v>148</v>
      </c>
      <c r="G4" s="23" t="s">
        <v>149</v>
      </c>
    </row>
    <row r="5" customFormat="false" ht="15" hidden="false" customHeight="false" outlineLevel="0" collapsed="false">
      <c r="A5" s="26" t="n">
        <v>-0.2</v>
      </c>
      <c r="B5" s="28" t="n">
        <f aca="false">'Gulv, tak og pris'!$B$17*(1+A5)</f>
        <v>21288.96</v>
      </c>
      <c r="C5" s="29" t="n">
        <f aca="false">B5-'Gulv, tak og pris'!$B$14</f>
        <v>1728.96</v>
      </c>
      <c r="D5" s="36" t="n">
        <f aca="false">IF(B5=0,0,C5/B5)</f>
        <v>0.0812139249639251</v>
      </c>
      <c r="E5" s="28" t="n">
        <f aca="false">B5-'Gulv, tak og pris'!$B$15</f>
        <v>-2471.04</v>
      </c>
      <c r="F5" s="37" t="n">
        <f aca="false">IF(C5&lt;=0,"",'Gulv, tak og pris'!$B$21/C5-1)</f>
        <v>3.07828983897834</v>
      </c>
      <c r="G5" s="20" t="s">
        <v>150</v>
      </c>
    </row>
    <row r="6" customFormat="false" ht="15" hidden="false" customHeight="false" outlineLevel="0" collapsed="false">
      <c r="A6" s="26" t="n">
        <v>-0.15</v>
      </c>
      <c r="B6" s="28" t="n">
        <f aca="false">'Gulv, tak og pris'!$B$17*(1+A6)</f>
        <v>22619.52</v>
      </c>
      <c r="C6" s="29" t="n">
        <f aca="false">B6-'Gulv, tak og pris'!$B$14</f>
        <v>3059.52</v>
      </c>
      <c r="D6" s="36" t="n">
        <f aca="false">IF(B6=0,0,C6/B6)</f>
        <v>0.135260164671929</v>
      </c>
      <c r="E6" s="28" t="n">
        <f aca="false">B6-'Gulv, tak og pris'!$B$15</f>
        <v>-1140.48</v>
      </c>
      <c r="F6" s="37" t="n">
        <f aca="false">IF(C6&lt;=0,"",'Gulv, tak og pris'!$B$21/C6-1)</f>
        <v>1.3046752431754</v>
      </c>
      <c r="G6" s="20" t="s">
        <v>151</v>
      </c>
    </row>
    <row r="7" customFormat="false" ht="15" hidden="false" customHeight="false" outlineLevel="0" collapsed="false">
      <c r="A7" s="26" t="n">
        <v>-0.1</v>
      </c>
      <c r="B7" s="28" t="n">
        <f aca="false">'Gulv, tak og pris'!$B$17*(1+A7)</f>
        <v>23950.08</v>
      </c>
      <c r="C7" s="29" t="n">
        <f aca="false">B7-'Gulv, tak og pris'!$B$14</f>
        <v>4390.08</v>
      </c>
      <c r="D7" s="36" t="n">
        <f aca="false">IF(B7=0,0,C7/B7)</f>
        <v>0.1833012666346</v>
      </c>
      <c r="E7" s="28" t="n">
        <f aca="false">B7-'Gulv, tak og pris'!$B$15</f>
        <v>190.080000000002</v>
      </c>
      <c r="F7" s="37" t="n">
        <f aca="false">IF(C7&lt;=0,"",'Gulv, tak og pris'!$B$21/C7-1)</f>
        <v>0.606166630220861</v>
      </c>
      <c r="G7" s="20" t="s">
        <v>152</v>
      </c>
    </row>
    <row r="8" customFormat="false" ht="15" hidden="false" customHeight="false" outlineLevel="0" collapsed="false">
      <c r="A8" s="26" t="n">
        <v>-0.05</v>
      </c>
      <c r="B8" s="28" t="n">
        <f aca="false">'Gulv, tak og pris'!$B$17*(1+A8)</f>
        <v>25280.64</v>
      </c>
      <c r="C8" s="29" t="n">
        <f aca="false">B8-'Gulv, tak og pris'!$B$14</f>
        <v>5720.64</v>
      </c>
      <c r="D8" s="36" t="n">
        <f aca="false">IF(B8=0,0,C8/B8)</f>
        <v>0.226285410495937</v>
      </c>
      <c r="E8" s="28" t="n">
        <f aca="false">B8-'Gulv, tak og pris'!$B$15</f>
        <v>1520.64</v>
      </c>
      <c r="F8" s="37" t="n">
        <f aca="false">IF(C8&lt;=0,"",'Gulv, tak og pris'!$B$21/C8-1)</f>
        <v>0.232589360630979</v>
      </c>
      <c r="G8" s="20" t="s">
        <v>153</v>
      </c>
    </row>
    <row r="9" customFormat="false" ht="15" hidden="false" customHeight="false" outlineLevel="0" collapsed="false">
      <c r="A9" s="26" t="n">
        <v>0</v>
      </c>
      <c r="B9" s="31" t="n">
        <f aca="false">'Gulv, tak og pris'!$B$17*(1+A9)</f>
        <v>26611.2</v>
      </c>
      <c r="C9" s="29" t="n">
        <f aca="false">B9-'Gulv, tak og pris'!$B$14</f>
        <v>7051.2</v>
      </c>
      <c r="D9" s="36" t="n">
        <f aca="false">IF(B9=0,0,C9/B9)</f>
        <v>0.26497113997114</v>
      </c>
      <c r="E9" s="28" t="n">
        <f aca="false">B9-'Gulv, tak og pris'!$B$15</f>
        <v>2851.2</v>
      </c>
      <c r="F9" s="37" t="n">
        <f aca="false">IF(C9&lt;=0,"",'Gulv, tak og pris'!$B$21/C9-1)</f>
        <v>0</v>
      </c>
      <c r="G9" s="20" t="s">
        <v>154</v>
      </c>
    </row>
    <row r="10" customFormat="false" ht="15" hidden="false" customHeight="false" outlineLevel="0" collapsed="false">
      <c r="A10" s="26" t="n">
        <v>0.05</v>
      </c>
      <c r="B10" s="28" t="n">
        <f aca="false">'Gulv, tak og pris'!$B$17*(1+A10)</f>
        <v>27941.76</v>
      </c>
      <c r="C10" s="29" t="n">
        <f aca="false">B10-'Gulv, tak og pris'!$B$14</f>
        <v>8381.76</v>
      </c>
      <c r="D10" s="36" t="n">
        <f aca="false">IF(B10=0,0,C10/B10)</f>
        <v>0.299972514258229</v>
      </c>
      <c r="E10" s="28" t="n">
        <f aca="false">B10-'Gulv, tak og pris'!$B$15</f>
        <v>4181.76</v>
      </c>
      <c r="F10" s="37" t="n">
        <f aca="false">IF(C10&lt;=0,"",'Gulv, tak og pris'!$B$21/C10-1)</f>
        <v>-0.158744702783186</v>
      </c>
      <c r="G10" s="20" t="s">
        <v>155</v>
      </c>
    </row>
    <row r="11" customFormat="false" ht="15" hidden="false" customHeight="false" outlineLevel="0" collapsed="false">
      <c r="A11" s="26" t="n">
        <v>0.1</v>
      </c>
      <c r="B11" s="28" t="n">
        <f aca="false">'Gulv, tak og pris'!$B$17*(1+A11)</f>
        <v>29272.32</v>
      </c>
      <c r="C11" s="29" t="n">
        <f aca="false">B11-'Gulv, tak og pris'!$B$14</f>
        <v>9712.32</v>
      </c>
      <c r="D11" s="36" t="n">
        <f aca="false">IF(B11=0,0,C11/B11)</f>
        <v>0.331791945428309</v>
      </c>
      <c r="E11" s="28" t="n">
        <f aca="false">B11-'Gulv, tak og pris'!$B$15</f>
        <v>5512.32</v>
      </c>
      <c r="F11" s="37" t="n">
        <f aca="false">IF(C11&lt;=0,"",'Gulv, tak og pris'!$B$21/C11-1)</f>
        <v>-0.27399426707522</v>
      </c>
      <c r="G11" s="20" t="s">
        <v>156</v>
      </c>
    </row>
    <row r="13" customFormat="false" ht="15" hidden="false" customHeight="false" outlineLevel="0" collapsed="false">
      <c r="A13" s="22" t="s">
        <v>157</v>
      </c>
    </row>
    <row r="14" customFormat="false" ht="15" hidden="false" customHeight="false" outlineLevel="0" collapsed="false">
      <c r="A14" s="18" t="s">
        <v>135</v>
      </c>
    </row>
    <row r="15" customFormat="false" ht="15" hidden="false" customHeight="false" outlineLevel="0" collapsed="false">
      <c r="A15" s="20" t="s">
        <v>158</v>
      </c>
      <c r="C15" s="35" t="str">
        <f aca="false">IF(ABS(C7/C9-1)&gt;ABS(A7-A9),"OK — dekningsbidraget faller brattere enn prisen. Det er hele mekanismen i kapitlet","AVVIK: kontroller de variable kostnadene i arket Gulv, tak og pris")</f>
        <v>OK — dekningsbidraget faller brattere enn prisen. Det er hele mekanismen i kapitlet</v>
      </c>
    </row>
    <row r="16" customFormat="false" ht="15" hidden="false" customHeight="false" outlineLevel="0" collapsed="false">
      <c r="A16" s="20" t="s">
        <v>159</v>
      </c>
      <c r="C16" s="35" t="str">
        <f aca="false">IF(ABS(B9-'Gulv, tak og pris'!B17)&lt;0.01,"OK — raden med null endring gir samme pris som kalkylen","AVVIK: raden med null endring stemmer ikke med kalkylen")</f>
        <v>OK — raden med null endring gir samme pris som kalkylen</v>
      </c>
    </row>
  </sheetData>
  <conditionalFormatting sqref="C15">
    <cfRule type="expression" priority="2" aboveAverage="0" equalAverage="0" bottom="0" percent="0" rank="0" text="" dxfId="0">
      <formula>LEFT(C15,5)="AVVIK"</formula>
    </cfRule>
  </conditionalFormatting>
  <conditionalFormatting sqref="C16">
    <cfRule type="expression" priority="3" aboveAverage="0" equalAverage="0" bottom="0" percent="0" rank="0" text="" dxfId="0">
      <formula>LEFT(C16,5)="AVVIK"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6"/>
    <col collapsed="false" customWidth="true" hidden="false" outlineLevel="0" max="4" min="4" style="0" width="56"/>
  </cols>
  <sheetData>
    <row r="1" customFormat="false" ht="17.35" hidden="false" customHeight="false" outlineLevel="0" collapsed="false">
      <c r="A1" s="1" t="s">
        <v>160</v>
      </c>
    </row>
    <row r="2" customFormat="false" ht="15" hidden="false" customHeight="false" outlineLevel="0" collapsed="false">
      <c r="A2" s="16" t="s">
        <v>161</v>
      </c>
    </row>
    <row r="4" customFormat="false" ht="15" hidden="false" customHeight="false" outlineLevel="0" collapsed="false">
      <c r="A4" s="18" t="s">
        <v>162</v>
      </c>
    </row>
    <row r="5" customFormat="false" ht="15" hidden="false" customHeight="false" outlineLevel="0" collapsed="false">
      <c r="A5" s="20" t="s">
        <v>163</v>
      </c>
      <c r="B5" s="38" t="n">
        <v>26611.2</v>
      </c>
    </row>
    <row r="6" customFormat="false" ht="15" hidden="false" customHeight="false" outlineLevel="0" collapsed="false">
      <c r="A6" s="20" t="s">
        <v>164</v>
      </c>
      <c r="B6" s="25" t="n">
        <v>19560</v>
      </c>
      <c r="D6" s="20" t="s">
        <v>165</v>
      </c>
    </row>
    <row r="7" customFormat="false" ht="15" hidden="false" customHeight="false" outlineLevel="0" collapsed="false">
      <c r="A7" s="20" t="s">
        <v>166</v>
      </c>
      <c r="B7" s="24" t="n">
        <v>40</v>
      </c>
    </row>
    <row r="8" customFormat="false" ht="15" hidden="false" customHeight="false" outlineLevel="0" collapsed="false">
      <c r="A8" s="20" t="s">
        <v>167</v>
      </c>
      <c r="B8" s="26" t="n">
        <v>0.1</v>
      </c>
    </row>
    <row r="10" customFormat="false" ht="15" hidden="false" customHeight="false" outlineLevel="0" collapsed="false">
      <c r="A10" s="18" t="s">
        <v>168</v>
      </c>
    </row>
    <row r="11" customFormat="false" ht="15" hidden="false" customHeight="false" outlineLevel="0" collapsed="false">
      <c r="A11" s="20" t="s">
        <v>169</v>
      </c>
      <c r="B11" s="29" t="n">
        <f aca="false">B5-B6</f>
        <v>7051.2</v>
      </c>
    </row>
    <row r="12" customFormat="false" ht="15" hidden="false" customHeight="false" outlineLevel="0" collapsed="false">
      <c r="A12" s="20" t="s">
        <v>115</v>
      </c>
      <c r="B12" s="36" t="n">
        <f aca="false">IF(B5=0,0,B11/B5)</f>
        <v>0.26497113997114</v>
      </c>
    </row>
    <row r="13" customFormat="false" ht="15" hidden="false" customHeight="false" outlineLevel="0" collapsed="false">
      <c r="A13" s="20" t="s">
        <v>170</v>
      </c>
      <c r="B13" s="27" t="n">
        <f aca="false">B11*B7</f>
        <v>282048</v>
      </c>
    </row>
    <row r="15" customFormat="false" ht="15" hidden="false" customHeight="false" outlineLevel="0" collapsed="false">
      <c r="A15" s="18" t="s">
        <v>171</v>
      </c>
    </row>
    <row r="16" customFormat="false" ht="15" hidden="false" customHeight="false" outlineLevel="0" collapsed="false">
      <c r="A16" s="20" t="s">
        <v>172</v>
      </c>
      <c r="B16" s="31" t="n">
        <f aca="false">B5*(1-B8)</f>
        <v>23950.08</v>
      </c>
    </row>
    <row r="17" customFormat="false" ht="15" hidden="false" customHeight="false" outlineLevel="0" collapsed="false">
      <c r="A17" s="20" t="s">
        <v>173</v>
      </c>
      <c r="B17" s="29" t="n">
        <f aca="false">B16-B6</f>
        <v>4390.08</v>
      </c>
    </row>
    <row r="18" customFormat="false" ht="15" hidden="false" customHeight="false" outlineLevel="0" collapsed="false">
      <c r="A18" s="20" t="s">
        <v>174</v>
      </c>
      <c r="B18" s="36" t="n">
        <f aca="false">IF(B16=0,0,B17/B16)</f>
        <v>0.1833012666346</v>
      </c>
    </row>
    <row r="19" customFormat="false" ht="15" hidden="false" customHeight="false" outlineLevel="0" collapsed="false">
      <c r="A19" s="20" t="s">
        <v>175</v>
      </c>
      <c r="B19" s="37" t="n">
        <f aca="false">IF(B11=0,0,B17/B11-1)</f>
        <v>-0.377399591558883</v>
      </c>
      <c r="D19" s="20" t="s">
        <v>176</v>
      </c>
    </row>
    <row r="21" customFormat="false" ht="15" hidden="false" customHeight="false" outlineLevel="0" collapsed="false">
      <c r="A21" s="18" t="s">
        <v>177</v>
      </c>
    </row>
    <row r="22" customFormat="false" ht="15" hidden="false" customHeight="false" outlineLevel="0" collapsed="false">
      <c r="A22" s="20" t="s">
        <v>178</v>
      </c>
      <c r="B22" s="39" t="n">
        <f aca="false">IF(B17&lt;=0,"",B11/B17)</f>
        <v>1.60616663022086</v>
      </c>
    </row>
    <row r="23" customFormat="false" ht="15" hidden="false" customHeight="false" outlineLevel="0" collapsed="false">
      <c r="A23" s="20" t="s">
        <v>179</v>
      </c>
      <c r="B23" s="37" t="n">
        <f aca="false">IF(B17&lt;=0,"",B22-1)</f>
        <v>0.606166630220861</v>
      </c>
    </row>
    <row r="24" customFormat="false" ht="15" hidden="false" customHeight="false" outlineLevel="0" collapsed="false">
      <c r="A24" s="20" t="s">
        <v>180</v>
      </c>
      <c r="B24" s="34" t="n">
        <f aca="false">IF(B17&lt;=0,"",ROUNDUP(B7*B22,0))</f>
        <v>65</v>
      </c>
    </row>
    <row r="25" customFormat="false" ht="15" hidden="false" customHeight="false" outlineLevel="0" collapsed="false">
      <c r="A25" s="20" t="s">
        <v>181</v>
      </c>
      <c r="B25" s="40" t="n">
        <f aca="false">IF(B17&lt;=0,"",B24-B7)</f>
        <v>25</v>
      </c>
      <c r="D25" s="34" t="str">
        <f aca="false">IF(B17&lt;=0,"Prisen er nå under de variable kostnadene. Da finnes det ingen volumøkning som redder jobben.",IF(B23&gt;0.5,"Over femti prosent flere jobber. Det skjer ikke. Rabatten er for stor.",IF(B23&gt;0.2,"Krevende, men mulig hvis kapasiteten står ledig.","Overkommelig.")))</f>
        <v>Over femti prosent flere jobber. Det skjer ikke. Rabatten er for stor.</v>
      </c>
    </row>
    <row r="27" customFormat="false" ht="15" hidden="false" customHeight="false" outlineLevel="0" collapsed="false">
      <c r="A27" s="18" t="s">
        <v>182</v>
      </c>
    </row>
    <row ht="39.75" customHeight="true" r="28" customFormat="false" hidden="false" outlineLevel="0" collapsed="false">
      <c r="A28" s="23" t="s">
        <v>183</v>
      </c>
      <c r="B28" s="23" t="s">
        <v>184</v>
      </c>
      <c r="C28" s="23" t="s">
        <v>185</v>
      </c>
      <c r="D28" s="23" t="s">
        <v>148</v>
      </c>
      <c r="E28" s="23" t="s">
        <v>186</v>
      </c>
    </row>
    <row r="29" customFormat="false" ht="15" hidden="false" customHeight="false" outlineLevel="0" collapsed="false">
      <c r="A29" s="26" t="n">
        <v>0.02</v>
      </c>
      <c r="B29" s="28" t="n">
        <f aca="false">$B$5*(1-A29)</f>
        <v>26078.976</v>
      </c>
      <c r="C29" s="31" t="n">
        <f aca="false">B29-$B$6</f>
        <v>6518.976</v>
      </c>
      <c r="D29" s="37" t="n">
        <f aca="false">IF(C29&lt;=0,"",$B$11/C29-1)</f>
        <v>0.0816422701970374</v>
      </c>
      <c r="E29" s="40" t="n">
        <f aca="false">IF(C29&lt;=0,"",ROUNDUP($B$7*$B$11/C29,0))</f>
        <v>44</v>
      </c>
    </row>
    <row r="30" customFormat="false" ht="15" hidden="false" customHeight="false" outlineLevel="0" collapsed="false">
      <c r="A30" s="26" t="n">
        <v>0.05</v>
      </c>
      <c r="B30" s="28" t="n">
        <f aca="false">$B$5*(1-A30)</f>
        <v>25280.64</v>
      </c>
      <c r="C30" s="31" t="n">
        <f aca="false">B30-$B$6</f>
        <v>5720.64</v>
      </c>
      <c r="D30" s="37" t="n">
        <f aca="false">IF(C30&lt;=0,"",$B$11/C30-1)</f>
        <v>0.232589360630979</v>
      </c>
      <c r="E30" s="40" t="n">
        <f aca="false">IF(C30&lt;=0,"",ROUNDUP($B$7*$B$11/C30,0))</f>
        <v>50</v>
      </c>
    </row>
    <row r="31" customFormat="false" ht="15" hidden="false" customHeight="false" outlineLevel="0" collapsed="false">
      <c r="A31" s="26" t="n">
        <v>0.1</v>
      </c>
      <c r="B31" s="28" t="n">
        <f aca="false">$B$5*(1-A31)</f>
        <v>23950.08</v>
      </c>
      <c r="C31" s="31" t="n">
        <f aca="false">B31-$B$6</f>
        <v>4390.08</v>
      </c>
      <c r="D31" s="37" t="n">
        <f aca="false">IF(C31&lt;=0,"",$B$11/C31-1)</f>
        <v>0.606166630220861</v>
      </c>
      <c r="E31" s="40" t="n">
        <f aca="false">IF(C31&lt;=0,"",ROUNDUP($B$7*$B$11/C31,0))</f>
        <v>65</v>
      </c>
    </row>
    <row r="32" customFormat="false" ht="15" hidden="false" customHeight="false" outlineLevel="0" collapsed="false">
      <c r="A32" s="26" t="n">
        <v>0.15</v>
      </c>
      <c r="B32" s="28" t="n">
        <f aca="false">$B$5*(1-A32)</f>
        <v>22619.52</v>
      </c>
      <c r="C32" s="31" t="n">
        <f aca="false">B32-$B$6</f>
        <v>3059.52</v>
      </c>
      <c r="D32" s="37" t="n">
        <f aca="false">IF(C32&lt;=0,"",$B$11/C32-1)</f>
        <v>1.3046752431754</v>
      </c>
      <c r="E32" s="40" t="n">
        <f aca="false">IF(C32&lt;=0,"",ROUNDUP($B$7*$B$11/C32,0))</f>
        <v>93</v>
      </c>
    </row>
    <row r="33" customFormat="false" ht="15" hidden="false" customHeight="false" outlineLevel="0" collapsed="false">
      <c r="A33" s="26" t="n">
        <v>0.2</v>
      </c>
      <c r="B33" s="28" t="n">
        <f aca="false">$B$5*(1-A33)</f>
        <v>21288.96</v>
      </c>
      <c r="C33" s="31" t="n">
        <f aca="false">B33-$B$6</f>
        <v>1728.96</v>
      </c>
      <c r="D33" s="37" t="n">
        <f aca="false">IF(C33&lt;=0,"",$B$11/C33-1)</f>
        <v>3.07828983897834</v>
      </c>
      <c r="E33" s="40" t="n">
        <f aca="false">IF(C33&lt;=0,"",ROUNDUP($B$7*$B$11/C33,0))</f>
        <v>164</v>
      </c>
    </row>
    <row r="34" customFormat="false" ht="15" hidden="false" customHeight="false" outlineLevel="0" collapsed="false">
      <c r="A34" s="26" t="n">
        <v>0.25</v>
      </c>
      <c r="B34" s="28" t="n">
        <f aca="false">$B$5*(1-A34)</f>
        <v>19958.4</v>
      </c>
      <c r="C34" s="31" t="n">
        <f aca="false">B34-$B$6</f>
        <v>398.400000000001</v>
      </c>
      <c r="D34" s="37" t="n">
        <f aca="false">IF(C34&lt;=0,"",$B$11/C34-1)</f>
        <v>16.6987951807228</v>
      </c>
      <c r="E34" s="40" t="n">
        <f aca="false">IF(C34&lt;=0,"",ROUNDUP($B$7*$B$11/C34,0))</f>
        <v>708</v>
      </c>
    </row>
    <row r="36" customFormat="false" ht="15" hidden="false" customHeight="false" outlineLevel="0" collapsed="false">
      <c r="A36" s="22" t="s">
        <v>187</v>
      </c>
    </row>
    <row r="38" customFormat="false" ht="15" hidden="false" customHeight="false" outlineLevel="0" collapsed="false">
      <c r="A38" s="18" t="s">
        <v>188</v>
      </c>
    </row>
    <row r="39" customFormat="false" ht="15" hidden="false" customHeight="false" outlineLevel="0" collapsed="false">
      <c r="A39" s="20" t="s">
        <v>189</v>
      </c>
      <c r="B39" s="25" t="n">
        <v>8830</v>
      </c>
      <c r="C39" s="20" t="s">
        <v>190</v>
      </c>
      <c r="D39" s="24" t="n">
        <v>180</v>
      </c>
    </row>
    <row r="40" customFormat="false" ht="15" hidden="false" customHeight="false" outlineLevel="0" collapsed="false">
      <c r="A40" s="20" t="s">
        <v>191</v>
      </c>
      <c r="B40" s="25" t="n">
        <v>8400</v>
      </c>
      <c r="C40" s="20" t="s">
        <v>192</v>
      </c>
      <c r="D40" s="24" t="n">
        <v>215</v>
      </c>
    </row>
    <row r="41" customFormat="false" ht="15" hidden="false" customHeight="false" outlineLevel="0" collapsed="false">
      <c r="A41" s="20" t="s">
        <v>193</v>
      </c>
      <c r="B41" s="25" t="n">
        <v>7780</v>
      </c>
    </row>
    <row r="43" customFormat="false" ht="15" hidden="false" customHeight="false" outlineLevel="0" collapsed="false">
      <c r="A43" s="20" t="s">
        <v>194</v>
      </c>
      <c r="B43" s="32" t="n">
        <f aca="false">B39*D39</f>
        <v>1589400</v>
      </c>
      <c r="C43" s="32" t="n">
        <f aca="false">B40*D40</f>
        <v>1806000</v>
      </c>
      <c r="D43" s="27" t="n">
        <f aca="false">C43-B43</f>
        <v>216600</v>
      </c>
    </row>
    <row r="44" customFormat="false" ht="15" hidden="false" customHeight="false" outlineLevel="0" collapsed="false">
      <c r="A44" s="20" t="s">
        <v>195</v>
      </c>
      <c r="B44" s="32" t="n">
        <f aca="false">(B39-$B$41)*D39</f>
        <v>189000</v>
      </c>
      <c r="C44" s="32" t="n">
        <f aca="false">(B40-$B$41)*D40</f>
        <v>133300</v>
      </c>
      <c r="D44" s="27" t="n">
        <f aca="false">C44-B44</f>
        <v>-55700</v>
      </c>
    </row>
    <row r="45" customFormat="false" ht="15" hidden="false" customHeight="false" outlineLevel="0" collapsed="false">
      <c r="A45" s="20" t="s">
        <v>196</v>
      </c>
      <c r="B45" s="34" t="n">
        <f aca="false">ROUNDUP(B44/(B40-$B$41),0)</f>
        <v>305</v>
      </c>
    </row>
    <row r="46" customFormat="false" ht="15" hidden="false" customHeight="false" outlineLevel="0" collapsed="false">
      <c r="A46" s="20" t="s">
        <v>197</v>
      </c>
      <c r="B46" s="40" t="n">
        <f aca="false">B45-D40</f>
        <v>90</v>
      </c>
    </row>
    <row r="48" customFormat="false" ht="15" hidden="false" customHeight="false" outlineLevel="0" collapsed="false">
      <c r="A48" s="22" t="s">
        <v>198</v>
      </c>
    </row>
    <row r="50" customFormat="false" ht="15" hidden="false" customHeight="false" outlineLevel="0" collapsed="false">
      <c r="A50" s="18" t="s">
        <v>135</v>
      </c>
    </row>
    <row r="51" customFormat="false" ht="15" hidden="false" customHeight="false" outlineLevel="0" collapsed="false">
      <c r="A51" s="20" t="s">
        <v>199</v>
      </c>
      <c r="C51" s="35" t="str">
        <f aca="false">IF(B17&lt;=0,"AVVIK: prisen er under de variable kostnadene — ingen volumøkning redder jobben",IF(B23&gt;B8,"OK — volumet må øke mer enn rabatten er på. Slik er det alltid","AVVIK: kontroller de variable kostnadene i B6"))</f>
        <v>OK — volumet må øke mer enn rabatten er på. Slik er det alltid</v>
      </c>
    </row>
    <row r="52" customFormat="false" ht="15" hidden="false" customHeight="false" outlineLevel="0" collapsed="false">
      <c r="A52" s="20" t="s">
        <v>200</v>
      </c>
      <c r="C52" s="35" t="str">
        <f aca="false">IF(D34&gt;D29,"OK — større rabatt krever større volumøkning","AVVIK: rabattstigen skal bli brattere nedover")</f>
        <v>OK — større rabatt krever større volumøkning</v>
      </c>
    </row>
    <row r="53" customFormat="false" ht="15" hidden="false" customHeight="false" outlineLevel="0" collapsed="false">
      <c r="A53" s="20" t="s">
        <v>201</v>
      </c>
      <c r="C53" s="35" t="str">
        <f aca="false">IF(D44&lt;0,"OK — omsetningen steg og dekningsbidraget falt. Elastisk etterspørsel sier noe om omsetningen, ingenting om fortjenesten","AVVIK: kontroller de variable enhetskostnadene")</f>
        <v>OK — omsetningen steg og dekningsbidraget falt. Elastisk etterspørsel sier noe om omsetningen, ingenting om fortjenesten</v>
      </c>
    </row>
  </sheetData>
  <conditionalFormatting sqref="C51">
    <cfRule type="expression" priority="2" aboveAverage="0" equalAverage="0" bottom="0" percent="0" rank="0" text="" dxfId="0">
      <formula>LEFT(C51,5)="AVVIK"</formula>
    </cfRule>
  </conditionalFormatting>
  <conditionalFormatting sqref="C52">
    <cfRule type="expression" priority="3" aboveAverage="0" equalAverage="0" bottom="0" percent="0" rank="0" text="" dxfId="0">
      <formula>LEFT(C52,5)="AVVIK"</formula>
    </cfRule>
  </conditionalFormatting>
  <conditionalFormatting sqref="C53">
    <cfRule type="expression" priority="4" aboveAverage="0" equalAverage="0" bottom="0" percent="0" rank="0" text="" dxfId="0">
      <formula>LEFT(C53,5)="AVVIK"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4" min="3" style="0" width="13"/>
    <col collapsed="false" customWidth="true" hidden="false" outlineLevel="0" max="5" min="5" style="0" width="12"/>
    <col collapsed="false" customWidth="true" hidden="false" outlineLevel="0" max="6" min="6" style="0" width="11"/>
    <col collapsed="false" customWidth="true" hidden="false" outlineLevel="0" max="7" min="7" style="0" width="30"/>
  </cols>
  <sheetData>
    <row r="1" customFormat="false" ht="17.35" hidden="false" customHeight="false" outlineLevel="0" collapsed="false">
      <c r="A1" s="1" t="s">
        <v>202</v>
      </c>
    </row>
    <row r="2" customFormat="false" ht="15" hidden="false" customHeight="false" outlineLevel="0" collapsed="false">
      <c r="A2" s="16" t="s">
        <v>203</v>
      </c>
    </row>
    <row r="4" customFormat="false" ht="15" hidden="false" customHeight="false" outlineLevel="0" collapsed="false">
      <c r="A4" s="18" t="s">
        <v>204</v>
      </c>
    </row>
    <row r="5" customFormat="false" ht="15" hidden="false" customHeight="false" outlineLevel="0" collapsed="false">
      <c r="A5" s="20" t="s">
        <v>205</v>
      </c>
      <c r="B5" s="25" t="n">
        <v>890</v>
      </c>
    </row>
    <row r="6" customFormat="false" ht="15" hidden="false" customHeight="false" outlineLevel="0" collapsed="false">
      <c r="A6" s="20" t="s">
        <v>206</v>
      </c>
      <c r="B6" s="25" t="n">
        <v>640</v>
      </c>
    </row>
    <row ht="27" customHeight="true" r="7" customFormat="false" hidden="false" outlineLevel="0" collapsed="false">
      <c s="42" r="A7" t="s">
        <v>207</v>
      </c>
      <c r="B7" s="41" t="n">
        <v>1.5</v>
      </c>
    </row>
    <row r="8" customFormat="false" ht="15" hidden="false" customHeight="false" outlineLevel="0" collapsed="false">
      <c r="A8" s="20" t="s">
        <v>208</v>
      </c>
      <c r="B8" s="37" t="n">
        <f aca="false">IF(B5=0,0,(B5-B6)/B5)</f>
        <v>0.280898876404494</v>
      </c>
    </row>
    <row r="10" customFormat="false" ht="27.75" hidden="false" customHeight="true" outlineLevel="0" collapsed="false">
      <c r="A10" s="23" t="s">
        <v>209</v>
      </c>
      <c r="B10" s="23" t="s">
        <v>210</v>
      </c>
      <c r="C10" s="23" t="s">
        <v>144</v>
      </c>
      <c r="D10" s="23" t="s">
        <v>211</v>
      </c>
      <c r="E10" s="23" t="s">
        <v>212</v>
      </c>
      <c r="F10" s="23" t="s">
        <v>146</v>
      </c>
      <c r="G10" s="23" t="s">
        <v>213</v>
      </c>
    </row>
    <row r="11" customFormat="false" ht="15" hidden="false" customHeight="false" outlineLevel="0" collapsed="false">
      <c r="A11" s="20" t="s">
        <v>214</v>
      </c>
      <c r="B11" s="41" t="n">
        <v>0.9</v>
      </c>
      <c r="C11" s="33" t="n">
        <f aca="false">$B$5*B11</f>
        <v>801</v>
      </c>
      <c r="D11" s="32" t="n">
        <f aca="false">IF(A11="",0,$B$6*IF(B11&gt;=1.4,$B$7,1))</f>
        <v>640</v>
      </c>
      <c r="E11" s="27" t="n">
        <f aca="false">C11-D11</f>
        <v>161</v>
      </c>
      <c r="F11" s="30" t="n">
        <f aca="false">IF(C11=0,0,E11/C11)</f>
        <v>0.200998751560549</v>
      </c>
      <c r="G11" s="20" t="s">
        <v>215</v>
      </c>
    </row>
    <row r="12" customFormat="false" ht="15" hidden="false" customHeight="false" outlineLevel="0" collapsed="false">
      <c r="A12" s="20" t="s">
        <v>216</v>
      </c>
      <c r="B12" s="41" t="n">
        <v>1</v>
      </c>
      <c r="C12" s="33" t="n">
        <f aca="false">$B$5*B12</f>
        <v>890</v>
      </c>
      <c r="D12" s="32" t="n">
        <f aca="false">IF(A12="",0,$B$6*IF(B12&gt;=1.4,$B$7,1))</f>
        <v>640</v>
      </c>
      <c r="E12" s="27" t="n">
        <f aca="false">C12-D12</f>
        <v>250</v>
      </c>
      <c r="F12" s="30" t="n">
        <f aca="false">IF(C12=0,0,E12/C12)</f>
        <v>0.280898876404494</v>
      </c>
      <c r="G12" s="20" t="s">
        <v>217</v>
      </c>
    </row>
    <row r="13" customFormat="false" ht="15" hidden="false" customHeight="false" outlineLevel="0" collapsed="false">
      <c r="A13" s="20" t="s">
        <v>218</v>
      </c>
      <c r="B13" s="41" t="n">
        <v>1.3</v>
      </c>
      <c r="C13" s="33" t="n">
        <f aca="false">$B$5*B13</f>
        <v>1157</v>
      </c>
      <c r="D13" s="32" t="n">
        <f aca="false">IF(A13="",0,$B$6*IF(B13&gt;=1.4,$B$7,1))</f>
        <v>640</v>
      </c>
      <c r="E13" s="27" t="n">
        <f aca="false">C13-D13</f>
        <v>517</v>
      </c>
      <c r="F13" s="30" t="n">
        <f aca="false">IF(C13=0,0,E13/C13)</f>
        <v>0.446845289541919</v>
      </c>
      <c r="G13" s="20" t="s">
        <v>219</v>
      </c>
    </row>
    <row r="14" customFormat="false" ht="15" hidden="false" customHeight="false" outlineLevel="0" collapsed="false">
      <c r="A14" s="20" t="s">
        <v>220</v>
      </c>
      <c r="B14" s="41" t="n">
        <v>1.4</v>
      </c>
      <c r="C14" s="33" t="n">
        <f aca="false">$B$5*B14</f>
        <v>1246</v>
      </c>
      <c r="D14" s="32" t="n">
        <f aca="false">IF(A14="",0,$B$6*IF(B14&gt;=1.4,$B$7,1))</f>
        <v>960</v>
      </c>
      <c r="E14" s="27" t="n">
        <f aca="false">C14-D14</f>
        <v>286</v>
      </c>
      <c r="F14" s="30" t="n">
        <f aca="false">IF(C14=0,0,E14/C14)</f>
        <v>0.229534510433387</v>
      </c>
      <c r="G14" s="20" t="s">
        <v>219</v>
      </c>
    </row>
    <row r="15" customFormat="false" ht="15" hidden="false" customHeight="false" outlineLevel="0" collapsed="false">
      <c r="A15" s="20" t="s">
        <v>221</v>
      </c>
      <c r="B15" s="41" t="n">
        <v>2</v>
      </c>
      <c r="C15" s="33" t="n">
        <f aca="false">$B$5*B15</f>
        <v>1780</v>
      </c>
      <c r="D15" s="32" t="n">
        <f aca="false">IF(A15="",0,$B$6*IF(B15&gt;=1.4,$B$7,1))</f>
        <v>960</v>
      </c>
      <c r="E15" s="27" t="n">
        <f aca="false">C15-D15</f>
        <v>820</v>
      </c>
      <c r="F15" s="30" t="n">
        <f aca="false">IF(C15=0,0,E15/C15)</f>
        <v>0.460674157303371</v>
      </c>
      <c r="G15" s="20" t="s">
        <v>219</v>
      </c>
    </row>
    <row r="17" customFormat="false" ht="15" hidden="false" customHeight="false" outlineLevel="0" collapsed="false">
      <c r="A17" s="18" t="s">
        <v>222</v>
      </c>
    </row>
    <row r="18" customFormat="false" ht="15" hidden="false" customHeight="false" outlineLevel="0" collapsed="false">
      <c r="A18" s="20" t="s">
        <v>223</v>
      </c>
      <c r="B18" s="24" t="n">
        <v>3</v>
      </c>
    </row>
    <row r="19" customFormat="false" ht="15" hidden="false" customHeight="false" outlineLevel="0" collapsed="false">
      <c r="A19" s="20" t="s">
        <v>224</v>
      </c>
      <c r="C19" s="34" t="str">
        <f aca="false">INDEX($A$11:$A$15,$B$18)</f>
        <v>Hasteoppdrag samme dag, innenfor arbeidstid</v>
      </c>
    </row>
    <row r="20" customFormat="false" ht="15" hidden="false" customHeight="false" outlineLevel="0" collapsed="false">
      <c r="A20" s="20" t="s">
        <v>225</v>
      </c>
      <c r="B20" s="27" t="n">
        <f aca="false">INDEX($E$11:$E$15,$B$18)</f>
        <v>517</v>
      </c>
    </row>
    <row r="21" customFormat="false" ht="15" hidden="false" customHeight="false" outlineLevel="0" collapsed="false">
      <c r="A21" s="20" t="s">
        <v>226</v>
      </c>
      <c r="B21" s="33" t="n">
        <f aca="false">MAX($E$11:$E$15)</f>
        <v>820</v>
      </c>
      <c r="C21" s="34" t="str">
        <f aca="false">INDEX($A$11:$A$15,MATCH(MAX($E$11:$E$15),$E$11:$E$15,0))</f>
        <v>Utrykning natt og helg</v>
      </c>
    </row>
    <row r="22" customFormat="false" ht="15" hidden="false" customHeight="false" outlineLevel="0" collapsed="false">
      <c r="A22" s="20" t="s">
        <v>227</v>
      </c>
      <c r="B22" s="27" t="n">
        <f aca="false">SUMIFS($E$11:$E$15,$G$11:$G$15,"Kundene kjøper til ulikt tidspunkt")</f>
        <v>1623</v>
      </c>
      <c r="D22" s="20" t="s">
        <v>228</v>
      </c>
    </row>
    <row r="24" customFormat="false" ht="15" hidden="false" customHeight="false" outlineLevel="0" collapsed="false">
      <c r="A24" s="18" t="s">
        <v>229</v>
      </c>
    </row>
    <row r="25" customFormat="false" ht="15" hidden="false" customHeight="false" outlineLevel="0" collapsed="false">
      <c r="A25" s="20" t="s">
        <v>230</v>
      </c>
      <c r="B25" s="37" t="n">
        <f aca="false">IF(E11&lt;=0,"",E12/E11-1)</f>
        <v>0.552795031055901</v>
      </c>
      <c r="D25" s="20" t="s">
        <v>231</v>
      </c>
    </row>
    <row r="26" customFormat="false" ht="15" hidden="false" customHeight="false" outlineLevel="0" collapsed="false">
      <c r="A26" s="20" t="s">
        <v>232</v>
      </c>
      <c r="B26" s="27" t="n">
        <f aca="false">IF($B$8&gt;=1,"",D14/(1-$B$8))</f>
        <v>1335</v>
      </c>
      <c r="D26" s="20" t="s">
        <v>233</v>
      </c>
    </row>
    <row r="28" customFormat="false" ht="15" hidden="false" customHeight="false" outlineLevel="0" collapsed="false">
      <c r="A28" s="22" t="s">
        <v>234</v>
      </c>
    </row>
    <row r="29" customFormat="false" ht="15" hidden="false" customHeight="false" outlineLevel="0" collapsed="false">
      <c r="A29" s="22" t="s">
        <v>235</v>
      </c>
    </row>
    <row r="31" customFormat="false" ht="15" hidden="false" customHeight="false" outlineLevel="0" collapsed="false">
      <c r="A31" s="18" t="s">
        <v>135</v>
      </c>
    </row>
    <row r="32" customFormat="false" ht="15" hidden="false" customHeight="false" outlineLevel="0" collapsed="false">
      <c r="A32" s="20" t="s">
        <v>236</v>
      </c>
      <c r="C32" s="35" t="str">
        <f aca="false">IF(MIN(E11:E15)&gt;0,"OK — alle fem variantene dekker sin egen timekostnad","AVVIK: en variant med negativt dekningsbidrag per time skal ikke stå i prislista")</f>
        <v>OK — alle fem variantene dekker sin egen timekostnad</v>
      </c>
    </row>
    <row r="33" customFormat="false" ht="15" hidden="false" customHeight="false" outlineLevel="0" collapsed="false">
      <c r="A33" s="20" t="s">
        <v>237</v>
      </c>
      <c r="C33" s="35" t="str">
        <f aca="false">IF(E11&lt;E12,"OK — rammeavtalen gir mindre per time, og må derfor fylle timer som ellers stod tomme","AVVIK: en rammeavtale som gir mer per time enn listeprisen, er ikke en rabatt")</f>
        <v>OK — rammeavtalen gir mindre per time, og må derfor fylle timer som ellers stod tomme</v>
      </c>
    </row>
    <row r="34" customFormat="false" ht="15" hidden="false" customHeight="false" outlineLevel="0" collapsed="false">
      <c r="A34" s="20" t="s">
        <v>238</v>
      </c>
      <c r="C34" s="35" t="str">
        <f aca="false">IF(F14&lt;F12,"OK — førti prosent påslag gir LAVERE dekningsgrad, fordi timekostnaden steg femti prosent","AVVIK: kontroller overtidsfaktoren i B7")</f>
        <v>OK — førti prosent påslag gir LAVERE dekningsgrad, fordi timekostnaden steg femti prosent</v>
      </c>
    </row>
  </sheetData>
  <conditionalFormatting sqref="C32">
    <cfRule type="expression" priority="2" aboveAverage="0" equalAverage="0" bottom="0" percent="0" rank="0" text="" dxfId="0">
      <formula>LEFT(C32,5)="AVVIK"</formula>
    </cfRule>
  </conditionalFormatting>
  <conditionalFormatting sqref="C33">
    <cfRule type="expression" priority="3" aboveAverage="0" equalAverage="0" bottom="0" percent="0" rank="0" text="" dxfId="0">
      <formula>LEFT(C33,5)="AVVIK"</formula>
    </cfRule>
  </conditionalFormatting>
  <conditionalFormatting sqref="C34">
    <cfRule type="expression" priority="4" aboveAverage="0" equalAverage="0" bottom="0" percent="0" rank="0" text="" dxfId="0">
      <formula>LEFT(C34,5)="AVVIK"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7"/>
    <col collapsed="false" customWidth="true" hidden="false" outlineLevel="0" max="4" min="4" style="0" width="15"/>
    <col collapsed="false" customWidth="true" hidden="false" outlineLevel="0" max="5" min="5" style="0" width="54"/>
  </cols>
  <sheetData>
    <row r="1" customFormat="false" ht="17.35" hidden="false" customHeight="false" outlineLevel="0" collapsed="false">
      <c r="A1" s="1" t="s">
        <v>239</v>
      </c>
    </row>
    <row r="2" customFormat="false" ht="15" hidden="false" customHeight="false" outlineLevel="0" collapsed="false">
      <c r="A2" s="16" t="s">
        <v>240</v>
      </c>
    </row>
    <row r="4" customFormat="false" ht="15" hidden="false" customHeight="false" outlineLevel="0" collapsed="false">
      <c r="A4" s="18" t="s">
        <v>241</v>
      </c>
    </row>
    <row r="5" customFormat="false" ht="15" hidden="false" customHeight="false" outlineLevel="0" collapsed="false">
      <c r="A5" s="17" t="s">
        <v>242</v>
      </c>
    </row>
    <row r="7" customFormat="false" ht="15" hidden="false" customHeight="false" outlineLevel="0" collapsed="false">
      <c r="A7" s="20" t="s">
        <v>243</v>
      </c>
      <c r="B7" s="26" t="n">
        <v>0.1</v>
      </c>
      <c r="E7" s="20" t="s">
        <v>244</v>
      </c>
    </row>
    <row r="8" customFormat="false" ht="15" hidden="false" customHeight="false" outlineLevel="0" collapsed="false">
      <c r="A8" s="20" t="s">
        <v>245</v>
      </c>
      <c r="B8" s="28" t="n">
        <f aca="false">'Gulv, tak og pris'!B17</f>
        <v>26611.2</v>
      </c>
    </row>
    <row r="9" customFormat="false" ht="15" hidden="false" customHeight="false" outlineLevel="0" collapsed="false">
      <c r="A9" s="20" t="s">
        <v>246</v>
      </c>
      <c r="B9" s="32" t="n">
        <f aca="false">'Gulv, tak og pris'!B14</f>
        <v>19560</v>
      </c>
    </row>
    <row r="10" customFormat="false" ht="15" hidden="false" customHeight="false" outlineLevel="0" collapsed="false">
      <c r="A10" s="20" t="s">
        <v>247</v>
      </c>
      <c r="B10" s="32" t="n">
        <f aca="false">'Gulv, tak og pris'!B15</f>
        <v>23760</v>
      </c>
    </row>
    <row r="11" customFormat="false" ht="15" hidden="false" customHeight="false" outlineLevel="0" collapsed="false">
      <c r="A11" s="20" t="s">
        <v>248</v>
      </c>
      <c r="B11" s="29" t="n">
        <f aca="false">B8-B9</f>
        <v>7051.2</v>
      </c>
    </row>
    <row r="13" customFormat="false" ht="15" hidden="false" customHeight="false" outlineLevel="0" collapsed="false">
      <c r="A13" s="20" t="s">
        <v>249</v>
      </c>
      <c r="B13" s="28" t="n">
        <f aca="false">B8*B7</f>
        <v>2661.12</v>
      </c>
    </row>
    <row r="14" customFormat="false" ht="15" hidden="false" customHeight="false" outlineLevel="0" collapsed="false">
      <c r="A14" s="20" t="s">
        <v>250</v>
      </c>
      <c r="B14" s="28" t="n">
        <f aca="false">B8-B13</f>
        <v>23950.08</v>
      </c>
    </row>
    <row r="15" customFormat="false" ht="15" hidden="false" customHeight="false" outlineLevel="0" collapsed="false">
      <c r="A15" s="22" t="s">
        <v>251</v>
      </c>
      <c r="B15" s="29" t="n">
        <f aca="false">B14-B9</f>
        <v>4390.08</v>
      </c>
    </row>
    <row r="16" customFormat="false" ht="15" hidden="false" customHeight="false" outlineLevel="0" collapsed="false">
      <c r="A16" s="20" t="s">
        <v>252</v>
      </c>
      <c r="B16" s="36" t="n">
        <f aca="false">IF(B11=0,"",B15/B11-1)</f>
        <v>-0.377399591558883</v>
      </c>
      <c r="E16" s="20" t="s">
        <v>253</v>
      </c>
    </row>
    <row r="17" customFormat="false" ht="15" hidden="false" customHeight="false" outlineLevel="0" collapsed="false">
      <c r="A17" s="22" t="s">
        <v>254</v>
      </c>
      <c r="B17" s="29" t="n">
        <f aca="false">B14-B10</f>
        <v>190.080000000002</v>
      </c>
      <c r="E17" s="20" t="s">
        <v>255</v>
      </c>
    </row>
    <row r="18" customFormat="false" ht="15" hidden="false" customHeight="false" outlineLevel="0" collapsed="false">
      <c r="A18" s="22" t="s">
        <v>256</v>
      </c>
      <c r="B18" s="37" t="n">
        <f aca="false">IF(B15&lt;=0,"umulig",B11/B15-1)</f>
        <v>0.606166630220861</v>
      </c>
    </row>
    <row r="20" customFormat="false" ht="15" hidden="false" customHeight="false" outlineLevel="0" collapsed="false">
      <c r="A20" s="18" t="s">
        <v>257</v>
      </c>
    </row>
    <row ht="27" customHeight="true" r="21" customFormat="false" hidden="false" outlineLevel="0" collapsed="false">
      <c s="42" r="A21" t="s">
        <v>258</v>
      </c>
      <c r="B21" s="24" t="n">
        <v>5</v>
      </c>
      <c r="E21" s="20" t="s">
        <v>259</v>
      </c>
    </row>
    <row r="22" customFormat="false" ht="15" hidden="false" customHeight="false" outlineLevel="0" collapsed="false">
      <c r="A22" s="22" t="s">
        <v>260</v>
      </c>
      <c r="B22" s="29" t="n">
        <f aca="false">B13*B21</f>
        <v>13305.6</v>
      </c>
    </row>
    <row r="23" customFormat="false" ht="15" hidden="false" customHeight="false" outlineLevel="0" collapsed="false">
      <c r="A23" s="20" t="s">
        <v>261</v>
      </c>
      <c r="B23" s="36" t="n">
        <f aca="false">IF(B11=0,"",B22/(B11*B21))</f>
        <v>0.377399591558884</v>
      </c>
    </row>
    <row r="25" customFormat="false" ht="15" hidden="false" customHeight="false" outlineLevel="0" collapsed="false">
      <c r="A25" s="18" t="s">
        <v>135</v>
      </c>
    </row>
    <row r="26" customFormat="false" ht="15" hidden="false" customHeight="false" outlineLevel="0" collapsed="false">
      <c r="A26" s="20" t="s">
        <v>262</v>
      </c>
      <c r="C26" s="35" t="str">
        <f aca="false">IF(B15&gt;0,"OK — jobben bidrar fortsatt til de faste kostnadene","AVVIK: prisen er under de variable kostnadene. Si nei uansett hvor tom kalenderen er")</f>
        <v>OK — jobben bidrar fortsatt til de faste kostnadene</v>
      </c>
    </row>
    <row r="27" customFormat="false" ht="15" hidden="false" customHeight="false" outlineLevel="0" collapsed="false">
      <c r="A27" s="20" t="s">
        <v>263</v>
      </c>
      <c r="C27" s="35" t="str">
        <f aca="false">IF(B17&gt;0,"OK — det er fortsatt fortjeneste igjen over selvkost","AVVIK: hele fortjenesten på jobben er spist opp. Jobben dekker kostnadene og ingenting mer")</f>
        <v>OK — det er fortsatt fortjeneste igjen over selvkost</v>
      </c>
    </row>
    <row r="30" customFormat="false" ht="15" hidden="false" customHeight="false" outlineLevel="0" collapsed="false">
      <c r="A30" s="18" t="s">
        <v>264</v>
      </c>
    </row>
    <row r="31" customFormat="false" ht="15" hidden="false" customHeight="false" outlineLevel="0" collapsed="false">
      <c r="A31" s="17" t="s">
        <v>265</v>
      </c>
    </row>
    <row r="33" customFormat="false" ht="15" hidden="false" customHeight="false" outlineLevel="0" collapsed="false">
      <c r="A33" s="20" t="s">
        <v>266</v>
      </c>
      <c r="B33" s="25" t="n">
        <v>22400000</v>
      </c>
    </row>
    <row r="34" customFormat="false" ht="15" hidden="false" customHeight="false" outlineLevel="0" collapsed="false">
      <c r="A34" s="20" t="s">
        <v>267</v>
      </c>
      <c r="B34" s="25" t="n">
        <v>21056000</v>
      </c>
    </row>
    <row r="35" customFormat="false" ht="15" hidden="false" customHeight="false" outlineLevel="0" collapsed="false">
      <c r="A35" s="22" t="s">
        <v>268</v>
      </c>
      <c r="B35" s="27" t="n">
        <f aca="false">B33-B34</f>
        <v>1344000</v>
      </c>
    </row>
    <row r="36" customFormat="false" ht="15" hidden="false" customHeight="false" outlineLevel="0" collapsed="false">
      <c r="A36" s="22" t="s">
        <v>269</v>
      </c>
      <c r="B36" s="37" t="n">
        <f aca="false">B35/B33</f>
        <v>0.06</v>
      </c>
      <c r="E36" s="20" t="s">
        <v>270</v>
      </c>
    </row>
    <row r="37" customFormat="false" ht="15" hidden="false" customHeight="false" outlineLevel="0" collapsed="false">
      <c r="A37" s="20" t="s">
        <v>271</v>
      </c>
      <c r="B37" s="33" t="n">
        <f aca="false">B33*(1-B7)</f>
        <v>20160000</v>
      </c>
    </row>
    <row r="38" customFormat="false" ht="15" hidden="false" customHeight="false" outlineLevel="0" collapsed="false">
      <c r="A38" s="22" t="s">
        <v>272</v>
      </c>
      <c r="B38" s="27" t="n">
        <f aca="false">B37-B34</f>
        <v>-896000</v>
      </c>
    </row>
    <row r="39" customFormat="false" ht="15" hidden="false" customHeight="false" outlineLevel="0" collapsed="false">
      <c r="A39" s="20" t="s">
        <v>273</v>
      </c>
      <c r="B39" s="27" t="n">
        <f aca="false">B38-B35</f>
        <v>-2240000</v>
      </c>
      <c r="E39" s="20" t="s">
        <v>274</v>
      </c>
    </row>
    <row r="40" customFormat="false" ht="15" hidden="false" customHeight="false" outlineLevel="0" collapsed="false">
      <c r="A40" s="20" t="s">
        <v>275</v>
      </c>
      <c r="B40" s="26" t="n">
        <v>0.479910714285714</v>
      </c>
    </row>
    <row r="41" customFormat="false" ht="15" hidden="false" customHeight="false" outlineLevel="0" collapsed="false">
      <c r="A41" s="22" t="s">
        <v>276</v>
      </c>
      <c r="B41" s="39" t="n">
        <f aca="false">IF((1-B7-(1-B40))&lt;=0,"umulig",B40/(1-B7-(1-B40)))</f>
        <v>1.26321974148061</v>
      </c>
    </row>
    <row r="42" customFormat="false" ht="15" hidden="false" customHeight="false" outlineLevel="0" collapsed="false">
      <c r="A42" s="20" t="s">
        <v>277</v>
      </c>
      <c r="B42" s="24" t="n">
        <v>14400</v>
      </c>
    </row>
    <row r="43" customFormat="false" ht="15" hidden="false" customHeight="false" outlineLevel="0" collapsed="false">
      <c r="A43" s="20" t="s">
        <v>278</v>
      </c>
      <c r="B43" s="24" t="n">
        <v>20340</v>
      </c>
    </row>
    <row r="44" customFormat="false" ht="15" hidden="false" customHeight="false" outlineLevel="0" collapsed="false">
      <c r="A44" s="22" t="s">
        <v>279</v>
      </c>
      <c r="B44" s="39" t="n">
        <f aca="false">IF(ISNUMBER(B41),B42*B41,"umulig")</f>
        <v>18190.3642773208</v>
      </c>
    </row>
    <row r="45" customFormat="false" ht="15" hidden="false" customHeight="false" outlineLevel="0" collapsed="false">
      <c r="A45" s="22" t="s">
        <v>280</v>
      </c>
      <c r="B45" s="37" t="n">
        <f aca="false">IF(ISNUMBER(B41),B44/B43,"umulig")</f>
        <v>0.894314861225211</v>
      </c>
    </row>
    <row r="46" customFormat="false" ht="15" hidden="false" customHeight="false" outlineLevel="0" collapsed="false">
      <c r="A46" s="20" t="s">
        <v>281</v>
      </c>
      <c r="B46" s="36" t="n">
        <f aca="false">B42/B43</f>
        <v>0.707964601769912</v>
      </c>
    </row>
    <row r="47" customFormat="false" ht="15" hidden="false" customHeight="false" outlineLevel="0" collapsed="false">
      <c r="A47" s="20" t="s">
        <v>282</v>
      </c>
      <c r="B47" s="26" t="n">
        <v>0.8</v>
      </c>
      <c r="E47" s="20" t="s">
        <v>283</v>
      </c>
    </row>
    <row r="49" customFormat="false" ht="15" hidden="false" customHeight="false" outlineLevel="0" collapsed="false">
      <c r="A49" s="18" t="s">
        <v>135</v>
      </c>
    </row>
    <row r="50" customFormat="false" ht="15" hidden="false" customHeight="false" outlineLevel="0" collapsed="false">
      <c r="A50" s="20" t="s">
        <v>284</v>
      </c>
      <c r="C50" s="35" t="str">
        <f aca="false">IF(NOT(ISNUMBER(B41)),"AVVIK: avslaget er større enn bruttofortjenesten. Da finnes det ingen volumøkning som redder det",IF(B45&lt;=B47,"OK — kravet ligger innenfor det som er oppnåelig","AVVIK: kravet er en faktureringsgrad ingen installasjonsbedrift har. Prisavslaget kan ikke tas igjen på volum"))</f>
        <v>AVVIK: kravet er en faktureringsgrad ingen installasjonsbedrift har. Prisavslaget kan ikke tas igjen på volum</v>
      </c>
    </row>
    <row r="51" customFormat="false" ht="15" hidden="false" customHeight="false" outlineLevel="0" collapsed="false">
      <c r="A51" s="17" t="s">
        <v>285</v>
      </c>
    </row>
    <row r="52" customFormat="false" ht="15" hidden="false" customHeight="false" outlineLevel="0" collapsed="false">
      <c r="A52" s="20" t="s">
        <v>286</v>
      </c>
      <c r="C52" s="35" t="str">
        <f aca="false">IF(B38&gt;0,"OK — driftsresultatet er fortsatt positivt","AVVIK: avslaget snur overskuddet til underskudd")</f>
        <v>AVVIK: avslaget snur overskuddet til underskudd</v>
      </c>
    </row>
    <row r="54" customFormat="false" ht="15" hidden="false" customHeight="false" outlineLevel="0" collapsed="false">
      <c r="A54" s="18" t="s">
        <v>287</v>
      </c>
    </row>
    <row r="55" customFormat="false" ht="15" hidden="false" customHeight="false" outlineLevel="0" collapsed="false">
      <c r="A55" s="17" t="s">
        <v>288</v>
      </c>
    </row>
    <row r="57" customFormat="false" ht="27.75" hidden="false" customHeight="true" outlineLevel="0" collapsed="false">
      <c r="A57" s="23" t="s">
        <v>289</v>
      </c>
      <c r="B57" s="23" t="s">
        <v>213</v>
      </c>
      <c r="C57" s="23" t="s">
        <v>290</v>
      </c>
      <c r="D57" s="23" t="s">
        <v>291</v>
      </c>
      <c r="E57" s="23" t="s">
        <v>292</v>
      </c>
    </row>
    <row ht="27" customHeight="true" r="58" customFormat="false" hidden="false" outlineLevel="0" collapsed="false">
      <c r="A58" s="20" t="s">
        <v>293</v>
      </c>
      <c s="42" r="B58" t="s">
        <v>219</v>
      </c>
      <c r="C58" s="38" t="n">
        <v>0</v>
      </c>
      <c r="D58" s="36" t="n">
        <f aca="false">C58/$B$13</f>
        <v>0</v>
      </c>
      <c r="E58" s="20" t="s">
        <v>294</v>
      </c>
    </row>
    <row ht="27" customHeight="true" r="59" customFormat="false" hidden="false" outlineLevel="0" collapsed="false">
      <c r="A59" s="20" t="s">
        <v>295</v>
      </c>
      <c s="42" r="B59" t="s">
        <v>296</v>
      </c>
      <c r="C59" s="38" t="n">
        <v>218.722191780822</v>
      </c>
      <c r="D59" s="36" t="n">
        <f aca="false">C59/$B$13</f>
        <v>0.0821917808219178</v>
      </c>
      <c r="E59" s="20" t="s">
        <v>297</v>
      </c>
    </row>
    <row ht="27" customHeight="true" r="60" customFormat="false" hidden="false" outlineLevel="0" collapsed="false">
      <c r="A60" s="20" t="s">
        <v>298</v>
      </c>
      <c s="42" r="B60" t="s">
        <v>296</v>
      </c>
      <c r="C60" s="38" t="n">
        <v>386.409205479452</v>
      </c>
      <c r="D60" s="36" t="n">
        <f aca="false">C60/$B$13</f>
        <v>0.145205479452055</v>
      </c>
      <c r="E60" s="20" t="s">
        <v>299</v>
      </c>
    </row>
    <row ht="39.75" customHeight="true" r="61" customFormat="false" hidden="false" outlineLevel="0" collapsed="false">
      <c r="A61" s="20" t="s">
        <v>300</v>
      </c>
      <c s="42" r="B61" t="s">
        <v>301</v>
      </c>
      <c r="C61" s="38" t="n">
        <v>500</v>
      </c>
      <c r="D61" s="36" t="n">
        <f aca="false">C61/$B$13</f>
        <v>0.187890812890813</v>
      </c>
      <c r="E61" s="20" t="s">
        <v>302</v>
      </c>
    </row>
    <row r="62" customFormat="false" ht="15" hidden="false" customHeight="false" outlineLevel="0" collapsed="false">
      <c r="A62" s="22" t="s">
        <v>303</v>
      </c>
      <c r="C62" s="29" t="n">
        <f aca="false">SUM(C58:C61)</f>
        <v>1105.13139726027</v>
      </c>
      <c r="D62" s="37" t="n">
        <f aca="false">C62/$B$13</f>
        <v>0.415288073164786</v>
      </c>
      <c r="E62" s="20" t="s">
        <v>304</v>
      </c>
    </row>
    <row r="64" customFormat="false" ht="15" hidden="false" customHeight="false" outlineLevel="0" collapsed="false">
      <c r="A64" s="18" t="s">
        <v>135</v>
      </c>
    </row>
    <row r="65" customFormat="false" ht="15" hidden="false" customHeight="false" outlineLevel="0" collapsed="false">
      <c r="A65" s="20" t="s">
        <v>305</v>
      </c>
      <c r="C65" s="35" t="str">
        <f aca="false">IF(MAX(C58:C61)&lt;$B$13,"OK — hvert av alternativene koster mindre enn prisavslaget","AVVIK: et alternativ som koster mer enn avslaget, er ikke et alternativ")</f>
        <v>OK — hvert av alternativene koster mindre enn prisavslaget</v>
      </c>
    </row>
    <row r="66" customFormat="false" ht="15" hidden="false" customHeight="false" outlineLevel="0" collapsed="false">
      <c r="A66" s="20" t="s">
        <v>306</v>
      </c>
      <c r="C66" s="35" t="str">
        <f aca="false">IF(MIN(C58:C61)=0,"OK — å flytte datoen til en uke med ledig kapasitet koster ingenting, og kunden får noe han verdsetter","AVVIK: kontroller kostnadene i kolonne C")</f>
        <v>OK — å flytte datoen til en uke med ledig kapasitet koster ingenting, og kunden får noe han verdsetter</v>
      </c>
    </row>
    <row r="68" customFormat="false" ht="15" hidden="false" customHeight="false" outlineLevel="0" collapsed="false">
      <c r="A68" s="17" t="s">
        <v>307</v>
      </c>
    </row>
  </sheetData>
  <conditionalFormatting sqref="C26">
    <cfRule type="expression" priority="2" aboveAverage="0" equalAverage="0" bottom="0" percent="0" rank="0" text="" dxfId="0">
      <formula>LEFT(C26,5)="AVVIK"</formula>
    </cfRule>
  </conditionalFormatting>
  <conditionalFormatting sqref="C27">
    <cfRule type="expression" priority="3" aboveAverage="0" equalAverage="0" bottom="0" percent="0" rank="0" text="" dxfId="0">
      <formula>LEFT(C27,5)="AVVIK"</formula>
    </cfRule>
  </conditionalFormatting>
  <conditionalFormatting sqref="C50">
    <cfRule type="expression" priority="4" aboveAverage="0" equalAverage="0" bottom="0" percent="0" rank="0" text="" dxfId="0">
      <formula>LEFT(C50,5)="AVVIK"</formula>
    </cfRule>
  </conditionalFormatting>
  <conditionalFormatting sqref="C52">
    <cfRule type="expression" priority="5" aboveAverage="0" equalAverage="0" bottom="0" percent="0" rank="0" text="" dxfId="0">
      <formula>LEFT(C52,5)="AVVIK"</formula>
    </cfRule>
  </conditionalFormatting>
  <conditionalFormatting sqref="C65">
    <cfRule type="expression" priority="6" aboveAverage="0" equalAverage="0" bottom="0" percent="0" rank="0" text="" dxfId="0">
      <formula>LEFT(C65,5)="AVVIK"</formula>
    </cfRule>
  </conditionalFormatting>
  <conditionalFormatting sqref="C66">
    <cfRule type="expression" priority="7" aboveAverage="0" equalAverage="0" bottom="0" percent="0" rank="0" text="" dxfId="0">
      <formula>LEFT(C66,5)="AVVIK"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60"/>
  </cols>
  <sheetData>
    <row r="1" customFormat="false" ht="17.35" hidden="false" customHeight="false" outlineLevel="0" collapsed="false">
      <c r="A1" s="1" t="s">
        <v>308</v>
      </c>
    </row>
    <row r="2" customFormat="false" ht="15" hidden="false" customHeight="false" outlineLevel="0" collapsed="false">
      <c r="A2" s="16" t="s">
        <v>309</v>
      </c>
    </row>
    <row r="4" customFormat="false" ht="15" hidden="false" customHeight="false" outlineLevel="0" collapsed="false">
      <c r="A4" s="18" t="s">
        <v>310</v>
      </c>
    </row>
    <row r="5" customFormat="false" ht="15" hidden="false" customHeight="false" outlineLevel="0" collapsed="false">
      <c r="A5" s="20" t="s">
        <v>98</v>
      </c>
      <c r="B5" s="24" t="n">
        <v>0</v>
      </c>
      <c r="C5" s="20" t="s">
        <v>311</v>
      </c>
    </row>
    <row r="6" customFormat="false" ht="15" hidden="false" customHeight="false" outlineLevel="0" collapsed="false">
      <c r="A6" s="20" t="s">
        <v>211</v>
      </c>
      <c r="B6" s="25" t="n">
        <v>0</v>
      </c>
      <c r="C6" s="20" t="s">
        <v>312</v>
      </c>
    </row>
    <row r="7" customFormat="false" ht="15" hidden="false" customHeight="false" outlineLevel="0" collapsed="false">
      <c r="A7" s="20" t="s">
        <v>100</v>
      </c>
      <c r="B7" s="25" t="n">
        <v>0</v>
      </c>
      <c r="C7" s="20" t="s">
        <v>313</v>
      </c>
    </row>
    <row r="8" customFormat="false" ht="15" hidden="false" customHeight="false" outlineLevel="0" collapsed="false">
      <c r="A8" s="20" t="s">
        <v>314</v>
      </c>
      <c r="B8" s="25" t="n">
        <v>0</v>
      </c>
      <c r="C8" s="20" t="s">
        <v>315</v>
      </c>
    </row>
    <row r="9" customFormat="false" ht="15" hidden="false" customHeight="false" outlineLevel="0" collapsed="false">
      <c r="A9" s="20" t="s">
        <v>316</v>
      </c>
      <c r="B9" s="25" t="n">
        <v>0</v>
      </c>
      <c r="C9" s="20" t="s">
        <v>317</v>
      </c>
    </row>
    <row r="10" customFormat="false" ht="15" hidden="false" customHeight="false" outlineLevel="0" collapsed="false">
      <c r="A10" s="20" t="s">
        <v>103</v>
      </c>
      <c r="B10" s="26" t="n">
        <v>0</v>
      </c>
      <c r="C10" s="20" t="s">
        <v>318</v>
      </c>
    </row>
    <row r="12" customFormat="false" ht="15" hidden="false" customHeight="false" outlineLevel="0" collapsed="false">
      <c r="A12" s="18" t="s">
        <v>319</v>
      </c>
    </row>
    <row r="13" customFormat="false" ht="15" hidden="false" customHeight="false" outlineLevel="0" collapsed="false">
      <c r="A13" s="20" t="s">
        <v>320</v>
      </c>
      <c r="B13" s="27" t="n">
        <f aca="false">B5*B6+B7+B8</f>
        <v>0</v>
      </c>
    </row>
    <row r="14" customFormat="false" ht="15" hidden="false" customHeight="false" outlineLevel="0" collapsed="false">
      <c r="A14" s="20" t="s">
        <v>321</v>
      </c>
      <c r="B14" s="27" t="n">
        <f aca="false">B13+B9</f>
        <v>0</v>
      </c>
    </row>
    <row r="15" customFormat="false" ht="15" hidden="false" customHeight="false" outlineLevel="0" collapsed="false">
      <c r="A15" s="20" t="s">
        <v>322</v>
      </c>
      <c r="B15" s="29" t="n">
        <f aca="false">B14*(1+B10)</f>
        <v>0</v>
      </c>
    </row>
    <row r="16" customFormat="false" ht="15" hidden="false" customHeight="false" outlineLevel="0" collapsed="false">
      <c r="A16" s="20" t="s">
        <v>323</v>
      </c>
      <c r="B16" s="33" t="n">
        <f aca="false">B15*1.25</f>
        <v>0</v>
      </c>
    </row>
    <row r="17" customFormat="false" ht="15" hidden="false" customHeight="false" outlineLevel="0" collapsed="false">
      <c r="A17" s="20" t="s">
        <v>324</v>
      </c>
      <c r="B17" s="29" t="n">
        <f aca="false">B15-B13</f>
        <v>0</v>
      </c>
    </row>
    <row r="18" customFormat="false" ht="15" hidden="false" customHeight="false" outlineLevel="0" collapsed="false">
      <c r="A18" s="20" t="s">
        <v>115</v>
      </c>
      <c r="B18" s="30" t="n">
        <f aca="false">IF(B15=0,0,B17/B15)</f>
        <v>0</v>
      </c>
    </row>
    <row r="20" customFormat="false" ht="15" hidden="false" customHeight="false" outlineLevel="0" collapsed="false">
      <c r="A20" s="18" t="s">
        <v>325</v>
      </c>
    </row>
    <row r="21" customFormat="false" ht="15" hidden="false" customHeight="false" outlineLevel="0" collapsed="false">
      <c r="A21" s="20" t="s">
        <v>326</v>
      </c>
      <c r="B21" s="26" t="n">
        <v>0.1</v>
      </c>
    </row>
    <row r="22" customFormat="false" ht="15" hidden="false" customHeight="false" outlineLevel="0" collapsed="false">
      <c r="A22" s="20" t="s">
        <v>251</v>
      </c>
      <c r="B22" s="29" t="n">
        <f aca="false">B15*(1-B21)-B13</f>
        <v>0</v>
      </c>
    </row>
    <row r="23" customFormat="false" ht="15" hidden="false" customHeight="false" outlineLevel="0" collapsed="false">
      <c r="A23" s="20" t="s">
        <v>179</v>
      </c>
      <c r="B23" s="37" t="str">
        <f aca="false">IF(OR(B17&lt;=0,B22&lt;=0),"",B17/B22-1)</f>
        <v/>
      </c>
      <c r="C23" s="40" t="str">
        <f aca="false">IF(B17&lt;=0,"Fyll inn tallene over.",IF(B22&lt;=0,"Prisen er da under de variable kostnadene. Ingen volumøkning redder jobben.","Så mye mer må dere selge for å komme ut i null."))</f>
        <v>Fyll inn tallene over.</v>
      </c>
    </row>
    <row r="25" customFormat="false" ht="15" hidden="false" customHeight="false" outlineLevel="0" collapsed="false">
      <c r="A25" s="22" t="s">
        <v>327</v>
      </c>
    </row>
    <row r="26" customFormat="false" ht="15" hidden="false" customHeight="false" outlineLevel="0" collapsed="false">
      <c r="A26" s="22" t="s">
        <v>328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2026-09-11T09:33:39Z</dcterms:created>
  <dc:creator>openpyxl</dc:creator>
  <dc:description/>
  <dc:language>en-US</dc:language>
  <cp:lastModifiedBy/>
  <dcterms:modified xsi:type="dcterms:W3CDTF">2026-10-07T06:05:46Z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