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<sst xmlns="http://schemas.openxmlformats.org/spreadsheetml/2006/main" count="145" uniqueCount="127">
  <si>
    <t xml:space="preserve">Klasseoppgaver til Markedsføring kapittel 7: Pris som konkurransevirkemiddel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</si>
  <si>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</si>
  <si>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</si>
  <si>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</si>
  <si>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</si>
  <si>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</si>
  <si>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</si>
  <si>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</si>
  <si>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</si>
  <si>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lavere pris på ladepunkt, mer salg, og hva så? (Nordlys)</t>
  </si>
  <si>
    <t xml:space="preserve">A2</t>
  </si>
  <si>
    <t xml:space="preserve">Fjell Elektro: kjeden kutter prisen 10 %. Skal Mona følge etter? (Egen el-bedrift)</t>
  </si>
  <si>
    <t xml:space="preserve">B1</t>
  </si>
  <si>
    <t xml:space="preserve">Nordlys: «Ti prosent, så signerer jeg i dag» (Nordlys)</t>
  </si>
  <si>
    <t xml:space="preserve">B2</t>
  </si>
  <si>
    <t xml:space="preserve">Fjell Elektro: 12 elbilladere og 10 % rabatt (Egen el-bedrift)</t>
  </si>
  <si>
    <t xml:space="preserve">Læreboka</t>
  </si>
  <si>
    <t xml:space="preserve">Hjertnes, F.: Markedsføring, organisasjon og ledelse for LØM-emnet, kapittel 7.</t>
  </si>
  <si>
    <t xml:space="preserve">Appen</t>
  </si>
  <si>
    <t xml:space="preserve">Markedsføring kap. 7 → Øv → Klasseoppgaver gir fasit per deloppgave.</t>
  </si>
  <si>
    <t xml:space="preserve">A1 · Nordlys: lavere pris på ladepunkt, mer salg, og hva så?</t>
  </si>
  <si>
    <t xml:space="preserve">25 minutter · Helst alene. Sammen med sidemannen eller flere hvis du vil. Ark og blyant, appen (PC eller mobil) eller læreboka.</t>
  </si>
  <si>
    <t xml:space="preserve">Kort oppsummert: Prisen påvirker etterspørselen, etterspørselen bestemmer salgsinntekten, og salgsinntekten påvirker fortjenesten (kap. 7, innledningen). Priselastisiteten Ep er prosentvis endring i mengde delt på prosentvis endring i pris (Økonomistyring kap. 2.3.1). Er tallverdien over 1, er etterspørselen elastisk, og salgsinntekten øker når prisen settes ned. Men elastisiteten sier ingenting om fortjenesten: det avgjør dekningsbidraget. Samlet DB = (pris − variable kostnader per stykk) × antall.</t>
  </si>
  <si>
    <t xml:space="preserve">Casen er lagt til 2026/2027. Delmålet i markedsplanen er 215 ladepunkt i år (Markedsføring kap. 3). Ida tror ikke det nås til dagens pris, 8 830 kr uten mva; da regner hun med 180, som i fjor. Hun foreslår å sette prisen ned til 8 400 kr og anslår at salget da blir 215. Et ladepunkt koster Nordlys 7 780 kr i variable kostnader: materiell 6 500 kr og 2 montørtimer à 640 kr. Gå fram slik: prosentvis endring i mengde og i pris, så elastisiteten, så salgsinntekten før og etter, og til slutt det samlede dekningsbidraget før og etter. Først da vet Kari om forslaget lønner seg.</t>
  </si>
  <si>
    <t xml:space="preserve">Ladepunkt</t>
  </si>
  <si>
    <t xml:space="preserve">Dagens pris</t>
  </si>
  <si>
    <t xml:space="preserve">Idas forslag</t>
  </si>
  <si>
    <t xml:space="preserve">Pris per ladepunkt, kr uten mva</t>
  </si>
  <si>
    <t xml:space="preserve">Antall i år (Idas anslag)</t>
  </si>
  <si>
    <t xml:space="preserve">Variable kostnader per stykk, kr</t>
  </si>
  <si>
    <t xml:space="preserve">Montørtimer per ladepunkt</t>
  </si>
  <si>
    <t xml:space="preserve">Salgsinntekt, kr</t>
  </si>
  <si>
    <t xml:space="preserve">Samlet dekningsbidrag, kr</t>
  </si>
  <si>
    <t xml:space="preserve">Gule celler med spørsmålstegn kan du fylle inn selv mens du regner.</t>
  </si>
  <si>
    <t xml:space="preserve">Deloppgave</t>
  </si>
  <si>
    <t xml:space="preserve">Ditt svar</t>
  </si>
  <si>
    <t xml:space="preserve">Sjekk</t>
  </si>
  <si>
    <t xml:space="preserve">a)  Regn ut priselastisiteten Ep = (ΔM/M) / (ΔP/P): prosentvis endring i antall delt på prosentvis endring i pris. Svar med én desimal og med fortegn.</t>
  </si>
  <si>
    <t xml:space="preserve">b)  Hvor mye endrer salgsinntekten seg, i kroner? Salgsinntekt etter minus salgsinntekt før.</t>
  </si>
  <si>
    <t xml:space="preserve">c)  Hvor mye endrer det samlede dekningsbidraget seg, i kroner? DB per stykk er pris minus 7 780 kr. Skriv negativt tall hvis det faller.</t>
  </si>
  <si>
    <t xml:space="preserve">d)  Ida sier: «Etterspørselen er elastisk, altså lønner prisnedsettelsen seg.» Hvilket utsagn er riktig?   A: Ja: elastisk etterspørsel betyr at fortjenesten øker når prisen settes ned   B: Elastisk betyr at salgsinntekten øker; om det lønner seg, avgjør dekningsbidraget   C: Nei: elastisk betyr at salget faller når prisen settes ned   (skriv bokstaven)</t>
  </si>
  <si>
    <t xml:space="preserve">e)  Skal Kari si ja til Idas forslag? Si hvilket av lærebokas tre mål for prispolitikken Ida følger, når det målet er riktig, og hva som kan skje hvis konkurrentene svarer. To–tre setninger.</t>
  </si>
  <si>
    <t xml:space="preserve">Kilde: Hjertnes, F.: Markedsføring, organisasjon og ledelse for LØM-emnet, kap. 7, innledningen og avsnitt 7.1 (salgsmaksimering og status quo). Priselastisitet: Hjertnes, J. og Skorpen, K.: Økonomistyring for LØM-emnet, kap. 2.3.1. Ladepunkttallene er de samme som i faktaarket og appen. Nordlys Elektro AS er en konstruert casebedrift.</t>
  </si>
  <si>
    <t xml:space="preserve">Regnearket er øvingsstøtte. Det kan ikke siteres eller vises til i besvarelser, prosjektoppgaver eller eksamen; der gjelder læreboka og oppgitte primærkilder.</t>
  </si>
  <si>
    <t xml:space="preserve">A2 · Fjell Elektro: kjeden kutter prisen 10 %. Skal Mona følge etter?</t>
  </si>
  <si>
    <t xml:space="preserve">Kort oppsummert: Et generelt prisavslag med samme volum og samme kostnader går rett ut av driftsresultatet. Derfor tåler en bedrift et generelt avslag på høyst like mange prosent som driftsmarginen. Hvor fritt bedriften kan sette prisen, avgjøres av markedsformen (figur 7.1): i monopolistisk konkurranse kan et prisavvik holdes hvis kunden ser en forskjell (7.4.2). Interne arbeidsbetingelser er kostnadene og kvaliteten, også markedets oppfatning av kvaliteten (7.2). Eksterne er konkurranseforholdene: antall tilbydere og hvor like produktene er (7.3).</t>
  </si>
  <si>
    <t xml:space="preserve">Fjell Elektro AS har vært i drift i ett år, med salgsinntekter på 4 795 000 kr og driftsresultat 144 240 kr. Kundene er boligkunder og små næringskunder i Oslo øst. Mona Fjell er installatør og selv med på hver jobb, og bedriften har ingen rammeavtaler. Nå annonserer en landsdekkende installasjonskjede 10 % lavere pris på ladeboks og sikringsskapbytte i Oslo øst. Mona vurderer å svare med å sette ned alle Fjells priser like mye, for ikke å miste kundene. Gå fram slik: regn driftsmarginen, regn hva et kutt på 10 % gjør med driftsresultatet hvis volum og kostnader er de samme, plasser Fjell på aksen fra monopol til fullkommen konkurranse, og sorter arbeidsbetingelsene.</t>
  </si>
  <si>
    <t xml:space="preserve">Forutsetning</t>
  </si>
  <si>
    <t xml:space="preserve">Verdi</t>
  </si>
  <si>
    <t xml:space="preserve">Salgsinntekter i fjor</t>
  </si>
  <si>
    <t xml:space="preserve">4 795 000 kr (timer 3 115 000 + materiell 1 680 000)</t>
  </si>
  <si>
    <t xml:space="preserve">Driftskostnader i fjor</t>
  </si>
  <si>
    <t xml:space="preserve">4 650 760 kr til sammen</t>
  </si>
  <si>
    <t xml:space="preserve">Driftsresultat i fjor</t>
  </si>
  <si>
    <t xml:space="preserve">144 240 kr</t>
  </si>
  <si>
    <t xml:space="preserve">Kjedens kampanje</t>
  </si>
  <si>
    <t xml:space="preserve">10 % lavere pris på ladeboks og sikringsskapbytte i Oslo øst</t>
  </si>
  <si>
    <t xml:space="preserve">Monas forslag</t>
  </si>
  <si>
    <t xml:space="preserve">Alle Fjells priser ned 10 %, samme volum og kostnader</t>
  </si>
  <si>
    <t xml:space="preserve">Kunder</t>
  </si>
  <si>
    <t xml:space="preserve">Boligkunder og små næringskunder i Oslo øst, ingen rammeavtaler</t>
  </si>
  <si>
    <t xml:space="preserve">Konkurrenter</t>
  </si>
  <si>
    <t xml:space="preserve">Nordlys Elektro (18 ansatte), landsdekkende kjeder og mange små installatører</t>
  </si>
  <si>
    <t xml:space="preserve">Særpreg</t>
  </si>
  <si>
    <t xml:space="preserve">Mona er installatør og selv med på hver jobb</t>
  </si>
  <si>
    <t xml:space="preserve">a)  Regn ut driftsmarginen: driftsresultat delt på salgsinntekter, i prosent med én desimal. Det er også det største generelle prisavslaget Fjell tåler før driftsresultatet er null, hvis volum og kostnader står stille.</t>
  </si>
  <si>
    <t xml:space="preserve">b)  Hva blir driftsresultatet hvis Fjell setter ned alle prisene 10 % og selger like mye, med de samme kostnadene? Svar i kroner, negativt hvis det blir underskudd.</t>
  </si>
  <si>
    <t xml:space="preserve">c)  Hvilken markedsform er Fjell i (figur 7.1), og hva betyr det for hvor fritt Mona kan sette prisen?   A: Fullkommen konkurranse: Fjell er mengdetilpasser og må følge kjedens pris   B: Monopolistisk konkurranse: et prisavvik kan holdes hvis kunden ser en forskjell   C: Oligopol: Fjell og kjeden kan bli enige om prisen   (skriv bokstaven)</t>
  </si>
  <si>
    <t xml:space="preserve">d)  Sorter faktaene. Er dette en intern arbeidsbetingelse (kostnader eller kvalitet, 7.2) som påvirker prisen Fjell kan ta? Svar ja eller nei for hver.</t>
  </si>
  <si>
    <t xml:space="preserve">      Lønnskostnaden: lønn × 1,468   (Ja eller Nei)</t>
  </si>
  <si>
    <t xml:space="preserve">      Kundene oppfatter Fjell som grundig fordi Mona selv er med på jobben   (Ja eller Nei)</t>
  </si>
  <si>
    <t xml:space="preserve">      Leasing av to servicebiler, 144 000 kr i året   (Ja eller Nei)</t>
  </si>
  <si>
    <t xml:space="preserve">      Kjeden kutter prisen 10 %   (Ja eller Nei)</t>
  </si>
  <si>
    <t xml:space="preserve">      Mange installatører i Oslo øst tilbyr nesten like tjenester   (Ja eller Nei)</t>
  </si>
  <si>
    <t xml:space="preserve">e)  Hva råder du Mona til? Bruk minst ett tall du har regnet, og si hva hun kan gjøre i stedet for å kutte prisen. To setninger.</t>
  </si>
  <si>
    <t xml:space="preserve">Kilde: Hjertnes, F.: Markedsføring, organisasjon og ledelse for LØM-emnet, kap. 7, avsnitt 7.1 (mål og priskrig), 7.2 (interne arbeidsbetingelser), 7.3 med figur 7.1 (markedsformer) og 7.4.2 (konkurransebasert prissetting). Fjells budsjett: Økonomistyring kap. 9 (OK09). Fjell Elektro AS er en konstruert casebedrift.</t>
  </si>
  <si>
    <t xml:space="preserve">B1 · Nordlys: «Ti prosent, så signerer jeg i dag»</t>
  </si>
  <si>
    <t xml:space="preserve">Kort oppsummert: En rabatt endrer prisen, men ikke de variable kostnadene. Derfor tas hele rabatten fra dekningsbidraget. Nytt DB = pris × (1 − rabatt) − variable kostnader. Hvor mye mer som må selges for å ha like mye dekningsbidrag som før: volumfaktor = gammelt DB / nytt DB, og volumøkningen er faktoren minus 1. Selvkost er gulvet på lang sikt, de variable kostnadene det absolutte gulvet.</t>
  </si>
  <si>
    <t xml:space="preserve">Casen er lagt til 2026/2027. Styrelederen i et borettslag skal ha byttet sikringsskapet i en leilighet, og borettslaget har flere leiligheter som skal gjøres de neste tre årene. Han har fått Nordlys' tilbud og sier: «Ti prosent, så signerer jeg i dag.» Idas kalkyle er den samme som i Økonomistyring kap. 5: direkte kostnader 19 560 kr (14 montørtimer à 640 kr, materiell 9 800 kr, kjøring 800 kr), indirekte kostnader 4 200 kr, selvkost 23 760 kr, 12 % fortjeneste, pris 26 611,20 kr uten mva. De direkte kostnadene er de variable. Styrelederen har også to tilbud fra konkurrenter: 30 500 og 35 900 kr inkl. mva. Gå fram slik: ny pris og nytt dekningsbidrag, så volumkravet, så hva som er igjen over selvkost. Til slutt: hva Ida skal svare.</t>
  </si>
  <si>
    <t xml:space="preserve">Sikringsskap, kr uten mva</t>
  </si>
  <si>
    <t xml:space="preserve">Tilbudet</t>
  </si>
  <si>
    <t xml:space="preserve">Med 10 % rabatt</t>
  </si>
  <si>
    <t xml:space="preserve">Pris</t>
  </si>
  <si>
    <t xml:space="preserve">26 611,20</t>
  </si>
  <si>
    <t xml:space="preserve">Variable kostnader (direkte)</t>
  </si>
  <si>
    <t xml:space="preserve">Dekningsbidrag</t>
  </si>
  <si>
    <t xml:space="preserve">7 051,20</t>
  </si>
  <si>
    <t xml:space="preserve">Indirekte kostnader</t>
  </si>
  <si>
    <t xml:space="preserve">Selvkost</t>
  </si>
  <si>
    <t xml:space="preserve">Fortjeneste over selvkost</t>
  </si>
  <si>
    <t xml:space="preserve">2 851,20</t>
  </si>
  <si>
    <t xml:space="preserve">Konkurrenttilbud inkl. mva</t>
  </si>
  <si>
    <t xml:space="preserve">30 500 og 35 900</t>
  </si>
  <si>
    <t xml:space="preserve">a)  Hva blir dekningsbidraget per skap etter 10 % rabatt? Ny pris minus de variable kostnadene. Svar i kroner med to desimaler.</t>
  </si>
  <si>
    <t xml:space="preserve">b)  Hvor mange prosent flere skap må Nordlys selge for å ha like mye dekningsbidrag som uten rabatt? Volumfaktor = gammelt DB / nytt DB; volumøkningen er faktoren minus 1. Svar i hele prosent.</t>
  </si>
  <si>
    <t xml:space="preserve">c)  Hvor mye er igjen over selvkost per skap etter rabatten? Ny pris minus selvkost, i kroner med to desimaler.</t>
  </si>
  <si>
    <t xml:space="preserve">d)  Ronny sier: «Ti prosent rabatt? Da må vi bare selge ti prosent flere skap for å tjene det samme.» Hvilket svar er riktig?   A: Ronny har rett: 10 % lavere pris krever 10 % mer salg   B: Det må 37,7 % flere skap til, fordi DB faller 37,7 %   C: Det må 61 % flere skap til, fordi rabatten tas fra DB, ikke fra prisen   (skriv bokstaven)</t>
  </si>
  <si>
    <t xml:space="preserve">e)  Hva skal Ida svare styrelederen? Gi et motbud som er prisdifferensiering etter et av lærebokas kriterier (7.5), ikke bare en lavere pris. To–tre setninger.</t>
  </si>
  <si>
    <t xml:space="preserve">Kilde: Hjertnes, F.: Markedsføring, organisasjon og ledelse for LØM-emnet, kap. 7, avsnitt 7.4.1 (selvkost- og bidragsmetoden), 7.4.2 og 7.5.4 (rabatter). Kalkylen: Hjertnes, J. og Skorpen, K.: Økonomistyring for LØM-emnet, kap. 5 (OK05). Volumkravet følger av bidragsmetoden. Nordlys Elektro AS er en konstruert casebedrift.</t>
  </si>
  <si>
    <t xml:space="preserve">B2 · Fjell Elektro: 12 elbilladere og 10 % rabatt</t>
  </si>
  <si>
    <t xml:space="preserve">Kort oppsummert: Prisdifferensiering er å ta ulik pris fra ulike kjøpere for det samme produktet (7.5). Minst ett av lærebokas kriterier må være innfridd: geografisk atskilte markeder, ulikt kjøpstidspunkt, ulik alder, ulike mengder, ulikt betalingstidspunkt, eller at kunden gjør noe selv. Rabattformene er kvantumsrabatt, kontantrabatt og funksjonsrabatt (7.5.4). Et avslag som ikke oppfyller noe kriterium, er bare en lavere pris.</t>
  </si>
  <si>
    <t xml:space="preserve">Et borettslag i Oslo øst vil ha elbilladere på 12 plasser i fellesgarasjen. Styret har fått Fjells tilbud og ber om 10 % rabatt på hele jobben, fordi «kjeden er billigere». En lader tar 3 montørtimer og materiell for 8 000 kr i innkjøp. Fjell priser timen til 890 kr og selger materiellet med 20 % påslag. I oppdragskalkylen bruker Fjell 590 kr per montørtime som direkte lønnskostnad, så de variable kostnadene per lader er timene à 590 kr pluss materiellet. Gå fram slik: pris per lader, dekningsbidrag per lader med og uten rabatt, og hvor mange ladere Fjell måtte montert med rabatt for å få like mye dekningsbidrag som 12 til full pris. Til slutt: et bedre tilbud enn 10 %.</t>
  </si>
  <si>
    <t xml:space="preserve">Oppdraget</t>
  </si>
  <si>
    <t xml:space="preserve">12 elbilladere i borettslagets fellesgarasje</t>
  </si>
  <si>
    <t xml:space="preserve">Per lader</t>
  </si>
  <si>
    <t xml:space="preserve">3 montørtimer + materiell 8 000 kr i innkjøp</t>
  </si>
  <si>
    <t xml:space="preserve">Timepris</t>
  </si>
  <si>
    <t xml:space="preserve">890 kr uten mva</t>
  </si>
  <si>
    <t xml:space="preserve">Materiell</t>
  </si>
  <si>
    <t xml:space="preserve">Selges med 20 % påslag: 9 600 kr per lader</t>
  </si>
  <si>
    <t xml:space="preserve">Variable kostnader per lader</t>
  </si>
  <si>
    <t xml:space="preserve">3 × 590 + 8 000 = 9 770 kr</t>
  </si>
  <si>
    <t xml:space="preserve">Styrets krav</t>
  </si>
  <si>
    <t xml:space="preserve">10 % rabatt på hele jobben</t>
  </si>
  <si>
    <t xml:space="preserve">Kapasitet</t>
  </si>
  <si>
    <t xml:space="preserve">36 montørtimer, plass i kalenderen neste måned</t>
  </si>
  <si>
    <t xml:space="preserve">a)  Hva er prisen per lader uten mva og uten rabatt? Tre timer à 890 kr pluss materiellet med 20 % påslag.</t>
  </si>
  <si>
    <t xml:space="preserve">b)  Hva blir dekningsbidraget per lader med 10 % rabatt? Ny pris minus variable kostnader på 9 770 kr.</t>
  </si>
  <si>
    <t xml:space="preserve">c)  Hvor mange ladere måtte Fjell montert med 10 % rabatt for å få like mye dekningsbidrag som 12 ladere til full pris? Rund opp til helt antall.</t>
  </si>
  <si>
    <t xml:space="preserve">d)  Mona har fem ideer. Hvilke av dem er prisdifferensiering etter et av lærebokas kriterier (7.5), og hvilke er bare en lavere pris? Svar ja eller nei for hver.</t>
  </si>
  <si>
    <t xml:space="preserve">      5 % lavere pris hvis alle 12 bestilles og monteres samtidig   (Ja eller Nei)</t>
  </si>
  <si>
    <t xml:space="preserve">      2 % avslag ved betaling innen 8 dager i stedet for 30   (Ja eller Nei)</t>
  </si>
  <si>
    <t xml:space="preserve">      Lavere pris hvis borettslaget selv rydder garasjen og sørger for tilkomst   (Ja eller Nei)</t>
  </si>
  <si>
    <t xml:space="preserve">      Lavere pris hvis jobben kan tas i en uke Fjell har ledig kapasitet   (Ja eller Nei)</t>
  </si>
  <si>
    <t xml:space="preserve">      10 % fordi styret sier at kjeden er billigere   (Ja eller Nei)</t>
  </si>
  <si>
    <t xml:space="preserve">e)  Hvilket motbud skal Mona gi styret i stedet for 10 %? Bruk ett tall du har regnet, og si hvilket kriterium for prisdifferensiering motbudet bygger på. To setninger.</t>
  </si>
  <si>
    <t xml:space="preserve">Kilde: Hjertnes, F.: Markedsføring, organisasjon og ledelse for LØM-emnet, kap. 7, avsnitt 7.4.1 (bidragsmetoden) og 7.5 med 7.5.4 (kriteriene for prisdifferensiering og rabattformene). Fjells oppdragskalkyle: OK05 og OK07 (590 kr per montørtime, 20 % påslag på materiell). Fjell Elektro AS er en konstruert casebedrift.</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</si>
</sst>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5">
    <fill>
      <patternFill patternType="none"/>
    </fill>
    <fill>
      <patternFill patternType="gray125"/>
    </fill>
    <fill>
      <patternFill patternType="solid">
        <fgColor rgb="FF2F4A6D"/>
        <bgColor rgb="FF333333"/>
      </patternFill>
    </fill>
    <fill>
      <patternFill patternType="solid">
        <fgColor rgb="FFF4F6FA"/>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15" hidden="false" customHeight="false" outlineLevel="0" collapsed="false">
      <c r="A7" s="8" t="s">
        <v>24</v>
      </c>
      <c r="B7" s="9" t="s">
        <v>25</v>
      </c>
      <c r="C7" s="9" t="s">
        <v>26</v>
      </c>
    </row>
    <row r="8" customFormat="false" ht="15" hidden="false" customHeight="false" outlineLevel="0" collapsed="false">
      <c r="A8" s="10" t="s">
        <v>27</v>
      </c>
      <c r="B8" s="11" t="n">
        <v>8830</v>
      </c>
      <c r="C8" s="11" t="n">
        <v>8400</v>
      </c>
    </row>
    <row r="9" customFormat="false" ht="15" hidden="false" customHeight="false" outlineLevel="0" collapsed="false">
      <c r="A9" s="12" t="s">
        <v>28</v>
      </c>
      <c r="B9" s="13" t="n">
        <v>180</v>
      </c>
      <c r="C9" s="13" t="n">
        <v>215</v>
      </c>
    </row>
    <row r="10" customFormat="false" ht="15" hidden="false" customHeight="false" outlineLevel="0" collapsed="false">
      <c r="A10" s="10" t="s">
        <v>29</v>
      </c>
      <c r="B10" s="11" t="n">
        <v>7780</v>
      </c>
      <c r="C10" s="11" t="n">
        <v>7780</v>
      </c>
    </row>
    <row r="11" customFormat="false" ht="15" hidden="false" customHeight="false" outlineLevel="0" collapsed="false">
      <c r="A11" s="12" t="s">
        <v>30</v>
      </c>
      <c r="B11" s="13" t="n">
        <v>2</v>
      </c>
      <c r="C11" s="13" t="n">
        <v>2</v>
      </c>
    </row>
    <row r="12" customFormat="false" ht="15" hidden="false" customHeight="false" outlineLevel="0" collapsed="false">
      <c r="A12" s="10" t="s">
        <v>31</v>
      </c>
      <c r="B12" s="14"/>
      <c r="C12" s="14"/>
    </row>
    <row r="13" customFormat="false" ht="15" hidden="false" customHeight="false" outlineLevel="0" collapsed="false">
      <c r="A13" s="12" t="s">
        <v>32</v>
      </c>
      <c r="B13" s="14"/>
      <c r="C13" s="14"/>
    </row>
    <row r="14" customFormat="false" ht="15" hidden="false" customHeight="true" outlineLevel="0" collapsed="false">
      <c r="A14" s="6" t="s">
        <v>33</v>
      </c>
      <c r="B14" s="6"/>
      <c r="C14" s="6"/>
      <c r="D14" s="6"/>
      <c r="E14" s="6"/>
      <c r="F14" s="6"/>
      <c r="G14" s="6"/>
    </row>
    <row r="16" customFormat="false" ht="15" hidden="false" customHeight="false" outlineLevel="0" collapsed="false">
      <c r="A16" s="15" t="s">
        <v>34</v>
      </c>
      <c r="B16" s="15"/>
      <c r="C16" s="15"/>
      <c r="D16" s="15"/>
      <c r="E16" s="15"/>
      <c r="F16" s="15" t="s">
        <v>35</v>
      </c>
      <c r="G16" s="15" t="s">
        <v>36</v>
      </c>
    </row>
    <row r="17" customFormat="false" ht="33.75" hidden="false" customHeight="true" outlineLevel="0" collapsed="false">
      <c r="A17" s="7" t="s">
        <v>37</v>
      </c>
      <c r="B17" s="7"/>
      <c r="C17" s="7"/>
      <c r="D17" s="7"/>
      <c r="E17" s="7"/>
      <c r="F17" s="14"/>
      <c r="G17" s="16" t="str">
        <f aca="false">IF(F17="","",IF(ABS(F17-(-4))&lt;=0.05,"Riktig","Prøv igjen"))</f>
        <v/>
      </c>
    </row>
    <row r="18" customFormat="false" ht="18.75" hidden="false" customHeight="true" outlineLevel="0" collapsed="false">
      <c r="A18" s="7" t="s">
        <v>38</v>
      </c>
      <c r="B18" s="7"/>
      <c r="C18" s="7"/>
      <c r="D18" s="7"/>
      <c r="E18" s="7"/>
      <c r="F18" s="14"/>
      <c r="G18" s="16" t="str">
        <f aca="false">IF(F18="","",IF(ABS(F18-(216600))&lt;=0.000000001,"Riktig","Prøv igjen"))</f>
        <v/>
      </c>
    </row>
    <row r="19" customFormat="false" ht="33.75" hidden="false" customHeight="true" outlineLevel="0" collapsed="false">
      <c r="A19" s="7" t="s">
        <v>39</v>
      </c>
      <c r="B19" s="7"/>
      <c r="C19" s="7"/>
      <c r="D19" s="7"/>
      <c r="E19" s="7"/>
      <c r="F19" s="14"/>
      <c r="G19" s="16" t="str">
        <f aca="false">IF(F19="","",IF(ABS(F19-(-55700))&lt;=0.000000001,"Riktig","Prøv igjen"))</f>
        <v/>
      </c>
    </row>
    <row r="20" customFormat="false" ht="63.75" hidden="false" customHeight="true" outlineLevel="0" collapsed="false">
      <c r="A20" s="7" t="s">
        <v>40</v>
      </c>
      <c r="B20" s="7"/>
      <c r="C20" s="7"/>
      <c r="D20" s="7"/>
      <c r="E20" s="7"/>
      <c r="F20" s="17"/>
      <c r="G20" s="16" t="str">
        <f aca="false">IF(F20="","",IF(UPPER(TRIM(F20))="B","Riktig","Prøv igjen"))</f>
        <v/>
      </c>
    </row>
    <row r="21" customFormat="false" ht="33.75" hidden="false" customHeight="true" outlineLevel="0" collapsed="false">
      <c r="A21" s="7" t="s">
        <v>41</v>
      </c>
      <c r="B21" s="7"/>
      <c r="C21" s="7"/>
      <c r="D21" s="7"/>
      <c r="E21" s="7"/>
    </row>
    <row r="22" customFormat="false" ht="15" hidden="false" customHeight="false" outlineLevel="0" collapsed="false">
      <c r="A22" s="18"/>
      <c r="B22" s="18"/>
      <c r="C22" s="18"/>
      <c r="D22" s="18"/>
      <c r="E22" s="18"/>
      <c r="F22" s="18"/>
      <c r="G22" s="18"/>
    </row>
    <row r="23" customFormat="false" ht="15" hidden="false" customHeight="false" outlineLevel="0" collapsed="false">
      <c r="A23" s="18"/>
      <c r="B23" s="18"/>
      <c r="C23" s="18"/>
      <c r="D23" s="18"/>
      <c r="E23" s="18"/>
      <c r="F23" s="18"/>
      <c r="G23" s="18"/>
    </row>
    <row r="24" customFormat="false" ht="15" hidden="false" customHeight="false" outlineLevel="0" collapsed="false">
      <c r="A24" s="18"/>
      <c r="B24" s="18"/>
      <c r="C24" s="18"/>
      <c r="D24" s="18"/>
      <c r="E24" s="18"/>
      <c r="F24" s="18"/>
      <c r="G24" s="18"/>
    </row>
    <row r="26" customFormat="false" ht="48.75" hidden="false" customHeight="true" outlineLevel="0" collapsed="false">
      <c r="A26" s="6" t="s">
        <v>42</v>
      </c>
      <c r="B26" s="6"/>
      <c r="C26" s="6"/>
      <c r="D26" s="6"/>
      <c r="E26" s="6"/>
      <c r="F26" s="6"/>
      <c r="G26" s="6"/>
    </row>
    <row r="27" customFormat="false" ht="15" hidden="false" customHeight="true" outlineLevel="0" collapsed="false">
      <c r="A27" s="6" t="s">
        <v>43</v>
      </c>
      <c r="B27" s="6"/>
      <c r="C27" s="6"/>
      <c r="D27" s="6"/>
      <c r="E27" s="6"/>
      <c r="F27" s="6"/>
      <c r="G27" s="6"/>
    </row>
  </sheetData>
  <mergeCells count="12">
    <mergeCell ref="A4:G4"/>
    <mergeCell ref="A5:G5"/>
    <mergeCell ref="A14:G14"/>
    <mergeCell ref="A16:E16"/>
    <mergeCell ref="A17:E17"/>
    <mergeCell ref="A18:E18"/>
    <mergeCell ref="A19:E19"/>
    <mergeCell ref="A20:E20"/>
    <mergeCell ref="A21:E21"/>
    <mergeCell ref="A22:G24"/>
    <mergeCell ref="A26:G26"/>
    <mergeCell ref="A27:G2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44</v>
      </c>
    </row>
    <row r="2" customFormat="false" ht="15" hidden="false" customHeight="false" outlineLevel="0" collapsed="false">
      <c r="A2" s="2" t="s">
        <v>21</v>
      </c>
    </row>
    <row r="4" customFormat="false" ht="78.75" hidden="false" customHeight="true" outlineLevel="0" collapsed="false">
      <c r="A4" s="6" t="s">
        <v>45</v>
      </c>
      <c r="B4" s="6"/>
      <c r="C4" s="6"/>
      <c r="D4" s="6"/>
      <c r="E4" s="6"/>
      <c r="F4" s="6"/>
      <c r="G4" s="6"/>
    </row>
    <row r="5" customFormat="false" ht="108.75" hidden="false" customHeight="true" outlineLevel="0" collapsed="false">
      <c r="A5" s="7" t="s">
        <v>46</v>
      </c>
      <c r="B5" s="7"/>
      <c r="C5" s="7"/>
      <c r="D5" s="7"/>
      <c r="E5" s="7"/>
      <c r="F5" s="7"/>
      <c r="G5" s="7"/>
    </row>
    <row r="7" customFormat="false" ht="15" hidden="false" customHeight="false" outlineLevel="0" collapsed="false">
      <c r="A7" s="15" t="s">
        <v>47</v>
      </c>
      <c r="B7" s="15" t="s">
        <v>48</v>
      </c>
      <c r="C7" s="15"/>
      <c r="D7" s="15"/>
      <c r="E7" s="15"/>
      <c r="F7" s="15"/>
      <c r="G7" s="15"/>
    </row>
    <row r="8" customFormat="false" ht="18.75" hidden="false" customHeight="true" outlineLevel="0" collapsed="false">
      <c r="A8" s="19" t="s">
        <v>49</v>
      </c>
      <c r="B8" s="7" t="s">
        <v>50</v>
      </c>
      <c r="C8" s="7"/>
      <c r="D8" s="7"/>
      <c r="E8" s="7"/>
      <c r="F8" s="7"/>
      <c r="G8" s="7"/>
    </row>
    <row r="9" customFormat="false" ht="18.75" hidden="false" customHeight="true" outlineLevel="0" collapsed="false">
      <c r="A9" s="19" t="s">
        <v>51</v>
      </c>
      <c r="B9" s="7" t="s">
        <v>52</v>
      </c>
      <c r="C9" s="7"/>
      <c r="D9" s="7"/>
      <c r="E9" s="7"/>
      <c r="F9" s="7"/>
      <c r="G9" s="7"/>
    </row>
    <row r="10" customFormat="false" ht="18.75" hidden="false" customHeight="true" outlineLevel="0" collapsed="false">
      <c r="A10" s="19" t="s">
        <v>53</v>
      </c>
      <c r="B10" s="7" t="s">
        <v>54</v>
      </c>
      <c r="C10" s="7"/>
      <c r="D10" s="7"/>
      <c r="E10" s="7"/>
      <c r="F10" s="7"/>
      <c r="G10" s="7"/>
    </row>
    <row r="11" customFormat="false" ht="18.75" hidden="false" customHeight="true" outlineLevel="0" collapsed="false">
      <c r="A11" s="19" t="s">
        <v>55</v>
      </c>
      <c r="B11" s="7" t="s">
        <v>56</v>
      </c>
      <c r="C11" s="7"/>
      <c r="D11" s="7"/>
      <c r="E11" s="7"/>
      <c r="F11" s="7"/>
      <c r="G11" s="7"/>
    </row>
    <row r="12" customFormat="false" ht="18.75" hidden="false" customHeight="true" outlineLevel="0" collapsed="false">
      <c r="A12" s="19" t="s">
        <v>57</v>
      </c>
      <c r="B12" s="7" t="s">
        <v>58</v>
      </c>
      <c r="C12" s="7"/>
      <c r="D12" s="7"/>
      <c r="E12" s="7"/>
      <c r="F12" s="7"/>
      <c r="G12" s="7"/>
    </row>
    <row r="13" customFormat="false" ht="18.75" hidden="false" customHeight="true" outlineLevel="0" collapsed="false">
      <c r="A13" s="19" t="s">
        <v>59</v>
      </c>
      <c r="B13" s="7" t="s">
        <v>60</v>
      </c>
      <c r="C13" s="7"/>
      <c r="D13" s="7"/>
      <c r="E13" s="7"/>
      <c r="F13" s="7"/>
      <c r="G13" s="7"/>
    </row>
    <row r="14" customFormat="false" ht="18.75" hidden="false" customHeight="true" outlineLevel="0" collapsed="false">
      <c r="A14" s="19" t="s">
        <v>61</v>
      </c>
      <c r="B14" s="7" t="s">
        <v>62</v>
      </c>
      <c r="C14" s="7"/>
      <c r="D14" s="7"/>
      <c r="E14" s="7"/>
      <c r="F14" s="7"/>
      <c r="G14" s="7"/>
    </row>
    <row r="15" customFormat="false" ht="18.75" hidden="false" customHeight="true" outlineLevel="0" collapsed="false">
      <c r="A15" s="19" t="s">
        <v>63</v>
      </c>
      <c r="B15" s="7" t="s">
        <v>64</v>
      </c>
      <c r="C15" s="7"/>
      <c r="D15" s="7"/>
      <c r="E15" s="7"/>
      <c r="F15" s="7"/>
      <c r="G15" s="7"/>
    </row>
    <row r="17" customFormat="false" ht="15" hidden="false" customHeight="false" outlineLevel="0" collapsed="false">
      <c r="A17" s="15" t="s">
        <v>34</v>
      </c>
      <c r="B17" s="15"/>
      <c r="C17" s="15"/>
      <c r="D17" s="15"/>
      <c r="E17" s="15"/>
      <c r="F17" s="15" t="s">
        <v>35</v>
      </c>
      <c r="G17" s="15" t="s">
        <v>36</v>
      </c>
    </row>
    <row r="18" customFormat="false" ht="48.75" hidden="false" customHeight="true" outlineLevel="0" collapsed="false">
      <c r="A18" s="7" t="s">
        <v>65</v>
      </c>
      <c r="B18" s="7"/>
      <c r="C18" s="7"/>
      <c r="D18" s="7"/>
      <c r="E18" s="7"/>
      <c r="F18" s="14"/>
      <c r="G18" s="16" t="str">
        <f aca="false">IF(F18="","",IF(ABS(F18-(3))&lt;=0.05,"Riktig","Prøv igjen"))</f>
        <v/>
      </c>
    </row>
    <row r="19" customFormat="false" ht="33.75" hidden="false" customHeight="true" outlineLevel="0" collapsed="false">
      <c r="A19" s="7" t="s">
        <v>66</v>
      </c>
      <c r="B19" s="7"/>
      <c r="C19" s="7"/>
      <c r="D19" s="7"/>
      <c r="E19" s="7"/>
      <c r="F19" s="14"/>
      <c r="G19" s="16" t="str">
        <f aca="false">IF(F19="","",IF(ABS(F19-(-335260))&lt;=0.000000001,"Riktig","Prøv igjen"))</f>
        <v/>
      </c>
    </row>
    <row r="20" customFormat="false" ht="63.75" hidden="false" customHeight="true" outlineLevel="0" collapsed="false">
      <c r="A20" s="7" t="s">
        <v>67</v>
      </c>
      <c r="B20" s="7"/>
      <c r="C20" s="7"/>
      <c r="D20" s="7"/>
      <c r="E20" s="7"/>
      <c r="F20" s="17"/>
      <c r="G20" s="16" t="str">
        <f aca="false">IF(F20="","",IF(UPPER(TRIM(F20))="B","Riktig","Prøv igjen"))</f>
        <v/>
      </c>
    </row>
    <row r="21" customFormat="false" ht="33.75" hidden="false" customHeight="true" outlineLevel="0" collapsed="false">
      <c r="A21" s="7" t="s">
        <v>68</v>
      </c>
      <c r="B21" s="7"/>
      <c r="C21" s="7"/>
      <c r="D21" s="7"/>
      <c r="E21" s="7"/>
    </row>
    <row r="22" customFormat="false" ht="15" hidden="false" customHeight="true" outlineLevel="0" collapsed="false">
      <c r="A22" s="7" t="s">
        <v>69</v>
      </c>
      <c r="B22" s="7"/>
      <c r="C22" s="7"/>
      <c r="D22" s="7"/>
      <c r="E22" s="7"/>
      <c r="F22" s="17"/>
      <c r="G22" s="16" t="str">
        <f aca="false">IF(F22="","",IF(UPPER(TRIM(F22))="JA","Riktig","Prøv igjen"))</f>
        <v/>
      </c>
    </row>
    <row r="23" customFormat="false" ht="15" hidden="false" customHeight="true" outlineLevel="0" collapsed="false">
      <c r="A23" s="7" t="s">
        <v>70</v>
      </c>
      <c r="B23" s="7"/>
      <c r="C23" s="7"/>
      <c r="D23" s="7"/>
      <c r="E23" s="7"/>
      <c r="F23" s="17"/>
      <c r="G23" s="16" t="str">
        <f aca="false">IF(F23="","",IF(UPPER(TRIM(F23))="JA","Riktig","Prøv igjen"))</f>
        <v/>
      </c>
    </row>
    <row r="24" customFormat="false" ht="15" hidden="false" customHeight="true" outlineLevel="0" collapsed="false">
      <c r="A24" s="7" t="s">
        <v>71</v>
      </c>
      <c r="B24" s="7"/>
      <c r="C24" s="7"/>
      <c r="D24" s="7"/>
      <c r="E24" s="7"/>
      <c r="F24" s="17"/>
      <c r="G24" s="16" t="str">
        <f aca="false">IF(F24="","",IF(UPPER(TRIM(F24))="JA","Riktig","Prøv igjen"))</f>
        <v/>
      </c>
    </row>
    <row r="25" customFormat="false" ht="15" hidden="false" customHeight="true" outlineLevel="0" collapsed="false">
      <c r="A25" s="7" t="s">
        <v>72</v>
      </c>
      <c r="B25" s="7"/>
      <c r="C25" s="7"/>
      <c r="D25" s="7"/>
      <c r="E25" s="7"/>
      <c r="F25" s="17"/>
      <c r="G25" s="16" t="str">
        <f aca="false">IF(F25="","",IF(UPPER(TRIM(F25))="NEI","Riktig","Prøv igjen"))</f>
        <v/>
      </c>
    </row>
    <row r="26" customFormat="false" ht="15" hidden="false" customHeight="true" outlineLevel="0" collapsed="false">
      <c r="A26" s="7" t="s">
        <v>73</v>
      </c>
      <c r="B26" s="7"/>
      <c r="C26" s="7"/>
      <c r="D26" s="7"/>
      <c r="E26" s="7"/>
      <c r="F26" s="17"/>
      <c r="G26" s="16" t="str">
        <f aca="false">IF(F26="","",IF(UPPER(TRIM(F26))="NEI","Riktig","Prøv igjen"))</f>
        <v/>
      </c>
    </row>
    <row r="27" customFormat="false" ht="33.75" hidden="false" customHeight="true" outlineLevel="0" collapsed="false">
      <c r="A27" s="7" t="s">
        <v>74</v>
      </c>
      <c r="B27" s="7"/>
      <c r="C27" s="7"/>
      <c r="D27" s="7"/>
      <c r="E27" s="7"/>
    </row>
    <row r="28" customFormat="false" ht="15" hidden="false" customHeight="false" outlineLevel="0" collapsed="false">
      <c r="A28" s="18"/>
      <c r="B28" s="18"/>
      <c r="C28" s="18"/>
      <c r="D28" s="18"/>
      <c r="E28" s="18"/>
      <c r="F28" s="18"/>
      <c r="G28" s="18"/>
    </row>
    <row r="29" customFormat="false" ht="15" hidden="false" customHeight="false" outlineLevel="0" collapsed="false">
      <c r="A29" s="18"/>
      <c r="B29" s="18"/>
      <c r="C29" s="18"/>
      <c r="D29" s="18"/>
      <c r="E29" s="18"/>
      <c r="F29" s="18"/>
      <c r="G29" s="18"/>
    </row>
    <row r="30" customFormat="false" ht="15" hidden="false" customHeight="false" outlineLevel="0" collapsed="false">
      <c r="A30" s="18"/>
      <c r="B30" s="18"/>
      <c r="C30" s="18"/>
      <c r="D30" s="18"/>
      <c r="E30" s="18"/>
      <c r="F30" s="18"/>
      <c r="G30" s="18"/>
    </row>
    <row r="32" customFormat="false" ht="48.75" hidden="false" customHeight="true" outlineLevel="0" collapsed="false">
      <c r="A32" s="6" t="s">
        <v>75</v>
      </c>
      <c r="B32" s="6"/>
      <c r="C32" s="6"/>
      <c r="D32" s="6"/>
      <c r="E32" s="6"/>
      <c r="F32" s="6"/>
      <c r="G32" s="6"/>
    </row>
    <row r="33" customFormat="false" ht="15" hidden="false" customHeight="true" outlineLevel="0" collapsed="false">
      <c r="A33" s="6" t="s">
        <v>43</v>
      </c>
      <c r="B33" s="6"/>
      <c r="C33" s="6"/>
      <c r="D33" s="6"/>
      <c r="E33" s="6"/>
      <c r="F33" s="6"/>
      <c r="G33" s="6"/>
    </row>
  </sheetData>
  <mergeCells count="25">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A26:E26"/>
    <mergeCell ref="A27:E27"/>
    <mergeCell ref="A28:G30"/>
    <mergeCell ref="A32:G32"/>
    <mergeCell ref="A33:G3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76</v>
      </c>
    </row>
    <row r="2" customFormat="false" ht="15" hidden="false" customHeight="false" outlineLevel="0" collapsed="false">
      <c r="A2" s="2" t="s">
        <v>21</v>
      </c>
    </row>
    <row r="4" customFormat="false" ht="63.75" hidden="false" customHeight="true" outlineLevel="0" collapsed="false">
      <c r="A4" s="6" t="s">
        <v>77</v>
      </c>
      <c r="B4" s="6"/>
      <c r="C4" s="6"/>
      <c r="D4" s="6"/>
      <c r="E4" s="6"/>
      <c r="F4" s="6"/>
      <c r="G4" s="6"/>
    </row>
    <row r="5" customFormat="false" ht="108.75" hidden="false" customHeight="true" outlineLevel="0" collapsed="false">
      <c r="A5" s="7" t="s">
        <v>78</v>
      </c>
      <c r="B5" s="7"/>
      <c r="C5" s="7"/>
      <c r="D5" s="7"/>
      <c r="E5" s="7"/>
      <c r="F5" s="7"/>
      <c r="G5" s="7"/>
    </row>
    <row r="7" customFormat="false" ht="26.85" hidden="false" customHeight="false" outlineLevel="0" collapsed="false">
      <c r="A7" s="8" t="s">
        <v>79</v>
      </c>
      <c r="B7" s="9" t="s">
        <v>80</v>
      </c>
      <c r="C7" s="9" t="s">
        <v>81</v>
      </c>
    </row>
    <row r="8" customFormat="false" ht="15" hidden="false" customHeight="false" outlineLevel="0" collapsed="false">
      <c r="A8" s="10" t="s">
        <v>82</v>
      </c>
      <c r="B8" s="20" t="s">
        <v>83</v>
      </c>
      <c r="C8" s="14"/>
    </row>
    <row r="9" customFormat="false" ht="15" hidden="false" customHeight="false" outlineLevel="0" collapsed="false">
      <c r="A9" s="12" t="s">
        <v>84</v>
      </c>
      <c r="B9" s="13" t="n">
        <v>19560</v>
      </c>
      <c r="C9" s="13" t="n">
        <v>19560</v>
      </c>
    </row>
    <row r="10" customFormat="false" ht="15" hidden="false" customHeight="false" outlineLevel="0" collapsed="false">
      <c r="A10" s="10" t="s">
        <v>85</v>
      </c>
      <c r="B10" s="20" t="s">
        <v>86</v>
      </c>
      <c r="C10" s="14"/>
    </row>
    <row r="11" customFormat="false" ht="15" hidden="false" customHeight="false" outlineLevel="0" collapsed="false">
      <c r="A11" s="12" t="s">
        <v>87</v>
      </c>
      <c r="B11" s="13" t="n">
        <v>4200</v>
      </c>
      <c r="C11" s="13" t="n">
        <v>4200</v>
      </c>
    </row>
    <row r="12" customFormat="false" ht="15" hidden="false" customHeight="false" outlineLevel="0" collapsed="false">
      <c r="A12" s="10" t="s">
        <v>88</v>
      </c>
      <c r="B12" s="11" t="n">
        <v>23760</v>
      </c>
      <c r="C12" s="11" t="n">
        <v>23760</v>
      </c>
    </row>
    <row r="13" customFormat="false" ht="15" hidden="false" customHeight="false" outlineLevel="0" collapsed="false">
      <c r="A13" s="12" t="s">
        <v>89</v>
      </c>
      <c r="B13" s="21" t="s">
        <v>90</v>
      </c>
      <c r="C13" s="14"/>
    </row>
    <row r="14" customFormat="false" ht="26.85" hidden="false" customHeight="false" outlineLevel="0" collapsed="false">
      <c r="A14" s="10" t="s">
        <v>91</v>
      </c>
      <c r="B14" s="20" t="s">
        <v>92</v>
      </c>
      <c r="C14" s="20"/>
    </row>
    <row r="15" customFormat="false" ht="15" hidden="false" customHeight="true" outlineLevel="0" collapsed="false">
      <c r="A15" s="6" t="s">
        <v>33</v>
      </c>
      <c r="B15" s="6"/>
      <c r="C15" s="6"/>
      <c r="D15" s="6"/>
      <c r="E15" s="6"/>
      <c r="F15" s="6"/>
      <c r="G15" s="6"/>
    </row>
    <row r="17" customFormat="false" ht="15" hidden="false" customHeight="false" outlineLevel="0" collapsed="false">
      <c r="A17" s="15" t="s">
        <v>34</v>
      </c>
      <c r="B17" s="15"/>
      <c r="C17" s="15"/>
      <c r="D17" s="15"/>
      <c r="E17" s="15"/>
      <c r="F17" s="15" t="s">
        <v>35</v>
      </c>
      <c r="G17" s="15" t="s">
        <v>36</v>
      </c>
    </row>
    <row r="18" customFormat="false" ht="33.75" hidden="false" customHeight="true" outlineLevel="0" collapsed="false">
      <c r="A18" s="7" t="s">
        <v>93</v>
      </c>
      <c r="B18" s="7"/>
      <c r="C18" s="7"/>
      <c r="D18" s="7"/>
      <c r="E18" s="7"/>
      <c r="F18" s="14"/>
      <c r="G18" s="16" t="str">
        <f aca="false">IF(F18="","",IF(ABS(F18-(4390.08))&lt;=1,"Riktig","Prøv igjen"))</f>
        <v/>
      </c>
    </row>
    <row r="19" customFormat="false" ht="48.75" hidden="false" customHeight="true" outlineLevel="0" collapsed="false">
      <c r="A19" s="7" t="s">
        <v>94</v>
      </c>
      <c r="B19" s="7"/>
      <c r="C19" s="7"/>
      <c r="D19" s="7"/>
      <c r="E19" s="7"/>
      <c r="F19" s="14"/>
      <c r="G19" s="16" t="str">
        <f aca="false">IF(F19="","",IF(ABS(F19-(61))&lt;=1,"Riktig","Prøv igjen"))</f>
        <v/>
      </c>
    </row>
    <row r="20" customFormat="false" ht="33.75" hidden="false" customHeight="true" outlineLevel="0" collapsed="false">
      <c r="A20" s="7" t="s">
        <v>95</v>
      </c>
      <c r="B20" s="7"/>
      <c r="C20" s="7"/>
      <c r="D20" s="7"/>
      <c r="E20" s="7"/>
      <c r="F20" s="14"/>
      <c r="G20" s="16" t="str">
        <f aca="false">IF(F20="","",IF(ABS(F20-(190.08))&lt;=1,"Riktig","Prøv igjen"))</f>
        <v/>
      </c>
    </row>
    <row r="21" customFormat="false" ht="63.75" hidden="false" customHeight="true" outlineLevel="0" collapsed="false">
      <c r="A21" s="7" t="s">
        <v>96</v>
      </c>
      <c r="B21" s="7"/>
      <c r="C21" s="7"/>
      <c r="D21" s="7"/>
      <c r="E21" s="7"/>
      <c r="F21" s="17"/>
      <c r="G21" s="16" t="str">
        <f aca="false">IF(F21="","",IF(UPPER(TRIM(F21))="C","Riktig","Prøv igjen"))</f>
        <v/>
      </c>
    </row>
    <row r="22" customFormat="false" ht="33.75" hidden="false" customHeight="true" outlineLevel="0" collapsed="false">
      <c r="A22" s="7" t="s">
        <v>97</v>
      </c>
      <c r="B22" s="7"/>
      <c r="C22" s="7"/>
      <c r="D22" s="7"/>
      <c r="E22" s="7"/>
    </row>
    <row r="23" customFormat="false" ht="15" hidden="false" customHeight="false" outlineLevel="0" collapsed="false">
      <c r="A23" s="18"/>
      <c r="B23" s="18"/>
      <c r="C23" s="18"/>
      <c r="D23" s="18"/>
      <c r="E23" s="18"/>
      <c r="F23" s="18"/>
      <c r="G23" s="18"/>
    </row>
    <row r="24" customFormat="false" ht="15" hidden="false" customHeight="false" outlineLevel="0" collapsed="false">
      <c r="A24" s="18"/>
      <c r="B24" s="18"/>
      <c r="C24" s="18"/>
      <c r="D24" s="18"/>
      <c r="E24" s="18"/>
      <c r="F24" s="18"/>
      <c r="G24" s="18"/>
    </row>
    <row r="25" customFormat="false" ht="15" hidden="false" customHeight="false" outlineLevel="0" collapsed="false">
      <c r="A25" s="18"/>
      <c r="B25" s="18"/>
      <c r="C25" s="18"/>
      <c r="D25" s="18"/>
      <c r="E25" s="18"/>
      <c r="F25" s="18"/>
      <c r="G25" s="18"/>
    </row>
    <row r="27" customFormat="false" ht="48.75" hidden="false" customHeight="true" outlineLevel="0" collapsed="false">
      <c r="A27" s="6" t="s">
        <v>98</v>
      </c>
      <c r="B27" s="6"/>
      <c r="C27" s="6"/>
      <c r="D27" s="6"/>
      <c r="E27" s="6"/>
      <c r="F27" s="6"/>
      <c r="G27" s="6"/>
    </row>
    <row r="28" customFormat="false" ht="15" hidden="false" customHeight="true" outlineLevel="0" collapsed="false">
      <c r="A28" s="6" t="s">
        <v>43</v>
      </c>
      <c r="B28" s="6"/>
      <c r="C28" s="6"/>
      <c r="D28" s="6"/>
      <c r="E28" s="6"/>
      <c r="F28" s="6"/>
      <c r="G28" s="6"/>
    </row>
  </sheetData>
  <mergeCells count="12">
    <mergeCell ref="A4:G4"/>
    <mergeCell ref="A5:G5"/>
    <mergeCell ref="A15:G15"/>
    <mergeCell ref="A17:E17"/>
    <mergeCell ref="A18:E18"/>
    <mergeCell ref="A19:E19"/>
    <mergeCell ref="A20:E20"/>
    <mergeCell ref="A21:E21"/>
    <mergeCell ref="A22:E22"/>
    <mergeCell ref="A23:G25"/>
    <mergeCell ref="A27:G27"/>
    <mergeCell ref="A28:G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99</v>
      </c>
    </row>
    <row r="2" customFormat="false" ht="15" hidden="false" customHeight="false" outlineLevel="0" collapsed="false">
      <c r="A2" s="2" t="s">
        <v>21</v>
      </c>
    </row>
    <row r="4" customFormat="false" ht="63.75" hidden="false" customHeight="true" outlineLevel="0" collapsed="false">
      <c r="A4" s="6" t="s">
        <v>100</v>
      </c>
      <c r="B4" s="6"/>
      <c r="C4" s="6"/>
      <c r="D4" s="6"/>
      <c r="E4" s="6"/>
      <c r="F4" s="6"/>
      <c r="G4" s="6"/>
    </row>
    <row r="5" customFormat="false" ht="108.75" hidden="false" customHeight="true" outlineLevel="0" collapsed="false">
      <c r="A5" s="7" t="s">
        <v>101</v>
      </c>
      <c r="B5" s="7"/>
      <c r="C5" s="7"/>
      <c r="D5" s="7"/>
      <c r="E5" s="7"/>
      <c r="F5" s="7"/>
      <c r="G5" s="7"/>
    </row>
    <row r="7" customFormat="false" ht="15" hidden="false" customHeight="false" outlineLevel="0" collapsed="false">
      <c r="A7" s="15" t="s">
        <v>47</v>
      </c>
      <c r="B7" s="15" t="s">
        <v>48</v>
      </c>
      <c r="C7" s="15"/>
      <c r="D7" s="15"/>
      <c r="E7" s="15"/>
      <c r="F7" s="15"/>
      <c r="G7" s="15"/>
    </row>
    <row r="8" customFormat="false" ht="18.75" hidden="false" customHeight="true" outlineLevel="0" collapsed="false">
      <c r="A8" s="19" t="s">
        <v>102</v>
      </c>
      <c r="B8" s="7" t="s">
        <v>103</v>
      </c>
      <c r="C8" s="7"/>
      <c r="D8" s="7"/>
      <c r="E8" s="7"/>
      <c r="F8" s="7"/>
      <c r="G8" s="7"/>
    </row>
    <row r="9" customFormat="false" ht="18.75" hidden="false" customHeight="true" outlineLevel="0" collapsed="false">
      <c r="A9" s="19" t="s">
        <v>104</v>
      </c>
      <c r="B9" s="7" t="s">
        <v>105</v>
      </c>
      <c r="C9" s="7"/>
      <c r="D9" s="7"/>
      <c r="E9" s="7"/>
      <c r="F9" s="7"/>
      <c r="G9" s="7"/>
    </row>
    <row r="10" customFormat="false" ht="18.75" hidden="false" customHeight="true" outlineLevel="0" collapsed="false">
      <c r="A10" s="19" t="s">
        <v>106</v>
      </c>
      <c r="B10" s="7" t="s">
        <v>107</v>
      </c>
      <c r="C10" s="7"/>
      <c r="D10" s="7"/>
      <c r="E10" s="7"/>
      <c r="F10" s="7"/>
      <c r="G10" s="7"/>
    </row>
    <row r="11" customFormat="false" ht="18.75" hidden="false" customHeight="true" outlineLevel="0" collapsed="false">
      <c r="A11" s="19" t="s">
        <v>108</v>
      </c>
      <c r="B11" s="7" t="s">
        <v>109</v>
      </c>
      <c r="C11" s="7"/>
      <c r="D11" s="7"/>
      <c r="E11" s="7"/>
      <c r="F11" s="7"/>
      <c r="G11" s="7"/>
    </row>
    <row r="12" customFormat="false" ht="18.75" hidden="false" customHeight="true" outlineLevel="0" collapsed="false">
      <c r="A12" s="19" t="s">
        <v>110</v>
      </c>
      <c r="B12" s="7" t="s">
        <v>111</v>
      </c>
      <c r="C12" s="7"/>
      <c r="D12" s="7"/>
      <c r="E12" s="7"/>
      <c r="F12" s="7"/>
      <c r="G12" s="7"/>
    </row>
    <row r="13" customFormat="false" ht="18.75" hidden="false" customHeight="true" outlineLevel="0" collapsed="false">
      <c r="A13" s="19" t="s">
        <v>112</v>
      </c>
      <c r="B13" s="7" t="s">
        <v>113</v>
      </c>
      <c r="C13" s="7"/>
      <c r="D13" s="7"/>
      <c r="E13" s="7"/>
      <c r="F13" s="7"/>
      <c r="G13" s="7"/>
    </row>
    <row r="14" customFormat="false" ht="18.75" hidden="false" customHeight="true" outlineLevel="0" collapsed="false">
      <c r="A14" s="19" t="s">
        <v>114</v>
      </c>
      <c r="B14" s="7" t="s">
        <v>115</v>
      </c>
      <c r="C14" s="7"/>
      <c r="D14" s="7"/>
      <c r="E14" s="7"/>
      <c r="F14" s="7"/>
      <c r="G14" s="7"/>
    </row>
    <row r="16" customFormat="false" ht="15" hidden="false" customHeight="false" outlineLevel="0" collapsed="false">
      <c r="A16" s="15" t="s">
        <v>34</v>
      </c>
      <c r="B16" s="15"/>
      <c r="C16" s="15"/>
      <c r="D16" s="15"/>
      <c r="E16" s="15"/>
      <c r="F16" s="15" t="s">
        <v>35</v>
      </c>
      <c r="G16" s="15" t="s">
        <v>36</v>
      </c>
    </row>
    <row r="17" customFormat="false" ht="33.75" hidden="false" customHeight="true" outlineLevel="0" collapsed="false">
      <c r="A17" s="7" t="s">
        <v>116</v>
      </c>
      <c r="B17" s="7"/>
      <c r="C17" s="7"/>
      <c r="D17" s="7"/>
      <c r="E17" s="7"/>
      <c r="F17" s="14"/>
      <c r="G17" s="16" t="str">
        <f aca="false">IF(F17="","",IF(ABS(F17-(12270))&lt;=0.000000001,"Riktig","Prøv igjen"))</f>
        <v/>
      </c>
    </row>
    <row r="18" customFormat="false" ht="33.75" hidden="false" customHeight="true" outlineLevel="0" collapsed="false">
      <c r="A18" s="7" t="s">
        <v>117</v>
      </c>
      <c r="B18" s="7"/>
      <c r="C18" s="7"/>
      <c r="D18" s="7"/>
      <c r="E18" s="7"/>
      <c r="F18" s="14"/>
      <c r="G18" s="16" t="str">
        <f aca="false">IF(F18="","",IF(ABS(F18-(1273))&lt;=0.000000001,"Riktig","Prøv igjen"))</f>
        <v/>
      </c>
    </row>
    <row r="19" customFormat="false" ht="33.75" hidden="false" customHeight="true" outlineLevel="0" collapsed="false">
      <c r="A19" s="7" t="s">
        <v>118</v>
      </c>
      <c r="B19" s="7"/>
      <c r="C19" s="7"/>
      <c r="D19" s="7"/>
      <c r="E19" s="7"/>
      <c r="F19" s="14"/>
      <c r="G19" s="16" t="str">
        <f aca="false">IF(F19="","",IF(ABS(F19-(24))&lt;=0.000000001,"Riktig","Prøv igjen"))</f>
        <v/>
      </c>
    </row>
    <row r="20" customFormat="false" ht="33.75" hidden="false" customHeight="true" outlineLevel="0" collapsed="false">
      <c r="A20" s="7" t="s">
        <v>119</v>
      </c>
      <c r="B20" s="7"/>
      <c r="C20" s="7"/>
      <c r="D20" s="7"/>
      <c r="E20" s="7"/>
    </row>
    <row r="21" customFormat="false" ht="15" hidden="false" customHeight="true" outlineLevel="0" collapsed="false">
      <c r="A21" s="7" t="s">
        <v>120</v>
      </c>
      <c r="B21" s="7"/>
      <c r="C21" s="7"/>
      <c r="D21" s="7"/>
      <c r="E21" s="7"/>
      <c r="F21" s="17"/>
      <c r="G21" s="16" t="str">
        <f aca="false">IF(F21="","",IF(UPPER(TRIM(F21))="JA","Riktig","Prøv igjen"))</f>
        <v/>
      </c>
    </row>
    <row r="22" customFormat="false" ht="15" hidden="false" customHeight="true" outlineLevel="0" collapsed="false">
      <c r="A22" s="7" t="s">
        <v>121</v>
      </c>
      <c r="B22" s="7"/>
      <c r="C22" s="7"/>
      <c r="D22" s="7"/>
      <c r="E22" s="7"/>
      <c r="F22" s="17"/>
      <c r="G22" s="16" t="str">
        <f aca="false">IF(F22="","",IF(UPPER(TRIM(F22))="JA","Riktig","Prøv igjen"))</f>
        <v/>
      </c>
    </row>
    <row r="23" customFormat="false" ht="15" hidden="false" customHeight="true" outlineLevel="0" collapsed="false">
      <c r="A23" s="7" t="s">
        <v>122</v>
      </c>
      <c r="B23" s="7"/>
      <c r="C23" s="7"/>
      <c r="D23" s="7"/>
      <c r="E23" s="7"/>
      <c r="F23" s="17"/>
      <c r="G23" s="16" t="str">
        <f aca="false">IF(F23="","",IF(UPPER(TRIM(F23))="JA","Riktig","Prøv igjen"))</f>
        <v/>
      </c>
    </row>
    <row r="24" customFormat="false" ht="15" hidden="false" customHeight="true" outlineLevel="0" collapsed="false">
      <c r="A24" s="7" t="s">
        <v>123</v>
      </c>
      <c r="B24" s="7"/>
      <c r="C24" s="7"/>
      <c r="D24" s="7"/>
      <c r="E24" s="7"/>
      <c r="F24" s="17"/>
      <c r="G24" s="16" t="str">
        <f aca="false">IF(F24="","",IF(UPPER(TRIM(F24))="JA","Riktig","Prøv igjen"))</f>
        <v/>
      </c>
    </row>
    <row r="25" customFormat="false" ht="15" hidden="false" customHeight="true" outlineLevel="0" collapsed="false">
      <c r="A25" s="7" t="s">
        <v>124</v>
      </c>
      <c r="B25" s="7"/>
      <c r="C25" s="7"/>
      <c r="D25" s="7"/>
      <c r="E25" s="7"/>
      <c r="F25" s="17"/>
      <c r="G25" s="16" t="str">
        <f aca="false">IF(F25="","",IF(UPPER(TRIM(F25))="NEI","Riktig","Prøv igjen"))</f>
        <v/>
      </c>
    </row>
    <row r="26" customFormat="false" ht="33.75" hidden="false" customHeight="true" outlineLevel="0" collapsed="false">
      <c r="A26" s="7" t="s">
        <v>125</v>
      </c>
      <c r="B26" s="7"/>
      <c r="C26" s="7"/>
      <c r="D26" s="7"/>
      <c r="E26" s="7"/>
    </row>
    <row r="27" customFormat="false" ht="15" hidden="false" customHeight="false" outlineLevel="0" collapsed="false">
      <c r="A27" s="18"/>
      <c r="B27" s="18"/>
      <c r="C27" s="18"/>
      <c r="D27" s="18"/>
      <c r="E27" s="18"/>
      <c r="F27" s="18"/>
      <c r="G27" s="18"/>
    </row>
    <row r="28" customFormat="false" ht="15" hidden="false" customHeight="false" outlineLevel="0" collapsed="false">
      <c r="A28" s="18"/>
      <c r="B28" s="18"/>
      <c r="C28" s="18"/>
      <c r="D28" s="18"/>
      <c r="E28" s="18"/>
      <c r="F28" s="18"/>
      <c r="G28" s="18"/>
    </row>
    <row r="29" customFormat="false" ht="15" hidden="false" customHeight="false" outlineLevel="0" collapsed="false">
      <c r="A29" s="18"/>
      <c r="B29" s="18"/>
      <c r="C29" s="18"/>
      <c r="D29" s="18"/>
      <c r="E29" s="18"/>
      <c r="F29" s="18"/>
      <c r="G29" s="18"/>
    </row>
    <row r="31" customFormat="false" ht="48.75" hidden="false" customHeight="true" outlineLevel="0" collapsed="false">
      <c r="A31" s="6" t="s">
        <v>126</v>
      </c>
      <c r="B31" s="6"/>
      <c r="C31" s="6"/>
      <c r="D31" s="6"/>
      <c r="E31" s="6"/>
      <c r="F31" s="6"/>
      <c r="G31" s="6"/>
    </row>
    <row r="32" customFormat="false" ht="15" hidden="false" customHeight="true" outlineLevel="0" collapsed="false">
      <c r="A32" s="6" t="s">
        <v>43</v>
      </c>
      <c r="B32" s="6"/>
      <c r="C32" s="6"/>
      <c r="D32" s="6"/>
      <c r="E32" s="6"/>
      <c r="F32" s="6"/>
      <c r="G32" s="6"/>
    </row>
  </sheetData>
  <mergeCells count="24">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E22"/>
    <mergeCell ref="A23:E23"/>
    <mergeCell ref="A24:E24"/>
    <mergeCell ref="A25:E25"/>
    <mergeCell ref="A26:E26"/>
    <mergeCell ref="A27:G29"/>
    <mergeCell ref="A31:G31"/>
    <mergeCell ref="A32:G3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2026-10-11T08:54:30Z</dcterms:created>
  <dc:creator>openpyxl</dc:creator>
  <dc:description/>
  <dc:language>en-US</dc:language>
  <cp:lastModifiedBy/>
  <dcterms:modified xsi:type="dcterms:W3CDTF">2026-10-11T08:54:30Z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