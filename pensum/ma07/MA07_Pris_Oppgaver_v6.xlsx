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<sst xmlns="http://schemas.openxmlformats.org/spreadsheetml/2006/main" count="280" uniqueCount="176">
  <si>
    <t xml:space="preserve">Pris som konkurransevirkemiddel: oppgaver til kapittel 7</t>
  </si>
  <si>
    <t xml:space="preserve">Markedsføring, organisasjon og ledelse for LØM-emnet (Hjertnes), kapittel 7. Versjon 6, oktober 2026. Nordlys Elektro AS og Fjell Elektro AS er konstruerte casebedrifter; tallene er faktaarkene og kalkylen fra Økonomistyring kapittel 5.</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</si>
  <si>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</si>
  <si>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</si>
  <si>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</si>
  <si>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</si>
  <si>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</si>
  <si>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</si>
  <si>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Jobb 2614 priset på tre måter</t>
  </si>
  <si>
    <t xml:space="preserve">1B  Ti prisvirkemidler, fem situasjoner og bokas oppgave a</t>
  </si>
  <si>
    <t xml:space="preserve">1C  «Ti prosent, så signerer jeg i dag.» Hva svarer Kari?</t>
  </si>
  <si>
    <t xml:space="preserve">Fasit  Alle svar med regnestykket skrevet ut</t>
  </si>
  <si>
    <t xml:space="preserve">Dette er øvingsmateriell til repetisjons- og øvingsstøtte. I besvarelser, caser, prosjektoppgaver og eksamen gjelder lærebøkene og oppgitte primærkilder.</t>
  </si>
  <si>
    <t xml:space="preserve">Oppgave 1A: Jobb 2614 priset på tre måter</t>
  </si>
  <si>
    <t xml:space="preserve">Alene, i par eller i gruppe, slik du vil.</t>
  </si>
  <si>
    <t xml:space="preserve">Situasjonen</t>
  </si>
  <si>
    <t xml:space="preserve">Et borettslag skal bytte sikringsskap i leilighetene. Ida, kalkulatør hos Nordlys Elektro, har gitt tilbud på ett skap med kalkylen fra jobb 2614 i Økonomistyring kapittel 5: selvkost 23 760 kr pluss 12 % fortjeneste. Styrelederen har to tilbud til, 30 500 og 35 900 kr med merverdiavgift. Kari, daglig leder, vil vite hva jobben er verdt priset på bokas tre måter.</t>
  </si>
  <si>
    <t xml:space="preserve">Begrepene du trenger</t>
  </si>
  <si>
    <t xml:space="preserve">Kostnadsbasert pris bygges fra egne kostnader: selvkost pluss fortjeneste (selvkostmetoden). Konkurransebasert pris settes ut fra det konkurrentene tar. Etterspørselsbasert pris settes ut fra det kunden er villig til å betale. Selvkost er direkte kostnader pluss andel indirekte. Merverdiavgift er 25 % av prisen uten avgift: pris med avgift = pris uten × 1,25.</t>
  </si>
  <si>
    <t xml:space="preserve">Tallene, i kroner</t>
  </si>
  <si>
    <t xml:space="preserve">Kalkylen på jobb 2614 er den samme som i Økonomistyring kapittel 5. Selvkosten regner arket ut (grønn celle). Konkurrenttilbudene er oppgitt slik styrelederen fikk dem: med merverdiavgift.</t>
  </si>
  <si>
    <t xml:space="preserve">Jobb 2614, sikringsskapbytte</t>
  </si>
  <si>
    <t xml:space="preserve">Kroner</t>
  </si>
  <si>
    <t xml:space="preserve">Direkte kostnader (14 timer × 640, materiell 9 800, kjøring 800); dette er de variable kostnadene</t>
  </si>
  <si>
    <t xml:space="preserve">Andel indirekte kostnader</t>
  </si>
  <si>
    <t xml:space="preserve">Selvkost</t>
  </si>
  <si>
    <t xml:space="preserve">Idas fortjeneste i prosent av selvkost</t>
  </si>
  <si>
    <t xml:space="preserve">Merverdiavgift i prosent</t>
  </si>
  <si>
    <t xml:space="preserve">Billigste konkurrenttilbud, med merverdiavgift</t>
  </si>
  <si>
    <t xml:space="preserve">Dyreste konkurrenttilbud, med merverdiavgift</t>
  </si>
  <si>
    <t xml:space="preserve">Oppgaven, trinn for trinn</t>
  </si>
  <si>
    <t xml:space="preserve">1. Kostnadsbasert: legg 12 % fortjeneste på selvkosten. Regn prisen uten merverdiavgift, og så med.
2. Konkurransebasert: regn det billigste tilbudet om til pris uten merverdiavgift. Merverdiavgiften er 25 % av prisen uten avgift, så du deler på 1,25.
3. Etterspørselsbasert: gjør det samme med det dyreste tilbudet; det er det styret vurderte å betale for en kjent installatør.
4. Finn fortjenesten over selvkost ved hver av de tre prisene, og fortjenesten i prosent av selvkost ved den høyeste.
5. Skriv til slutt hvilken metode Ida bør la veie tyngst overfor borettslaget. Svar med to desimaler der det trengs.</t>
  </si>
  <si>
    <t xml:space="preserve">a) Kostnadsbasert pris uten merverdiavgift: selvkost + 12 %</t>
  </si>
  <si>
    <t xml:space="preserve">kr</t>
  </si>
  <si>
    <t xml:space="preserve">b) Samme pris med merverdiavgift</t>
  </si>
  <si>
    <t xml:space="preserve">c) Konkurransebasert pris uten merverdiavgift: det billigste tilbudet</t>
  </si>
  <si>
    <t xml:space="preserve">d) Etterspørselsbasert pris uten merverdiavgift: det dyreste tilbudet</t>
  </si>
  <si>
    <t xml:space="preserve">e) Fortjeneste over selvkost ved kostnadsbasert pris</t>
  </si>
  <si>
    <t xml:space="preserve">f) Fortjeneste over selvkost ved konkurransebasert pris</t>
  </si>
  <si>
    <t xml:space="preserve">g) Fortjeneste over selvkost ved etterspørselsbasert pris</t>
  </si>
  <si>
    <t xml:space="preserve">h) Fortjenesten i g i prosent av selvkost (svar i prosentpoeng med én desimal, for eksempel 12,0)</t>
  </si>
  <si>
    <t xml:space="preserve">prosentpoeng</t>
  </si>
  <si>
    <t xml:space="preserve">i) Hvilken metode bør Ida la veie tyngst overfor borettslaget, og hvorfor? Bruk ordene selvkost og konkurranse, og si hva Nordlys kan gjøre for å ligge over det billigste tilbudet.</t>
  </si>
  <si>
    <t xml:space="preserve">Står du fast? Skriv JA i den gule cellen:</t>
  </si>
  <si>
    <t xml:space="preserve">Gule celler fyller du inn. Grønne regnes ut av arket. Sjekken til høyre forteller om svaret stemmer, og hva du bør se på hvis ikke.</t>
  </si>
  <si>
    <t xml:space="preserve">Geografi</t>
  </si>
  <si>
    <t xml:space="preserve">Oppgave 1B: Ti prisvirkemidler, fem situasjoner og bokas oppgave a</t>
  </si>
  <si>
    <t xml:space="preserve">Kjøpstidspunkt</t>
  </si>
  <si>
    <t xml:space="preserve">Alder</t>
  </si>
  <si>
    <t xml:space="preserve">Ulike mengder</t>
  </si>
  <si>
    <t xml:space="preserve">Kari går gjennom alt Nordlys gjør med prisen, og spør for hvert virkemiddel: er dette prisdifferensiering etter boka, eller bare en lavere pris? Så ser hun på fem situasjoner og spør hvilken prissettingsmetode som veier tyngst. Til slutt regner hun bokas egen oppgave a.</t>
  </si>
  <si>
    <t xml:space="preserve">Betalingstidspunkt</t>
  </si>
  <si>
    <t xml:space="preserve">Kunden gjør noe selv</t>
  </si>
  <si>
    <t xml:space="preserve">Prisdifferensiering er ulik pris fra ulike kjøpere for det samme produktet, og krever at minst ett av bokas seks kriterier er innfridd: geografisk atskilte markeder, ulikt kjøpstidspunkt, ulik alder, ulike mengder, ulikt betalingstidspunkt, eller at kunden gjør en oppgave selv. De tre rabattformene er kvantumsrabatt (mengder), kontantrabatt (betalingstidspunkt) og funksjonsrabatt (kunden gjør noe selv). Prissettingsmetodene er kostnadsbasert, konkurransebasert og etterspørselsbasert.</t>
  </si>
  <si>
    <t xml:space="preserve">Ikke prisdifferensiering</t>
  </si>
  <si>
    <t xml:space="preserve">Testen</t>
  </si>
  <si>
    <t xml:space="preserve">Spør for hvert virkemiddel: hva gjør kunden for å få prisen? Kjøper han mye, betaler raskt, gjør noe selv, kjøper når det er stille, bor et annet sted, eller er han barn eller pensjonist? Gjør kunden ingenting annerledes, er det ikke prisdifferensiering; det er bare en lavere pris.</t>
  </si>
  <si>
    <t xml:space="preserve">Sorter de ti virkemidlene etter bokas kriterier (velg i nedtrekksmenyen)</t>
  </si>
  <si>
    <t xml:space="preserve">Hastetillegg 30 % på oppdrag samme dag</t>
  </si>
  <si>
    <t xml:space="preserve">Lavere pris på el-sjekk i en stille uke i august, rett etter fellesferien</t>
  </si>
  <si>
    <t xml:space="preserve">Rammeavtale med et borettslag om alle leilighetene, 10 % under timeprisen</t>
  </si>
  <si>
    <t xml:space="preserve">Tolv ladepunkter i samme garasje til lavere pris per punkt</t>
  </si>
  <si>
    <t xml:space="preserve">2 % avslag når fakturaen betales innen 8 dager</t>
  </si>
  <si>
    <t xml:space="preserve">Kunden bærer ut det gamle skapet og leverer det til gjenvinning selv</t>
  </si>
  <si>
    <t xml:space="preserve">Kunden rydder tilkomsten til sikringsskapet selv</t>
  </si>
  <si>
    <t xml:space="preserve">Kjøretillegg for jobber utenfor byen</t>
  </si>
  <si>
    <t xml:space="preserve">Honnørpris på el-sjekk for pensjonister</t>
  </si>
  <si>
    <t xml:space="preserve">10 % til en gammel kunde som truer med å bytte installatør</t>
  </si>
  <si>
    <t xml:space="preserve">Hvilken prissettingsmetode veier tyngst i hver situasjon? (velg i nedtrekksmenyen)</t>
  </si>
  <si>
    <t xml:space="preserve">Et planlagt skapbytte der kunden har hentet inn tre tilbud</t>
  </si>
  <si>
    <t xml:space="preserve">Butikken uten strøm i kjøledisken fredag klokka 15</t>
  </si>
  <si>
    <t xml:space="preserve">Ida priser et stort anbud som selvkost pluss 12 % fortjeneste</t>
  </si>
  <si>
    <t xml:space="preserve">Ida legger et standard boligtilbud på samme nivå som de fem konkurrentene i bydelen</t>
  </si>
  <si>
    <t xml:space="preserve">Bokas oppgave a: innkjøp 250 kr pluss påslag for indirekte kostnader, fortjeneste og merverdiavgift</t>
  </si>
  <si>
    <t xml:space="preserve">Bokas oppgave a: utsalgsprisen</t>
  </si>
  <si>
    <t xml:space="preserve">En vare koster 250 kr i innkjøp. Frakt og forsikring er 10 kr per enhet. De indirekte kostnadene utgjør 40 % av inntakskosten, bedriften må ha 10 % fortjeneste, og varen er belagt med 25 % merverdiavgift. Regn trinn for trinn, med to desimaler.</t>
  </si>
  <si>
    <t xml:space="preserve">Bokas oppgave a</t>
  </si>
  <si>
    <t xml:space="preserve">Kroner eller prosent</t>
  </si>
  <si>
    <t xml:space="preserve">Innkjøpspris</t>
  </si>
  <si>
    <t xml:space="preserve">Frakt og forsikring per enhet</t>
  </si>
  <si>
    <t xml:space="preserve">Indirekte kostnader, prosent av inntakskost</t>
  </si>
  <si>
    <t xml:space="preserve">Fortjeneste, prosent av selvkost</t>
  </si>
  <si>
    <t xml:space="preserve">Merverdiavgift, prosent</t>
  </si>
  <si>
    <t xml:space="preserve">a) Inntakskost: innkjøp pluss frakt og forsikring</t>
  </si>
  <si>
    <t xml:space="preserve">b) Selvkost: inntakskost pluss 40 % indirekte kostnader</t>
  </si>
  <si>
    <t xml:space="preserve">c) Pris uten merverdiavgift: selvkost pluss 10 % fortjeneste</t>
  </si>
  <si>
    <t xml:space="preserve">d) Utsalgspris med 25 % merverdiavgift</t>
  </si>
  <si>
    <t xml:space="preserve">e) Med egne ord: hvorfor er 10 % til en gammel kunde som truer med å bytte, ikke prisdifferensiering? Og hva skjer med prisen neste gang? (To–tre setninger. Bruk ordet kriterium.)</t>
  </si>
  <si>
    <t xml:space="preserve">Kostnadsbasert</t>
  </si>
  <si>
    <t xml:space="preserve">Konkurransebasert</t>
  </si>
  <si>
    <t xml:space="preserve">Etterspørselsbasert</t>
  </si>
  <si>
    <t xml:space="preserve">Rabatten tas av dekningsbidraget, ikke av prisen, så volumet må opp 61 %</t>
  </si>
  <si>
    <t xml:space="preserve">Oppgave 1C: «Ti prosent, så signerer jeg i dag.» Hva svarer Kari?</t>
  </si>
  <si>
    <t xml:space="preserve">Han har glemt merverdiavgiften</t>
  </si>
  <si>
    <t xml:space="preserve">Ingenting, ti prosent flere skap holder</t>
  </si>
  <si>
    <t xml:space="preserve">Styrelederen i borettslaget ringer Kari: ti prosent rabatt på sikringsskapbyttet, så signerer han i dag. Borettslaget har flere leiligheter som skal gjøres de neste tre årene. Ida har regnet 12 % fortjeneste på jobb 2614, og formann Ronny Fjeld sier at ti prosent rabatt bare betyr at de må selge ti prosent flere skap. Kari vil ha regnestykket før hun svarer.</t>
  </si>
  <si>
    <t xml:space="preserve">Rabatten regnes av prisen, men kostnadene står stille, så hele rabatten går av fortjenesten. Fortjeneste = pris − selvkost. Dekningsbidrag = pris − variable kostnader (bidragsmetoden, avsnitt 7.4.1). Volumkravet, som følger av bidragsmetoden, er gammelt dekningsbidrag delt på nytt: så mange ganger flere må bedriften selge for å sitte igjen med det samme.</t>
  </si>
  <si>
    <t xml:space="preserve">Jobb 2614 slik Ida priset den i Økonomistyring kapittel 5. Fortjenesten og dekningsbidraget ved full pris regner arket ut (grønne celler). Timeprisen og selvkosten per fakturert time er Nordlys' tall fra samme kapittel.</t>
  </si>
  <si>
    <t xml:space="preserve">Jobb 2614 og timeprisen</t>
  </si>
  <si>
    <t xml:space="preserve">Pris uten merverdiavgift (selvkost × 1,12)</t>
  </si>
  <si>
    <t xml:space="preserve">Variable kostnader (de direkte kostnadene)</t>
  </si>
  <si>
    <t xml:space="preserve">Selvkost (variable + 4 200 indirekte)</t>
  </si>
  <si>
    <t xml:space="preserve">Fortjeneste over selvkost ved full pris</t>
  </si>
  <si>
    <t xml:space="preserve">Dekningsbidrag ved full pris (pris − variable kostnader)</t>
  </si>
  <si>
    <t xml:space="preserve">Timepris per montørtime, uten merverdiavgift</t>
  </si>
  <si>
    <t xml:space="preserve">Selvkost per fakturert time (faktaarket)</t>
  </si>
  <si>
    <t xml:space="preserve">1. Styrelederen vil ha 10 % rabatt. Regn ny pris (prisen ganger 0,90), fortjenesten over selvkost og dekningsbidraget ved den nye prisen. Selvkosten og de variable kostnadene står stille.
2. Regn hvor mange prosent av fortjenesten som forsvinner.
3. Gjør det samme med 5 % rabatt: ny pris og fortjeneste.
4. Volumkravet: gammelt dekningsbidrag delt på nytt sier hvor mange skap Nordlys må selge for hvert skap før. Svar i prosent flere skap, hele prosent.
5. Timeprisen: hva er igjen per time over selvkosten når 890 kr settes ned 10 % og selvkosten er 907? Svaret blir negativt.
6. Velg i i hva som er feil i Ronnys resonnement, og skriv Karis motbud i j. Svar med to desimaler der det trengs.</t>
  </si>
  <si>
    <t xml:space="preserve">a) Ny pris ved 10 % rabatt</t>
  </si>
  <si>
    <t xml:space="preserve">b) Fortjeneste over selvkost ved 10 % rabatt (ny pris minus 23 760)</t>
  </si>
  <si>
    <t xml:space="preserve">c) Dekningsbidrag ved 10 % rabatt (ny pris minus 19 560)</t>
  </si>
  <si>
    <t xml:space="preserve">d) Hvor mange prosent av fortjenesten forsvinner ved 10 % rabatt? (hele prosent, for eksempel 50)</t>
  </si>
  <si>
    <t xml:space="preserve">prosent</t>
  </si>
  <si>
    <t xml:space="preserve">e) Ny pris ved 5 % rabatt</t>
  </si>
  <si>
    <t xml:space="preserve">f) Fortjeneste over selvkost ved 5 % rabatt</t>
  </si>
  <si>
    <t xml:space="preserve">g) Volumkravet ved 10 % rabatt: hvor mange prosent flere skap må Nordlys selge for samme dekningsbidrag? (hele prosent)</t>
  </si>
  <si>
    <t xml:space="preserve">h) Timeprisen 890 kr med 10 % rabatt: hva er igjen per time over selvkosten 907? (negativt tall)</t>
  </si>
  <si>
    <t xml:space="preserve">kr per time</t>
  </si>
  <si>
    <t xml:space="preserve">i) Ronny sier: «Ti prosent rabatt, da må vi bare selge ti prosent flere skap.» Hva er feil?</t>
  </si>
  <si>
    <t xml:space="preserve">j) Skriv Karis motbud til styrelederen: hva må borettslaget gi for å få en lavere pris, og hvilket av bokas kriterier bygger det på? (To–tre setninger. Bruk ordene avtale og mengder.)</t>
  </si>
  <si>
    <t xml:space="preserve">Fasit, kapittel 7</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</si>
  <si>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</si>
  <si>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</si>
  <si>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</si>
  <si>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</si>
  <si>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Kostnadsbasert uten merverdiavgift</t>
  </si>
  <si>
    <t xml:space="preserve">23 760 × 1,12 = 26 611,20 kr</t>
  </si>
  <si>
    <t xml:space="preserve">1A b) Med merverdiavgift</t>
  </si>
  <si>
    <t xml:space="preserve">26 611,20 × 1,25 = 33 264 kr</t>
  </si>
  <si>
    <t xml:space="preserve">1A c) Konkurransebasert</t>
  </si>
  <si>
    <t xml:space="preserve">30 500 / 1,25 = 24 400 kr</t>
  </si>
  <si>
    <t xml:space="preserve">1A d) Etterspørselsbasert</t>
  </si>
  <si>
    <t xml:space="preserve">35 900 / 1,25 = 28 720 kr</t>
  </si>
  <si>
    <t xml:space="preserve">1A e) Fortjeneste, kostnadsbasert</t>
  </si>
  <si>
    <t xml:space="preserve">26 611,20 − 23 760 = 2 851,20 kr</t>
  </si>
  <si>
    <t xml:space="preserve">1A f) Fortjeneste, konkurransebasert</t>
  </si>
  <si>
    <t xml:space="preserve">24 400 − 23 760 = 640 kr</t>
  </si>
  <si>
    <t xml:space="preserve">1A g) Fortjeneste, etterspørselsbasert</t>
  </si>
  <si>
    <t xml:space="preserve">28 720 − 23 760 = 4 960 kr</t>
  </si>
  <si>
    <t xml:space="preserve">1A h) Fortjeneste i prosent av selvkost</t>
  </si>
  <si>
    <t xml:space="preserve">4 960 / 23 760 × 100 = 20,9 %</t>
  </si>
  <si>
    <t xml:space="preserve">1A i) Metoden som veier tyngst</t>
  </si>
  <si>
    <t xml:space="preserve">Selvkosten er gulvet uansett. Borettslaget har tre tilbud, så konkurransen veier tyngst. Nordlys kan ligge over det billigste hvis tilbudet viser hva som er med</t>
  </si>
  <si>
    <t xml:space="preserve">1B Kriteriene</t>
  </si>
  <si>
    <t xml:space="preserve">Kjøpstidspunkt: hastetillegg, stille uke i august. Ulike mengder: rammeavtalen, tolv ladepunkter. Betalingstidspunkt: 2 % innen 8 dager. Kunden gjør noe selv: bærer ut skapet, rydder tilkomsten. Geografi: kjøretillegg. Alder: honnørpris. Ikke prisdifferensiering: 10 % til den gamle kunden</t>
  </si>
  <si>
    <t xml:space="preserve">1B Metodene</t>
  </si>
  <si>
    <t xml:space="preserve">Skapbytte med tre tilbud: konkurransebasert. Kjøledisken: etterspørselsbasert. Anbudet fra selvkost pluss 12 %: kostnadsbasert. Tilbudet på konkurrentenes nivå: konkurransebasert. Bokas oppgave a: kostnadsbasert (selvkostmetoden)</t>
  </si>
  <si>
    <t xml:space="preserve">1B a) Inntakskost</t>
  </si>
  <si>
    <t xml:space="preserve">250 + 10 = 260 kr</t>
  </si>
  <si>
    <t xml:space="preserve">1B b) Selvkost</t>
  </si>
  <si>
    <t xml:space="preserve">260 × 1,40 = 364 kr</t>
  </si>
  <si>
    <t xml:space="preserve">1B c) Pris uten merverdiavgift</t>
  </si>
  <si>
    <t xml:space="preserve">364 × 1,10 = 400,40 kr</t>
  </si>
  <si>
    <t xml:space="preserve">1B d) Utsalgspris</t>
  </si>
  <si>
    <t xml:space="preserve">400,40 × 1,25 = 500,50 kr</t>
  </si>
  <si>
    <t xml:space="preserve">1B e) Den gamle kunden</t>
  </si>
  <si>
    <t xml:space="preserve">Kunden gjør ingenting annerledes, så ingen av de seks kriteriene er innfridd. Det er bare en lavere pris, og den blir utgangspunktet neste gang</t>
  </si>
  <si>
    <t xml:space="preserve">1C a) Ny pris, 10 %</t>
  </si>
  <si>
    <t xml:space="preserve">26 611,20 × 0,90 = 23 950,08 kr</t>
  </si>
  <si>
    <t xml:space="preserve">1C b) Fortjeneste, 10 %</t>
  </si>
  <si>
    <t xml:space="preserve">23 950,08 − 23 760 = 190,08 kr</t>
  </si>
  <si>
    <t xml:space="preserve">1C c) Dekningsbidrag, 10 %</t>
  </si>
  <si>
    <t xml:space="preserve">23 950,08 − 19 560 = 4 390,08 kr</t>
  </si>
  <si>
    <t xml:space="preserve">1C d) Av fortjenesten borte</t>
  </si>
  <si>
    <t xml:space="preserve">2 661,12 / 2 851,20 = 93 %</t>
  </si>
  <si>
    <t xml:space="preserve">1C e) Ny pris, 5 %</t>
  </si>
  <si>
    <t xml:space="preserve">26 611,20 × 0,95 = 25 280,64 kr</t>
  </si>
  <si>
    <t xml:space="preserve">1C f) Fortjeneste, 5 %</t>
  </si>
  <si>
    <t xml:space="preserve">25 280,64 − 23 760 = 1 520,64 kr</t>
  </si>
  <si>
    <t xml:space="preserve">1C g) Volumkravet, 10 %</t>
  </si>
  <si>
    <t xml:space="preserve">7 051,20 / 4 390,08 = 1,61: 61 % flere skap</t>
  </si>
  <si>
    <t xml:space="preserve">1C h) Igjen per time</t>
  </si>
  <si>
    <t xml:space="preserve">890 × 0,90 = 801. 801 − 907 = −106 kr. Allerede 890 ligger under selvkost (faktaarket); påslaget på materiellet bærer timene</t>
  </si>
  <si>
    <t xml:space="preserve">1C i) Ronnys feil</t>
  </si>
  <si>
    <t xml:space="preserve">Rabatten tas av dekningsbidraget (og dermed av fortjenesten), ikke av prisen. Volumet må opp 7 051,20 / 4 390,08 − 1 = 61 %, ikke 10 %</t>
  </si>
  <si>
    <t xml:space="preserve">1C j) Karis motbud</t>
  </si>
  <si>
    <t xml:space="preserve">5 % mot en skriftlig avtale om alle leilighetene (ulike mengder), kontantrabatt, eller en dato i en stille uke. Ikke 10 % for ingenting</t>
  </si>
</sst>
</file>

<file path=xl/styles.xml><?xml version="1.0" encoding="utf-8"?>
<styleSheet xmlns="http://schemas.openxmlformats.org/spreadsheetml/2006/main">
  <numFmts count="5">
    <numFmt numFmtId="164" formatCode="General"/>
    <numFmt numFmtId="165" formatCode="#,##0"/>
    <numFmt numFmtId="166" formatCode="#,##0.00"/>
    <numFmt numFmtId="167" formatCode="0.0"/>
    <numFmt numFmtId="168" formatCode="0"/>
  </numFmts>
  <fonts count="12">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
      <b val="true"/>
      <sz val="11"/>
      <color theme="1"/>
      <name val="Calibri"/>
      <family val="2"/>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6" fontId="0" fillId="4"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0" fillId="4" borderId="1" xfId="0" applyFont="false" applyBorder="true" applyAlignment="true" applyProtection="false">
      <alignment horizontal="right" vertical="center" textRotation="0" wrapText="fals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6" fontId="0" fillId="0"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8" fontId="0" fillId="4"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wrapText="true" horizontal="general" vertical="bottom" textRotation="0"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ht="17.25" customHeight="true" r="5" customFormat="false" hidden="fals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ht="17.25" customHeight="true" r="11" customFormat="false" hidden="false" outlineLevel="0" collapsed="false">
      <c r="B11" s="3" t="s">
        <v>7</v>
      </c>
    </row>
    <row ht="17.25" customHeight="true" r="12" customFormat="false" hidden="false" outlineLevel="0" collapsed="false">
      <c r="B12" s="2" t="s">
        <v>8</v>
      </c>
    </row>
    <row ht="17.25" customHeight="true" r="13" customFormat="false" hidden="false" outlineLevel="0" collapsed="false">
      <c r="B13" s="2" t="s">
        <v>9</v>
      </c>
    </row>
    <row ht="17.25" customHeight="true" r="14" customFormat="false" hidden="false" outlineLevel="0" collapsed="false">
      <c r="B14" s="2" t="s">
        <v>10</v>
      </c>
    </row>
    <row ht="17.25" customHeight="true" r="15" customFormat="false" hidden="fals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s>
  <sheetData>
    <row r="2" customFormat="false" ht="25.5" hidden="false" customHeight="true" outlineLevel="0" collapsed="false">
      <c r="B2" s="5" t="s">
        <v>13</v>
      </c>
      <c r="C2" s="5"/>
      <c r="D2" s="5"/>
      <c r="E2" s="5"/>
      <c r="F2" s="5"/>
      <c r="G2" s="5"/>
    </row>
    <row r="3" customFormat="false" ht="15" hidden="false" customHeight="true" outlineLevel="0" collapsed="false">
      <c r="B3" s="6" t="s">
        <v>14</v>
      </c>
      <c r="C3" s="6"/>
      <c r="D3" s="6"/>
      <c r="E3" s="6"/>
      <c r="F3" s="6"/>
      <c r="G3" s="6"/>
    </row>
    <row r="4" customFormat="false" ht="15.75" hidden="false" customHeight="true" outlineLevel="0" collapsed="false">
      <c r="B4" s="7" t="s">
        <v>15</v>
      </c>
      <c r="C4" s="7"/>
      <c r="D4" s="7"/>
      <c r="E4" s="7"/>
      <c r="F4" s="7"/>
      <c r="G4" s="7"/>
    </row>
    <row r="5" customFormat="false" ht="60" hidden="false" customHeight="true" outlineLevel="0" collapsed="false">
      <c r="B5" s="8" t="s">
        <v>16</v>
      </c>
      <c r="C5" s="8"/>
      <c r="D5" s="8"/>
      <c r="E5" s="8"/>
      <c r="F5" s="8"/>
      <c r="G5" s="8"/>
    </row>
    <row r="6" customFormat="false" ht="15.75" hidden="false" customHeight="true" outlineLevel="0" collapsed="false">
      <c r="B6" s="7" t="s">
        <v>17</v>
      </c>
      <c r="C6" s="7"/>
      <c r="D6" s="7"/>
      <c r="E6" s="7"/>
      <c r="F6" s="7"/>
      <c r="G6" s="7"/>
    </row>
    <row r="7" customFormat="false" ht="60" hidden="false" customHeight="true" outlineLevel="0" collapsed="false">
      <c r="B7" s="8" t="s">
        <v>18</v>
      </c>
      <c r="C7" s="8"/>
      <c r="D7" s="8"/>
      <c r="E7" s="8"/>
      <c r="F7" s="8"/>
      <c r="G7" s="8"/>
    </row>
    <row r="9" customFormat="false" ht="15.75" hidden="false" customHeight="true" outlineLevel="0" collapsed="false">
      <c r="B9" s="7" t="s">
        <v>19</v>
      </c>
      <c r="C9" s="7"/>
      <c r="D9" s="7"/>
      <c r="E9" s="7"/>
      <c r="F9" s="7"/>
      <c r="G9" s="7"/>
    </row>
    <row r="10" customFormat="false" ht="30" hidden="false" customHeight="true" outlineLevel="0" collapsed="false">
      <c r="B10" s="8" t="s">
        <v>20</v>
      </c>
      <c r="C10" s="8"/>
      <c r="D10" s="8"/>
      <c r="E10" s="8"/>
      <c r="F10" s="8"/>
      <c r="G10" s="8"/>
    </row>
    <row r="11" customFormat="false" ht="15" hidden="false" customHeight="false" outlineLevel="0" collapsed="false">
      <c r="B11" s="9" t="s">
        <v>21</v>
      </c>
      <c r="C11" s="10" t="s">
        <v>22</v>
      </c>
    </row>
    <row ht="31.5" customHeight="true" r="12" customFormat="false" hidden="false" outlineLevel="0" collapsed="false">
      <c s="32" r="B12" t="s">
        <v>23</v>
      </c>
      <c r="C12" s="12" t="n">
        <v>19560</v>
      </c>
    </row>
    <row r="13" customFormat="false" ht="15" hidden="false" customHeight="false" outlineLevel="0" collapsed="false">
      <c r="B13" s="11" t="s">
        <v>24</v>
      </c>
      <c r="C13" s="12" t="n">
        <v>4200</v>
      </c>
    </row>
    <row r="14" customFormat="false" ht="15" hidden="false" customHeight="false" outlineLevel="0" collapsed="false">
      <c r="B14" s="11" t="s">
        <v>25</v>
      </c>
      <c r="C14" s="13" t="n">
        <f aca="false">C12+C13</f>
        <v>23760</v>
      </c>
    </row>
    <row r="15" customFormat="false" ht="15" hidden="false" customHeight="false" outlineLevel="0" collapsed="false">
      <c r="B15" s="11" t="s">
        <v>26</v>
      </c>
      <c r="C15" s="12" t="n">
        <v>12</v>
      </c>
    </row>
    <row r="16" customFormat="false" ht="15" hidden="false" customHeight="false" outlineLevel="0" collapsed="false">
      <c r="B16" s="11" t="s">
        <v>27</v>
      </c>
      <c r="C16" s="12" t="n">
        <v>25</v>
      </c>
    </row>
    <row r="17" customFormat="false" ht="15" hidden="false" customHeight="false" outlineLevel="0" collapsed="false">
      <c r="B17" s="11" t="s">
        <v>28</v>
      </c>
      <c r="C17" s="12" t="n">
        <v>30500</v>
      </c>
    </row>
    <row r="18" customFormat="false" ht="15" hidden="false" customHeight="false" outlineLevel="0" collapsed="false">
      <c r="B18" s="11" t="s">
        <v>29</v>
      </c>
      <c r="C18" s="12" t="n">
        <v>35900</v>
      </c>
    </row>
    <row r="20" customFormat="false" ht="15.75" hidden="false" customHeight="true" outlineLevel="0" collapsed="false">
      <c r="B20" s="7" t="s">
        <v>30</v>
      </c>
      <c r="C20" s="7"/>
      <c r="D20" s="7"/>
      <c r="E20" s="7"/>
      <c r="F20" s="7"/>
      <c r="G20" s="7"/>
    </row>
    <row r="21" customFormat="false" ht="90" hidden="false" customHeight="true" outlineLevel="0" collapsed="false">
      <c r="B21" s="8" t="s">
        <v>31</v>
      </c>
      <c r="C21" s="8"/>
      <c r="D21" s="8"/>
      <c r="E21" s="8"/>
      <c r="F21" s="8"/>
      <c r="G21" s="8"/>
    </row>
    <row r="23" customFormat="false" ht="43.5" hidden="false" customHeight="true" outlineLevel="0" collapsed="false">
      <c r="B23" s="14" t="s">
        <v>32</v>
      </c>
      <c r="C23" s="15"/>
      <c r="D23" s="16" t="s">
        <v>33</v>
      </c>
      <c r="G23" s="17" t="str">
        <f aca="false">IF(C23="","Skriv svaret i den gule cellen.",IF(ABS(C23-(23760*1.12))&lt;=0.01,"Riktig.",IF(ABS(C23-(23760*0.12))&lt;=0.01,"Du har regnet bare fortjenesten. Prisen er selvkosten pluss fortjenesten: gang med 1,12.",IF(ABS(C23-(19560*1.12))&lt;=0.01,"Du har lagt fortjenesten på de direkte kostnadene. Selvkostmetoden legger den på selvkosten, 23 760.","Ikke riktig ennå. Se på regnestykket øverst på fanen, og sjekk at du har med alle leddene."))))</f>
        <v>Skriv svaret i den gule cellen.</v>
      </c>
    </row>
    <row r="24" customFormat="false" ht="43.5" hidden="false" customHeight="true" outlineLevel="0" collapsed="false">
      <c r="B24" s="14" t="s">
        <v>34</v>
      </c>
      <c r="C24" s="15"/>
      <c r="D24" s="16" t="s">
        <v>33</v>
      </c>
      <c r="G24" s="17" t="str">
        <f aca="false">IF(C24="","Skriv svaret i den gule cellen.",IF(ABS(C24-(23760*1.12*1.25))&lt;=0.01,"Riktig.",IF(ABS(C24-(23760*1.12*0.25))&lt;=0.01,"Det er bare avgiften. Prisen med merverdiavgift er prisen uten, pluss 25 %: gang med 1,25.",IF(ABS(C24-(23760*1.25))&lt;=0.01,"Du har glemt fortjenesten. Først 12 % på selvkost, så 25 % merverdiavgift.","Ikke riktig ennå. Se på regnestykket øverst på fanen, og sjekk at du har med alle leddene."))))</f>
        <v>Skriv svaret i den gule cellen.</v>
      </c>
    </row>
    <row r="25" customFormat="false" ht="43.5" hidden="false" customHeight="true" outlineLevel="0" collapsed="false">
      <c r="B25" s="14" t="s">
        <v>35</v>
      </c>
      <c r="C25" s="15"/>
      <c r="D25" s="16" t="s">
        <v>33</v>
      </c>
      <c r="G25" s="17" t="str">
        <f aca="false">IF(C25="","Skriv svaret i den gule cellen.",IF(ABS(C25-(30500/1.25))&lt;=0.01,"Riktig.",IF(ABS(C25-(30500*0.75))&lt;=0.01,"Du har trukket 25 % fra prisen med avgift. Avgiften er 25 % av prisen uten avgift, så du må dele på 1,25.",IF(ABS(C25-(30500))&lt;=0.01,"Tilbudet er oppgitt med merverdiavgift. Nordlys regner uten, så del på 1,25.","Ikke riktig ennå. Se på regnestykket øverst på fanen, og sjekk at du har med alle leddene."))))</f>
        <v>Skriv svaret i den gule cellen.</v>
      </c>
    </row>
    <row r="26" customFormat="false" ht="43.5" hidden="false" customHeight="true" outlineLevel="0" collapsed="false">
      <c r="B26" s="14" t="s">
        <v>36</v>
      </c>
      <c r="C26" s="15"/>
      <c r="D26" s="16" t="s">
        <v>33</v>
      </c>
      <c r="G26" s="17" t="str">
        <f aca="false">IF(C26="","Skriv svaret i den gule cellen.",IF(ABS(C26-(35900/1.25))&lt;=0.01,"Riktig.",IF(ABS(C26-(35900*0.75))&lt;=0.01,"Du har trukket 25 % fra prisen med avgift. Del på 1,25 i stedet.",IF(ABS(C26-(35900))&lt;=0.01,"Tilbudet er oppgitt med merverdiavgift. Del på 1,25.","Ikke riktig ennå. Se på regnestykket øverst på fanen, og sjekk at du har med alle leddene."))))</f>
        <v>Skriv svaret i den gule cellen.</v>
      </c>
    </row>
    <row r="27" customFormat="false" ht="43.5" hidden="false" customHeight="true" outlineLevel="0" collapsed="false">
      <c r="B27" s="14" t="s">
        <v>37</v>
      </c>
      <c r="C27" s="15"/>
      <c r="D27" s="16" t="s">
        <v>33</v>
      </c>
      <c r="G27" s="17" t="str">
        <f aca="false">IF(C27="","Skriv svaret i den gule cellen.",IF(ABS(C27-(23760*1.12-23760))&lt;=0.01,"Riktig.",IF(ABS(C27-(23760*1.12-19560))&lt;=0.01,"Du har trukket fra de direkte kostnadene. Det gir dekningsbidraget, ikke fortjenesten. Trekk fra selvkosten, 23 760.","Ikke riktig ennå. Se på regnestykket øverst på fanen, og sjekk at du har med alle leddene.")))</f>
        <v>Skriv svaret i den gule cellen.</v>
      </c>
    </row>
    <row r="28" customFormat="false" ht="43.5" hidden="false" customHeight="true" outlineLevel="0" collapsed="false">
      <c r="B28" s="14" t="s">
        <v>38</v>
      </c>
      <c r="C28" s="15"/>
      <c r="D28" s="16" t="s">
        <v>33</v>
      </c>
      <c r="G28" s="17" t="str">
        <f aca="false">IF(C28="","Skriv svaret i den gule cellen.",IF(ABS(C28-(30500/1.25-23760))&lt;=0.01,"Riktig.",IF(ABS(C28-(30500/1.25-19560))&lt;=0.01,"Du har trukket fra de direkte kostnadene. Fortjenesten er pris minus selvkost, 23 760.",IF(ABS(C28-(30500*0.75-23760))&lt;=0.01,"Prisen uten merverdiavgift er feil: del 30 500 på 1,25, ikke gang med 0,75. Med 22 875 ser jobben ut som et tap, og det er den ikke.","Ikke riktig ennå. Se på regnestykket øverst på fanen, og sjekk at du har med alle leddene."))))</f>
        <v>Skriv svaret i den gule cellen.</v>
      </c>
    </row>
    <row r="29" customFormat="false" ht="43.5" hidden="false" customHeight="true" outlineLevel="0" collapsed="false">
      <c r="B29" s="14" t="s">
        <v>39</v>
      </c>
      <c r="C29" s="15"/>
      <c r="D29" s="16" t="s">
        <v>33</v>
      </c>
      <c r="G29" s="17" t="str">
        <f aca="false">IF(C29="","Skriv svaret i den gule cellen.",IF(ABS(C29-(35900/1.25-23760))&lt;=0.01,"Riktig.",IF(ABS(C29-(35900/1.25-19560))&lt;=0.01,"Du har trukket fra de direkte kostnadene. Trekk fra selvkosten, 23 760.",IF(ABS(C29-(35900*0.75-23760))&lt;=0.01,"Prisen uten merverdiavgift er feil: del 35 900 på 1,25.","Ikke riktig ennå. Se på regnestykket øverst på fanen, og sjekk at du har med alle leddene."))))</f>
        <v>Skriv svaret i den gule cellen.</v>
      </c>
    </row>
    <row r="30" customFormat="false" ht="43.5" hidden="false" customHeight="true" outlineLevel="0" collapsed="false">
      <c r="B30" s="14" t="s">
        <v>40</v>
      </c>
      <c r="C30" s="18"/>
      <c r="D30" s="16" t="s">
        <v>41</v>
      </c>
      <c r="G30" s="17" t="str">
        <f aca="false">IF(C30="","Skriv svaret i den gule cellen.",IF(ABS(C30-(ROUND((35900/1.25-23760)/23760*100,1)))&lt;=0.05,"Riktig.",IF(ABS(C30-(ROUND((35900/1.25-23760)/(35900/1.25)*100,1)))&lt;=0.05,"Du har delt på prisen. Ida regner fortjenesten i prosent av selvkost, så del på 23 760.",IF(ABS(C30-(ROUND((23760*1.12-23760)/23760*100,1)))&lt;=0.05,"Det er Idas egen sats, 12,0. Her spørres det om fortjenesten ved den etterspørselsbaserte prisen, 28 720.","Ikke riktig ennå. Se på regnestykket øverst på fanen, og sjekk at du har med alle leddene."))))</f>
        <v>Skriv svaret i den gule cellen.</v>
      </c>
    </row>
    <row r="32" customFormat="false" ht="30" hidden="false" customHeight="true" outlineLevel="0" collapsed="false">
      <c r="B32" s="8" t="s">
        <v>42</v>
      </c>
      <c r="C32" s="8"/>
      <c r="D32" s="8"/>
      <c r="E32" s="8"/>
      <c r="F32" s="8"/>
      <c r="G32" s="8"/>
    </row>
    <row r="33" customFormat="false" ht="21.75" hidden="false" customHeight="true" outlineLevel="0" collapsed="false">
      <c r="B33" s="19"/>
      <c r="C33" s="19"/>
      <c r="D33" s="19"/>
      <c r="E33" s="19"/>
      <c r="F33" s="19"/>
      <c r="G33" s="19"/>
    </row>
    <row r="34" customFormat="false" ht="21.75" hidden="false" customHeight="true" outlineLevel="0" collapsed="false">
      <c r="B34" s="19"/>
      <c r="C34" s="19"/>
      <c r="D34" s="19"/>
      <c r="E34" s="19"/>
      <c r="F34" s="19"/>
      <c r="G34" s="19"/>
    </row>
    <row r="35" customFormat="false" ht="21.75" hidden="false" customHeight="true" outlineLevel="0" collapsed="false">
      <c r="B35" s="19"/>
      <c r="C35" s="19"/>
      <c r="D35" s="19"/>
      <c r="E35" s="19"/>
      <c r="F35" s="19"/>
      <c r="G35" s="19"/>
    </row>
    <row r="36" customFormat="false" ht="39.75" hidden="false" customHeight="true" outlineLevel="0" collapsed="false">
      <c r="B36" s="20" t="str">
        <f aca="false">IF(LEN(B33)&lt;40,"",IF(AND(ISNUMBER(SEARCH("selvkost",B33)),ISNUMBER(SEARCH("konkurr",B33))),"Bra: du har med både at selvkosten er gulvet, og at konkurransen veier tyngst når kunden har tre tilbud. Sjekk at du også sier hvordan tilbudet kan vise hva som er med.",IF(OR(ISNUMBER(SEARCH("selvkost",B33)),ISNUMBER(SEARCH("konkurr",B33))),"Du er på sporet. Ta med både gulvet (selvkosten) og at borettslaget sammenligner tre tilbud (konkurransen).","Tips: selvkosten 23 760 er gulvet uansett. Borettslaget har tre tilbud og sammenligner, så konkurransen veier tyngst. Nordlys kan ligge over det billigste hvis tilbudet viser hva som er med: dokumentasjon, garanti, responstid.")))</f>
        <v/>
      </c>
      <c r="C36" s="20"/>
      <c r="D36" s="20"/>
      <c r="E36" s="20"/>
      <c r="F36" s="20"/>
      <c r="G36" s="20"/>
    </row>
    <row r="37" customFormat="false" ht="15" hidden="false" customHeight="false" outlineLevel="0" collapsed="false">
      <c r="B37" s="21" t="s">
        <v>43</v>
      </c>
      <c r="C37" s="22"/>
    </row>
    <row r="38" customFormat="false" ht="45" hidden="false" customHeight="true" outlineLevel="0" collapsed="false">
      <c r="B38" s="23" t="str">
        <f aca="false">IF(C37="JA","Hint: a: 23 760 × 1,12 = 26 611,20. b: 26 611,20 × 1,25 = 33 264. c: 30 500 / 1,25 = 24 400. d: 35 900 / 1,25 = 28 720. e: 26 611,20 − 23 760 = 2 851,20. f: 24 400 − 23 760 = 640. g: 28 720 − 23 760 = 4 960. h: 4 960 / 23 760 = 20,9 %.","")</f>
        <v/>
      </c>
      <c r="C38" s="23"/>
      <c r="D38" s="23"/>
      <c r="E38" s="23"/>
      <c r="F38" s="23"/>
      <c r="G38" s="23"/>
    </row>
    <row r="40" customFormat="false" ht="30" hidden="false" customHeight="true" outlineLevel="0" collapsed="false">
      <c r="B40" s="6" t="s">
        <v>44</v>
      </c>
      <c r="C40" s="6"/>
      <c r="D40" s="6"/>
      <c r="E40" s="6"/>
      <c r="F40" s="6"/>
      <c r="G40" s="6"/>
    </row>
  </sheetData>
  <mergeCells count="15">
    <mergeCell ref="B2:G2"/>
    <mergeCell ref="B3:G3"/>
    <mergeCell ref="B4:G4"/>
    <mergeCell ref="B5:G5"/>
    <mergeCell ref="B6:G6"/>
    <mergeCell ref="B7:G7"/>
    <mergeCell ref="B9:G9"/>
    <mergeCell ref="B10:G10"/>
    <mergeCell ref="B20:G20"/>
    <mergeCell ref="B21:G21"/>
    <mergeCell ref="B32:G32"/>
    <mergeCell ref="B33:G35"/>
    <mergeCell ref="B36:G36"/>
    <mergeCell ref="B38:G38"/>
    <mergeCell ref="B40:G40"/>
  </mergeCells>
  <conditionalFormatting sqref="G23">
    <cfRule type="expression" priority="2" aboveAverage="0" equalAverage="0" bottom="0" percent="0" rank="0" text="" dxfId="0">
      <formula>LEFT(G23,6)="Riktig"</formula>
    </cfRule>
    <cfRule type="expression" priority="3" aboveAverage="0" equalAverage="0" bottom="0" percent="0" rank="0" text="" dxfId="1">
      <formula>AND(G23&lt;&gt;"",LEFT(G23,6)&lt;&gt;"Riktig",LEFT(G23,5)&lt;&gt;"Skriv")</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AND(G24&lt;&gt;"",LEFT(G24,6)&lt;&gt;"Riktig",LEFT(G24,5)&lt;&gt;"Skriv")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AND(G25&lt;&gt;"",LEFT(G25,6)&lt;&gt;"Riktig",LEFT(G25,5)&lt;&gt;"Skriv")</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AND(G26&lt;&gt;"",LEFT(G26,6)&lt;&gt;"Riktig",LEFT(G26,5)&lt;&gt;"Skriv")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AND(G27&lt;&gt;"",LEFT(G27,6)&lt;&gt;"Riktig",LEFT(G27,5)&lt;&gt;"Skriv")</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AND(G28&lt;&gt;"",LEFT(G28,6)&lt;&gt;"Riktig",LEFT(G28,5)&lt;&gt;"Skriv")</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AND(G29&lt;&gt;"",LEFT(G29,6)&lt;&gt;"Riktig",LEFT(G29,5)&lt;&gt;"Skriv")</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AND(G30&lt;&gt;"",LEFT(G30,6)&lt;&gt;"Riktig",LEFT(G30,5)&lt;&gt;"Skriv")</formula>
    </cfRule>
  </conditionalFormatting>
  <dataValidations count="1">
    <dataValidation allowBlank="true" errorStyle="stop" operator="between" showDropDown="false" showErrorMessage="false" showInputMessage="false" sqref="C37"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45</v>
      </c>
    </row>
    <row r="2" customFormat="false" ht="25.5" hidden="false" customHeight="true" outlineLevel="0" collapsed="false">
      <c r="B2" s="5" t="s">
        <v>46</v>
      </c>
      <c r="C2" s="5"/>
      <c r="D2" s="5"/>
      <c r="E2" s="5"/>
      <c r="F2" s="5"/>
      <c r="G2" s="5"/>
      <c r="Z2" s="24" t="s">
        <v>47</v>
      </c>
    </row>
    <row r="3" customFormat="false" ht="15" hidden="false" customHeight="true" outlineLevel="0" collapsed="false">
      <c r="B3" s="6" t="s">
        <v>14</v>
      </c>
      <c r="C3" s="6"/>
      <c r="D3" s="6"/>
      <c r="E3" s="6"/>
      <c r="F3" s="6"/>
      <c r="G3" s="6"/>
      <c r="Z3" s="24" t="s">
        <v>48</v>
      </c>
    </row>
    <row r="4" customFormat="false" ht="15.75" hidden="false" customHeight="true" outlineLevel="0" collapsed="false">
      <c r="B4" s="7" t="s">
        <v>15</v>
      </c>
      <c r="C4" s="7"/>
      <c r="D4" s="7"/>
      <c r="E4" s="7"/>
      <c r="F4" s="7"/>
      <c r="G4" s="7"/>
      <c r="Z4" s="24" t="s">
        <v>49</v>
      </c>
    </row>
    <row r="5" customFormat="false" ht="45" hidden="false" customHeight="true" outlineLevel="0" collapsed="false">
      <c r="B5" s="8" t="s">
        <v>50</v>
      </c>
      <c r="C5" s="8"/>
      <c r="D5" s="8"/>
      <c r="E5" s="8"/>
      <c r="F5" s="8"/>
      <c r="G5" s="8"/>
      <c r="Z5" s="24" t="s">
        <v>51</v>
      </c>
    </row>
    <row r="6" customFormat="false" ht="15.75" hidden="false" customHeight="true" outlineLevel="0" collapsed="false">
      <c r="B6" s="7" t="s">
        <v>17</v>
      </c>
      <c r="C6" s="7"/>
      <c r="D6" s="7"/>
      <c r="E6" s="7"/>
      <c r="F6" s="7"/>
      <c r="G6" s="7"/>
      <c r="Z6" s="24" t="s">
        <v>52</v>
      </c>
    </row>
    <row r="7" customFormat="false" ht="75" hidden="false" customHeight="true" outlineLevel="0" collapsed="false">
      <c r="B7" s="8" t="s">
        <v>53</v>
      </c>
      <c r="C7" s="8"/>
      <c r="D7" s="8"/>
      <c r="E7" s="8"/>
      <c r="F7" s="8"/>
      <c r="G7" s="8"/>
      <c r="Z7" s="24" t="s">
        <v>54</v>
      </c>
    </row>
    <row r="8" customFormat="false" ht="15" hidden="false" customHeight="false" outlineLevel="0" collapsed="false">
      <c r="Z8" s="0" t="s">
        <v>45</v>
      </c>
    </row>
    <row r="9" customFormat="false" ht="15.75" hidden="false" customHeight="true" outlineLevel="0" collapsed="false">
      <c r="B9" s="7" t="s">
        <v>55</v>
      </c>
      <c r="C9" s="7"/>
      <c r="D9" s="7"/>
      <c r="E9" s="7"/>
      <c r="F9" s="7"/>
      <c r="G9" s="7"/>
      <c r="Z9" s="24" t="s">
        <v>47</v>
      </c>
    </row>
    <row r="10" customFormat="false" ht="45" hidden="false" customHeight="true" outlineLevel="0" collapsed="false">
      <c r="B10" s="8" t="s">
        <v>56</v>
      </c>
      <c r="C10" s="8"/>
      <c r="D10" s="8"/>
      <c r="E10" s="8"/>
      <c r="F10" s="8"/>
      <c r="G10" s="8"/>
      <c r="Z10" s="24" t="s">
        <v>48</v>
      </c>
    </row>
    <row r="11" customFormat="false" ht="15" hidden="false" customHeight="false" outlineLevel="0" collapsed="false">
      <c r="Z11" s="0" t="s">
        <v>49</v>
      </c>
    </row>
    <row ht="17.25" customHeight="true" r="12" customFormat="false" hidden="false" outlineLevel="0" collapsed="false">
      <c r="B12" s="25" t="s">
        <v>57</v>
      </c>
      <c r="C12" s="25"/>
      <c r="D12" s="25"/>
      <c r="E12" s="25"/>
      <c r="F12" s="25"/>
      <c r="G12" s="25"/>
      <c r="Z12" s="24" t="s">
        <v>51</v>
      </c>
    </row>
    <row r="13" customFormat="false" ht="39.75" hidden="false" customHeight="true" outlineLevel="0" collapsed="false">
      <c r="B13" s="14" t="s">
        <v>58</v>
      </c>
      <c r="C13" s="22"/>
      <c r="G13" s="17" t="str">
        <f aca="false">IF(C13="","Velg i nedtrekksmenyen.",IF(C13="Kjøpstidspunkt","Riktig. Kunden kjøper når etterspørselen er større enn kapasiteten, og betaler for å slippe å vente.","Ikke riktig. Kunden kjøper når etterspørselen er større enn kapasiteten, og betaler for å slippe å vente."))</f>
        <v>Velg i nedtrekksmenyen.</v>
      </c>
      <c r="Z13" s="24" t="s">
        <v>52</v>
      </c>
    </row>
    <row r="14" customFormat="false" ht="39.75" hidden="false" customHeight="true" outlineLevel="0" collapsed="false">
      <c r="B14" s="14" t="s">
        <v>59</v>
      </c>
      <c r="C14" s="22"/>
      <c r="G14" s="17" t="str">
        <f aca="false">IF(C14="","Velg i nedtrekksmenyen.",IF(C14="Kjøpstidspunkt","Riktig. Prisen brukes til å fylle kapasiteten når det er stille. Boka: prisen regulerer etterspørselen.","Ikke riktig. Prisen brukes til å fylle kapasiteten når det er stille. Boka: prisen regulerer etterspørselen."))</f>
        <v>Velg i nedtrekksmenyen.</v>
      </c>
      <c r="Z14" s="24" t="s">
        <v>54</v>
      </c>
    </row>
    <row r="15" customFormat="false" ht="39.75" hidden="false" customHeight="true" outlineLevel="0" collapsed="false">
      <c r="B15" s="14" t="s">
        <v>60</v>
      </c>
      <c r="C15" s="22"/>
      <c r="G15" s="17" t="str">
        <f aca="false">IF(C15="","Velg i nedtrekksmenyen.",IF(C15="Ulike mengder","Riktig. Kunden kjøper store mengder. Det er kvantumsrabatt.","Ikke riktig. Kunden kjøper store mengder. Det er kvantumsrabatt."))</f>
        <v>Velg i nedtrekksmenyen.</v>
      </c>
      <c r="Z15" s="24" t="s">
        <v>45</v>
      </c>
    </row>
    <row r="16" customFormat="false" ht="39.75" hidden="false" customHeight="true" outlineLevel="0" collapsed="false">
      <c r="B16" s="14" t="s">
        <v>61</v>
      </c>
      <c r="C16" s="22"/>
      <c r="G16" s="17" t="str">
        <f aca="false">IF(C16="","Velg i nedtrekksmenyen.",IF(C16="Ulike mengder","Riktig. Flere enheter i én jobb gir lavere pris per enhet: kvantumsrabatt.","Ikke riktig. Flere enheter i én jobb gir lavere pris per enhet: kvantumsrabatt."))</f>
        <v>Velg i nedtrekksmenyen.</v>
      </c>
      <c r="Z16" s="24" t="s">
        <v>47</v>
      </c>
    </row>
    <row r="17" customFormat="false" ht="39.75" hidden="false" customHeight="true" outlineLevel="0" collapsed="false">
      <c r="B17" s="14" t="s">
        <v>62</v>
      </c>
      <c r="C17" s="22"/>
      <c r="G17" s="17" t="str">
        <f aca="false">IF(C17="","Velg i nedtrekksmenyen.",IF(C17="Betalingstidspunkt","Riktig. Kunden betaler raskere enn vanlige betingelser. Det er kontantrabatt.","Ikke riktig. Kunden betaler raskere enn vanlige betingelser. Det er kontantrabatt."))</f>
        <v>Velg i nedtrekksmenyen.</v>
      </c>
      <c r="Z17" s="24" t="s">
        <v>48</v>
      </c>
    </row>
    <row r="18" customFormat="false" ht="39.75" hidden="false" customHeight="true" outlineLevel="0" collapsed="false">
      <c r="B18" s="14" t="s">
        <v>63</v>
      </c>
      <c r="C18" s="22"/>
      <c r="G18" s="17" t="str">
        <f aca="false">IF(C18="","Velg i nedtrekksmenyen.",IF(C18="Kunden gjør noe selv","Riktig. Kunden gjør en oppgave Nordlys ellers måtte gjort. Det er funksjonsrabatt.","Ikke riktig. Kunden gjør en oppgave Nordlys ellers måtte gjort. Det er funksjonsrabatt."))</f>
        <v>Velg i nedtrekksmenyen.</v>
      </c>
      <c r="Z18" s="24" t="s">
        <v>49</v>
      </c>
    </row>
    <row r="19" customFormat="false" ht="39.75" hidden="false" customHeight="true" outlineLevel="0" collapsed="false">
      <c r="B19" s="14" t="s">
        <v>64</v>
      </c>
      <c r="C19" s="22"/>
      <c r="G19" s="17" t="str">
        <f aca="false">IF(C19="","Velg i nedtrekksmenyen.",IF(C19="Kunden gjør noe selv","Riktig. Kunden yter noe i kjøpet som sparer montøren tid: funksjonsrabatt.","Ikke riktig. Kunden yter noe i kjøpet som sparer montøren tid: funksjonsrabatt."))</f>
        <v>Velg i nedtrekksmenyen.</v>
      </c>
      <c r="Z19" s="24" t="s">
        <v>51</v>
      </c>
    </row>
    <row r="20" customFormat="false" ht="39.75" hidden="false" customHeight="true" outlineLevel="0" collapsed="false">
      <c r="B20" s="14" t="s">
        <v>65</v>
      </c>
      <c r="C20" s="22"/>
      <c r="G20" s="17" t="str">
        <f aca="false">IF(C20="","Velg i nedtrekksmenyen.",IF(C20="Geografi","Riktig. Kundene er i geografisk atskilte markeder, og prisen følger stedet.","Ikke riktig. Kundene er i geografisk atskilte markeder, og prisen følger stedet."))</f>
        <v>Velg i nedtrekksmenyen.</v>
      </c>
      <c r="Z20" s="24" t="s">
        <v>52</v>
      </c>
    </row>
    <row r="21" customFormat="false" ht="39.75" hidden="false" customHeight="true" outlineLevel="0" collapsed="false">
      <c r="B21" s="14" t="s">
        <v>66</v>
      </c>
      <c r="C21" s="22"/>
      <c r="G21" s="17" t="str">
        <f aca="false">IF(C21="","Velg i nedtrekksmenyen.",IF(C21="Alder","Riktig. Kundene har ulik alder. Boka: honnørbillett, lavere kjøpekraft og bedre kapasitetsutnyttelse.","Ikke riktig. Kundene har ulik alder. Boka: honnørbillett, lavere kjøpekraft og bedre kapasitetsutnyttelse."))</f>
        <v>Velg i nedtrekksmenyen.</v>
      </c>
      <c r="Z21" s="24" t="s">
        <v>54</v>
      </c>
    </row>
    <row r="22" customFormat="false" ht="39.75" hidden="false" customHeight="true" outlineLevel="0" collapsed="false">
      <c r="B22" s="14" t="s">
        <v>67</v>
      </c>
      <c r="C22" s="22"/>
      <c r="G22" s="17" t="str">
        <f aca="false">IF(C22="","Velg i nedtrekksmenyen.",IF(C22="Ikke prisdifferensiering","Riktig. Kunden gjør ingenting annerledes. Ingen av de seks kriteriene er innfridd; det er bare en lavere pris, og den blir utgangspunktet neste gang.","Ikke riktig. Kunden gjør ingenting annerledes. Ingen av de seks kriteriene er innfridd; det er bare en lavere pris, og den blir utgangspunktet neste gang."))</f>
        <v>Velg i nedtrekksmenyen.</v>
      </c>
      <c r="Z22" s="24" t="s">
        <v>45</v>
      </c>
    </row>
    <row r="23" customFormat="false" ht="15" hidden="false" customHeight="false" outlineLevel="0" collapsed="false">
      <c r="Z23" s="0" t="s">
        <v>47</v>
      </c>
    </row>
    <row ht="17.25" customHeight="true" r="24" customFormat="false" hidden="false" outlineLevel="0" collapsed="false">
      <c r="B24" s="25" t="s">
        <v>68</v>
      </c>
      <c r="C24" s="25"/>
      <c r="D24" s="25"/>
      <c r="E24" s="25"/>
      <c r="F24" s="25"/>
      <c r="G24" s="25"/>
      <c r="Z24" s="24" t="s">
        <v>48</v>
      </c>
    </row>
    <row r="25" customFormat="false" ht="39.75" hidden="false" customHeight="true" outlineLevel="0" collapsed="false">
      <c r="B25" s="14" t="s">
        <v>69</v>
      </c>
      <c r="C25" s="22"/>
      <c r="G25" s="17" t="str">
        <f aca="false">IF(C25="","Velg i nedtrekksmenyen.",IF(C25="Konkurransebasert","Riktig. Kunden sammenligner, så konkurrentenes priser bestemmer. Selvkosten er likevel gulvet.","Ikke riktig. Kunden sammenligner, så konkurrentenes priser bestemmer. Selvkosten er likevel gulvet."))</f>
        <v>Velg i nedtrekksmenyen.</v>
      </c>
      <c r="Z25" s="24" t="s">
        <v>49</v>
      </c>
    </row>
    <row r="26" customFormat="false" ht="39.75" hidden="false" customHeight="true" outlineLevel="0" collapsed="false">
      <c r="B26" s="14" t="s">
        <v>70</v>
      </c>
      <c r="C26" s="22"/>
      <c r="G26" s="17" t="str">
        <f aca="false">IF(C26="","Velg i nedtrekksmenyen.",IF(C26="Etterspørselsbasert","Riktig. Kunden betaler for å slippe å vente. Prisen settes etter betalingsviljen, løsrevet fra egne kostnader.","Ikke riktig. Kunden betaler for å slippe å vente. Prisen settes etter betalingsviljen, løsrevet fra egne kostnader."))</f>
        <v>Velg i nedtrekksmenyen.</v>
      </c>
      <c r="Z26" s="24" t="s">
        <v>51</v>
      </c>
    </row>
    <row r="27" customFormat="false" ht="39.75" hidden="false" customHeight="true" outlineLevel="0" collapsed="false">
      <c r="B27" s="14" t="s">
        <v>71</v>
      </c>
      <c r="C27" s="22"/>
      <c r="G27" s="17" t="str">
        <f aca="false">IF(C27="","Velg i nedtrekksmenyen.",IF(C27="Kostnadsbasert","Riktig. Prisen bygges fra egne kalkyler: selvkost pluss fortjeneste. Selvkostmetoden.","Ikke riktig. Prisen bygges fra egne kalkyler: selvkost pluss fortjeneste. Selvkostmetoden."))</f>
        <v>Velg i nedtrekksmenyen.</v>
      </c>
      <c r="Z27" s="24" t="s">
        <v>52</v>
      </c>
    </row>
    <row r="28" customFormat="false" ht="39.75" hidden="false" customHeight="true" outlineLevel="0" collapsed="false">
      <c r="B28" s="14" t="s">
        <v>72</v>
      </c>
      <c r="C28" s="22"/>
      <c r="G28" s="17" t="str">
        <f aca="false">IF(C28="","Velg i nedtrekksmenyen.",IF(C28="Konkurransebasert","Riktig. Konkurrentenes priser setter rammen for prisen. Konkurransebasert prissetting.","Ikke riktig. Konkurrentenes priser setter rammen for prisen. Konkurransebasert prissetting."))</f>
        <v>Velg i nedtrekksmenyen.</v>
      </c>
      <c r="Z28" s="24" t="s">
        <v>54</v>
      </c>
    </row>
    <row r="29" customFormat="false" ht="39.75" hidden="false" customHeight="true" outlineLevel="0" collapsed="false">
      <c r="B29" s="14" t="s">
        <v>73</v>
      </c>
      <c r="C29" s="22"/>
      <c r="G29" s="17" t="str">
        <f aca="false">IF(C29="","Velg i nedtrekksmenyen.",IF(C29="Kostnadsbasert","Riktig. Prisen bygges opp fra kostnadene med påslag. Kostnadsbasert etter selvkostmetoden.","Ikke riktig. Prisen bygges opp fra kostnadene med påslag. Kostnadsbasert etter selvkostmetoden."))</f>
        <v>Velg i nedtrekksmenyen.</v>
      </c>
      <c r="Z29" s="24" t="s">
        <v>45</v>
      </c>
    </row>
    <row r="30" customFormat="false" ht="15" hidden="false" customHeight="false" outlineLevel="0" collapsed="false">
      <c r="Z30" s="0" t="s">
        <v>47</v>
      </c>
    </row>
    <row r="31" customFormat="false" ht="15.75" hidden="false" customHeight="true" outlineLevel="0" collapsed="false">
      <c r="B31" s="7" t="s">
        <v>74</v>
      </c>
      <c r="C31" s="7"/>
      <c r="D31" s="7"/>
      <c r="E31" s="7"/>
      <c r="F31" s="7"/>
      <c r="G31" s="7"/>
      <c r="Z31" s="24" t="s">
        <v>48</v>
      </c>
    </row>
    <row r="32" customFormat="false" ht="45" hidden="false" customHeight="true" outlineLevel="0" collapsed="false">
      <c r="B32" s="8" t="s">
        <v>75</v>
      </c>
      <c r="C32" s="8"/>
      <c r="D32" s="8"/>
      <c r="E32" s="8"/>
      <c r="F32" s="8"/>
      <c r="G32" s="8"/>
      <c r="Z32" s="24" t="s">
        <v>49</v>
      </c>
    </row>
    <row r="33" customFormat="false" ht="15" hidden="false" customHeight="false" outlineLevel="0" collapsed="false">
      <c r="B33" s="9" t="s">
        <v>76</v>
      </c>
      <c r="C33" s="10" t="s">
        <v>77</v>
      </c>
      <c r="Z33" s="24" t="s">
        <v>51</v>
      </c>
    </row>
    <row r="34" customFormat="false" ht="15" hidden="false" customHeight="false" outlineLevel="0" collapsed="false">
      <c r="B34" s="11" t="s">
        <v>78</v>
      </c>
      <c r="C34" s="12" t="n">
        <v>250</v>
      </c>
      <c r="Z34" s="24" t="s">
        <v>52</v>
      </c>
    </row>
    <row r="35" customFormat="false" ht="15" hidden="false" customHeight="false" outlineLevel="0" collapsed="false">
      <c r="B35" s="11" t="s">
        <v>79</v>
      </c>
      <c r="C35" s="12" t="n">
        <v>10</v>
      </c>
      <c r="Z35" s="24" t="s">
        <v>54</v>
      </c>
    </row>
    <row r="36" customFormat="false" ht="15" hidden="false" customHeight="false" outlineLevel="0" collapsed="false">
      <c r="B36" s="11" t="s">
        <v>80</v>
      </c>
      <c r="C36" s="12" t="n">
        <v>40</v>
      </c>
      <c r="Z36" s="24" t="s">
        <v>45</v>
      </c>
    </row>
    <row r="37" customFormat="false" ht="15" hidden="false" customHeight="false" outlineLevel="0" collapsed="false">
      <c r="B37" s="11" t="s">
        <v>81</v>
      </c>
      <c r="C37" s="12" t="n">
        <v>10</v>
      </c>
      <c r="Z37" s="24" t="s">
        <v>47</v>
      </c>
    </row>
    <row r="38" customFormat="false" ht="15" hidden="false" customHeight="false" outlineLevel="0" collapsed="false">
      <c r="B38" s="11" t="s">
        <v>82</v>
      </c>
      <c r="C38" s="12" t="n">
        <v>25</v>
      </c>
      <c r="Z38" s="24" t="s">
        <v>48</v>
      </c>
    </row>
    <row r="39" customFormat="false" ht="15" hidden="false" customHeight="false" outlineLevel="0" collapsed="false">
      <c r="Z39" s="0" t="s">
        <v>49</v>
      </c>
    </row>
    <row r="40" customFormat="false" ht="43.5" hidden="false" customHeight="true" outlineLevel="0" collapsed="false">
      <c r="B40" s="14" t="s">
        <v>83</v>
      </c>
      <c r="C40" s="15"/>
      <c r="D40" s="16" t="s">
        <v>33</v>
      </c>
      <c r="G40" s="17" t="str">
        <f aca="false">IF(C40="","Skriv svaret i den gule cellen.",IF(ABS(C40-(250+10))&lt;=0.01,"Riktig.",IF(ABS(C40-(250))&lt;=0.01,"Frakt og forsikring hører med i inntakskosten. Legg til 10 kr.","Ikke riktig ennå. Se på regnestykket øverst på fanen, og sjekk at du har med alle leddene.")))</f>
        <v>Skriv svaret i den gule cellen.</v>
      </c>
      <c r="Z40" s="24" t="s">
        <v>51</v>
      </c>
    </row>
    <row r="41" customFormat="false" ht="43.5" hidden="false" customHeight="true" outlineLevel="0" collapsed="false">
      <c r="B41" s="14" t="s">
        <v>84</v>
      </c>
      <c r="C41" s="15"/>
      <c r="D41" s="16" t="s">
        <v>33</v>
      </c>
      <c r="G41" s="17" t="str">
        <f aca="false">IF(C41="","Skriv svaret i den gule cellen.",IF(ABS(C41-(260*1.4))&lt;=0.01,"Riktig.",IF(ABS(C41-(250*1.4))&lt;=0.01,"Du har regnet 40 % av innkjøpsprisen alene. Grunnlaget er inntakskosten, 260.",IF(ABS(C41-(260+40))&lt;=0.01,"40 er prosenten, ikke kronene. 40 % av 260 er 104.","Ikke riktig ennå. Se på regnestykket øverst på fanen, og sjekk at du har med alle leddene."))))</f>
        <v>Skriv svaret i den gule cellen.</v>
      </c>
      <c r="Z41" s="24" t="s">
        <v>52</v>
      </c>
    </row>
    <row r="42" customFormat="false" ht="43.5" hidden="false" customHeight="true" outlineLevel="0" collapsed="false">
      <c r="B42" s="14" t="s">
        <v>85</v>
      </c>
      <c r="C42" s="15"/>
      <c r="D42" s="16" t="s">
        <v>33</v>
      </c>
      <c r="G42" s="17" t="str">
        <f aca="false">IF(C42="","Skriv svaret i den gule cellen.",IF(ABS(C42-(260*1.4*1.1))&lt;=0.01,"Riktig.",IF(ABS(C42-(260*1.4+26))&lt;=0.01,"Du har regnet 10 % av 260. Fortjenesten regnes av selvkosten, 364.",IF(ABS(C42-(260*1.5))&lt;=0.01,"Du har lagt 40 % og 10 % sammen til 50 %. Fortjenesten regnes av selvkosten, etter at de indirekte er lagt på: 364 × 1,10.","Ikke riktig ennå. Se på regnestykket øverst på fanen, og sjekk at du har med alle leddene."))))</f>
        <v>Skriv svaret i den gule cellen.</v>
      </c>
      <c r="Z42" s="24" t="s">
        <v>54</v>
      </c>
    </row>
    <row r="43" customFormat="false" ht="43.5" hidden="false" customHeight="true" outlineLevel="0" collapsed="false">
      <c r="B43" s="14" t="s">
        <v>86</v>
      </c>
      <c r="C43" s="15"/>
      <c r="D43" s="16" t="s">
        <v>33</v>
      </c>
      <c r="G43" s="17" t="str">
        <f aca="false">IF(C43="","Skriv svaret i den gule cellen.",IF(ABS(C43-(260*1.4*1.1*1.25))&lt;=0.01,"Riktig.",IF(ABS(C43-(260*1.4*1.25))&lt;=0.01,"Du har glemt fortjenesten. Først 10 % på selvkost, så merverdiavgift.",IF(ABS(C43-(260*1.4*1.1+25))&lt;=0.01,"25 er prosenten, ikke kronene. 25 % av 400,40 er 100,10.",IF(ABS(C43-(260*1.4*1.1*0.25))&lt;=0.01,"Det er bare avgiften. Utsalgsprisen er prisen uten avgift pluss avgiften: gang med 1,25.","Ikke riktig ennå. Se på regnestykket øverst på fanen, og sjekk at du har med alle leddene.")))))</f>
        <v>Skriv svaret i den gule cellen.</v>
      </c>
      <c r="Z43" s="24" t="s">
        <v>45</v>
      </c>
    </row>
    <row r="44" customFormat="false" ht="15" hidden="false" customHeight="false" outlineLevel="0" collapsed="false">
      <c r="Z44" s="0" t="s">
        <v>47</v>
      </c>
    </row>
    <row r="45" customFormat="false" ht="30" hidden="false" customHeight="true" outlineLevel="0" collapsed="false">
      <c r="B45" s="8" t="s">
        <v>87</v>
      </c>
      <c r="C45" s="8"/>
      <c r="D45" s="8"/>
      <c r="E45" s="8"/>
      <c r="F45" s="8"/>
      <c r="G45" s="8"/>
      <c r="Z45" s="24" t="s">
        <v>48</v>
      </c>
    </row>
    <row r="46" customFormat="false" ht="21.75" hidden="false" customHeight="true" outlineLevel="0" collapsed="false">
      <c r="B46" s="19"/>
      <c r="C46" s="19"/>
      <c r="D46" s="19"/>
      <c r="E46" s="19"/>
      <c r="F46" s="19"/>
      <c r="G46" s="19"/>
      <c r="Z46" s="24" t="s">
        <v>49</v>
      </c>
    </row>
    <row r="47" customFormat="false" ht="21.75" hidden="false" customHeight="true" outlineLevel="0" collapsed="false">
      <c r="B47" s="19"/>
      <c r="C47" s="19"/>
      <c r="D47" s="19"/>
      <c r="E47" s="19"/>
      <c r="F47" s="19"/>
      <c r="G47" s="19"/>
      <c r="Z47" s="24" t="s">
        <v>51</v>
      </c>
    </row>
    <row r="48" customFormat="false" ht="21.75" hidden="false" customHeight="true" outlineLevel="0" collapsed="false">
      <c r="B48" s="19"/>
      <c r="C48" s="19"/>
      <c r="D48" s="19"/>
      <c r="E48" s="19"/>
      <c r="F48" s="19"/>
      <c r="G48" s="19"/>
      <c r="Z48" s="24" t="s">
        <v>52</v>
      </c>
    </row>
    <row r="49" customFormat="false" ht="39.75" hidden="false" customHeight="true" outlineLevel="0" collapsed="false">
      <c r="B49" s="20" t="str">
        <f aca="false">IF(LEN(B46)&lt;40,"",IF(AND(ISNUMBER(SEARCH("kriteri",B46)),ISNUMBER(SEARCH("neste",B46))),"Bra: du har med både at ingen av kriteriene er innfridd, og at prisen blir utgangspunktet neste gang.",IF(OR(ISNUMBER(SEARCH("kriteri",B46)),ISNUMBER(SEARCH("neste",B46))),"Du er på sporet. Si både at ingen av bokas seks kriterier er innfridd, og hva som skjer med prisen neste gang kunden ringer.","Tips: prisdifferensiering krever at kunden gjør noe annerledes: kjøper mer, betaler raskere, gjør noe selv, kommer når det er stille. Den gamle kunden gjør ingenting annerledes; ingen av de seks kriteriene er innfridd. Og den nye prisen blir utgangspunktet neste gang.")))</f>
        <v/>
      </c>
      <c r="C49" s="20"/>
      <c r="D49" s="20"/>
      <c r="E49" s="20"/>
      <c r="F49" s="20"/>
      <c r="G49" s="20"/>
      <c r="Z49" s="24" t="s">
        <v>54</v>
      </c>
    </row>
    <row r="50" customFormat="false" ht="15" hidden="false" customHeight="false" outlineLevel="0" collapsed="false">
      <c r="B50" s="21" t="s">
        <v>43</v>
      </c>
      <c r="C50" s="22"/>
      <c r="Z50" s="24" t="s">
        <v>45</v>
      </c>
    </row>
    <row r="51" customFormat="false" ht="31.5" hidden="false" customHeight="true" outlineLevel="0" collapsed="false">
      <c r="B51" s="23" t="str">
        <f aca="false">IF(C50="JA","Hint: Sorteringen: spør hva kunden gjør for å få prisen. Oppgave a: 250 + 10 = 260. 260 × 1,40 = 364. 364 × 1,10 = 400,40. 400,40 × 1,25 = 500,50.","")</f>
        <v/>
      </c>
      <c r="C51" s="23"/>
      <c r="D51" s="23"/>
      <c r="E51" s="23"/>
      <c r="F51" s="23"/>
      <c r="G51" s="23"/>
      <c r="Z51" s="24" t="s">
        <v>47</v>
      </c>
    </row>
    <row r="52" customFormat="false" ht="15" hidden="false" customHeight="false" outlineLevel="0" collapsed="false">
      <c r="Z52" s="0" t="s">
        <v>48</v>
      </c>
    </row>
    <row r="53" customFormat="false" ht="30" hidden="false" customHeight="true" outlineLevel="0" collapsed="false">
      <c r="B53" s="6" t="s">
        <v>44</v>
      </c>
      <c r="C53" s="6"/>
      <c r="D53" s="6"/>
      <c r="E53" s="6"/>
      <c r="F53" s="6"/>
      <c r="G53" s="6"/>
      <c r="Z53" s="24" t="s">
        <v>49</v>
      </c>
    </row>
    <row r="54" customFormat="false" ht="15" hidden="false" customHeight="false" outlineLevel="0" collapsed="false">
      <c r="Z54" s="0" t="s">
        <v>51</v>
      </c>
    </row>
    <row r="55" customFormat="false" ht="15" hidden="false" customHeight="false" outlineLevel="0" collapsed="false">
      <c r="Z55" s="0" t="s">
        <v>52</v>
      </c>
    </row>
    <row r="56" customFormat="false" ht="15" hidden="false" customHeight="false" outlineLevel="0" collapsed="false">
      <c r="Z56" s="0" t="s">
        <v>54</v>
      </c>
    </row>
    <row r="57" customFormat="false" ht="15" hidden="false" customHeight="false" outlineLevel="0" collapsed="false">
      <c r="Z57" s="0" t="s">
        <v>45</v>
      </c>
    </row>
    <row r="58" customFormat="false" ht="15" hidden="false" customHeight="false" outlineLevel="0" collapsed="false">
      <c r="Z58" s="0" t="s">
        <v>47</v>
      </c>
    </row>
    <row r="59" customFormat="false" ht="15" hidden="false" customHeight="false" outlineLevel="0" collapsed="false">
      <c r="Z59" s="0" t="s">
        <v>48</v>
      </c>
    </row>
    <row r="60" customFormat="false" ht="15" hidden="false" customHeight="false" outlineLevel="0" collapsed="false">
      <c r="Z60" s="0" t="s">
        <v>49</v>
      </c>
    </row>
    <row r="61" customFormat="false" ht="15" hidden="false" customHeight="false" outlineLevel="0" collapsed="false">
      <c r="Z61" s="0" t="s">
        <v>51</v>
      </c>
    </row>
    <row r="62" customFormat="false" ht="15" hidden="false" customHeight="false" outlineLevel="0" collapsed="false">
      <c r="Z62" s="0" t="s">
        <v>52</v>
      </c>
    </row>
    <row r="63" customFormat="false" ht="15" hidden="false" customHeight="false" outlineLevel="0" collapsed="false">
      <c r="Z63" s="0" t="s">
        <v>54</v>
      </c>
    </row>
    <row r="64" customFormat="false" ht="15" hidden="false" customHeight="false" outlineLevel="0" collapsed="false">
      <c r="Z64" s="0" t="s">
        <v>45</v>
      </c>
    </row>
    <row r="65" customFormat="false" ht="15" hidden="false" customHeight="false" outlineLevel="0" collapsed="false">
      <c r="Z65" s="0" t="s">
        <v>47</v>
      </c>
    </row>
    <row r="66" customFormat="false" ht="15" hidden="false" customHeight="false" outlineLevel="0" collapsed="false">
      <c r="Z66" s="0" t="s">
        <v>48</v>
      </c>
    </row>
    <row r="67" customFormat="false" ht="15" hidden="false" customHeight="false" outlineLevel="0" collapsed="false">
      <c r="Z67" s="0" t="s">
        <v>49</v>
      </c>
    </row>
    <row r="68" customFormat="false" ht="15" hidden="false" customHeight="false" outlineLevel="0" collapsed="false">
      <c r="Z68" s="0" t="s">
        <v>51</v>
      </c>
    </row>
    <row r="69" customFormat="false" ht="15" hidden="false" customHeight="false" outlineLevel="0" collapsed="false">
      <c r="Z69" s="0" t="s">
        <v>52</v>
      </c>
    </row>
    <row r="70" customFormat="false" ht="15" hidden="false" customHeight="false" outlineLevel="0" collapsed="false">
      <c r="Z70" s="0" t="s">
        <v>54</v>
      </c>
    </row>
    <row r="71" customFormat="false" ht="15" hidden="false" customHeight="false" outlineLevel="0" collapsed="false">
      <c r="Z71" s="0" t="s">
        <v>88</v>
      </c>
    </row>
    <row r="72" customFormat="false" ht="15" hidden="false" customHeight="false" outlineLevel="0" collapsed="false">
      <c r="Z72" s="0" t="s">
        <v>89</v>
      </c>
    </row>
    <row r="73" customFormat="false" ht="15" hidden="false" customHeight="false" outlineLevel="0" collapsed="false">
      <c r="Z73" s="0" t="s">
        <v>90</v>
      </c>
    </row>
    <row r="74" customFormat="false" ht="15" hidden="false" customHeight="false" outlineLevel="0" collapsed="false">
      <c r="Z74" s="0" t="s">
        <v>88</v>
      </c>
    </row>
    <row r="75" customFormat="false" ht="15" hidden="false" customHeight="false" outlineLevel="0" collapsed="false">
      <c r="Z75" s="0" t="s">
        <v>89</v>
      </c>
    </row>
    <row r="76" customFormat="false" ht="15" hidden="false" customHeight="false" outlineLevel="0" collapsed="false">
      <c r="Z76" s="0" t="s">
        <v>90</v>
      </c>
    </row>
    <row r="77" customFormat="false" ht="15" hidden="false" customHeight="false" outlineLevel="0" collapsed="false">
      <c r="Z77" s="0" t="s">
        <v>88</v>
      </c>
    </row>
    <row r="78" customFormat="false" ht="15" hidden="false" customHeight="false" outlineLevel="0" collapsed="false">
      <c r="Z78" s="0" t="s">
        <v>89</v>
      </c>
    </row>
    <row r="79" customFormat="false" ht="15" hidden="false" customHeight="false" outlineLevel="0" collapsed="false">
      <c r="Z79" s="0" t="s">
        <v>90</v>
      </c>
    </row>
    <row r="80" customFormat="false" ht="15" hidden="false" customHeight="false" outlineLevel="0" collapsed="false">
      <c r="Z80" s="0" t="s">
        <v>88</v>
      </c>
    </row>
    <row r="81" customFormat="false" ht="15" hidden="false" customHeight="false" outlineLevel="0" collapsed="false">
      <c r="Z81" s="0" t="s">
        <v>89</v>
      </c>
    </row>
    <row r="82" customFormat="false" ht="15" hidden="false" customHeight="false" outlineLevel="0" collapsed="false">
      <c r="Z82" s="0" t="s">
        <v>90</v>
      </c>
    </row>
    <row r="83" customFormat="false" ht="15" hidden="false" customHeight="false" outlineLevel="0" collapsed="false">
      <c r="Z83" s="0" t="s">
        <v>88</v>
      </c>
    </row>
    <row r="84" customFormat="false" ht="15" hidden="false" customHeight="false" outlineLevel="0" collapsed="false">
      <c r="Z84" s="0" t="s">
        <v>89</v>
      </c>
    </row>
    <row r="85" customFormat="false" ht="15" hidden="false" customHeight="false" outlineLevel="0" collapsed="false">
      <c r="Z85" s="0" t="s">
        <v>90</v>
      </c>
    </row>
  </sheetData>
  <mergeCells count="17">
    <mergeCell ref="B2:G2"/>
    <mergeCell ref="B3:G3"/>
    <mergeCell ref="B4:G4"/>
    <mergeCell ref="B5:G5"/>
    <mergeCell ref="B6:G6"/>
    <mergeCell ref="B7:G7"/>
    <mergeCell ref="B9:G9"/>
    <mergeCell ref="B10:G10"/>
    <mergeCell ref="B12:G12"/>
    <mergeCell ref="B24:G24"/>
    <mergeCell ref="B31:G31"/>
    <mergeCell ref="B32:G32"/>
    <mergeCell ref="B45:G45"/>
    <mergeCell ref="B46:G48"/>
    <mergeCell ref="B49:G49"/>
    <mergeCell ref="B51:G51"/>
    <mergeCell ref="B53:G53"/>
  </mergeCells>
  <conditionalFormatting sqref="G13">
    <cfRule type="expression" priority="2" aboveAverage="0" equalAverage="0" bottom="0" percent="0" rank="0" text="" dxfId="0">
      <formula>LEFT(G13,6)="Riktig"</formula>
    </cfRule>
    <cfRule type="expression" priority="3" aboveAverage="0" equalAverage="0" bottom="0" percent="0" rank="0" text="" dxfId="1">
      <formula>LEFT(G13,4)="Ikke"</formula>
    </cfRule>
  </conditionalFormatting>
  <conditionalFormatting sqref="G14">
    <cfRule type="expression" priority="4" aboveAverage="0" equalAverage="0" bottom="0" percent="0" rank="0" text="" dxfId="0">
      <formula>LEFT(G14,6)="Riktig"</formula>
    </cfRule>
    <cfRule type="expression" priority="5" aboveAverage="0" equalAverage="0" bottom="0" percent="0" rank="0" text="" dxfId="1">
      <formula>LEFT(G14,4)="Ikke"</formula>
    </cfRule>
  </conditionalFormatting>
  <conditionalFormatting sqref="G15">
    <cfRule type="expression" priority="6" aboveAverage="0" equalAverage="0" bottom="0" percent="0" rank="0" text="" dxfId="0">
      <formula>LEFT(G15,6)="Riktig"</formula>
    </cfRule>
    <cfRule type="expression" priority="7" aboveAverage="0" equalAverage="0" bottom="0" percent="0" rank="0" text="" dxfId="1">
      <formula>LEFT(G15,4)="Ikke"</formula>
    </cfRule>
  </conditionalFormatting>
  <conditionalFormatting sqref="G16">
    <cfRule type="expression" priority="8" aboveAverage="0" equalAverage="0" bottom="0" percent="0" rank="0" text="" dxfId="0">
      <formula>LEFT(G16,6)="Riktig"</formula>
    </cfRule>
    <cfRule type="expression" priority="9" aboveAverage="0" equalAverage="0" bottom="0" percent="0" rank="0" text="" dxfId="1">
      <formula>LEFT(G16,4)="Ikke"</formula>
    </cfRule>
  </conditionalFormatting>
  <conditionalFormatting sqref="G17">
    <cfRule type="expression" priority="10" aboveAverage="0" equalAverage="0" bottom="0" percent="0" rank="0" text="" dxfId="0">
      <formula>LEFT(G17,6)="Riktig"</formula>
    </cfRule>
    <cfRule type="expression" priority="11" aboveAverage="0" equalAverage="0" bottom="0" percent="0" rank="0" text="" dxfId="1">
      <formula>LEFT(G17,4)="Ikke"</formula>
    </cfRule>
  </conditionalFormatting>
  <conditionalFormatting sqref="G18">
    <cfRule type="expression" priority="12" aboveAverage="0" equalAverage="0" bottom="0" percent="0" rank="0" text="" dxfId="0">
      <formula>LEFT(G18,6)="Riktig"</formula>
    </cfRule>
    <cfRule type="expression" priority="13" aboveAverage="0" equalAverage="0" bottom="0" percent="0" rank="0" text="" dxfId="1">
      <formula>LEFT(G18,4)="Ikke"</formula>
    </cfRule>
  </conditionalFormatting>
  <conditionalFormatting sqref="G19">
    <cfRule type="expression" priority="14" aboveAverage="0" equalAverage="0" bottom="0" percent="0" rank="0" text="" dxfId="0">
      <formula>LEFT(G19,6)="Riktig"</formula>
    </cfRule>
    <cfRule type="expression" priority="15" aboveAverage="0" equalAverage="0" bottom="0" percent="0" rank="0" text="" dxfId="1">
      <formula>LEFT(G19,4)="Ikke"</formula>
    </cfRule>
  </conditionalFormatting>
  <conditionalFormatting sqref="G20">
    <cfRule type="expression" priority="16" aboveAverage="0" equalAverage="0" bottom="0" percent="0" rank="0" text="" dxfId="0">
      <formula>LEFT(G20,6)="Riktig"</formula>
    </cfRule>
    <cfRule type="expression" priority="17" aboveAverage="0" equalAverage="0" bottom="0" percent="0" rank="0" text="" dxfId="1">
      <formula>LEFT(G20,4)="Ikke"</formula>
    </cfRule>
  </conditionalFormatting>
  <conditionalFormatting sqref="G21">
    <cfRule type="expression" priority="18" aboveAverage="0" equalAverage="0" bottom="0" percent="0" rank="0" text="" dxfId="0">
      <formula>LEFT(G21,6)="Riktig"</formula>
    </cfRule>
    <cfRule type="expression" priority="19" aboveAverage="0" equalAverage="0" bottom="0" percent="0" rank="0" text="" dxfId="1">
      <formula>LEFT(G21,4)="Ikke"</formula>
    </cfRule>
  </conditionalFormatting>
  <conditionalFormatting sqref="G22">
    <cfRule type="expression" priority="20" aboveAverage="0" equalAverage="0" bottom="0" percent="0" rank="0" text="" dxfId="0">
      <formula>LEFT(G22,6)="Riktig"</formula>
    </cfRule>
    <cfRule type="expression" priority="21" aboveAverage="0" equalAverage="0" bottom="0" percent="0" rank="0" text="" dxfId="1">
      <formula>LEFT(G22,4)="Ikke"</formula>
    </cfRule>
  </conditionalFormatting>
  <conditionalFormatting sqref="G25">
    <cfRule type="expression" priority="22" aboveAverage="0" equalAverage="0" bottom="0" percent="0" rank="0" text="" dxfId="0">
      <formula>LEFT(G25,6)="Riktig"</formula>
    </cfRule>
    <cfRule type="expression" priority="23" aboveAverage="0" equalAverage="0" bottom="0" percent="0" rank="0" text="" dxfId="1">
      <formula>LEFT(G25,4)="Ikke"</formula>
    </cfRule>
  </conditionalFormatting>
  <conditionalFormatting sqref="G26">
    <cfRule type="expression" priority="24" aboveAverage="0" equalAverage="0" bottom="0" percent="0" rank="0" text="" dxfId="0">
      <formula>LEFT(G26,6)="Riktig"</formula>
    </cfRule>
    <cfRule type="expression" priority="25" aboveAverage="0" equalAverage="0" bottom="0" percent="0" rank="0" text="" dxfId="1">
      <formula>LEFT(G26,4)="Ikke"</formula>
    </cfRule>
  </conditionalFormatting>
  <conditionalFormatting sqref="G27">
    <cfRule type="expression" priority="26" aboveAverage="0" equalAverage="0" bottom="0" percent="0" rank="0" text="" dxfId="0">
      <formula>LEFT(G27,6)="Riktig"</formula>
    </cfRule>
    <cfRule type="expression" priority="27" aboveAverage="0" equalAverage="0" bottom="0" percent="0" rank="0" text="" dxfId="1">
      <formula>LEFT(G27,4)="Ikke"</formula>
    </cfRule>
  </conditionalFormatting>
  <conditionalFormatting sqref="G28">
    <cfRule type="expression" priority="28" aboveAverage="0" equalAverage="0" bottom="0" percent="0" rank="0" text="" dxfId="0">
      <formula>LEFT(G28,6)="Riktig"</formula>
    </cfRule>
    <cfRule type="expression" priority="29" aboveAverage="0" equalAverage="0" bottom="0" percent="0" rank="0" text="" dxfId="1">
      <formula>LEFT(G28,4)="Ikke"</formula>
    </cfRule>
  </conditionalFormatting>
  <conditionalFormatting sqref="G29">
    <cfRule type="expression" priority="30" aboveAverage="0" equalAverage="0" bottom="0" percent="0" rank="0" text="" dxfId="0">
      <formula>LEFT(G29,6)="Riktig"</formula>
    </cfRule>
    <cfRule type="expression" priority="31" aboveAverage="0" equalAverage="0" bottom="0" percent="0" rank="0" text="" dxfId="1">
      <formula>LEFT(G29,4)="Ikke"</formula>
    </cfRule>
  </conditionalFormatting>
  <conditionalFormatting sqref="G40">
    <cfRule type="expression" priority="32" aboveAverage="0" equalAverage="0" bottom="0" percent="0" rank="0" text="" dxfId="0">
      <formula>LEFT(G40,6)="Riktig"</formula>
    </cfRule>
    <cfRule type="expression" priority="33" aboveAverage="0" equalAverage="0" bottom="0" percent="0" rank="0" text="" dxfId="1">
      <formula>AND(G40&lt;&gt;"",LEFT(G40,6)&lt;&gt;"Riktig",LEFT(G40,5)&lt;&gt;"Skriv")</formula>
    </cfRule>
  </conditionalFormatting>
  <conditionalFormatting sqref="G41">
    <cfRule type="expression" priority="34" aboveAverage="0" equalAverage="0" bottom="0" percent="0" rank="0" text="" dxfId="0">
      <formula>LEFT(G41,6)="Riktig"</formula>
    </cfRule>
    <cfRule type="expression" priority="35" aboveAverage="0" equalAverage="0" bottom="0" percent="0" rank="0" text="" dxfId="1">
      <formula>AND(G41&lt;&gt;"",LEFT(G41,6)&lt;&gt;"Riktig",LEFT(G41,5)&lt;&gt;"Skriv")</formula>
    </cfRule>
  </conditionalFormatting>
  <conditionalFormatting sqref="G42">
    <cfRule type="expression" priority="36" aboveAverage="0" equalAverage="0" bottom="0" percent="0" rank="0" text="" dxfId="0">
      <formula>LEFT(G42,6)="Riktig"</formula>
    </cfRule>
    <cfRule type="expression" priority="37" aboveAverage="0" equalAverage="0" bottom="0" percent="0" rank="0" text="" dxfId="1">
      <formula>AND(G42&lt;&gt;"",LEFT(G42,6)&lt;&gt;"Riktig",LEFT(G42,5)&lt;&gt;"Skriv")</formula>
    </cfRule>
  </conditionalFormatting>
  <conditionalFormatting sqref="G43">
    <cfRule type="expression" priority="38" aboveAverage="0" equalAverage="0" bottom="0" percent="0" rank="0" text="" dxfId="0">
      <formula>LEFT(G43,6)="Riktig"</formula>
    </cfRule>
    <cfRule type="expression" priority="39" aboveAverage="0" equalAverage="0" bottom="0" percent="0" rank="0" text="" dxfId="1">
      <formula>AND(G43&lt;&gt;"",LEFT(G43,6)&lt;&gt;"Riktig",LEFT(G43,5)&lt;&gt;"Skriv")</formula>
    </cfRule>
  </conditionalFormatting>
  <dataValidations count="16">
    <dataValidation allowBlank="true" errorStyle="stop" operator="between" showDropDown="false" showErrorMessage="false" showInputMessage="false" sqref="C13" type="list">
      <formula1>$Z$1:$Z$7</formula1>
      <formula2>0</formula2>
    </dataValidation>
    <dataValidation allowBlank="true" errorStyle="stop" operator="between" showDropDown="false" showErrorMessage="false" showInputMessage="false" sqref="C14" type="list">
      <formula1>$Z$8:$Z$14</formula1>
      <formula2>0</formula2>
    </dataValidation>
    <dataValidation allowBlank="true" errorStyle="stop" operator="between" showDropDown="false" showErrorMessage="false" showInputMessage="false" sqref="C15" type="list">
      <formula1>$Z$15:$Z$21</formula1>
      <formula2>0</formula2>
    </dataValidation>
    <dataValidation allowBlank="true" errorStyle="stop" operator="between" showDropDown="false" showErrorMessage="false" showInputMessage="false" sqref="C16" type="list">
      <formula1>$Z$22:$Z$28</formula1>
      <formula2>0</formula2>
    </dataValidation>
    <dataValidation allowBlank="true" errorStyle="stop" operator="between" showDropDown="false" showErrorMessage="false" showInputMessage="false" sqref="C17" type="list">
      <formula1>$Z$29:$Z$35</formula1>
      <formula2>0</formula2>
    </dataValidation>
    <dataValidation allowBlank="true" errorStyle="stop" operator="between" showDropDown="false" showErrorMessage="false" showInputMessage="false" sqref="C18" type="list">
      <formula1>$Z$36:$Z$42</formula1>
      <formula2>0</formula2>
    </dataValidation>
    <dataValidation allowBlank="true" errorStyle="stop" operator="between" showDropDown="false" showErrorMessage="false" showInputMessage="false" sqref="C19" type="list">
      <formula1>$Z$43:$Z$49</formula1>
      <formula2>0</formula2>
    </dataValidation>
    <dataValidation allowBlank="true" errorStyle="stop" operator="between" showDropDown="false" showErrorMessage="false" showInputMessage="false" sqref="C20" type="list">
      <formula1>$Z$50:$Z$56</formula1>
      <formula2>0</formula2>
    </dataValidation>
    <dataValidation allowBlank="true" errorStyle="stop" operator="between" showDropDown="false" showErrorMessage="false" showInputMessage="false" sqref="C21" type="list">
      <formula1>$Z$57:$Z$63</formula1>
      <formula2>0</formula2>
    </dataValidation>
    <dataValidation allowBlank="true" errorStyle="stop" operator="between" showDropDown="false" showErrorMessage="false" showInputMessage="false" sqref="C22" type="list">
      <formula1>$Z$64:$Z$70</formula1>
      <formula2>0</formula2>
    </dataValidation>
    <dataValidation allowBlank="true" errorStyle="stop" operator="between" showDropDown="false" showErrorMessage="false" showInputMessage="false" sqref="C25" type="list">
      <formula1>$Z$71:$Z$73</formula1>
      <formula2>0</formula2>
    </dataValidation>
    <dataValidation allowBlank="true" errorStyle="stop" operator="between" showDropDown="false" showErrorMessage="false" showInputMessage="false" sqref="C26" type="list">
      <formula1>$Z$74:$Z$76</formula1>
      <formula2>0</formula2>
    </dataValidation>
    <dataValidation allowBlank="true" errorStyle="stop" operator="between" showDropDown="false" showErrorMessage="false" showInputMessage="false" sqref="C27" type="list">
      <formula1>$Z$77:$Z$79</formula1>
      <formula2>0</formula2>
    </dataValidation>
    <dataValidation allowBlank="true" errorStyle="stop" operator="between" showDropDown="false" showErrorMessage="false" showInputMessage="false" sqref="C28" type="list">
      <formula1>$Z$80:$Z$82</formula1>
      <formula2>0</formula2>
    </dataValidation>
    <dataValidation allowBlank="true" errorStyle="stop" operator="between" showDropDown="false" showErrorMessage="false" showInputMessage="false" sqref="C29" type="list">
      <formula1>$Z$83:$Z$85</formula1>
      <formula2>0</formula2>
    </dataValidation>
    <dataValidation allowBlank="true" errorStyle="stop" operator="between" showDropDown="false" showErrorMessage="false" showInputMessage="false" sqref="C50"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91</v>
      </c>
    </row>
    <row r="2" customFormat="false" ht="25.5" hidden="false" customHeight="true" outlineLevel="0" collapsed="false">
      <c r="B2" s="5" t="s">
        <v>92</v>
      </c>
      <c r="C2" s="5"/>
      <c r="D2" s="5"/>
      <c r="E2" s="5"/>
      <c r="F2" s="5"/>
      <c r="G2" s="5"/>
      <c r="Z2" s="24" t="s">
        <v>93</v>
      </c>
    </row>
    <row r="3" customFormat="false" ht="15" hidden="false" customHeight="true" outlineLevel="0" collapsed="false">
      <c r="B3" s="6" t="s">
        <v>14</v>
      </c>
      <c r="C3" s="6"/>
      <c r="D3" s="6"/>
      <c r="E3" s="6"/>
      <c r="F3" s="6"/>
      <c r="G3" s="6"/>
      <c r="Z3" s="24" t="s">
        <v>94</v>
      </c>
    </row>
    <row r="4" customFormat="false" ht="15.75" hidden="false" customHeight="true" outlineLevel="0" collapsed="false">
      <c r="B4" s="7" t="s">
        <v>15</v>
      </c>
      <c r="C4" s="7"/>
      <c r="D4" s="7"/>
      <c r="E4" s="7"/>
      <c r="F4" s="7"/>
      <c r="G4" s="7"/>
    </row>
    <row r="5" customFormat="false" ht="60" hidden="false" customHeight="true" outlineLevel="0" collapsed="false">
      <c r="B5" s="8" t="s">
        <v>95</v>
      </c>
      <c r="C5" s="8"/>
      <c r="D5" s="8"/>
      <c r="E5" s="8"/>
      <c r="F5" s="8"/>
      <c r="G5" s="8"/>
    </row>
    <row r="6" customFormat="false" ht="15.75" hidden="false" customHeight="true" outlineLevel="0" collapsed="false">
      <c r="B6" s="7" t="s">
        <v>17</v>
      </c>
      <c r="C6" s="7"/>
      <c r="D6" s="7"/>
      <c r="E6" s="7"/>
      <c r="F6" s="7"/>
      <c r="G6" s="7"/>
    </row>
    <row r="7" customFormat="false" ht="45" hidden="false" customHeight="true" outlineLevel="0" collapsed="false">
      <c r="B7" s="8" t="s">
        <v>96</v>
      </c>
      <c r="C7" s="8"/>
      <c r="D7" s="8"/>
      <c r="E7" s="8"/>
      <c r="F7" s="8"/>
      <c r="G7" s="8"/>
    </row>
    <row r="9" customFormat="false" ht="15.75" hidden="false" customHeight="true" outlineLevel="0" collapsed="false">
      <c r="B9" s="7" t="s">
        <v>19</v>
      </c>
      <c r="C9" s="7"/>
      <c r="D9" s="7"/>
      <c r="E9" s="7"/>
      <c r="F9" s="7"/>
      <c r="G9" s="7"/>
    </row>
    <row r="10" customFormat="false" ht="30" hidden="false" customHeight="true" outlineLevel="0" collapsed="false">
      <c r="B10" s="8" t="s">
        <v>97</v>
      </c>
      <c r="C10" s="8"/>
      <c r="D10" s="8"/>
      <c r="E10" s="8"/>
      <c r="F10" s="8"/>
      <c r="G10" s="8"/>
    </row>
    <row r="11" customFormat="false" ht="15" hidden="false" customHeight="false" outlineLevel="0" collapsed="false">
      <c r="B11" s="9" t="s">
        <v>98</v>
      </c>
      <c r="C11" s="10" t="s">
        <v>22</v>
      </c>
    </row>
    <row r="12" customFormat="false" ht="15" hidden="false" customHeight="false" outlineLevel="0" collapsed="false">
      <c r="B12" s="11" t="s">
        <v>99</v>
      </c>
      <c r="C12" s="26" t="n">
        <v>26611.2</v>
      </c>
    </row>
    <row r="13" customFormat="false" ht="15" hidden="false" customHeight="false" outlineLevel="0" collapsed="false">
      <c r="B13" s="11" t="s">
        <v>100</v>
      </c>
      <c r="C13" s="26" t="n">
        <v>19560</v>
      </c>
    </row>
    <row r="14" customFormat="false" ht="15" hidden="false" customHeight="false" outlineLevel="0" collapsed="false">
      <c r="B14" s="11" t="s">
        <v>101</v>
      </c>
      <c r="C14" s="26" t="n">
        <v>23760</v>
      </c>
    </row>
    <row r="15" customFormat="false" ht="15" hidden="false" customHeight="false" outlineLevel="0" collapsed="false">
      <c r="B15" s="11" t="s">
        <v>102</v>
      </c>
      <c r="C15" s="27" t="n">
        <f aca="false">C12-C14</f>
        <v>2851.2</v>
      </c>
    </row>
    <row ht="31.5" customHeight="true" r="16" customFormat="false" hidden="false" outlineLevel="0" collapsed="false">
      <c s="32" r="B16" t="s">
        <v>103</v>
      </c>
      <c r="C16" s="27" t="n">
        <f aca="false">C12-C13</f>
        <v>7051.2</v>
      </c>
    </row>
    <row r="17" customFormat="false" ht="15" hidden="false" customHeight="false" outlineLevel="0" collapsed="false">
      <c r="B17" s="11" t="s">
        <v>104</v>
      </c>
      <c r="C17" s="26" t="n">
        <v>890</v>
      </c>
    </row>
    <row r="18" customFormat="false" ht="15" hidden="false" customHeight="false" outlineLevel="0" collapsed="false">
      <c r="B18" s="11" t="s">
        <v>105</v>
      </c>
      <c r="C18" s="26" t="n">
        <v>907</v>
      </c>
    </row>
    <row r="20" customFormat="false" ht="15.75" hidden="false" customHeight="true" outlineLevel="0" collapsed="false">
      <c r="B20" s="7" t="s">
        <v>30</v>
      </c>
      <c r="C20" s="7"/>
      <c r="D20" s="7"/>
      <c r="E20" s="7"/>
      <c r="F20" s="7"/>
      <c r="G20" s="7"/>
    </row>
    <row ht="105" customHeight="true" r="21" customFormat="false" hidden="false" outlineLevel="0" collapsed="false">
      <c r="B21" s="8" t="s">
        <v>106</v>
      </c>
      <c r="C21" s="8"/>
      <c r="D21" s="8"/>
      <c r="E21" s="8"/>
      <c r="F21" s="8"/>
      <c r="G21" s="8"/>
    </row>
    <row r="23" customFormat="false" ht="43.5" hidden="false" customHeight="true" outlineLevel="0" collapsed="false">
      <c r="B23" s="14" t="s">
        <v>107</v>
      </c>
      <c r="C23" s="15"/>
      <c r="D23" s="16" t="s">
        <v>33</v>
      </c>
      <c r="G23" s="17" t="str">
        <f aca="false">IF(C23="","Skriv svaret i den gule cellen.",IF(ABS(C23-(26611.2*0.9))&lt;=0.01,"Riktig.",IF(ABS(C23-(26611.2*0.1))&lt;=0.01,"Det er rabatten i kroner, 2 661,12. Den nye prisen er prisen minus rabatten: gang med 0,90.",IF(ABS(C23-(23760*0.9))&lt;=0.01,"Du har gitt rabatt på selvkosten. Rabatten regnes av prisen, 26 611,20.","Ikke riktig ennå. Se på regnestykket øverst på fanen, og sjekk at du har med alle leddene."))))</f>
        <v>Skriv svaret i den gule cellen.</v>
      </c>
    </row>
    <row r="24" customFormat="false" ht="43.5" hidden="false" customHeight="true" outlineLevel="0" collapsed="false">
      <c r="B24" s="14" t="s">
        <v>108</v>
      </c>
      <c r="C24" s="15"/>
      <c r="D24" s="16" t="s">
        <v>33</v>
      </c>
      <c r="G24" s="17" t="str">
        <f aca="false">IF(C24="","Skriv svaret i den gule cellen.",IF(ABS(C24-(26611.2*0.9-23760))&lt;=0.01,"Riktig.",IF(ABS(C24-((26611.2-23760)*0.9))&lt;=0.01,"Du har trukket 10 % av fortjenesten. Rabatten regnes av hele prisen, men tas av fortjenesten: 2 661,12 av 2 851,20.",IF(ABS(C24-(26611.2*0.9-19560))&lt;=0.01,"Du har trukket fra de variable kostnadene. Det gir dekningsbidraget (c), ikke fortjenesten. Trekk fra selvkosten, 23 760.","Ikke riktig ennå. Se på regnestykket øverst på fanen, og sjekk at du har med alle leddene."))))</f>
        <v>Skriv svaret i den gule cellen.</v>
      </c>
    </row>
    <row r="25" customFormat="false" ht="43.5" hidden="false" customHeight="true" outlineLevel="0" collapsed="false">
      <c r="B25" s="14" t="s">
        <v>109</v>
      </c>
      <c r="C25" s="15"/>
      <c r="D25" s="16" t="s">
        <v>33</v>
      </c>
      <c r="G25" s="17" t="str">
        <f aca="false">IF(C25="","Skriv svaret i den gule cellen.",IF(ABS(C25-(26611.2*0.9-19560))&lt;=0.01,"Riktig.",IF(ABS(C25-((26611.2-19560)*0.9))&lt;=0.01,"Du har trukket 10 % av dekningsbidraget. Rabatten er 10 % av prisen, 2 661,12, og hele beløpet går av dekningsbidraget.",IF(ABS(C25-(26611.2*0.9-23760))&lt;=0.01,"Det er fortjenesten (b). Dekningsbidraget er ny pris minus de variable kostnadene, 19 560.","Ikke riktig ennå. Se på regnestykket øverst på fanen, og sjekk at du har med alle leddene."))))</f>
        <v>Skriv svaret i den gule cellen.</v>
      </c>
    </row>
    <row r="26" customFormat="false" ht="43.5" hidden="false" customHeight="true" outlineLevel="0" collapsed="false">
      <c r="B26" s="14" t="s">
        <v>110</v>
      </c>
      <c r="C26" s="28"/>
      <c r="D26" s="16" t="s">
        <v>111</v>
      </c>
      <c r="G26" s="17" t="str">
        <f aca="false">IF(C26="","Skriv svaret i den gule cellen.",IF(ABS(C26-(ROUND(26611.2*0.1/(26611.2-23760)*100,0)))&lt;=0.5,"Riktig.",IF(ABS(C26-(10))&lt;=0.5,"Rabatten er 10 % av prisen, men fortjenesten er bare en liten del av prisen. Regn rabatten i kroner delt på fortjenesten ved full pris.",IF(ABS(C26-(ROUND(26611.2*0.1/(26611.2-19560)*100,0)))&lt;=0.5,"Du har delt på dekningsbidraget. Oppgaven spør om fortjenesten over selvkost, 2 851,20.","Ikke riktig ennå. Se på regnestykket øverst på fanen, og sjekk at du har med alle leddene."))))</f>
        <v>Skriv svaret i den gule cellen.</v>
      </c>
    </row>
    <row r="27" customFormat="false" ht="43.5" hidden="false" customHeight="true" outlineLevel="0" collapsed="false">
      <c r="B27" s="14" t="s">
        <v>112</v>
      </c>
      <c r="C27" s="15"/>
      <c r="D27" s="16" t="s">
        <v>33</v>
      </c>
      <c r="G27" s="17" t="str">
        <f aca="false">IF(C27="","Skriv svaret i den gule cellen.",IF(ABS(C27-(26611.2*0.95))&lt;=0.01,"Riktig.",IF(ABS(C27-(26611.2*0.05))&lt;=0.01,"Det er rabatten i kroner, 1 330,56. Gang prisen med 0,95.","Ikke riktig ennå. Se på regnestykket øverst på fanen, og sjekk at du har med alle leddene.")))</f>
        <v>Skriv svaret i den gule cellen.</v>
      </c>
    </row>
    <row r="28" customFormat="false" ht="43.5" hidden="false" customHeight="true" outlineLevel="0" collapsed="false">
      <c r="B28" s="14" t="s">
        <v>113</v>
      </c>
      <c r="C28" s="15"/>
      <c r="D28" s="16" t="s">
        <v>33</v>
      </c>
      <c r="G28" s="17" t="str">
        <f aca="false">IF(C28="","Skriv svaret i den gule cellen.",IF(ABS(C28-(26611.2*0.95-23760))&lt;=0.01,"Riktig.",IF(ABS(C28-((26611.2-23760)*0.95))&lt;=0.01,"Du har trukket 5 % av fortjenesten. Rabatten er 5 % av prisen, 1 330,56, og hele beløpet går av fortjenesten.",IF(ABS(C28-(26611.2*0.95-19560))&lt;=0.01,"Det er dekningsbidraget. Trekk fra selvkosten, 23 760.","Ikke riktig ennå. Se på regnestykket øverst på fanen, og sjekk at du har med alle leddene."))))</f>
        <v>Skriv svaret i den gule cellen.</v>
      </c>
    </row>
    <row ht="46.5" customHeight="true" r="29" customFormat="false" hidden="false" outlineLevel="0" collapsed="false">
      <c r="B29" s="14" t="s">
        <v>114</v>
      </c>
      <c r="C29" s="28"/>
      <c r="D29" s="16" t="s">
        <v>111</v>
      </c>
      <c r="G29" s="17" t="str">
        <f aca="false">IF(C29="","Skriv svaret i den gule cellen.",IF(ABS(C29-(ROUND(((26611.2-19560)/(26611.2*0.9-19560)-1)*100,0)))&lt;=0.5,"Riktig.",IF(ABS(C29-(10))&lt;=0.5,"Det er Ronnys svar, og det stemmer ikke. Det er dekningsbidraget som skal tas igjen, ikke prisen. Del gammelt dekningsbidrag på nytt.",IF(ABS(C29-(ROUND((26611.2*0.9-19560)/(26611.2-19560)*100,0)))&lt;=0.5,"Du har delt nytt dekningsbidrag på gammelt. Snu brøken: gammelt delt på nytt, og trekk fra 1.","Ikke riktig ennå. Gammelt dekningsbidrag 7 051,20 delt på nytt 4 390,08 gir 1,61. Det er 61 % flere skap."))))</f>
        <v>Skriv svaret i den gule cellen.</v>
      </c>
    </row>
    <row r="30" customFormat="false" ht="43.5" hidden="false" customHeight="true" outlineLevel="0" collapsed="false">
      <c r="B30" s="14" t="s">
        <v>115</v>
      </c>
      <c r="C30" s="15"/>
      <c r="D30" s="16" t="s">
        <v>116</v>
      </c>
      <c r="G30" s="17" t="str">
        <f aca="false">IF(C30="","Skriv svaret i den gule cellen.",IF(ABS(C30-(890*0.9-907))&lt;=0.01,"Riktig.",IF(ABS(C30-((890-907)*0.9))&lt;=0.01,"Du har tatt 10 % av differansen. Rabatten er 10 % av 890, altså 89 kr, og hele beløpet går av: 801 minus 907.",IF(ABS(C30-(890*0.1))&lt;=0.01,"Det er rabatten, 89 kr. Spørsmålet er hva som er igjen: 801 minus 907.",IF(ABS(C30-(907-890*0.9))&lt;=0.01,"Riktig størrelse, men feil fortegn. Prisen er lavere enn selvkosten, så svaret er negativt.","Ikke riktig ennå. Se på regnestykket øverst på fanen, og sjekk at du har med alle leddene.")))))</f>
        <v>Skriv svaret i den gule cellen.</v>
      </c>
    </row>
    <row r="32" customFormat="false" ht="39.75" hidden="false" customHeight="true" outlineLevel="0" collapsed="false">
      <c r="B32" s="14" t="s">
        <v>117</v>
      </c>
      <c r="C32" s="22"/>
      <c r="G32" s="17" t="str">
        <f aca="false">IF(C32="","Velg i nedtrekksmenyen.",IF(C32="Rabatten tas av dekningsbidraget, ikke av prisen, så volumet må opp 61 %","Riktig. Kostnadene står stille, så hele rabatten går av dekningsbidraget. 7 051,20 / 4 390,08 = 1,61: Nordlys må selge 61 % flere skap, ikke 10 %.","Ikke riktig. Kostnadene står stille, så hele rabatten går av dekningsbidraget. 7 051,20 / 4 390,08 = 1,61: Nordlys må selge 61 % flere skap, ikke 10 %."))</f>
        <v>Velg i nedtrekksmenyen.</v>
      </c>
    </row>
    <row r="34" customFormat="false" ht="30" hidden="false" customHeight="true" outlineLevel="0" collapsed="false">
      <c r="B34" s="8" t="s">
        <v>118</v>
      </c>
      <c r="C34" s="8"/>
      <c r="D34" s="8"/>
      <c r="E34" s="8"/>
      <c r="F34" s="8"/>
      <c r="G34" s="8"/>
    </row>
    <row r="35" customFormat="false" ht="21.75" hidden="false" customHeight="true" outlineLevel="0" collapsed="false">
      <c r="B35" s="19"/>
      <c r="C35" s="19"/>
      <c r="D35" s="19"/>
      <c r="E35" s="19"/>
      <c r="F35" s="19"/>
      <c r="G35" s="19"/>
    </row>
    <row r="36" customFormat="false" ht="21.75" hidden="false" customHeight="true" outlineLevel="0" collapsed="false">
      <c r="B36" s="19"/>
      <c r="C36" s="19"/>
      <c r="D36" s="19"/>
      <c r="E36" s="19"/>
      <c r="F36" s="19"/>
      <c r="G36" s="19"/>
    </row>
    <row r="37" customFormat="false" ht="21.75" hidden="false" customHeight="true" outlineLevel="0" collapsed="false">
      <c r="B37" s="19"/>
      <c r="C37" s="19"/>
      <c r="D37" s="19"/>
      <c r="E37" s="19"/>
      <c r="F37" s="19"/>
      <c r="G37" s="19"/>
    </row>
    <row r="38" customFormat="false" ht="39.75" hidden="false" customHeight="true" outlineLevel="0" collapsed="false">
      <c r="B38" s="20" t="str">
        <f aca="false">IF(LEN(B35)&lt;40,"",IF(AND(ISNUMBER(SEARCH("avtale",B35)),ISNUMBER(SEARCH("mengd",B35))),"Bra: du gir rabatt mot noe kunden gjør, en avtale om flere leiligheter, og kobler det til kriteriet ulike mengder. Si gjerne også hva Kari sier nei til: 10 % for ingenting.",IF(OR(ISNUMBER(SEARCH("avtale",B35)),ISNUMBER(SEARCH("mengd",B35))),"Du er på sporet. Gi rabatten mot noe: en skriftlig avtale om alle leilighetene (ulike mengder), kontantrabatt, eller en dato i en stille uke.","Tips: Kari kan tilby 5 % mot en skriftlig avtale om alle leilighetene de neste tre årene. Det er kriteriet ulike mengder (kvantumsrabatt). Alternativer: 2 % for betaling innen 8 dager, eller en dato i en uke med ledig kapasitet. Ikke 10 % for ingenting, for det blir utgangspunktet neste gang.")))</f>
        <v/>
      </c>
      <c r="C38" s="20"/>
      <c r="D38" s="20"/>
      <c r="E38" s="20"/>
      <c r="F38" s="20"/>
      <c r="G38" s="20"/>
    </row>
    <row r="39" customFormat="false" ht="15" hidden="false" customHeight="false" outlineLevel="0" collapsed="false">
      <c r="B39" s="21" t="s">
        <v>43</v>
      </c>
      <c r="C39" s="22"/>
    </row>
    <row r="40" customFormat="false" ht="60" hidden="false" customHeight="true" outlineLevel="0" collapsed="false">
      <c r="B40" s="23" t="str">
        <f aca="false">IF(C39="JA","Hint: a: 26 611,20 × 0,90 = 23 950,08. b: 23 950,08 − 23 760 = 190,08. c: 23 950,08 − 19 560 = 4 390,08. d: 2 661,12 / 2 851,20 = 93 %. e: 26 611,20 × 0,95 = 25 280,64. f: 25 280,64 − 23 760 = 1 520,64. g: 7 051,20 / 4 390,08 = 1,61, altså 61 % flere. h: 801 − 907 = −106: timen med rabatt dekker ikke selvkost, og påslaget på materiellet må bære resten.","")</f>
        <v/>
      </c>
      <c r="C40" s="23"/>
      <c r="D40" s="23"/>
      <c r="E40" s="23"/>
      <c r="F40" s="23"/>
      <c r="G40" s="23"/>
    </row>
    <row r="42" customFormat="false" ht="30" hidden="false" customHeight="true" outlineLevel="0" collapsed="false">
      <c r="B42" s="6" t="s">
        <v>44</v>
      </c>
      <c r="C42" s="6"/>
      <c r="D42" s="6"/>
      <c r="E42" s="6"/>
      <c r="F42" s="6"/>
      <c r="G42" s="6"/>
    </row>
  </sheetData>
  <mergeCells count="15">
    <mergeCell ref="B2:G2"/>
    <mergeCell ref="B3:G3"/>
    <mergeCell ref="B4:G4"/>
    <mergeCell ref="B5:G5"/>
    <mergeCell ref="B6:G6"/>
    <mergeCell ref="B7:G7"/>
    <mergeCell ref="B9:G9"/>
    <mergeCell ref="B10:G10"/>
    <mergeCell ref="B20:G20"/>
    <mergeCell ref="B21:G21"/>
    <mergeCell ref="B34:G34"/>
    <mergeCell ref="B35:G37"/>
    <mergeCell ref="B38:G38"/>
    <mergeCell ref="B40:G40"/>
    <mergeCell ref="B42:G42"/>
  </mergeCells>
  <conditionalFormatting sqref="G23">
    <cfRule type="expression" priority="2" aboveAverage="0" equalAverage="0" bottom="0" percent="0" rank="0" text="" dxfId="0">
      <formula>LEFT(G23,6)="Riktig"</formula>
    </cfRule>
    <cfRule type="expression" priority="3" aboveAverage="0" equalAverage="0" bottom="0" percent="0" rank="0" text="" dxfId="1">
      <formula>AND(G23&lt;&gt;"",LEFT(G23,6)&lt;&gt;"Riktig",LEFT(G23,5)&lt;&gt;"Skriv")</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AND(G24&lt;&gt;"",LEFT(G24,6)&lt;&gt;"Riktig",LEFT(G24,5)&lt;&gt;"Skriv")</formula>
    </cfRule>
  </conditionalFormatting>
  <conditionalFormatting sqref="G25">
    <cfRule type="expression" priority="6" aboveAverage="0" equalAverage="0" bottom="0" percent="0" rank="0" text="" dxfId="0">
      <formula>LEFT(G25,6)="Riktig"</formula>
    </cfRule>
    <cfRule type="expression" priority="7" aboveAverage="0" equalAverage="0" bottom="0" percent="0" rank="0" text="" dxfId="1">
      <formula>AND(G25&lt;&gt;"",LEFT(G25,6)&lt;&gt;"Riktig",LEFT(G25,5)&lt;&gt;"Skriv")</formula>
    </cfRule>
  </conditionalFormatting>
  <conditionalFormatting sqref="G26">
    <cfRule type="expression" priority="8" aboveAverage="0" equalAverage="0" bottom="0" percent="0" rank="0" text="" dxfId="0">
      <formula>LEFT(G26,6)="Riktig"</formula>
    </cfRule>
    <cfRule type="expression" priority="9" aboveAverage="0" equalAverage="0" bottom="0" percent="0" rank="0" text="" dxfId="1">
      <formula>AND(G26&lt;&gt;"",LEFT(G26,6)&lt;&gt;"Riktig",LEFT(G26,5)&lt;&gt;"Skriv")</formula>
    </cfRule>
  </conditionalFormatting>
  <conditionalFormatting sqref="G27">
    <cfRule type="expression" priority="10" aboveAverage="0" equalAverage="0" bottom="0" percent="0" rank="0" text="" dxfId="0">
      <formula>LEFT(G27,6)="Riktig"</formula>
    </cfRule>
    <cfRule type="expression" priority="11" aboveAverage="0" equalAverage="0" bottom="0" percent="0" rank="0" text="" dxfId="1">
      <formula>AND(G27&lt;&gt;"",LEFT(G27,6)&lt;&gt;"Riktig",LEFT(G27,5)&lt;&gt;"Skriv")</formula>
    </cfRule>
  </conditionalFormatting>
  <conditionalFormatting sqref="G28">
    <cfRule type="expression" priority="12" aboveAverage="0" equalAverage="0" bottom="0" percent="0" rank="0" text="" dxfId="0">
      <formula>LEFT(G28,6)="Riktig"</formula>
    </cfRule>
    <cfRule type="expression" priority="13" aboveAverage="0" equalAverage="0" bottom="0" percent="0" rank="0" text="" dxfId="1">
      <formula>AND(G28&lt;&gt;"",LEFT(G28,6)&lt;&gt;"Riktig",LEFT(G28,5)&lt;&gt;"Skriv")</formula>
    </cfRule>
  </conditionalFormatting>
  <conditionalFormatting sqref="G29">
    <cfRule type="expression" priority="14" aboveAverage="0" equalAverage="0" bottom="0" percent="0" rank="0" text="" dxfId="0">
      <formula>LEFT(G29,6)="Riktig"</formula>
    </cfRule>
    <cfRule type="expression" priority="15" aboveAverage="0" equalAverage="0" bottom="0" percent="0" rank="0" text="" dxfId="1">
      <formula>AND(G29&lt;&gt;"",LEFT(G29,6)&lt;&gt;"Riktig",LEFT(G29,5)&lt;&gt;"Skriv")</formula>
    </cfRule>
  </conditionalFormatting>
  <conditionalFormatting sqref="G30">
    <cfRule type="expression" priority="16" aboveAverage="0" equalAverage="0" bottom="0" percent="0" rank="0" text="" dxfId="0">
      <formula>LEFT(G30,6)="Riktig"</formula>
    </cfRule>
    <cfRule type="expression" priority="17" aboveAverage="0" equalAverage="0" bottom="0" percent="0" rank="0" text="" dxfId="1">
      <formula>AND(G30&lt;&gt;"",LEFT(G30,6)&lt;&gt;"Riktig",LEFT(G30,5)&lt;&gt;"Skriv")</formula>
    </cfRule>
  </conditionalFormatting>
  <conditionalFormatting sqref="G32">
    <cfRule type="expression" priority="18" aboveAverage="0" equalAverage="0" bottom="0" percent="0" rank="0" text="" dxfId="0">
      <formula>LEFT(G32,6)="Riktig"</formula>
    </cfRule>
    <cfRule type="expression" priority="19" aboveAverage="0" equalAverage="0" bottom="0" percent="0" rank="0" text="" dxfId="1">
      <formula>LEFT(G32,4)="Ikke"</formula>
    </cfRule>
  </conditionalFormatting>
  <dataValidations count="2">
    <dataValidation allowBlank="true" errorStyle="stop" operator="between" showDropDown="false" showErrorMessage="false" showInputMessage="false" sqref="C32" type="list">
      <formula1>$Z$1:$Z$3</formula1>
      <formula2>0</formula2>
    </dataValidation>
    <dataValidation allowBlank="true" errorStyle="stop" operator="between" showDropDown="false" showErrorMessage="false" showInputMessage="false" sqref="C3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9" t="s">
        <v>119</v>
      </c>
    </row>
    <row r="3" customFormat="false" ht="30" hidden="false" customHeight="true" outlineLevel="0" collapsed="false">
      <c r="B3" s="6" t="s">
        <v>120</v>
      </c>
      <c r="C3" s="6"/>
      <c r="D3" s="6"/>
    </row>
    <row r="5" customFormat="false" ht="15" hidden="false" customHeight="false" outlineLevel="0" collapsed="false">
      <c r="B5" s="30" t="s">
        <v>121</v>
      </c>
      <c r="C5" s="30" t="s">
        <v>122</v>
      </c>
      <c r="D5" s="30" t="s">
        <v>123</v>
      </c>
    </row>
    <row r="6" customFormat="false" ht="30" hidden="false" customHeight="true" outlineLevel="0" collapsed="false">
      <c r="B6" s="31" t="s">
        <v>124</v>
      </c>
      <c r="C6" s="13" t="n">
        <v>26611.2</v>
      </c>
      <c r="D6" s="31" t="s">
        <v>125</v>
      </c>
    </row>
    <row r="7" customFormat="false" ht="30" hidden="false" customHeight="true" outlineLevel="0" collapsed="false">
      <c r="B7" s="31" t="s">
        <v>126</v>
      </c>
      <c r="C7" s="13" t="n">
        <v>33264</v>
      </c>
      <c r="D7" s="31" t="s">
        <v>127</v>
      </c>
    </row>
    <row r="8" customFormat="false" ht="30" hidden="false" customHeight="true" outlineLevel="0" collapsed="false">
      <c r="B8" s="31" t="s">
        <v>128</v>
      </c>
      <c r="C8" s="13" t="n">
        <v>24400</v>
      </c>
      <c r="D8" s="31" t="s">
        <v>129</v>
      </c>
    </row>
    <row r="9" customFormat="false" ht="30" hidden="false" customHeight="true" outlineLevel="0" collapsed="false">
      <c r="B9" s="31" t="s">
        <v>130</v>
      </c>
      <c r="C9" s="13" t="n">
        <v>28720</v>
      </c>
      <c r="D9" s="31" t="s">
        <v>131</v>
      </c>
    </row>
    <row r="10" customFormat="false" ht="30" hidden="false" customHeight="true" outlineLevel="0" collapsed="false">
      <c r="B10" s="31" t="s">
        <v>132</v>
      </c>
      <c r="C10" s="13" t="n">
        <v>2851.2</v>
      </c>
      <c r="D10" s="31" t="s">
        <v>133</v>
      </c>
    </row>
    <row r="11" customFormat="false" ht="30" hidden="false" customHeight="true" outlineLevel="0" collapsed="false">
      <c r="B11" s="31" t="s">
        <v>134</v>
      </c>
      <c r="C11" s="13" t="n">
        <v>640</v>
      </c>
      <c r="D11" s="31" t="s">
        <v>135</v>
      </c>
    </row>
    <row r="12" customFormat="false" ht="30" hidden="false" customHeight="true" outlineLevel="0" collapsed="false">
      <c r="B12" s="31" t="s">
        <v>136</v>
      </c>
      <c r="C12" s="13" t="n">
        <v>4960</v>
      </c>
      <c r="D12" s="31" t="s">
        <v>137</v>
      </c>
    </row>
    <row r="13" customFormat="false" ht="30" hidden="false" customHeight="true" outlineLevel="0" collapsed="false">
      <c r="B13" s="31" t="s">
        <v>138</v>
      </c>
      <c r="C13" s="13" t="n">
        <v>20.9</v>
      </c>
      <c r="D13" s="31" t="s">
        <v>139</v>
      </c>
    </row>
    <row r="14" customFormat="false" ht="30" hidden="false" customHeight="true" outlineLevel="0" collapsed="false">
      <c r="B14" s="31" t="s">
        <v>140</v>
      </c>
      <c r="C14" s="13"/>
      <c r="D14" s="31" t="s">
        <v>141</v>
      </c>
    </row>
    <row r="15" customFormat="false" ht="60" hidden="false" customHeight="true" outlineLevel="0" collapsed="false">
      <c r="B15" s="31" t="s">
        <v>142</v>
      </c>
      <c r="C15" s="13"/>
      <c r="D15" s="31" t="s">
        <v>143</v>
      </c>
    </row>
    <row r="16" customFormat="false" ht="45" hidden="false" customHeight="true" outlineLevel="0" collapsed="false">
      <c r="B16" s="31" t="s">
        <v>144</v>
      </c>
      <c r="C16" s="13"/>
      <c r="D16" s="31" t="s">
        <v>145</v>
      </c>
    </row>
    <row r="17" customFormat="false" ht="30" hidden="false" customHeight="true" outlineLevel="0" collapsed="false">
      <c r="B17" s="31" t="s">
        <v>146</v>
      </c>
      <c r="C17" s="13" t="n">
        <v>260</v>
      </c>
      <c r="D17" s="31" t="s">
        <v>147</v>
      </c>
    </row>
    <row r="18" customFormat="false" ht="30" hidden="false" customHeight="true" outlineLevel="0" collapsed="false">
      <c r="B18" s="31" t="s">
        <v>148</v>
      </c>
      <c r="C18" s="13" t="n">
        <v>364</v>
      </c>
      <c r="D18" s="31" t="s">
        <v>149</v>
      </c>
    </row>
    <row r="19" customFormat="false" ht="30" hidden="false" customHeight="true" outlineLevel="0" collapsed="false">
      <c r="B19" s="31" t="s">
        <v>150</v>
      </c>
      <c r="C19" s="13" t="n">
        <v>400.4</v>
      </c>
      <c r="D19" s="31" t="s">
        <v>151</v>
      </c>
    </row>
    <row r="20" customFormat="false" ht="30" hidden="false" customHeight="true" outlineLevel="0" collapsed="false">
      <c r="B20" s="31" t="s">
        <v>152</v>
      </c>
      <c r="C20" s="13" t="n">
        <v>500.5</v>
      </c>
      <c r="D20" s="31" t="s">
        <v>153</v>
      </c>
    </row>
    <row r="21" customFormat="false" ht="30" hidden="false" customHeight="true" outlineLevel="0" collapsed="false">
      <c r="B21" s="31" t="s">
        <v>154</v>
      </c>
      <c r="C21" s="13"/>
      <c r="D21" s="31" t="s">
        <v>155</v>
      </c>
    </row>
    <row r="22" customFormat="false" ht="30" hidden="false" customHeight="true" outlineLevel="0" collapsed="false">
      <c r="B22" s="31" t="s">
        <v>156</v>
      </c>
      <c r="C22" s="13" t="n">
        <v>23950.08</v>
      </c>
      <c r="D22" s="31" t="s">
        <v>157</v>
      </c>
    </row>
    <row r="23" customFormat="false" ht="30" hidden="false" customHeight="true" outlineLevel="0" collapsed="false">
      <c r="B23" s="31" t="s">
        <v>158</v>
      </c>
      <c r="C23" s="13" t="n">
        <v>190.08</v>
      </c>
      <c r="D23" s="31" t="s">
        <v>159</v>
      </c>
    </row>
    <row r="24" customFormat="false" ht="30" hidden="false" customHeight="true" outlineLevel="0" collapsed="false">
      <c r="B24" s="31" t="s">
        <v>160</v>
      </c>
      <c r="C24" s="13" t="n">
        <v>4390.08</v>
      </c>
      <c r="D24" s="31" t="s">
        <v>161</v>
      </c>
    </row>
    <row r="25" customFormat="false" ht="30" hidden="false" customHeight="true" outlineLevel="0" collapsed="false">
      <c r="B25" s="31" t="s">
        <v>162</v>
      </c>
      <c r="C25" s="13" t="n">
        <v>93</v>
      </c>
      <c r="D25" s="31" t="s">
        <v>163</v>
      </c>
    </row>
    <row r="26" customFormat="false" ht="30" hidden="false" customHeight="true" outlineLevel="0" collapsed="false">
      <c r="B26" s="31" t="s">
        <v>164</v>
      </c>
      <c r="C26" s="13" t="n">
        <v>25280.64</v>
      </c>
      <c r="D26" s="31" t="s">
        <v>165</v>
      </c>
    </row>
    <row r="27" customFormat="false" ht="30" hidden="false" customHeight="true" outlineLevel="0" collapsed="false">
      <c r="B27" s="31" t="s">
        <v>166</v>
      </c>
      <c r="C27" s="13" t="n">
        <v>1520.64</v>
      </c>
      <c r="D27" s="31" t="s">
        <v>167</v>
      </c>
    </row>
    <row r="28" customFormat="false" ht="30" hidden="false" customHeight="true" outlineLevel="0" collapsed="false">
      <c r="B28" s="31" t="s">
        <v>168</v>
      </c>
      <c r="C28" s="13" t="n">
        <v>61</v>
      </c>
      <c r="D28" s="31" t="s">
        <v>169</v>
      </c>
    </row>
    <row r="29" customFormat="false" ht="30" hidden="false" customHeight="true" outlineLevel="0" collapsed="false">
      <c r="B29" s="31" t="s">
        <v>170</v>
      </c>
      <c r="C29" s="13" t="n">
        <v>-106</v>
      </c>
      <c r="D29" s="31" t="s">
        <v>171</v>
      </c>
    </row>
    <row r="30" customFormat="false" ht="30" hidden="false" customHeight="true" outlineLevel="0" collapsed="false">
      <c r="B30" s="31" t="s">
        <v>172</v>
      </c>
      <c r="C30" s="13"/>
      <c r="D30" s="31" t="s">
        <v>173</v>
      </c>
    </row>
    <row r="31" customFormat="false" ht="30" hidden="false" customHeight="true" outlineLevel="0" collapsed="false">
      <c r="B31" s="31" t="s">
        <v>174</v>
      </c>
      <c r="C31" s="13"/>
      <c r="D31" s="31" t="s">
        <v>175</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2026-10-22T17:52:01Z</dcterms:created>
  <dc:creator>openpyxl</dc:creator>
  <dc:description/>
  <dc:language>en-US</dc:language>
  <cp:lastModifiedBy/>
  <dcterms:modified xsi:type="dcterms:W3CDTF">2026-10-22T17:52:01Z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