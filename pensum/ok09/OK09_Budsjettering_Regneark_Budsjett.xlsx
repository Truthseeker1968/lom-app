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kelt" sheetId="1" state="visible" r:id="rId3"/>
    <sheet name="Veiledning" sheetId="2" state="visible" r:id="rId4"/>
    <sheet name="Resultatbudsjett" sheetId="3" state="visible" r:id="rId5"/>
    <sheet name="Likviditet" sheetId="4" state="visible" r:id="rId6"/>
    <sheet name="Budsjettkontroll" sheetId="5" state="visible" r:id="rId7"/>
    <sheet name="Scenari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<sst xmlns="http://schemas.openxmlformats.org/spreadsheetml/2006/main" count="389" uniqueCount="348">
  <si>
    <t xml:space="preserve">Har vi penger på konto i januar? Den enkle versjonen</t>
  </si>
  <si>
    <t xml:space="preserve">Fyll inn de fem gule cellene. Svaret står i den grønne. Alt annet regner seg selv. Vil du gå dypere, ligger hele modellen i arkene bak.</t>
  </si>
  <si>
    <t xml:space="preserve">Det du vet</t>
  </si>
  <si>
    <t xml:space="preserve">Hvor mye står på konto 1. januar?</t>
  </si>
  <si>
    <t xml:space="preserve">Bankinnskuddet når året starter.</t>
  </si>
  <si>
    <t xml:space="preserve">Hvor mye selger dere for i januar, uten mva.?</t>
  </si>
  <si>
    <t xml:space="preserve">Tallet fra salgsbudsjettet. Kunden betaler 25 prosent mva. på toppen.</t>
  </si>
  <si>
    <t xml:space="preserve">Hvor mange dager har kundene på seg til å betale?</t>
  </si>
  <si>
    <t xml:space="preserve">Kredittiden på fakturaen. Arket regner med 30 dager i måneden, slik læreboka gjør.</t>
  </si>
  <si>
    <t xml:space="preserve">Hvor mye av det kundene skyldte fra i fjor, kommer inn i januar?</t>
  </si>
  <si>
    <t xml:space="preserve">Fakturaer fra desember som betales i januar.</t>
  </si>
  <si>
    <t xml:space="preserve">Hvor mye går ut av kontoen i januar?</t>
  </si>
  <si>
    <t xml:space="preserve">Leverandørgjeld fra i fjor, lønn, arbeidsgiveravgift og andre driftskostnader.</t>
  </si>
  <si>
    <t xml:space="preserve">Regnestykket</t>
  </si>
  <si>
    <t xml:space="preserve">Januarsalget med mva.</t>
  </si>
  <si>
    <t xml:space="preserve">Det kunden faktisk betaler. Det er dette beløpet som havner på kontoen.</t>
  </si>
  <si>
    <t xml:space="preserve">Del av salget som betales samme måned</t>
  </si>
  <si>
    <t xml:space="preserve">Ved 20 dager kommer en tredel inn samme måned. Resten kommer senere.</t>
  </si>
  <si>
    <t xml:space="preserve">Inn fra januarsalget i januar</t>
  </si>
  <si>
    <t xml:space="preserve">Salget med mva. ganger andelen som betales samme måned.</t>
  </si>
  <si>
    <t xml:space="preserve">Sum inn i januar</t>
  </si>
  <si>
    <t xml:space="preserve">Gamle fordringer pluss det som kommer inn fra januarsalget.</t>
  </si>
  <si>
    <t xml:space="preserve">Inn minus ut i januar</t>
  </si>
  <si>
    <t xml:space="preserve">Endringen i beholdning. Minus betyr at kontoen synker.</t>
  </si>
  <si>
    <t xml:space="preserve">PENGER PÅ KONTO 31. JANUAR</t>
  </si>
  <si>
    <t xml:space="preserve">Det som sto på konto, pluss endringen i måneden. Minus betyr at kontoen er tom.</t>
  </si>
  <si>
    <t xml:space="preserve">Januarsalg som kommer inn senere</t>
  </si>
  <si>
    <t xml:space="preserve">Tjent i januar, men ikke betalt ennå. Det står i overskuddet, men ikke på kontoen.</t>
  </si>
  <si>
    <t xml:space="preserve">Hva svaret betyr</t>
  </si>
  <si>
    <t xml:space="preserve">Prøv selv</t>
  </si>
  <si>
    <t xml:space="preserve">1. Sett kredittiden (B7) til 30 dager. Hva skjer med kontoen 31. januar?</t>
  </si>
  <si>
    <t xml:space="preserve">2. Endrer kredittiden overskuddet i resultatbudsjettet? Begrunn svaret.</t>
  </si>
  <si>
    <t xml:space="preserve">3. Hvor mye kan utbetalingene (B9) bli før kontoen går i minus?</t>
  </si>
  <si>
    <t xml:space="preserve">Tallene er januar i likviditetsbudsjettet til Nordlys Elektro AS for 2027 (sammendraget). Kilde: Økonomistyring for LØM-emnet, kap. 9.6. Nordlys Elektro AS er en konstruert casebedrift.</t>
  </si>
  <si>
    <t xml:space="preserve">Budsjettering og budsjettkontroll</t>
  </si>
  <si>
    <t xml:space="preserve">LØM Økonomistyring kap. 9 · arbeidsregneark · Fagskolen Oslo, Avdeling Elkraft</t>
  </si>
  <si>
    <t xml:space="preserve">Emne: Teknisk kommunikasjon og ledelse for 1ET-klassene · LØM for 2ET, 2EK, 3EK og 4EK</t>
  </si>
  <si>
    <t xml:space="preserve">Fargekode</t>
  </si>
  <si>
    <t xml:space="preserve">Gul celle med blå skrift</t>
  </si>
  <si>
    <t xml:space="preserve">Inndata — dette er tallene du endrer.</t>
  </si>
  <si>
    <t xml:space="preserve">Grå eller lyseblå celle, svart skrift</t>
  </si>
  <si>
    <t xml:space="preserve">Formel — regner seg selv. Ikke skriv over den.</t>
  </si>
  <si>
    <t xml:space="preserve">Mørkeblå rad med hvit skrift</t>
  </si>
  <si>
    <t xml:space="preserve">Kolonneoverskrift.</t>
  </si>
  <si>
    <t xml:space="preserve">Ark i arbeidsboka</t>
  </si>
  <si>
    <t xml:space="preserve">Enkelt</t>
  </si>
  <si>
    <t xml:space="preserve">Start her. Fem gule celler, ett svar. Pengene på konto i januar regnet på den enkleste måten.</t>
  </si>
  <si>
    <t xml:space="preserve">Resultatbudsjett</t>
  </si>
  <si>
    <t xml:space="preserve">Hva bedriften tjener, år og måned for måned. Salgsprofilen og satsene er de gule cellene.</t>
  </si>
  <si>
    <t xml:space="preserve">Likviditet</t>
  </si>
  <si>
    <t xml:space="preserve">Når pengene beveger seg. Tolv måneder, alle innbetalinger og utbetalinger. Kredittiden til kundene står i B5 — det er den ene cellen som avgjør året.</t>
  </si>
  <si>
    <t xml:space="preserve">Budsjettkontroll</t>
  </si>
  <si>
    <t xml:space="preserve">2026 målt mot budsjettet: avvik i kroner, i prosent og som andel av salget. Den siste kolonnen er den som avslører hvem som eier avviket.</t>
  </si>
  <si>
    <t xml:space="preserve">Scenario</t>
  </si>
  <si>
    <t xml:space="preserve">Tre scenarioer: hva kredittiden gjør med året, de fire tiltakene fra lærebokas liste, og kvartalet der budsjettet sprakk.</t>
  </si>
  <si>
    <t xml:space="preserve">Tallene som ligger inne er budsjettet Nordlys Elektro AS har lagt for 2027, og budsjettkontrollen for 2026. Samme bedrift som i alle ti kapitlene i Økonomistyring for LØM-emnet.</t>
  </si>
  <si>
    <t xml:space="preserve">Alle inndataceller er gule. Vil du bruke arket på din egen bedrift, bytter du dem ut — salgsprofilen, satsene, de inngående postene og forfallsmånedene.</t>
  </si>
  <si>
    <t xml:space="preserve">Merverdiavgift og arbeidsgiveravgift forfaller terminvis. Terminene er bygd inn i arket, og du ser dem i blokka fra rad 35 i arket Likviditet.</t>
  </si>
  <si>
    <t xml:space="preserve">Tallene som ligger inne er et eksempel fra en elektrobedrift. Bytt dem ut med dine egne — alle formler følger med.</t>
  </si>
  <si>
    <t xml:space="preserve">Arbeidsregneark til LØM · Fagskolen Oslo, Avdeling Elkraft. Regnearket er øvingsstøtte, ikke et regnskapssystem.</t>
  </si>
  <si>
    <t xml:space="preserve">Den ene knappen</t>
  </si>
  <si>
    <t xml:space="preserve">Likviditet!B5</t>
  </si>
  <si>
    <t xml:space="preserve">Kredittid til kundene</t>
  </si>
  <si>
    <t xml:space="preserve">Endrer hele årets kontobeholdning. Resultatbudsjettet står helt stille. Det er kapitlets viktigste poeng, og det er bygd inn i arket.</t>
  </si>
  <si>
    <t xml:space="preserve">Likviditet!B29</t>
  </si>
  <si>
    <t xml:space="preserve">Måneden investeringen kjøpes i</t>
  </si>
  <si>
    <t xml:space="preserve">Tiltak B i klasseoppgaven. Sett den til 9 og se bunnen flytte seg.</t>
  </si>
  <si>
    <t xml:space="preserve">Likviditet!B6</t>
  </si>
  <si>
    <t xml:space="preserve">Kredittid hos grossisten</t>
  </si>
  <si>
    <t xml:space="preserve">Tiltak D. Virker motsatt vei av kundekredittiden.</t>
  </si>
  <si>
    <t xml:space="preserve">Hvilken oppgave bruker hvilket ark</t>
  </si>
  <si>
    <t xml:space="preserve">Oppgave i øvingsheftet</t>
  </si>
  <si>
    <t xml:space="preserve">Ark</t>
  </si>
  <si>
    <t xml:space="preserve">Celler du endrer og leser av</t>
  </si>
  <si>
    <t xml:space="preserve">A1 · Går kontoen tom?</t>
  </si>
  <si>
    <t xml:space="preserve">Endre B5 og les av B73, B74 og B75. Sammenlikn med B80, som ikke rører seg.</t>
  </si>
  <si>
    <t xml:space="preserve">A2 · Hvilken av de tre er en kostnad?</t>
  </si>
  <si>
    <t xml:space="preserve">Se rad 57, 59 og 61: feriepenger, merverdiavgift og avdrag. Ingen av dem finnes i arket Resultatbudsjett.</t>
  </si>
  <si>
    <t xml:space="preserve">A3 · Klasseoppgave: Kari skal i banken</t>
  </si>
  <si>
    <t xml:space="preserve">Scenario B, rad 25 til 28. Prøv ett tiltak om gangen i arket Likviditet og skriv bunnen i kolonne C.</t>
  </si>
  <si>
    <t xml:space="preserve">1 · Når kommer pengene inn?</t>
  </si>
  <si>
    <t xml:space="preserve">Endre B5 og les av andelene i B9, B10 og B11, og innbetalingene i rad 47 og 48.</t>
  </si>
  <si>
    <t xml:space="preserve">2 · Resultatbudsjettet for 2027</t>
  </si>
  <si>
    <t xml:space="preserve">Endre B8, B10, B11, B12, B14 og B15. Les av rad 19 til 26.</t>
  </si>
  <si>
    <t xml:space="preserve">3 · Likviditetsbudsjettet for første kvartal</t>
  </si>
  <si>
    <t xml:space="preserve">Kolonne C, D og E er januar, februar og mars. Les av sum inn i rad 50, sum ut i rad 64 og beholdningen i rad 69. Deloppgave d) løser du ved å sette B5 til 54.</t>
  </si>
  <si>
    <t xml:space="preserve">4 · Budsjettkontroll: hvem har skylda?</t>
  </si>
  <si>
    <t xml:space="preserve">Endre B6 til C10. Les av avvikene i kolonne D og E, andelene i F og G, og oppsplittingen i rad 16 til 22.</t>
  </si>
  <si>
    <t xml:space="preserve">5 · Eksamensnær: budsjettet sprekker i mars</t>
  </si>
  <si>
    <t xml:space="preserve">Scenario C, rad 35 til 39, og november-regningen i rad 42 til 46.</t>
  </si>
  <si>
    <t xml:space="preserve">Kontrollradene</t>
  </si>
  <si>
    <t xml:space="preserve">Hvert regneark har en kontrollblokk. Står det OK, henger tallene sammen. Står det AVVIK, farges cellen rød, og teksten sier hva som ikke går opp.</t>
  </si>
  <si>
    <t xml:space="preserve">Merk kontrollen i Likviditet!B86: den sier fra når kassekredittrammen sprenges. Setter du kredittiden høyt nok, slår den ut — og da er det for seint å ringe banken.</t>
  </si>
  <si>
    <t xml:space="preserve">Kontroller i arbeidsboka: Resultatbudsjett B32, Resultatbudsjett B33, Resultatbudsjett B34, Likviditet B83, Likviditet B84, Likviditet B85, Likviditet B86, Likviditet B87, Budsjettkontroll B25, Budsjettkontroll B26, Budsjettkontroll B27, Scenario B49, Scenario B50, Scenario B51</t>
  </si>
  <si>
    <t xml:space="preserve">Slik henger kapitlene sammen</t>
  </si>
  <si>
    <t xml:space="preserve">Budsjettet bygger på kalkylen fra kapittel 5: salgsinntekten er fakturerte timer ganget med timeprisen, pluss materiell med påslag. Kundefordringene og kredittiden er de samme som binder kapital i kapittel 6. Investeringen i mars er den du regner nåverdien av i kapittel 10. Og avviksanalysen bakerst er den samme regnskapslesingen som i kapittel 3 og 4 — bare sett framover i tid.</t>
  </si>
  <si>
    <t xml:space="preserve">Kilder</t>
  </si>
  <si>
    <t xml:space="preserve">Hjertnes, J. og Skorpen, K.: Økonomistyring for LØM-emnet (ISBN 978-82-450-5544-3), kapittel 9 «Budsjettering og budsjettkontroll», avsnitt 9.1 til 9.8. Forfallsregler for merverdiavgift og arbeidsgiveravgift: skattebetalingsloven og merverdiavgiftsloven (Lovdata).</t>
  </si>
  <si>
    <t xml:space="preserve">Bransjetall: NHO Elektro, Lønnsomhetsrapport 2025, gjengitt i Elektro 24-7 19.08.2026 (hentet 10.09.2026). De 809 er bedriftene i datagrunnlaget, ikke bransjen. NHO Elektro oppgir ikke svarprosent.</t>
  </si>
  <si>
    <t xml:space="preserve">Nordlys Elektro AS er en konstruert casebedrift. Tallene henger sammen på tvers av alle ti kapitlene i Økonomistyring for LØM-emnet.</t>
  </si>
  <si>
    <t xml:space="preserve">Resultatbudsjett 2027</t>
  </si>
  <si>
    <t xml:space="preserve">Hva bedriften tjener. Endre de gule cellene — merk at ingen av dem sier noe om NÅR pengene beveger seg.</t>
  </si>
  <si>
    <t xml:space="preserve">1 · Forutsetningene</t>
  </si>
  <si>
    <t xml:space="preserve">Post</t>
  </si>
  <si>
    <t xml:space="preserve">År</t>
  </si>
  <si>
    <t xml:space="preserve">Jan</t>
  </si>
  <si>
    <t xml:space="preserve">Feb</t>
  </si>
  <si>
    <t xml:space="preserve">Mar</t>
  </si>
  <si>
    <t xml:space="preserve">Apr</t>
  </si>
  <si>
    <t xml:space="preserve">Mai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</si>
  <si>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</si>
  <si>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</si>
  <si>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</si>
  <si>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</si>
  <si>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</si>
  <si>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</si>
  <si>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Des</t>
  </si>
  <si>
    <t xml:space="preserve">Kommentar</t>
  </si>
  <si>
    <t xml:space="preserve">Månedsnummer</t>
  </si>
  <si>
    <t xml:space="preserve">Salg uten mva.</t>
  </si>
  <si>
    <t xml:space="preserve">Salgsprofilen gjennom året: tynn januar, stille juli, tunge høstmåneder.</t>
  </si>
  <si>
    <t xml:space="preserve">Bruttofortjeneste</t>
  </si>
  <si>
    <t xml:space="preserve">Det som blir igjen av salget etter varekostnaden.</t>
  </si>
  <si>
    <t xml:space="preserve">Varekostnad</t>
  </si>
  <si>
    <t xml:space="preserve">Følger salget. Lageret forutsettes uendret gjennom året.</t>
  </si>
  <si>
    <t xml:space="preserve">Lønn per måned</t>
  </si>
  <si>
    <t xml:space="preserve">Feriepengesats</t>
  </si>
  <si>
    <t xml:space="preserve">Arbeidsgiveravgift</t>
  </si>
  <si>
    <t xml:space="preserve">= Lønnskostnad for året</t>
  </si>
  <si>
    <t xml:space="preserve">Lønn pluss feriepenger pluss arbeidsgiveravgift av begge deler.</t>
  </si>
  <si>
    <t xml:space="preserve">Avskrivninger for året</t>
  </si>
  <si>
    <t xml:space="preserve">Andre driftskostnader for året</t>
  </si>
  <si>
    <t xml:space="preserve">Merverdiavgiftssats</t>
  </si>
  <si>
    <t xml:space="preserve">2 · Resultatbudsjettet</t>
  </si>
  <si>
    <t xml:space="preserve">Salgsinntekt</t>
  </si>
  <si>
    <t xml:space="preserve">− Varekostnad</t>
  </si>
  <si>
    <t xml:space="preserve">− Lønnskostnad</t>
  </si>
  <si>
    <t xml:space="preserve">− Avskrivninger</t>
  </si>
  <si>
    <t xml:space="preserve">Ikke-betalbar kostnad. Den står IKKE i likviditetsbudsjettet.</t>
  </si>
  <si>
    <t xml:space="preserve">− Andre driftskostnader</t>
  </si>
  <si>
    <t xml:space="preserve">= Sum driftskostnader</t>
  </si>
  <si>
    <t xml:space="preserve">= Driftsresultat</t>
  </si>
  <si>
    <t xml:space="preserve">Driftsmargin</t>
  </si>
  <si>
    <t xml:space="preserve">Legg merke til juli: lav omsetning, samme faste kostnader.</t>
  </si>
  <si>
    <t xml:space="preserve">3 · Første kvartal</t>
  </si>
  <si>
    <t xml:space="preserve">Driftsresultat januar til mars</t>
  </si>
  <si>
    <t xml:space="preserve">Positivt. Og likevel kan kontoen være tom — se arket Likviditet.</t>
  </si>
  <si>
    <t xml:space="preserve">Kontroll</t>
  </si>
  <si>
    <t xml:space="preserve">Summerer månedene seg til året?</t>
  </si>
  <si>
    <t xml:space="preserve">Er driftsresultatet positivt?</t>
  </si>
  <si>
    <t xml:space="preserve">Er bruttofortjenesten mulig?</t>
  </si>
  <si>
    <t xml:space="preserve">Prøv dette: endre salget i en enkelt måned og se at driftsresultatet flytter seg. Gå så til arket Likviditet og endre kredittiden i B5 — der flytter kontobeholdningen seg uten at ett eneste tall her endrer seg.</t>
  </si>
  <si>
    <t xml:space="preserve">Kilde: Økonomistyring for LØM-emnet kap. 9.2 og 9.3. Tallene er budsjettet Nordlys Elektro AS har lagt for 2027.</t>
  </si>
  <si>
    <t xml:space="preserve">Likviditetsbudsjett 2027</t>
  </si>
  <si>
    <t xml:space="preserve">Når pengene beveger seg. Samme bedrift, samme år, helt annet svar.</t>
  </si>
  <si>
    <t xml:space="preserve">1 · De to knappene</t>
  </si>
  <si>
    <t xml:space="preserve">Kredittid til kundene, dager</t>
  </si>
  <si>
    <t xml:space="preserve">DETTE er cellen. Endre den, og hele året flytter seg.</t>
  </si>
  <si>
    <t xml:space="preserve">Kredittid hos grossisten, dager</t>
  </si>
  <si>
    <t xml:space="preserve">Motsatt vei: lengre kreditt her hjelper på kontoen.</t>
  </si>
  <si>
    <t xml:space="preserve">Andel av et salg som innbetales</t>
  </si>
  <si>
    <t xml:space="preserve">i salgsmåneden</t>
  </si>
  <si>
    <t xml:space="preserve">Læreboka regner tretti dager per måned og jevnt salg gjennom måneden.</t>
  </si>
  <si>
    <t xml:space="preserve">måneden etter</t>
  </si>
  <si>
    <t xml:space="preserve">to måneder etter</t>
  </si>
  <si>
    <t xml:space="preserve">Andel av et varekjøp som utbetales</t>
  </si>
  <si>
    <t xml:space="preserve">i kjøpsmåneden</t>
  </si>
  <si>
    <t xml:space="preserve">2 · Inngående størrelser</t>
  </si>
  <si>
    <t xml:space="preserve">Bankinnskudd 1. januar</t>
  </si>
  <si>
    <t xml:space="preserve">Kundefordringer 1. januar</t>
  </si>
  <si>
    <t xml:space="preserve">Svarer til 54 dagers salg, ikke 20. Det burde vært et varsel allerede i november.</t>
  </si>
  <si>
    <t xml:space="preserve">herav inn i januar</t>
  </si>
  <si>
    <t xml:space="preserve">Leverandørgjeld 1. januar, forfaller i januar</t>
  </si>
  <si>
    <t xml:space="preserve">Skyldig arbeidsgiveravgift 6. termin 2026, forfaller 15. januar</t>
  </si>
  <si>
    <t xml:space="preserve">Skyldig merverdiavgift 6. termin 2026, forfaller 10. februar</t>
  </si>
  <si>
    <t xml:space="preserve">Skyldige feriepenger, utbetales i juni</t>
  </si>
  <si>
    <t xml:space="preserve">Forhåndsskatt, halvparten i februar og halvparten i april</t>
  </si>
  <si>
    <t xml:space="preserve">Renter og avdrag per kvartal</t>
  </si>
  <si>
    <t xml:space="preserve">Renteinntekter per kvartal</t>
  </si>
  <si>
    <t xml:space="preserve">Investering, kjøpesum uten mva.</t>
  </si>
  <si>
    <t xml:space="preserve">Investeringen kjøpes i måned nummer</t>
  </si>
  <si>
    <t xml:space="preserve">Endre til 9 og se hva som skjer med bunnen. Det er tiltak B i klasseoppgaven.</t>
  </si>
  <si>
    <t xml:space="preserve">Kassekredittramme</t>
  </si>
  <si>
    <t xml:space="preserve">Kassekreditt allerede trukket 1. januar</t>
  </si>
  <si>
    <t xml:space="preserve">Kassekredittrente</t>
  </si>
  <si>
    <t xml:space="preserve">3 · Merverdiavgiftsterminene</t>
  </si>
  <si>
    <t xml:space="preserve">Termin</t>
  </si>
  <si>
    <t xml:space="preserve">Måneder</t>
  </si>
  <si>
    <t xml:space="preserve">Utgående mva.</t>
  </si>
  <si>
    <t xml:space="preserve">Inngående mva.</t>
  </si>
  <si>
    <t xml:space="preserve">Netto å betale</t>
  </si>
  <si>
    <t xml:space="preserve">Forfaller i måned nr</t>
  </si>
  <si>
    <t xml:space="preserve">Termin 1</t>
  </si>
  <si>
    <t xml:space="preserve">Jan–Feb</t>
  </si>
  <si>
    <t xml:space="preserve">Utgående mva. på salget minus inngående mva. på varekjøp, andre driftskostnader og investeringen. Forfaller én måned og ti dager etter terminen er slutt.</t>
  </si>
  <si>
    <t xml:space="preserve">Termin 2</t>
  </si>
  <si>
    <t xml:space="preserve">Mar–Apr</t>
  </si>
  <si>
    <t xml:space="preserve">Termin 3</t>
  </si>
  <si>
    <t xml:space="preserve">Mai–Jun</t>
  </si>
  <si>
    <t xml:space="preserve">Termin 4</t>
  </si>
  <si>
    <t xml:space="preserve">Jul–Aug</t>
  </si>
  <si>
    <t xml:space="preserve">Termin 5</t>
  </si>
  <si>
    <t xml:space="preserve">Sep–Okt</t>
  </si>
  <si>
    <t xml:space="preserve">4 · Innbetalinger</t>
  </si>
  <si>
    <t xml:space="preserve">Salg inkl. mva.</t>
  </si>
  <si>
    <t xml:space="preserve">Kunden betaler prisen med mva. Det er dette beløpet som kommer inn.</t>
  </si>
  <si>
    <t xml:space="preserve">Innbetalt fra årets salg</t>
  </si>
  <si>
    <t xml:space="preserve">Innbetalt fra kundefordringer 1. januar</t>
  </si>
  <si>
    <t xml:space="preserve">Renteinntekter</t>
  </si>
  <si>
    <t xml:space="preserve">= Sum innbetalinger</t>
  </si>
  <si>
    <t xml:space="preserve">5 · Utbetalinger</t>
  </si>
  <si>
    <t xml:space="preserve">Varekjøp uten mva.</t>
  </si>
  <si>
    <t xml:space="preserve">Varekjøp inkl. mva.</t>
  </si>
  <si>
    <t xml:space="preserve">Til leverandøren</t>
  </si>
  <si>
    <t xml:space="preserve">Januar bærer også hele leverandørgjelda fra 2026.</t>
  </si>
  <si>
    <t xml:space="preserve">Lønn</t>
  </si>
  <si>
    <t xml:space="preserve">Feriepenger</t>
  </si>
  <si>
    <t xml:space="preserve">Kostnadsført i 2026, betalt i 2027. Står ikke i resultatbudsjettet.</t>
  </si>
  <si>
    <t xml:space="preserve">Seks terminer. Januar bærer også terminen fra 2026, og juli avgiften på feriepengene.</t>
  </si>
  <si>
    <t xml:space="preserve">Merverdiavgift</t>
  </si>
  <si>
    <t xml:space="preserve">Aldri en kostnad. Nordlys krever den inn fra kunden og sender differansen videre.</t>
  </si>
  <si>
    <t xml:space="preserve">Andre driftskostnader inkl. mva.</t>
  </si>
  <si>
    <t xml:space="preserve">Renter og avdrag</t>
  </si>
  <si>
    <t xml:space="preserve">Bare renten er kostnad. Avdraget er nedbetaling av gjeld.</t>
  </si>
  <si>
    <t xml:space="preserve">Forhåndsskatt</t>
  </si>
  <si>
    <t xml:space="preserve">Investering inkl. mva.</t>
  </si>
  <si>
    <t xml:space="preserve">= Sum utbetalinger</t>
  </si>
  <si>
    <t xml:space="preserve">6 · Beholdningen på konto</t>
  </si>
  <si>
    <t xml:space="preserve">Inngående beholdning</t>
  </si>
  <si>
    <t xml:space="preserve">Endring i måneden</t>
  </si>
  <si>
    <t xml:space="preserve">= Utgående beholdning</t>
  </si>
  <si>
    <t xml:space="preserve">Kassekreditt som må trekkes</t>
  </si>
  <si>
    <t xml:space="preserve">7 · Året sett under ett</t>
  </si>
  <si>
    <t xml:space="preserve">Laveste kontobeholdning</t>
  </si>
  <si>
    <t xml:space="preserve">Måneden det skjer i</t>
  </si>
  <si>
    <t xml:space="preserve">Antall måneder i minus</t>
  </si>
  <si>
    <t xml:space="preserve">Største trekk på kassekreditten</t>
  </si>
  <si>
    <t xml:space="preserve">Samlet trekk medregnet det som alt er trukket</t>
  </si>
  <si>
    <t xml:space="preserve">Andel av rammen som er brukt opp</t>
  </si>
  <si>
    <t xml:space="preserve">Renter på kassekreditten gjennom året</t>
  </si>
  <si>
    <t xml:space="preserve">Gjennomsnittlig trekk gjennom året, ganget med renten.</t>
  </si>
  <si>
    <t xml:space="preserve">Driftsresultat i resultatbudsjettet</t>
  </si>
  <si>
    <t xml:space="preserve">Uendret, uansett hva du setter i B5. Det er hele poenget.</t>
  </si>
  <si>
    <t xml:space="preserve">Summerer andelene seg til hundre prosent?</t>
  </si>
  <si>
    <t xml:space="preserve">Kommer alle pengene inn i løpet av året?</t>
  </si>
  <si>
    <t xml:space="preserve">Går beholdningen opp?</t>
  </si>
  <si>
    <t xml:space="preserve">Holder trekket seg innenfor kassekredittrammen?</t>
  </si>
  <si>
    <t xml:space="preserve">Er resultatet uavhengig av kredittiden?</t>
  </si>
  <si>
    <t xml:space="preserve">Prøv dette: sett kredittiden i B5 til 44. Da er det bare 24 533 kroner igjen på det verste, og ved 45 går kontoen i minus. Sett den til 54, som er det kundene faktisk brukte i 2026, og se hvor mange måneder som havner i minus.</t>
  </si>
  <si>
    <t xml:space="preserve">Kilde: Økonomistyring for LØM-emnet kap. 9.4 til 9.6 om likviditetsbudsjettet, og 9.7 om tiltak. Forfallsreglene for merverdiavgift og arbeidsgiveravgift følger skattebetalingsloven og merverdiavgiftsloven (Lovdata).</t>
  </si>
  <si>
    <t xml:space="preserve">Budsjettkontroll 2026</t>
  </si>
  <si>
    <t xml:space="preserve">Hva som ble annerledes enn planlagt — og hvem som faktisk eier avviket.</t>
  </si>
  <si>
    <t xml:space="preserve">Budsjett 2026</t>
  </si>
  <si>
    <t xml:space="preserve">Regnskap 2026</t>
  </si>
  <si>
    <t xml:space="preserve">Avvik i kroner</t>
  </si>
  <si>
    <t xml:space="preserve">Avvik i prosent</t>
  </si>
  <si>
    <t xml:space="preserve">Andel av salget, budsjett</t>
  </si>
  <si>
    <t xml:space="preserve">Andel av salget, regnskap</t>
  </si>
  <si>
    <t xml:space="preserve">Hva raden forteller</t>
  </si>
  <si>
    <t xml:space="preserve">Positivt avvik: bedriften solgte mer enn planlagt.</t>
  </si>
  <si>
    <t xml:space="preserve">Negativt i kroner — men se de to siste kolonnene før du konkluderer.</t>
  </si>
  <si>
    <t xml:space="preserve">Lønnskostnad</t>
  </si>
  <si>
    <t xml:space="preserve">Samme sak: mer salg krever flere timer.</t>
  </si>
  <si>
    <t xml:space="preserve">Avskrivninger</t>
  </si>
  <si>
    <t xml:space="preserve">Liten post, og den følger ikke salget.</t>
  </si>
  <si>
    <t xml:space="preserve">Andre driftskostnader</t>
  </si>
  <si>
    <t xml:space="preserve">Her har noe faktisk flyttet seg. Dette er posten Kari skal spørre om.</t>
  </si>
  <si>
    <t xml:space="preserve">Negativt avvik, til tross for at salget ble høyere enn budsjettert.</t>
  </si>
  <si>
    <t xml:space="preserve">Hvor avviket faktisk kommer fra</t>
  </si>
  <si>
    <t xml:space="preserve">Mersalg mot budsjett</t>
  </si>
  <si>
    <t xml:space="preserve">Varekostnad ved budsjettert andel, gitt det faktiske salget</t>
  </si>
  <si>
    <t xml:space="preserve">Faktisk varekostnad</t>
  </si>
  <si>
    <t xml:space="preserve">Rent prisavvik på varekostnaden</t>
  </si>
  <si>
    <t xml:space="preserve">Nær null: innkjøpet har gått som planlagt. Kroneavviket er et mengdeavvik.</t>
  </si>
  <si>
    <t xml:space="preserve">Andre driftskostnader ved budsjettert andel</t>
  </si>
  <si>
    <t xml:space="preserve">Faktiske andre driftskostnader</t>
  </si>
  <si>
    <t xml:space="preserve">Rent avvik på andre driftskostnader</t>
  </si>
  <si>
    <t xml:space="preserve">Her ligger pengene. Dette er posten som skal forklares med bilag.</t>
  </si>
  <si>
    <t xml:space="preserve">Ble salget høyere enn budsjettert?</t>
  </si>
  <si>
    <t xml:space="preserve">Er varekostnadsandelen den samme?</t>
  </si>
  <si>
    <t xml:space="preserve">Hvilken post har faktisk flyttet seg?</t>
  </si>
  <si>
    <t xml:space="preserve">Avviksanalysen peker på stedet. Den gir ikke svaret. Det siste finner du bare ved å se på bilagene.</t>
  </si>
  <si>
    <t xml:space="preserve">Kilde: Økonomistyring for LØM-emnet kap. 9.8 om budsjettkontroll og avviksanalyse.</t>
  </si>
  <si>
    <t xml:space="preserve">Tre scenarioer</t>
  </si>
  <si>
    <t xml:space="preserve">Samme resultatbudsjett. Helt ulike år på konto.</t>
  </si>
  <si>
    <t xml:space="preserve">Scenario A · hva kredittiden gjør med året</t>
  </si>
  <si>
    <t xml:space="preserve">Sett kredittiden i Likviditet!B5 til hver av verdiene under og les av bunnen. Radene her viser det arket regner nå.</t>
  </si>
  <si>
    <t xml:space="preserve">Kredittid som ligger inne nå</t>
  </si>
  <si>
    <t xml:space="preserve">Måneder i minus</t>
  </si>
  <si>
    <t xml:space="preserve">Står stille uansett. Skriv ned bunnen for hver kredittid du prøver.</t>
  </si>
  <si>
    <t xml:space="preserve">Kredittid</t>
  </si>
  <si>
    <t xml:space="preserve">Hva den svarer til</t>
  </si>
  <si>
    <t xml:space="preserve">Skriv inn bunnen du leser av</t>
  </si>
  <si>
    <t xml:space="preserve">Hva raden betyr</t>
  </si>
  <si>
    <t xml:space="preserve">20 dager</t>
  </si>
  <si>
    <t xml:space="preserve">Budsjettets egen forutsetning.</t>
  </si>
  <si>
    <t xml:space="preserve">30 dager</t>
  </si>
  <si>
    <t xml:space="preserve">Én måned. Vanlig avtalt frist hos større kunder.</t>
  </si>
  <si>
    <t xml:space="preserve">35 dager</t>
  </si>
  <si>
    <t xml:space="preserve">Kredittiden har glidd litt.</t>
  </si>
  <si>
    <t xml:space="preserve">45 dager</t>
  </si>
  <si>
    <t xml:space="preserve">Her går kontoen i minus for første gang. Ved 44 dager er det 24 533 kroner igjen på det verste.</t>
  </si>
  <si>
    <t xml:space="preserve">54 dager</t>
  </si>
  <si>
    <t xml:space="preserve">Som kundene faktisk betalte i 2026.</t>
  </si>
  <si>
    <t xml:space="preserve">Kolonne C er din egen notatkolonne: sett kredittiden i Likviditet!B5, les av Likviditet!B73 og skriv tallet inn her. Da har du hele tabellen fra økta, regnet av deg selv.</t>
  </si>
  <si>
    <t xml:space="preserve">Scenario B · de fire tiltakene</t>
  </si>
  <si>
    <t xml:space="preserve">Utgangspunktet er at kundene bruker 54 dager, som de gjorde i 2026.</t>
  </si>
  <si>
    <t xml:space="preserve">Tiltak</t>
  </si>
  <si>
    <t xml:space="preserve">Slik gjør du det i arket</t>
  </si>
  <si>
    <t xml:space="preserve">Bunn du leser av</t>
  </si>
  <si>
    <t xml:space="preserve">Hva tiltaket koster</t>
  </si>
  <si>
    <t xml:space="preserve">A · kortere kredittid til kundene</t>
  </si>
  <si>
    <t xml:space="preserve">Sett Likviditet!B5 til 20</t>
  </si>
  <si>
    <t xml:space="preserve">ingenting i kroner — bare at noen fakturerer samme dag og purrer etter fjorten dager</t>
  </si>
  <si>
    <t xml:space="preserve">B · utsette investeringen</t>
  </si>
  <si>
    <t xml:space="preserve">Sett Likviditet!B29 til 9</t>
  </si>
  <si>
    <t xml:space="preserve">et halvt år uten det utstyret skulle tjene penger på — regn på det i kapittel 10</t>
  </si>
  <si>
    <t xml:space="preserve">C · utvidet kassekreditt</t>
  </si>
  <si>
    <t xml:space="preserve">Sett Likviditet!B30 høyere</t>
  </si>
  <si>
    <t xml:space="preserve">renter, og problemet er like stort neste år</t>
  </si>
  <si>
    <t xml:space="preserve">D · lengre kreditt hos grossisten</t>
  </si>
  <si>
    <t xml:space="preserve">Sett Likviditet!B6 til 45</t>
  </si>
  <si>
    <t xml:space="preserve">mulige kontantrabatter, og problemet flyttes til leverandøren</t>
  </si>
  <si>
    <t xml:space="preserve">Prøv ett tiltak om gangen, og sett arket tilbake mellom hver gang. Skriv bunnen i kolonne C. Så prøver du to av dem sammen.</t>
  </si>
  <si>
    <t xml:space="preserve">Scenario C · mars sprekker</t>
  </si>
  <si>
    <t xml:space="preserve">Første kvartal, budsjettert mot slik det faktisk gikk.</t>
  </si>
  <si>
    <t xml:space="preserve">Budsjettert</t>
  </si>
  <si>
    <t xml:space="preserve">Faktisk</t>
  </si>
  <si>
    <t xml:space="preserve">Avvik</t>
  </si>
  <si>
    <t xml:space="preserve">Den ene forutsetningen som velter kvartalet.</t>
  </si>
  <si>
    <t xml:space="preserve">Innbetalt i kvartalet</t>
  </si>
  <si>
    <t xml:space="preserve">Sett kredittiden i Likviditet!B5 og les av SUM(C50:E50) for å regne begge selv.</t>
  </si>
  <si>
    <t xml:space="preserve">Utbetalt i kvartalet</t>
  </si>
  <si>
    <t xml:space="preserve">Nøyaktig det samme. Regningene bryr seg ikke om når kundene betaler.</t>
  </si>
  <si>
    <t xml:space="preserve">Beholdning 31. mars</t>
  </si>
  <si>
    <t xml:space="preserve">Driftsresultat i kvartalet</t>
  </si>
  <si>
    <t xml:space="preserve">Uendret. Regnskapet viser overskudd i et kvartal der kontoen gikk tom.</t>
  </si>
  <si>
    <t xml:space="preserve">Hva burde vært gjort i november?</t>
  </si>
  <si>
    <t xml:space="preserve">Kundefordringer 31.12.2026</t>
  </si>
  <si>
    <t xml:space="preserve">Salg 2026 inkl. mva.</t>
  </si>
  <si>
    <t xml:space="preserve">Kredittiden regnskapet allerede viste</t>
  </si>
  <si>
    <t xml:space="preserve">Kredittiden budsjettet forutsatte</t>
  </si>
  <si>
    <t xml:space="preserve">Bom</t>
  </si>
  <si>
    <t xml:space="preserve">Tallet sto i balansen hele tida. Ingen regnet på det.</t>
  </si>
  <si>
    <t xml:space="preserve">Er hele avviket i mars et innbetalingsavvik?</t>
  </si>
  <si>
    <t xml:space="preserve">Viser resultatet overskudd i det samme kvartalet?</t>
  </si>
  <si>
    <t xml:space="preserve">Var kredittiden synlig i regnskapet på forhånd?</t>
  </si>
  <si>
    <t xml:space="preserve">Kilde: Økonomistyring for LØM-emnet kap. 9.4 til 9.8. Kredittiden i 2026 er lest av balansen, slik kapittel 4 gjør det. Bransjetall: NHO Elektro, Lønnsomhetsrapport 2025, gjengitt i Elektro 24-7 19.08.2026 (hentet 10.09.2026). De 809 er bedriftene i datagrunnlaget, ikke bransjen. NHO Elektro oppgir ikke svarprosent.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</si>
</sst>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"/>
    <numFmt numFmtId="167" formatCode="0.0\ %"/>
    <numFmt numFmtId="168" formatCode="#,##0&quot; kr&quot;"/>
    <numFmt numFmtId="169" formatCode="0.0%"/>
    <numFmt numFmtId="170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8A3C"/>
      <name val="Arial"/>
      <family val="0"/>
      <charset val="1"/>
    </font>
    <font>
      <b val="true"/>
      <sz val="16"/>
      <color rgb="FF1F8A3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CE6F4"/>
        <bgColor rgb="FFE4F4E8"/>
      </patternFill>
    </fill>
    <fill>
      <patternFill patternType="solid">
        <fgColor rgb="FFE4F4E8"/>
        <bgColor rgb="FFF2F2F2"/>
      </patternFill>
    </fill>
    <fill>
      <patternFill patternType="solid">
        <fgColor rgb="FFF2F2F2"/>
        <bgColor rgb="FFE4F4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wrapText="true" horizontal="general" vertical="bottom" textRotation="0" indent="0" shrinkToFit="false"/>
      <protection locked="true" hidden="false"/>
    </xf>
    <xf numFmtId="164" fontId="11" fillId="0" borderId="0" xfId="0" applyFont="true" applyBorder="false" applyAlignment="true" applyProtection="false">
      <alignment wrapText="true" horizontal="general" vertical="bottom" textRotation="0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4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4"/>
      <rgbColor rgb="FFF2F2F2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1F8A3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982650</v>
      </c>
      <c r="C5" s="8" t="s">
        <v>4</v>
      </c>
    </row>
    <row r="6" customFormat="false" ht="15" hidden="false" customHeight="true" outlineLevel="0" collapsed="false">
      <c r="A6" s="6" t="s">
        <v>5</v>
      </c>
      <c r="B6" s="7" t="n">
        <v>1800000</v>
      </c>
      <c r="C6" s="8" t="s">
        <v>6</v>
      </c>
    </row>
    <row r="7" customFormat="false" ht="15" hidden="false" customHeight="true" outlineLevel="0" collapsed="false">
      <c r="A7" s="6" t="s">
        <v>7</v>
      </c>
      <c r="B7" s="9" t="n">
        <v>20</v>
      </c>
      <c r="C7" s="8" t="s">
        <v>8</v>
      </c>
    </row>
    <row ht="27" customHeight="true" r="8" customFormat="false" hidden="false" outlineLevel="0" collapsed="false">
      <c r="A8" s="6" t="s">
        <v>9</v>
      </c>
      <c r="B8" s="7" t="n">
        <v>2520000</v>
      </c>
      <c r="C8" s="8" t="s">
        <v>10</v>
      </c>
    </row>
    <row r="9" customFormat="false" ht="15" hidden="false" customHeight="true" outlineLevel="0" collapsed="false">
      <c r="A9" s="6" t="s">
        <v>11</v>
      </c>
      <c r="B9" s="7" t="n">
        <v>3092250</v>
      </c>
      <c r="C9" s="8" t="s">
        <v>12</v>
      </c>
    </row>
    <row r="10" customFormat="false" ht="15" hidden="false" customHeight="true" outlineLevel="0" collapsed="false"/>
    <row r="11" customFormat="false" ht="15" hidden="false" customHeight="true" outlineLevel="0" collapsed="false">
      <c r="A11" s="4" t="s">
        <v>13</v>
      </c>
      <c r="B11" s="5"/>
      <c r="C11" s="5"/>
    </row>
    <row r="12" customFormat="false" ht="15" hidden="false" customHeight="true" outlineLevel="0" collapsed="false">
      <c r="A12" s="6" t="s">
        <v>14</v>
      </c>
      <c r="B12" s="10" t="n">
        <f aca="false">B6*1.25</f>
        <v>2250000</v>
      </c>
      <c r="C12" s="8" t="s">
        <v>15</v>
      </c>
    </row>
    <row r="13" customFormat="false" ht="15" hidden="false" customHeight="true" outlineLevel="0" collapsed="false">
      <c r="A13" s="6" t="s">
        <v>16</v>
      </c>
      <c r="B13" s="11" t="n">
        <f aca="false">MAX(0,(30-B7)/30)</f>
        <v>0.333333333333333</v>
      </c>
      <c r="C13" s="8" t="s">
        <v>17</v>
      </c>
    </row>
    <row r="14" customFormat="false" ht="15" hidden="false" customHeight="true" outlineLevel="0" collapsed="false">
      <c r="A14" s="6" t="s">
        <v>18</v>
      </c>
      <c r="B14" s="10" t="n">
        <f aca="false">B12*B13</f>
        <v>750000</v>
      </c>
      <c r="C14" s="8" t="s">
        <v>19</v>
      </c>
    </row>
    <row r="15" customFormat="false" ht="15" hidden="false" customHeight="true" outlineLevel="0" collapsed="false">
      <c r="A15" s="6" t="s">
        <v>20</v>
      </c>
      <c r="B15" s="10" t="n">
        <f aca="false">B8+B14</f>
        <v>3270000</v>
      </c>
      <c r="C15" s="8" t="s">
        <v>21</v>
      </c>
    </row>
    <row r="16" customFormat="false" ht="15" hidden="false" customHeight="true" outlineLevel="0" collapsed="false">
      <c r="A16" s="6" t="s">
        <v>22</v>
      </c>
      <c r="B16" s="10" t="n">
        <f aca="false">B15-B9</f>
        <v>177750</v>
      </c>
      <c r="C16" s="8" t="s">
        <v>23</v>
      </c>
    </row>
    <row r="17" customFormat="false" ht="15" hidden="false" customHeight="true" outlineLevel="0" collapsed="false"/>
    <row r="18" customFormat="false" ht="21" hidden="false" customHeight="true" outlineLevel="0" collapsed="false">
      <c r="A18" s="12" t="s">
        <v>24</v>
      </c>
      <c r="B18" s="13" t="n">
        <f aca="false">B5+B16</f>
        <v>1160400</v>
      </c>
      <c r="C18" s="8" t="s">
        <v>25</v>
      </c>
    </row>
    <row r="19" customFormat="false" ht="15" hidden="false" customHeight="true" outlineLevel="0" collapsed="false">
      <c r="A19" s="6" t="s">
        <v>26</v>
      </c>
      <c r="B19" s="10" t="n">
        <f aca="false">B12-B14</f>
        <v>1500000</v>
      </c>
      <c r="C19" s="8" t="s">
        <v>27</v>
      </c>
    </row>
    <row r="20" customFormat="false" ht="15" hidden="false" customHeight="true" outlineLevel="0" collapsed="false"/>
    <row r="21" customFormat="false" ht="15" hidden="false" customHeight="true" outlineLevel="0" collapsed="false">
      <c r="A21" s="4" t="s">
        <v>28</v>
      </c>
      <c r="B21" s="5"/>
      <c r="C21" s="5"/>
    </row>
    <row r="22" customFormat="false" ht="33.75" hidden="false" customHeight="true" outlineLevel="0" collapsed="false">
      <c r="A22" s="14" t="str">
        <f aca="false">"Ved månedsslutt står det "&amp;TEXT(ROUND(B18,0),"#,##0")&amp;" kroner på konto. Av januarsalget er "&amp;TEXT(ROUND(B19,0),"#,##0")&amp;" kroner tjent, men ikke betalt ennå."</f>
        <v>Ved månedsslutt står det 1,160,400 kroner på konto. Av januarsalget er 1,500,000 kroner tjent, men ikke betalt ennå.</v>
      </c>
      <c r="B22" s="14"/>
      <c r="C22" s="14"/>
    </row>
    <row r="23" customFormat="false" ht="15" hidden="false" customHeight="true" outlineLevel="0" collapsed="false"/>
    <row r="24" customFormat="false" ht="15" hidden="false" customHeight="true" outlineLevel="0" collapsed="false">
      <c r="A24" s="4" t="s">
        <v>29</v>
      </c>
      <c r="B24" s="5"/>
      <c r="C24" s="5"/>
    </row>
    <row r="25" customFormat="false" ht="15" hidden="false" customHeight="true" outlineLevel="0" collapsed="false">
      <c r="A25" s="15" t="s">
        <v>30</v>
      </c>
      <c r="B25" s="15"/>
      <c r="C25" s="15"/>
    </row>
    <row r="26" customFormat="false" ht="15" hidden="false" customHeight="true" outlineLevel="0" collapsed="false">
      <c r="A26" s="15" t="s">
        <v>31</v>
      </c>
      <c r="B26" s="15"/>
      <c r="C26" s="15"/>
    </row>
    <row r="27" customFormat="false" ht="15" hidden="false" customHeight="true" outlineLevel="0" collapsed="false">
      <c r="A27" s="15" t="s">
        <v>32</v>
      </c>
      <c r="B27" s="15"/>
      <c r="C27" s="15"/>
    </row>
    <row r="28" customFormat="false" ht="15" hidden="false" customHeight="true" outlineLevel="0" collapsed="false"/>
    <row r="29" customFormat="false" ht="27" hidden="false" customHeight="true" outlineLevel="0" collapsed="false">
      <c r="A29" s="3" t="s">
        <v>33</v>
      </c>
      <c r="B29" s="3"/>
      <c r="C29" s="3"/>
    </row>
  </sheetData>
  <mergeCells count="6">
    <mergeCell ref="A2:C2"/>
    <mergeCell ref="A22:C22"/>
    <mergeCell ref="A25:C25"/>
    <mergeCell ref="A26:C26"/>
    <mergeCell ref="A27:C27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62"/>
  </cols>
  <sheetData>
    <row r="1" customFormat="false" ht="17.25" hidden="false" customHeight="true" outlineLevel="0" collapsed="false">
      <c r="A1" s="2" t="s">
        <v>34</v>
      </c>
    </row>
    <row r="2" customFormat="false" ht="15" hidden="false" customHeight="true" outlineLevel="0" collapsed="false">
      <c r="A2" s="16" t="s">
        <v>35</v>
      </c>
    </row>
    <row r="3" customFormat="false" ht="15" hidden="false" customHeight="true" outlineLevel="0" collapsed="false">
      <c r="A3" s="17" t="s">
        <v>36</v>
      </c>
    </row>
    <row r="4" customFormat="false" ht="15" hidden="false" customHeight="true" outlineLevel="0" collapsed="false">
      <c r="A4" s="18" t="s">
        <v>37</v>
      </c>
    </row>
    <row r="5" customFormat="false" ht="15" hidden="false" customHeight="true" outlineLevel="0" collapsed="false">
      <c r="A5" s="19" t="s">
        <v>38</v>
      </c>
      <c r="B5" s="20" t="s">
        <v>39</v>
      </c>
    </row>
    <row r="6" customFormat="false" ht="15" hidden="false" customHeight="true" outlineLevel="0" collapsed="false">
      <c r="A6" s="21" t="s">
        <v>40</v>
      </c>
      <c r="B6" s="20" t="s">
        <v>41</v>
      </c>
    </row>
    <row r="7" customFormat="false" ht="15" hidden="false" customHeight="true" outlineLevel="0" collapsed="false">
      <c r="A7" s="21" t="s">
        <v>42</v>
      </c>
      <c r="B7" s="20" t="s">
        <v>43</v>
      </c>
    </row>
    <row r="9" customFormat="false" ht="15" hidden="false" customHeight="true" outlineLevel="0" collapsed="false">
      <c r="A9" s="18" t="s">
        <v>44</v>
      </c>
    </row>
    <row r="10" customFormat="false" ht="15" hidden="false" customHeight="true" outlineLevel="0" collapsed="false">
      <c r="A10" s="22" t="s">
        <v>45</v>
      </c>
      <c r="B10" s="20" t="s">
        <v>46</v>
      </c>
    </row>
    <row r="11" customFormat="false" ht="15" hidden="false" customHeight="true" outlineLevel="0" collapsed="false">
      <c r="A11" s="22" t="s">
        <v>47</v>
      </c>
      <c r="B11" s="20" t="s">
        <v>48</v>
      </c>
    </row>
    <row r="12" customFormat="false" ht="15" hidden="false" customHeight="true" outlineLevel="0" collapsed="false">
      <c r="A12" s="22" t="s">
        <v>49</v>
      </c>
      <c r="B12" s="20" t="s">
        <v>50</v>
      </c>
    </row>
    <row r="13" customFormat="false" ht="15" hidden="false" customHeight="true" outlineLevel="0" collapsed="false">
      <c r="A13" s="22" t="s">
        <v>51</v>
      </c>
      <c r="B13" s="20" t="s">
        <v>52</v>
      </c>
    </row>
    <row r="14" customFormat="false" ht="15" hidden="false" customHeight="true" outlineLevel="0" collapsed="false">
      <c r="A14" s="22" t="s">
        <v>53</v>
      </c>
      <c r="B14" s="20" t="s">
        <v>54</v>
      </c>
    </row>
    <row r="16" customFormat="false" ht="15" hidden="false" customHeight="true" outlineLevel="0" collapsed="false">
      <c r="A16" s="17" t="s">
        <v>55</v>
      </c>
    </row>
    <row r="17" customFormat="false" ht="15" hidden="false" customHeight="true" outlineLevel="0" collapsed="false">
      <c r="A17" s="17" t="s">
        <v>56</v>
      </c>
    </row>
    <row r="18" customFormat="false" ht="15" hidden="false" customHeight="true" outlineLevel="0" collapsed="false">
      <c r="A18" s="17" t="s">
        <v>57</v>
      </c>
    </row>
    <row r="20" customFormat="false" ht="15" hidden="false" customHeight="true" outlineLevel="0" collapsed="false">
      <c r="A20" s="17" t="s">
        <v>58</v>
      </c>
    </row>
    <row r="21" customFormat="false" ht="15" hidden="false" customHeight="true" outlineLevel="0" collapsed="false">
      <c r="A21" s="17" t="s">
        <v>59</v>
      </c>
    </row>
    <row r="23" customFormat="false" ht="15" hidden="false" customHeight="true" outlineLevel="0" collapsed="false">
      <c r="A23" s="18" t="s">
        <v>60</v>
      </c>
    </row>
    <row r="24" customFormat="false" ht="15" hidden="false" customHeight="true" outlineLevel="0" collapsed="false">
      <c r="A24" s="20" t="s">
        <v>61</v>
      </c>
      <c r="B24" s="20" t="s">
        <v>62</v>
      </c>
      <c r="C24" s="20" t="s">
        <v>63</v>
      </c>
    </row>
    <row r="25" customFormat="false" ht="15" hidden="false" customHeight="true" outlineLevel="0" collapsed="false">
      <c r="A25" s="20" t="s">
        <v>64</v>
      </c>
      <c r="B25" s="20" t="s">
        <v>65</v>
      </c>
      <c r="C25" s="20" t="s">
        <v>66</v>
      </c>
    </row>
    <row r="26" customFormat="false" ht="15" hidden="false" customHeight="true" outlineLevel="0" collapsed="false">
      <c r="A26" s="20" t="s">
        <v>67</v>
      </c>
      <c r="B26" s="20" t="s">
        <v>68</v>
      </c>
      <c r="C26" s="20" t="s">
        <v>69</v>
      </c>
    </row>
    <row r="28" customFormat="false" ht="15" hidden="false" customHeight="true" outlineLevel="0" collapsed="false">
      <c r="A28" s="18" t="s">
        <v>70</v>
      </c>
    </row>
    <row r="29" customFormat="false" ht="27.75" hidden="false" customHeight="true" outlineLevel="0" collapsed="false">
      <c r="A29" s="23" t="s">
        <v>71</v>
      </c>
      <c r="B29" s="23" t="s">
        <v>72</v>
      </c>
      <c r="C29" s="23" t="s">
        <v>73</v>
      </c>
    </row>
    <row r="30" customFormat="false" ht="15" hidden="false" customHeight="true" outlineLevel="0" collapsed="false">
      <c r="A30" s="20" t="s">
        <v>74</v>
      </c>
      <c r="B30" s="22" t="s">
        <v>49</v>
      </c>
      <c r="C30" s="20" t="s">
        <v>75</v>
      </c>
    </row>
    <row r="31" customFormat="false" ht="15" hidden="false" customHeight="true" outlineLevel="0" collapsed="false">
      <c r="A31" s="20" t="s">
        <v>76</v>
      </c>
      <c r="B31" s="22" t="s">
        <v>49</v>
      </c>
      <c r="C31" s="20" t="s">
        <v>77</v>
      </c>
    </row>
    <row r="32" customFormat="false" ht="15" hidden="false" customHeight="true" outlineLevel="0" collapsed="false">
      <c r="A32" s="20" t="s">
        <v>78</v>
      </c>
      <c r="B32" s="22" t="s">
        <v>53</v>
      </c>
      <c r="C32" s="20" t="s">
        <v>79</v>
      </c>
    </row>
    <row r="33" customFormat="false" ht="15" hidden="false" customHeight="true" outlineLevel="0" collapsed="false">
      <c r="A33" s="20" t="s">
        <v>80</v>
      </c>
      <c r="B33" s="22" t="s">
        <v>49</v>
      </c>
      <c r="C33" s="20" t="s">
        <v>81</v>
      </c>
    </row>
    <row r="34" customFormat="false" ht="15" hidden="false" customHeight="true" outlineLevel="0" collapsed="false">
      <c r="A34" s="20" t="s">
        <v>82</v>
      </c>
      <c r="B34" s="22" t="s">
        <v>47</v>
      </c>
      <c r="C34" s="20" t="s">
        <v>83</v>
      </c>
    </row>
    <row r="35" customFormat="false" ht="15" hidden="false" customHeight="true" outlineLevel="0" collapsed="false">
      <c r="A35" s="20" t="s">
        <v>84</v>
      </c>
      <c r="B35" s="22" t="s">
        <v>49</v>
      </c>
      <c r="C35" s="20" t="s">
        <v>85</v>
      </c>
    </row>
    <row r="36" customFormat="false" ht="15" hidden="false" customHeight="true" outlineLevel="0" collapsed="false">
      <c r="A36" s="20" t="s">
        <v>86</v>
      </c>
      <c r="B36" s="22" t="s">
        <v>51</v>
      </c>
      <c r="C36" s="20" t="s">
        <v>87</v>
      </c>
    </row>
    <row r="37" customFormat="false" ht="15" hidden="false" customHeight="true" outlineLevel="0" collapsed="false">
      <c r="A37" s="20" t="s">
        <v>88</v>
      </c>
      <c r="B37" s="22" t="s">
        <v>53</v>
      </c>
      <c r="C37" s="20" t="s">
        <v>89</v>
      </c>
    </row>
    <row r="39" customFormat="false" ht="15" hidden="false" customHeight="true" outlineLevel="0" collapsed="false">
      <c r="A39" s="18" t="s">
        <v>90</v>
      </c>
    </row>
    <row r="40" customFormat="false" ht="15" hidden="false" customHeight="true" outlineLevel="0" collapsed="false">
      <c r="A40" s="20" t="s">
        <v>91</v>
      </c>
    </row>
    <row r="41" customFormat="false" ht="15" hidden="false" customHeight="true" outlineLevel="0" collapsed="false">
      <c r="A41" s="20" t="s">
        <v>92</v>
      </c>
    </row>
    <row r="42" customFormat="false" ht="15" hidden="false" customHeight="true" outlineLevel="0" collapsed="false">
      <c r="A42" s="17" t="s">
        <v>93</v>
      </c>
    </row>
    <row r="44" customFormat="false" ht="15" hidden="false" customHeight="true" outlineLevel="0" collapsed="false">
      <c r="A44" s="18" t="s">
        <v>94</v>
      </c>
    </row>
    <row r="45" customFormat="false" ht="15" hidden="false" customHeight="true" outlineLevel="0" collapsed="false">
      <c r="A45" s="20" t="s">
        <v>95</v>
      </c>
    </row>
    <row r="47" customFormat="false" ht="15" hidden="false" customHeight="true" outlineLevel="0" collapsed="false">
      <c r="A47" s="18" t="s">
        <v>96</v>
      </c>
    </row>
    <row r="48" customFormat="false" ht="15" hidden="false" customHeight="true" outlineLevel="0" collapsed="false">
      <c r="A48" s="17" t="s">
        <v>97</v>
      </c>
    </row>
    <row r="49" customFormat="false" ht="15" hidden="false" customHeight="true" outlineLevel="0" collapsed="false">
      <c r="A49" s="17" t="s">
        <v>98</v>
      </c>
    </row>
    <row r="50" customFormat="false" ht="15" hidden="false" customHeight="true" outlineLevel="0" collapsed="false">
      <c r="A50" s="17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14" min="3" style="1" width="13"/>
    <col collapsed="false" customWidth="true" hidden="false" outlineLevel="0" max="15" min="15" style="1" width="52"/>
  </cols>
  <sheetData>
    <row r="1" customFormat="false" ht="17.25" hidden="false" customHeight="true" outlineLevel="0" collapsed="false">
      <c r="A1" s="2" t="s">
        <v>100</v>
      </c>
    </row>
    <row r="2" customFormat="false" ht="15" hidden="false" customHeight="true" outlineLevel="0" collapsed="false">
      <c r="A2" s="16" t="s">
        <v>101</v>
      </c>
    </row>
    <row r="4" customFormat="false" ht="15" hidden="false" customHeight="true" outlineLevel="0" collapsed="false">
      <c r="A4" s="18" t="s">
        <v>102</v>
      </c>
    </row>
    <row r="5" customFormat="false" ht="27.75" hidden="false" customHeight="true" outlineLevel="0" collapsed="false">
      <c r="A5" s="23" t="s">
        <v>103</v>
      </c>
      <c r="B5" s="23" t="s">
        <v>104</v>
      </c>
      <c r="C5" s="23" t="s">
        <v>105</v>
      </c>
      <c r="D5" s="23" t="s">
        <v>106</v>
      </c>
      <c r="E5" s="23" t="s">
        <v>107</v>
      </c>
      <c r="F5" s="23" t="s">
        <v>108</v>
      </c>
      <c r="G5" s="23" t="s">
        <v>109</v>
      </c>
      <c r="H5" s="23" t="s">
        <v>110</v>
      </c>
      <c r="I5" s="23" t="s">
        <v>111</v>
      </c>
      <c r="J5" s="23" t="s">
        <v>112</v>
      </c>
      <c r="K5" s="23" t="s">
        <v>113</v>
      </c>
      <c r="L5" s="23" t="s">
        <v>114</v>
      </c>
      <c r="M5" s="23" t="s">
        <v>115</v>
      </c>
      <c r="N5" s="23" t="s">
        <v>116</v>
      </c>
      <c r="O5" s="23" t="s">
        <v>117</v>
      </c>
    </row>
    <row r="6" customFormat="false" ht="15" hidden="false" customHeight="true" outlineLevel="0" collapsed="false">
      <c r="A6" s="20" t="s">
        <v>118</v>
      </c>
      <c r="C6" s="24" t="n">
        <f aca="false">1</f>
        <v>1</v>
      </c>
      <c r="D6" s="24" t="n">
        <f aca="false">2</f>
        <v>2</v>
      </c>
      <c r="E6" s="24" t="n">
        <f aca="false">3</f>
        <v>3</v>
      </c>
      <c r="F6" s="24" t="n">
        <f aca="false">4</f>
        <v>4</v>
      </c>
      <c r="G6" s="24" t="n">
        <f aca="false">5</f>
        <v>5</v>
      </c>
      <c r="H6" s="24" t="n">
        <f aca="false">6</f>
        <v>6</v>
      </c>
      <c r="I6" s="24" t="n">
        <f aca="false">7</f>
        <v>7</v>
      </c>
      <c r="J6" s="24" t="n">
        <f aca="false">8</f>
        <v>8</v>
      </c>
      <c r="K6" s="24" t="n">
        <f aca="false">9</f>
        <v>9</v>
      </c>
      <c r="L6" s="24" t="n">
        <f aca="false">10</f>
        <v>10</v>
      </c>
      <c r="M6" s="24" t="n">
        <f aca="false">11</f>
        <v>11</v>
      </c>
      <c r="N6" s="24" t="n">
        <f aca="false">12</f>
        <v>12</v>
      </c>
    </row>
    <row r="7" customFormat="false" ht="15" hidden="false" customHeight="true" outlineLevel="0" collapsed="false">
      <c r="A7" s="22" t="s">
        <v>119</v>
      </c>
      <c r="B7" s="25" t="n">
        <f aca="false">SUM(C7:N7)</f>
        <v>24000000</v>
      </c>
      <c r="C7" s="26" t="n">
        <v>1800000</v>
      </c>
      <c r="D7" s="26" t="n">
        <v>2100000</v>
      </c>
      <c r="E7" s="26" t="n">
        <v>2200000</v>
      </c>
      <c r="F7" s="26" t="n">
        <v>2100000</v>
      </c>
      <c r="G7" s="26" t="n">
        <v>2000000</v>
      </c>
      <c r="H7" s="26" t="n">
        <v>2000000</v>
      </c>
      <c r="I7" s="26" t="n">
        <v>1200000</v>
      </c>
      <c r="J7" s="26" t="n">
        <v>1900000</v>
      </c>
      <c r="K7" s="26" t="n">
        <v>2100000</v>
      </c>
      <c r="L7" s="26" t="n">
        <v>2200000</v>
      </c>
      <c r="M7" s="26" t="n">
        <v>2300000</v>
      </c>
      <c r="N7" s="26" t="n">
        <v>2100000</v>
      </c>
      <c r="O7" s="20" t="s">
        <v>120</v>
      </c>
    </row>
    <row r="8" customFormat="false" ht="15" hidden="false" customHeight="true" outlineLevel="0" collapsed="false">
      <c r="A8" s="20" t="s">
        <v>121</v>
      </c>
      <c r="B8" s="27" t="n">
        <v>0.625</v>
      </c>
      <c r="O8" s="20" t="s">
        <v>122</v>
      </c>
    </row>
    <row r="9" customFormat="false" ht="15" hidden="false" customHeight="true" outlineLevel="0" collapsed="false">
      <c r="A9" s="20" t="s">
        <v>123</v>
      </c>
      <c r="B9" s="25" t="n">
        <f aca="false">SUM(C9:N9)</f>
        <v>9000000</v>
      </c>
      <c r="C9" s="28" t="n">
        <f aca="false">C7*(1-$B$8)</f>
        <v>675000</v>
      </c>
      <c r="D9" s="28" t="n">
        <f aca="false">D7*(1-$B$8)</f>
        <v>787500</v>
      </c>
      <c r="E9" s="28" t="n">
        <f aca="false">E7*(1-$B$8)</f>
        <v>825000</v>
      </c>
      <c r="F9" s="28" t="n">
        <f aca="false">F7*(1-$B$8)</f>
        <v>787500</v>
      </c>
      <c r="G9" s="28" t="n">
        <f aca="false">G7*(1-$B$8)</f>
        <v>750000</v>
      </c>
      <c r="H9" s="28" t="n">
        <f aca="false">H7*(1-$B$8)</f>
        <v>750000</v>
      </c>
      <c r="I9" s="28" t="n">
        <f aca="false">I7*(1-$B$8)</f>
        <v>450000</v>
      </c>
      <c r="J9" s="28" t="n">
        <f aca="false">J7*(1-$B$8)</f>
        <v>712500</v>
      </c>
      <c r="K9" s="28" t="n">
        <f aca="false">K7*(1-$B$8)</f>
        <v>787500</v>
      </c>
      <c r="L9" s="28" t="n">
        <f aca="false">L7*(1-$B$8)</f>
        <v>825000</v>
      </c>
      <c r="M9" s="28" t="n">
        <f aca="false">M7*(1-$B$8)</f>
        <v>862500</v>
      </c>
      <c r="N9" s="28" t="n">
        <f aca="false">N7*(1-$B$8)</f>
        <v>787500</v>
      </c>
      <c r="O9" s="20" t="s">
        <v>124</v>
      </c>
    </row>
    <row r="10" customFormat="false" ht="15" hidden="false" customHeight="true" outlineLevel="0" collapsed="false">
      <c r="A10" s="20" t="s">
        <v>125</v>
      </c>
      <c r="B10" s="26" t="n">
        <v>700000</v>
      </c>
    </row>
    <row r="11" customFormat="false" ht="15" hidden="false" customHeight="true" outlineLevel="0" collapsed="false">
      <c r="A11" s="20" t="s">
        <v>126</v>
      </c>
      <c r="B11" s="27" t="n">
        <v>0.12</v>
      </c>
    </row>
    <row r="12" customFormat="false" ht="15" hidden="false" customHeight="true" outlineLevel="0" collapsed="false">
      <c r="A12" s="20" t="s">
        <v>127</v>
      </c>
      <c r="B12" s="27" t="n">
        <v>0.141</v>
      </c>
    </row>
    <row r="13" customFormat="false" ht="15" hidden="false" customHeight="true" outlineLevel="0" collapsed="false">
      <c r="A13" s="22" t="s">
        <v>128</v>
      </c>
      <c r="B13" s="25" t="n">
        <f aca="false">B10*12*(1+B11)*(1+B12)</f>
        <v>10734528</v>
      </c>
      <c r="O13" s="20" t="s">
        <v>129</v>
      </c>
    </row>
    <row r="14" customFormat="false" ht="15" hidden="false" customHeight="true" outlineLevel="0" collapsed="false">
      <c r="A14" s="20" t="s">
        <v>130</v>
      </c>
      <c r="B14" s="26" t="n">
        <v>680000</v>
      </c>
    </row>
    <row r="15" customFormat="false" ht="15" hidden="false" customHeight="true" outlineLevel="0" collapsed="false">
      <c r="A15" s="20" t="s">
        <v>131</v>
      </c>
      <c r="B15" s="26" t="n">
        <v>1500000</v>
      </c>
    </row>
    <row r="16" customFormat="false" ht="15" hidden="false" customHeight="true" outlineLevel="0" collapsed="false">
      <c r="A16" s="20" t="s">
        <v>132</v>
      </c>
      <c r="B16" s="27" t="n">
        <v>0.25</v>
      </c>
    </row>
    <row r="18" customFormat="false" ht="15" hidden="false" customHeight="true" outlineLevel="0" collapsed="false">
      <c r="A18" s="18" t="s">
        <v>133</v>
      </c>
    </row>
    <row r="19" customFormat="false" ht="15" hidden="false" customHeight="true" outlineLevel="0" collapsed="false">
      <c r="A19" s="22" t="s">
        <v>134</v>
      </c>
      <c r="B19" s="25" t="n">
        <f aca="false">B7</f>
        <v>24000000</v>
      </c>
      <c r="C19" s="28" t="n">
        <f aca="false">C7</f>
        <v>1800000</v>
      </c>
      <c r="D19" s="28" t="n">
        <f aca="false">D7</f>
        <v>2100000</v>
      </c>
      <c r="E19" s="28" t="n">
        <f aca="false">E7</f>
        <v>2200000</v>
      </c>
      <c r="F19" s="28" t="n">
        <f aca="false">F7</f>
        <v>2100000</v>
      </c>
      <c r="G19" s="28" t="n">
        <f aca="false">G7</f>
        <v>2000000</v>
      </c>
      <c r="H19" s="28" t="n">
        <f aca="false">H7</f>
        <v>2000000</v>
      </c>
      <c r="I19" s="28" t="n">
        <f aca="false">I7</f>
        <v>1200000</v>
      </c>
      <c r="J19" s="28" t="n">
        <f aca="false">J7</f>
        <v>1900000</v>
      </c>
      <c r="K19" s="28" t="n">
        <f aca="false">K7</f>
        <v>2100000</v>
      </c>
      <c r="L19" s="28" t="n">
        <f aca="false">L7</f>
        <v>2200000</v>
      </c>
      <c r="M19" s="28" t="n">
        <f aca="false">M7</f>
        <v>2300000</v>
      </c>
      <c r="N19" s="28" t="n">
        <f aca="false">N7</f>
        <v>2100000</v>
      </c>
    </row>
    <row r="20" customFormat="false" ht="15" hidden="false" customHeight="true" outlineLevel="0" collapsed="false">
      <c r="A20" s="20" t="s">
        <v>135</v>
      </c>
      <c r="B20" s="28" t="n">
        <f aca="false">B9</f>
        <v>9000000</v>
      </c>
      <c r="C20" s="28" t="n">
        <f aca="false">C9</f>
        <v>675000</v>
      </c>
      <c r="D20" s="28" t="n">
        <f aca="false">D9</f>
        <v>787500</v>
      </c>
      <c r="E20" s="28" t="n">
        <f aca="false">E9</f>
        <v>825000</v>
      </c>
      <c r="F20" s="28" t="n">
        <f aca="false">F9</f>
        <v>787500</v>
      </c>
      <c r="G20" s="28" t="n">
        <f aca="false">G9</f>
        <v>750000</v>
      </c>
      <c r="H20" s="28" t="n">
        <f aca="false">H9</f>
        <v>750000</v>
      </c>
      <c r="I20" s="28" t="n">
        <f aca="false">I9</f>
        <v>450000</v>
      </c>
      <c r="J20" s="28" t="n">
        <f aca="false">J9</f>
        <v>712500</v>
      </c>
      <c r="K20" s="28" t="n">
        <f aca="false">K9</f>
        <v>787500</v>
      </c>
      <c r="L20" s="28" t="n">
        <f aca="false">L9</f>
        <v>825000</v>
      </c>
      <c r="M20" s="28" t="n">
        <f aca="false">M9</f>
        <v>862500</v>
      </c>
      <c r="N20" s="28" t="n">
        <f aca="false">N9</f>
        <v>787500</v>
      </c>
    </row>
    <row r="21" customFormat="false" ht="15" hidden="false" customHeight="true" outlineLevel="0" collapsed="false">
      <c r="A21" s="20" t="s">
        <v>136</v>
      </c>
      <c r="B21" s="28" t="n">
        <f aca="false">B13</f>
        <v>10734528</v>
      </c>
      <c r="C21" s="28" t="n">
        <f aca="false">$B$13/12</f>
        <v>894544</v>
      </c>
      <c r="D21" s="28" t="n">
        <f aca="false">$B$13/12</f>
        <v>894544</v>
      </c>
      <c r="E21" s="28" t="n">
        <f aca="false">$B$13/12</f>
        <v>894544</v>
      </c>
      <c r="F21" s="28" t="n">
        <f aca="false">$B$13/12</f>
        <v>894544</v>
      </c>
      <c r="G21" s="28" t="n">
        <f aca="false">$B$13/12</f>
        <v>894544</v>
      </c>
      <c r="H21" s="28" t="n">
        <f aca="false">$B$13/12</f>
        <v>894544</v>
      </c>
      <c r="I21" s="28" t="n">
        <f aca="false">$B$13/12</f>
        <v>894544</v>
      </c>
      <c r="J21" s="28" t="n">
        <f aca="false">$B$13/12</f>
        <v>894544</v>
      </c>
      <c r="K21" s="28" t="n">
        <f aca="false">$B$13/12</f>
        <v>894544</v>
      </c>
      <c r="L21" s="28" t="n">
        <f aca="false">$B$13/12</f>
        <v>894544</v>
      </c>
      <c r="M21" s="28" t="n">
        <f aca="false">$B$13/12</f>
        <v>894544</v>
      </c>
      <c r="N21" s="28" t="n">
        <f aca="false">$B$13/12</f>
        <v>894544</v>
      </c>
    </row>
    <row r="22" customFormat="false" ht="15" hidden="false" customHeight="true" outlineLevel="0" collapsed="false">
      <c r="A22" s="20" t="s">
        <v>137</v>
      </c>
      <c r="B22" s="28" t="n">
        <f aca="false">B14</f>
        <v>680000</v>
      </c>
      <c r="C22" s="28" t="n">
        <f aca="false">$B$14/12</f>
        <v>56666.6666666667</v>
      </c>
      <c r="D22" s="28" t="n">
        <f aca="false">$B$14/12</f>
        <v>56666.6666666667</v>
      </c>
      <c r="E22" s="28" t="n">
        <f aca="false">$B$14/12</f>
        <v>56666.6666666667</v>
      </c>
      <c r="F22" s="28" t="n">
        <f aca="false">$B$14/12</f>
        <v>56666.6666666667</v>
      </c>
      <c r="G22" s="28" t="n">
        <f aca="false">$B$14/12</f>
        <v>56666.6666666667</v>
      </c>
      <c r="H22" s="28" t="n">
        <f aca="false">$B$14/12</f>
        <v>56666.6666666667</v>
      </c>
      <c r="I22" s="28" t="n">
        <f aca="false">$B$14/12</f>
        <v>56666.6666666667</v>
      </c>
      <c r="J22" s="28" t="n">
        <f aca="false">$B$14/12</f>
        <v>56666.6666666667</v>
      </c>
      <c r="K22" s="28" t="n">
        <f aca="false">$B$14/12</f>
        <v>56666.6666666667</v>
      </c>
      <c r="L22" s="28" t="n">
        <f aca="false">$B$14/12</f>
        <v>56666.6666666667</v>
      </c>
      <c r="M22" s="28" t="n">
        <f aca="false">$B$14/12</f>
        <v>56666.6666666667</v>
      </c>
      <c r="N22" s="28" t="n">
        <f aca="false">$B$14/12</f>
        <v>56666.6666666667</v>
      </c>
      <c r="O22" s="20" t="s">
        <v>138</v>
      </c>
    </row>
    <row r="23" customFormat="false" ht="15" hidden="false" customHeight="true" outlineLevel="0" collapsed="false">
      <c r="A23" s="20" t="s">
        <v>139</v>
      </c>
      <c r="B23" s="28" t="n">
        <f aca="false">B15</f>
        <v>1500000</v>
      </c>
      <c r="C23" s="28" t="n">
        <f aca="false">$B$15/12</f>
        <v>125000</v>
      </c>
      <c r="D23" s="28" t="n">
        <f aca="false">$B$15/12</f>
        <v>125000</v>
      </c>
      <c r="E23" s="28" t="n">
        <f aca="false">$B$15/12</f>
        <v>125000</v>
      </c>
      <c r="F23" s="28" t="n">
        <f aca="false">$B$15/12</f>
        <v>125000</v>
      </c>
      <c r="G23" s="28" t="n">
        <f aca="false">$B$15/12</f>
        <v>125000</v>
      </c>
      <c r="H23" s="28" t="n">
        <f aca="false">$B$15/12</f>
        <v>125000</v>
      </c>
      <c r="I23" s="28" t="n">
        <f aca="false">$B$15/12</f>
        <v>125000</v>
      </c>
      <c r="J23" s="28" t="n">
        <f aca="false">$B$15/12</f>
        <v>125000</v>
      </c>
      <c r="K23" s="28" t="n">
        <f aca="false">$B$15/12</f>
        <v>125000</v>
      </c>
      <c r="L23" s="28" t="n">
        <f aca="false">$B$15/12</f>
        <v>125000</v>
      </c>
      <c r="M23" s="28" t="n">
        <f aca="false">$B$15/12</f>
        <v>125000</v>
      </c>
      <c r="N23" s="28" t="n">
        <f aca="false">$B$15/12</f>
        <v>125000</v>
      </c>
    </row>
    <row r="24" customFormat="false" ht="15" hidden="false" customHeight="true" outlineLevel="0" collapsed="false">
      <c r="A24" s="22" t="s">
        <v>140</v>
      </c>
      <c r="B24" s="25" t="n">
        <f aca="false">SUM(B20:B23)</f>
        <v>21914528</v>
      </c>
      <c r="C24" s="28" t="n">
        <f aca="false">SUM(C20:C23)</f>
        <v>1751210.66666667</v>
      </c>
      <c r="D24" s="28" t="n">
        <f aca="false">SUM(D20:D23)</f>
        <v>1863710.66666667</v>
      </c>
      <c r="E24" s="28" t="n">
        <f aca="false">SUM(E20:E23)</f>
        <v>1901210.66666667</v>
      </c>
      <c r="F24" s="28" t="n">
        <f aca="false">SUM(F20:F23)</f>
        <v>1863710.66666667</v>
      </c>
      <c r="G24" s="28" t="n">
        <f aca="false">SUM(G20:G23)</f>
        <v>1826210.66666667</v>
      </c>
      <c r="H24" s="28" t="n">
        <f aca="false">SUM(H20:H23)</f>
        <v>1826210.66666667</v>
      </c>
      <c r="I24" s="28" t="n">
        <f aca="false">SUM(I20:I23)</f>
        <v>1526210.66666667</v>
      </c>
      <c r="J24" s="28" t="n">
        <f aca="false">SUM(J20:J23)</f>
        <v>1788710.66666667</v>
      </c>
      <c r="K24" s="28" t="n">
        <f aca="false">SUM(K20:K23)</f>
        <v>1863710.66666667</v>
      </c>
      <c r="L24" s="28" t="n">
        <f aca="false">SUM(L20:L23)</f>
        <v>1901210.66666667</v>
      </c>
      <c r="M24" s="28" t="n">
        <f aca="false">SUM(M20:M23)</f>
        <v>1938710.66666667</v>
      </c>
      <c r="N24" s="28" t="n">
        <f aca="false">SUM(N20:N23)</f>
        <v>1863710.66666667</v>
      </c>
    </row>
    <row r="25" customFormat="false" ht="15" hidden="false" customHeight="true" outlineLevel="0" collapsed="false">
      <c r="A25" s="22" t="s">
        <v>141</v>
      </c>
      <c r="B25" s="25" t="n">
        <f aca="false">B19-B24</f>
        <v>2085472</v>
      </c>
      <c r="C25" s="25" t="n">
        <f aca="false">C19-C24</f>
        <v>48789.3333333333</v>
      </c>
      <c r="D25" s="25" t="n">
        <f aca="false">D19-D24</f>
        <v>236289.333333333</v>
      </c>
      <c r="E25" s="25" t="n">
        <f aca="false">E19-E24</f>
        <v>298789.333333333</v>
      </c>
      <c r="F25" s="25" t="n">
        <f aca="false">F19-F24</f>
        <v>236289.333333333</v>
      </c>
      <c r="G25" s="25" t="n">
        <f aca="false">G19-G24</f>
        <v>173789.333333333</v>
      </c>
      <c r="H25" s="25" t="n">
        <f aca="false">H19-H24</f>
        <v>173789.333333333</v>
      </c>
      <c r="I25" s="25" t="n">
        <f aca="false">I19-I24</f>
        <v>-326210.666666667</v>
      </c>
      <c r="J25" s="25" t="n">
        <f aca="false">J19-J24</f>
        <v>111289.333333333</v>
      </c>
      <c r="K25" s="25" t="n">
        <f aca="false">K19-K24</f>
        <v>236289.333333333</v>
      </c>
      <c r="L25" s="25" t="n">
        <f aca="false">L19-L24</f>
        <v>298789.333333333</v>
      </c>
      <c r="M25" s="25" t="n">
        <f aca="false">M19-M24</f>
        <v>361289.333333333</v>
      </c>
      <c r="N25" s="25" t="n">
        <f aca="false">N19-N24</f>
        <v>236289.333333333</v>
      </c>
    </row>
    <row r="26" customFormat="false" ht="15" hidden="false" customHeight="true" outlineLevel="0" collapsed="false">
      <c r="A26" s="20" t="s">
        <v>142</v>
      </c>
      <c r="B26" s="29" t="n">
        <f aca="false">B25/B19</f>
        <v>0.0868946666666667</v>
      </c>
      <c r="C26" s="30" t="n">
        <f aca="false">C25/C19</f>
        <v>0.0271051851851851</v>
      </c>
      <c r="D26" s="30" t="n">
        <f aca="false">D25/D19</f>
        <v>0.11251873015873</v>
      </c>
      <c r="E26" s="30" t="n">
        <f aca="false">E25/E19</f>
        <v>0.135813333333333</v>
      </c>
      <c r="F26" s="30" t="n">
        <f aca="false">F25/F19</f>
        <v>0.11251873015873</v>
      </c>
      <c r="G26" s="30" t="n">
        <f aca="false">G25/G19</f>
        <v>0.0868946666666666</v>
      </c>
      <c r="H26" s="30" t="n">
        <f aca="false">H25/H19</f>
        <v>0.0868946666666666</v>
      </c>
      <c r="I26" s="30" t="n">
        <f aca="false">I25/I19</f>
        <v>-0.271842222222222</v>
      </c>
      <c r="J26" s="30" t="n">
        <f aca="false">J25/J19</f>
        <v>0.0585733333333333</v>
      </c>
      <c r="K26" s="30" t="n">
        <f aca="false">K25/K19</f>
        <v>0.11251873015873</v>
      </c>
      <c r="L26" s="30" t="n">
        <f aca="false">L25/L19</f>
        <v>0.135813333333333</v>
      </c>
      <c r="M26" s="30" t="n">
        <f aca="false">M25/M19</f>
        <v>0.15708231884058</v>
      </c>
      <c r="N26" s="30" t="n">
        <f aca="false">N25/N19</f>
        <v>0.11251873015873</v>
      </c>
      <c r="O26" s="20" t="s">
        <v>143</v>
      </c>
    </row>
    <row r="28" customFormat="false" ht="15" hidden="false" customHeight="true" outlineLevel="0" collapsed="false">
      <c r="A28" s="18" t="s">
        <v>144</v>
      </c>
    </row>
    <row r="29" customFormat="false" ht="15" hidden="false" customHeight="true" outlineLevel="0" collapsed="false">
      <c r="A29" s="20" t="s">
        <v>145</v>
      </c>
      <c r="B29" s="25" t="n">
        <f aca="false">SUM(C25:E25)</f>
        <v>583868</v>
      </c>
      <c r="O29" s="20" t="s">
        <v>146</v>
      </c>
    </row>
    <row r="31" customFormat="false" ht="15" hidden="false" customHeight="true" outlineLevel="0" collapsed="false">
      <c r="A31" s="18" t="s">
        <v>147</v>
      </c>
    </row>
    <row r="32" customFormat="false" ht="15" hidden="false" customHeight="true" outlineLevel="0" collapsed="false">
      <c r="A32" s="20" t="s">
        <v>148</v>
      </c>
      <c r="B32" s="31" t="str">
        <f aca="false">IF(ABS(SUM(C25:N25)-B25)&lt;1,"OK — de tolv månedene summerer seg til årsbudsjettet","AVVIK: månedene og året gir ulikt driftsresultat")</f>
        <v>OK — de tolv månedene summerer seg til årsbudsjettet</v>
      </c>
    </row>
    <row r="33" customFormat="false" ht="15" hidden="false" customHeight="true" outlineLevel="0" collapsed="false">
      <c r="A33" s="20" t="s">
        <v>149</v>
      </c>
      <c r="B33" s="31" t="str">
        <f aca="false">IF(B25&gt;0,"OK — budsjettet viser overskudd","AVVIK: budsjettet går i minus — da er det ikke likviditeten som er hovedproblemet")</f>
        <v>OK — budsjettet viser overskudd</v>
      </c>
    </row>
    <row r="34" customFormat="false" ht="15" hidden="false" customHeight="true" outlineLevel="0" collapsed="false">
      <c r="A34" s="20" t="s">
        <v>150</v>
      </c>
      <c r="B34" s="31" t="str">
        <f aca="false">IF(AND(B8&gt;0,B8&lt;1),"OK — bruttofortjenesten ligger mellom null og hundre prosent","AVVIK: umulig bruttofortjeneste i B8")</f>
        <v>OK — bruttofortjenesten ligger mellom null og hundre prosent</v>
      </c>
    </row>
    <row r="36" customFormat="false" ht="15" hidden="false" customHeight="true" outlineLevel="0" collapsed="false">
      <c r="A36" s="22" t="s">
        <v>151</v>
      </c>
    </row>
    <row r="37" customFormat="false" ht="15" hidden="false" customHeight="true" outlineLevel="0" collapsed="false">
      <c r="A37" s="17" t="s">
        <v>152</v>
      </c>
    </row>
  </sheetData>
  <conditionalFormatting sqref="B32">
    <cfRule type="expression" priority="2" aboveAverage="0" equalAverage="0" bottom="0" percent="0" rank="0" text="" dxfId="0">
      <formula>LEFT(B32,5)="AVVIK"</formula>
    </cfRule>
  </conditionalFormatting>
  <conditionalFormatting sqref="B33">
    <cfRule type="expression" priority="3" aboveAverage="0" equalAverage="0" bottom="0" percent="0" rank="0" text="" dxfId="0">
      <formula>LEFT(B33,5)="AVVIK"</formula>
    </cfRule>
  </conditionalFormatting>
  <conditionalFormatting sqref="B34">
    <cfRule type="expression" priority="4" aboveAverage="0" equalAverage="0" bottom="0" percent="0" rank="0" text="" dxfId="0">
      <formula>LEFT(B34,5)="AVVIK"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3" topLeftCell="C44" activePane="bottomRight" state="frozen"/>
      <selection pane="topLeft" activeCell="A1" activeCellId="0" sqref="A1"/>
      <selection pane="topRight" activeCell="C1" activeCellId="0" sqref="C1"/>
      <selection pane="bottomLeft" activeCell="A44" activeCellId="0" sqref="A4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14" min="3" style="1" width="13"/>
    <col collapsed="false" customWidth="true" hidden="false" outlineLevel="0" max="15" min="15" style="1" width="52"/>
  </cols>
  <sheetData>
    <row r="1" customFormat="false" ht="17.25" hidden="false" customHeight="true" outlineLevel="0" collapsed="false">
      <c r="A1" s="2" t="s">
        <v>153</v>
      </c>
    </row>
    <row r="2" customFormat="false" ht="15" hidden="false" customHeight="true" outlineLevel="0" collapsed="false">
      <c r="A2" s="16" t="s">
        <v>154</v>
      </c>
    </row>
    <row r="4" customFormat="false" ht="15" hidden="false" customHeight="true" outlineLevel="0" collapsed="false">
      <c r="A4" s="18" t="s">
        <v>155</v>
      </c>
    </row>
    <row r="5" customFormat="false" ht="15" hidden="false" customHeight="true" outlineLevel="0" collapsed="false">
      <c r="A5" s="20" t="s">
        <v>156</v>
      </c>
      <c r="B5" s="32" t="n">
        <v>20</v>
      </c>
      <c r="O5" s="20" t="s">
        <v>157</v>
      </c>
    </row>
    <row r="6" customFormat="false" ht="15" hidden="false" customHeight="true" outlineLevel="0" collapsed="false">
      <c r="A6" s="20" t="s">
        <v>158</v>
      </c>
      <c r="B6" s="32" t="n">
        <v>30</v>
      </c>
      <c r="O6" s="20" t="s">
        <v>159</v>
      </c>
    </row>
    <row r="8" customFormat="false" ht="15" hidden="false" customHeight="true" outlineLevel="0" collapsed="false">
      <c r="A8" s="22" t="s">
        <v>160</v>
      </c>
    </row>
    <row r="9" customFormat="false" ht="15" hidden="false" customHeight="true" outlineLevel="0" collapsed="false">
      <c r="A9" s="20" t="s">
        <v>161</v>
      </c>
      <c r="B9" s="30" t="n">
        <f aca="false">IF($B$5&lt;=30,(30-$B$5)/30,0)</f>
        <v>0.333333333333333</v>
      </c>
      <c r="O9" s="20" t="s">
        <v>162</v>
      </c>
    </row>
    <row r="10" customFormat="false" ht="15" hidden="false" customHeight="true" outlineLevel="0" collapsed="false">
      <c r="A10" s="20" t="s">
        <v>163</v>
      </c>
      <c r="B10" s="30" t="n">
        <f aca="false">IF($B$5&lt;=30,$B$5/30,MAX(0,(60-$B$5)/30))</f>
        <v>0.666666666666667</v>
      </c>
    </row>
    <row r="11" customFormat="false" ht="15" hidden="false" customHeight="true" outlineLevel="0" collapsed="false">
      <c r="A11" s="20" t="s">
        <v>164</v>
      </c>
      <c r="B11" s="30" t="n">
        <f aca="false">IF($B$5&lt;=30,0,MIN(1,($B$5-30)/30))</f>
        <v>0</v>
      </c>
    </row>
    <row r="12" customFormat="false" ht="15" hidden="false" customHeight="true" outlineLevel="0" collapsed="false">
      <c r="A12" s="22" t="s">
        <v>165</v>
      </c>
    </row>
    <row r="13" customFormat="false" ht="15" hidden="false" customHeight="true" outlineLevel="0" collapsed="false">
      <c r="A13" s="20" t="s">
        <v>166</v>
      </c>
      <c r="B13" s="30" t="n">
        <f aca="false">IF($B$6&lt;=30,(30-$B$6)/30,0)</f>
        <v>0</v>
      </c>
    </row>
    <row r="14" customFormat="false" ht="15" hidden="false" customHeight="true" outlineLevel="0" collapsed="false">
      <c r="A14" s="20" t="s">
        <v>163</v>
      </c>
      <c r="B14" s="30" t="n">
        <f aca="false">IF($B$6&lt;=30,$B$6/30,MAX(0,(60-$B$6)/30))</f>
        <v>1</v>
      </c>
    </row>
    <row r="15" customFormat="false" ht="15" hidden="false" customHeight="true" outlineLevel="0" collapsed="false">
      <c r="A15" s="20" t="s">
        <v>164</v>
      </c>
      <c r="B15" s="30" t="n">
        <f aca="false">IF($B$6&lt;=30,0,MIN(1,($B$6-30)/30))</f>
        <v>0</v>
      </c>
    </row>
    <row r="17" customFormat="false" ht="15" hidden="false" customHeight="true" outlineLevel="0" collapsed="false">
      <c r="A17" s="18" t="s">
        <v>167</v>
      </c>
    </row>
    <row r="18" customFormat="false" ht="15" hidden="false" customHeight="true" outlineLevel="0" collapsed="false">
      <c r="A18" s="20" t="s">
        <v>168</v>
      </c>
      <c r="B18" s="26" t="n">
        <v>982650</v>
      </c>
    </row>
    <row r="19" customFormat="false" ht="15" hidden="false" customHeight="true" outlineLevel="0" collapsed="false">
      <c r="A19" s="20" t="s">
        <v>169</v>
      </c>
      <c r="B19" s="26" t="n">
        <v>4200000</v>
      </c>
      <c r="O19" s="20" t="s">
        <v>170</v>
      </c>
    </row>
    <row r="20" customFormat="false" ht="15" hidden="false" customHeight="true" outlineLevel="0" collapsed="false">
      <c r="A20" s="20" t="s">
        <v>171</v>
      </c>
      <c r="B20" s="27" t="n">
        <v>0.6</v>
      </c>
    </row>
    <row r="21" customFormat="false" ht="15" hidden="false" customHeight="true" outlineLevel="0" collapsed="false">
      <c r="A21" s="20" t="s">
        <v>172</v>
      </c>
      <c r="B21" s="26" t="n">
        <v>2100000</v>
      </c>
    </row>
    <row ht="27" customHeight="true" r="22" customFormat="false" hidden="false" outlineLevel="0" collapsed="false">
      <c s="37" r="A22" t="s">
        <v>173</v>
      </c>
      <c r="B22" s="26" t="n">
        <v>136000</v>
      </c>
    </row>
    <row ht="27" customHeight="true" r="23" customFormat="false" hidden="false" outlineLevel="0" collapsed="false">
      <c s="37" r="A23" t="s">
        <v>174</v>
      </c>
      <c r="B23" s="26" t="n">
        <v>1064000</v>
      </c>
    </row>
    <row r="24" customFormat="false" ht="15" hidden="false" customHeight="true" outlineLevel="0" collapsed="false">
      <c r="A24" s="20" t="s">
        <v>175</v>
      </c>
      <c r="B24" s="26" t="n">
        <v>890000</v>
      </c>
    </row>
    <row ht="27" customHeight="true" r="25" customFormat="false" hidden="false" outlineLevel="0" collapsed="false">
      <c s="37" r="A25" t="s">
        <v>176</v>
      </c>
      <c r="B25" s="26" t="n">
        <v>256850</v>
      </c>
    </row>
    <row r="26" customFormat="false" ht="15" hidden="false" customHeight="true" outlineLevel="0" collapsed="false">
      <c r="A26" s="20" t="s">
        <v>177</v>
      </c>
      <c r="B26" s="26" t="n">
        <v>192500</v>
      </c>
    </row>
    <row r="27" customFormat="false" ht="15" hidden="false" customHeight="true" outlineLevel="0" collapsed="false">
      <c r="A27" s="20" t="s">
        <v>178</v>
      </c>
      <c r="B27" s="26" t="n">
        <v>14000</v>
      </c>
    </row>
    <row r="28" customFormat="false" ht="15" hidden="false" customHeight="true" outlineLevel="0" collapsed="false">
      <c r="A28" s="20" t="s">
        <v>179</v>
      </c>
      <c r="B28" s="26" t="n">
        <v>480000</v>
      </c>
    </row>
    <row r="29" customFormat="false" ht="15" hidden="false" customHeight="true" outlineLevel="0" collapsed="false">
      <c r="A29" s="20" t="s">
        <v>180</v>
      </c>
      <c r="B29" s="32" t="n">
        <v>3</v>
      </c>
      <c r="O29" s="20" t="s">
        <v>181</v>
      </c>
    </row>
    <row r="30" customFormat="false" ht="15" hidden="false" customHeight="true" outlineLevel="0" collapsed="false">
      <c r="A30" s="20" t="s">
        <v>182</v>
      </c>
      <c r="B30" s="26" t="n">
        <v>1500000</v>
      </c>
    </row>
    <row r="31" customFormat="false" ht="15" hidden="false" customHeight="true" outlineLevel="0" collapsed="false">
      <c r="A31" s="20" t="s">
        <v>183</v>
      </c>
      <c r="B31" s="26" t="n">
        <v>300000</v>
      </c>
    </row>
    <row r="32" customFormat="false" ht="15" hidden="false" customHeight="true" outlineLevel="0" collapsed="false">
      <c r="A32" s="20" t="s">
        <v>184</v>
      </c>
      <c r="B32" s="27" t="n">
        <v>0.08</v>
      </c>
    </row>
    <row r="34" customFormat="false" ht="15" hidden="false" customHeight="true" outlineLevel="0" collapsed="false">
      <c r="A34" s="18" t="s">
        <v>185</v>
      </c>
    </row>
    <row r="35" customFormat="false" ht="27.75" hidden="false" customHeight="true" outlineLevel="0" collapsed="false">
      <c r="A35" s="23" t="s">
        <v>186</v>
      </c>
      <c r="B35" s="23" t="s">
        <v>187</v>
      </c>
      <c r="C35" s="23" t="s">
        <v>188</v>
      </c>
      <c r="D35" s="23" t="s">
        <v>189</v>
      </c>
      <c r="E35" s="23" t="s">
        <v>190</v>
      </c>
      <c r="F35" s="23" t="s">
        <v>191</v>
      </c>
    </row>
    <row r="36" customFormat="false" ht="15" hidden="false" customHeight="true" outlineLevel="0" collapsed="false">
      <c r="A36" s="20" t="s">
        <v>192</v>
      </c>
      <c r="B36" s="20" t="s">
        <v>193</v>
      </c>
      <c r="C36" s="28" t="n">
        <f aca="false">(Resultatbudsjett!C7+Resultatbudsjett!D7)*Resultatbudsjett!$B$16</f>
        <v>975000</v>
      </c>
      <c r="D36" s="28" t="n">
        <f aca="false">(Resultatbudsjett!C9+Resultatbudsjett!D9+2*Resultatbudsjett!$B$15/12+IF(AND($B$29&gt;=1,$B$29&lt;=2),$B$28,0))*Resultatbudsjett!$B$16</f>
        <v>428125</v>
      </c>
      <c r="E36" s="25" t="n">
        <f aca="false">C36-D36</f>
        <v>546875</v>
      </c>
      <c r="F36" s="24" t="n">
        <f aca="false">4</f>
        <v>4</v>
      </c>
      <c r="H36" s="20" t="s">
        <v>194</v>
      </c>
    </row>
    <row r="37" customFormat="false" ht="15" hidden="false" customHeight="true" outlineLevel="0" collapsed="false">
      <c r="A37" s="20" t="s">
        <v>195</v>
      </c>
      <c r="B37" s="20" t="s">
        <v>196</v>
      </c>
      <c r="C37" s="28" t="n">
        <f aca="false">(Resultatbudsjett!E7+Resultatbudsjett!F7)*Resultatbudsjett!$B$16</f>
        <v>1075000</v>
      </c>
      <c r="D37" s="28" t="n">
        <f aca="false">(Resultatbudsjett!E9+Resultatbudsjett!F9+2*Resultatbudsjett!$B$15/12+IF(AND($B$29&gt;=3,$B$29&lt;=4),$B$28,0))*Resultatbudsjett!$B$16</f>
        <v>585625</v>
      </c>
      <c r="E37" s="25" t="n">
        <f aca="false">C37-D37</f>
        <v>489375</v>
      </c>
      <c r="F37" s="24" t="n">
        <f aca="false">6</f>
        <v>6</v>
      </c>
    </row>
    <row r="38" customFormat="false" ht="15" hidden="false" customHeight="true" outlineLevel="0" collapsed="false">
      <c r="A38" s="20" t="s">
        <v>197</v>
      </c>
      <c r="B38" s="20" t="s">
        <v>198</v>
      </c>
      <c r="C38" s="28" t="n">
        <f aca="false">(Resultatbudsjett!G7+Resultatbudsjett!H7)*Resultatbudsjett!$B$16</f>
        <v>1000000</v>
      </c>
      <c r="D38" s="28" t="n">
        <f aca="false">(Resultatbudsjett!G9+Resultatbudsjett!H9+2*Resultatbudsjett!$B$15/12+IF(AND($B$29&gt;=5,$B$29&lt;=6),$B$28,0))*Resultatbudsjett!$B$16</f>
        <v>437500</v>
      </c>
      <c r="E38" s="25" t="n">
        <f aca="false">C38-D38</f>
        <v>562500</v>
      </c>
      <c r="F38" s="24" t="n">
        <f aca="false">8</f>
        <v>8</v>
      </c>
    </row>
    <row r="39" customFormat="false" ht="15" hidden="false" customHeight="true" outlineLevel="0" collapsed="false">
      <c r="A39" s="20" t="s">
        <v>199</v>
      </c>
      <c r="B39" s="20" t="s">
        <v>200</v>
      </c>
      <c r="C39" s="28" t="n">
        <f aca="false">(Resultatbudsjett!I7+Resultatbudsjett!J7)*Resultatbudsjett!$B$16</f>
        <v>775000</v>
      </c>
      <c r="D39" s="28" t="n">
        <f aca="false">(Resultatbudsjett!I9+Resultatbudsjett!J9+2*Resultatbudsjett!$B$15/12+IF(AND($B$29&gt;=7,$B$29&lt;=8),$B$28,0))*Resultatbudsjett!$B$16</f>
        <v>353125</v>
      </c>
      <c r="E39" s="25" t="n">
        <f aca="false">C39-D39</f>
        <v>421875</v>
      </c>
      <c r="F39" s="24" t="n">
        <f aca="false">10</f>
        <v>10</v>
      </c>
    </row>
    <row r="40" customFormat="false" ht="15" hidden="false" customHeight="true" outlineLevel="0" collapsed="false">
      <c r="A40" s="20" t="s">
        <v>201</v>
      </c>
      <c r="B40" s="20" t="s">
        <v>202</v>
      </c>
      <c r="C40" s="28" t="n">
        <f aca="false">(Resultatbudsjett!K7+Resultatbudsjett!L7)*Resultatbudsjett!$B$16</f>
        <v>1075000</v>
      </c>
      <c r="D40" s="28" t="n">
        <f aca="false">(Resultatbudsjett!K9+Resultatbudsjett!L9+2*Resultatbudsjett!$B$15/12+IF(AND($B$29&gt;=9,$B$29&lt;=10),$B$28,0))*Resultatbudsjett!$B$16</f>
        <v>465625</v>
      </c>
      <c r="E40" s="25" t="n">
        <f aca="false">C40-D40</f>
        <v>609375</v>
      </c>
      <c r="F40" s="24" t="n">
        <f aca="false">12</f>
        <v>12</v>
      </c>
    </row>
    <row r="42" customFormat="false" ht="15" hidden="false" customHeight="true" outlineLevel="0" collapsed="false">
      <c r="A42" s="18" t="s">
        <v>203</v>
      </c>
    </row>
    <row r="43" customFormat="false" ht="27.75" hidden="false" customHeight="true" outlineLevel="0" collapsed="false">
      <c r="A43" s="23" t="s">
        <v>103</v>
      </c>
      <c r="B43" s="23" t="s">
        <v>104</v>
      </c>
      <c r="C43" s="23" t="s">
        <v>105</v>
      </c>
      <c r="D43" s="23" t="s">
        <v>106</v>
      </c>
      <c r="E43" s="23" t="s">
        <v>107</v>
      </c>
      <c r="F43" s="23" t="s">
        <v>108</v>
      </c>
      <c r="G43" s="23" t="s">
        <v>109</v>
      </c>
      <c r="H43" s="23" t="s">
        <v>110</v>
      </c>
      <c r="I43" s="23" t="s">
        <v>111</v>
      </c>
      <c r="J43" s="23" t="s">
        <v>112</v>
      </c>
      <c r="K43" s="23" t="s">
        <v>113</v>
      </c>
      <c r="L43" s="23" t="s">
        <v>114</v>
      </c>
      <c r="M43" s="23" t="s">
        <v>115</v>
      </c>
      <c r="N43" s="23" t="s">
        <v>116</v>
      </c>
      <c r="O43" s="23" t="s">
        <v>117</v>
      </c>
    </row>
    <row r="44" customFormat="false" ht="15" hidden="false" customHeight="true" outlineLevel="0" collapsed="false">
      <c r="A44" s="20" t="s">
        <v>118</v>
      </c>
      <c r="C44" s="24" t="n">
        <f aca="false">1</f>
        <v>1</v>
      </c>
      <c r="D44" s="24" t="n">
        <f aca="false">2</f>
        <v>2</v>
      </c>
      <c r="E44" s="24" t="n">
        <f aca="false">3</f>
        <v>3</v>
      </c>
      <c r="F44" s="24" t="n">
        <f aca="false">4</f>
        <v>4</v>
      </c>
      <c r="G44" s="24" t="n">
        <f aca="false">5</f>
        <v>5</v>
      </c>
      <c r="H44" s="24" t="n">
        <f aca="false">6</f>
        <v>6</v>
      </c>
      <c r="I44" s="24" t="n">
        <f aca="false">7</f>
        <v>7</v>
      </c>
      <c r="J44" s="24" t="n">
        <f aca="false">8</f>
        <v>8</v>
      </c>
      <c r="K44" s="24" t="n">
        <f aca="false">9</f>
        <v>9</v>
      </c>
      <c r="L44" s="24" t="n">
        <f aca="false">10</f>
        <v>10</v>
      </c>
      <c r="M44" s="24" t="n">
        <f aca="false">11</f>
        <v>11</v>
      </c>
      <c r="N44" s="24" t="n">
        <f aca="false">12</f>
        <v>12</v>
      </c>
    </row>
    <row r="45" customFormat="false" ht="15" hidden="false" customHeight="true" outlineLevel="0" collapsed="false">
      <c r="A45" s="20" t="s">
        <v>119</v>
      </c>
      <c r="B45" s="28" t="n">
        <f aca="false">SUM(C45:N45)</f>
        <v>24000000</v>
      </c>
      <c r="C45" s="28" t="n">
        <f aca="false">Resultatbudsjett!C7</f>
        <v>1800000</v>
      </c>
      <c r="D45" s="28" t="n">
        <f aca="false">Resultatbudsjett!D7</f>
        <v>2100000</v>
      </c>
      <c r="E45" s="28" t="n">
        <f aca="false">Resultatbudsjett!E7</f>
        <v>2200000</v>
      </c>
      <c r="F45" s="28" t="n">
        <f aca="false">Resultatbudsjett!F7</f>
        <v>2100000</v>
      </c>
      <c r="G45" s="28" t="n">
        <f aca="false">Resultatbudsjett!G7</f>
        <v>2000000</v>
      </c>
      <c r="H45" s="28" t="n">
        <f aca="false">Resultatbudsjett!H7</f>
        <v>2000000</v>
      </c>
      <c r="I45" s="28" t="n">
        <f aca="false">Resultatbudsjett!I7</f>
        <v>1200000</v>
      </c>
      <c r="J45" s="28" t="n">
        <f aca="false">Resultatbudsjett!J7</f>
        <v>1900000</v>
      </c>
      <c r="K45" s="28" t="n">
        <f aca="false">Resultatbudsjett!K7</f>
        <v>2100000</v>
      </c>
      <c r="L45" s="28" t="n">
        <f aca="false">Resultatbudsjett!L7</f>
        <v>2200000</v>
      </c>
      <c r="M45" s="28" t="n">
        <f aca="false">Resultatbudsjett!M7</f>
        <v>2300000</v>
      </c>
      <c r="N45" s="28" t="n">
        <f aca="false">Resultatbudsjett!N7</f>
        <v>2100000</v>
      </c>
    </row>
    <row r="46" customFormat="false" ht="15" hidden="false" customHeight="true" outlineLevel="0" collapsed="false">
      <c r="A46" s="20" t="s">
        <v>204</v>
      </c>
      <c r="B46" s="28" t="n">
        <f aca="false">SUM(C46:N46)</f>
        <v>30000000</v>
      </c>
      <c r="C46" s="28" t="n">
        <f aca="false">C45*(1+Resultatbudsjett!$B$16)</f>
        <v>2250000</v>
      </c>
      <c r="D46" s="28" t="n">
        <f aca="false">D45*(1+Resultatbudsjett!$B$16)</f>
        <v>2625000</v>
      </c>
      <c r="E46" s="28" t="n">
        <f aca="false">E45*(1+Resultatbudsjett!$B$16)</f>
        <v>2750000</v>
      </c>
      <c r="F46" s="28" t="n">
        <f aca="false">F45*(1+Resultatbudsjett!$B$16)</f>
        <v>2625000</v>
      </c>
      <c r="G46" s="28" t="n">
        <f aca="false">G45*(1+Resultatbudsjett!$B$16)</f>
        <v>2500000</v>
      </c>
      <c r="H46" s="28" t="n">
        <f aca="false">H45*(1+Resultatbudsjett!$B$16)</f>
        <v>2500000</v>
      </c>
      <c r="I46" s="28" t="n">
        <f aca="false">I45*(1+Resultatbudsjett!$B$16)</f>
        <v>1500000</v>
      </c>
      <c r="J46" s="28" t="n">
        <f aca="false">J45*(1+Resultatbudsjett!$B$16)</f>
        <v>2375000</v>
      </c>
      <c r="K46" s="28" t="n">
        <f aca="false">K45*(1+Resultatbudsjett!$B$16)</f>
        <v>2625000</v>
      </c>
      <c r="L46" s="28" t="n">
        <f aca="false">L45*(1+Resultatbudsjett!$B$16)</f>
        <v>2750000</v>
      </c>
      <c r="M46" s="28" t="n">
        <f aca="false">M45*(1+Resultatbudsjett!$B$16)</f>
        <v>2875000</v>
      </c>
      <c r="N46" s="28" t="n">
        <f aca="false">N45*(1+Resultatbudsjett!$B$16)</f>
        <v>2625000</v>
      </c>
      <c r="O46" s="20" t="s">
        <v>205</v>
      </c>
    </row>
    <row r="47" customFormat="false" ht="15" hidden="false" customHeight="true" outlineLevel="0" collapsed="false">
      <c r="A47" s="20" t="s">
        <v>206</v>
      </c>
      <c r="B47" s="28" t="n">
        <f aca="false">SUM(C47:N47)</f>
        <v>28250000</v>
      </c>
      <c r="C47" s="28" t="n">
        <f aca="false">C46*$B$9</f>
        <v>750000</v>
      </c>
      <c r="D47" s="28" t="n">
        <f aca="false">D46*$B$9+C46*$B$10</f>
        <v>2375000</v>
      </c>
      <c r="E47" s="28" t="n">
        <f aca="false">E46*$B$9+D46*$B$10+C46*$B$11</f>
        <v>2666666.66666667</v>
      </c>
      <c r="F47" s="28" t="n">
        <f aca="false">F46*$B$9+E46*$B$10+D46*$B$11</f>
        <v>2708333.33333333</v>
      </c>
      <c r="G47" s="28" t="n">
        <f aca="false">G46*$B$9+F46*$B$10+E46*$B$11</f>
        <v>2583333.33333333</v>
      </c>
      <c r="H47" s="28" t="n">
        <f aca="false">H46*$B$9+G46*$B$10+F46*$B$11</f>
        <v>2500000</v>
      </c>
      <c r="I47" s="28" t="n">
        <f aca="false">I46*$B$9+H46*$B$10+G46*$B$11</f>
        <v>2166666.66666667</v>
      </c>
      <c r="J47" s="28" t="n">
        <f aca="false">J46*$B$9+I46*$B$10+H46*$B$11</f>
        <v>1791666.66666667</v>
      </c>
      <c r="K47" s="28" t="n">
        <f aca="false">K46*$B$9+J46*$B$10+I46*$B$11</f>
        <v>2458333.33333333</v>
      </c>
      <c r="L47" s="28" t="n">
        <f aca="false">L46*$B$9+K46*$B$10+J46*$B$11</f>
        <v>2666666.66666667</v>
      </c>
      <c r="M47" s="28" t="n">
        <f aca="false">M46*$B$9+L46*$B$10+K46*$B$11</f>
        <v>2791666.66666667</v>
      </c>
      <c r="N47" s="28" t="n">
        <f aca="false">N46*$B$9+M46*$B$10+L46*$B$11</f>
        <v>2791666.66666667</v>
      </c>
    </row>
    <row r="48" customFormat="false" ht="15" hidden="false" customHeight="true" outlineLevel="0" collapsed="false">
      <c r="A48" s="20" t="s">
        <v>207</v>
      </c>
      <c r="B48" s="28" t="n">
        <f aca="false">SUM(C48:N48)</f>
        <v>4200000</v>
      </c>
      <c r="C48" s="28" t="n">
        <f aca="false">$B$19*$B$20</f>
        <v>2520000</v>
      </c>
      <c r="D48" s="28" t="n">
        <f aca="false">$B$19*(1-$B$20)</f>
        <v>1680000</v>
      </c>
      <c r="E48" s="28" t="n">
        <f aca="false">0</f>
        <v>0</v>
      </c>
      <c r="F48" s="28" t="n">
        <f aca="false">0</f>
        <v>0</v>
      </c>
      <c r="G48" s="28" t="n">
        <f aca="false">0</f>
        <v>0</v>
      </c>
      <c r="H48" s="28" t="n">
        <f aca="false">0</f>
        <v>0</v>
      </c>
      <c r="I48" s="28" t="n">
        <f aca="false">0</f>
        <v>0</v>
      </c>
      <c r="J48" s="28" t="n">
        <f aca="false">0</f>
        <v>0</v>
      </c>
      <c r="K48" s="28" t="n">
        <f aca="false">0</f>
        <v>0</v>
      </c>
      <c r="L48" s="28" t="n">
        <f aca="false">0</f>
        <v>0</v>
      </c>
      <c r="M48" s="28" t="n">
        <f aca="false">0</f>
        <v>0</v>
      </c>
      <c r="N48" s="28" t="n">
        <f aca="false">0</f>
        <v>0</v>
      </c>
    </row>
    <row r="49" customFormat="false" ht="15" hidden="false" customHeight="true" outlineLevel="0" collapsed="false">
      <c r="A49" s="20" t="s">
        <v>208</v>
      </c>
      <c r="B49" s="28" t="n">
        <f aca="false">SUM(C49:N49)</f>
        <v>56000</v>
      </c>
      <c r="C49" s="28" t="n">
        <f aca="false">IF(MOD(C44,3)=0,$B$27,0)</f>
        <v>0</v>
      </c>
      <c r="D49" s="28" t="n">
        <f aca="false">IF(MOD(D44,3)=0,$B$27,0)</f>
        <v>0</v>
      </c>
      <c r="E49" s="28" t="n">
        <f aca="false">IF(MOD(E44,3)=0,$B$27,0)</f>
        <v>14000</v>
      </c>
      <c r="F49" s="28" t="n">
        <f aca="false">IF(MOD(F44,3)=0,$B$27,0)</f>
        <v>0</v>
      </c>
      <c r="G49" s="28" t="n">
        <f aca="false">IF(MOD(G44,3)=0,$B$27,0)</f>
        <v>0</v>
      </c>
      <c r="H49" s="28" t="n">
        <f aca="false">IF(MOD(H44,3)=0,$B$27,0)</f>
        <v>14000</v>
      </c>
      <c r="I49" s="28" t="n">
        <f aca="false">IF(MOD(I44,3)=0,$B$27,0)</f>
        <v>0</v>
      </c>
      <c r="J49" s="28" t="n">
        <f aca="false">IF(MOD(J44,3)=0,$B$27,0)</f>
        <v>0</v>
      </c>
      <c r="K49" s="28" t="n">
        <f aca="false">IF(MOD(K44,3)=0,$B$27,0)</f>
        <v>14000</v>
      </c>
      <c r="L49" s="28" t="n">
        <f aca="false">IF(MOD(L44,3)=0,$B$27,0)</f>
        <v>0</v>
      </c>
      <c r="M49" s="28" t="n">
        <f aca="false">IF(MOD(M44,3)=0,$B$27,0)</f>
        <v>0</v>
      </c>
      <c r="N49" s="28" t="n">
        <f aca="false">IF(MOD(N44,3)=0,$B$27,0)</f>
        <v>14000</v>
      </c>
    </row>
    <row r="50" customFormat="false" ht="15" hidden="false" customHeight="true" outlineLevel="0" collapsed="false">
      <c r="A50" s="22" t="s">
        <v>209</v>
      </c>
      <c r="B50" s="25" t="n">
        <f aca="false">SUM(C50:N50)</f>
        <v>32506000</v>
      </c>
      <c r="C50" s="25" t="n">
        <f aca="false">SUM(C47:C49)</f>
        <v>3270000</v>
      </c>
      <c r="D50" s="25" t="n">
        <f aca="false">SUM(D47:D49)</f>
        <v>4055000</v>
      </c>
      <c r="E50" s="25" t="n">
        <f aca="false">SUM(E47:E49)</f>
        <v>2680666.66666667</v>
      </c>
      <c r="F50" s="25" t="n">
        <f aca="false">SUM(F47:F49)</f>
        <v>2708333.33333333</v>
      </c>
      <c r="G50" s="25" t="n">
        <f aca="false">SUM(G47:G49)</f>
        <v>2583333.33333333</v>
      </c>
      <c r="H50" s="25" t="n">
        <f aca="false">SUM(H47:H49)</f>
        <v>2514000</v>
      </c>
      <c r="I50" s="25" t="n">
        <f aca="false">SUM(I47:I49)</f>
        <v>2166666.66666667</v>
      </c>
      <c r="J50" s="25" t="n">
        <f aca="false">SUM(J47:J49)</f>
        <v>1791666.66666667</v>
      </c>
      <c r="K50" s="25" t="n">
        <f aca="false">SUM(K47:K49)</f>
        <v>2472333.33333333</v>
      </c>
      <c r="L50" s="25" t="n">
        <f aca="false">SUM(L47:L49)</f>
        <v>2666666.66666667</v>
      </c>
      <c r="M50" s="25" t="n">
        <f aca="false">SUM(M47:M49)</f>
        <v>2791666.66666667</v>
      </c>
      <c r="N50" s="25" t="n">
        <f aca="false">SUM(N47:N49)</f>
        <v>2805666.66666667</v>
      </c>
    </row>
    <row r="52" customFormat="false" ht="15" hidden="false" customHeight="true" outlineLevel="0" collapsed="false">
      <c r="A52" s="18" t="s">
        <v>210</v>
      </c>
    </row>
    <row r="53" customFormat="false" ht="15" hidden="false" customHeight="true" outlineLevel="0" collapsed="false">
      <c r="A53" s="20" t="s">
        <v>211</v>
      </c>
      <c r="B53" s="28" t="n">
        <f aca="false">SUM(C53:N53)</f>
        <v>9000000</v>
      </c>
      <c r="C53" s="28" t="n">
        <f aca="false">Resultatbudsjett!C9</f>
        <v>675000</v>
      </c>
      <c r="D53" s="28" t="n">
        <f aca="false">Resultatbudsjett!D9</f>
        <v>787500</v>
      </c>
      <c r="E53" s="28" t="n">
        <f aca="false">Resultatbudsjett!E9</f>
        <v>825000</v>
      </c>
      <c r="F53" s="28" t="n">
        <f aca="false">Resultatbudsjett!F9</f>
        <v>787500</v>
      </c>
      <c r="G53" s="28" t="n">
        <f aca="false">Resultatbudsjett!G9</f>
        <v>750000</v>
      </c>
      <c r="H53" s="28" t="n">
        <f aca="false">Resultatbudsjett!H9</f>
        <v>750000</v>
      </c>
      <c r="I53" s="28" t="n">
        <f aca="false">Resultatbudsjett!I9</f>
        <v>450000</v>
      </c>
      <c r="J53" s="28" t="n">
        <f aca="false">Resultatbudsjett!J9</f>
        <v>712500</v>
      </c>
      <c r="K53" s="28" t="n">
        <f aca="false">Resultatbudsjett!K9</f>
        <v>787500</v>
      </c>
      <c r="L53" s="28" t="n">
        <f aca="false">Resultatbudsjett!L9</f>
        <v>825000</v>
      </c>
      <c r="M53" s="28" t="n">
        <f aca="false">Resultatbudsjett!M9</f>
        <v>862500</v>
      </c>
      <c r="N53" s="28" t="n">
        <f aca="false">Resultatbudsjett!N9</f>
        <v>787500</v>
      </c>
    </row>
    <row r="54" customFormat="false" ht="15" hidden="false" customHeight="true" outlineLevel="0" collapsed="false">
      <c r="A54" s="20" t="s">
        <v>212</v>
      </c>
      <c r="B54" s="28" t="n">
        <f aca="false">SUM(C54:N54)</f>
        <v>11250000</v>
      </c>
      <c r="C54" s="28" t="n">
        <f aca="false">C53*(1+Resultatbudsjett!$B$16)</f>
        <v>843750</v>
      </c>
      <c r="D54" s="28" t="n">
        <f aca="false">D53*(1+Resultatbudsjett!$B$16)</f>
        <v>984375</v>
      </c>
      <c r="E54" s="28" t="n">
        <f aca="false">E53*(1+Resultatbudsjett!$B$16)</f>
        <v>1031250</v>
      </c>
      <c r="F54" s="28" t="n">
        <f aca="false">F53*(1+Resultatbudsjett!$B$16)</f>
        <v>984375</v>
      </c>
      <c r="G54" s="28" t="n">
        <f aca="false">G53*(1+Resultatbudsjett!$B$16)</f>
        <v>937500</v>
      </c>
      <c r="H54" s="28" t="n">
        <f aca="false">H53*(1+Resultatbudsjett!$B$16)</f>
        <v>937500</v>
      </c>
      <c r="I54" s="28" t="n">
        <f aca="false">I53*(1+Resultatbudsjett!$B$16)</f>
        <v>562500</v>
      </c>
      <c r="J54" s="28" t="n">
        <f aca="false">J53*(1+Resultatbudsjett!$B$16)</f>
        <v>890625</v>
      </c>
      <c r="K54" s="28" t="n">
        <f aca="false">K53*(1+Resultatbudsjett!$B$16)</f>
        <v>984375</v>
      </c>
      <c r="L54" s="28" t="n">
        <f aca="false">L53*(1+Resultatbudsjett!$B$16)</f>
        <v>1031250</v>
      </c>
      <c r="M54" s="28" t="n">
        <f aca="false">M53*(1+Resultatbudsjett!$B$16)</f>
        <v>1078125</v>
      </c>
      <c r="N54" s="28" t="n">
        <f aca="false">N53*(1+Resultatbudsjett!$B$16)</f>
        <v>984375</v>
      </c>
    </row>
    <row r="55" customFormat="false" ht="15" hidden="false" customHeight="true" outlineLevel="0" collapsed="false">
      <c r="A55" s="20" t="s">
        <v>213</v>
      </c>
      <c r="B55" s="28" t="n">
        <f aca="false">SUM(C55:N55)</f>
        <v>12365625</v>
      </c>
      <c r="C55" s="28" t="n">
        <f aca="false">C54*$B$13+$B$21</f>
        <v>2100000</v>
      </c>
      <c r="D55" s="28" t="n">
        <f aca="false">D54*$B$13+C54*$B$14</f>
        <v>843750</v>
      </c>
      <c r="E55" s="28" t="n">
        <f aca="false">E54*$B$13+D54*$B$14+C54*$B$15</f>
        <v>984375</v>
      </c>
      <c r="F55" s="28" t="n">
        <f aca="false">F54*$B$13+E54*$B$14+D54*$B$15</f>
        <v>1031250</v>
      </c>
      <c r="G55" s="28" t="n">
        <f aca="false">G54*$B$13+F54*$B$14+E54*$B$15</f>
        <v>984375</v>
      </c>
      <c r="H55" s="28" t="n">
        <f aca="false">H54*$B$13+G54*$B$14+F54*$B$15</f>
        <v>937500</v>
      </c>
      <c r="I55" s="28" t="n">
        <f aca="false">I54*$B$13+H54*$B$14+G54*$B$15</f>
        <v>937500</v>
      </c>
      <c r="J55" s="28" t="n">
        <f aca="false">J54*$B$13+I54*$B$14+H54*$B$15</f>
        <v>562500</v>
      </c>
      <c r="K55" s="28" t="n">
        <f aca="false">K54*$B$13+J54*$B$14+I54*$B$15</f>
        <v>890625</v>
      </c>
      <c r="L55" s="28" t="n">
        <f aca="false">L54*$B$13+K54*$B$14+J54*$B$15</f>
        <v>984375</v>
      </c>
      <c r="M55" s="28" t="n">
        <f aca="false">M54*$B$13+L54*$B$14+K54*$B$15</f>
        <v>1031250</v>
      </c>
      <c r="N55" s="28" t="n">
        <f aca="false">N54*$B$13+M54*$B$14+L54*$B$15</f>
        <v>1078125</v>
      </c>
      <c r="O55" s="20" t="s">
        <v>214</v>
      </c>
    </row>
    <row r="56" customFormat="false" ht="15" hidden="false" customHeight="true" outlineLevel="0" collapsed="false">
      <c r="A56" s="20" t="s">
        <v>215</v>
      </c>
      <c r="B56" s="28" t="n">
        <f aca="false">SUM(C56:N56)</f>
        <v>8400000</v>
      </c>
      <c r="C56" s="28" t="n">
        <f aca="false">Resultatbudsjett!$B$10</f>
        <v>700000</v>
      </c>
      <c r="D56" s="28" t="n">
        <f aca="false">Resultatbudsjett!$B$10</f>
        <v>700000</v>
      </c>
      <c r="E56" s="28" t="n">
        <f aca="false">Resultatbudsjett!$B$10</f>
        <v>700000</v>
      </c>
      <c r="F56" s="28" t="n">
        <f aca="false">Resultatbudsjett!$B$10</f>
        <v>700000</v>
      </c>
      <c r="G56" s="28" t="n">
        <f aca="false">Resultatbudsjett!$B$10</f>
        <v>700000</v>
      </c>
      <c r="H56" s="28" t="n">
        <f aca="false">Resultatbudsjett!$B$10</f>
        <v>700000</v>
      </c>
      <c r="I56" s="28" t="n">
        <f aca="false">Resultatbudsjett!$B$10</f>
        <v>700000</v>
      </c>
      <c r="J56" s="28" t="n">
        <f aca="false">Resultatbudsjett!$B$10</f>
        <v>700000</v>
      </c>
      <c r="K56" s="28" t="n">
        <f aca="false">Resultatbudsjett!$B$10</f>
        <v>700000</v>
      </c>
      <c r="L56" s="28" t="n">
        <f aca="false">Resultatbudsjett!$B$10</f>
        <v>700000</v>
      </c>
      <c r="M56" s="28" t="n">
        <f aca="false">Resultatbudsjett!$B$10</f>
        <v>700000</v>
      </c>
      <c r="N56" s="28" t="n">
        <f aca="false">Resultatbudsjett!$B$10</f>
        <v>700000</v>
      </c>
    </row>
    <row r="57" customFormat="false" ht="15" hidden="false" customHeight="true" outlineLevel="0" collapsed="false">
      <c r="A57" s="20" t="s">
        <v>216</v>
      </c>
      <c r="B57" s="28" t="n">
        <f aca="false">SUM(C57:N57)</f>
        <v>890000</v>
      </c>
      <c r="C57" s="28" t="n">
        <f aca="false">IF(C44=6,$B$24,0)</f>
        <v>0</v>
      </c>
      <c r="D57" s="28" t="n">
        <f aca="false">IF(D44=6,$B$24,0)</f>
        <v>0</v>
      </c>
      <c r="E57" s="28" t="n">
        <f aca="false">IF(E44=6,$B$24,0)</f>
        <v>0</v>
      </c>
      <c r="F57" s="28" t="n">
        <f aca="false">IF(F44=6,$B$24,0)</f>
        <v>0</v>
      </c>
      <c r="G57" s="28" t="n">
        <f aca="false">IF(G44=6,$B$24,0)</f>
        <v>0</v>
      </c>
      <c r="H57" s="28" t="n">
        <f aca="false">IF(H44=6,$B$24,0)</f>
        <v>890000</v>
      </c>
      <c r="I57" s="28" t="n">
        <f aca="false">IF(I44=6,$B$24,0)</f>
        <v>0</v>
      </c>
      <c r="J57" s="28" t="n">
        <f aca="false">IF(J44=6,$B$24,0)</f>
        <v>0</v>
      </c>
      <c r="K57" s="28" t="n">
        <f aca="false">IF(K44=6,$B$24,0)</f>
        <v>0</v>
      </c>
      <c r="L57" s="28" t="n">
        <f aca="false">IF(L44=6,$B$24,0)</f>
        <v>0</v>
      </c>
      <c r="M57" s="28" t="n">
        <f aca="false">IF(M44=6,$B$24,0)</f>
        <v>0</v>
      </c>
      <c r="N57" s="28" t="n">
        <f aca="false">IF(N44=6,$B$24,0)</f>
        <v>0</v>
      </c>
      <c r="O57" s="20" t="s">
        <v>217</v>
      </c>
    </row>
    <row r="58" customFormat="false" ht="15" hidden="false" customHeight="true" outlineLevel="0" collapsed="false">
      <c r="A58" s="20" t="s">
        <v>127</v>
      </c>
      <c r="B58" s="28" t="n">
        <f aca="false">SUM(C58:N58)</f>
        <v>1248490</v>
      </c>
      <c r="C58" s="28" t="n">
        <f aca="false">IF(C44=1,$B$22,0)+IF(AND(MOD(C44,2)=1,C44&gt;=3),2*Resultatbudsjett!$B$10*Resultatbudsjett!$B$12,0)+IF(C44=7,$B$24*Resultatbudsjett!$B$12,0)</f>
        <v>136000</v>
      </c>
      <c r="D58" s="28" t="n">
        <f aca="false">IF(D44=1,$B$22,0)+IF(AND(MOD(D44,2)=1,D44&gt;=3),2*Resultatbudsjett!$B$10*Resultatbudsjett!$B$12,0)+IF(D44=7,$B$24*Resultatbudsjett!$B$12,0)</f>
        <v>0</v>
      </c>
      <c r="E58" s="28" t="n">
        <f aca="false">IF(E44=1,$B$22,0)+IF(AND(MOD(E44,2)=1,E44&gt;=3),2*Resultatbudsjett!$B$10*Resultatbudsjett!$B$12,0)+IF(E44=7,$B$24*Resultatbudsjett!$B$12,0)</f>
        <v>197400</v>
      </c>
      <c r="F58" s="28" t="n">
        <f aca="false">IF(F44=1,$B$22,0)+IF(AND(MOD(F44,2)=1,F44&gt;=3),2*Resultatbudsjett!$B$10*Resultatbudsjett!$B$12,0)+IF(F44=7,$B$24*Resultatbudsjett!$B$12,0)</f>
        <v>0</v>
      </c>
      <c r="G58" s="28" t="n">
        <f aca="false">IF(G44=1,$B$22,0)+IF(AND(MOD(G44,2)=1,G44&gt;=3),2*Resultatbudsjett!$B$10*Resultatbudsjett!$B$12,0)+IF(G44=7,$B$24*Resultatbudsjett!$B$12,0)</f>
        <v>197400</v>
      </c>
      <c r="H58" s="28" t="n">
        <f aca="false">IF(H44=1,$B$22,0)+IF(AND(MOD(H44,2)=1,H44&gt;=3),2*Resultatbudsjett!$B$10*Resultatbudsjett!$B$12,0)+IF(H44=7,$B$24*Resultatbudsjett!$B$12,0)</f>
        <v>0</v>
      </c>
      <c r="I58" s="28" t="n">
        <f aca="false">IF(I44=1,$B$22,0)+IF(AND(MOD(I44,2)=1,I44&gt;=3),2*Resultatbudsjett!$B$10*Resultatbudsjett!$B$12,0)+IF(I44=7,$B$24*Resultatbudsjett!$B$12,0)</f>
        <v>322890</v>
      </c>
      <c r="J58" s="28" t="n">
        <f aca="false">IF(J44=1,$B$22,0)+IF(AND(MOD(J44,2)=1,J44&gt;=3),2*Resultatbudsjett!$B$10*Resultatbudsjett!$B$12,0)+IF(J44=7,$B$24*Resultatbudsjett!$B$12,0)</f>
        <v>0</v>
      </c>
      <c r="K58" s="28" t="n">
        <f aca="false">IF(K44=1,$B$22,0)+IF(AND(MOD(K44,2)=1,K44&gt;=3),2*Resultatbudsjett!$B$10*Resultatbudsjett!$B$12,0)+IF(K44=7,$B$24*Resultatbudsjett!$B$12,0)</f>
        <v>197400</v>
      </c>
      <c r="L58" s="28" t="n">
        <f aca="false">IF(L44=1,$B$22,0)+IF(AND(MOD(L44,2)=1,L44&gt;=3),2*Resultatbudsjett!$B$10*Resultatbudsjett!$B$12,0)+IF(L44=7,$B$24*Resultatbudsjett!$B$12,0)</f>
        <v>0</v>
      </c>
      <c r="M58" s="28" t="n">
        <f aca="false">IF(M44=1,$B$22,0)+IF(AND(MOD(M44,2)=1,M44&gt;=3),2*Resultatbudsjett!$B$10*Resultatbudsjett!$B$12,0)+IF(M44=7,$B$24*Resultatbudsjett!$B$12,0)</f>
        <v>197400</v>
      </c>
      <c r="N58" s="28" t="n">
        <f aca="false">IF(N44=1,$B$22,0)+IF(AND(MOD(N44,2)=1,N44&gt;=3),2*Resultatbudsjett!$B$10*Resultatbudsjett!$B$12,0)+IF(N44=7,$B$24*Resultatbudsjett!$B$12,0)</f>
        <v>0</v>
      </c>
      <c r="O58" s="20" t="s">
        <v>218</v>
      </c>
    </row>
    <row r="59" customFormat="false" ht="15" hidden="false" customHeight="true" outlineLevel="0" collapsed="false">
      <c r="A59" s="20" t="s">
        <v>219</v>
      </c>
      <c r="B59" s="28" t="n">
        <f aca="false">SUM(C59:N59)</f>
        <v>3694000</v>
      </c>
      <c r="C59" s="28" t="n">
        <f aca="false">IF(C44=2,$B$23,0)+SUMIF($F$36:$F$40,C44,$E$36:$E$40)</f>
        <v>0</v>
      </c>
      <c r="D59" s="28" t="n">
        <f aca="false">IF(D44=2,$B$23,0)+SUMIF($F$36:$F$40,D44,$E$36:$E$40)</f>
        <v>1064000</v>
      </c>
      <c r="E59" s="28" t="n">
        <f aca="false">IF(E44=2,$B$23,0)+SUMIF($F$36:$F$40,E44,$E$36:$E$40)</f>
        <v>0</v>
      </c>
      <c r="F59" s="28" t="n">
        <f aca="false">IF(F44=2,$B$23,0)+SUMIF($F$36:$F$40,F44,$E$36:$E$40)</f>
        <v>546875</v>
      </c>
      <c r="G59" s="28" t="n">
        <f aca="false">IF(G44=2,$B$23,0)+SUMIF($F$36:$F$40,G44,$E$36:$E$40)</f>
        <v>0</v>
      </c>
      <c r="H59" s="28" t="n">
        <f aca="false">IF(H44=2,$B$23,0)+SUMIF($F$36:$F$40,H44,$E$36:$E$40)</f>
        <v>489375</v>
      </c>
      <c r="I59" s="28" t="n">
        <f aca="false">IF(I44=2,$B$23,0)+SUMIF($F$36:$F$40,I44,$E$36:$E$40)</f>
        <v>0</v>
      </c>
      <c r="J59" s="28" t="n">
        <f aca="false">IF(J44=2,$B$23,0)+SUMIF($F$36:$F$40,J44,$E$36:$E$40)</f>
        <v>562500</v>
      </c>
      <c r="K59" s="28" t="n">
        <f aca="false">IF(K44=2,$B$23,0)+SUMIF($F$36:$F$40,K44,$E$36:$E$40)</f>
        <v>0</v>
      </c>
      <c r="L59" s="28" t="n">
        <f aca="false">IF(L44=2,$B$23,0)+SUMIF($F$36:$F$40,L44,$E$36:$E$40)</f>
        <v>421875</v>
      </c>
      <c r="M59" s="28" t="n">
        <f aca="false">IF(M44=2,$B$23,0)+SUMIF($F$36:$F$40,M44,$E$36:$E$40)</f>
        <v>0</v>
      </c>
      <c r="N59" s="28" t="n">
        <f aca="false">IF(N44=2,$B$23,0)+SUMIF($F$36:$F$40,N44,$E$36:$E$40)</f>
        <v>609375</v>
      </c>
      <c r="O59" s="20" t="s">
        <v>220</v>
      </c>
    </row>
    <row r="60" customFormat="false" ht="15" hidden="false" customHeight="true" outlineLevel="0" collapsed="false">
      <c r="A60" s="20" t="s">
        <v>221</v>
      </c>
      <c r="B60" s="28" t="n">
        <f aca="false">SUM(C60:N60)</f>
        <v>1875000</v>
      </c>
      <c r="C60" s="28" t="n">
        <f aca="false">Resultatbudsjett!$B$15/12*(1+Resultatbudsjett!$B$16)</f>
        <v>156250</v>
      </c>
      <c r="D60" s="28" t="n">
        <f aca="false">Resultatbudsjett!$B$15/12*(1+Resultatbudsjett!$B$16)</f>
        <v>156250</v>
      </c>
      <c r="E60" s="28" t="n">
        <f aca="false">Resultatbudsjett!$B$15/12*(1+Resultatbudsjett!$B$16)</f>
        <v>156250</v>
      </c>
      <c r="F60" s="28" t="n">
        <f aca="false">Resultatbudsjett!$B$15/12*(1+Resultatbudsjett!$B$16)</f>
        <v>156250</v>
      </c>
      <c r="G60" s="28" t="n">
        <f aca="false">Resultatbudsjett!$B$15/12*(1+Resultatbudsjett!$B$16)</f>
        <v>156250</v>
      </c>
      <c r="H60" s="28" t="n">
        <f aca="false">Resultatbudsjett!$B$15/12*(1+Resultatbudsjett!$B$16)</f>
        <v>156250</v>
      </c>
      <c r="I60" s="28" t="n">
        <f aca="false">Resultatbudsjett!$B$15/12*(1+Resultatbudsjett!$B$16)</f>
        <v>156250</v>
      </c>
      <c r="J60" s="28" t="n">
        <f aca="false">Resultatbudsjett!$B$15/12*(1+Resultatbudsjett!$B$16)</f>
        <v>156250</v>
      </c>
      <c r="K60" s="28" t="n">
        <f aca="false">Resultatbudsjett!$B$15/12*(1+Resultatbudsjett!$B$16)</f>
        <v>156250</v>
      </c>
      <c r="L60" s="28" t="n">
        <f aca="false">Resultatbudsjett!$B$15/12*(1+Resultatbudsjett!$B$16)</f>
        <v>156250</v>
      </c>
      <c r="M60" s="28" t="n">
        <f aca="false">Resultatbudsjett!$B$15/12*(1+Resultatbudsjett!$B$16)</f>
        <v>156250</v>
      </c>
      <c r="N60" s="28" t="n">
        <f aca="false">Resultatbudsjett!$B$15/12*(1+Resultatbudsjett!$B$16)</f>
        <v>156250</v>
      </c>
    </row>
    <row r="61" customFormat="false" ht="15" hidden="false" customHeight="true" outlineLevel="0" collapsed="false">
      <c r="A61" s="20" t="s">
        <v>222</v>
      </c>
      <c r="B61" s="28" t="n">
        <f aca="false">SUM(C61:N61)</f>
        <v>770000</v>
      </c>
      <c r="C61" s="28" t="n">
        <f aca="false">IF(MOD(C44,3)=0,$B$26,0)</f>
        <v>0</v>
      </c>
      <c r="D61" s="28" t="n">
        <f aca="false">IF(MOD(D44,3)=0,$B$26,0)</f>
        <v>0</v>
      </c>
      <c r="E61" s="28" t="n">
        <f aca="false">IF(MOD(E44,3)=0,$B$26,0)</f>
        <v>192500</v>
      </c>
      <c r="F61" s="28" t="n">
        <f aca="false">IF(MOD(F44,3)=0,$B$26,0)</f>
        <v>0</v>
      </c>
      <c r="G61" s="28" t="n">
        <f aca="false">IF(MOD(G44,3)=0,$B$26,0)</f>
        <v>0</v>
      </c>
      <c r="H61" s="28" t="n">
        <f aca="false">IF(MOD(H44,3)=0,$B$26,0)</f>
        <v>192500</v>
      </c>
      <c r="I61" s="28" t="n">
        <f aca="false">IF(MOD(I44,3)=0,$B$26,0)</f>
        <v>0</v>
      </c>
      <c r="J61" s="28" t="n">
        <f aca="false">IF(MOD(J44,3)=0,$B$26,0)</f>
        <v>0</v>
      </c>
      <c r="K61" s="28" t="n">
        <f aca="false">IF(MOD(K44,3)=0,$B$26,0)</f>
        <v>192500</v>
      </c>
      <c r="L61" s="28" t="n">
        <f aca="false">IF(MOD(L44,3)=0,$B$26,0)</f>
        <v>0</v>
      </c>
      <c r="M61" s="28" t="n">
        <f aca="false">IF(MOD(M44,3)=0,$B$26,0)</f>
        <v>0</v>
      </c>
      <c r="N61" s="28" t="n">
        <f aca="false">IF(MOD(N44,3)=0,$B$26,0)</f>
        <v>192500</v>
      </c>
      <c r="O61" s="20" t="s">
        <v>223</v>
      </c>
    </row>
    <row r="62" customFormat="false" ht="15" hidden="false" customHeight="true" outlineLevel="0" collapsed="false">
      <c r="A62" s="20" t="s">
        <v>224</v>
      </c>
      <c r="B62" s="28" t="n">
        <f aca="false">SUM(C62:N62)</f>
        <v>256850</v>
      </c>
      <c r="C62" s="28" t="n">
        <f aca="false">IF(OR(C44=2,C44=4),$B$25/2,0)</f>
        <v>0</v>
      </c>
      <c r="D62" s="28" t="n">
        <f aca="false">IF(OR(D44=2,D44=4),$B$25/2,0)</f>
        <v>128425</v>
      </c>
      <c r="E62" s="28" t="n">
        <f aca="false">IF(OR(E44=2,E44=4),$B$25/2,0)</f>
        <v>0</v>
      </c>
      <c r="F62" s="28" t="n">
        <f aca="false">IF(OR(F44=2,F44=4),$B$25/2,0)</f>
        <v>128425</v>
      </c>
      <c r="G62" s="28" t="n">
        <f aca="false">IF(OR(G44=2,G44=4),$B$25/2,0)</f>
        <v>0</v>
      </c>
      <c r="H62" s="28" t="n">
        <f aca="false">IF(OR(H44=2,H44=4),$B$25/2,0)</f>
        <v>0</v>
      </c>
      <c r="I62" s="28" t="n">
        <f aca="false">IF(OR(I44=2,I44=4),$B$25/2,0)</f>
        <v>0</v>
      </c>
      <c r="J62" s="28" t="n">
        <f aca="false">IF(OR(J44=2,J44=4),$B$25/2,0)</f>
        <v>0</v>
      </c>
      <c r="K62" s="28" t="n">
        <f aca="false">IF(OR(K44=2,K44=4),$B$25/2,0)</f>
        <v>0</v>
      </c>
      <c r="L62" s="28" t="n">
        <f aca="false">IF(OR(L44=2,L44=4),$B$25/2,0)</f>
        <v>0</v>
      </c>
      <c r="M62" s="28" t="n">
        <f aca="false">IF(OR(M44=2,M44=4),$B$25/2,0)</f>
        <v>0</v>
      </c>
      <c r="N62" s="28" t="n">
        <f aca="false">IF(OR(N44=2,N44=4),$B$25/2,0)</f>
        <v>0</v>
      </c>
    </row>
    <row r="63" customFormat="false" ht="15" hidden="false" customHeight="true" outlineLevel="0" collapsed="false">
      <c r="A63" s="20" t="s">
        <v>225</v>
      </c>
      <c r="B63" s="28" t="n">
        <f aca="false">SUM(C63:N63)</f>
        <v>600000</v>
      </c>
      <c r="C63" s="28" t="n">
        <f aca="false">IF(C44=$B$29,$B$28*(1+Resultatbudsjett!$B$16),0)</f>
        <v>0</v>
      </c>
      <c r="D63" s="28" t="n">
        <f aca="false">IF(D44=$B$29,$B$28*(1+Resultatbudsjett!$B$16),0)</f>
        <v>0</v>
      </c>
      <c r="E63" s="28" t="n">
        <f aca="false">IF(E44=$B$29,$B$28*(1+Resultatbudsjett!$B$16),0)</f>
        <v>600000</v>
      </c>
      <c r="F63" s="28" t="n">
        <f aca="false">IF(F44=$B$29,$B$28*(1+Resultatbudsjett!$B$16),0)</f>
        <v>0</v>
      </c>
      <c r="G63" s="28" t="n">
        <f aca="false">IF(G44=$B$29,$B$28*(1+Resultatbudsjett!$B$16),0)</f>
        <v>0</v>
      </c>
      <c r="H63" s="28" t="n">
        <f aca="false">IF(H44=$B$29,$B$28*(1+Resultatbudsjett!$B$16),0)</f>
        <v>0</v>
      </c>
      <c r="I63" s="28" t="n">
        <f aca="false">IF(I44=$B$29,$B$28*(1+Resultatbudsjett!$B$16),0)</f>
        <v>0</v>
      </c>
      <c r="J63" s="28" t="n">
        <f aca="false">IF(J44=$B$29,$B$28*(1+Resultatbudsjett!$B$16),0)</f>
        <v>0</v>
      </c>
      <c r="K63" s="28" t="n">
        <f aca="false">IF(K44=$B$29,$B$28*(1+Resultatbudsjett!$B$16),0)</f>
        <v>0</v>
      </c>
      <c r="L63" s="28" t="n">
        <f aca="false">IF(L44=$B$29,$B$28*(1+Resultatbudsjett!$B$16),0)</f>
        <v>0</v>
      </c>
      <c r="M63" s="28" t="n">
        <f aca="false">IF(M44=$B$29,$B$28*(1+Resultatbudsjett!$B$16),0)</f>
        <v>0</v>
      </c>
      <c r="N63" s="28" t="n">
        <f aca="false">IF(N44=$B$29,$B$28*(1+Resultatbudsjett!$B$16),0)</f>
        <v>0</v>
      </c>
    </row>
    <row r="64" customFormat="false" ht="15" hidden="false" customHeight="true" outlineLevel="0" collapsed="false">
      <c r="A64" s="22" t="s">
        <v>226</v>
      </c>
      <c r="B64" s="25" t="n">
        <f aca="false">SUM(C64:N64)</f>
        <v>30099965</v>
      </c>
      <c r="C64" s="25" t="n">
        <f aca="false">SUM(C55:C63)</f>
        <v>3092250</v>
      </c>
      <c r="D64" s="25" t="n">
        <f aca="false">SUM(D55:D63)</f>
        <v>2892425</v>
      </c>
      <c r="E64" s="25" t="n">
        <f aca="false">SUM(E55:E63)</f>
        <v>2830525</v>
      </c>
      <c r="F64" s="25" t="n">
        <f aca="false">SUM(F55:F63)</f>
        <v>2562800</v>
      </c>
      <c r="G64" s="25" t="n">
        <f aca="false">SUM(G55:G63)</f>
        <v>2038025</v>
      </c>
      <c r="H64" s="25" t="n">
        <f aca="false">SUM(H55:H63)</f>
        <v>3365625</v>
      </c>
      <c r="I64" s="25" t="n">
        <f aca="false">SUM(I55:I63)</f>
        <v>2116640</v>
      </c>
      <c r="J64" s="25" t="n">
        <f aca="false">SUM(J55:J63)</f>
        <v>1981250</v>
      </c>
      <c r="K64" s="25" t="n">
        <f aca="false">SUM(K55:K63)</f>
        <v>2136775</v>
      </c>
      <c r="L64" s="25" t="n">
        <f aca="false">SUM(L55:L63)</f>
        <v>2262500</v>
      </c>
      <c r="M64" s="25" t="n">
        <f aca="false">SUM(M55:M63)</f>
        <v>2084900</v>
      </c>
      <c r="N64" s="25" t="n">
        <f aca="false">SUM(N55:N63)</f>
        <v>2736250</v>
      </c>
    </row>
    <row r="66" customFormat="false" ht="15" hidden="false" customHeight="true" outlineLevel="0" collapsed="false">
      <c r="A66" s="18" t="s">
        <v>227</v>
      </c>
    </row>
    <row r="67" customFormat="false" ht="15" hidden="false" customHeight="true" outlineLevel="0" collapsed="false">
      <c r="A67" s="20" t="s">
        <v>228</v>
      </c>
      <c r="C67" s="28" t="n">
        <f aca="false">$B$18</f>
        <v>982650</v>
      </c>
      <c r="D67" s="28" t="n">
        <f aca="false">C69</f>
        <v>1160400</v>
      </c>
      <c r="E67" s="28" t="n">
        <f aca="false">D69</f>
        <v>2322975</v>
      </c>
      <c r="F67" s="28" t="n">
        <f aca="false">E69</f>
        <v>2173116.66666667</v>
      </c>
      <c r="G67" s="28" t="n">
        <f aca="false">F69</f>
        <v>2318650</v>
      </c>
      <c r="H67" s="28" t="n">
        <f aca="false">G69</f>
        <v>2863958.33333333</v>
      </c>
      <c r="I67" s="28" t="n">
        <f aca="false">H69</f>
        <v>2012333.33333333</v>
      </c>
      <c r="J67" s="28" t="n">
        <f aca="false">I69</f>
        <v>2062360</v>
      </c>
      <c r="K67" s="28" t="n">
        <f aca="false">J69</f>
        <v>1872776.66666667</v>
      </c>
      <c r="L67" s="28" t="n">
        <f aca="false">K69</f>
        <v>2208335</v>
      </c>
      <c r="M67" s="28" t="n">
        <f aca="false">L69</f>
        <v>2612501.66666667</v>
      </c>
      <c r="N67" s="28" t="n">
        <f aca="false">M69</f>
        <v>3319268.33333333</v>
      </c>
    </row>
    <row r="68" customFormat="false" ht="15" hidden="false" customHeight="true" outlineLevel="0" collapsed="false">
      <c r="A68" s="20" t="s">
        <v>229</v>
      </c>
      <c r="B68" s="28" t="n">
        <f aca="false">SUM(C68:N68)</f>
        <v>2406035</v>
      </c>
      <c r="C68" s="28" t="n">
        <f aca="false">C50-C64</f>
        <v>177750</v>
      </c>
      <c r="D68" s="28" t="n">
        <f aca="false">D50-D64</f>
        <v>1162575</v>
      </c>
      <c r="E68" s="28" t="n">
        <f aca="false">E50-E64</f>
        <v>-149858.333333334</v>
      </c>
      <c r="F68" s="28" t="n">
        <f aca="false">F50-F64</f>
        <v>145533.333333333</v>
      </c>
      <c r="G68" s="28" t="n">
        <f aca="false">G50-G64</f>
        <v>545308.333333333</v>
      </c>
      <c r="H68" s="28" t="n">
        <f aca="false">H50-H64</f>
        <v>-851625</v>
      </c>
      <c r="I68" s="28" t="n">
        <f aca="false">I50-I64</f>
        <v>50026.6666666665</v>
      </c>
      <c r="J68" s="28" t="n">
        <f aca="false">J50-J64</f>
        <v>-189583.333333334</v>
      </c>
      <c r="K68" s="28" t="n">
        <f aca="false">K50-K64</f>
        <v>335558.333333333</v>
      </c>
      <c r="L68" s="28" t="n">
        <f aca="false">L50-L64</f>
        <v>404166.666666667</v>
      </c>
      <c r="M68" s="28" t="n">
        <f aca="false">M50-M64</f>
        <v>706766.666666667</v>
      </c>
      <c r="N68" s="28" t="n">
        <f aca="false">N50-N64</f>
        <v>69416.6666666665</v>
      </c>
    </row>
    <row r="69" customFormat="false" ht="15" hidden="false" customHeight="true" outlineLevel="0" collapsed="false">
      <c r="A69" s="22" t="s">
        <v>230</v>
      </c>
      <c r="C69" s="25" t="n">
        <f aca="false">C67+C68</f>
        <v>1160400</v>
      </c>
      <c r="D69" s="25" t="n">
        <f aca="false">D67+D68</f>
        <v>2322975</v>
      </c>
      <c r="E69" s="25" t="n">
        <f aca="false">E67+E68</f>
        <v>2173116.66666667</v>
      </c>
      <c r="F69" s="25" t="n">
        <f aca="false">F67+F68</f>
        <v>2318650</v>
      </c>
      <c r="G69" s="25" t="n">
        <f aca="false">G67+G68</f>
        <v>2863958.33333333</v>
      </c>
      <c r="H69" s="25" t="n">
        <f aca="false">H67+H68</f>
        <v>2012333.33333333</v>
      </c>
      <c r="I69" s="25" t="n">
        <f aca="false">I67+I68</f>
        <v>2062360</v>
      </c>
      <c r="J69" s="25" t="n">
        <f aca="false">J67+J68</f>
        <v>1872776.66666667</v>
      </c>
      <c r="K69" s="25" t="n">
        <f aca="false">K67+K68</f>
        <v>2208335</v>
      </c>
      <c r="L69" s="25" t="n">
        <f aca="false">L67+L68</f>
        <v>2612501.66666667</v>
      </c>
      <c r="M69" s="25" t="n">
        <f aca="false">M67+M68</f>
        <v>3319268.33333333</v>
      </c>
      <c r="N69" s="25" t="n">
        <f aca="false">N67+N68</f>
        <v>3388685</v>
      </c>
    </row>
    <row r="70" customFormat="false" ht="15" hidden="false" customHeight="true" outlineLevel="0" collapsed="false">
      <c r="A70" s="20" t="s">
        <v>231</v>
      </c>
      <c r="C70" s="28" t="n">
        <f aca="false">MAX(0,-C69)</f>
        <v>0</v>
      </c>
      <c r="D70" s="28" t="n">
        <f aca="false">MAX(0,-D69)</f>
        <v>0</v>
      </c>
      <c r="E70" s="28" t="n">
        <f aca="false">MAX(0,-E69)</f>
        <v>0</v>
      </c>
      <c r="F70" s="28" t="n">
        <f aca="false">MAX(0,-F69)</f>
        <v>0</v>
      </c>
      <c r="G70" s="28" t="n">
        <f aca="false">MAX(0,-G69)</f>
        <v>0</v>
      </c>
      <c r="H70" s="28" t="n">
        <f aca="false">MAX(0,-H69)</f>
        <v>0</v>
      </c>
      <c r="I70" s="28" t="n">
        <f aca="false">MAX(0,-I69)</f>
        <v>0</v>
      </c>
      <c r="J70" s="28" t="n">
        <f aca="false">MAX(0,-J69)</f>
        <v>0</v>
      </c>
      <c r="K70" s="28" t="n">
        <f aca="false">MAX(0,-K69)</f>
        <v>0</v>
      </c>
      <c r="L70" s="28" t="n">
        <f aca="false">MAX(0,-L69)</f>
        <v>0</v>
      </c>
      <c r="M70" s="28" t="n">
        <f aca="false">MAX(0,-M69)</f>
        <v>0</v>
      </c>
      <c r="N70" s="28" t="n">
        <f aca="false">MAX(0,-N69)</f>
        <v>0</v>
      </c>
    </row>
    <row r="72" customFormat="false" ht="15" hidden="false" customHeight="true" outlineLevel="0" collapsed="false">
      <c r="A72" s="18" t="s">
        <v>232</v>
      </c>
    </row>
    <row r="73" customFormat="false" ht="15" hidden="false" customHeight="true" outlineLevel="0" collapsed="false">
      <c r="A73" s="22" t="s">
        <v>233</v>
      </c>
      <c r="B73" s="25" t="n">
        <f aca="false">MIN(C69:N69)</f>
        <v>1160400</v>
      </c>
    </row>
    <row r="74" customFormat="false" ht="15" hidden="false" customHeight="true" outlineLevel="0" collapsed="false">
      <c r="A74" s="20" t="s">
        <v>234</v>
      </c>
      <c r="B74" s="33" t="str">
        <f aca="false">INDEX($C$43:$N$43,MATCH(MIN(C69:N69),C69:N69,0))</f>
        <v>Jan</v>
      </c>
    </row>
    <row r="75" customFormat="false" ht="15" hidden="false" customHeight="true" outlineLevel="0" collapsed="false">
      <c r="A75" s="20" t="s">
        <v>235</v>
      </c>
      <c r="B75" s="24" t="n">
        <f aca="false">COUNTIF(C69:N69,"&lt;0")</f>
        <v>0</v>
      </c>
    </row>
    <row r="76" customFormat="false" ht="15" hidden="false" customHeight="true" outlineLevel="0" collapsed="false">
      <c r="A76" s="20" t="s">
        <v>236</v>
      </c>
      <c r="B76" s="28" t="n">
        <f aca="false">MAX(C70:N70)</f>
        <v>0</v>
      </c>
    </row>
    <row ht="27" customHeight="true" r="77" customFormat="false" hidden="false" outlineLevel="0" collapsed="false">
      <c s="37" r="A77" t="s">
        <v>237</v>
      </c>
      <c r="B77" s="28" t="n">
        <f aca="false">B76+B31</f>
        <v>300000</v>
      </c>
    </row>
    <row r="78" customFormat="false" ht="15" hidden="false" customHeight="true" outlineLevel="0" collapsed="false">
      <c r="A78" s="20" t="s">
        <v>238</v>
      </c>
      <c r="B78" s="29" t="n">
        <f aca="false">B77/B30</f>
        <v>0.2</v>
      </c>
    </row>
    <row r="79" customFormat="false" ht="15" hidden="false" customHeight="true" outlineLevel="0" collapsed="false">
      <c r="A79" s="20" t="s">
        <v>239</v>
      </c>
      <c r="B79" s="28" t="n">
        <f aca="false">SUM(C70:N70)/12*B32</f>
        <v>0</v>
      </c>
      <c r="O79" s="20" t="s">
        <v>240</v>
      </c>
    </row>
    <row r="80" customFormat="false" ht="15" hidden="false" customHeight="true" outlineLevel="0" collapsed="false">
      <c r="A80" s="20" t="s">
        <v>241</v>
      </c>
      <c r="B80" s="28" t="n">
        <f aca="false">Resultatbudsjett!B25</f>
        <v>2085472</v>
      </c>
      <c r="O80" s="20" t="s">
        <v>242</v>
      </c>
    </row>
    <row r="82" customFormat="false" ht="15" hidden="false" customHeight="true" outlineLevel="0" collapsed="false">
      <c r="A82" s="18" t="s">
        <v>147</v>
      </c>
    </row>
    <row r="83" customFormat="false" ht="15" hidden="false" customHeight="true" outlineLevel="0" collapsed="false">
      <c r="A83" s="20" t="s">
        <v>243</v>
      </c>
      <c r="B83" s="31" t="str">
        <f aca="false">IF(AND(ABS(B9+B10+B11-1)&lt;0.0001,ABS(B13+B14+B15-1)&lt;0.0001),"OK — alt salg og alle varekjøp blir betalt til slutt","AVVIK: andelene summerer seg ikke til hundre prosent — kredittiden må ligge mellom 0 og 60 dager")</f>
        <v>OK — alt salg og alle varekjøp blir betalt til slutt</v>
      </c>
    </row>
    <row r="84" customFormat="false" ht="15" hidden="false" customHeight="true" outlineLevel="0" collapsed="false">
      <c r="A84" s="20" t="s">
        <v>244</v>
      </c>
      <c r="B84" s="31" t="str">
        <f aca="false">IF(B47&lt;=B46+1,"OK — innbetalingene overstiger ikke det som er fakturert","AVVIK: mer er innbetalt enn fakturert")</f>
        <v>OK — innbetalingene overstiger ikke det som er fakturert</v>
      </c>
    </row>
    <row r="85" customFormat="false" ht="15" hidden="false" customHeight="true" outlineLevel="0" collapsed="false">
      <c r="A85" s="20" t="s">
        <v>245</v>
      </c>
      <c r="B85" s="31" t="str">
        <f aca="false">IF(ABS(N69-(B18+SUM(C68:N68)))&lt;1,"OK — utgående beholdning er inngående pluss alle endringene","AVVIK: beholdningen henger ikke sammen")</f>
        <v>OK — utgående beholdning er inngående pluss alle endringene</v>
      </c>
    </row>
    <row ht="27" customHeight="true" r="86" customFormat="false" hidden="false" outlineLevel="0" collapsed="false">
      <c s="37" r="A86" t="s">
        <v>246</v>
      </c>
      <c r="B86" s="31" t="str">
        <f aca="false">IF(B77&lt;=B30,"OK — trekket holder seg innenfor rammen, men se hvor mye av den som er brukt opp i B78","AVVIK: rammen sprenges — banken må kontaktes FØR det skjer, ikke etter")</f>
        <v>OK — trekket holder seg innenfor rammen, men se hvor mye av den som er brukt opp i B78</v>
      </c>
    </row>
    <row r="87" customFormat="false" ht="15" hidden="false" customHeight="true" outlineLevel="0" collapsed="false">
      <c r="A87" s="20" t="s">
        <v>247</v>
      </c>
      <c r="B87" s="31" t="str">
        <f aca="false">IF(ABS(B80-Resultatbudsjett!B25)&lt;1,"OK — driftsresultatet står stille uansett hva du setter i B5. Resultat og likviditet er to ulike spørsmål","AVVIK: her er noe koblet feil")</f>
        <v>OK — driftsresultatet står stille uansett hva du setter i B5. Resultat og likviditet er to ulike spørsmål</v>
      </c>
    </row>
    <row r="89" customFormat="false" ht="15" hidden="false" customHeight="true" outlineLevel="0" collapsed="false">
      <c r="A89" s="22" t="s">
        <v>248</v>
      </c>
    </row>
    <row r="90" customFormat="false" ht="15" hidden="false" customHeight="true" outlineLevel="0" collapsed="false">
      <c r="A90" s="17" t="s">
        <v>249</v>
      </c>
    </row>
  </sheetData>
  <conditionalFormatting sqref="B83">
    <cfRule type="expression" priority="2" aboveAverage="0" equalAverage="0" bottom="0" percent="0" rank="0" text="" dxfId="0">
      <formula>LEFT(B83,5)="AVVIK"</formula>
    </cfRule>
  </conditionalFormatting>
  <conditionalFormatting sqref="B84">
    <cfRule type="expression" priority="3" aboveAverage="0" equalAverage="0" bottom="0" percent="0" rank="0" text="" dxfId="0">
      <formula>LEFT(B84,5)="AVVIK"</formula>
    </cfRule>
  </conditionalFormatting>
  <conditionalFormatting sqref="B85">
    <cfRule type="expression" priority="4" aboveAverage="0" equalAverage="0" bottom="0" percent="0" rank="0" text="" dxfId="0">
      <formula>LEFT(B85,5)="AVVIK"</formula>
    </cfRule>
  </conditionalFormatting>
  <conditionalFormatting sqref="B86">
    <cfRule type="expression" priority="5" aboveAverage="0" equalAverage="0" bottom="0" percent="0" rank="0" text="" dxfId="0">
      <formula>LEFT(B86,5)="AVVIK"</formula>
    </cfRule>
  </conditionalFormatting>
  <conditionalFormatting sqref="B87">
    <cfRule type="expression" priority="6" aboveAverage="0" equalAverage="0" bottom="0" percent="0" rank="0" text="" dxfId="0">
      <formula>LEFT(B87,5)="AVVIK"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7"/>
    <col collapsed="false" customWidth="true" hidden="false" outlineLevel="0" max="5" min="5" style="1" width="13"/>
    <col collapsed="false" customWidth="true" hidden="false" outlineLevel="0" max="7" min="6" style="1" width="15"/>
    <col collapsed="false" customWidth="true" hidden="false" outlineLevel="0" max="8" min="8" style="1" width="48"/>
  </cols>
  <sheetData>
    <row r="1" customFormat="false" ht="17.25" hidden="false" customHeight="true" outlineLevel="0" collapsed="false">
      <c r="A1" s="2" t="s">
        <v>250</v>
      </c>
    </row>
    <row r="2" customFormat="false" ht="15" hidden="false" customHeight="true" outlineLevel="0" collapsed="false">
      <c r="A2" s="16" t="s">
        <v>251</v>
      </c>
    </row>
    <row ht="39.75" customHeight="true" r="5" customFormat="false" hidden="false" outlineLevel="0" collapsed="false">
      <c r="A5" s="23" t="s">
        <v>103</v>
      </c>
      <c r="B5" s="23" t="s">
        <v>252</v>
      </c>
      <c r="C5" s="23" t="s">
        <v>253</v>
      </c>
      <c r="D5" s="23" t="s">
        <v>254</v>
      </c>
      <c r="E5" s="23" t="s">
        <v>255</v>
      </c>
      <c r="F5" s="23" t="s">
        <v>256</v>
      </c>
      <c r="G5" s="23" t="s">
        <v>257</v>
      </c>
      <c r="H5" s="23" t="s">
        <v>258</v>
      </c>
    </row>
    <row r="6" customFormat="false" ht="15" hidden="false" customHeight="true" outlineLevel="0" collapsed="false">
      <c r="A6" s="20" t="s">
        <v>134</v>
      </c>
      <c r="B6" s="26" t="n">
        <v>22000000</v>
      </c>
      <c r="C6" s="26" t="n">
        <v>22400000</v>
      </c>
      <c r="D6" s="25" t="n">
        <f aca="false">C6-B6</f>
        <v>400000</v>
      </c>
      <c r="E6" s="30" t="n">
        <f aca="false">D6/B6</f>
        <v>0.0181818181818182</v>
      </c>
      <c r="H6" s="20" t="s">
        <v>259</v>
      </c>
    </row>
    <row r="7" customFormat="false" ht="15" hidden="false" customHeight="true" outlineLevel="0" collapsed="false">
      <c r="A7" s="20" t="s">
        <v>123</v>
      </c>
      <c r="B7" s="26" t="n">
        <v>8240000</v>
      </c>
      <c r="C7" s="26" t="n">
        <v>8390000</v>
      </c>
      <c r="D7" s="25" t="n">
        <f aca="false">B7-C7</f>
        <v>-150000</v>
      </c>
      <c r="E7" s="30" t="n">
        <f aca="false">D7/B7</f>
        <v>-0.0182038834951456</v>
      </c>
      <c r="F7" s="30" t="n">
        <f aca="false">B7/$B$6</f>
        <v>0.374545454545455</v>
      </c>
      <c r="G7" s="30" t="n">
        <f aca="false">C7/$C$6</f>
        <v>0.374553571428571</v>
      </c>
      <c r="H7" s="20" t="s">
        <v>260</v>
      </c>
    </row>
    <row r="8" customFormat="false" ht="15" hidden="false" customHeight="true" outlineLevel="0" collapsed="false">
      <c r="A8" s="20" t="s">
        <v>261</v>
      </c>
      <c r="B8" s="26" t="n">
        <v>10460000</v>
      </c>
      <c r="C8" s="26" t="n">
        <v>10660000</v>
      </c>
      <c r="D8" s="25" t="n">
        <f aca="false">B8-C8</f>
        <v>-200000</v>
      </c>
      <c r="E8" s="30" t="n">
        <f aca="false">D8/B8</f>
        <v>-0.0191204588910134</v>
      </c>
      <c r="F8" s="30" t="n">
        <f aca="false">B8/$B$6</f>
        <v>0.475454545454545</v>
      </c>
      <c r="G8" s="30" t="n">
        <f aca="false">C8/$C$6</f>
        <v>0.475892857142857</v>
      </c>
      <c r="H8" s="20" t="s">
        <v>262</v>
      </c>
    </row>
    <row r="9" customFormat="false" ht="15" hidden="false" customHeight="true" outlineLevel="0" collapsed="false">
      <c r="A9" s="20" t="s">
        <v>263</v>
      </c>
      <c r="B9" s="26" t="n">
        <v>640000</v>
      </c>
      <c r="C9" s="26" t="n">
        <v>620000</v>
      </c>
      <c r="D9" s="25" t="n">
        <f aca="false">B9-C9</f>
        <v>20000</v>
      </c>
      <c r="E9" s="30" t="n">
        <f aca="false">D9/B9</f>
        <v>0.03125</v>
      </c>
      <c r="F9" s="30" t="n">
        <f aca="false">B9/$B$6</f>
        <v>0.0290909090909091</v>
      </c>
      <c r="G9" s="30" t="n">
        <f aca="false">C9/$C$6</f>
        <v>0.0276785714285714</v>
      </c>
      <c r="H9" s="20" t="s">
        <v>264</v>
      </c>
    </row>
    <row r="10" customFormat="false" ht="15" hidden="false" customHeight="true" outlineLevel="0" collapsed="false">
      <c r="A10" s="20" t="s">
        <v>265</v>
      </c>
      <c r="B10" s="26" t="n">
        <v>1250000</v>
      </c>
      <c r="C10" s="26" t="n">
        <v>1386000</v>
      </c>
      <c r="D10" s="25" t="n">
        <f aca="false">B10-C10</f>
        <v>-136000</v>
      </c>
      <c r="E10" s="30" t="n">
        <f aca="false">D10/B10</f>
        <v>-0.1088</v>
      </c>
      <c r="F10" s="30" t="n">
        <f aca="false">B10/$B$6</f>
        <v>0.0568181818181818</v>
      </c>
      <c r="G10" s="30" t="n">
        <f aca="false">C10/$C$6</f>
        <v>0.061875</v>
      </c>
      <c r="H10" s="20" t="s">
        <v>266</v>
      </c>
    </row>
    <row r="12" customFormat="false" ht="15" hidden="false" customHeight="true" outlineLevel="0" collapsed="false">
      <c r="A12" s="22" t="s">
        <v>140</v>
      </c>
      <c r="B12" s="25" t="n">
        <f aca="false">SUM(B7:B10)</f>
        <v>20590000</v>
      </c>
      <c r="C12" s="25" t="n">
        <f aca="false">SUM(C7:C10)</f>
        <v>21056000</v>
      </c>
      <c r="D12" s="25" t="n">
        <f aca="false">B12-C12</f>
        <v>-466000</v>
      </c>
      <c r="E12" s="30" t="n">
        <f aca="false">D12/B12</f>
        <v>-0.0226323457989315</v>
      </c>
    </row>
    <row r="13" customFormat="false" ht="15" hidden="false" customHeight="true" outlineLevel="0" collapsed="false">
      <c r="A13" s="22" t="s">
        <v>141</v>
      </c>
      <c r="B13" s="25" t="n">
        <f aca="false">B6-B12</f>
        <v>1410000</v>
      </c>
      <c r="C13" s="25" t="n">
        <f aca="false">C6-C12</f>
        <v>1344000</v>
      </c>
      <c r="D13" s="25" t="n">
        <f aca="false">C13-B13</f>
        <v>-66000</v>
      </c>
      <c r="E13" s="30" t="n">
        <f aca="false">D13/B13</f>
        <v>-0.0468085106382979</v>
      </c>
      <c r="H13" s="20" t="s">
        <v>267</v>
      </c>
    </row>
    <row r="15" customFormat="false" ht="15" hidden="false" customHeight="true" outlineLevel="0" collapsed="false">
      <c r="A15" s="18" t="s">
        <v>268</v>
      </c>
    </row>
    <row r="16" customFormat="false" ht="15" hidden="false" customHeight="true" outlineLevel="0" collapsed="false">
      <c r="A16" s="20" t="s">
        <v>269</v>
      </c>
      <c r="B16" s="28" t="n">
        <f aca="false">C6-B6</f>
        <v>400000</v>
      </c>
    </row>
    <row ht="27" customHeight="true" r="17" customFormat="false" hidden="false" outlineLevel="0" collapsed="false">
      <c s="37" r="A17" t="s">
        <v>270</v>
      </c>
      <c r="B17" s="28" t="n">
        <f aca="false">C6*F7</f>
        <v>8389818.18181818</v>
      </c>
    </row>
    <row r="18" customFormat="false" ht="15" hidden="false" customHeight="true" outlineLevel="0" collapsed="false">
      <c r="A18" s="20" t="s">
        <v>271</v>
      </c>
      <c r="B18" s="28" t="n">
        <f aca="false">C7</f>
        <v>8390000</v>
      </c>
    </row>
    <row r="19" customFormat="false" ht="15" hidden="false" customHeight="true" outlineLevel="0" collapsed="false">
      <c r="A19" s="20" t="s">
        <v>272</v>
      </c>
      <c r="B19" s="25" t="n">
        <f aca="false">B17-B18</f>
        <v>-181.818181818351</v>
      </c>
      <c r="H19" s="20" t="s">
        <v>273</v>
      </c>
    </row>
    <row ht="27" customHeight="true" r="20" customFormat="false" hidden="false" outlineLevel="0" collapsed="false">
      <c s="37" r="A20" t="s">
        <v>274</v>
      </c>
      <c r="B20" s="28" t="n">
        <f aca="false">C6*F10</f>
        <v>1272727.27272727</v>
      </c>
    </row>
    <row r="21" customFormat="false" ht="15" hidden="false" customHeight="true" outlineLevel="0" collapsed="false">
      <c r="A21" s="20" t="s">
        <v>275</v>
      </c>
      <c r="B21" s="28" t="n">
        <f aca="false">C10</f>
        <v>1386000</v>
      </c>
    </row>
    <row ht="27" customHeight="true" r="22" customFormat="false" hidden="false" outlineLevel="0" collapsed="false">
      <c s="38" r="A22" t="s">
        <v>276</v>
      </c>
      <c r="B22" s="25" t="n">
        <f aca="false">B20-B21</f>
        <v>-113272.727272727</v>
      </c>
      <c r="H22" s="20" t="s">
        <v>277</v>
      </c>
    </row>
    <row r="24" customFormat="false" ht="15" hidden="false" customHeight="true" outlineLevel="0" collapsed="false">
      <c r="A24" s="18" t="s">
        <v>147</v>
      </c>
    </row>
    <row r="25" customFormat="false" ht="15" hidden="false" customHeight="true" outlineLevel="0" collapsed="false">
      <c r="A25" s="20" t="s">
        <v>278</v>
      </c>
      <c r="B25" s="31" t="str">
        <f aca="false">IF(D6&gt;0,"OK — bedriften solgte mer enn planlagt. Da MÅ varekostnaden og lønnskostnaden også være høyere","AVVIK: salget sviktet — da er kostnadsavvikene en annen historie")</f>
        <v>OK — bedriften solgte mer enn planlagt. Da MÅ varekostnaden og lønnskostnaden også være høyere</v>
      </c>
    </row>
    <row r="26" customFormat="false" ht="15" hidden="false" customHeight="true" outlineLevel="0" collapsed="false">
      <c r="A26" s="20" t="s">
        <v>279</v>
      </c>
      <c r="B26" s="31" t="str">
        <f aca="false">IF(ABS(F7-G7)&lt;0.01,"OK — varekostnaden utgjør nesten nøyaktig samme andel av salget som budsjettert. Innkjøpet har gått som planlagt","AVVIK: varekostnadsandelen har flyttet seg — da er det et prisavvik, og da er innkjøperen riktig adressat")</f>
        <v>OK — varekostnaden utgjør nesten nøyaktig samme andel av salget som budsjettert. Innkjøpet har gått som planlagt</v>
      </c>
    </row>
    <row r="27" customFormat="false" ht="15" hidden="false" customHeight="true" outlineLevel="0" collapsed="false">
      <c r="A27" s="20" t="s">
        <v>280</v>
      </c>
      <c r="B27" s="31" t="str">
        <f aca="false">IF(ABS(G10-F10)&gt;ABS(G7-F7),"OK — andre driftskostnader har flyttet seg mest som andel av salget. Det er der Kari skal be om en spesifikasjon","AVVIK: her er det varekostnaden som har flyttet seg mest")</f>
        <v>OK — andre driftskostnader har flyttet seg mest som andel av salget. Det er der Kari skal be om en spesifikasjon</v>
      </c>
    </row>
    <row r="29" customFormat="false" ht="15" hidden="false" customHeight="true" outlineLevel="0" collapsed="false">
      <c r="A29" s="22" t="s">
        <v>281</v>
      </c>
    </row>
    <row r="30" customFormat="false" ht="15" hidden="false" customHeight="true" outlineLevel="0" collapsed="false">
      <c r="A30" s="17" t="s">
        <v>282</v>
      </c>
    </row>
  </sheetData>
  <conditionalFormatting sqref="B25">
    <cfRule type="expression" priority="2" aboveAverage="0" equalAverage="0" bottom="0" percent="0" rank="0" text="" dxfId="0">
      <formula>LEFT(B25,5)="AVVIK"</formula>
    </cfRule>
  </conditionalFormatting>
  <conditionalFormatting sqref="B26">
    <cfRule type="expression" priority="3" aboveAverage="0" equalAverage="0" bottom="0" percent="0" rank="0" text="" dxfId="0">
      <formula>LEFT(B26,5)="AVVIK"</formula>
    </cfRule>
  </conditionalFormatting>
  <conditionalFormatting sqref="B27">
    <cfRule type="expression" priority="4" aboveAverage="0" equalAverage="0" bottom="0" percent="0" rank="0" text="" dxfId="0">
      <formula>LEFT(B27,5)="AVVIK"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18"/>
    <col collapsed="false" customWidth="true" hidden="false" outlineLevel="0" max="5" min="5" style="1" width="14"/>
    <col collapsed="false" customWidth="true" hidden="false" outlineLevel="0" max="6" min="6" style="1" width="52"/>
  </cols>
  <sheetData>
    <row r="1" customFormat="false" ht="17.25" hidden="false" customHeight="true" outlineLevel="0" collapsed="false">
      <c r="A1" s="2" t="s">
        <v>283</v>
      </c>
    </row>
    <row r="2" customFormat="false" ht="15" hidden="false" customHeight="true" outlineLevel="0" collapsed="false">
      <c r="A2" s="16" t="s">
        <v>284</v>
      </c>
    </row>
    <row r="4" customFormat="false" ht="15" hidden="false" customHeight="true" outlineLevel="0" collapsed="false">
      <c r="A4" s="18" t="s">
        <v>285</v>
      </c>
    </row>
    <row r="5" customFormat="false" ht="15" hidden="false" customHeight="true" outlineLevel="0" collapsed="false">
      <c r="A5" s="17" t="s">
        <v>286</v>
      </c>
    </row>
    <row r="7" customFormat="false" ht="15" hidden="false" customHeight="true" outlineLevel="0" collapsed="false">
      <c r="A7" s="20" t="s">
        <v>287</v>
      </c>
      <c r="B7" s="34" t="n">
        <f aca="false">Likviditet!B5</f>
        <v>20</v>
      </c>
    </row>
    <row r="8" customFormat="false" ht="15" hidden="false" customHeight="true" outlineLevel="0" collapsed="false">
      <c r="A8" s="20" t="s">
        <v>233</v>
      </c>
      <c r="B8" s="25" t="n">
        <f aca="false">Likviditet!B73</f>
        <v>1160400</v>
      </c>
    </row>
    <row r="9" customFormat="false" ht="15" hidden="false" customHeight="true" outlineLevel="0" collapsed="false">
      <c r="A9" s="20" t="s">
        <v>234</v>
      </c>
      <c r="B9" s="21" t="str">
        <f aca="false">Likviditet!B74</f>
        <v>Jan</v>
      </c>
    </row>
    <row r="10" customFormat="false" ht="15" hidden="false" customHeight="true" outlineLevel="0" collapsed="false">
      <c r="A10" s="20" t="s">
        <v>288</v>
      </c>
      <c r="B10" s="24" t="n">
        <f aca="false">Likviditet!B75</f>
        <v>0</v>
      </c>
    </row>
    <row r="11" customFormat="false" ht="15" hidden="false" customHeight="true" outlineLevel="0" collapsed="false">
      <c r="A11" s="20" t="s">
        <v>241</v>
      </c>
      <c r="B11" s="28" t="n">
        <f aca="false">Resultatbudsjett!B25</f>
        <v>2085472</v>
      </c>
      <c r="F11" s="20" t="s">
        <v>289</v>
      </c>
    </row>
    <row ht="39.75" customHeight="true" r="13" customFormat="false" hidden="false" outlineLevel="0" collapsed="false">
      <c r="A13" s="23" t="s">
        <v>290</v>
      </c>
      <c r="B13" s="23" t="s">
        <v>291</v>
      </c>
      <c r="C13" s="23" t="s">
        <v>292</v>
      </c>
      <c r="D13" s="23"/>
      <c r="E13" s="23" t="s">
        <v>293</v>
      </c>
    </row>
    <row r="14" customFormat="false" ht="15" hidden="false" customHeight="true" outlineLevel="0" collapsed="false">
      <c r="A14" s="32" t="n">
        <v>20</v>
      </c>
      <c r="B14" s="20" t="s">
        <v>294</v>
      </c>
      <c r="C14" s="26" t="n">
        <v>0</v>
      </c>
      <c r="E14" s="20" t="s">
        <v>295</v>
      </c>
    </row>
    <row r="15" customFormat="false" ht="15" hidden="false" customHeight="true" outlineLevel="0" collapsed="false">
      <c r="A15" s="32" t="n">
        <v>30</v>
      </c>
      <c r="B15" s="20" t="s">
        <v>296</v>
      </c>
      <c r="C15" s="26" t="n">
        <v>0</v>
      </c>
      <c r="E15" s="20" t="s">
        <v>297</v>
      </c>
    </row>
    <row r="16" customFormat="false" ht="15" hidden="false" customHeight="true" outlineLevel="0" collapsed="false">
      <c r="A16" s="32" t="n">
        <v>35</v>
      </c>
      <c r="B16" s="20" t="s">
        <v>298</v>
      </c>
      <c r="C16" s="26" t="n">
        <v>0</v>
      </c>
      <c r="E16" s="20" t="s">
        <v>299</v>
      </c>
    </row>
    <row r="17" customFormat="false" ht="15" hidden="false" customHeight="true" outlineLevel="0" collapsed="false">
      <c r="A17" s="32" t="n">
        <v>45</v>
      </c>
      <c r="B17" s="20" t="s">
        <v>300</v>
      </c>
      <c r="C17" s="26" t="n">
        <v>0</v>
      </c>
      <c r="E17" s="20" t="s">
        <v>301</v>
      </c>
    </row>
    <row r="18" customFormat="false" ht="15" hidden="false" customHeight="true" outlineLevel="0" collapsed="false">
      <c r="A18" s="32" t="n">
        <v>54</v>
      </c>
      <c r="B18" s="20" t="s">
        <v>302</v>
      </c>
      <c r="C18" s="26" t="n">
        <v>0</v>
      </c>
      <c r="E18" s="20" t="s">
        <v>303</v>
      </c>
    </row>
    <row r="20" customFormat="false" ht="15" hidden="false" customHeight="true" outlineLevel="0" collapsed="false">
      <c r="A20" s="17" t="s">
        <v>304</v>
      </c>
    </row>
    <row r="22" customFormat="false" ht="15" hidden="false" customHeight="true" outlineLevel="0" collapsed="false">
      <c r="A22" s="18" t="s">
        <v>305</v>
      </c>
    </row>
    <row r="23" customFormat="false" ht="15" hidden="false" customHeight="true" outlineLevel="0" collapsed="false">
      <c r="A23" s="17" t="s">
        <v>306</v>
      </c>
    </row>
    <row r="24" customFormat="false" ht="27.75" hidden="false" customHeight="true" outlineLevel="0" collapsed="false">
      <c r="A24" s="23" t="s">
        <v>307</v>
      </c>
      <c r="B24" s="23" t="s">
        <v>308</v>
      </c>
      <c r="C24" s="23" t="s">
        <v>309</v>
      </c>
      <c r="D24" s="23"/>
      <c r="E24" s="23" t="s">
        <v>310</v>
      </c>
    </row>
    <row ht="27" customHeight="true" r="25" customFormat="false" hidden="false" outlineLevel="0" collapsed="false">
      <c r="A25" s="22" t="s">
        <v>311</v>
      </c>
      <c s="37" r="B25" t="s">
        <v>312</v>
      </c>
      <c r="C25" s="26" t="n">
        <v>0</v>
      </c>
      <c r="E25" s="20" t="s">
        <v>313</v>
      </c>
    </row>
    <row ht="27" customHeight="true" r="26" customFormat="false" hidden="false" outlineLevel="0" collapsed="false">
      <c r="A26" s="22" t="s">
        <v>314</v>
      </c>
      <c s="37" r="B26" t="s">
        <v>315</v>
      </c>
      <c r="C26" s="26" t="n">
        <v>0</v>
      </c>
      <c r="E26" s="20" t="s">
        <v>316</v>
      </c>
    </row>
    <row ht="27" customHeight="true" r="27" customFormat="false" hidden="false" outlineLevel="0" collapsed="false">
      <c r="A27" s="22" t="s">
        <v>317</v>
      </c>
      <c s="37" r="B27" t="s">
        <v>318</v>
      </c>
      <c r="C27" s="26" t="n">
        <v>0</v>
      </c>
      <c r="E27" s="20" t="s">
        <v>319</v>
      </c>
    </row>
    <row ht="27" customHeight="true" r="28" customFormat="false" hidden="false" outlineLevel="0" collapsed="false">
      <c r="A28" s="22" t="s">
        <v>320</v>
      </c>
      <c s="37" r="B28" t="s">
        <v>321</v>
      </c>
      <c r="C28" s="26" t="n">
        <v>0</v>
      </c>
      <c r="E28" s="20" t="s">
        <v>322</v>
      </c>
    </row>
    <row r="30" customFormat="false" ht="15" hidden="false" customHeight="true" outlineLevel="0" collapsed="false">
      <c r="A30" s="17" t="s">
        <v>323</v>
      </c>
    </row>
    <row r="32" customFormat="false" ht="15" hidden="false" customHeight="true" outlineLevel="0" collapsed="false">
      <c r="A32" s="18" t="s">
        <v>324</v>
      </c>
    </row>
    <row r="33" customFormat="false" ht="15" hidden="false" customHeight="true" outlineLevel="0" collapsed="false">
      <c r="A33" s="17" t="s">
        <v>325</v>
      </c>
    </row>
    <row r="34" customFormat="false" ht="27.75" hidden="false" customHeight="true" outlineLevel="0" collapsed="false">
      <c r="A34" s="23"/>
      <c r="B34" s="23" t="s">
        <v>326</v>
      </c>
      <c r="C34" s="23" t="s">
        <v>327</v>
      </c>
      <c r="D34" s="23" t="s">
        <v>328</v>
      </c>
      <c r="E34" s="23" t="s">
        <v>293</v>
      </c>
    </row>
    <row r="35" customFormat="false" ht="15" hidden="false" customHeight="true" outlineLevel="0" collapsed="false">
      <c r="A35" s="20" t="s">
        <v>156</v>
      </c>
      <c r="B35" s="32" t="n">
        <v>20</v>
      </c>
      <c r="C35" s="32" t="n">
        <v>54</v>
      </c>
      <c r="D35" s="24" t="n">
        <f aca="false">C35-B35</f>
        <v>34</v>
      </c>
      <c r="E35" s="20" t="s">
        <v>329</v>
      </c>
    </row>
    <row r="36" customFormat="false" ht="15" hidden="false" customHeight="true" outlineLevel="0" collapsed="false">
      <c r="A36" s="20" t="s">
        <v>330</v>
      </c>
      <c r="B36" s="26" t="n">
        <v>10005666.6666667</v>
      </c>
      <c r="C36" s="26" t="n">
        <v>6989000</v>
      </c>
      <c r="D36" s="25" t="n">
        <f aca="false">C36-B36</f>
        <v>-3016666.6666667</v>
      </c>
      <c r="E36" s="20" t="s">
        <v>331</v>
      </c>
    </row>
    <row r="37" customFormat="false" ht="15" hidden="false" customHeight="true" outlineLevel="0" collapsed="false">
      <c r="A37" s="20" t="s">
        <v>332</v>
      </c>
      <c r="B37" s="26" t="n">
        <f aca="false">SUM(Likviditet!C64:E64)</f>
        <v>8815200</v>
      </c>
      <c r="C37" s="28" t="n">
        <f aca="false">B37</f>
        <v>8815200</v>
      </c>
      <c r="D37" s="28" t="n">
        <f aca="false">C37-B37</f>
        <v>0</v>
      </c>
      <c r="E37" s="20" t="s">
        <v>333</v>
      </c>
    </row>
    <row r="38" customFormat="false" ht="15" hidden="false" customHeight="true" outlineLevel="0" collapsed="false">
      <c r="A38" s="22" t="s">
        <v>334</v>
      </c>
      <c r="B38" s="25" t="n">
        <f aca="false">Likviditet!B18+B36-B37</f>
        <v>2173116.6666667</v>
      </c>
      <c r="C38" s="25" t="n">
        <f aca="false">Likviditet!B18+C36-C37</f>
        <v>-843550</v>
      </c>
      <c r="D38" s="25" t="n">
        <f aca="false">C38-B38</f>
        <v>-3016666.6666667</v>
      </c>
    </row>
    <row r="39" customFormat="false" ht="15" hidden="false" customHeight="true" outlineLevel="0" collapsed="false">
      <c r="A39" s="20" t="s">
        <v>335</v>
      </c>
      <c r="B39" s="28" t="n">
        <f aca="false">Resultatbudsjett!B29</f>
        <v>583868</v>
      </c>
      <c r="C39" s="28" t="n">
        <f aca="false">B39</f>
        <v>583868</v>
      </c>
      <c r="D39" s="28" t="n">
        <f aca="false">0</f>
        <v>0</v>
      </c>
      <c r="E39" s="20" t="s">
        <v>336</v>
      </c>
    </row>
    <row r="41" customFormat="false" ht="15" hidden="false" customHeight="true" outlineLevel="0" collapsed="false">
      <c r="A41" s="18" t="s">
        <v>337</v>
      </c>
    </row>
    <row r="42" customFormat="false" ht="15" hidden="false" customHeight="true" outlineLevel="0" collapsed="false">
      <c r="A42" s="20" t="s">
        <v>338</v>
      </c>
      <c r="B42" s="28" t="n">
        <f aca="false">Likviditet!B19</f>
        <v>4200000</v>
      </c>
    </row>
    <row r="43" customFormat="false" ht="15" hidden="false" customHeight="true" outlineLevel="0" collapsed="false">
      <c r="A43" s="20" t="s">
        <v>339</v>
      </c>
      <c r="B43" s="26" t="n">
        <v>28000000</v>
      </c>
    </row>
    <row r="44" customFormat="false" ht="15" hidden="false" customHeight="true" outlineLevel="0" collapsed="false">
      <c r="A44" s="22" t="s">
        <v>340</v>
      </c>
      <c r="B44" s="35" t="n">
        <f aca="false">B42*360/B43</f>
        <v>54</v>
      </c>
    </row>
    <row r="45" customFormat="false" ht="15" hidden="false" customHeight="true" outlineLevel="0" collapsed="false">
      <c r="A45" s="20" t="s">
        <v>341</v>
      </c>
      <c r="B45" s="36" t="n">
        <f aca="false">B35</f>
        <v>20</v>
      </c>
    </row>
    <row r="46" customFormat="false" ht="15" hidden="false" customHeight="true" outlineLevel="0" collapsed="false">
      <c r="A46" s="22" t="s">
        <v>342</v>
      </c>
      <c r="B46" s="35" t="n">
        <f aca="false">B44-B45</f>
        <v>34</v>
      </c>
      <c r="E46" s="20" t="s">
        <v>343</v>
      </c>
    </row>
    <row r="48" customFormat="false" ht="15" hidden="false" customHeight="true" outlineLevel="0" collapsed="false">
      <c r="A48" s="18" t="s">
        <v>147</v>
      </c>
    </row>
    <row r="49" customFormat="false" ht="15" hidden="false" customHeight="true" outlineLevel="0" collapsed="false">
      <c r="A49" s="20" t="s">
        <v>344</v>
      </c>
      <c r="B49" s="31" t="str">
        <f aca="false">IF(ABS(D38-D36)&lt;1,"OK — hele avviket kommer fra innbetalingene. Utbetalingene er de samme","AVVIK: da er det mer enn kredittiden som har endret seg")</f>
        <v>OK — hele avviket kommer fra innbetalingene. Utbetalingene er de samme</v>
      </c>
    </row>
    <row r="50" customFormat="false" ht="15" hidden="false" customHeight="true" outlineLevel="0" collapsed="false">
      <c r="A50" s="20" t="s">
        <v>345</v>
      </c>
      <c r="B50" s="31" t="str">
        <f aca="false">IF(B39&gt;0,"OK — resultatbudsjettet viser overskudd i et kvartal der kontoen gikk tom. Det er hele poenget i kapitlet","AVVIK: går resultatet også i minus, er dette et lønnsomhetsproblem og ikke bare et likviditetsproblem")</f>
        <v>OK — resultatbudsjettet viser overskudd i et kvartal der kontoen gikk tom. Det er hele poenget i kapitlet</v>
      </c>
    </row>
    <row r="51" customFormat="false" ht="15" hidden="false" customHeight="true" outlineLevel="0" collapsed="false">
      <c r="A51" s="20" t="s">
        <v>346</v>
      </c>
      <c r="B51" s="31" t="str">
        <f aca="false">IF(B46&gt;0,"OK — regnskapet for 2026 viste lengre kredittid enn budsjettet forutsatte. Bommen var mulig å se i november","AVVIK: budsjettet var i tråd med regnskapet — da må forklaringen ligge et annet sted")</f>
        <v>OK — regnskapet for 2026 viste lengre kredittid enn budsjettet forutsatte. Bommen var mulig å se i november</v>
      </c>
    </row>
    <row r="53" customFormat="false" ht="15" hidden="false" customHeight="true" outlineLevel="0" collapsed="false">
      <c r="A53" s="17" t="s">
        <v>347</v>
      </c>
    </row>
  </sheetData>
  <conditionalFormatting sqref="B49">
    <cfRule type="expression" priority="2" aboveAverage="0" equalAverage="0" bottom="0" percent="0" rank="0" text="" dxfId="0">
      <formula>LEFT(B49,5)="AVVIK"</formula>
    </cfRule>
  </conditionalFormatting>
  <conditionalFormatting sqref="B50">
    <cfRule type="expression" priority="3" aboveAverage="0" equalAverage="0" bottom="0" percent="0" rank="0" text="" dxfId="0">
      <formula>LEFT(B50,5)="AVVIK"</formula>
    </cfRule>
  </conditionalFormatting>
  <conditionalFormatting sqref="B51">
    <cfRule type="expression" priority="4" aboveAverage="0" equalAverage="0" bottom="0" percent="0" rank="0" text="" dxfId="0">
      <formula>LEFT(B51,5)="AVVIK"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2026-09-11T09:29:49Z</dcterms:created>
  <dc:creator>openpyxl</dc:creator>
  <dc:description/>
  <dc:language>en-US</dc:language>
  <cp:lastModifiedBy/>
  <dcterms:modified xsi:type="dcterms:W3CDTF">2026-10-08T13:21:56Z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