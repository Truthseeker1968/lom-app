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Veiledning" sheetId="1" state="visible" r:id="rId1"/>
    <sheet xmlns:r="http://schemas.openxmlformats.org/officeDocument/2006/relationships" name="Salgsbudsjett" sheetId="2" state="visible" r:id="rId2"/>
    <sheet xmlns:r="http://schemas.openxmlformats.org/officeDocument/2006/relationships" name="Materiellbudsjett" sheetId="3" state="visible" r:id="rId3"/>
    <sheet xmlns:r="http://schemas.openxmlformats.org/officeDocument/2006/relationships" name="Lønnsbudsjett" sheetId="4" state="visible" r:id="rId4"/>
    <sheet xmlns:r="http://schemas.openxmlformats.org/officeDocument/2006/relationships" name="Andre kostnader" sheetId="5" state="visible" r:id="rId5"/>
    <sheet xmlns:r="http://schemas.openxmlformats.org/officeDocument/2006/relationships" name="Investering og finans" sheetId="6" state="visible" r:id="rId6"/>
    <sheet xmlns:r="http://schemas.openxmlformats.org/officeDocument/2006/relationships" name="Mva-budsjett" sheetId="7" state="visible" r:id="rId7"/>
    <sheet xmlns:r="http://schemas.openxmlformats.org/officeDocument/2006/relationships" name="Resultatbudsjett" sheetId="8" state="visible" r:id="rId8"/>
    <sheet xmlns:r="http://schemas.openxmlformats.org/officeDocument/2006/relationships" name="Likviditetsbudsjett" sheetId="9" state="visible" r:id="rId9"/>
    <sheet xmlns:r="http://schemas.openxmlformats.org/officeDocument/2006/relationships" name="Balansebudsjett" sheetId="10" state="visible" r:id="rId10"/>
    <sheet xmlns:r="http://schemas.openxmlformats.org/officeDocument/2006/relationships" name="Budsjettkontroll" sheetId="11" state="visible" r:id="rId11"/>
    <sheet xmlns:r="http://schemas.openxmlformats.org/officeDocument/2006/relationships" name="Scenario"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quot; kr&quot;"/>
    <numFmt numFmtId="165" formatCode="0.0%"/>
    <numFmt numFmtId="166" formatCode="0.000%"/>
  </numFmts>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595959"/>
      <sz val="10"/>
    </font>
    <font>
      <name val="Arial"/>
      <charset val="1"/>
      <family val="0"/>
      <i val="1"/>
      <color rgb="FF595959"/>
      <sz val="9"/>
    </font>
    <font>
      <name val="Arial"/>
      <charset val="1"/>
      <family val="0"/>
      <b val="1"/>
      <color rgb="FF1F3864"/>
      <sz val="10"/>
    </font>
    <font>
      <name val="Arial"/>
      <charset val="1"/>
      <family val="0"/>
      <color rgb="FF0000FF"/>
      <sz val="10"/>
    </font>
    <font>
      <name val="Arial"/>
      <charset val="1"/>
      <family val="0"/>
      <sz val="10"/>
    </font>
    <font>
      <name val="Arial"/>
      <charset val="1"/>
      <family val="0"/>
      <b val="1"/>
      <sz val="10"/>
    </font>
    <font>
      <name val="Arial"/>
      <charset val="1"/>
      <family val="0"/>
      <b val="1"/>
      <color rgb="FFFFFFFF"/>
      <sz val="10"/>
    </font>
  </fonts>
  <fills count="6">
    <fill>
      <patternFill/>
    </fill>
    <fill>
      <patternFill patternType="gray125"/>
    </fill>
    <fill>
      <patternFill patternType="solid">
        <fgColor rgb="FFFFF2CC"/>
        <bgColor rgb="FFF2F2F2"/>
      </patternFill>
    </fill>
    <fill>
      <patternFill patternType="solid">
        <fgColor rgb="FFF2F2F2"/>
        <bgColor rgb="FFFFFFFF"/>
      </patternFill>
    </fill>
    <fill>
      <patternFill patternType="solid">
        <fgColor rgb="FF1F3864"/>
        <bgColor rgb="FF333333"/>
      </patternFill>
    </fill>
    <fill>
      <patternFill patternType="solid">
        <fgColor rgb="FFDCE6F4"/>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general" vertical="bottom"/>
    </xf>
    <xf numFmtId="0" fontId="9" fillId="0" borderId="0" applyAlignment="1" pivotButton="0" quotePrefix="0" xfId="0">
      <alignment horizontal="general" vertical="bottom"/>
    </xf>
    <xf numFmtId="0" fontId="9" fillId="3" borderId="1" applyAlignment="1" pivotButton="0" quotePrefix="0" xfId="0">
      <alignment horizontal="general" vertical="bottom"/>
    </xf>
    <xf numFmtId="0" fontId="10" fillId="0" borderId="0" applyAlignment="1" pivotButton="0" quotePrefix="0" xfId="0">
      <alignment horizontal="general" vertical="bottom"/>
    </xf>
    <xf numFmtId="0" fontId="11" fillId="4" borderId="0" applyAlignment="1" pivotButton="0" quotePrefix="0" xfId="0">
      <alignment horizontal="center" vertical="center" wrapText="1"/>
    </xf>
    <xf numFmtId="164" fontId="8" fillId="2" borderId="1" applyAlignment="1" pivotButton="0" quotePrefix="0" xfId="0">
      <alignment horizontal="general" vertical="bottom"/>
    </xf>
    <xf numFmtId="165" fontId="8" fillId="2" borderId="1" applyAlignment="1" pivotButton="0" quotePrefix="0" xfId="0">
      <alignment horizontal="general" vertical="bottom"/>
    </xf>
    <xf numFmtId="165" fontId="9" fillId="3" borderId="1" applyAlignment="1" pivotButton="0" quotePrefix="0" xfId="0">
      <alignment horizontal="general" vertical="bottom"/>
    </xf>
    <xf numFmtId="4" fontId="10" fillId="5" borderId="1" applyAlignment="1" pivotButton="0" quotePrefix="0" xfId="0">
      <alignment horizontal="general" vertical="bottom"/>
    </xf>
    <xf numFmtId="3" fontId="9" fillId="3" borderId="1" applyAlignment="1" pivotButton="0" quotePrefix="0" xfId="0">
      <alignment horizontal="general" vertical="bottom"/>
    </xf>
    <xf numFmtId="3" fontId="10" fillId="5" borderId="1" applyAlignment="1" pivotButton="0" quotePrefix="0" xfId="0">
      <alignment horizontal="general" vertical="bottom"/>
    </xf>
    <xf numFmtId="3" fontId="8" fillId="2" borderId="1" applyAlignment="1" pivotButton="0" quotePrefix="0" xfId="0">
      <alignment horizontal="general" vertical="bottom"/>
    </xf>
    <xf numFmtId="164" fontId="9" fillId="3" borderId="1" applyAlignment="1" pivotButton="0" quotePrefix="0" xfId="0">
      <alignment horizontal="general" vertical="bottom"/>
    </xf>
    <xf numFmtId="164" fontId="10" fillId="5" borderId="1" applyAlignment="1" pivotButton="0" quotePrefix="0" xfId="0">
      <alignment horizontal="general" vertical="bottom"/>
    </xf>
    <xf numFmtId="0" fontId="10" fillId="3" borderId="1" applyAlignment="1" pivotButton="0" quotePrefix="0" xfId="0">
      <alignment horizontal="general" vertical="bottom"/>
    </xf>
    <xf numFmtId="4" fontId="9" fillId="3" borderId="1" applyAlignment="1" pivotButton="0" quotePrefix="0" xfId="0">
      <alignment horizontal="general" vertical="bottom"/>
    </xf>
    <xf numFmtId="165" fontId="10" fillId="5" borderId="1" applyAlignment="1" pivotButton="0" quotePrefix="0" xfId="0">
      <alignment horizontal="general" vertical="bottom"/>
    </xf>
    <xf numFmtId="166" fontId="8" fillId="2" borderId="1" applyAlignment="1" pivotButton="0" quotePrefix="0" xfId="0">
      <alignment horizontal="general" vertical="bottom"/>
    </xf>
    <xf numFmtId="0" fontId="10" fillId="5"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general" vertical="bottom"/>
    </xf>
    <xf numFmtId="0" fontId="9" fillId="0" borderId="0" applyAlignment="1" pivotButton="0" quotePrefix="0" xfId="0">
      <alignment horizontal="general" vertical="bottom"/>
    </xf>
    <xf numFmtId="0" fontId="9" fillId="3" borderId="1" applyAlignment="1" pivotButton="0" quotePrefix="0" xfId="0">
      <alignment horizontal="general" vertical="bottom"/>
    </xf>
    <xf numFmtId="0" fontId="10" fillId="0" borderId="0" applyAlignment="1" pivotButton="0" quotePrefix="0" xfId="0">
      <alignment horizontal="general" vertical="bottom"/>
    </xf>
    <xf numFmtId="0" fontId="11" fillId="4" borderId="0" applyAlignment="1" pivotButton="0" quotePrefix="0" xfId="0">
      <alignment horizontal="center" vertical="center" wrapText="1"/>
    </xf>
    <xf numFmtId="164" fontId="8" fillId="2" borderId="1" applyAlignment="1" pivotButton="0" quotePrefix="0" xfId="0">
      <alignment horizontal="general" vertical="bottom"/>
    </xf>
    <xf numFmtId="165" fontId="8" fillId="2" borderId="1" applyAlignment="1" pivotButton="0" quotePrefix="0" xfId="0">
      <alignment horizontal="general" vertical="bottom"/>
    </xf>
    <xf numFmtId="165" fontId="9" fillId="3" borderId="1" applyAlignment="1" pivotButton="0" quotePrefix="0" xfId="0">
      <alignment horizontal="general" vertical="bottom"/>
    </xf>
    <xf numFmtId="4" fontId="10" fillId="5" borderId="1" applyAlignment="1" pivotButton="0" quotePrefix="0" xfId="0">
      <alignment horizontal="general" vertical="bottom"/>
    </xf>
    <xf numFmtId="3" fontId="9" fillId="3" borderId="1" applyAlignment="1" pivotButton="0" quotePrefix="0" xfId="0">
      <alignment horizontal="general" vertical="bottom"/>
    </xf>
    <xf numFmtId="3" fontId="10" fillId="5" borderId="1" applyAlignment="1" pivotButton="0" quotePrefix="0" xfId="0">
      <alignment horizontal="general" vertical="bottom"/>
    </xf>
    <xf numFmtId="3" fontId="8" fillId="2" borderId="1" applyAlignment="1" pivotButton="0" quotePrefix="0" xfId="0">
      <alignment horizontal="general" vertical="bottom"/>
    </xf>
    <xf numFmtId="164" fontId="9" fillId="3" borderId="1" applyAlignment="1" pivotButton="0" quotePrefix="0" xfId="0">
      <alignment horizontal="general" vertical="bottom"/>
    </xf>
    <xf numFmtId="164" fontId="10" fillId="5" borderId="1" applyAlignment="1" pivotButton="0" quotePrefix="0" xfId="0">
      <alignment horizontal="general" vertical="bottom"/>
    </xf>
    <xf numFmtId="0" fontId="10" fillId="3" borderId="1" applyAlignment="1" pivotButton="0" quotePrefix="0" xfId="0">
      <alignment horizontal="general" vertical="bottom"/>
    </xf>
    <xf numFmtId="4" fontId="9" fillId="3" borderId="1" applyAlignment="1" pivotButton="0" quotePrefix="0" xfId="0">
      <alignment horizontal="general" vertical="bottom"/>
    </xf>
    <xf numFmtId="165" fontId="10" fillId="5" borderId="1" applyAlignment="1" pivotButton="0" quotePrefix="0" xfId="0">
      <alignment horizontal="general" vertical="bottom"/>
    </xf>
    <xf numFmtId="166" fontId="8" fillId="2" borderId="1" applyAlignment="1" pivotButton="0" quotePrefix="0" xfId="0">
      <alignment horizontal="general" vertical="bottom"/>
    </xf>
    <xf numFmtId="0" fontId="10" fillId="5"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CE6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C7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24" min="1" max="1"/>
    <col width="34" customWidth="1" style="24" min="2" max="2"/>
    <col width="78" customWidth="1" style="24" min="3" max="3"/>
  </cols>
  <sheetData>
    <row r="1" ht="17.35" customHeight="1" s="25">
      <c r="A1" s="26" t="inlineStr">
        <is>
          <t>Delbudsjetter og hovedbudsjetter</t>
        </is>
      </c>
    </row>
    <row r="2" ht="15" customHeight="1" s="25">
      <c r="A2" s="27" t="inlineStr">
        <is>
          <t>LØM Økonomistyring kap. 9 · arbeidsregneark · Fagskolen Oslo, Avdeling Elkraft</t>
        </is>
      </c>
    </row>
    <row r="3" ht="15" customHeight="1" s="25">
      <c r="A3" s="28" t="inlineStr">
        <is>
          <t>Emne: Teknisk kommunikasjon og ledelse for 1ET-klassene · LØM for 2ET, 2EK, 3EK og 4EK</t>
        </is>
      </c>
    </row>
    <row r="4" ht="15" customHeight="1" s="25">
      <c r="A4" s="29" t="inlineStr">
        <is>
          <t>Fargekode</t>
        </is>
      </c>
    </row>
    <row r="5" ht="15" customHeight="1" s="25">
      <c r="A5" s="30" t="inlineStr">
        <is>
          <t>Gul celle med blå skrift</t>
        </is>
      </c>
      <c r="B5" s="31" t="inlineStr">
        <is>
          <t>Inndata — dette er tallene du endrer.</t>
        </is>
      </c>
    </row>
    <row r="6" ht="15" customHeight="1" s="25">
      <c r="A6" s="32" t="inlineStr">
        <is>
          <t>Grå eller lyseblå celle, svart skrift</t>
        </is>
      </c>
      <c r="B6" s="31" t="inlineStr">
        <is>
          <t>Formel — regner seg selv. Ikke skriv over den.</t>
        </is>
      </c>
    </row>
    <row r="7" ht="15" customHeight="1" s="25">
      <c r="A7" s="32" t="inlineStr">
        <is>
          <t>Mørkeblå rad med hvit skrift</t>
        </is>
      </c>
      <c r="B7" s="31" t="inlineStr">
        <is>
          <t>Kolonneoverskrift.</t>
        </is>
      </c>
    </row>
    <row r="9" ht="15" customHeight="1" s="25">
      <c r="A9" s="29" t="inlineStr">
        <is>
          <t>Ark i arbeidsboka</t>
        </is>
      </c>
    </row>
    <row r="10" ht="15" customHeight="1" s="25">
      <c r="A10" s="33" t="inlineStr">
        <is>
          <t>Salgsbudsjett</t>
        </is>
      </c>
      <c r="B10" s="31" t="inlineStr">
        <is>
          <t>Motoren. Fakturerte montørtimer ganget med timeprisen, pluss materiell med påslag. Alt annet henger i dette arket.</t>
        </is>
      </c>
    </row>
    <row r="11" ht="15" customHeight="1" s="25">
      <c r="A11" s="33" t="inlineStr">
        <is>
          <t>Materiellbudsjett</t>
        </is>
      </c>
      <c r="B11" s="31" t="inlineStr">
        <is>
          <t>Fra materiellsalg til inntakskost til varekjøp. Her ser du forskjellen på hva bedriften BRUKER og hva den KJØPER.</t>
        </is>
      </c>
    </row>
    <row r="12" ht="15" customHeight="1" s="25">
      <c r="A12" s="33" t="inlineStr">
        <is>
          <t>Lønnsbudsjett</t>
        </is>
      </c>
      <c r="B12" s="31" t="inlineStr">
        <is>
          <t>Antall folk ganget med månedslønn, pluss feriepenger og arbeidsgiveravgift. Og de tre ulike tidspunktene pengene går ut.</t>
        </is>
      </c>
    </row>
    <row r="13" ht="15" customHeight="1" s="25">
      <c r="A13" s="33" t="inlineStr">
        <is>
          <t>Andre kostnader</t>
        </is>
      </c>
      <c r="B13" s="31" t="inlineStr">
        <is>
          <t>Kostnadsbudsjettet, delt i en variabel del som følger salget og en fast del som løper uansett.</t>
        </is>
      </c>
    </row>
    <row r="14" ht="15" customHeight="1" s="25">
      <c r="A14" s="33" t="inlineStr">
        <is>
          <t>Investering og finans</t>
        </is>
      </c>
      <c r="B14" s="31" t="inlineStr">
        <is>
          <t>Investeringsbudsjett, avskrivningsbudsjett og finansbudsjett. Avdrag, investering og utbytte samlet på ett sted.</t>
        </is>
      </c>
    </row>
    <row r="15" ht="15" customHeight="1" s="25">
      <c r="A15" s="33" t="inlineStr">
        <is>
          <t>Mva-budsjett</t>
        </is>
      </c>
      <c r="B15" s="31" t="inlineStr">
        <is>
          <t>Seks terminer. Utgående avgift fra salgsbudsjettet, inngående fra alle de andre. Aldri en kostnad, alltid en utbetaling.</t>
        </is>
      </c>
    </row>
    <row r="16" ht="15" customHeight="1" s="25">
      <c r="A16" s="33" t="inlineStr">
        <is>
          <t>Resultatbudsjett</t>
        </is>
      </c>
      <c r="B16" s="31" t="inlineStr">
        <is>
          <t>Hovedbudsjett 1. Ikke én gul celle — hver linje er hentet fra et delbudsjett.</t>
        </is>
      </c>
    </row>
    <row r="17" ht="15" customHeight="1" s="25">
      <c r="A17" s="33" t="inlineStr">
        <is>
          <t>Likviditetsbudsjett</t>
        </is>
      </c>
      <c r="B17" s="31" t="inlineStr">
        <is>
          <t>Hovedbudsjett 2. Tolv måneder, satt opp i tre nivåer: drift, finansiering og investering.</t>
        </is>
      </c>
    </row>
    <row r="18" ht="15" customHeight="1" s="25">
      <c r="A18" s="33" t="inlineStr">
        <is>
          <t>Balansebudsjett</t>
        </is>
      </c>
      <c r="B18" s="31" t="inlineStr">
        <is>
          <t>Hovedbudsjett 3. Inngående balanse, budsjettert endring, utgående balanse. Prøven på om de to andre henger sammen.</t>
        </is>
      </c>
    </row>
    <row r="19" ht="15" customHeight="1" s="25">
      <c r="A19" s="33" t="inlineStr">
        <is>
          <t>Budsjettkontroll</t>
        </is>
      </c>
      <c r="B19" s="31" t="inlineStr">
        <is>
          <t>2026 mot budsjettet, delbudsjett for delbudsjett. De to siste kolonnene er tomme — de er dine.</t>
        </is>
      </c>
    </row>
    <row r="20" ht="15" customHeight="1" s="25">
      <c r="A20" s="33" t="inlineStr">
        <is>
          <t>Scenario</t>
        </is>
      </c>
      <c r="B20" s="31" t="inlineStr">
        <is>
          <t>Fire knapper: omsetningsvekst, lønnsvekst og de to kredittidene. Se hva hver av dem gjør med resultatet og med kontoen.</t>
        </is>
      </c>
    </row>
    <row r="22" ht="15" customHeight="1" s="25">
      <c r="A22" s="28" t="inlineStr">
        <is>
          <t>Tallene som ligger inne er budsjettet Nordlys Elektro AS har lagt for 2027, og budsjettkontrollen for 2026. Samme bedrift som i alle ti kapitlene i Bok 1.</t>
        </is>
      </c>
    </row>
    <row r="23" ht="15" customHeight="1" s="25">
      <c r="A23" s="28" t="inlineStr">
        <is>
          <t>Rekkefølgen på fanene er rekkefølgen du bygger et budsjett i: delbudsjettene først, hovedbudsjettene etterpå.</t>
        </is>
      </c>
    </row>
    <row r="24" ht="15" customHeight="1" s="25">
      <c r="A24" s="28" t="inlineStr">
        <is>
          <t>Vil du bruke arbeidsboka på din egen bedrift, bytter du ut de gule cellene i de seks delbudsjettene. Hovedbudsjettene følger etter av seg selv.</t>
        </is>
      </c>
    </row>
    <row r="26" ht="15" customHeight="1" s="25">
      <c r="A26" s="28" t="inlineStr">
        <is>
          <t>Tallene som ligger inne er et eksempel fra en elektrobedrift. Bytt dem ut med dine egne — alle formler følger med.</t>
        </is>
      </c>
    </row>
    <row r="27" ht="15" customHeight="1" s="25">
      <c r="A27" s="28" t="inlineStr">
        <is>
          <t>Arbeidsregneark til LØM · Fagskolen Oslo, Avdeling Elkraft. Regnearket er øvingsstøtte, ikke et regnskapssystem.</t>
        </is>
      </c>
    </row>
    <row r="29" ht="15" customHeight="1" s="25">
      <c r="A29" s="29" t="inlineStr">
        <is>
          <t>Hva denne arbeidsboka gjør som den andre ikke gjør</t>
        </is>
      </c>
    </row>
    <row r="30" ht="15" customHeight="1" s="25">
      <c r="A30" s="31" t="inlineStr">
        <is>
          <t>Arbeidsboka «Budsjett» viser resultatbudsjettet og likviditetsbudsjettet ferdig oppstilt, og lar deg skru på kredittiden. Denne arbeidsboka viser hvor tallene i dem kommer fra: seks delbudsjetter som bygger seg opp til tre hovedbudsjetter. Bruk «Budsjett» når du skal forstå forskjellen på resultat og likviditet. Bruk denne når du skal sette opp et budsjett selv.</t>
        </is>
      </c>
    </row>
    <row r="31" ht="15" customHeight="1" s="25">
      <c r="A31" s="28" t="inlineStr">
        <is>
          <t>De to bøkene gir samme driftsresultat for 2027. Bunnen i likviditetsbudsjettet skiller seg med noen tusen kroner, fordi andre driftskostnader her er delt i en variabel og en fast del og derfor fordeler seg litt annerledes over året. Årssummene er de samme.</t>
        </is>
      </c>
    </row>
    <row r="33" ht="15" customHeight="1" s="25">
      <c r="A33" s="29" t="inlineStr">
        <is>
          <t>Veien gjennom arbeidsboka</t>
        </is>
      </c>
    </row>
    <row r="34" ht="27.75" customHeight="1" s="25">
      <c r="A34" s="34" t="inlineStr">
        <is>
          <t>Steg</t>
        </is>
      </c>
      <c r="B34" s="34" t="inlineStr">
        <is>
          <t>Ark</t>
        </is>
      </c>
      <c r="C34" s="34" t="inlineStr">
        <is>
          <t>Hva du gjør</t>
        </is>
      </c>
    </row>
    <row r="35" ht="15" customHeight="1" s="25">
      <c r="A35" s="31" t="inlineStr">
        <is>
          <t>1 · Hvor mye skal vi selge?</t>
        </is>
      </c>
      <c r="B35" s="33" t="inlineStr">
        <is>
          <t>Salgsbudsjett</t>
        </is>
      </c>
      <c r="C35" s="31" t="inlineStr">
        <is>
          <t>Legg inn fakturerte montørtimer og materiellsalg per måned. Dette er den eneste gjetningen i hele budsjettet — alt annet følger av den.</t>
        </is>
      </c>
    </row>
    <row r="36" ht="15" customHeight="1" s="25">
      <c r="A36" s="31" t="inlineStr">
        <is>
          <t>2 · Hva må vi kjøpe inn?</t>
        </is>
      </c>
      <c r="B36" s="33" t="inlineStr">
        <is>
          <t>Materiellbudsjett</t>
        </is>
      </c>
      <c r="C36" s="31" t="inlineStr">
        <is>
          <t>Materiellsalget delt på påslaget gir inntakskosten. Legg til innleie, juster for lagerendring, og du har innkjøpsbudsjettet.</t>
        </is>
      </c>
    </row>
    <row r="37" ht="15" customHeight="1" s="25">
      <c r="A37" s="31" t="inlineStr">
        <is>
          <t>3 · Hva koster folkene?</t>
        </is>
      </c>
      <c r="B37" s="33" t="inlineStr">
        <is>
          <t>Lønnsbudsjett</t>
        </is>
      </c>
      <c r="C37" s="31" t="inlineStr">
        <is>
          <t>Antall ganget med månedslønn, pluss feriepenger og arbeidsgiveravgift.</t>
        </is>
      </c>
    </row>
    <row r="38" ht="15" customHeight="1" s="25">
      <c r="A38" s="31" t="inlineStr">
        <is>
          <t>4 · Hva koster resten?</t>
        </is>
      </c>
      <c r="B38" s="33" t="inlineStr">
        <is>
          <t>Andre kostnader</t>
        </is>
      </c>
      <c r="C38" s="31" t="inlineStr">
        <is>
          <t>Del posten i det som følger salget og det som løper uansett.</t>
        </is>
      </c>
    </row>
    <row r="39" ht="15" customHeight="1" s="25">
      <c r="A39" s="31" t="inlineStr">
        <is>
          <t>5 · Hva skal vi kjøpe og betale ned?</t>
        </is>
      </c>
      <c r="B39" s="33" t="inlineStr">
        <is>
          <t>Investering og finans</t>
        </is>
      </c>
      <c r="C39" s="31" t="inlineStr">
        <is>
          <t>Investering, avskrivninger, avdrag, renter, utbytte og forhåndsskatt.</t>
        </is>
      </c>
    </row>
    <row r="40" ht="15" customHeight="1" s="25">
      <c r="A40" s="31" t="inlineStr">
        <is>
          <t>6 · Hva skylder vi staten?</t>
        </is>
      </c>
      <c r="B40" s="33" t="inlineStr">
        <is>
          <t>Mva-budsjett</t>
        </is>
      </c>
      <c r="C40" s="31" t="inlineStr">
        <is>
          <t>Utgående minus inngående avgift, termin for termin.</t>
        </is>
      </c>
    </row>
    <row r="41" ht="15" customHeight="1" s="25">
      <c r="A41" s="31" t="inlineStr">
        <is>
          <t>7 · Tjener vi penger?</t>
        </is>
      </c>
      <c r="B41" s="33" t="inlineStr">
        <is>
          <t>Resultatbudsjett</t>
        </is>
      </c>
      <c r="C41" s="31" t="inlineStr">
        <is>
          <t>Les av. Ikke skriv. Hele arket er formler.</t>
        </is>
      </c>
    </row>
    <row r="42" ht="15" customHeight="1" s="25">
      <c r="A42" s="31" t="inlineStr">
        <is>
          <t>8 · Har vi penger?</t>
        </is>
      </c>
      <c r="B42" s="33" t="inlineStr">
        <is>
          <t>Likviditetsbudsjett</t>
        </is>
      </c>
      <c r="C42" s="31" t="inlineStr">
        <is>
          <t>Les av bunnen i B67 og måneden i B68. Sammenlikn med driftsresultatet i B75.</t>
        </is>
      </c>
    </row>
    <row r="43" ht="15" customHeight="1" s="25">
      <c r="A43" s="31" t="inlineStr">
        <is>
          <t>9 · Henger det sammen?</t>
        </is>
      </c>
      <c r="B43" s="33" t="inlineStr">
        <is>
          <t>Balansebudsjett</t>
        </is>
      </c>
      <c r="C43" s="31" t="inlineStr">
        <is>
          <t>Går sum eiendeler opp mot sum egenkapital og gjeld, er budsjettet konsistent.</t>
        </is>
      </c>
    </row>
    <row r="44" ht="15" customHeight="1" s="25">
      <c r="A44" s="31" t="inlineStr">
        <is>
          <t>10 · Hva gikk galt i fjor?</t>
        </is>
      </c>
      <c r="B44" s="33" t="inlineStr">
        <is>
          <t>Budsjettkontroll</t>
        </is>
      </c>
      <c r="C44" s="31" t="inlineStr">
        <is>
          <t>Avvik i kroner og prosent per delbudsjett. Skriv forklaringen selv.</t>
        </is>
      </c>
    </row>
    <row r="45" ht="15" customHeight="1" s="25">
      <c r="A45" s="31" t="inlineStr">
        <is>
          <t>11 · Hva om det går annerledes?</t>
        </is>
      </c>
      <c r="B45" s="33" t="inlineStr">
        <is>
          <t>Scenario</t>
        </is>
      </c>
      <c r="C45" s="31" t="inlineStr">
        <is>
          <t>Fire knapper. To flytter resultatet, alle fire flytter kontoen.</t>
        </is>
      </c>
    </row>
    <row r="47" ht="15" customHeight="1" s="25">
      <c r="A47" s="29" t="inlineStr">
        <is>
          <t>Begrepene, forklart der de står</t>
        </is>
      </c>
    </row>
    <row r="49" ht="15" customHeight="1" s="25">
      <c r="A49" s="33" t="inlineStr">
        <is>
          <t>Hovedbudsjett</t>
        </is>
      </c>
      <c r="C49" s="31" t="inlineStr">
        <is>
          <t>Resultatbudsjettet, likviditetsbudsjettet og balansebudsjettet. De tre som til sammen beskriver hele bedriften.</t>
        </is>
      </c>
    </row>
    <row r="50" ht="15" customHeight="1" s="25">
      <c r="A50" s="33" t="inlineStr">
        <is>
          <t>Delbudsjett</t>
        </is>
      </c>
      <c r="C50" s="31" t="inlineStr">
        <is>
          <t>De mindre budsjettene hovedbudsjettene bygges av. Du lager dem for å ha et sted å hente tallene fra — og for at noen skal eie hvert av dem.</t>
        </is>
      </c>
    </row>
    <row r="51" ht="15" customHeight="1" s="25">
      <c r="A51" s="33" t="inlineStr">
        <is>
          <t>Periodisering</t>
        </is>
      </c>
      <c r="C51" s="31" t="inlineStr">
        <is>
          <t>Hvilken periode en inntekt eller kostnad hører hjemme i. Resultatbudsjettet spør når noe OPPSTÅR, likviditetsbudsjettet spør når pengene FLYTTER SEG.</t>
        </is>
      </c>
    </row>
    <row r="52" ht="15" customHeight="1" s="25">
      <c r="A52" s="33" t="inlineStr">
        <is>
          <t>Vareforbruk</t>
        </is>
      </c>
      <c r="C52" s="31" t="inlineStr">
        <is>
          <t>Det bedriften har brukt av varer. Står i resultatbudsjettet.</t>
        </is>
      </c>
    </row>
    <row r="53" ht="15" customHeight="1" s="25">
      <c r="A53" s="33" t="inlineStr">
        <is>
          <t>Varekjøp</t>
        </is>
      </c>
      <c r="C53" s="31" t="inlineStr">
        <is>
          <t>Det bedriften har bestilt hos grossisten. Står i likviditetsbudsjettet. De to er bare like store når lageret er uendret.</t>
        </is>
      </c>
    </row>
    <row r="54" ht="15" customHeight="1" s="25">
      <c r="A54" s="33" t="inlineStr">
        <is>
          <t>Inntakskost</t>
        </is>
      </c>
      <c r="C54" s="31" t="inlineStr">
        <is>
          <t>Det bedriften selv betaler for materiellet, før påslag.</t>
        </is>
      </c>
    </row>
    <row r="55" ht="15" customHeight="1" s="25">
      <c r="A55" s="33" t="inlineStr">
        <is>
          <t>Utgående merverdiavgift</t>
        </is>
      </c>
      <c r="C55" s="31" t="inlineStr">
        <is>
          <t>Avgiften bedriften krever inn fra kundene.</t>
        </is>
      </c>
    </row>
    <row r="56" ht="15" customHeight="1" s="25">
      <c r="A56" s="33" t="inlineStr">
        <is>
          <t>Inngående merverdiavgift</t>
        </is>
      </c>
      <c r="C56" s="31" t="inlineStr">
        <is>
          <t>Avgiften bedriften har betalt til sine leverandører og får trekke fra.</t>
        </is>
      </c>
    </row>
    <row r="57" ht="15" customHeight="1" s="25">
      <c r="A57" s="33" t="inlineStr">
        <is>
          <t>Likviditetsreserve</t>
        </is>
      </c>
      <c r="C57" s="31" t="inlineStr">
        <is>
          <t>Penger på konto pluss den delen av kassekreditten som ikke er brukt. Det du faktisk kan betale regninger med.</t>
        </is>
      </c>
    </row>
    <row r="58" ht="15" customHeight="1" s="25">
      <c r="A58" s="33" t="inlineStr">
        <is>
          <t>Oppbyggingsmetoden</t>
        </is>
      </c>
      <c r="C58" s="31" t="inlineStr">
        <is>
          <t>Budsjettet settes opp nedenfra: hver avdeling lager sitt, og summen blir hovedbudsjettet. Det er slik denne arbeidsboka er bygd.</t>
        </is>
      </c>
    </row>
    <row r="59" ht="15" customHeight="1" s="25">
      <c r="A59" s="33" t="inlineStr">
        <is>
          <t>Nedbrytingsmetoden</t>
        </is>
      </c>
      <c r="C59" s="31" t="inlineStr">
        <is>
          <t>Motsatt vei: ledelsen setter et samlet mål, og det fordeles nedover. Raskere, men gir mindre eierskap.</t>
        </is>
      </c>
    </row>
    <row r="60" ht="15" customHeight="1" s="25">
      <c r="A60" s="33" t="inlineStr">
        <is>
          <t>Rullerende budsjett</t>
        </is>
      </c>
      <c r="C60" s="31" t="inlineStr">
        <is>
          <t>Budsjettet forlenges med en ny måned eller et nytt kvartal hver gang en periode er ferdig, slik at du alltid har tolv måneder framover.</t>
        </is>
      </c>
    </row>
    <row r="62" ht="15" customHeight="1" s="25">
      <c r="A62" s="29" t="inlineStr">
        <is>
          <t>Kontrollradene</t>
        </is>
      </c>
    </row>
    <row r="63" ht="15" customHeight="1" s="25">
      <c r="A63" s="31" t="inlineStr">
        <is>
          <t>Hvert ark har en kontrollblokk. Står det OK, henger tallene sammen. Står det AVVIK, farges cellen rød, og teksten sier hva som ikke går opp.</t>
        </is>
      </c>
    </row>
    <row r="64" ht="15" customHeight="1" s="25">
      <c r="A64" s="31" t="inlineStr">
        <is>
          <t>Den viktigste er Balansebudsjett!B38. Går balansebudsjettet opp, er resultatbudsjettet og likviditetsbudsjettet enige med hverandre. Går det ikke opp, har du budsjettert en post to ganger eller glemt en.</t>
        </is>
      </c>
    </row>
    <row r="65" ht="15" customHeight="1" s="25">
      <c r="A65" s="28" t="inlineStr">
        <is>
          <t>Kontroller i arbeidsboka: Salgsbudsjett B25, Salgsbudsjett B26, Salgsbudsjett B27, Materiellbudsjett B27, Materiellbudsjett B28, Materiellbudsjett B29, Lønnsbudsjett B40, Lønnsbudsjett B41, Lønnsbudsjett B42, Andre kostnader B23, Andre kostnader B24, Investering og finans B48, Investering og finans B49, Investering og finans B50, Mva-budsjett B26, Mva-budsjett B27, Mva-budsjett B28, Resultatbudsjett B28, Resultatbudsjett B29, Resultatbudsjett B30, Likviditetsbudsjett B78, Likviditetsbudsjett B79, Likviditetsbudsjett B80, Likviditetsbudsjett B81, Likviditetsbudsjett B82, Balansebudsjett B37, Balansebudsjett B38, Balansebudsjett B39, Budsjettkontroll B29, Budsjettkontroll B30, Budsjettkontroll B31, Scenario B37, Scenario B38, Scenario B39</t>
        </is>
      </c>
    </row>
    <row r="67" ht="15" customHeight="1" s="25">
      <c r="A67" s="29" t="inlineStr">
        <is>
          <t>Slik henger kapitlene sammen</t>
        </is>
      </c>
    </row>
    <row r="68" ht="15" customHeight="1" s="25">
      <c r="A68" s="31" t="inlineStr">
        <is>
          <t>Timeprisen og materiellpåslaget i salgsbudsjettet er kapittel 5 sine. Delingen i faste og variable kostnader er kapittel 2 og kapittel 8. Kundefordringene og kredittiden binder kapital, slik kapittel 6 regner det. Investeringen i mars er den du regner nåverdien av i kapittel 10. Balansebudsjettet er den samme balansen som i kapittel 3, og nøkkeltallene ut av den er kapittel 4 sine — bare satt ett år fram i tid.</t>
        </is>
      </c>
    </row>
    <row r="70" ht="15" customHeight="1" s="25">
      <c r="A70" s="29" t="inlineStr">
        <is>
          <t>Kilder</t>
        </is>
      </c>
    </row>
    <row r="71" ht="15" customHeight="1" s="25">
      <c r="A71" s="28" t="inlineStr">
        <is>
          <t>Hjertnes, J. og Skorpen, K.: Økonomistyring for LØM-emnet (ISBN 978-82-450-5544-3), kapittel 9 «Budsjettering og budsjettkontroll», avsnitt 9.1 til 9.9. Forfallsregler for merverdiavgift, arbeidsgiveravgift og forhåndsskatt: merverdiavgiftsloven og skattebetalingsloven (Lovdata).</t>
        </is>
      </c>
    </row>
    <row r="72" ht="15" customHeight="1" s="25">
      <c r="A72" s="28" t="inlineStr">
        <is>
          <t>Bransjetall: NHO Elektro, Lønnsomhetsrapport 2025, gjengitt i Elektro 24-7 19.08.2026 (hentet 10.09.2026). De 809 er bedriftene i datagrunnlaget, ikke bransjen. NHO Elektro oppgir ikke svarprosent.</t>
        </is>
      </c>
    </row>
    <row r="73" ht="15" customHeight="1" s="25">
      <c r="A73" s="28" t="inlineStr">
        <is>
          <t>Nordlys Elektro AS er en konstruert casebedrift. Tallene henger sammen på tvers av alle ti kapitlene i Bok 1.</t>
        </is>
      </c>
    </row>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O30"/>
  <sheetViews>
    <sheetView showFormulas="0" showGridLines="0" showRowColHeaders="1" showZeros="1" rightToLeft="0" tabSelected="0" showOutlineSymbols="1" defaultGridColor="1" view="normal" topLeftCell="A1" colorId="64" zoomScale="100" zoomScaleNormal="100" zoomScalePageLayoutView="100" workbookViewId="0">
      <pane xSplit="2" ySplit="12" topLeftCell="C13" activePane="bottomRight" state="frozen"/>
      <selection pane="topLeft" activeCell="A1" activeCellId="0" sqref="A1"/>
      <selection pane="topRight" activeCell="C1" activeCellId="0" sqref="C1"/>
      <selection pane="bottomLeft" activeCell="A13" activeCellId="0" sqref="A13"/>
      <selection pane="bottomRight" activeCell="A1" activeCellId="0" sqref="A1"/>
    </sheetView>
  </sheetViews>
  <sheetFormatPr baseColWidth="8" defaultColWidth="8.6796875" defaultRowHeight="15" zeroHeight="0" outlineLevelRow="0"/>
  <cols>
    <col width="44" customWidth="1" style="24" min="1" max="1"/>
    <col width="17" customWidth="1" style="24" min="2" max="2"/>
    <col width="13" customWidth="1" style="24" min="3" max="14"/>
    <col width="56" customWidth="1" style="24" min="15" max="15"/>
  </cols>
  <sheetData>
    <row r="1" ht="17.35" customHeight="1" s="25">
      <c r="A1" s="26" t="inlineStr">
        <is>
          <t>Salgsbudsjett 2027</t>
        </is>
      </c>
    </row>
    <row r="2" ht="15" customHeight="1" s="25">
      <c r="A2" s="27" t="inlineStr">
        <is>
          <t>Motoren. Alt annet i arbeidsboka henger i dette arket — både det bedriften tjener og det som kommer inn på konto.</t>
        </is>
      </c>
    </row>
    <row r="4" ht="15" customHeight="1" s="25">
      <c r="A4" s="29" t="inlineStr">
        <is>
          <t>1 · Forutsetningene</t>
        </is>
      </c>
    </row>
    <row r="5" ht="15" customHeight="1" s="25">
      <c r="A5" s="31" t="inlineStr">
        <is>
          <t>Timepris ut, kroner per fakturert montørtime</t>
        </is>
      </c>
      <c r="B5" s="35" t="n">
        <v>890</v>
      </c>
      <c r="O5" s="31" t="inlineStr">
        <is>
          <t>Prisen kunden betaler for én montørtime, uten merverdiavgift. Den er bygd opp fra kostnadene i kapittel 5.</t>
        </is>
      </c>
    </row>
    <row r="6" ht="15" customHeight="1" s="25">
      <c r="A6" s="31" t="inlineStr">
        <is>
          <t>Materiellpåslag</t>
        </is>
      </c>
      <c r="B6" s="36" t="n">
        <v>0.2</v>
      </c>
      <c r="O6" s="31" t="inlineStr">
        <is>
          <t>Det Nordlys legger oppå innkjøpsprisen på materiellet. Påslaget skal dekke svinn, lagerplass og bestillingsarbeid.</t>
        </is>
      </c>
    </row>
    <row r="7" ht="15" customHeight="1" s="25">
      <c r="A7" s="31" t="inlineStr">
        <is>
          <t>Merverdiavgiftssats</t>
        </is>
      </c>
      <c r="B7" s="36" t="n">
        <v>0.25</v>
      </c>
      <c r="O7" s="31" t="inlineStr">
        <is>
          <t>Alminnelig sats. Merverdiavgift er ikke en kostnad — den kreves inn fra kunden og sendes videre til staten.</t>
        </is>
      </c>
    </row>
    <row r="8" ht="15" customHeight="1" s="25">
      <c r="A8" s="31" t="inlineStr">
        <is>
          <t>Vekst i omsetningen, hentet fra arket Scenario</t>
        </is>
      </c>
      <c r="B8" s="37">
        <f>Scenario!$B$6</f>
        <v/>
      </c>
      <c r="O8" s="31" t="inlineStr">
        <is>
          <t>Står på null i grunnbudsjettet. Skru på den i arket Scenario.</t>
        </is>
      </c>
    </row>
    <row r="9" ht="15" customHeight="1" s="25">
      <c r="A9" s="33" t="inlineStr">
        <is>
          <t>= Vekstfaktor</t>
        </is>
      </c>
      <c r="B9" s="38">
        <f>1+B8</f>
        <v/>
      </c>
    </row>
    <row r="11" ht="15" customHeight="1" s="25">
      <c r="A11" s="29" t="inlineStr">
        <is>
          <t>2 · Salgsbudsjettet måned for måned</t>
        </is>
      </c>
    </row>
    <row r="12" ht="27.75" customHeight="1" s="25">
      <c r="A12" s="34" t="inlineStr">
        <is>
          <t>Post</t>
        </is>
      </c>
      <c r="B12" s="34" t="inlineStr">
        <is>
          <t>År</t>
        </is>
      </c>
      <c r="C12" s="34" t="inlineStr">
        <is>
          <t>Jan</t>
        </is>
      </c>
      <c r="D12" s="34" t="inlineStr">
        <is>
          <t>Feb</t>
        </is>
      </c>
      <c r="E12" s="34" t="inlineStr">
        <is>
          <t>Mar</t>
        </is>
      </c>
      <c r="F12" s="34" t="inlineStr">
        <is>
          <t>Apr</t>
        </is>
      </c>
      <c r="G12" s="34" t="inlineStr">
        <is>
          <t>Mai</t>
        </is>
      </c>
      <c r="H12" s="34" t="inlineStr">
        <is>
          <t>Jun</t>
        </is>
      </c>
      <c r="I12" s="34" t="inlineStr">
        <is>
          <t>Jul</t>
        </is>
      </c>
      <c r="J12" s="34" t="inlineStr">
        <is>
          <t>Aug</t>
        </is>
      </c>
      <c r="K12" s="34" t="inlineStr">
        <is>
          <t>Sep</t>
        </is>
      </c>
      <c r="L12" s="34" t="inlineStr">
        <is>
          <t>Okt</t>
        </is>
      </c>
      <c r="M12" s="34" t="inlineStr">
        <is>
          <t>Nov</t>
        </is>
      </c>
      <c r="N12" s="34" t="inlineStr">
        <is>
          <t>Des</t>
        </is>
      </c>
      <c r="O12" s="34" t="inlineStr">
        <is>
          <t>Kommentar</t>
        </is>
      </c>
    </row>
    <row r="13" ht="15" customHeight="1" s="25">
      <c r="A13" s="31" t="inlineStr">
        <is>
          <t>Månedsnummer</t>
        </is>
      </c>
      <c r="C13" s="39">
        <f>1</f>
        <v/>
      </c>
      <c r="D13" s="39">
        <f>2</f>
        <v/>
      </c>
      <c r="E13" s="39">
        <f>3</f>
        <v/>
      </c>
      <c r="F13" s="39">
        <f>4</f>
        <v/>
      </c>
      <c r="G13" s="39">
        <f>5</f>
        <v/>
      </c>
      <c r="H13" s="39">
        <f>6</f>
        <v/>
      </c>
      <c r="I13" s="39">
        <f>7</f>
        <v/>
      </c>
      <c r="J13" s="39">
        <f>8</f>
        <v/>
      </c>
      <c r="K13" s="39">
        <f>9</f>
        <v/>
      </c>
      <c r="L13" s="39">
        <f>10</f>
        <v/>
      </c>
      <c r="M13" s="39">
        <f>11</f>
        <v/>
      </c>
      <c r="N13" s="39">
        <f>12</f>
        <v/>
      </c>
    </row>
    <row r="14" ht="15" customHeight="1" s="25">
      <c r="A14" s="31" t="inlineStr">
        <is>
          <t>Fakturerte montørtimer</t>
        </is>
      </c>
      <c r="B14" s="40">
        <f>SUM(C14:N14)</f>
        <v/>
      </c>
      <c r="C14" s="41" t="n">
        <v>1154</v>
      </c>
      <c r="D14" s="41" t="n">
        <v>1347</v>
      </c>
      <c r="E14" s="41" t="n">
        <v>1411</v>
      </c>
      <c r="F14" s="41" t="n">
        <v>1347</v>
      </c>
      <c r="G14" s="41" t="n">
        <v>1282</v>
      </c>
      <c r="H14" s="41" t="n">
        <v>1282</v>
      </c>
      <c r="I14" s="41" t="n">
        <v>770</v>
      </c>
      <c r="J14" s="41" t="n">
        <v>1218</v>
      </c>
      <c r="K14" s="41" t="n">
        <v>1347</v>
      </c>
      <c r="L14" s="41" t="n">
        <v>1411</v>
      </c>
      <c r="M14" s="41" t="n">
        <v>1475</v>
      </c>
      <c r="N14" s="41" t="n">
        <v>1346</v>
      </c>
      <c r="O14" s="31" t="inlineStr">
        <is>
          <t>Timene montørene får skrevet på en kunde. Tynn januar, stille juli, tunge høstmåneder — slik året ser ut i en installasjonsbedrift.</t>
        </is>
      </c>
    </row>
    <row r="15" ht="15" customHeight="1" s="25">
      <c r="A15" s="31" t="inlineStr">
        <is>
          <t>Timeomsetning</t>
        </is>
      </c>
      <c r="B15" s="42">
        <f>SUM(C15:N15)</f>
        <v/>
      </c>
      <c r="C15" s="42">
        <f>C14*$B$5*$B$9</f>
        <v/>
      </c>
      <c r="D15" s="42">
        <f>D14*$B$5*$B$9</f>
        <v/>
      </c>
      <c r="E15" s="42">
        <f>E14*$B$5*$B$9</f>
        <v/>
      </c>
      <c r="F15" s="42">
        <f>F14*$B$5*$B$9</f>
        <v/>
      </c>
      <c r="G15" s="42">
        <f>G14*$B$5*$B$9</f>
        <v/>
      </c>
      <c r="H15" s="42">
        <f>H14*$B$5*$B$9</f>
        <v/>
      </c>
      <c r="I15" s="42">
        <f>I14*$B$5*$B$9</f>
        <v/>
      </c>
      <c r="J15" s="42">
        <f>J14*$B$5*$B$9</f>
        <v/>
      </c>
      <c r="K15" s="42">
        <f>K14*$B$5*$B$9</f>
        <v/>
      </c>
      <c r="L15" s="42">
        <f>L14*$B$5*$B$9</f>
        <v/>
      </c>
      <c r="M15" s="42">
        <f>M14*$B$5*$B$9</f>
        <v/>
      </c>
      <c r="N15" s="42">
        <f>N14*$B$5*$B$9</f>
        <v/>
      </c>
      <c r="O15" s="31" t="inlineStr">
        <is>
          <t>Timer ganget med timepris.</t>
        </is>
      </c>
    </row>
    <row r="16" ht="15" customHeight="1" s="25">
      <c r="A16" s="31" t="inlineStr">
        <is>
          <t>Materiellsalg til kunde, grunnbudsjett</t>
        </is>
      </c>
      <c r="B16" s="43">
        <f>SUM(C16:N16)</f>
        <v/>
      </c>
      <c r="C16" s="35" t="n">
        <v>772940</v>
      </c>
      <c r="D16" s="35" t="n">
        <v>901170</v>
      </c>
      <c r="E16" s="35" t="n">
        <v>944210</v>
      </c>
      <c r="F16" s="35" t="n">
        <v>901170</v>
      </c>
      <c r="G16" s="35" t="n">
        <v>859020</v>
      </c>
      <c r="H16" s="35" t="n">
        <v>859020</v>
      </c>
      <c r="I16" s="35" t="n">
        <v>514700</v>
      </c>
      <c r="J16" s="35" t="n">
        <v>815980</v>
      </c>
      <c r="K16" s="35" t="n">
        <v>901170</v>
      </c>
      <c r="L16" s="35" t="n">
        <v>944210</v>
      </c>
      <c r="M16" s="35" t="n">
        <v>987250</v>
      </c>
      <c r="N16" s="35" t="n">
        <v>902060</v>
      </c>
      <c r="O16" s="31" t="inlineStr">
        <is>
          <t>Materiellet slik det står på fakturaen til kunden, altså med påslaget på.</t>
        </is>
      </c>
    </row>
    <row r="17" ht="15" customHeight="1" s="25">
      <c r="A17" s="31" t="inlineStr">
        <is>
          <t>Materiellomsetning</t>
        </is>
      </c>
      <c r="B17" s="42">
        <f>SUM(C17:N17)</f>
        <v/>
      </c>
      <c r="C17" s="42">
        <f>C16*$B$9</f>
        <v/>
      </c>
      <c r="D17" s="42">
        <f>D16*$B$9</f>
        <v/>
      </c>
      <c r="E17" s="42">
        <f>E16*$B$9</f>
        <v/>
      </c>
      <c r="F17" s="42">
        <f>F16*$B$9</f>
        <v/>
      </c>
      <c r="G17" s="42">
        <f>G16*$B$9</f>
        <v/>
      </c>
      <c r="H17" s="42">
        <f>H16*$B$9</f>
        <v/>
      </c>
      <c r="I17" s="42">
        <f>I16*$B$9</f>
        <v/>
      </c>
      <c r="J17" s="42">
        <f>J16*$B$9</f>
        <v/>
      </c>
      <c r="K17" s="42">
        <f>K16*$B$9</f>
        <v/>
      </c>
      <c r="L17" s="42">
        <f>L16*$B$9</f>
        <v/>
      </c>
      <c r="M17" s="42">
        <f>M16*$B$9</f>
        <v/>
      </c>
      <c r="N17" s="42">
        <f>N16*$B$9</f>
        <v/>
      </c>
    </row>
    <row r="18" ht="15" customHeight="1" s="25">
      <c r="A18" s="33" t="inlineStr">
        <is>
          <t>= Salgsinntekt uten merverdiavgift</t>
        </is>
      </c>
      <c r="B18" s="43">
        <f>SUM(C18:N18)</f>
        <v/>
      </c>
      <c r="C18" s="43">
        <f>C15+C17</f>
        <v/>
      </c>
      <c r="D18" s="43">
        <f>D15+D17</f>
        <v/>
      </c>
      <c r="E18" s="43">
        <f>E15+E17</f>
        <v/>
      </c>
      <c r="F18" s="43">
        <f>F15+F17</f>
        <v/>
      </c>
      <c r="G18" s="43">
        <f>G15+G17</f>
        <v/>
      </c>
      <c r="H18" s="43">
        <f>H15+H17</f>
        <v/>
      </c>
      <c r="I18" s="43">
        <f>I15+I17</f>
        <v/>
      </c>
      <c r="J18" s="43">
        <f>J15+J17</f>
        <v/>
      </c>
      <c r="K18" s="43">
        <f>K15+K17</f>
        <v/>
      </c>
      <c r="L18" s="43">
        <f>L15+L17</f>
        <v/>
      </c>
      <c r="M18" s="43">
        <f>M15+M17</f>
        <v/>
      </c>
      <c r="N18" s="43">
        <f>N15+N17</f>
        <v/>
      </c>
      <c r="O18" s="31" t="inlineStr">
        <is>
          <t>Denne linja går rett inn i resultatbudsjettet.</t>
        </is>
      </c>
    </row>
    <row r="19" ht="15" customHeight="1" s="25">
      <c r="A19" s="31" t="inlineStr">
        <is>
          <t>+ Utgående merverdiavgift</t>
        </is>
      </c>
      <c r="B19" s="42">
        <f>SUM(C19:N19)</f>
        <v/>
      </c>
      <c r="C19" s="42">
        <f>C18*$B$7</f>
        <v/>
      </c>
      <c r="D19" s="42">
        <f>D18*$B$7</f>
        <v/>
      </c>
      <c r="E19" s="42">
        <f>E18*$B$7</f>
        <v/>
      </c>
      <c r="F19" s="42">
        <f>F18*$B$7</f>
        <v/>
      </c>
      <c r="G19" s="42">
        <f>G18*$B$7</f>
        <v/>
      </c>
      <c r="H19" s="42">
        <f>H18*$B$7</f>
        <v/>
      </c>
      <c r="I19" s="42">
        <f>I18*$B$7</f>
        <v/>
      </c>
      <c r="J19" s="42">
        <f>J18*$B$7</f>
        <v/>
      </c>
      <c r="K19" s="42">
        <f>K18*$B$7</f>
        <v/>
      </c>
      <c r="L19" s="42">
        <f>L18*$B$7</f>
        <v/>
      </c>
      <c r="M19" s="42">
        <f>M18*$B$7</f>
        <v/>
      </c>
      <c r="N19" s="42">
        <f>N18*$B$7</f>
        <v/>
      </c>
      <c r="O19" s="31" t="inlineStr">
        <is>
          <t>Går inn i mva-budsjettet.</t>
        </is>
      </c>
    </row>
    <row r="20" ht="15" customHeight="1" s="25">
      <c r="A20" s="33" t="inlineStr">
        <is>
          <t>= Salgsinntekt inkl. merverdiavgift</t>
        </is>
      </c>
      <c r="B20" s="43">
        <f>SUM(C20:N20)</f>
        <v/>
      </c>
      <c r="C20" s="43">
        <f>C18+C19</f>
        <v/>
      </c>
      <c r="D20" s="43">
        <f>D18+D19</f>
        <v/>
      </c>
      <c r="E20" s="43">
        <f>E18+E19</f>
        <v/>
      </c>
      <c r="F20" s="43">
        <f>F18+F19</f>
        <v/>
      </c>
      <c r="G20" s="43">
        <f>G18+G19</f>
        <v/>
      </c>
      <c r="H20" s="43">
        <f>H18+H19</f>
        <v/>
      </c>
      <c r="I20" s="43">
        <f>I18+I19</f>
        <v/>
      </c>
      <c r="J20" s="43">
        <f>J18+J19</f>
        <v/>
      </c>
      <c r="K20" s="43">
        <f>K18+K19</f>
        <v/>
      </c>
      <c r="L20" s="43">
        <f>L18+L19</f>
        <v/>
      </c>
      <c r="M20" s="43">
        <f>M18+M19</f>
        <v/>
      </c>
      <c r="N20" s="43">
        <f>N18+N19</f>
        <v/>
      </c>
      <c r="O20" s="31" t="inlineStr">
        <is>
          <t>Dette er beløpet kunden betaler, og det er dette som kommer inn på konto — men først når kunden har betalt.</t>
        </is>
      </c>
    </row>
    <row r="21" ht="15" customHeight="1" s="25">
      <c r="A21" s="31" t="inlineStr">
        <is>
          <t>Grunnbudsjettet, uten vekst</t>
        </is>
      </c>
      <c r="B21" s="42">
        <f>SUM(C21:N21)</f>
        <v/>
      </c>
      <c r="C21" s="42">
        <f>C14*$B$5+C16</f>
        <v/>
      </c>
      <c r="D21" s="42">
        <f>D14*$B$5+D16</f>
        <v/>
      </c>
      <c r="E21" s="42">
        <f>E14*$B$5+E16</f>
        <v/>
      </c>
      <c r="F21" s="42">
        <f>F14*$B$5+F16</f>
        <v/>
      </c>
      <c r="G21" s="42">
        <f>G14*$B$5+G16</f>
        <v/>
      </c>
      <c r="H21" s="42">
        <f>H14*$B$5+H16</f>
        <v/>
      </c>
      <c r="I21" s="42">
        <f>I14*$B$5+I16</f>
        <v/>
      </c>
      <c r="J21" s="42">
        <f>J14*$B$5+J16</f>
        <v/>
      </c>
      <c r="K21" s="42">
        <f>K14*$B$5+K16</f>
        <v/>
      </c>
      <c r="L21" s="42">
        <f>L14*$B$5+L16</f>
        <v/>
      </c>
      <c r="M21" s="42">
        <f>M14*$B$5+M16</f>
        <v/>
      </c>
      <c r="N21" s="42">
        <f>N14*$B$5+N16</f>
        <v/>
      </c>
      <c r="O21" s="31" t="inlineStr">
        <is>
          <t>Salget slik det er budsjettert, før scenarioknappene. Brukes av kostnadsbudsjettet til å skille faste fra variable kostnader.</t>
        </is>
      </c>
    </row>
    <row r="23" ht="15" customHeight="1" s="25">
      <c r="A23" s="29" t="inlineStr">
        <is>
          <t>3 · Kontroll</t>
        </is>
      </c>
    </row>
    <row r="24" ht="15" customHeight="1" s="25">
      <c r="A24" s="31" t="inlineStr">
        <is>
          <t>Salgsinntekten Nordlys har budsjettert for 2027</t>
        </is>
      </c>
      <c r="B24" s="35" t="n">
        <v>24000000</v>
      </c>
    </row>
    <row r="25" ht="15" customHeight="1" s="25">
      <c r="A25" s="31" t="inlineStr">
        <is>
          <t>Treffer grunnbudsjettet det budsjettet sier?</t>
        </is>
      </c>
      <c r="B25" s="44">
        <f>IF(ABS(B21-B24)&lt;1,"OK — salgsbudsjettet summerer seg til den salgsinntekten bedriften har lagt inn","AVVIK: timene, timeprisen eller materiellsalget gir ikke den budsjetterte salgsinntekten")</f>
        <v/>
      </c>
    </row>
    <row r="26" ht="15" customHeight="1" s="25">
      <c r="A26" s="31" t="inlineStr">
        <is>
          <t>Blir det materiell å selge i alle månedene?</t>
        </is>
      </c>
      <c r="B26" s="44">
        <f>IF(MIN(C16:N16)&gt;0,"OK — alle månedene har både timer og materiell","AVVIK: én av månedene har negativt materiellsalg — da er timene eller timeprisen satt for høyt")</f>
        <v/>
      </c>
    </row>
    <row r="27" ht="15" customHeight="1" s="25">
      <c r="A27" s="31" t="inlineStr">
        <is>
          <t>Summerer månedene seg til året?</t>
        </is>
      </c>
      <c r="B27" s="44">
        <f>IF(ABS(SUM(C18:N18)-B18)&lt;1,"OK — de tolv månedene summerer seg til årsbudsjettet","AVVIK: månedene og året gir ulik salgsinntekt")</f>
        <v/>
      </c>
    </row>
    <row r="29" ht="15" customHeight="1" s="25">
      <c r="A29" s="33" t="inlineStr">
        <is>
          <t>Prøv dette: flytt 200 timer fra juli til august. Salgsinntekten for året står stille, men se hva som skjer med driftsresultatet i juli i resultatbudsjettet — de faste kostnadene løper uansett.</t>
        </is>
      </c>
    </row>
    <row r="30" ht="15" customHeight="1" s="25">
      <c r="A30" s="28" t="inlineStr">
        <is>
          <t>Kilde: Bok 1 kap. 9.2. Timepris og materiellpåslag er de samme som i kapittel 5. Hjertnes, J. og Skorpen, K.: Økonomistyring for LØM-emnet (ISBN 978-82-450-5544-3), kapittel 9 «Budsjettering og budsjettkontroll»</t>
        </is>
      </c>
    </row>
  </sheetData>
  <conditionalFormatting sqref="B25">
    <cfRule type="expression" rank="0" priority="2" equalAverage="0" aboveAverage="0" dxfId="0" text="" percent="0" bottom="0">
      <formula>LEFT(B25,5)="AVVIK"</formula>
    </cfRule>
  </conditionalFormatting>
  <conditionalFormatting sqref="B26">
    <cfRule type="expression" rank="0" priority="3" equalAverage="0" aboveAverage="0" dxfId="0" text="" percent="0" bottom="0">
      <formula>LEFT(B26,5)="AVVIK"</formula>
    </cfRule>
  </conditionalFormatting>
  <conditionalFormatting sqref="B27">
    <cfRule type="expression" rank="0" priority="4" equalAverage="0" aboveAverage="0" dxfId="0" text="" percent="0" bottom="0">
      <formula>LEFT(B27,5)="AVVIK"</formula>
    </cfRule>
  </conditionalFormatting>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O32"/>
  <sheetViews>
    <sheetView showFormulas="0" showGridLines="0" showRowColHeaders="1" showZeros="1" rightToLeft="0" tabSelected="0" showOutlineSymbols="1" defaultGridColor="1"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baseColWidth="8" defaultColWidth="8.6796875" defaultRowHeight="15" zeroHeight="0" outlineLevelRow="0"/>
  <cols>
    <col width="44" customWidth="1" style="24" min="1" max="1"/>
    <col width="17" customWidth="1" style="24" min="2" max="2"/>
    <col width="13" customWidth="1" style="24" min="3" max="14"/>
    <col width="56" customWidth="1" style="24" min="15" max="15"/>
  </cols>
  <sheetData>
    <row r="1" ht="17.35" customHeight="1" s="25">
      <c r="A1" s="26" t="inlineStr">
        <is>
          <t>Materiell- og innkjøpsbudsjett 2027</t>
        </is>
      </c>
    </row>
    <row r="2" ht="15" customHeight="1" s="25">
      <c r="A2" s="27" t="inlineStr">
        <is>
          <t>Forbruk er ikke det samme som innkjøp. Det er innkjøpet som skal betales.</t>
        </is>
      </c>
    </row>
    <row r="4" ht="15" customHeight="1" s="25">
      <c r="A4" s="29" t="inlineStr">
        <is>
          <t>1 · Forutsetningene</t>
        </is>
      </c>
    </row>
    <row r="5" ht="15" customHeight="1" s="25">
      <c r="A5" s="31" t="inlineStr">
        <is>
          <t>Materiellpåslag</t>
        </is>
      </c>
      <c r="B5" s="37">
        <f>Salgsbudsjett!$B$6</f>
        <v/>
      </c>
      <c r="O5" s="31" t="inlineStr">
        <is>
          <t>Hentet fra salgsbudsjettet. Endrer du satsen der, endrer den seg her.</t>
        </is>
      </c>
    </row>
    <row r="6" ht="15" customHeight="1" s="25">
      <c r="A6" s="31" t="inlineStr">
        <is>
          <t>Merverdiavgiftssats</t>
        </is>
      </c>
      <c r="B6" s="37">
        <f>Salgsbudsjett!$B$7</f>
        <v/>
      </c>
    </row>
    <row r="7" ht="15" customHeight="1" s="25">
      <c r="A7" s="31" t="inlineStr">
        <is>
          <t>Vekstfaktor</t>
        </is>
      </c>
      <c r="B7" s="45">
        <f>Salgsbudsjett!$B$9</f>
        <v/>
      </c>
    </row>
    <row r="9" ht="15" customHeight="1" s="25">
      <c r="A9" s="29" t="inlineStr">
        <is>
          <t>2 · Fra materiellsalg til varekjøp</t>
        </is>
      </c>
    </row>
    <row r="10" ht="27.75" customHeight="1" s="25">
      <c r="A10" s="34" t="inlineStr">
        <is>
          <t>Post</t>
        </is>
      </c>
      <c r="B10" s="34" t="inlineStr">
        <is>
          <t>År</t>
        </is>
      </c>
      <c r="C10" s="34" t="inlineStr">
        <is>
          <t>Jan</t>
        </is>
      </c>
      <c r="D10" s="34" t="inlineStr">
        <is>
          <t>Feb</t>
        </is>
      </c>
      <c r="E10" s="34" t="inlineStr">
        <is>
          <t>Mar</t>
        </is>
      </c>
      <c r="F10" s="34" t="inlineStr">
        <is>
          <t>Apr</t>
        </is>
      </c>
      <c r="G10" s="34" t="inlineStr">
        <is>
          <t>Mai</t>
        </is>
      </c>
      <c r="H10" s="34" t="inlineStr">
        <is>
          <t>Jun</t>
        </is>
      </c>
      <c r="I10" s="34" t="inlineStr">
        <is>
          <t>Jul</t>
        </is>
      </c>
      <c r="J10" s="34" t="inlineStr">
        <is>
          <t>Aug</t>
        </is>
      </c>
      <c r="K10" s="34" t="inlineStr">
        <is>
          <t>Sep</t>
        </is>
      </c>
      <c r="L10" s="34" t="inlineStr">
        <is>
          <t>Okt</t>
        </is>
      </c>
      <c r="M10" s="34" t="inlineStr">
        <is>
          <t>Nov</t>
        </is>
      </c>
      <c r="N10" s="34" t="inlineStr">
        <is>
          <t>Des</t>
        </is>
      </c>
      <c r="O10" s="34" t="inlineStr">
        <is>
          <t>Kommentar</t>
        </is>
      </c>
    </row>
    <row r="11" ht="15" customHeight="1" s="25">
      <c r="A11" s="31" t="inlineStr">
        <is>
          <t>Månedsnummer</t>
        </is>
      </c>
      <c r="C11" s="39">
        <f>1</f>
        <v/>
      </c>
      <c r="D11" s="39">
        <f>2</f>
        <v/>
      </c>
      <c r="E11" s="39">
        <f>3</f>
        <v/>
      </c>
      <c r="F11" s="39">
        <f>4</f>
        <v/>
      </c>
      <c r="G11" s="39">
        <f>5</f>
        <v/>
      </c>
      <c r="H11" s="39">
        <f>6</f>
        <v/>
      </c>
      <c r="I11" s="39">
        <f>7</f>
        <v/>
      </c>
      <c r="J11" s="39">
        <f>8</f>
        <v/>
      </c>
      <c r="K11" s="39">
        <f>9</f>
        <v/>
      </c>
      <c r="L11" s="39">
        <f>10</f>
        <v/>
      </c>
      <c r="M11" s="39">
        <f>11</f>
        <v/>
      </c>
      <c r="N11" s="39">
        <f>12</f>
        <v/>
      </c>
    </row>
    <row r="12" ht="15" customHeight="1" s="25">
      <c r="A12" s="31" t="inlineStr">
        <is>
          <t>Materiellomsetning, fra salgsbudsjettet</t>
        </is>
      </c>
      <c r="B12" s="42">
        <f>SUM(C12:N12)</f>
        <v/>
      </c>
      <c r="C12" s="42">
        <f>Salgsbudsjett!C17</f>
        <v/>
      </c>
      <c r="D12" s="42">
        <f>Salgsbudsjett!D17</f>
        <v/>
      </c>
      <c r="E12" s="42">
        <f>Salgsbudsjett!E17</f>
        <v/>
      </c>
      <c r="F12" s="42">
        <f>Salgsbudsjett!F17</f>
        <v/>
      </c>
      <c r="G12" s="42">
        <f>Salgsbudsjett!G17</f>
        <v/>
      </c>
      <c r="H12" s="42">
        <f>Salgsbudsjett!H17</f>
        <v/>
      </c>
      <c r="I12" s="42">
        <f>Salgsbudsjett!I17</f>
        <v/>
      </c>
      <c r="J12" s="42">
        <f>Salgsbudsjett!J17</f>
        <v/>
      </c>
      <c r="K12" s="42">
        <f>Salgsbudsjett!K17</f>
        <v/>
      </c>
      <c r="L12" s="42">
        <f>Salgsbudsjett!L17</f>
        <v/>
      </c>
      <c r="M12" s="42">
        <f>Salgsbudsjett!M17</f>
        <v/>
      </c>
      <c r="N12" s="42">
        <f>Salgsbudsjett!N17</f>
        <v/>
      </c>
    </row>
    <row r="13" ht="15" customHeight="1" s="25">
      <c r="A13" s="33" t="inlineStr">
        <is>
          <t>= Materiellforbruk, inntakskost</t>
        </is>
      </c>
      <c r="B13" s="43">
        <f>SUM(C13:N13)</f>
        <v/>
      </c>
      <c r="C13" s="43">
        <f>C12/(1+$B$5)</f>
        <v/>
      </c>
      <c r="D13" s="43">
        <f>D12/(1+$B$5)</f>
        <v/>
      </c>
      <c r="E13" s="43">
        <f>E12/(1+$B$5)</f>
        <v/>
      </c>
      <c r="F13" s="43">
        <f>F12/(1+$B$5)</f>
        <v/>
      </c>
      <c r="G13" s="43">
        <f>G12/(1+$B$5)</f>
        <v/>
      </c>
      <c r="H13" s="43">
        <f>H12/(1+$B$5)</f>
        <v/>
      </c>
      <c r="I13" s="43">
        <f>I12/(1+$B$5)</f>
        <v/>
      </c>
      <c r="J13" s="43">
        <f>J12/(1+$B$5)</f>
        <v/>
      </c>
      <c r="K13" s="43">
        <f>K12/(1+$B$5)</f>
        <v/>
      </c>
      <c r="L13" s="43">
        <f>L12/(1+$B$5)</f>
        <v/>
      </c>
      <c r="M13" s="43">
        <f>M12/(1+$B$5)</f>
        <v/>
      </c>
      <c r="N13" s="43">
        <f>N12/(1+$B$5)</f>
        <v/>
      </c>
      <c r="O13" s="31" t="inlineStr">
        <is>
          <t>Vi går baklengs gjennom påslaget: 20 prosent oppå inntakskosten betyr at fakturabeløpet deles på 1,20. Dette er det Nordlys selv betaler Polarlys Elektro Grossist AS for varene.</t>
        </is>
      </c>
    </row>
    <row r="14" ht="15" customHeight="1" s="25">
      <c r="A14" s="31" t="inlineStr">
        <is>
          <t>Innleide montører, grunnbudsjett</t>
        </is>
      </c>
      <c r="B14" s="43">
        <f>SUM(C14:N14)</f>
        <v/>
      </c>
      <c r="C14" s="35" t="n">
        <v>31068.75</v>
      </c>
      <c r="D14" s="35" t="n">
        <v>36246.88</v>
      </c>
      <c r="E14" s="35" t="n">
        <v>37972.92</v>
      </c>
      <c r="F14" s="35" t="n">
        <v>36246.88</v>
      </c>
      <c r="G14" s="35" t="n">
        <v>34520.83</v>
      </c>
      <c r="H14" s="35" t="n">
        <v>34520.83</v>
      </c>
      <c r="I14" s="35" t="n">
        <v>20712.5</v>
      </c>
      <c r="J14" s="35" t="n">
        <v>32794.79</v>
      </c>
      <c r="K14" s="35" t="n">
        <v>36246.88</v>
      </c>
      <c r="L14" s="35" t="n">
        <v>37972.92</v>
      </c>
      <c r="M14" s="35" t="n">
        <v>39698.96</v>
      </c>
      <c r="N14" s="35" t="n">
        <v>36246.88</v>
      </c>
      <c r="O14" s="31" t="inlineStr">
        <is>
          <t>Andre firmaer Nordlys leier inn på store prosjekter. Posten sto på 3 660 000 kroner i 2026.</t>
        </is>
      </c>
    </row>
    <row r="15" ht="15" customHeight="1" s="25">
      <c r="A15" s="31" t="inlineStr">
        <is>
          <t>Innleide montører</t>
        </is>
      </c>
      <c r="B15" s="42">
        <f>SUM(C15:N15)</f>
        <v/>
      </c>
      <c r="C15" s="42">
        <f>C14*$B$7</f>
        <v/>
      </c>
      <c r="D15" s="42">
        <f>D14*$B$7</f>
        <v/>
      </c>
      <c r="E15" s="42">
        <f>E14*$B$7</f>
        <v/>
      </c>
      <c r="F15" s="42">
        <f>F14*$B$7</f>
        <v/>
      </c>
      <c r="G15" s="42">
        <f>G14*$B$7</f>
        <v/>
      </c>
      <c r="H15" s="42">
        <f>H14*$B$7</f>
        <v/>
      </c>
      <c r="I15" s="42">
        <f>I14*$B$7</f>
        <v/>
      </c>
      <c r="J15" s="42">
        <f>J14*$B$7</f>
        <v/>
      </c>
      <c r="K15" s="42">
        <f>K14*$B$7</f>
        <v/>
      </c>
      <c r="L15" s="42">
        <f>L14*$B$7</f>
        <v/>
      </c>
      <c r="M15" s="42">
        <f>M14*$B$7</f>
        <v/>
      </c>
      <c r="N15" s="42">
        <f>N14*$B$7</f>
        <v/>
      </c>
    </row>
    <row r="16" ht="15" customHeight="1" s="25">
      <c r="A16" s="33" t="inlineStr">
        <is>
          <t>= Varekostnad</t>
        </is>
      </c>
      <c r="B16" s="43">
        <f>SUM(C16:N16)</f>
        <v/>
      </c>
      <c r="C16" s="43">
        <f>C13+C15</f>
        <v/>
      </c>
      <c r="D16" s="43">
        <f>D13+D15</f>
        <v/>
      </c>
      <c r="E16" s="43">
        <f>E13+E15</f>
        <v/>
      </c>
      <c r="F16" s="43">
        <f>F13+F15</f>
        <v/>
      </c>
      <c r="G16" s="43">
        <f>G13+G15</f>
        <v/>
      </c>
      <c r="H16" s="43">
        <f>H13+H15</f>
        <v/>
      </c>
      <c r="I16" s="43">
        <f>I13+I15</f>
        <v/>
      </c>
      <c r="J16" s="43">
        <f>J13+J15</f>
        <v/>
      </c>
      <c r="K16" s="43">
        <f>K13+K15</f>
        <v/>
      </c>
      <c r="L16" s="43">
        <f>L13+L15</f>
        <v/>
      </c>
      <c r="M16" s="43">
        <f>M13+M15</f>
        <v/>
      </c>
      <c r="N16" s="43">
        <f>N13+N15</f>
        <v/>
      </c>
      <c r="O16" s="31" t="inlineStr">
        <is>
          <t>Dette er FORBRUKET, og det er denne linja som går inn i resultatbudsjettet.</t>
        </is>
      </c>
    </row>
    <row r="17" ht="15" customHeight="1" s="25">
      <c r="A17" s="31" t="inlineStr">
        <is>
          <t>Planlagt lagerendring</t>
        </is>
      </c>
      <c r="B17" s="43">
        <f>SUM(C17:N17)</f>
        <v/>
      </c>
      <c r="C17" s="35" t="n">
        <v>0</v>
      </c>
      <c r="D17" s="35" t="n">
        <v>0</v>
      </c>
      <c r="E17" s="35" t="n">
        <v>0</v>
      </c>
      <c r="F17" s="35" t="n">
        <v>0</v>
      </c>
      <c r="G17" s="35" t="n">
        <v>0</v>
      </c>
      <c r="H17" s="35" t="n">
        <v>0</v>
      </c>
      <c r="I17" s="35" t="n">
        <v>0</v>
      </c>
      <c r="J17" s="35" t="n">
        <v>0</v>
      </c>
      <c r="K17" s="35" t="n">
        <v>0</v>
      </c>
      <c r="L17" s="35" t="n">
        <v>0</v>
      </c>
      <c r="M17" s="35" t="n">
        <v>0</v>
      </c>
      <c r="N17" s="35" t="n">
        <v>0</v>
      </c>
      <c r="O17" s="31" t="inlineStr">
        <is>
          <t>Null betyr at lageret er like stort 31. desember som 1. januar. Skal lageret bygges opp, må du kjøpe mer enn du bruker — sett for eksempel 50 000 i hver måned og se hva det gjør med kontoen.</t>
        </is>
      </c>
    </row>
    <row r="18" ht="15" customHeight="1" s="25">
      <c r="A18" s="33" t="inlineStr">
        <is>
          <t>= Varekjøp uten merverdiavgift</t>
        </is>
      </c>
      <c r="B18" s="43">
        <f>SUM(C18:N18)</f>
        <v/>
      </c>
      <c r="C18" s="43">
        <f>C16+C17</f>
        <v/>
      </c>
      <c r="D18" s="43">
        <f>D16+D17</f>
        <v/>
      </c>
      <c r="E18" s="43">
        <f>E16+E17</f>
        <v/>
      </c>
      <c r="F18" s="43">
        <f>F16+F17</f>
        <v/>
      </c>
      <c r="G18" s="43">
        <f>G16+G17</f>
        <v/>
      </c>
      <c r="H18" s="43">
        <f>H16+H17</f>
        <v/>
      </c>
      <c r="I18" s="43">
        <f>I16+I17</f>
        <v/>
      </c>
      <c r="J18" s="43">
        <f>J16+J17</f>
        <v/>
      </c>
      <c r="K18" s="43">
        <f>K16+K17</f>
        <v/>
      </c>
      <c r="L18" s="43">
        <f>L16+L17</f>
        <v/>
      </c>
      <c r="M18" s="43">
        <f>M16+M17</f>
        <v/>
      </c>
      <c r="N18" s="43">
        <f>N16+N17</f>
        <v/>
      </c>
      <c r="O18" s="31" t="inlineStr">
        <is>
          <t>Dette er INNKJØPET. Det er dette som skal betales, ikke forbruket.</t>
        </is>
      </c>
    </row>
    <row r="19" ht="15" customHeight="1" s="25">
      <c r="A19" s="31" t="inlineStr">
        <is>
          <t>+ Inngående merverdiavgift</t>
        </is>
      </c>
      <c r="B19" s="42">
        <f>SUM(C19:N19)</f>
        <v/>
      </c>
      <c r="C19" s="42">
        <f>C18*$B$6</f>
        <v/>
      </c>
      <c r="D19" s="42">
        <f>D18*$B$6</f>
        <v/>
      </c>
      <c r="E19" s="42">
        <f>E18*$B$6</f>
        <v/>
      </c>
      <c r="F19" s="42">
        <f>F18*$B$6</f>
        <v/>
      </c>
      <c r="G19" s="42">
        <f>G18*$B$6</f>
        <v/>
      </c>
      <c r="H19" s="42">
        <f>H18*$B$6</f>
        <v/>
      </c>
      <c r="I19" s="42">
        <f>I18*$B$6</f>
        <v/>
      </c>
      <c r="J19" s="42">
        <f>J18*$B$6</f>
        <v/>
      </c>
      <c r="K19" s="42">
        <f>K18*$B$6</f>
        <v/>
      </c>
      <c r="L19" s="42">
        <f>L18*$B$6</f>
        <v/>
      </c>
      <c r="M19" s="42">
        <f>M18*$B$6</f>
        <v/>
      </c>
      <c r="N19" s="42">
        <f>N18*$B$6</f>
        <v/>
      </c>
      <c r="O19" s="31" t="inlineStr">
        <is>
          <t>Går inn i mva-budsjettet og trekkes fra den utgående avgiften.</t>
        </is>
      </c>
    </row>
    <row r="20" ht="15" customHeight="1" s="25">
      <c r="A20" s="33" t="inlineStr">
        <is>
          <t>= Varekjøp inkl. merverdiavgift</t>
        </is>
      </c>
      <c r="B20" s="43">
        <f>SUM(C20:N20)</f>
        <v/>
      </c>
      <c r="C20" s="43">
        <f>C18+C19</f>
        <v/>
      </c>
      <c r="D20" s="43">
        <f>D18+D19</f>
        <v/>
      </c>
      <c r="E20" s="43">
        <f>E18+E19</f>
        <v/>
      </c>
      <c r="F20" s="43">
        <f>F18+F19</f>
        <v/>
      </c>
      <c r="G20" s="43">
        <f>G18+G19</f>
        <v/>
      </c>
      <c r="H20" s="43">
        <f>H18+H19</f>
        <v/>
      </c>
      <c r="I20" s="43">
        <f>I18+I19</f>
        <v/>
      </c>
      <c r="J20" s="43">
        <f>J18+J19</f>
        <v/>
      </c>
      <c r="K20" s="43">
        <f>K18+K19</f>
        <v/>
      </c>
      <c r="L20" s="43">
        <f>L18+L19</f>
        <v/>
      </c>
      <c r="M20" s="43">
        <f>M18+M19</f>
        <v/>
      </c>
      <c r="N20" s="43">
        <f>N18+N19</f>
        <v/>
      </c>
      <c r="O20" s="31" t="inlineStr">
        <is>
          <t>Regningen fra grossisten. Den går inn i likviditetsbudsjettet.</t>
        </is>
      </c>
    </row>
    <row r="22" ht="15" customHeight="1" s="25">
      <c r="A22" s="31" t="inlineStr">
        <is>
          <t>Bruttofortjeneste i kroner</t>
        </is>
      </c>
      <c r="B22" s="42">
        <f>SUM(C22:N22)</f>
        <v/>
      </c>
      <c r="C22" s="42">
        <f>Salgsbudsjett!C18-C16</f>
        <v/>
      </c>
      <c r="D22" s="42">
        <f>Salgsbudsjett!D18-D16</f>
        <v/>
      </c>
      <c r="E22" s="42">
        <f>Salgsbudsjett!E18-E16</f>
        <v/>
      </c>
      <c r="F22" s="42">
        <f>Salgsbudsjett!F18-F16</f>
        <v/>
      </c>
      <c r="G22" s="42">
        <f>Salgsbudsjett!G18-G16</f>
        <v/>
      </c>
      <c r="H22" s="42">
        <f>Salgsbudsjett!H18-H16</f>
        <v/>
      </c>
      <c r="I22" s="42">
        <f>Salgsbudsjett!I18-I16</f>
        <v/>
      </c>
      <c r="J22" s="42">
        <f>Salgsbudsjett!J18-J16</f>
        <v/>
      </c>
      <c r="K22" s="42">
        <f>Salgsbudsjett!K18-K16</f>
        <v/>
      </c>
      <c r="L22" s="42">
        <f>Salgsbudsjett!L18-L16</f>
        <v/>
      </c>
      <c r="M22" s="42">
        <f>Salgsbudsjett!M18-M16</f>
        <v/>
      </c>
      <c r="N22" s="42">
        <f>Salgsbudsjett!N18-N16</f>
        <v/>
      </c>
    </row>
    <row r="23" ht="15" customHeight="1" s="25">
      <c r="A23" s="31" t="inlineStr">
        <is>
          <t>Bruttofortjeneste i prosent</t>
        </is>
      </c>
      <c r="B23" s="46">
        <f>B22/Salgsbudsjett!B18</f>
        <v/>
      </c>
      <c r="C23" s="37">
        <f>C22/Salgsbudsjett!C18</f>
        <v/>
      </c>
      <c r="D23" s="37">
        <f>D22/Salgsbudsjett!D18</f>
        <v/>
      </c>
      <c r="E23" s="37">
        <f>E22/Salgsbudsjett!E18</f>
        <v/>
      </c>
      <c r="F23" s="37">
        <f>F22/Salgsbudsjett!F18</f>
        <v/>
      </c>
      <c r="G23" s="37">
        <f>G22/Salgsbudsjett!G18</f>
        <v/>
      </c>
      <c r="H23" s="37">
        <f>H22/Salgsbudsjett!H18</f>
        <v/>
      </c>
      <c r="I23" s="37">
        <f>I22/Salgsbudsjett!I18</f>
        <v/>
      </c>
      <c r="J23" s="37">
        <f>J22/Salgsbudsjett!J18</f>
        <v/>
      </c>
      <c r="K23" s="37">
        <f>K22/Salgsbudsjett!K18</f>
        <v/>
      </c>
      <c r="L23" s="37">
        <f>L22/Salgsbudsjett!L18</f>
        <v/>
      </c>
      <c r="M23" s="37">
        <f>M22/Salgsbudsjett!M18</f>
        <v/>
      </c>
      <c r="N23" s="37">
        <f>N22/Salgsbudsjett!N18</f>
        <v/>
      </c>
      <c r="O23" s="31" t="inlineStr">
        <is>
          <t>Det som blir igjen av salget når varene er betalt. Alt annet — lønn, husleie, bil — skal dekkes av disse kronene.</t>
        </is>
      </c>
    </row>
    <row r="25" ht="15" customHeight="1" s="25">
      <c r="A25" s="29" t="inlineStr">
        <is>
          <t>3 · Kontroll</t>
        </is>
      </c>
    </row>
    <row r="26" ht="15" customHeight="1" s="25">
      <c r="A26" s="31" t="inlineStr">
        <is>
          <t>Bruttofortjenesten Nordlys har budsjettert</t>
        </is>
      </c>
      <c r="B26" s="36" t="n">
        <v>0.625</v>
      </c>
    </row>
    <row r="27" ht="15" customHeight="1" s="25">
      <c r="A27" s="31" t="inlineStr">
        <is>
          <t>Treffer budsjettet bruttofortjenesten?</t>
        </is>
      </c>
      <c r="B27" s="44">
        <f>IF(ABS(B23-B26)&lt;0.001,"OK — materiellpåslaget og innleien gir nøyaktig den bruttofortjenesten budsjettet forutsetter","AVVIK: bruttofortjenesten stemmer ikke med forutsetningen i B26")</f>
        <v/>
      </c>
    </row>
    <row r="28" ht="15" customHeight="1" s="25">
      <c r="A28" s="31" t="inlineStr">
        <is>
          <t>Er varekjøpet større eller mindre enn forbruket?</t>
        </is>
      </c>
      <c r="B28" s="44">
        <f>IF(ABS(B17)&lt;1,"OK — lageret er uendret, så varekjøp og vareforbruk er like store","MERK — lageret endrer seg. Da er varekjøpet noe annet enn vareforbruket, og det er nettopp poenget")</f>
        <v/>
      </c>
    </row>
    <row r="29" ht="15" customHeight="1" s="25">
      <c r="A29" s="31" t="inlineStr">
        <is>
          <t>Blir noen av postene negative?</t>
        </is>
      </c>
      <c r="B29" s="44">
        <f>IF(MIN(C18:N18)&gt;=0,"OK — alle månedene har et varekjøp som gir mening","AVVIK: én måned får negativt varekjøp — lagerendringen er satt for lav")</f>
        <v/>
      </c>
    </row>
    <row r="31" ht="15" customHeight="1" s="25">
      <c r="A31" s="33" t="inlineStr">
        <is>
          <t>Regelen: resultatbudsjettet skal ha vareFORBRUKET. Likviditetsbudsjettet skal ha vareINNKJØPET. Er lageret uendret, er de like store — og da er det lett å tro at de alltid er det.</t>
        </is>
      </c>
    </row>
    <row r="32" ht="15" customHeight="1" s="25">
      <c r="A32" s="28" t="inlineStr">
        <is>
          <t>Kilde: Bok 1 kap. 9.4.3. Materiellpåslaget står i kapittel 5.</t>
        </is>
      </c>
    </row>
  </sheetData>
  <conditionalFormatting sqref="B27">
    <cfRule type="expression" rank="0" priority="2" equalAverage="0" aboveAverage="0" dxfId="0" text="" percent="0" bottom="0">
      <formula>LEFT(B27,5)="AVVIK"</formula>
    </cfRule>
  </conditionalFormatting>
  <conditionalFormatting sqref="B28">
    <cfRule type="expression" rank="0" priority="3" equalAverage="0" aboveAverage="0" dxfId="0" text="" percent="0" bottom="0">
      <formula>LEFT(B28,5)="AVVIK"</formula>
    </cfRule>
  </conditionalFormatting>
  <conditionalFormatting sqref="B29">
    <cfRule type="expression" rank="0" priority="4" equalAverage="0" aboveAverage="0" dxfId="0" text="" percent="0" bottom="0">
      <formula>LEFT(B29,5)="AVVIK"</formula>
    </cfRule>
  </conditionalFormatting>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O45"/>
  <sheetViews>
    <sheetView showFormulas="0" showGridLines="0" showRowColHeaders="1" showZeros="1" rightToLeft="0" tabSelected="0" showOutlineSymbols="1" defaultGridColor="1" view="normal" topLeftCell="A1" colorId="64" zoomScale="100" zoomScaleNormal="100" zoomScalePageLayoutView="100" workbookViewId="0">
      <pane xSplit="2" ySplit="18" topLeftCell="C19" activePane="bottomRight" state="frozen"/>
      <selection pane="topLeft" activeCell="A1" activeCellId="0" sqref="A1"/>
      <selection pane="topRight" activeCell="C1" activeCellId="0" sqref="C1"/>
      <selection pane="bottomLeft" activeCell="A19" activeCellId="0" sqref="A19"/>
      <selection pane="bottomRight" activeCell="A1" activeCellId="0" sqref="A1"/>
    </sheetView>
  </sheetViews>
  <sheetFormatPr baseColWidth="8" defaultColWidth="8.6796875" defaultRowHeight="15" zeroHeight="0" outlineLevelRow="0"/>
  <cols>
    <col width="44" customWidth="1" style="24" min="1" max="1"/>
    <col width="17" customWidth="1" style="24" min="2" max="2"/>
    <col width="13" customWidth="1" style="24" min="3" max="14"/>
    <col width="56" customWidth="1" style="24" min="15" max="15"/>
  </cols>
  <sheetData>
    <row r="1" ht="17.35" customHeight="1" s="25">
      <c r="A1" s="26" t="inlineStr">
        <is>
          <t>Lønnsbudsjett 2027</t>
        </is>
      </c>
    </row>
    <row r="2" ht="15" customHeight="1" s="25">
      <c r="A2" s="27" t="inlineStr">
        <is>
          <t>Én lønn, tre tidspunkter: når den koster, når den utbetales, og når avgiftene forfaller.</t>
        </is>
      </c>
    </row>
    <row r="4" ht="15" customHeight="1" s="25">
      <c r="A4" s="29" t="inlineStr">
        <is>
          <t>1 · Forutsetningene</t>
        </is>
      </c>
    </row>
    <row r="5" ht="15" customHeight="1" s="25">
      <c r="A5" s="31" t="inlineStr">
        <is>
          <t>Antall montører og lærlinger</t>
        </is>
      </c>
      <c r="B5" s="41" t="n">
        <v>14</v>
      </c>
      <c r="O5" s="31" t="inlineStr">
        <is>
          <t>12 montører og 2 lærlinger. Det er disse timene som faktureres.</t>
        </is>
      </c>
    </row>
    <row r="6" ht="15" customHeight="1" s="25">
      <c r="A6" s="31" t="inlineStr">
        <is>
          <t>Gjennomsnittlig månedslønn, montør eller lærling</t>
        </is>
      </c>
      <c r="B6" s="35" t="n">
        <v>39500</v>
      </c>
      <c r="O6" s="31" t="inlineStr">
        <is>
          <t>Gjennomsnittet i casebedriften. Kronene i Nordlys er holdt små og runde for at regnestykkene skal gå an å følge i hodet — i en virkelig elektrobedrift ligger månedslønna høyere. Bytt tallet med ditt eget; oppsettet er det samme.</t>
        </is>
      </c>
    </row>
    <row r="7" ht="15" customHeight="1" s="25">
      <c r="A7" s="31" t="inlineStr">
        <is>
          <t>Antall i administrasjon og ledelse</t>
        </is>
      </c>
      <c r="B7" s="41" t="n">
        <v>4</v>
      </c>
      <c r="O7" s="31" t="inlineStr">
        <is>
          <t>Daglig leder, driftsleder service, formann prosjekt og kalkulatør.</t>
        </is>
      </c>
    </row>
    <row r="8" ht="15" customHeight="1" s="25">
      <c r="A8" s="31" t="inlineStr">
        <is>
          <t>Gjennomsnittlig månedslønn, administrasjon</t>
        </is>
      </c>
      <c r="B8" s="35" t="n">
        <v>36750</v>
      </c>
    </row>
    <row r="9" ht="15" customHeight="1" s="25">
      <c r="A9" s="31" t="inlineStr">
        <is>
          <t>Feriepengesats</t>
        </is>
      </c>
      <c r="B9" s="36" t="n">
        <v>0.12</v>
      </c>
      <c r="O9" s="31" t="inlineStr">
        <is>
          <t>Lovens normalsats. 14,3 prosent for arbeidstakere over 60 år.</t>
        </is>
      </c>
    </row>
    <row r="10" ht="15" customHeight="1" s="25">
      <c r="A10" s="31" t="inlineStr">
        <is>
          <t>Arbeidsgiveravgiftssats</t>
        </is>
      </c>
      <c r="B10" s="36" t="n">
        <v>0.141</v>
      </c>
      <c r="O10" s="31" t="inlineStr">
        <is>
          <t>Sats for Oslo. Satsen bestemmes av hvor virksomheten ligger, og går helt ned til null i deler av Nord-Troms og Finnmark.</t>
        </is>
      </c>
    </row>
    <row r="11" ht="15" customHeight="1" s="25">
      <c r="A11" s="31" t="inlineStr">
        <is>
          <t>Lønnsvekst, hentet fra arket Scenario</t>
        </is>
      </c>
      <c r="B11" s="37">
        <f>Scenario!$B$7</f>
        <v/>
      </c>
    </row>
    <row r="12" ht="15" customHeight="1" s="25">
      <c r="A12" s="33" t="inlineStr">
        <is>
          <t>= Lønnsfaktor</t>
        </is>
      </c>
      <c r="B12" s="38">
        <f>1+B11</f>
        <v/>
      </c>
    </row>
    <row r="13" ht="15" customHeight="1" s="25">
      <c r="A13" s="31" t="inlineStr">
        <is>
          <t>Skyldige feriepenger 31.12.2026</t>
        </is>
      </c>
      <c r="B13" s="35" t="n">
        <v>890000</v>
      </c>
      <c r="O13" s="31" t="inlineStr">
        <is>
          <t>Opptjent i 2026, kostnadsført i 2026, utbetalt i 2027. Ikke en krone av dette er kostnad i 2027 — men pengene går ut av kontoen.</t>
        </is>
      </c>
    </row>
    <row r="14" ht="15" customHeight="1" s="25">
      <c r="A14" s="31" t="inlineStr">
        <is>
          <t>Måneden feriepengene utbetales</t>
        </is>
      </c>
      <c r="B14" s="41" t="n">
        <v>6</v>
      </c>
    </row>
    <row r="15" ht="15" customHeight="1" s="25">
      <c r="A15" s="31" t="inlineStr">
        <is>
          <t>Skyldig arbeidsgiveravgift 6. termin 2026</t>
        </is>
      </c>
      <c r="B15" s="35" t="n">
        <v>136000</v>
      </c>
      <c r="O15" s="31" t="inlineStr">
        <is>
          <t>Avgiften på november- og desemberlønna 2026. Forfaller 15. januar 2027.</t>
        </is>
      </c>
    </row>
    <row r="17" ht="15" customHeight="1" s="25">
      <c r="A17" s="29" t="inlineStr">
        <is>
          <t>2 · Lønnskostnaden måned for måned</t>
        </is>
      </c>
    </row>
    <row r="18" ht="27.75" customHeight="1" s="25">
      <c r="A18" s="34" t="inlineStr">
        <is>
          <t>Post</t>
        </is>
      </c>
      <c r="B18" s="34" t="inlineStr">
        <is>
          <t>År</t>
        </is>
      </c>
      <c r="C18" s="34" t="inlineStr">
        <is>
          <t>Jan</t>
        </is>
      </c>
      <c r="D18" s="34" t="inlineStr">
        <is>
          <t>Feb</t>
        </is>
      </c>
      <c r="E18" s="34" t="inlineStr">
        <is>
          <t>Mar</t>
        </is>
      </c>
      <c r="F18" s="34" t="inlineStr">
        <is>
          <t>Apr</t>
        </is>
      </c>
      <c r="G18" s="34" t="inlineStr">
        <is>
          <t>Mai</t>
        </is>
      </c>
      <c r="H18" s="34" t="inlineStr">
        <is>
          <t>Jun</t>
        </is>
      </c>
      <c r="I18" s="34" t="inlineStr">
        <is>
          <t>Jul</t>
        </is>
      </c>
      <c r="J18" s="34" t="inlineStr">
        <is>
          <t>Aug</t>
        </is>
      </c>
      <c r="K18" s="34" t="inlineStr">
        <is>
          <t>Sep</t>
        </is>
      </c>
      <c r="L18" s="34" t="inlineStr">
        <is>
          <t>Okt</t>
        </is>
      </c>
      <c r="M18" s="34" t="inlineStr">
        <is>
          <t>Nov</t>
        </is>
      </c>
      <c r="N18" s="34" t="inlineStr">
        <is>
          <t>Des</t>
        </is>
      </c>
      <c r="O18" s="34" t="inlineStr">
        <is>
          <t>Kommentar</t>
        </is>
      </c>
    </row>
    <row r="19" ht="15" customHeight="1" s="25">
      <c r="A19" s="31" t="inlineStr">
        <is>
          <t>Månedsnummer</t>
        </is>
      </c>
      <c r="C19" s="39">
        <f>1</f>
        <v/>
      </c>
      <c r="D19" s="39">
        <f>2</f>
        <v/>
      </c>
      <c r="E19" s="39">
        <f>3</f>
        <v/>
      </c>
      <c r="F19" s="39">
        <f>4</f>
        <v/>
      </c>
      <c r="G19" s="39">
        <f>5</f>
        <v/>
      </c>
      <c r="H19" s="39">
        <f>6</f>
        <v/>
      </c>
      <c r="I19" s="39">
        <f>7</f>
        <v/>
      </c>
      <c r="J19" s="39">
        <f>8</f>
        <v/>
      </c>
      <c r="K19" s="39">
        <f>9</f>
        <v/>
      </c>
      <c r="L19" s="39">
        <f>10</f>
        <v/>
      </c>
      <c r="M19" s="39">
        <f>11</f>
        <v/>
      </c>
      <c r="N19" s="39">
        <f>12</f>
        <v/>
      </c>
    </row>
    <row r="20" ht="15" customHeight="1" s="25">
      <c r="A20" s="31" t="inlineStr">
        <is>
          <t>Produksjonslønn</t>
        </is>
      </c>
      <c r="B20" s="42">
        <f>SUM(C20:N20)</f>
        <v/>
      </c>
      <c r="C20" s="42">
        <f>$B$5*$B$6*$B$12</f>
        <v/>
      </c>
      <c r="D20" s="42">
        <f>$B$5*$B$6*$B$12</f>
        <v/>
      </c>
      <c r="E20" s="42">
        <f>$B$5*$B$6*$B$12</f>
        <v/>
      </c>
      <c r="F20" s="42">
        <f>$B$5*$B$6*$B$12</f>
        <v/>
      </c>
      <c r="G20" s="42">
        <f>$B$5*$B$6*$B$12</f>
        <v/>
      </c>
      <c r="H20" s="42">
        <f>$B$5*$B$6*$B$12</f>
        <v/>
      </c>
      <c r="I20" s="42">
        <f>$B$5*$B$6*$B$12</f>
        <v/>
      </c>
      <c r="J20" s="42">
        <f>$B$5*$B$6*$B$12</f>
        <v/>
      </c>
      <c r="K20" s="42">
        <f>$B$5*$B$6*$B$12</f>
        <v/>
      </c>
      <c r="L20" s="42">
        <f>$B$5*$B$6*$B$12</f>
        <v/>
      </c>
      <c r="M20" s="42">
        <f>$B$5*$B$6*$B$12</f>
        <v/>
      </c>
      <c r="N20" s="42">
        <f>$B$5*$B$6*$B$12</f>
        <v/>
      </c>
    </row>
    <row r="21" ht="15" customHeight="1" s="25">
      <c r="A21" s="31" t="inlineStr">
        <is>
          <t>Administrasjonslønn</t>
        </is>
      </c>
      <c r="B21" s="42">
        <f>SUM(C21:N21)</f>
        <v/>
      </c>
      <c r="C21" s="42">
        <f>$B$7*$B$8*$B$12</f>
        <v/>
      </c>
      <c r="D21" s="42">
        <f>$B$7*$B$8*$B$12</f>
        <v/>
      </c>
      <c r="E21" s="42">
        <f>$B$7*$B$8*$B$12</f>
        <v/>
      </c>
      <c r="F21" s="42">
        <f>$B$7*$B$8*$B$12</f>
        <v/>
      </c>
      <c r="G21" s="42">
        <f>$B$7*$B$8*$B$12</f>
        <v/>
      </c>
      <c r="H21" s="42">
        <f>$B$7*$B$8*$B$12</f>
        <v/>
      </c>
      <c r="I21" s="42">
        <f>$B$7*$B$8*$B$12</f>
        <v/>
      </c>
      <c r="J21" s="42">
        <f>$B$7*$B$8*$B$12</f>
        <v/>
      </c>
      <c r="K21" s="42">
        <f>$B$7*$B$8*$B$12</f>
        <v/>
      </c>
      <c r="L21" s="42">
        <f>$B$7*$B$8*$B$12</f>
        <v/>
      </c>
      <c r="M21" s="42">
        <f>$B$7*$B$8*$B$12</f>
        <v/>
      </c>
      <c r="N21" s="42">
        <f>$B$7*$B$8*$B$12</f>
        <v/>
      </c>
    </row>
    <row r="22" ht="15" customHeight="1" s="25">
      <c r="A22" s="33" t="inlineStr">
        <is>
          <t>= Brutto lønn</t>
        </is>
      </c>
      <c r="B22" s="43">
        <f>SUM(C22:N22)</f>
        <v/>
      </c>
      <c r="C22" s="43">
        <f>C20+C21</f>
        <v/>
      </c>
      <c r="D22" s="43">
        <f>D20+D21</f>
        <v/>
      </c>
      <c r="E22" s="43">
        <f>E20+E21</f>
        <v/>
      </c>
      <c r="F22" s="43">
        <f>F20+F21</f>
        <v/>
      </c>
      <c r="G22" s="43">
        <f>G20+G21</f>
        <v/>
      </c>
      <c r="H22" s="43">
        <f>H20+H21</f>
        <v/>
      </c>
      <c r="I22" s="43">
        <f>I20+I21</f>
        <v/>
      </c>
      <c r="J22" s="43">
        <f>J20+J21</f>
        <v/>
      </c>
      <c r="K22" s="43">
        <f>K20+K21</f>
        <v/>
      </c>
      <c r="L22" s="43">
        <f>L20+L21</f>
        <v/>
      </c>
      <c r="M22" s="43">
        <f>M20+M21</f>
        <v/>
      </c>
      <c r="N22" s="43">
        <f>N20+N21</f>
        <v/>
      </c>
      <c r="O22" s="31" t="inlineStr">
        <is>
          <t>Det som står på lønnsslippen før skattetrekk.</t>
        </is>
      </c>
    </row>
    <row r="23" ht="15" customHeight="1" s="25">
      <c r="A23" s="31" t="inlineStr">
        <is>
          <t>+ Feriepenger opptjent</t>
        </is>
      </c>
      <c r="B23" s="42">
        <f>SUM(C23:N23)</f>
        <v/>
      </c>
      <c r="C23" s="42">
        <f>C22*$B$9</f>
        <v/>
      </c>
      <c r="D23" s="42">
        <f>D22*$B$9</f>
        <v/>
      </c>
      <c r="E23" s="42">
        <f>E22*$B$9</f>
        <v/>
      </c>
      <c r="F23" s="42">
        <f>F22*$B$9</f>
        <v/>
      </c>
      <c r="G23" s="42">
        <f>G22*$B$9</f>
        <v/>
      </c>
      <c r="H23" s="42">
        <f>H22*$B$9</f>
        <v/>
      </c>
      <c r="I23" s="42">
        <f>I22*$B$9</f>
        <v/>
      </c>
      <c r="J23" s="42">
        <f>J22*$B$9</f>
        <v/>
      </c>
      <c r="K23" s="42">
        <f>K22*$B$9</f>
        <v/>
      </c>
      <c r="L23" s="42">
        <f>L22*$B$9</f>
        <v/>
      </c>
      <c r="M23" s="42">
        <f>M22*$B$9</f>
        <v/>
      </c>
      <c r="N23" s="42">
        <f>N22*$B$9</f>
        <v/>
      </c>
      <c r="O23" s="31" t="inlineStr">
        <is>
          <t>Retten opptjenes hver gang lønn utbetales. Kostnaden hører til i 2027, pengene går ut i 2028.</t>
        </is>
      </c>
    </row>
    <row r="24" ht="15" customHeight="1" s="25">
      <c r="A24" s="31" t="inlineStr">
        <is>
          <t>+ Arbeidsgiveravgift</t>
        </is>
      </c>
      <c r="B24" s="42">
        <f>SUM(C24:N24)</f>
        <v/>
      </c>
      <c r="C24" s="42">
        <f>(C22+C23)*$B$10</f>
        <v/>
      </c>
      <c r="D24" s="42">
        <f>(D22+D23)*$B$10</f>
        <v/>
      </c>
      <c r="E24" s="42">
        <f>(E22+E23)*$B$10</f>
        <v/>
      </c>
      <c r="F24" s="42">
        <f>(F22+F23)*$B$10</f>
        <v/>
      </c>
      <c r="G24" s="42">
        <f>(G22+G23)*$B$10</f>
        <v/>
      </c>
      <c r="H24" s="42">
        <f>(H22+H23)*$B$10</f>
        <v/>
      </c>
      <c r="I24" s="42">
        <f>(I22+I23)*$B$10</f>
        <v/>
      </c>
      <c r="J24" s="42">
        <f>(J22+J23)*$B$10</f>
        <v/>
      </c>
      <c r="K24" s="42">
        <f>(K22+K23)*$B$10</f>
        <v/>
      </c>
      <c r="L24" s="42">
        <f>(L22+L23)*$B$10</f>
        <v/>
      </c>
      <c r="M24" s="42">
        <f>(M22+M23)*$B$10</f>
        <v/>
      </c>
      <c r="N24" s="42">
        <f>(N22+N23)*$B$10</f>
        <v/>
      </c>
      <c r="O24" s="31" t="inlineStr">
        <is>
          <t>Regnes av både lønn og feriepenger.</t>
        </is>
      </c>
    </row>
    <row r="25" ht="15" customHeight="1" s="25">
      <c r="A25" s="33" t="inlineStr">
        <is>
          <t>= Lønnskostnad</t>
        </is>
      </c>
      <c r="B25" s="43">
        <f>SUM(C25:N25)</f>
        <v/>
      </c>
      <c r="C25" s="43">
        <f>C22+C23+C24</f>
        <v/>
      </c>
      <c r="D25" s="43">
        <f>D22+D23+D24</f>
        <v/>
      </c>
      <c r="E25" s="43">
        <f>E22+E23+E24</f>
        <v/>
      </c>
      <c r="F25" s="43">
        <f>F22+F23+F24</f>
        <v/>
      </c>
      <c r="G25" s="43">
        <f>G22+G23+G24</f>
        <v/>
      </c>
      <c r="H25" s="43">
        <f>H22+H23+H24</f>
        <v/>
      </c>
      <c r="I25" s="43">
        <f>I22+I23+I24</f>
        <v/>
      </c>
      <c r="J25" s="43">
        <f>J22+J23+J24</f>
        <v/>
      </c>
      <c r="K25" s="43">
        <f>K22+K23+K24</f>
        <v/>
      </c>
      <c r="L25" s="43">
        <f>L22+L23+L24</f>
        <v/>
      </c>
      <c r="M25" s="43">
        <f>M22+M23+M24</f>
        <v/>
      </c>
      <c r="N25" s="43">
        <f>N22+N23+N24</f>
        <v/>
      </c>
      <c r="O25" s="31" t="inlineStr">
        <is>
          <t>Denne linja går inn i resultatbudsjettet.</t>
        </is>
      </c>
    </row>
    <row r="27" ht="15" customHeight="1" s="25">
      <c r="A27" s="29" t="inlineStr">
        <is>
          <t>3 · Når pengene går ut</t>
        </is>
      </c>
    </row>
    <row r="28" ht="15" customHeight="1" s="25">
      <c r="A28" s="31" t="inlineStr">
        <is>
          <t>Utbetalt lønn, inkludert forskuddstrekk</t>
        </is>
      </c>
      <c r="B28" s="42">
        <f>SUM(C28:N28)</f>
        <v/>
      </c>
      <c r="C28" s="42">
        <f>C22</f>
        <v/>
      </c>
      <c r="D28" s="42">
        <f>D22</f>
        <v/>
      </c>
      <c r="E28" s="42">
        <f>E22</f>
        <v/>
      </c>
      <c r="F28" s="42">
        <f>F22</f>
        <v/>
      </c>
      <c r="G28" s="42">
        <f>G22</f>
        <v/>
      </c>
      <c r="H28" s="42">
        <f>H22</f>
        <v/>
      </c>
      <c r="I28" s="42">
        <f>I22</f>
        <v/>
      </c>
      <c r="J28" s="42">
        <f>J22</f>
        <v/>
      </c>
      <c r="K28" s="42">
        <f>K22</f>
        <v/>
      </c>
      <c r="L28" s="42">
        <f>L22</f>
        <v/>
      </c>
      <c r="M28" s="42">
        <f>M22</f>
        <v/>
      </c>
      <c r="N28" s="42">
        <f>N22</f>
        <v/>
      </c>
      <c r="O28" s="31" t="inlineStr">
        <is>
          <t>Forskuddstrekket betales til Skatteetaten senest første virkedag etter lønnsutbetalingen (skattetrekkskontoen ble avviklet 1.1.2026). Pengene forlater derfor kassen samme måned som lønna, ikke ved neste termin.</t>
        </is>
      </c>
    </row>
    <row r="29" ht="15" customHeight="1" s="25">
      <c r="A29" s="31" t="inlineStr">
        <is>
          <t>Utbetalt feriepenger opptjent i 2026</t>
        </is>
      </c>
      <c r="B29" s="42">
        <f>SUM(C29:N29)</f>
        <v/>
      </c>
      <c r="C29" s="42">
        <f>IF(C19=$B$14,$B$13,0)</f>
        <v/>
      </c>
      <c r="D29" s="42">
        <f>IF(D19=$B$14,$B$13,0)</f>
        <v/>
      </c>
      <c r="E29" s="42">
        <f>IF(E19=$B$14,$B$13,0)</f>
        <v/>
      </c>
      <c r="F29" s="42">
        <f>IF(F19=$B$14,$B$13,0)</f>
        <v/>
      </c>
      <c r="G29" s="42">
        <f>IF(G19=$B$14,$B$13,0)</f>
        <v/>
      </c>
      <c r="H29" s="42">
        <f>IF(H19=$B$14,$B$13,0)</f>
        <v/>
      </c>
      <c r="I29" s="42">
        <f>IF(I19=$B$14,$B$13,0)</f>
        <v/>
      </c>
      <c r="J29" s="42">
        <f>IF(J19=$B$14,$B$13,0)</f>
        <v/>
      </c>
      <c r="K29" s="42">
        <f>IF(K19=$B$14,$B$13,0)</f>
        <v/>
      </c>
      <c r="L29" s="42">
        <f>IF(L19=$B$14,$B$13,0)</f>
        <v/>
      </c>
      <c r="M29" s="42">
        <f>IF(M19=$B$14,$B$13,0)</f>
        <v/>
      </c>
      <c r="N29" s="42">
        <f>IF(N19=$B$14,$B$13,0)</f>
        <v/>
      </c>
      <c r="O29" s="31" t="inlineStr">
        <is>
          <t>Én måned i året går det ut nesten to månedslønner. Dette er måneden mange bedrifter oppdager at de har for lite på konto.</t>
        </is>
      </c>
    </row>
    <row r="30" ht="15" customHeight="1" s="25">
      <c r="A30" s="31" t="inlineStr">
        <is>
          <t>Arbeidsgiveravgift til betaling</t>
        </is>
      </c>
      <c r="B30" s="43">
        <f>SUM(C30:N30)</f>
        <v/>
      </c>
      <c r="C30" s="42">
        <f>IF(C19=1,$B$15,0)+IF(C19=$B$14+1,$B$13*$B$10,0)</f>
        <v/>
      </c>
      <c r="D30" s="42">
        <f>IF(D19=1,$B$15,0)+IF(D19=$B$14+1,$B$13*$B$10,0)</f>
        <v/>
      </c>
      <c r="E30" s="42">
        <f>IF(E19=1,$B$15,0)+IF(AND(MOD(E19,2)=1,E19&gt;=3),(C22+D22)*$B$10,0)+IF(E19=$B$14+1,$B$13*$B$10,0)</f>
        <v/>
      </c>
      <c r="F30" s="42">
        <f>IF(F19=1,$B$15,0)+IF(AND(MOD(F19,2)=1,F19&gt;=3),(D22+E22)*$B$10,0)+IF(F19=$B$14+1,$B$13*$B$10,0)</f>
        <v/>
      </c>
      <c r="G30" s="42">
        <f>IF(G19=1,$B$15,0)+IF(AND(MOD(G19,2)=1,G19&gt;=3),(E22+F22)*$B$10,0)+IF(G19=$B$14+1,$B$13*$B$10,0)</f>
        <v/>
      </c>
      <c r="H30" s="42">
        <f>IF(H19=1,$B$15,0)+IF(AND(MOD(H19,2)=1,H19&gt;=3),(F22+G22)*$B$10,0)+IF(H19=$B$14+1,$B$13*$B$10,0)</f>
        <v/>
      </c>
      <c r="I30" s="42">
        <f>IF(I19=1,$B$15,0)+IF(AND(MOD(I19,2)=1,I19&gt;=3),(G22+H22)*$B$10,0)+IF(I19=$B$14+1,$B$13*$B$10,0)</f>
        <v/>
      </c>
      <c r="J30" s="42">
        <f>IF(J19=1,$B$15,0)+IF(AND(MOD(J19,2)=1,J19&gt;=3),(H22+I22)*$B$10,0)+IF(J19=$B$14+1,$B$13*$B$10,0)</f>
        <v/>
      </c>
      <c r="K30" s="42">
        <f>IF(K19=1,$B$15,0)+IF(AND(MOD(K19,2)=1,K19&gt;=3),(I22+J22)*$B$10,0)+IF(K19=$B$14+1,$B$13*$B$10,0)</f>
        <v/>
      </c>
      <c r="L30" s="42">
        <f>IF(L19=1,$B$15,0)+IF(AND(MOD(L19,2)=1,L19&gt;=3),(J22+K22)*$B$10,0)+IF(L19=$B$14+1,$B$13*$B$10,0)</f>
        <v/>
      </c>
      <c r="M30" s="42">
        <f>IF(M19=1,$B$15,0)+IF(AND(MOD(M19,2)=1,M19&gt;=3),(K22+L22)*$B$10,0)+IF(M19=$B$14+1,$B$13*$B$10,0)</f>
        <v/>
      </c>
      <c r="N30" s="42">
        <f>IF(N19=1,$B$15,0)+IF(AND(MOD(N19,2)=1,N19&gt;=3),(L22+M22)*$B$10,0)+IF(N19=$B$14+1,$B$13*$B$10,0)</f>
        <v/>
      </c>
      <c r="O30" s="31" t="inlineStr">
        <is>
          <t>Seks terminer à to måneder, forfall den 15. i måneden etter terminslutt. Januar bærer terminen fra 2026, og måneden etter feriepengeutbetalingen bærer avgiften på feriepengene.</t>
        </is>
      </c>
    </row>
    <row r="31" ht="15" customHeight="1" s="25">
      <c r="A31" s="33" t="inlineStr">
        <is>
          <t>= Sum utbetalinger fra lønnsbudsjettet</t>
        </is>
      </c>
      <c r="B31" s="43">
        <f>SUM(C31:N31)</f>
        <v/>
      </c>
      <c r="C31" s="43">
        <f>C28+C29+C30</f>
        <v/>
      </c>
      <c r="D31" s="43">
        <f>D28+D29+D30</f>
        <v/>
      </c>
      <c r="E31" s="43">
        <f>E28+E29+E30</f>
        <v/>
      </c>
      <c r="F31" s="43">
        <f>F28+F29+F30</f>
        <v/>
      </c>
      <c r="G31" s="43">
        <f>G28+G29+G30</f>
        <v/>
      </c>
      <c r="H31" s="43">
        <f>H28+H29+H30</f>
        <v/>
      </c>
      <c r="I31" s="43">
        <f>I28+I29+I30</f>
        <v/>
      </c>
      <c r="J31" s="43">
        <f>J28+J29+J30</f>
        <v/>
      </c>
      <c r="K31" s="43">
        <f>K28+K29+K30</f>
        <v/>
      </c>
      <c r="L31" s="43">
        <f>L28+L29+L30</f>
        <v/>
      </c>
      <c r="M31" s="43">
        <f>M28+M29+M30</f>
        <v/>
      </c>
      <c r="N31" s="43">
        <f>N28+N29+N30</f>
        <v/>
      </c>
    </row>
    <row r="33" ht="15" customHeight="1" s="25">
      <c r="A33" s="29" t="inlineStr">
        <is>
          <t>4 · Det som blir stående som gjeld 31.12.2027</t>
        </is>
      </c>
    </row>
    <row r="34" ht="15" customHeight="1" s="25">
      <c r="A34" s="31" t="inlineStr">
        <is>
          <t>Skyldige feriepenger</t>
        </is>
      </c>
      <c r="B34" s="43">
        <f>SUM(C23:N23)</f>
        <v/>
      </c>
      <c r="O34" s="31" t="inlineStr">
        <is>
          <t>Alt som er opptjent i 2027 og skal utbetales sommeren 2028.</t>
        </is>
      </c>
    </row>
    <row r="35" ht="15" customHeight="1" s="25">
      <c r="A35" s="31" t="inlineStr">
        <is>
          <t>Skyldig arbeidsgiveravgift</t>
        </is>
      </c>
      <c r="B35" s="43">
        <f>(M22+N22)*$B$10+B34*$B$10</f>
        <v/>
      </c>
      <c r="O35" s="31" t="inlineStr">
        <is>
          <t>Avgiften på november- og desemberlønna, som forfaller 15. januar 2028, pluss avgiften på årets feriepenger.</t>
        </is>
      </c>
    </row>
    <row r="36" ht="15" customHeight="1" s="25">
      <c r="A36" s="33" t="inlineStr">
        <is>
          <t>= Sum</t>
        </is>
      </c>
      <c r="B36" s="43">
        <f>B34+B35</f>
        <v/>
      </c>
    </row>
    <row r="38" ht="15" customHeight="1" s="25">
      <c r="A38" s="29" t="inlineStr">
        <is>
          <t>5 · Kontroll</t>
        </is>
      </c>
    </row>
    <row r="39" ht="15" customHeight="1" s="25">
      <c r="A39" s="31" t="inlineStr">
        <is>
          <t>Månedslønna budsjettet forutsetter</t>
        </is>
      </c>
      <c r="B39" s="35" t="n">
        <v>700000</v>
      </c>
    </row>
    <row r="40" ht="15" customHeight="1" s="25">
      <c r="A40" s="31" t="inlineStr">
        <is>
          <t>Summerer de to gruppene seg til den?</t>
        </is>
      </c>
      <c r="B40" s="44">
        <f>IF(ABS(C22-B39*B12)&lt;1,"OK — de to gruppene summerer seg til den månedslønna budsjettet forutsetter","AVVIK: antall eller lønnsnivå gir ikke budsjettets månedslønn")</f>
        <v/>
      </c>
    </row>
    <row r="41" ht="15" customHeight="1" s="25">
      <c r="A41" s="31" t="inlineStr">
        <is>
          <t>Går arbeidsgiveravgiften opp?</t>
        </is>
      </c>
      <c r="B41" s="44">
        <f>IF(ABS(($B$15+B24+$B$13*$B$10)-(B30+B35))&lt;1,"OK — inngående gjeld, årets avgift OG avgiften på fjorårets feriepenger er til sammen nøyaktig det som er betalt pluss det som skyldes 31.12","AVVIK: arbeidsgiveravgiften går ikke opp mellom kostnad, betaling og gjeld")</f>
        <v/>
      </c>
    </row>
    <row r="42" ht="15" customHeight="1" s="25">
      <c r="A42" s="31" t="inlineStr">
        <is>
          <t>Er feriepengene i 2027 en kostnad?</t>
        </is>
      </c>
      <c r="B42" s="44">
        <f>IF(ABS(B29-B13)&lt;1,"OK — det som utbetales i 2027 er feriepengene fra 2026. De ble kostnadsført i fjor og står ikke i årets resultatbudsjett","AVVIK: utbetalingen stemmer ikke med den skyldige posten fra 2026")</f>
        <v/>
      </c>
    </row>
    <row r="44" ht="15" customHeight="1" s="25">
      <c r="A44" s="33" t="inlineStr">
        <is>
          <t>Tre tidspunkter for den samme lønnskrona: den koster i måneden den tjenes opp, den utbetales samme måned, men feriepengedelen først året etter, og arbeidsgiveravgiften på begge deler enda seinere.</t>
        </is>
      </c>
    </row>
    <row r="45" ht="15" customHeight="1" s="25">
      <c r="A45" s="28" t="inlineStr">
        <is>
          <t>Kilde: Bok 1 kap. 9.4.4 til 9.4.6. Forfallsreglene følger skattebetalingsloven (Lovdata).</t>
        </is>
      </c>
    </row>
  </sheetData>
  <conditionalFormatting sqref="B40">
    <cfRule type="expression" rank="0" priority="2" equalAverage="0" aboveAverage="0" dxfId="0" text="" percent="0" bottom="0">
      <formula>LEFT(B40,5)="AVVIK"</formula>
    </cfRule>
  </conditionalFormatting>
  <conditionalFormatting sqref="B41">
    <cfRule type="expression" rank="0" priority="3" equalAverage="0" aboveAverage="0" dxfId="0" text="" percent="0" bottom="0">
      <formula>LEFT(B41,5)="AVVIK"</formula>
    </cfRule>
  </conditionalFormatting>
  <conditionalFormatting sqref="B42">
    <cfRule type="expression" rank="0" priority="4" equalAverage="0" aboveAverage="0" dxfId="0" text="" percent="0" bottom="0">
      <formula>LEFT(B42,5)="AVVIK"</formula>
    </cfRule>
  </conditionalFormatting>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O27"/>
  <sheetViews>
    <sheetView showFormulas="0" showGridLines="0" showRowColHeaders="1" showZeros="1" rightToLeft="0" tabSelected="0" showOutlineSymbols="1" defaultGridColor="1" view="normal" topLeftCell="A1" colorId="64" zoomScale="100" zoomScaleNormal="100" zoomScalePageLayoutView="100" workbookViewId="0">
      <pane xSplit="2" ySplit="14" topLeftCell="C15" activePane="bottomRight" state="frozen"/>
      <selection pane="topLeft" activeCell="A1" activeCellId="0" sqref="A1"/>
      <selection pane="topRight" activeCell="C1" activeCellId="0" sqref="C1"/>
      <selection pane="bottomLeft" activeCell="A15" activeCellId="0" sqref="A15"/>
      <selection pane="bottomRight" activeCell="A1" activeCellId="0" sqref="A1"/>
    </sheetView>
  </sheetViews>
  <sheetFormatPr baseColWidth="8" defaultColWidth="8.6796875" defaultRowHeight="15" zeroHeight="0" outlineLevelRow="0"/>
  <cols>
    <col width="44" customWidth="1" style="24" min="1" max="1"/>
    <col width="17" customWidth="1" style="24" min="2" max="2"/>
    <col width="13" customWidth="1" style="24" min="3" max="14"/>
    <col width="56" customWidth="1" style="24" min="15" max="15"/>
  </cols>
  <sheetData>
    <row r="1" ht="17.35" customHeight="1" s="25">
      <c r="A1" s="26" t="inlineStr">
        <is>
          <t>Kostnadsbudsjett 2027 — andre driftskostnader</t>
        </is>
      </c>
    </row>
    <row r="2" ht="15" customHeight="1" s="25">
      <c r="A2" s="27" t="inlineStr">
        <is>
          <t>Noen kostnader følger oppdragene. Andre løper uansett. Skillet avgjør hva som skjer når salget svikter.</t>
        </is>
      </c>
    </row>
    <row r="4" ht="15" customHeight="1" s="25">
      <c r="A4" s="29" t="inlineStr">
        <is>
          <t>1 · Forutsetningene</t>
        </is>
      </c>
    </row>
    <row r="5" ht="15" customHeight="1" s="25">
      <c r="A5" s="31" t="inlineStr">
        <is>
          <t>Andre driftskostnader for året</t>
        </is>
      </c>
      <c r="B5" s="35" t="n">
        <v>1500000</v>
      </c>
      <c r="O5" s="31" t="inlineStr">
        <is>
          <t>Drivstoff, bompenger, forbruksmateriell, husleie, forsikring, IT og telefon, regnskapsfører, kurs og sertifisering.</t>
        </is>
      </c>
    </row>
    <row r="6" ht="15" customHeight="1" s="25">
      <c r="A6" s="31" t="inlineStr">
        <is>
          <t>Variabel andel av salget</t>
        </is>
      </c>
      <c r="B6" s="47" t="n">
        <v>0.0172321428571429</v>
      </c>
      <c r="O6" s="31" t="inlineStr">
        <is>
          <t>Så stor andel av salget gikk til drivstoff og forbruksmateriell i 2026. Disse kronene følger oppdragene.</t>
        </is>
      </c>
    </row>
    <row r="7" ht="15" customHeight="1" s="25">
      <c r="A7" s="31" t="inlineStr">
        <is>
          <t>Salgsinntekt i grunnbudsjettet</t>
        </is>
      </c>
      <c r="B7" s="42">
        <f>Salgsbudsjett!$B$21</f>
        <v/>
      </c>
    </row>
    <row r="8" ht="15" customHeight="1" s="25">
      <c r="A8" s="33" t="inlineStr">
        <is>
          <t>= Variable andre kostnader for året</t>
        </is>
      </c>
      <c r="B8" s="43">
        <f>B6*B7</f>
        <v/>
      </c>
    </row>
    <row r="9" ht="15" customHeight="1" s="25">
      <c r="A9" s="33" t="inlineStr">
        <is>
          <t>= Faste andre kostnader for året</t>
        </is>
      </c>
      <c r="B9" s="43">
        <f>B5-B8</f>
        <v/>
      </c>
      <c r="O9" s="31" t="inlineStr">
        <is>
          <t>Det som blir igjen. Husleia kommer hver måned enten montørene er ute på jobb eller ikke.</t>
        </is>
      </c>
    </row>
    <row r="10" ht="15" customHeight="1" s="25">
      <c r="A10" s="31" t="inlineStr">
        <is>
          <t>Merverdiavgiftssats</t>
        </is>
      </c>
      <c r="B10" s="37">
        <f>Salgsbudsjett!$B$7</f>
        <v/>
      </c>
    </row>
    <row r="11" ht="15" customHeight="1" s="25">
      <c r="A11" s="31" t="inlineStr">
        <is>
          <t>Andel av posten som er avgiftspliktig</t>
        </is>
      </c>
      <c r="B11" s="36" t="n">
        <v>1</v>
      </c>
      <c r="O11" s="31" t="inlineStr">
        <is>
          <t>Forsikring og en del gebyrer er uten merverdiavgift. Sett andelen ned hvis du vil regne mer nøyaktig.</t>
        </is>
      </c>
    </row>
    <row r="13" ht="15" customHeight="1" s="25">
      <c r="A13" s="29" t="inlineStr">
        <is>
          <t>2 · Kostnadsbudsjettet måned for måned</t>
        </is>
      </c>
    </row>
    <row r="14" ht="27.75" customHeight="1" s="25">
      <c r="A14" s="34" t="inlineStr">
        <is>
          <t>Post</t>
        </is>
      </c>
      <c r="B14" s="34" t="inlineStr">
        <is>
          <t>År</t>
        </is>
      </c>
      <c r="C14" s="34" t="inlineStr">
        <is>
          <t>Jan</t>
        </is>
      </c>
      <c r="D14" s="34" t="inlineStr">
        <is>
          <t>Feb</t>
        </is>
      </c>
      <c r="E14" s="34" t="inlineStr">
        <is>
          <t>Mar</t>
        </is>
      </c>
      <c r="F14" s="34" t="inlineStr">
        <is>
          <t>Apr</t>
        </is>
      </c>
      <c r="G14" s="34" t="inlineStr">
        <is>
          <t>Mai</t>
        </is>
      </c>
      <c r="H14" s="34" t="inlineStr">
        <is>
          <t>Jun</t>
        </is>
      </c>
      <c r="I14" s="34" t="inlineStr">
        <is>
          <t>Jul</t>
        </is>
      </c>
      <c r="J14" s="34" t="inlineStr">
        <is>
          <t>Aug</t>
        </is>
      </c>
      <c r="K14" s="34" t="inlineStr">
        <is>
          <t>Sep</t>
        </is>
      </c>
      <c r="L14" s="34" t="inlineStr">
        <is>
          <t>Okt</t>
        </is>
      </c>
      <c r="M14" s="34" t="inlineStr">
        <is>
          <t>Nov</t>
        </is>
      </c>
      <c r="N14" s="34" t="inlineStr">
        <is>
          <t>Des</t>
        </is>
      </c>
      <c r="O14" s="34" t="inlineStr">
        <is>
          <t>Kommentar</t>
        </is>
      </c>
    </row>
    <row r="15" ht="15" customHeight="1" s="25">
      <c r="A15" s="31" t="inlineStr">
        <is>
          <t>Månedsnummer</t>
        </is>
      </c>
      <c r="C15" s="39">
        <f>1</f>
        <v/>
      </c>
      <c r="D15" s="39">
        <f>2</f>
        <v/>
      </c>
      <c r="E15" s="39">
        <f>3</f>
        <v/>
      </c>
      <c r="F15" s="39">
        <f>4</f>
        <v/>
      </c>
      <c r="G15" s="39">
        <f>5</f>
        <v/>
      </c>
      <c r="H15" s="39">
        <f>6</f>
        <v/>
      </c>
      <c r="I15" s="39">
        <f>7</f>
        <v/>
      </c>
      <c r="J15" s="39">
        <f>8</f>
        <v/>
      </c>
      <c r="K15" s="39">
        <f>9</f>
        <v/>
      </c>
      <c r="L15" s="39">
        <f>10</f>
        <v/>
      </c>
      <c r="M15" s="39">
        <f>11</f>
        <v/>
      </c>
      <c r="N15" s="39">
        <f>12</f>
        <v/>
      </c>
    </row>
    <row r="16" ht="15" customHeight="1" s="25">
      <c r="A16" s="31" t="inlineStr">
        <is>
          <t>Variable andre kostnader</t>
        </is>
      </c>
      <c r="B16" s="42">
        <f>SUM(C16:N16)</f>
        <v/>
      </c>
      <c r="C16" s="42">
        <f>Salgsbudsjett!C18*$B$6</f>
        <v/>
      </c>
      <c r="D16" s="42">
        <f>Salgsbudsjett!D18*$B$6</f>
        <v/>
      </c>
      <c r="E16" s="42">
        <f>Salgsbudsjett!E18*$B$6</f>
        <v/>
      </c>
      <c r="F16" s="42">
        <f>Salgsbudsjett!F18*$B$6</f>
        <v/>
      </c>
      <c r="G16" s="42">
        <f>Salgsbudsjett!G18*$B$6</f>
        <v/>
      </c>
      <c r="H16" s="42">
        <f>Salgsbudsjett!H18*$B$6</f>
        <v/>
      </c>
      <c r="I16" s="42">
        <f>Salgsbudsjett!I18*$B$6</f>
        <v/>
      </c>
      <c r="J16" s="42">
        <f>Salgsbudsjett!J18*$B$6</f>
        <v/>
      </c>
      <c r="K16" s="42">
        <f>Salgsbudsjett!K18*$B$6</f>
        <v/>
      </c>
      <c r="L16" s="42">
        <f>Salgsbudsjett!L18*$B$6</f>
        <v/>
      </c>
      <c r="M16" s="42">
        <f>Salgsbudsjett!M18*$B$6</f>
        <v/>
      </c>
      <c r="N16" s="42">
        <f>Salgsbudsjett!N18*$B$6</f>
        <v/>
      </c>
      <c r="O16" s="31" t="inlineStr">
        <is>
          <t>Følger salget. Lav i juli, høy i november.</t>
        </is>
      </c>
    </row>
    <row r="17" ht="15" customHeight="1" s="25">
      <c r="A17" s="31" t="inlineStr">
        <is>
          <t>Faste andre kostnader</t>
        </is>
      </c>
      <c r="B17" s="42">
        <f>SUM(C17:N17)</f>
        <v/>
      </c>
      <c r="C17" s="42">
        <f>$B$9/12</f>
        <v/>
      </c>
      <c r="D17" s="42">
        <f>$B$9/12</f>
        <v/>
      </c>
      <c r="E17" s="42">
        <f>$B$9/12</f>
        <v/>
      </c>
      <c r="F17" s="42">
        <f>$B$9/12</f>
        <v/>
      </c>
      <c r="G17" s="42">
        <f>$B$9/12</f>
        <v/>
      </c>
      <c r="H17" s="42">
        <f>$B$9/12</f>
        <v/>
      </c>
      <c r="I17" s="42">
        <f>$B$9/12</f>
        <v/>
      </c>
      <c r="J17" s="42">
        <f>$B$9/12</f>
        <v/>
      </c>
      <c r="K17" s="42">
        <f>$B$9/12</f>
        <v/>
      </c>
      <c r="L17" s="42">
        <f>$B$9/12</f>
        <v/>
      </c>
      <c r="M17" s="42">
        <f>$B$9/12</f>
        <v/>
      </c>
      <c r="N17" s="42">
        <f>$B$9/12</f>
        <v/>
      </c>
      <c r="O17" s="31" t="inlineStr">
        <is>
          <t>Like store hver måned.</t>
        </is>
      </c>
    </row>
    <row r="18" ht="15" customHeight="1" s="25">
      <c r="A18" s="33" t="inlineStr">
        <is>
          <t>= Andre driftskostnader</t>
        </is>
      </c>
      <c r="B18" s="43">
        <f>SUM(C18:N18)</f>
        <v/>
      </c>
      <c r="C18" s="43">
        <f>C16+C17</f>
        <v/>
      </c>
      <c r="D18" s="43">
        <f>D16+D17</f>
        <v/>
      </c>
      <c r="E18" s="43">
        <f>E16+E17</f>
        <v/>
      </c>
      <c r="F18" s="43">
        <f>F16+F17</f>
        <v/>
      </c>
      <c r="G18" s="43">
        <f>G16+G17</f>
        <v/>
      </c>
      <c r="H18" s="43">
        <f>H16+H17</f>
        <v/>
      </c>
      <c r="I18" s="43">
        <f>I16+I17</f>
        <v/>
      </c>
      <c r="J18" s="43">
        <f>J16+J17</f>
        <v/>
      </c>
      <c r="K18" s="43">
        <f>K16+K17</f>
        <v/>
      </c>
      <c r="L18" s="43">
        <f>L16+L17</f>
        <v/>
      </c>
      <c r="M18" s="43">
        <f>M16+M17</f>
        <v/>
      </c>
      <c r="N18" s="43">
        <f>N16+N17</f>
        <v/>
      </c>
      <c r="O18" s="31" t="inlineStr">
        <is>
          <t>Denne linja går inn i resultatbudsjettet.</t>
        </is>
      </c>
    </row>
    <row r="19" ht="15" customHeight="1" s="25">
      <c r="A19" s="31" t="inlineStr">
        <is>
          <t>+ Inngående merverdiavgift</t>
        </is>
      </c>
      <c r="B19" s="42">
        <f>SUM(C19:N19)</f>
        <v/>
      </c>
      <c r="C19" s="42">
        <f>C18*$B$11*$B$10</f>
        <v/>
      </c>
      <c r="D19" s="42">
        <f>D18*$B$11*$B$10</f>
        <v/>
      </c>
      <c r="E19" s="42">
        <f>E18*$B$11*$B$10</f>
        <v/>
      </c>
      <c r="F19" s="42">
        <f>F18*$B$11*$B$10</f>
        <v/>
      </c>
      <c r="G19" s="42">
        <f>G18*$B$11*$B$10</f>
        <v/>
      </c>
      <c r="H19" s="42">
        <f>H18*$B$11*$B$10</f>
        <v/>
      </c>
      <c r="I19" s="42">
        <f>I18*$B$11*$B$10</f>
        <v/>
      </c>
      <c r="J19" s="42">
        <f>J18*$B$11*$B$10</f>
        <v/>
      </c>
      <c r="K19" s="42">
        <f>K18*$B$11*$B$10</f>
        <v/>
      </c>
      <c r="L19" s="42">
        <f>L18*$B$11*$B$10</f>
        <v/>
      </c>
      <c r="M19" s="42">
        <f>M18*$B$11*$B$10</f>
        <v/>
      </c>
      <c r="N19" s="42">
        <f>N18*$B$11*$B$10</f>
        <v/>
      </c>
    </row>
    <row r="20" ht="15" customHeight="1" s="25">
      <c r="A20" s="33" t="inlineStr">
        <is>
          <t>= Utbetaling inkl. merverdiavgift</t>
        </is>
      </c>
      <c r="B20" s="43">
        <f>SUM(C20:N20)</f>
        <v/>
      </c>
      <c r="C20" s="43">
        <f>C18+C19</f>
        <v/>
      </c>
      <c r="D20" s="43">
        <f>D18+D19</f>
        <v/>
      </c>
      <c r="E20" s="43">
        <f>E18+E19</f>
        <v/>
      </c>
      <c r="F20" s="43">
        <f>F18+F19</f>
        <v/>
      </c>
      <c r="G20" s="43">
        <f>G18+G19</f>
        <v/>
      </c>
      <c r="H20" s="43">
        <f>H18+H19</f>
        <v/>
      </c>
      <c r="I20" s="43">
        <f>I18+I19</f>
        <v/>
      </c>
      <c r="J20" s="43">
        <f>J18+J19</f>
        <v/>
      </c>
      <c r="K20" s="43">
        <f>K18+K19</f>
        <v/>
      </c>
      <c r="L20" s="43">
        <f>L18+L19</f>
        <v/>
      </c>
      <c r="M20" s="43">
        <f>M18+M19</f>
        <v/>
      </c>
      <c r="N20" s="43">
        <f>N18+N19</f>
        <v/>
      </c>
      <c r="O20" s="31" t="inlineStr">
        <is>
          <t>Her forutsettes det at regningene betales i den måneden de kommer.</t>
        </is>
      </c>
    </row>
    <row r="22" ht="15" customHeight="1" s="25">
      <c r="A22" s="29" t="inlineStr">
        <is>
          <t>3 · Kontroll</t>
        </is>
      </c>
    </row>
    <row r="23" ht="15" customHeight="1" s="25">
      <c r="A23" s="31" t="inlineStr">
        <is>
          <t>Summerer variable og faste seg til årsbeløpet?</t>
        </is>
      </c>
      <c r="B23" s="44">
        <f>IF(ABS(B8+B9-B5)&lt;1,"OK — de variable og de faste summerer seg til det årsbeløpet som er budsjettert","AVVIK: delingen går ikke opp")</f>
        <v/>
      </c>
    </row>
    <row r="24" ht="15" customHeight="1" s="25">
      <c r="A24" s="31" t="inlineStr">
        <is>
          <t>Er de faste kostnadene positive?</t>
        </is>
      </c>
      <c r="B24" s="44">
        <f>IF(B9&gt;0,"OK — det er en fast del igjen etter at de variable er trukket fra","AVVIK: den variable andelen er satt så høyt at det ikke er noen faste kostnader igjen")</f>
        <v/>
      </c>
    </row>
    <row r="26" ht="15" customHeight="1" s="25">
      <c r="A26" s="33" t="inlineStr">
        <is>
          <t>Prøv dette: sett omsetningsveksten i arket Scenario til minus 20 prosent. De variable kostnadene faller, de faste gjør det ikke. Det er derfor et dårlig år svir mer enn omsetningstallet alene skulle tilsi.</t>
        </is>
      </c>
    </row>
    <row r="27" ht="15" customHeight="1" s="25">
      <c r="A27" s="28" t="inlineStr">
        <is>
          <t>Kilde: Bok 1 kap. 9.2 og kap. 9.4.8. Delingen i faste og variable er den samme som i kapittel 2 og kapittel 8.</t>
        </is>
      </c>
    </row>
  </sheetData>
  <conditionalFormatting sqref="B23">
    <cfRule type="expression" rank="0" priority="2" equalAverage="0" aboveAverage="0" dxfId="0" text="" percent="0" bottom="0">
      <formula>LEFT(B23,5)="AVVIK"</formula>
    </cfRule>
  </conditionalFormatting>
  <conditionalFormatting sqref="B24">
    <cfRule type="expression" rank="0" priority="3" equalAverage="0" aboveAverage="0" dxfId="0" text="" percent="0" bottom="0">
      <formula>LEFT(B24,5)="AVVIK"</formula>
    </cfRule>
  </conditionalFormatting>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O5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24" min="1" max="1"/>
    <col width="17" customWidth="1" style="24" min="2" max="2"/>
    <col width="13" customWidth="1" style="24" min="3" max="14"/>
    <col width="56" customWidth="1" style="24" min="15" max="15"/>
  </cols>
  <sheetData>
    <row r="1" ht="17.35" customHeight="1" s="25">
      <c r="A1" s="26" t="inlineStr">
        <is>
          <t>Investerings- og finansbudsjett 2027</t>
        </is>
      </c>
    </row>
    <row r="2" ht="15" customHeight="1" s="25">
      <c r="A2" s="27" t="inlineStr">
        <is>
          <t>De tre postene som tapper kontoen uten å stå i resultatbudsjettet: avdrag, investering og utbytte. Og den ene kostnaden som ikke tapper kontoen: avskrivninger.</t>
        </is>
      </c>
    </row>
    <row r="4" ht="15" customHeight="1" s="25">
      <c r="A4" s="29" t="inlineStr">
        <is>
          <t>1 · Investeringsbudsjettet</t>
        </is>
      </c>
    </row>
    <row r="5" ht="15" customHeight="1" s="25">
      <c r="A5" s="31" t="inlineStr">
        <is>
          <t>Kjøpesum uten merverdiavgift</t>
        </is>
      </c>
      <c r="B5" s="35" t="n">
        <v>480000</v>
      </c>
      <c r="O5" s="31" t="inlineStr">
        <is>
          <t>Feilsøkings- og termograferingsutstyr — investeringen du regner nåverdien av i kapittel 10.</t>
        </is>
      </c>
    </row>
    <row r="6" ht="15" customHeight="1" s="25">
      <c r="A6" s="31" t="inlineStr">
        <is>
          <t>Måneden utstyret kjøpes i</t>
        </is>
      </c>
      <c r="B6" s="41" t="n">
        <v>3</v>
      </c>
      <c r="O6" s="31" t="inlineStr">
        <is>
          <t>Sett den til 9 og se hva det gjør med bunnen i likviditetsbudsjettet.</t>
        </is>
      </c>
    </row>
    <row r="7" ht="15" customHeight="1" s="25">
      <c r="A7" s="31" t="inlineStr">
        <is>
          <t>Merverdiavgiftssats</t>
        </is>
      </c>
      <c r="B7" s="37">
        <f>Salgsbudsjett!$B$7</f>
        <v/>
      </c>
    </row>
    <row r="8" ht="15" customHeight="1" s="25">
      <c r="A8" s="33" t="inlineStr">
        <is>
          <t>= Utbetaling inkl. merverdiavgift</t>
        </is>
      </c>
      <c r="B8" s="43">
        <f>B5*(1+B7)</f>
        <v/>
      </c>
      <c r="O8" s="31" t="inlineStr">
        <is>
          <t>Hele beløpet går ut av kontoen i kjøpsmåneden. Ingen krone av det er kostnad — kostnaden kommer som avskrivninger over levetiden.</t>
        </is>
      </c>
    </row>
    <row r="9" ht="15" customHeight="1" s="25">
      <c r="A9" s="31" t="inlineStr">
        <is>
          <t>Salg av driftsmidler i 2027</t>
        </is>
      </c>
      <c r="B9" s="35" t="n">
        <v>0</v>
      </c>
    </row>
    <row r="10" ht="15" customHeight="1" s="25">
      <c r="A10" s="31" t="inlineStr">
        <is>
          <t>Måneden driftsmidler selges i</t>
        </is>
      </c>
      <c r="B10" s="41" t="n">
        <v>12</v>
      </c>
    </row>
    <row r="12" ht="15" customHeight="1" s="25">
      <c r="A12" s="29" t="inlineStr">
        <is>
          <t>2 · Avskrivningsbudsjettet</t>
        </is>
      </c>
    </row>
    <row r="13" ht="15" customHeight="1" s="25">
      <c r="A13" s="31" t="inlineStr">
        <is>
          <t>Varige driftsmidler 1.1.2027</t>
        </is>
      </c>
      <c r="B13" s="35" t="n">
        <v>3600000</v>
      </c>
      <c r="O13" s="31" t="inlineStr">
        <is>
          <t>Maskiner og verktøy pluss biler, slik de står i balansen 31.12.2026.</t>
        </is>
      </c>
    </row>
    <row r="14" ht="15" customHeight="1" s="25">
      <c r="A14" s="31" t="inlineStr">
        <is>
          <t>+ Årets investering</t>
        </is>
      </c>
      <c r="B14" s="42">
        <f>B5</f>
        <v/>
      </c>
    </row>
    <row r="15" ht="15" customHeight="1" s="25">
      <c r="A15" s="31" t="inlineStr">
        <is>
          <t>− Årets avskrivninger</t>
        </is>
      </c>
      <c r="B15" s="35" t="n">
        <v>680000</v>
      </c>
      <c r="O15" s="31" t="inlineStr">
        <is>
          <t>Den eneste kostnaden i hele arbeidsboka som ikke koster penger. Den står i resultatbudsjettet og ingen andre steder.</t>
        </is>
      </c>
    </row>
    <row r="16" ht="15" customHeight="1" s="25">
      <c r="A16" s="33" t="inlineStr">
        <is>
          <t>= Bokført verdi 31.12.2027</t>
        </is>
      </c>
      <c r="B16" s="43">
        <f>B13+B14-B15</f>
        <v/>
      </c>
    </row>
    <row r="18" ht="15" customHeight="1" s="25">
      <c r="A18" s="29" t="inlineStr">
        <is>
          <t>3 · Finansbudsjettet</t>
        </is>
      </c>
    </row>
    <row r="19" ht="15" customHeight="1" s="25">
      <c r="A19" s="31" t="inlineStr">
        <is>
          <t>Banklån 1.1.2027</t>
        </is>
      </c>
      <c r="B19" s="35" t="n">
        <v>2800000</v>
      </c>
    </row>
    <row r="20" ht="15" customHeight="1" s="25">
      <c r="A20" s="31" t="inlineStr">
        <is>
          <t>Avdrag per kvartal</t>
        </is>
      </c>
      <c r="B20" s="35" t="n">
        <v>140000</v>
      </c>
      <c r="O20" s="31" t="inlineStr">
        <is>
          <t>Avdrag er nedbetaling av gjeld, ikke kostnad. Pengene går ut, men resultatet rører seg ikke.</t>
        </is>
      </c>
    </row>
    <row r="21" ht="15" customHeight="1" s="25">
      <c r="A21" s="31" t="inlineStr">
        <is>
          <t>Rentekostnader per kvartal</t>
        </is>
      </c>
      <c r="B21" s="35" t="n">
        <v>52500</v>
      </c>
      <c r="O21" s="31" t="inlineStr">
        <is>
          <t>Renten er kostnad. Den står i resultatbudsjettet.</t>
        </is>
      </c>
    </row>
    <row r="22" ht="15" customHeight="1" s="25">
      <c r="A22" s="31" t="inlineStr">
        <is>
          <t>Renteinntekter per kvartal</t>
        </is>
      </c>
      <c r="B22" s="35" t="n">
        <v>14000</v>
      </c>
    </row>
    <row r="23" ht="15" customHeight="1" s="25">
      <c r="A23" s="31" t="inlineStr">
        <is>
          <t>Nye lån i 2027</t>
        </is>
      </c>
      <c r="B23" s="35" t="n">
        <v>0</v>
      </c>
      <c r="O23" s="31" t="inlineStr">
        <is>
          <t>Null i grunnbudsjettet. Låner bedriften til investeringen, legger du beløpet inn her og ser bunnen løfte seg.</t>
        </is>
      </c>
    </row>
    <row r="24" ht="15" customHeight="1" s="25">
      <c r="A24" s="31" t="inlineStr">
        <is>
          <t>Måneden nye lån utbetales i</t>
        </is>
      </c>
      <c r="B24" s="41" t="n">
        <v>1</v>
      </c>
    </row>
    <row r="25" ht="15" customHeight="1" s="25">
      <c r="A25" s="31" t="inlineStr">
        <is>
          <t>Utbytte i 2027</t>
        </is>
      </c>
      <c r="B25" s="35" t="n">
        <v>0</v>
      </c>
      <c r="O25" s="31" t="inlineStr">
        <is>
          <t>Utbytte er ikke kostnad. Det er eierne som tar ut av egenkapitalen.</t>
        </is>
      </c>
    </row>
    <row r="26" ht="15" customHeight="1" s="25">
      <c r="A26" s="31" t="inlineStr">
        <is>
          <t>Måneden utbyttet utbetales i</t>
        </is>
      </c>
      <c r="B26" s="41" t="n">
        <v>6</v>
      </c>
    </row>
    <row r="27" ht="15" customHeight="1" s="25">
      <c r="A27" s="31" t="inlineStr">
        <is>
          <t>Forhåndsskatt, halvparten i februar og halvparten i april</t>
        </is>
      </c>
      <c r="B27" s="35" t="n">
        <v>262000</v>
      </c>
      <c r="O27" s="31" t="inlineStr">
        <is>
          <t>Aksjeselskaper betaler etterskuddsvis. Dette er skatten for 2026, betalt 15. februar og 15. april 2027.</t>
        </is>
      </c>
    </row>
    <row r="28" ht="15" customHeight="1" s="25">
      <c r="A28" s="31" t="inlineStr">
        <is>
          <t>Kassekredittramme</t>
        </is>
      </c>
      <c r="B28" s="35" t="n">
        <v>1500000</v>
      </c>
    </row>
    <row r="29" ht="15" customHeight="1" s="25">
      <c r="A29" s="31" t="inlineStr">
        <is>
          <t>Kassekreditt trukket 1.1.2027</t>
        </is>
      </c>
      <c r="B29" s="35" t="n">
        <v>300000</v>
      </c>
    </row>
    <row r="30" ht="15" customHeight="1" s="25">
      <c r="A30" s="31" t="inlineStr">
        <is>
          <t>Kassekredittrente</t>
        </is>
      </c>
      <c r="B30" s="36" t="n">
        <v>0.08</v>
      </c>
    </row>
    <row r="31" ht="15" customHeight="1" s="25">
      <c r="A31" s="33" t="inlineStr">
        <is>
          <t>= Banklån 31.12.2027</t>
        </is>
      </c>
      <c r="B31" s="43">
        <f>B19-B20*4+B23</f>
        <v/>
      </c>
    </row>
    <row r="33" ht="15" customHeight="1" s="25">
      <c r="A33" s="29" t="inlineStr">
        <is>
          <t>4 · Måned for måned</t>
        </is>
      </c>
    </row>
    <row r="34" ht="27.75" customHeight="1" s="25">
      <c r="A34" s="34" t="inlineStr">
        <is>
          <t>Post</t>
        </is>
      </c>
      <c r="B34" s="34" t="inlineStr">
        <is>
          <t>År</t>
        </is>
      </c>
      <c r="C34" s="34" t="inlineStr">
        <is>
          <t>Jan</t>
        </is>
      </c>
      <c r="D34" s="34" t="inlineStr">
        <is>
          <t>Feb</t>
        </is>
      </c>
      <c r="E34" s="34" t="inlineStr">
        <is>
          <t>Mar</t>
        </is>
      </c>
      <c r="F34" s="34" t="inlineStr">
        <is>
          <t>Apr</t>
        </is>
      </c>
      <c r="G34" s="34" t="inlineStr">
        <is>
          <t>Mai</t>
        </is>
      </c>
      <c r="H34" s="34" t="inlineStr">
        <is>
          <t>Jun</t>
        </is>
      </c>
      <c r="I34" s="34" t="inlineStr">
        <is>
          <t>Jul</t>
        </is>
      </c>
      <c r="J34" s="34" t="inlineStr">
        <is>
          <t>Aug</t>
        </is>
      </c>
      <c r="K34" s="34" t="inlineStr">
        <is>
          <t>Sep</t>
        </is>
      </c>
      <c r="L34" s="34" t="inlineStr">
        <is>
          <t>Okt</t>
        </is>
      </c>
      <c r="M34" s="34" t="inlineStr">
        <is>
          <t>Nov</t>
        </is>
      </c>
      <c r="N34" s="34" t="inlineStr">
        <is>
          <t>Des</t>
        </is>
      </c>
      <c r="O34" s="34" t="inlineStr">
        <is>
          <t>Kommentar</t>
        </is>
      </c>
    </row>
    <row r="35" ht="15" customHeight="1" s="25">
      <c r="A35" s="31" t="inlineStr">
        <is>
          <t>Månedsnummer</t>
        </is>
      </c>
      <c r="C35" s="39">
        <f>1</f>
        <v/>
      </c>
      <c r="D35" s="39">
        <f>2</f>
        <v/>
      </c>
      <c r="E35" s="39">
        <f>3</f>
        <v/>
      </c>
      <c r="F35" s="39">
        <f>4</f>
        <v/>
      </c>
      <c r="G35" s="39">
        <f>5</f>
        <v/>
      </c>
      <c r="H35" s="39">
        <f>6</f>
        <v/>
      </c>
      <c r="I35" s="39">
        <f>7</f>
        <v/>
      </c>
      <c r="J35" s="39">
        <f>8</f>
        <v/>
      </c>
      <c r="K35" s="39">
        <f>9</f>
        <v/>
      </c>
      <c r="L35" s="39">
        <f>10</f>
        <v/>
      </c>
      <c r="M35" s="39">
        <f>11</f>
        <v/>
      </c>
      <c r="N35" s="39">
        <f>12</f>
        <v/>
      </c>
    </row>
    <row r="36" ht="15" customHeight="1" s="25">
      <c r="A36" s="31" t="inlineStr">
        <is>
          <t>Avskrivninger</t>
        </is>
      </c>
      <c r="B36" s="42">
        <f>SUM(C36:N36)</f>
        <v/>
      </c>
      <c r="C36" s="42">
        <f>$B$15/12</f>
        <v/>
      </c>
      <c r="D36" s="42">
        <f>$B$15/12</f>
        <v/>
      </c>
      <c r="E36" s="42">
        <f>$B$15/12</f>
        <v/>
      </c>
      <c r="F36" s="42">
        <f>$B$15/12</f>
        <v/>
      </c>
      <c r="G36" s="42">
        <f>$B$15/12</f>
        <v/>
      </c>
      <c r="H36" s="42">
        <f>$B$15/12</f>
        <v/>
      </c>
      <c r="I36" s="42">
        <f>$B$15/12</f>
        <v/>
      </c>
      <c r="J36" s="42">
        <f>$B$15/12</f>
        <v/>
      </c>
      <c r="K36" s="42">
        <f>$B$15/12</f>
        <v/>
      </c>
      <c r="L36" s="42">
        <f>$B$15/12</f>
        <v/>
      </c>
      <c r="M36" s="42">
        <f>$B$15/12</f>
        <v/>
      </c>
      <c r="N36" s="42">
        <f>$B$15/12</f>
        <v/>
      </c>
      <c r="O36" s="31" t="inlineStr">
        <is>
          <t>Til resultatbudsjettet. Aldri til likviditetsbudsjettet.</t>
        </is>
      </c>
    </row>
    <row r="37" ht="15" customHeight="1" s="25">
      <c r="A37" s="31" t="inlineStr">
        <is>
          <t>Investering inkl. merverdiavgift</t>
        </is>
      </c>
      <c r="B37" s="42">
        <f>SUM(C37:N37)</f>
        <v/>
      </c>
      <c r="C37" s="42">
        <f>IF(C35=$B$6,$B$8,0)</f>
        <v/>
      </c>
      <c r="D37" s="42">
        <f>IF(D35=$B$6,$B$8,0)</f>
        <v/>
      </c>
      <c r="E37" s="42">
        <f>IF(E35=$B$6,$B$8,0)</f>
        <v/>
      </c>
      <c r="F37" s="42">
        <f>IF(F35=$B$6,$B$8,0)</f>
        <v/>
      </c>
      <c r="G37" s="42">
        <f>IF(G35=$B$6,$B$8,0)</f>
        <v/>
      </c>
      <c r="H37" s="42">
        <f>IF(H35=$B$6,$B$8,0)</f>
        <v/>
      </c>
      <c r="I37" s="42">
        <f>IF(I35=$B$6,$B$8,0)</f>
        <v/>
      </c>
      <c r="J37" s="42">
        <f>IF(J35=$B$6,$B$8,0)</f>
        <v/>
      </c>
      <c r="K37" s="42">
        <f>IF(K35=$B$6,$B$8,0)</f>
        <v/>
      </c>
      <c r="L37" s="42">
        <f>IF(L35=$B$6,$B$8,0)</f>
        <v/>
      </c>
      <c r="M37" s="42">
        <f>IF(M35=$B$6,$B$8,0)</f>
        <v/>
      </c>
      <c r="N37" s="42">
        <f>IF(N35=$B$6,$B$8,0)</f>
        <v/>
      </c>
      <c r="O37" s="31" t="inlineStr">
        <is>
          <t>Til likviditetsbudsjettet. Aldri til resultatbudsjettet.</t>
        </is>
      </c>
    </row>
    <row r="38" ht="15" customHeight="1" s="25">
      <c r="A38" s="31" t="inlineStr">
        <is>
          <t>Inngående merverdiavgift på investeringen</t>
        </is>
      </c>
      <c r="B38" s="42">
        <f>SUM(C38:N38)</f>
        <v/>
      </c>
      <c r="C38" s="42">
        <f>IF(C35=$B$6,$B$5*$B$7,0)</f>
        <v/>
      </c>
      <c r="D38" s="42">
        <f>IF(D35=$B$6,$B$5*$B$7,0)</f>
        <v/>
      </c>
      <c r="E38" s="42">
        <f>IF(E35=$B$6,$B$5*$B$7,0)</f>
        <v/>
      </c>
      <c r="F38" s="42">
        <f>IF(F35=$B$6,$B$5*$B$7,0)</f>
        <v/>
      </c>
      <c r="G38" s="42">
        <f>IF(G35=$B$6,$B$5*$B$7,0)</f>
        <v/>
      </c>
      <c r="H38" s="42">
        <f>IF(H35=$B$6,$B$5*$B$7,0)</f>
        <v/>
      </c>
      <c r="I38" s="42">
        <f>IF(I35=$B$6,$B$5*$B$7,0)</f>
        <v/>
      </c>
      <c r="J38" s="42">
        <f>IF(J35=$B$6,$B$5*$B$7,0)</f>
        <v/>
      </c>
      <c r="K38" s="42">
        <f>IF(K35=$B$6,$B$5*$B$7,0)</f>
        <v/>
      </c>
      <c r="L38" s="42">
        <f>IF(L35=$B$6,$B$5*$B$7,0)</f>
        <v/>
      </c>
      <c r="M38" s="42">
        <f>IF(M35=$B$6,$B$5*$B$7,0)</f>
        <v/>
      </c>
      <c r="N38" s="42">
        <f>IF(N35=$B$6,$B$5*$B$7,0)</f>
        <v/>
      </c>
      <c r="O38" s="31" t="inlineStr">
        <is>
          <t>Til mva-budsjettet. Avgiften på investeringen får bedriften igjen.</t>
        </is>
      </c>
    </row>
    <row r="39" ht="15" customHeight="1" s="25">
      <c r="A39" s="31" t="inlineStr">
        <is>
          <t>Salg av driftsmidler</t>
        </is>
      </c>
      <c r="B39" s="42">
        <f>SUM(C39:N39)</f>
        <v/>
      </c>
      <c r="C39" s="42">
        <f>IF(C35=$B$10,$B$9,0)</f>
        <v/>
      </c>
      <c r="D39" s="42">
        <f>IF(D35=$B$10,$B$9,0)</f>
        <v/>
      </c>
      <c r="E39" s="42">
        <f>IF(E35=$B$10,$B$9,0)</f>
        <v/>
      </c>
      <c r="F39" s="42">
        <f>IF(F35=$B$10,$B$9,0)</f>
        <v/>
      </c>
      <c r="G39" s="42">
        <f>IF(G35=$B$10,$B$9,0)</f>
        <v/>
      </c>
      <c r="H39" s="42">
        <f>IF(H35=$B$10,$B$9,0)</f>
        <v/>
      </c>
      <c r="I39" s="42">
        <f>IF(I35=$B$10,$B$9,0)</f>
        <v/>
      </c>
      <c r="J39" s="42">
        <f>IF(J35=$B$10,$B$9,0)</f>
        <v/>
      </c>
      <c r="K39" s="42">
        <f>IF(K35=$B$10,$B$9,0)</f>
        <v/>
      </c>
      <c r="L39" s="42">
        <f>IF(L35=$B$10,$B$9,0)</f>
        <v/>
      </c>
      <c r="M39" s="42">
        <f>IF(M35=$B$10,$B$9,0)</f>
        <v/>
      </c>
      <c r="N39" s="42">
        <f>IF(N35=$B$10,$B$9,0)</f>
        <v/>
      </c>
    </row>
    <row r="40" ht="15" customHeight="1" s="25">
      <c r="A40" s="31" t="inlineStr">
        <is>
          <t>Avdrag</t>
        </is>
      </c>
      <c r="B40" s="42">
        <f>SUM(C40:N40)</f>
        <v/>
      </c>
      <c r="C40" s="42">
        <f>IF(MOD(C35,3)=0,$B$20,0)</f>
        <v/>
      </c>
      <c r="D40" s="42">
        <f>IF(MOD(D35,3)=0,$B$20,0)</f>
        <v/>
      </c>
      <c r="E40" s="42">
        <f>IF(MOD(E35,3)=0,$B$20,0)</f>
        <v/>
      </c>
      <c r="F40" s="42">
        <f>IF(MOD(F35,3)=0,$B$20,0)</f>
        <v/>
      </c>
      <c r="G40" s="42">
        <f>IF(MOD(G35,3)=0,$B$20,0)</f>
        <v/>
      </c>
      <c r="H40" s="42">
        <f>IF(MOD(H35,3)=0,$B$20,0)</f>
        <v/>
      </c>
      <c r="I40" s="42">
        <f>IF(MOD(I35,3)=0,$B$20,0)</f>
        <v/>
      </c>
      <c r="J40" s="42">
        <f>IF(MOD(J35,3)=0,$B$20,0)</f>
        <v/>
      </c>
      <c r="K40" s="42">
        <f>IF(MOD(K35,3)=0,$B$20,0)</f>
        <v/>
      </c>
      <c r="L40" s="42">
        <f>IF(MOD(L35,3)=0,$B$20,0)</f>
        <v/>
      </c>
      <c r="M40" s="42">
        <f>IF(MOD(M35,3)=0,$B$20,0)</f>
        <v/>
      </c>
      <c r="N40" s="42">
        <f>IF(MOD(N35,3)=0,$B$20,0)</f>
        <v/>
      </c>
    </row>
    <row r="41" ht="15" customHeight="1" s="25">
      <c r="A41" s="31" t="inlineStr">
        <is>
          <t>Rentekostnader</t>
        </is>
      </c>
      <c r="B41" s="42">
        <f>SUM(C41:N41)</f>
        <v/>
      </c>
      <c r="C41" s="42">
        <f>IF(MOD(C35,3)=0,$B$21,0)</f>
        <v/>
      </c>
      <c r="D41" s="42">
        <f>IF(MOD(D35,3)=0,$B$21,0)</f>
        <v/>
      </c>
      <c r="E41" s="42">
        <f>IF(MOD(E35,3)=0,$B$21,0)</f>
        <v/>
      </c>
      <c r="F41" s="42">
        <f>IF(MOD(F35,3)=0,$B$21,0)</f>
        <v/>
      </c>
      <c r="G41" s="42">
        <f>IF(MOD(G35,3)=0,$B$21,0)</f>
        <v/>
      </c>
      <c r="H41" s="42">
        <f>IF(MOD(H35,3)=0,$B$21,0)</f>
        <v/>
      </c>
      <c r="I41" s="42">
        <f>IF(MOD(I35,3)=0,$B$21,0)</f>
        <v/>
      </c>
      <c r="J41" s="42">
        <f>IF(MOD(J35,3)=0,$B$21,0)</f>
        <v/>
      </c>
      <c r="K41" s="42">
        <f>IF(MOD(K35,3)=0,$B$21,0)</f>
        <v/>
      </c>
      <c r="L41" s="42">
        <f>IF(MOD(L35,3)=0,$B$21,0)</f>
        <v/>
      </c>
      <c r="M41" s="42">
        <f>IF(MOD(M35,3)=0,$B$21,0)</f>
        <v/>
      </c>
      <c r="N41" s="42">
        <f>IF(MOD(N35,3)=0,$B$21,0)</f>
        <v/>
      </c>
    </row>
    <row r="42" ht="15" customHeight="1" s="25">
      <c r="A42" s="31" t="inlineStr">
        <is>
          <t>Renteinntekter</t>
        </is>
      </c>
      <c r="B42" s="42">
        <f>SUM(C42:N42)</f>
        <v/>
      </c>
      <c r="C42" s="42">
        <f>IF(MOD(C35,3)=0,$B$22,0)</f>
        <v/>
      </c>
      <c r="D42" s="42">
        <f>IF(MOD(D35,3)=0,$B$22,0)</f>
        <v/>
      </c>
      <c r="E42" s="42">
        <f>IF(MOD(E35,3)=0,$B$22,0)</f>
        <v/>
      </c>
      <c r="F42" s="42">
        <f>IF(MOD(F35,3)=0,$B$22,0)</f>
        <v/>
      </c>
      <c r="G42" s="42">
        <f>IF(MOD(G35,3)=0,$B$22,0)</f>
        <v/>
      </c>
      <c r="H42" s="42">
        <f>IF(MOD(H35,3)=0,$B$22,0)</f>
        <v/>
      </c>
      <c r="I42" s="42">
        <f>IF(MOD(I35,3)=0,$B$22,0)</f>
        <v/>
      </c>
      <c r="J42" s="42">
        <f>IF(MOD(J35,3)=0,$B$22,0)</f>
        <v/>
      </c>
      <c r="K42" s="42">
        <f>IF(MOD(K35,3)=0,$B$22,0)</f>
        <v/>
      </c>
      <c r="L42" s="42">
        <f>IF(MOD(L35,3)=0,$B$22,0)</f>
        <v/>
      </c>
      <c r="M42" s="42">
        <f>IF(MOD(M35,3)=0,$B$22,0)</f>
        <v/>
      </c>
      <c r="N42" s="42">
        <f>IF(MOD(N35,3)=0,$B$22,0)</f>
        <v/>
      </c>
    </row>
    <row r="43" ht="15" customHeight="1" s="25">
      <c r="A43" s="31" t="inlineStr">
        <is>
          <t>Nye lån</t>
        </is>
      </c>
      <c r="B43" s="42">
        <f>SUM(C43:N43)</f>
        <v/>
      </c>
      <c r="C43" s="42">
        <f>IF(C35=$B$24,$B$23,0)</f>
        <v/>
      </c>
      <c r="D43" s="42">
        <f>IF(D35=$B$24,$B$23,0)</f>
        <v/>
      </c>
      <c r="E43" s="42">
        <f>IF(E35=$B$24,$B$23,0)</f>
        <v/>
      </c>
      <c r="F43" s="42">
        <f>IF(F35=$B$24,$B$23,0)</f>
        <v/>
      </c>
      <c r="G43" s="42">
        <f>IF(G35=$B$24,$B$23,0)</f>
        <v/>
      </c>
      <c r="H43" s="42">
        <f>IF(H35=$B$24,$B$23,0)</f>
        <v/>
      </c>
      <c r="I43" s="42">
        <f>IF(I35=$B$24,$B$23,0)</f>
        <v/>
      </c>
      <c r="J43" s="42">
        <f>IF(J35=$B$24,$B$23,0)</f>
        <v/>
      </c>
      <c r="K43" s="42">
        <f>IF(K35=$B$24,$B$23,0)</f>
        <v/>
      </c>
      <c r="L43" s="42">
        <f>IF(L35=$B$24,$B$23,0)</f>
        <v/>
      </c>
      <c r="M43" s="42">
        <f>IF(M35=$B$24,$B$23,0)</f>
        <v/>
      </c>
      <c r="N43" s="42">
        <f>IF(N35=$B$24,$B$23,0)</f>
        <v/>
      </c>
    </row>
    <row r="44" ht="15" customHeight="1" s="25">
      <c r="A44" s="31" t="inlineStr">
        <is>
          <t>Utbytte</t>
        </is>
      </c>
      <c r="B44" s="42">
        <f>SUM(C44:N44)</f>
        <v/>
      </c>
      <c r="C44" s="42">
        <f>IF(C35=$B$26,$B$25,0)</f>
        <v/>
      </c>
      <c r="D44" s="42">
        <f>IF(D35=$B$26,$B$25,0)</f>
        <v/>
      </c>
      <c r="E44" s="42">
        <f>IF(E35=$B$26,$B$25,0)</f>
        <v/>
      </c>
      <c r="F44" s="42">
        <f>IF(F35=$B$26,$B$25,0)</f>
        <v/>
      </c>
      <c r="G44" s="42">
        <f>IF(G35=$B$26,$B$25,0)</f>
        <v/>
      </c>
      <c r="H44" s="42">
        <f>IF(H35=$B$26,$B$25,0)</f>
        <v/>
      </c>
      <c r="I44" s="42">
        <f>IF(I35=$B$26,$B$25,0)</f>
        <v/>
      </c>
      <c r="J44" s="42">
        <f>IF(J35=$B$26,$B$25,0)</f>
        <v/>
      </c>
      <c r="K44" s="42">
        <f>IF(K35=$B$26,$B$25,0)</f>
        <v/>
      </c>
      <c r="L44" s="42">
        <f>IF(L35=$B$26,$B$25,0)</f>
        <v/>
      </c>
      <c r="M44" s="42">
        <f>IF(M35=$B$26,$B$25,0)</f>
        <v/>
      </c>
      <c r="N44" s="42">
        <f>IF(N35=$B$26,$B$25,0)</f>
        <v/>
      </c>
    </row>
    <row r="45" ht="15" customHeight="1" s="25">
      <c r="A45" s="31" t="inlineStr">
        <is>
          <t>Forhåndsskatt</t>
        </is>
      </c>
      <c r="B45" s="42">
        <f>SUM(C45:N45)</f>
        <v/>
      </c>
      <c r="C45" s="42">
        <f>IF(OR(C35=2,C35=4),$B$27/2,0)</f>
        <v/>
      </c>
      <c r="D45" s="42">
        <f>IF(OR(D35=2,D35=4),$B$27/2,0)</f>
        <v/>
      </c>
      <c r="E45" s="42">
        <f>IF(OR(E35=2,E35=4),$B$27/2,0)</f>
        <v/>
      </c>
      <c r="F45" s="42">
        <f>IF(OR(F35=2,F35=4),$B$27/2,0)</f>
        <v/>
      </c>
      <c r="G45" s="42">
        <f>IF(OR(G35=2,G35=4),$B$27/2,0)</f>
        <v/>
      </c>
      <c r="H45" s="42">
        <f>IF(OR(H35=2,H35=4),$B$27/2,0)</f>
        <v/>
      </c>
      <c r="I45" s="42">
        <f>IF(OR(I35=2,I35=4),$B$27/2,0)</f>
        <v/>
      </c>
      <c r="J45" s="42">
        <f>IF(OR(J35=2,J35=4),$B$27/2,0)</f>
        <v/>
      </c>
      <c r="K45" s="42">
        <f>IF(OR(K35=2,K35=4),$B$27/2,0)</f>
        <v/>
      </c>
      <c r="L45" s="42">
        <f>IF(OR(L35=2,L35=4),$B$27/2,0)</f>
        <v/>
      </c>
      <c r="M45" s="42">
        <f>IF(OR(M35=2,M35=4),$B$27/2,0)</f>
        <v/>
      </c>
      <c r="N45" s="42">
        <f>IF(OR(N35=2,N35=4),$B$27/2,0)</f>
        <v/>
      </c>
    </row>
    <row r="47" ht="15" customHeight="1" s="25">
      <c r="A47" s="29" t="inlineStr">
        <is>
          <t>5 · Kontroll</t>
        </is>
      </c>
    </row>
    <row r="48" ht="15" customHeight="1" s="25">
      <c r="A48" s="31" t="inlineStr">
        <is>
          <t>Summerer kvartalsavdragene seg til året?</t>
        </is>
      </c>
      <c r="B48" s="44">
        <f>IF(ABS(B40-B20*4)&lt;1,"OK — fire kvartalsavdrag i året","AVVIK: avdragene i månedsradene stemmer ikke med kvartalsbeløpet")</f>
        <v/>
      </c>
    </row>
    <row r="49" ht="15" customHeight="1" s="25">
      <c r="A49" s="31" t="inlineStr">
        <is>
          <t>Er avskrivningene mindre enn bokført verdi?</t>
        </is>
      </c>
      <c r="B49" s="44">
        <f>IF(B16&gt;0,"OK — det står fortsatt verdi igjen på driftsmidlene ved årsskiftet","AVVIK: bedriften avskriver mer enn den eier")</f>
        <v/>
      </c>
    </row>
    <row r="50" ht="15" customHeight="1" s="25">
      <c r="A50" s="31" t="inlineStr">
        <is>
          <t>Blir investeringen betalt i budsjettåret?</t>
        </is>
      </c>
      <c r="B50" s="44">
        <f>IF(AND($B$6&gt;=1,$B$6&lt;=12),"OK — investeringen ligger inne i en av årets tolv måneder","AVVIK: investeringsmåneden må være et tall fra 1 til 12")</f>
        <v/>
      </c>
    </row>
    <row r="52" ht="15" customHeight="1" s="25">
      <c r="A52" s="28" t="inlineStr">
        <is>
          <t>Kilde: Bok 1 kap. 9.4.9 til 9.4.16. Avdragsplanen er lånet på 2 800 000 kroner nedbetalt over fem år.</t>
        </is>
      </c>
    </row>
  </sheetData>
  <conditionalFormatting sqref="B48">
    <cfRule type="expression" rank="0" priority="2" equalAverage="0" aboveAverage="0" dxfId="0" text="" percent="0" bottom="0">
      <formula>LEFT(B48,5)="AVVIK"</formula>
    </cfRule>
  </conditionalFormatting>
  <conditionalFormatting sqref="B49">
    <cfRule type="expression" rank="0" priority="3" equalAverage="0" aboveAverage="0" dxfId="0" text="" percent="0" bottom="0">
      <formula>LEFT(B49,5)="AVVIK"</formula>
    </cfRule>
  </conditionalFormatting>
  <conditionalFormatting sqref="B50">
    <cfRule type="expression" rank="0" priority="4" equalAverage="0" aboveAverage="0" dxfId="0" text="" percent="0" bottom="0">
      <formula>LEFT(B50,5)="AVVIK"</formula>
    </cfRule>
  </conditionalFormatting>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O30"/>
  <sheetViews>
    <sheetView showFormulas="0" showGridLines="0" showRowColHeaders="1" showZeros="1" rightToLeft="0" tabSelected="0" showOutlineSymbols="1" defaultGridColor="1"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baseColWidth="8" defaultColWidth="8.6796875" defaultRowHeight="15" zeroHeight="0" outlineLevelRow="0"/>
  <cols>
    <col width="44" customWidth="1" style="24" min="1" max="1"/>
    <col width="17" customWidth="1" style="24" min="2" max="2"/>
    <col width="13" customWidth="1" style="24" min="3" max="14"/>
    <col width="56" customWidth="1" style="24" min="15" max="15"/>
  </cols>
  <sheetData>
    <row r="1" ht="17.35" customHeight="1" s="25">
      <c r="A1" s="26" t="inlineStr">
        <is>
          <t>Merverdiavgiftsbudsjett 2027</t>
        </is>
      </c>
    </row>
    <row r="2" ht="15" customHeight="1" s="25">
      <c r="A2" s="27" t="inlineStr">
        <is>
          <t>Merverdiavgift er aldri en kostnad. Den er penger bedriften krever inn for staten — og holder på en stund.</t>
        </is>
      </c>
    </row>
    <row r="4" ht="15" customHeight="1" s="25">
      <c r="A4" s="29" t="inlineStr">
        <is>
          <t>1 · Forutsetningene</t>
        </is>
      </c>
    </row>
    <row r="5" ht="15" customHeight="1" s="25">
      <c r="A5" s="31" t="inlineStr">
        <is>
          <t>Merverdiavgiftssats</t>
        </is>
      </c>
      <c r="B5" s="37">
        <f>Salgsbudsjett!$B$7</f>
        <v/>
      </c>
    </row>
    <row r="6" ht="15" customHeight="1" s="25">
      <c r="A6" s="31" t="inlineStr">
        <is>
          <t>Skyldig merverdiavgift 6. termin 2026</t>
        </is>
      </c>
      <c r="B6" s="35" t="n">
        <v>1064000</v>
      </c>
      <c r="O6" s="31" t="inlineStr">
        <is>
          <t>Avgiften for november og desember 2026. Forfaller 10. februar 2027, altså i årets andre måned.</t>
        </is>
      </c>
    </row>
    <row r="8" ht="15" customHeight="1" s="25">
      <c r="A8" s="29" t="inlineStr">
        <is>
          <t>2 · Mva-budsjettet, termin for termin</t>
        </is>
      </c>
    </row>
    <row r="9" ht="27.75" customHeight="1" s="25">
      <c r="A9" s="34" t="inlineStr">
        <is>
          <t>Termin</t>
        </is>
      </c>
      <c r="B9" s="34" t="inlineStr">
        <is>
          <t>Månedene</t>
        </is>
      </c>
      <c r="C9" s="34" t="inlineStr">
        <is>
          <t>Utgående mva. på salget</t>
        </is>
      </c>
      <c r="D9" s="34" t="inlineStr">
        <is>
          <t>Inngående mva. på varekjøp</t>
        </is>
      </c>
      <c r="E9" s="34" t="inlineStr">
        <is>
          <t>Inngående mva. på andre kostnader</t>
        </is>
      </c>
      <c r="F9" s="34" t="inlineStr">
        <is>
          <t>Inngående mva. på investering</t>
        </is>
      </c>
      <c r="G9" s="34" t="inlineStr">
        <is>
          <t>Netto å betale</t>
        </is>
      </c>
      <c r="H9" s="34" t="inlineStr">
        <is>
          <t>Forfaller i måned nr</t>
        </is>
      </c>
      <c r="I9" s="34" t="inlineStr">
        <is>
          <t>Kommentar</t>
        </is>
      </c>
    </row>
    <row r="10" ht="15" customHeight="1" s="25">
      <c r="A10" s="31" t="inlineStr">
        <is>
          <t>Termin 1</t>
        </is>
      </c>
      <c r="B10" s="31" t="inlineStr">
        <is>
          <t>Jan–Feb</t>
        </is>
      </c>
      <c r="C10" s="42">
        <f>Salgsbudsjett!C19+Salgsbudsjett!D19</f>
        <v/>
      </c>
      <c r="D10" s="42">
        <f>Materiellbudsjett!C19+Materiellbudsjett!D19</f>
        <v/>
      </c>
      <c r="E10" s="42">
        <f>'Andre kostnader'!C19+'Andre kostnader'!D19</f>
        <v/>
      </c>
      <c r="F10" s="42">
        <f>'Investering og finans'!C38+'Investering og finans'!D38</f>
        <v/>
      </c>
      <c r="G10" s="43">
        <f>C10-D10-E10-F10</f>
        <v/>
      </c>
      <c r="H10" s="39">
        <f>4</f>
        <v/>
      </c>
      <c r="I10" s="31" t="inlineStr">
        <is>
          <t>Forfall er én måned og ti dager etter at terminen er slutt. Januar–februar forfaller altså 10. april.</t>
        </is>
      </c>
    </row>
    <row r="11" ht="15" customHeight="1" s="25">
      <c r="A11" s="31" t="inlineStr">
        <is>
          <t>Termin 2</t>
        </is>
      </c>
      <c r="B11" s="31" t="inlineStr">
        <is>
          <t>Mar–Apr</t>
        </is>
      </c>
      <c r="C11" s="42">
        <f>Salgsbudsjett!E19+Salgsbudsjett!F19</f>
        <v/>
      </c>
      <c r="D11" s="42">
        <f>Materiellbudsjett!E19+Materiellbudsjett!F19</f>
        <v/>
      </c>
      <c r="E11" s="42">
        <f>'Andre kostnader'!E19+'Andre kostnader'!F19</f>
        <v/>
      </c>
      <c r="F11" s="42">
        <f>'Investering og finans'!E38+'Investering og finans'!F38</f>
        <v/>
      </c>
      <c r="G11" s="43">
        <f>C11-D11-E11-F11</f>
        <v/>
      </c>
      <c r="H11" s="39">
        <f>6</f>
        <v/>
      </c>
    </row>
    <row r="12" ht="15" customHeight="1" s="25">
      <c r="A12" s="31" t="inlineStr">
        <is>
          <t>Termin 3</t>
        </is>
      </c>
      <c r="B12" s="31" t="inlineStr">
        <is>
          <t>Mai–Jun</t>
        </is>
      </c>
      <c r="C12" s="42">
        <f>Salgsbudsjett!G19+Salgsbudsjett!H19</f>
        <v/>
      </c>
      <c r="D12" s="42">
        <f>Materiellbudsjett!G19+Materiellbudsjett!H19</f>
        <v/>
      </c>
      <c r="E12" s="42">
        <f>'Andre kostnader'!G19+'Andre kostnader'!H19</f>
        <v/>
      </c>
      <c r="F12" s="42">
        <f>'Investering og finans'!G38+'Investering og finans'!H38</f>
        <v/>
      </c>
      <c r="G12" s="43">
        <f>C12-D12-E12-F12</f>
        <v/>
      </c>
      <c r="H12" s="39">
        <f>8</f>
        <v/>
      </c>
      <c r="I12" s="31" t="inlineStr">
        <is>
          <t>Terminen med investeringen i får lavere netto, fordi bedriften får igjen avgiften på utstyret.</t>
        </is>
      </c>
    </row>
    <row r="13" ht="15" customHeight="1" s="25">
      <c r="A13" s="31" t="inlineStr">
        <is>
          <t>Termin 4</t>
        </is>
      </c>
      <c r="B13" s="31" t="inlineStr">
        <is>
          <t>Jul–Aug</t>
        </is>
      </c>
      <c r="C13" s="42">
        <f>Salgsbudsjett!I19+Salgsbudsjett!J19</f>
        <v/>
      </c>
      <c r="D13" s="42">
        <f>Materiellbudsjett!I19+Materiellbudsjett!J19</f>
        <v/>
      </c>
      <c r="E13" s="42">
        <f>'Andre kostnader'!I19+'Andre kostnader'!J19</f>
        <v/>
      </c>
      <c r="F13" s="42">
        <f>'Investering og finans'!I38+'Investering og finans'!J38</f>
        <v/>
      </c>
      <c r="G13" s="43">
        <f>C13-D13-E13-F13</f>
        <v/>
      </c>
      <c r="H13" s="39">
        <f>10</f>
        <v/>
      </c>
    </row>
    <row r="14" ht="15" customHeight="1" s="25">
      <c r="A14" s="31" t="inlineStr">
        <is>
          <t>Termin 5</t>
        </is>
      </c>
      <c r="B14" s="31" t="inlineStr">
        <is>
          <t>Sep–Okt</t>
        </is>
      </c>
      <c r="C14" s="42">
        <f>Salgsbudsjett!K19+Salgsbudsjett!L19</f>
        <v/>
      </c>
      <c r="D14" s="42">
        <f>Materiellbudsjett!K19+Materiellbudsjett!L19</f>
        <v/>
      </c>
      <c r="E14" s="42">
        <f>'Andre kostnader'!K19+'Andre kostnader'!L19</f>
        <v/>
      </c>
      <c r="F14" s="42">
        <f>'Investering og finans'!K38+'Investering og finans'!L38</f>
        <v/>
      </c>
      <c r="G14" s="43">
        <f>C14-D14-E14-F14</f>
        <v/>
      </c>
      <c r="H14" s="39">
        <f>12</f>
        <v/>
      </c>
    </row>
    <row r="15" ht="15" customHeight="1" s="25">
      <c r="A15" s="31" t="inlineStr">
        <is>
          <t>Termin 6</t>
        </is>
      </c>
      <c r="B15" s="31" t="inlineStr">
        <is>
          <t>Nov–Des</t>
        </is>
      </c>
      <c r="C15" s="42">
        <f>Salgsbudsjett!M19+Salgsbudsjett!N19</f>
        <v/>
      </c>
      <c r="D15" s="42">
        <f>Materiellbudsjett!M19+Materiellbudsjett!N19</f>
        <v/>
      </c>
      <c r="E15" s="42">
        <f>'Andre kostnader'!M19+'Andre kostnader'!N19</f>
        <v/>
      </c>
      <c r="F15" s="42">
        <f>'Investering og finans'!M38+'Investering og finans'!N38</f>
        <v/>
      </c>
      <c r="G15" s="43">
        <f>C15-D15-E15-F15</f>
        <v/>
      </c>
      <c r="H15" s="39">
        <f>14</f>
        <v/>
      </c>
      <c r="I15" s="31" t="inlineStr">
        <is>
          <t>Måned nummer 14 betyr februar 2028. Denne terminen blir stående som skyldig merverdiavgift i balansebudsjettet.</t>
        </is>
      </c>
    </row>
    <row r="17" ht="15" customHeight="1" s="25">
      <c r="A17" s="29" t="inlineStr">
        <is>
          <t>3 · Utbetaling måned for måned</t>
        </is>
      </c>
    </row>
    <row r="18" ht="27.75" customHeight="1" s="25">
      <c r="A18" s="34" t="inlineStr">
        <is>
          <t>Post</t>
        </is>
      </c>
      <c r="B18" s="34" t="inlineStr">
        <is>
          <t>År</t>
        </is>
      </c>
      <c r="C18" s="34" t="inlineStr">
        <is>
          <t>Jan</t>
        </is>
      </c>
      <c r="D18" s="34" t="inlineStr">
        <is>
          <t>Feb</t>
        </is>
      </c>
      <c r="E18" s="34" t="inlineStr">
        <is>
          <t>Mar</t>
        </is>
      </c>
      <c r="F18" s="34" t="inlineStr">
        <is>
          <t>Apr</t>
        </is>
      </c>
      <c r="G18" s="34" t="inlineStr">
        <is>
          <t>Mai</t>
        </is>
      </c>
      <c r="H18" s="34" t="inlineStr">
        <is>
          <t>Jun</t>
        </is>
      </c>
      <c r="I18" s="34" t="inlineStr">
        <is>
          <t>Jul</t>
        </is>
      </c>
      <c r="J18" s="34" t="inlineStr">
        <is>
          <t>Aug</t>
        </is>
      </c>
      <c r="K18" s="34" t="inlineStr">
        <is>
          <t>Sep</t>
        </is>
      </c>
      <c r="L18" s="34" t="inlineStr">
        <is>
          <t>Okt</t>
        </is>
      </c>
      <c r="M18" s="34" t="inlineStr">
        <is>
          <t>Nov</t>
        </is>
      </c>
      <c r="N18" s="34" t="inlineStr">
        <is>
          <t>Des</t>
        </is>
      </c>
      <c r="O18" s="34" t="inlineStr">
        <is>
          <t>Kommentar</t>
        </is>
      </c>
    </row>
    <row r="19" ht="15" customHeight="1" s="25">
      <c r="A19" s="31" t="inlineStr">
        <is>
          <t>Månedsnummer</t>
        </is>
      </c>
      <c r="C19" s="39">
        <f>1</f>
        <v/>
      </c>
      <c r="D19" s="39">
        <f>2</f>
        <v/>
      </c>
      <c r="E19" s="39">
        <f>3</f>
        <v/>
      </c>
      <c r="F19" s="39">
        <f>4</f>
        <v/>
      </c>
      <c r="G19" s="39">
        <f>5</f>
        <v/>
      </c>
      <c r="H19" s="39">
        <f>6</f>
        <v/>
      </c>
      <c r="I19" s="39">
        <f>7</f>
        <v/>
      </c>
      <c r="J19" s="39">
        <f>8</f>
        <v/>
      </c>
      <c r="K19" s="39">
        <f>9</f>
        <v/>
      </c>
      <c r="L19" s="39">
        <f>10</f>
        <v/>
      </c>
      <c r="M19" s="39">
        <f>11</f>
        <v/>
      </c>
      <c r="N19" s="39">
        <f>12</f>
        <v/>
      </c>
    </row>
    <row r="20" ht="15" customHeight="1" s="25">
      <c r="A20" s="33" t="inlineStr">
        <is>
          <t>Merverdiavgift til betaling</t>
        </is>
      </c>
      <c r="B20" s="43">
        <f>SUM(C20:N20)</f>
        <v/>
      </c>
      <c r="C20" s="43">
        <f>IF(C19=2,$B$6,0)+SUMIF($H$10:$H$15,C19,$G$10:$G$15)</f>
        <v/>
      </c>
      <c r="D20" s="43">
        <f>IF(D19=2,$B$6,0)+SUMIF($H$10:$H$15,D19,$G$10:$G$15)</f>
        <v/>
      </c>
      <c r="E20" s="43">
        <f>IF(E19=2,$B$6,0)+SUMIF($H$10:$H$15,E19,$G$10:$G$15)</f>
        <v/>
      </c>
      <c r="F20" s="43">
        <f>IF(F19=2,$B$6,0)+SUMIF($H$10:$H$15,F19,$G$10:$G$15)</f>
        <v/>
      </c>
      <c r="G20" s="43">
        <f>IF(G19=2,$B$6,0)+SUMIF($H$10:$H$15,G19,$G$10:$G$15)</f>
        <v/>
      </c>
      <c r="H20" s="43">
        <f>IF(H19=2,$B$6,0)+SUMIF($H$10:$H$15,H19,$G$10:$G$15)</f>
        <v/>
      </c>
      <c r="I20" s="43">
        <f>IF(I19=2,$B$6,0)+SUMIF($H$10:$H$15,I19,$G$10:$G$15)</f>
        <v/>
      </c>
      <c r="J20" s="43">
        <f>IF(J19=2,$B$6,0)+SUMIF($H$10:$H$15,J19,$G$10:$G$15)</f>
        <v/>
      </c>
      <c r="K20" s="43">
        <f>IF(K19=2,$B$6,0)+SUMIF($H$10:$H$15,K19,$G$10:$G$15)</f>
        <v/>
      </c>
      <c r="L20" s="43">
        <f>IF(L19=2,$B$6,0)+SUMIF($H$10:$H$15,L19,$G$10:$G$15)</f>
        <v/>
      </c>
      <c r="M20" s="43">
        <f>IF(M19=2,$B$6,0)+SUMIF($H$10:$H$15,M19,$G$10:$G$15)</f>
        <v/>
      </c>
      <c r="N20" s="43">
        <f>IF(N19=2,$B$6,0)+SUMIF($H$10:$H$15,N19,$G$10:$G$15)</f>
        <v/>
      </c>
      <c r="O20" s="31" t="inlineStr">
        <is>
          <t>Går inn i likviditetsbudsjettet. Seks utbetalinger i året, og den første gjelder fjoråret.</t>
        </is>
      </c>
    </row>
    <row r="22" ht="15" customHeight="1" s="25">
      <c r="A22" s="29" t="inlineStr">
        <is>
          <t>4 · Det som blir stående som gjeld 31.12.2027</t>
        </is>
      </c>
    </row>
    <row r="23" ht="15" customHeight="1" s="25">
      <c r="A23" s="33" t="inlineStr">
        <is>
          <t>Skyldig merverdiavgift, 6. termin 2027</t>
        </is>
      </c>
      <c r="B23" s="43">
        <f>G15</f>
        <v/>
      </c>
    </row>
    <row r="25" ht="15" customHeight="1" s="25">
      <c r="A25" s="29" t="inlineStr">
        <is>
          <t>5 · Kontroll</t>
        </is>
      </c>
    </row>
    <row r="26" ht="15" customHeight="1" s="25">
      <c r="A26" s="31" t="inlineStr">
        <is>
          <t>Går avgiften opp mellom påløpt, betalt og skyldig?</t>
        </is>
      </c>
      <c r="B26" s="44">
        <f>IF(ABS(($B$6+SUM(G10:G15))-(B20+B23))&lt;1,"OK — inngående skyldig avgift pluss årets seks terminer er nøyaktig det som er betalt pluss det som skyldes 31.12","AVVIK: merverdiavgiften går ikke opp")</f>
        <v/>
      </c>
    </row>
    <row r="27" ht="15" customHeight="1" s="25">
      <c r="A27" s="31" t="inlineStr">
        <is>
          <t>Skylder bedriften avgift i alle terminene?</t>
        </is>
      </c>
      <c r="B27" s="44">
        <f>IF(MIN(G10:G15)&gt;0,"OK — salget er større enn kjøpene i alle terminene, så bedriften skylder avgift hver gang","AVVIK: én termin gir avgift til gode. Da får bedriften penger tilbake, og det tar halvannen måned")</f>
        <v/>
      </c>
    </row>
    <row r="28" ht="15" customHeight="1" s="25">
      <c r="A28" s="31" t="inlineStr">
        <is>
          <t>Er merverdiavgift en kostnad?</t>
        </is>
      </c>
      <c r="B28" s="44">
        <f>IF(B20&gt;0,"OK — og svaret er nei. Ikke én krone av dette står i resultatbudsjettet. Det er likevel det nest største beløpet som går ut av kontoen","AVVIK: her er noe koblet feil")</f>
        <v/>
      </c>
    </row>
    <row r="30" ht="15" customHeight="1" s="25">
      <c r="A30" s="28" t="inlineStr">
        <is>
          <t>Kilde: Bok 1 kap. 9.4.7. Terminene og forfallsfristene følger merverdiavgiftsloven og skattebetalingsloven (Lovdata). Alminnelig sats er 25 prosent; næringsmidler 15 prosent og persontransport, overnatting og kino 12 prosent.</t>
        </is>
      </c>
    </row>
  </sheetData>
  <conditionalFormatting sqref="B26">
    <cfRule type="expression" rank="0" priority="2" equalAverage="0" aboveAverage="0" dxfId="0" text="" percent="0" bottom="0">
      <formula>LEFT(B26,5)="AVVIK"</formula>
    </cfRule>
  </conditionalFormatting>
  <conditionalFormatting sqref="B27">
    <cfRule type="expression" rank="0" priority="3" equalAverage="0" aboveAverage="0" dxfId="0" text="" percent="0" bottom="0">
      <formula>LEFT(B27,5)="AVVIK"</formula>
    </cfRule>
  </conditionalFormatting>
  <conditionalFormatting sqref="B28">
    <cfRule type="expression" rank="0" priority="4" equalAverage="0" aboveAverage="0" dxfId="0" text="" percent="0" bottom="0">
      <formula>LEFT(B28,5)="AVVIK"</formula>
    </cfRule>
  </conditionalFormatting>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O33"/>
  <sheetViews>
    <sheetView showFormulas="0" showGridLines="0" showRowColHeaders="1" showZeros="1" rightToLeft="0" tabSelected="0" showOutlineSymbols="1" defaultGridColor="1"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baseColWidth="8" defaultColWidth="8.6796875" defaultRowHeight="15" zeroHeight="0" outlineLevelRow="0"/>
  <cols>
    <col width="44" customWidth="1" style="24" min="1" max="1"/>
    <col width="17" customWidth="1" style="24" min="2" max="2"/>
    <col width="13" customWidth="1" style="24" min="3" max="14"/>
    <col width="56" customWidth="1" style="24" min="15" max="15"/>
  </cols>
  <sheetData>
    <row r="1" ht="17.35" customHeight="1" s="25">
      <c r="A1" s="26" t="inlineStr">
        <is>
          <t>Resultatbudsjett 2027 — hovedbudsjett</t>
        </is>
      </c>
    </row>
    <row r="2" ht="15" customHeight="1" s="25">
      <c r="A2" s="27" t="inlineStr">
        <is>
          <t>Legg merke til én ting: det finnes ikke én eneste gul celle i dette arket. Hver linje er hentet fra et delbudsjett.</t>
        </is>
      </c>
    </row>
    <row r="4" ht="15" customHeight="1" s="25">
      <c r="A4" s="29" t="inlineStr">
        <is>
          <t>1 · Resultatbudsjettet</t>
        </is>
      </c>
    </row>
    <row r="5" ht="27.75" customHeight="1" s="25">
      <c r="A5" s="34" t="inlineStr">
        <is>
          <t>Post</t>
        </is>
      </c>
      <c r="B5" s="34" t="inlineStr">
        <is>
          <t>År</t>
        </is>
      </c>
      <c r="C5" s="34" t="inlineStr">
        <is>
          <t>Jan</t>
        </is>
      </c>
      <c r="D5" s="34" t="inlineStr">
        <is>
          <t>Feb</t>
        </is>
      </c>
      <c r="E5" s="34" t="inlineStr">
        <is>
          <t>Mar</t>
        </is>
      </c>
      <c r="F5" s="34" t="inlineStr">
        <is>
          <t>Apr</t>
        </is>
      </c>
      <c r="G5" s="34" t="inlineStr">
        <is>
          <t>Mai</t>
        </is>
      </c>
      <c r="H5" s="34" t="inlineStr">
        <is>
          <t>Jun</t>
        </is>
      </c>
      <c r="I5" s="34" t="inlineStr">
        <is>
          <t>Jul</t>
        </is>
      </c>
      <c r="J5" s="34" t="inlineStr">
        <is>
          <t>Aug</t>
        </is>
      </c>
      <c r="K5" s="34" t="inlineStr">
        <is>
          <t>Sep</t>
        </is>
      </c>
      <c r="L5" s="34" t="inlineStr">
        <is>
          <t>Okt</t>
        </is>
      </c>
      <c r="M5" s="34" t="inlineStr">
        <is>
          <t>Nov</t>
        </is>
      </c>
      <c r="N5" s="34" t="inlineStr">
        <is>
          <t>Des</t>
        </is>
      </c>
      <c r="O5" s="34" t="inlineStr">
        <is>
          <t>Hentet fra</t>
        </is>
      </c>
    </row>
    <row r="6" ht="15" customHeight="1" s="25">
      <c r="A6" s="31" t="inlineStr">
        <is>
          <t>Månedsnummer</t>
        </is>
      </c>
      <c r="C6" s="39">
        <f>1</f>
        <v/>
      </c>
      <c r="D6" s="39">
        <f>2</f>
        <v/>
      </c>
      <c r="E6" s="39">
        <f>3</f>
        <v/>
      </c>
      <c r="F6" s="39">
        <f>4</f>
        <v/>
      </c>
      <c r="G6" s="39">
        <f>5</f>
        <v/>
      </c>
      <c r="H6" s="39">
        <f>6</f>
        <v/>
      </c>
      <c r="I6" s="39">
        <f>7</f>
        <v/>
      </c>
      <c r="J6" s="39">
        <f>8</f>
        <v/>
      </c>
      <c r="K6" s="39">
        <f>9</f>
        <v/>
      </c>
      <c r="L6" s="39">
        <f>10</f>
        <v/>
      </c>
      <c r="M6" s="39">
        <f>11</f>
        <v/>
      </c>
      <c r="N6" s="39">
        <f>12</f>
        <v/>
      </c>
    </row>
    <row r="7" ht="15" customHeight="1" s="25">
      <c r="A7" s="33" t="inlineStr">
        <is>
          <t>Salgsinntekt</t>
        </is>
      </c>
      <c r="B7" s="43">
        <f>SUM(C7:N7)</f>
        <v/>
      </c>
      <c r="C7" s="43">
        <f>Salgsbudsjett!C18</f>
        <v/>
      </c>
      <c r="D7" s="43">
        <f>Salgsbudsjett!D18</f>
        <v/>
      </c>
      <c r="E7" s="43">
        <f>Salgsbudsjett!E18</f>
        <v/>
      </c>
      <c r="F7" s="43">
        <f>Salgsbudsjett!F18</f>
        <v/>
      </c>
      <c r="G7" s="43">
        <f>Salgsbudsjett!G18</f>
        <v/>
      </c>
      <c r="H7" s="43">
        <f>Salgsbudsjett!H18</f>
        <v/>
      </c>
      <c r="I7" s="43">
        <f>Salgsbudsjett!I18</f>
        <v/>
      </c>
      <c r="J7" s="43">
        <f>Salgsbudsjett!J18</f>
        <v/>
      </c>
      <c r="K7" s="43">
        <f>Salgsbudsjett!K18</f>
        <v/>
      </c>
      <c r="L7" s="43">
        <f>Salgsbudsjett!L18</f>
        <v/>
      </c>
      <c r="M7" s="43">
        <f>Salgsbudsjett!M18</f>
        <v/>
      </c>
      <c r="N7" s="43">
        <f>Salgsbudsjett!N18</f>
        <v/>
      </c>
      <c r="O7" s="31" t="inlineStr">
        <is>
          <t>Salgsbudsjettet, rad 18</t>
        </is>
      </c>
    </row>
    <row r="8" ht="15" customHeight="1" s="25">
      <c r="A8" s="31" t="inlineStr">
        <is>
          <t>− Varekostnad</t>
        </is>
      </c>
      <c r="B8" s="42">
        <f>SUM(C8:N8)</f>
        <v/>
      </c>
      <c r="C8" s="42">
        <f>Materiellbudsjett!C16</f>
        <v/>
      </c>
      <c r="D8" s="42">
        <f>Materiellbudsjett!D16</f>
        <v/>
      </c>
      <c r="E8" s="42">
        <f>Materiellbudsjett!E16</f>
        <v/>
      </c>
      <c r="F8" s="42">
        <f>Materiellbudsjett!F16</f>
        <v/>
      </c>
      <c r="G8" s="42">
        <f>Materiellbudsjett!G16</f>
        <v/>
      </c>
      <c r="H8" s="42">
        <f>Materiellbudsjett!H16</f>
        <v/>
      </c>
      <c r="I8" s="42">
        <f>Materiellbudsjett!I16</f>
        <v/>
      </c>
      <c r="J8" s="42">
        <f>Materiellbudsjett!J16</f>
        <v/>
      </c>
      <c r="K8" s="42">
        <f>Materiellbudsjett!K16</f>
        <v/>
      </c>
      <c r="L8" s="42">
        <f>Materiellbudsjett!L16</f>
        <v/>
      </c>
      <c r="M8" s="42">
        <f>Materiellbudsjett!M16</f>
        <v/>
      </c>
      <c r="N8" s="42">
        <f>Materiellbudsjett!N16</f>
        <v/>
      </c>
      <c r="O8" s="31" t="inlineStr">
        <is>
          <t>Materiellbudsjettet, rad 16 — forbruket, ikke innkjøpet</t>
        </is>
      </c>
    </row>
    <row r="9" ht="15" customHeight="1" s="25">
      <c r="A9" s="33" t="inlineStr">
        <is>
          <t>= Bruttofortjeneste</t>
        </is>
      </c>
      <c r="B9" s="43">
        <f>SUM(C9:N9)</f>
        <v/>
      </c>
      <c r="C9" s="43">
        <f>C7-C8</f>
        <v/>
      </c>
      <c r="D9" s="43">
        <f>D7-D8</f>
        <v/>
      </c>
      <c r="E9" s="43">
        <f>E7-E8</f>
        <v/>
      </c>
      <c r="F9" s="43">
        <f>F7-F8</f>
        <v/>
      </c>
      <c r="G9" s="43">
        <f>G7-G8</f>
        <v/>
      </c>
      <c r="H9" s="43">
        <f>H7-H8</f>
        <v/>
      </c>
      <c r="I9" s="43">
        <f>I7-I8</f>
        <v/>
      </c>
      <c r="J9" s="43">
        <f>J7-J8</f>
        <v/>
      </c>
      <c r="K9" s="43">
        <f>K7-K8</f>
        <v/>
      </c>
      <c r="L9" s="43">
        <f>L7-L8</f>
        <v/>
      </c>
      <c r="M9" s="43">
        <f>M7-M8</f>
        <v/>
      </c>
      <c r="N9" s="43">
        <f>N7-N8</f>
        <v/>
      </c>
    </row>
    <row r="10" ht="15" customHeight="1" s="25">
      <c r="A10" s="31" t="inlineStr">
        <is>
          <t>Bruttofortjeneste i prosent</t>
        </is>
      </c>
      <c r="B10" s="46">
        <f>B9/B7</f>
        <v/>
      </c>
      <c r="C10" s="37">
        <f>C9/C7</f>
        <v/>
      </c>
      <c r="D10" s="37">
        <f>D9/D7</f>
        <v/>
      </c>
      <c r="E10" s="37">
        <f>E9/E7</f>
        <v/>
      </c>
      <c r="F10" s="37">
        <f>F9/F7</f>
        <v/>
      </c>
      <c r="G10" s="37">
        <f>G9/G7</f>
        <v/>
      </c>
      <c r="H10" s="37">
        <f>H9/H7</f>
        <v/>
      </c>
      <c r="I10" s="37">
        <f>I9/I7</f>
        <v/>
      </c>
      <c r="J10" s="37">
        <f>J9/J7</f>
        <v/>
      </c>
      <c r="K10" s="37">
        <f>K9/K7</f>
        <v/>
      </c>
      <c r="L10" s="37">
        <f>L9/L7</f>
        <v/>
      </c>
      <c r="M10" s="37">
        <f>M9/M7</f>
        <v/>
      </c>
      <c r="N10" s="37">
        <f>N9/N7</f>
        <v/>
      </c>
    </row>
    <row r="11" ht="15" customHeight="1" s="25">
      <c r="A11" s="31" t="inlineStr">
        <is>
          <t>− Lønnskostnad</t>
        </is>
      </c>
      <c r="B11" s="42">
        <f>SUM(C11:N11)</f>
        <v/>
      </c>
      <c r="C11" s="42">
        <f>Lønnsbudsjett!C25</f>
        <v/>
      </c>
      <c r="D11" s="42">
        <f>Lønnsbudsjett!D25</f>
        <v/>
      </c>
      <c r="E11" s="42">
        <f>Lønnsbudsjett!E25</f>
        <v/>
      </c>
      <c r="F11" s="42">
        <f>Lønnsbudsjett!F25</f>
        <v/>
      </c>
      <c r="G11" s="42">
        <f>Lønnsbudsjett!G25</f>
        <v/>
      </c>
      <c r="H11" s="42">
        <f>Lønnsbudsjett!H25</f>
        <v/>
      </c>
      <c r="I11" s="42">
        <f>Lønnsbudsjett!I25</f>
        <v/>
      </c>
      <c r="J11" s="42">
        <f>Lønnsbudsjett!J25</f>
        <v/>
      </c>
      <c r="K11" s="42">
        <f>Lønnsbudsjett!K25</f>
        <v/>
      </c>
      <c r="L11" s="42">
        <f>Lønnsbudsjett!L25</f>
        <v/>
      </c>
      <c r="M11" s="42">
        <f>Lønnsbudsjett!M25</f>
        <v/>
      </c>
      <c r="N11" s="42">
        <f>Lønnsbudsjett!N25</f>
        <v/>
      </c>
      <c r="O11" s="31" t="inlineStr">
        <is>
          <t>Lønnsbudsjettet, rad 25</t>
        </is>
      </c>
    </row>
    <row r="12" ht="15" customHeight="1" s="25">
      <c r="A12" s="31" t="inlineStr">
        <is>
          <t>− Avskrivninger</t>
        </is>
      </c>
      <c r="B12" s="42">
        <f>SUM(C12:N12)</f>
        <v/>
      </c>
      <c r="C12" s="42">
        <f>'Investering og finans'!C36</f>
        <v/>
      </c>
      <c r="D12" s="42">
        <f>'Investering og finans'!D36</f>
        <v/>
      </c>
      <c r="E12" s="42">
        <f>'Investering og finans'!E36</f>
        <v/>
      </c>
      <c r="F12" s="42">
        <f>'Investering og finans'!F36</f>
        <v/>
      </c>
      <c r="G12" s="42">
        <f>'Investering og finans'!G36</f>
        <v/>
      </c>
      <c r="H12" s="42">
        <f>'Investering og finans'!H36</f>
        <v/>
      </c>
      <c r="I12" s="42">
        <f>'Investering og finans'!I36</f>
        <v/>
      </c>
      <c r="J12" s="42">
        <f>'Investering og finans'!J36</f>
        <v/>
      </c>
      <c r="K12" s="42">
        <f>'Investering og finans'!K36</f>
        <v/>
      </c>
      <c r="L12" s="42">
        <f>'Investering og finans'!L36</f>
        <v/>
      </c>
      <c r="M12" s="42">
        <f>'Investering og finans'!M36</f>
        <v/>
      </c>
      <c r="N12" s="42">
        <f>'Investering og finans'!N36</f>
        <v/>
      </c>
      <c r="O12" s="31" t="inlineStr">
        <is>
          <t>Avskrivningsbudsjettet — den eneste kostnaden uten utbetaling</t>
        </is>
      </c>
    </row>
    <row r="13" ht="15" customHeight="1" s="25">
      <c r="A13" s="31" t="inlineStr">
        <is>
          <t>− Andre driftskostnader</t>
        </is>
      </c>
      <c r="B13" s="42">
        <f>SUM(C13:N13)</f>
        <v/>
      </c>
      <c r="C13" s="42">
        <f>'Andre kostnader'!C18</f>
        <v/>
      </c>
      <c r="D13" s="42">
        <f>'Andre kostnader'!D18</f>
        <v/>
      </c>
      <c r="E13" s="42">
        <f>'Andre kostnader'!E18</f>
        <v/>
      </c>
      <c r="F13" s="42">
        <f>'Andre kostnader'!F18</f>
        <v/>
      </c>
      <c r="G13" s="42">
        <f>'Andre kostnader'!G18</f>
        <v/>
      </c>
      <c r="H13" s="42">
        <f>'Andre kostnader'!H18</f>
        <v/>
      </c>
      <c r="I13" s="42">
        <f>'Andre kostnader'!I18</f>
        <v/>
      </c>
      <c r="J13" s="42">
        <f>'Andre kostnader'!J18</f>
        <v/>
      </c>
      <c r="K13" s="42">
        <f>'Andre kostnader'!K18</f>
        <v/>
      </c>
      <c r="L13" s="42">
        <f>'Andre kostnader'!L18</f>
        <v/>
      </c>
      <c r="M13" s="42">
        <f>'Andre kostnader'!M18</f>
        <v/>
      </c>
      <c r="N13" s="42">
        <f>'Andre kostnader'!N18</f>
        <v/>
      </c>
      <c r="O13" s="31" t="inlineStr">
        <is>
          <t>Kostnadsbudsjettet, rad 18</t>
        </is>
      </c>
    </row>
    <row r="14" ht="15" customHeight="1" s="25">
      <c r="A14" s="33" t="inlineStr">
        <is>
          <t>= Sum driftskostnader</t>
        </is>
      </c>
      <c r="B14" s="43">
        <f>SUM(C14:N14)</f>
        <v/>
      </c>
      <c r="C14" s="43">
        <f>C8+C11+C12+C13</f>
        <v/>
      </c>
      <c r="D14" s="43">
        <f>D8+D11+D12+D13</f>
        <v/>
      </c>
      <c r="E14" s="43">
        <f>E8+E11+E12+E13</f>
        <v/>
      </c>
      <c r="F14" s="43">
        <f>F8+F11+F12+F13</f>
        <v/>
      </c>
      <c r="G14" s="43">
        <f>G8+G11+G12+G13</f>
        <v/>
      </c>
      <c r="H14" s="43">
        <f>H8+H11+H12+H13</f>
        <v/>
      </c>
      <c r="I14" s="43">
        <f>I8+I11+I12+I13</f>
        <v/>
      </c>
      <c r="J14" s="43">
        <f>J8+J11+J12+J13</f>
        <v/>
      </c>
      <c r="K14" s="43">
        <f>K8+K11+K12+K13</f>
        <v/>
      </c>
      <c r="L14" s="43">
        <f>L8+L11+L12+L13</f>
        <v/>
      </c>
      <c r="M14" s="43">
        <f>M8+M11+M12+M13</f>
        <v/>
      </c>
      <c r="N14" s="43">
        <f>N8+N11+N12+N13</f>
        <v/>
      </c>
    </row>
    <row r="15" ht="15" customHeight="1" s="25">
      <c r="A15" s="33" t="inlineStr">
        <is>
          <t>= Driftsresultat</t>
        </is>
      </c>
      <c r="B15" s="43">
        <f>SUM(C15:N15)</f>
        <v/>
      </c>
      <c r="C15" s="43">
        <f>C7-C14</f>
        <v/>
      </c>
      <c r="D15" s="43">
        <f>D7-D14</f>
        <v/>
      </c>
      <c r="E15" s="43">
        <f>E7-E14</f>
        <v/>
      </c>
      <c r="F15" s="43">
        <f>F7-F14</f>
        <v/>
      </c>
      <c r="G15" s="43">
        <f>G7-G14</f>
        <v/>
      </c>
      <c r="H15" s="43">
        <f>H7-H14</f>
        <v/>
      </c>
      <c r="I15" s="43">
        <f>I7-I14</f>
        <v/>
      </c>
      <c r="J15" s="43">
        <f>J7-J14</f>
        <v/>
      </c>
      <c r="K15" s="43">
        <f>K7-K14</f>
        <v/>
      </c>
      <c r="L15" s="43">
        <f>L7-L14</f>
        <v/>
      </c>
      <c r="M15" s="43">
        <f>M7-M14</f>
        <v/>
      </c>
      <c r="N15" s="43">
        <f>N7-N14</f>
        <v/>
      </c>
    </row>
    <row r="16" ht="15" customHeight="1" s="25">
      <c r="A16" s="31" t="inlineStr">
        <is>
          <t>Driftsmargin</t>
        </is>
      </c>
      <c r="B16" s="46">
        <f>B15/B7</f>
        <v/>
      </c>
      <c r="C16" s="37">
        <f>C15/C7</f>
        <v/>
      </c>
      <c r="D16" s="37">
        <f>D15/D7</f>
        <v/>
      </c>
      <c r="E16" s="37">
        <f>E15/E7</f>
        <v/>
      </c>
      <c r="F16" s="37">
        <f>F15/F7</f>
        <v/>
      </c>
      <c r="G16" s="37">
        <f>G15/G7</f>
        <v/>
      </c>
      <c r="H16" s="37">
        <f>H15/H7</f>
        <v/>
      </c>
      <c r="I16" s="37">
        <f>I15/I7</f>
        <v/>
      </c>
      <c r="J16" s="37">
        <f>J15/J7</f>
        <v/>
      </c>
      <c r="K16" s="37">
        <f>K15/K7</f>
        <v/>
      </c>
      <c r="L16" s="37">
        <f>L15/L7</f>
        <v/>
      </c>
      <c r="M16" s="37">
        <f>M15/M7</f>
        <v/>
      </c>
      <c r="N16" s="37">
        <f>N15/N7</f>
        <v/>
      </c>
      <c r="O16" s="31" t="inlineStr">
        <is>
          <t>Se juli: samme faste kostnader, halve omsetningen.</t>
        </is>
      </c>
    </row>
    <row r="17" ht="15" customHeight="1" s="25">
      <c r="A17" s="31" t="inlineStr">
        <is>
          <t>+ Renteinntekter</t>
        </is>
      </c>
      <c r="B17" s="42">
        <f>SUM(C17:N17)</f>
        <v/>
      </c>
      <c r="C17" s="42">
        <f>'Investering og finans'!C42</f>
        <v/>
      </c>
      <c r="D17" s="42">
        <f>'Investering og finans'!D42</f>
        <v/>
      </c>
      <c r="E17" s="42">
        <f>'Investering og finans'!E42</f>
        <v/>
      </c>
      <c r="F17" s="42">
        <f>'Investering og finans'!F42</f>
        <v/>
      </c>
      <c r="G17" s="42">
        <f>'Investering og finans'!G42</f>
        <v/>
      </c>
      <c r="H17" s="42">
        <f>'Investering og finans'!H42</f>
        <v/>
      </c>
      <c r="I17" s="42">
        <f>'Investering og finans'!I42</f>
        <v/>
      </c>
      <c r="J17" s="42">
        <f>'Investering og finans'!J42</f>
        <v/>
      </c>
      <c r="K17" s="42">
        <f>'Investering og finans'!K42</f>
        <v/>
      </c>
      <c r="L17" s="42">
        <f>'Investering og finans'!L42</f>
        <v/>
      </c>
      <c r="M17" s="42">
        <f>'Investering og finans'!M42</f>
        <v/>
      </c>
      <c r="N17" s="42">
        <f>'Investering og finans'!N42</f>
        <v/>
      </c>
    </row>
    <row r="18" ht="15" customHeight="1" s="25">
      <c r="A18" s="31" t="inlineStr">
        <is>
          <t>− Rentekostnader</t>
        </is>
      </c>
      <c r="B18" s="42">
        <f>SUM(C18:N18)</f>
        <v/>
      </c>
      <c r="C18" s="42">
        <f>'Investering og finans'!C41</f>
        <v/>
      </c>
      <c r="D18" s="42">
        <f>'Investering og finans'!D41</f>
        <v/>
      </c>
      <c r="E18" s="42">
        <f>'Investering og finans'!E41</f>
        <v/>
      </c>
      <c r="F18" s="42">
        <f>'Investering og finans'!F41</f>
        <v/>
      </c>
      <c r="G18" s="42">
        <f>'Investering og finans'!G41</f>
        <v/>
      </c>
      <c r="H18" s="42">
        <f>'Investering og finans'!H41</f>
        <v/>
      </c>
      <c r="I18" s="42">
        <f>'Investering og finans'!I41</f>
        <v/>
      </c>
      <c r="J18" s="42">
        <f>'Investering og finans'!J41</f>
        <v/>
      </c>
      <c r="K18" s="42">
        <f>'Investering og finans'!K41</f>
        <v/>
      </c>
      <c r="L18" s="42">
        <f>'Investering og finans'!L41</f>
        <v/>
      </c>
      <c r="M18" s="42">
        <f>'Investering og finans'!M41</f>
        <v/>
      </c>
      <c r="N18" s="42">
        <f>'Investering og finans'!N41</f>
        <v/>
      </c>
      <c r="O18" s="31" t="inlineStr">
        <is>
          <t>Bare renten. Avdraget står ikke her.</t>
        </is>
      </c>
    </row>
    <row r="19" ht="15" customHeight="1" s="25">
      <c r="A19" s="33" t="inlineStr">
        <is>
          <t>= Resultat før skatt</t>
        </is>
      </c>
      <c r="B19" s="43">
        <f>SUM(C19:N19)</f>
        <v/>
      </c>
      <c r="C19" s="43">
        <f>C15+C17-C18</f>
        <v/>
      </c>
      <c r="D19" s="43">
        <f>D15+D17-D18</f>
        <v/>
      </c>
      <c r="E19" s="43">
        <f>E15+E17-E18</f>
        <v/>
      </c>
      <c r="F19" s="43">
        <f>F15+F17-F18</f>
        <v/>
      </c>
      <c r="G19" s="43">
        <f>G15+G17-G18</f>
        <v/>
      </c>
      <c r="H19" s="43">
        <f>H15+H17-H18</f>
        <v/>
      </c>
      <c r="I19" s="43">
        <f>I15+I17-I18</f>
        <v/>
      </c>
      <c r="J19" s="43">
        <f>J15+J17-J18</f>
        <v/>
      </c>
      <c r="K19" s="43">
        <f>K15+K17-K18</f>
        <v/>
      </c>
      <c r="L19" s="43">
        <f>L15+L17-L18</f>
        <v/>
      </c>
      <c r="M19" s="43">
        <f>M15+M17-M18</f>
        <v/>
      </c>
      <c r="N19" s="43">
        <f>N15+N17-N18</f>
        <v/>
      </c>
    </row>
    <row r="21" ht="15" customHeight="1" s="25">
      <c r="A21" s="29" t="inlineStr">
        <is>
          <t>2 · Skatt og årsresultat</t>
        </is>
      </c>
    </row>
    <row r="22" ht="15" customHeight="1" s="25">
      <c r="A22" s="31" t="inlineStr">
        <is>
          <t>− Budsjettert skattekostnad</t>
        </is>
      </c>
      <c r="B22" s="42">
        <f>'Investering og finans'!$B$27</f>
        <v/>
      </c>
      <c r="O22" s="31" t="inlineStr">
        <is>
          <t>Vi budsjetterer skatten lik den forhåndsskatten bedriften faktisk betaler i året. Da er skatten både kostnadsført og betalt i 2027, og balansebudsjettet går opp uten en post for utsatt betalbar skatt.</t>
        </is>
      </c>
    </row>
    <row r="23" ht="15" customHeight="1" s="25">
      <c r="A23" s="33" t="inlineStr">
        <is>
          <t>= Budsjettert årsresultat</t>
        </is>
      </c>
      <c r="B23" s="43">
        <f>B19-B22</f>
        <v/>
      </c>
      <c r="O23" s="31" t="inlineStr">
        <is>
          <t>Dette beløpet legges til egenkapitalen i balansebudsjettet.</t>
        </is>
      </c>
    </row>
    <row r="24" ht="15" customHeight="1" s="25">
      <c r="A24" s="31" t="inlineStr">
        <is>
          <t>Skattesats for aksjeselskap</t>
        </is>
      </c>
      <c r="B24" s="36" t="n">
        <v>0.22</v>
      </c>
    </row>
    <row r="25" ht="15" customHeight="1" s="25">
      <c r="A25" s="31" t="inlineStr">
        <is>
          <t>Til sammenlikning: skatten regnet med den satsen</t>
        </is>
      </c>
      <c r="B25" s="42">
        <f>B19*B24</f>
        <v/>
      </c>
      <c r="O25" s="31" t="inlineStr">
        <is>
          <t>En mer nøyaktig skatteberegning ville brukt dette tallet. Da forfaller skatten først i 2028, og budsjettet trenger en egen gjeldspost for den. Satsen på 22 prosent står i kapittel 1.</t>
        </is>
      </c>
    </row>
    <row r="27" ht="15" customHeight="1" s="25">
      <c r="A27" s="29" t="inlineStr">
        <is>
          <t>3 · Kontroll</t>
        </is>
      </c>
    </row>
    <row r="28" ht="15" customHeight="1" s="25">
      <c r="A28" s="31" t="inlineStr">
        <is>
          <t>Summerer månedene seg til året?</t>
        </is>
      </c>
      <c r="B28" s="44">
        <f>IF(ABS(SUM(C15:N15)-B15)&lt;1,"OK — de tolv månedene summerer seg til årsbudsjettet","AVVIK: månedene og året gir ulikt driftsresultat")</f>
        <v/>
      </c>
    </row>
    <row r="29" ht="15" customHeight="1" s="25">
      <c r="A29" s="31" t="inlineStr">
        <is>
          <t>Er hele resultatbudsjettet bygd av delbudsjetter?</t>
        </is>
      </c>
      <c r="B29" s="44">
        <f>IF(ABS(B7-Salgsbudsjett!B18)+ABS(B8-Materiellbudsjett!B16)+ABS(B11-Lønnsbudsjett!B25)+ABS(B13-'Andre kostnader'!B18)&lt;1,"OK — hver linje er hentet fra sitt delbudsjett. Ingen tall er skrevet inn her","AVVIK: en linje henter ikke fra delbudsjettet sitt")</f>
        <v/>
      </c>
    </row>
    <row r="30" ht="15" customHeight="1" s="25">
      <c r="A30" s="31" t="inlineStr">
        <is>
          <t>Viser budsjettet overskudd?</t>
        </is>
      </c>
      <c r="B30" s="44">
        <f>IF(B15&gt;0,"OK — budsjettet viser overskudd. Gå så til likviditetsbudsjettet og se om det er penger på konto","AVVIK: budsjettet går i minus. Da er det ikke likviditeten som er hovedproblemet")</f>
        <v/>
      </c>
    </row>
    <row r="32" ht="15" customHeight="1" s="25">
      <c r="A32" s="33" t="inlineStr">
        <is>
          <t>Her ser du hele poenget med delbudsjetter: hovedbudsjettet er ikke et tall noen har funnet på. Det er summen av seks mindre budsjetter, og hvert av dem har en person i bedriften som eier det.</t>
        </is>
      </c>
    </row>
    <row r="33" ht="15" customHeight="1" s="25">
      <c r="A33" s="28" t="inlineStr">
        <is>
          <t>Kilde: Bok 1 kap. 9.2 og 9.3.</t>
        </is>
      </c>
    </row>
  </sheetData>
  <conditionalFormatting sqref="B28">
    <cfRule type="expression" rank="0" priority="2" equalAverage="0" aboveAverage="0" dxfId="0" text="" percent="0" bottom="0">
      <formula>LEFT(B28,5)="AVVIK"</formula>
    </cfRule>
  </conditionalFormatting>
  <conditionalFormatting sqref="B29">
    <cfRule type="expression" rank="0" priority="3" equalAverage="0" aboveAverage="0" dxfId="0" text="" percent="0" bottom="0">
      <formula>LEFT(B29,5)="AVVIK"</formula>
    </cfRule>
  </conditionalFormatting>
  <conditionalFormatting sqref="B30">
    <cfRule type="expression" rank="0" priority="4" equalAverage="0" aboveAverage="0" dxfId="0" text="" percent="0" bottom="0">
      <formula>LEFT(B30,5)="AVVIK"</formula>
    </cfRule>
  </conditionalFormatting>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O85"/>
  <sheetViews>
    <sheetView showFormulas="0" showGridLines="0" showRowColHeaders="1" showZeros="1" rightToLeft="0" tabSelected="0" showOutlineSymbols="1" defaultGridColor="1" view="normal" topLeftCell="A1" colorId="64" zoomScale="100" zoomScaleNormal="100" zoomScalePageLayoutView="100" workbookViewId="0">
      <pane xSplit="2" ySplit="26" topLeftCell="C27" activePane="bottomRight" state="frozen"/>
      <selection pane="topLeft" activeCell="A1" activeCellId="0" sqref="A1"/>
      <selection pane="topRight" activeCell="C1" activeCellId="0" sqref="C1"/>
      <selection pane="bottomLeft" activeCell="A27" activeCellId="0" sqref="A27"/>
      <selection pane="bottomRight" activeCell="A1" activeCellId="0" sqref="A1"/>
    </sheetView>
  </sheetViews>
  <sheetFormatPr baseColWidth="8" defaultColWidth="8.6796875" defaultRowHeight="15" zeroHeight="0" outlineLevelRow="0"/>
  <cols>
    <col width="44" customWidth="1" style="24" min="1" max="1"/>
    <col width="17" customWidth="1" style="24" min="2" max="2"/>
    <col width="13" customWidth="1" style="24" min="3" max="14"/>
    <col width="56" customWidth="1" style="24" min="15" max="15"/>
  </cols>
  <sheetData>
    <row r="1" ht="17.35" customHeight="1" s="25">
      <c r="A1" s="26" t="inlineStr">
        <is>
          <t>Likviditetsbudsjett 2027 — hovedbudsjett</t>
        </is>
      </c>
    </row>
    <row r="2" ht="15" customHeight="1" s="25">
      <c r="A2" s="27" t="inlineStr">
        <is>
          <t>Samme bedrift, samme år, helt annet svar. Satt opp i tre nivåer: drift, finansiering og investering.</t>
        </is>
      </c>
    </row>
    <row r="4" ht="15" customHeight="1" s="25">
      <c r="A4" s="29" t="inlineStr">
        <is>
          <t>1 · Kredittidene</t>
        </is>
      </c>
    </row>
    <row r="5" ht="15" customHeight="1" s="25">
      <c r="A5" s="31" t="inlineStr">
        <is>
          <t>Kredittid til kundene, dager</t>
        </is>
      </c>
      <c r="B5" s="39">
        <f>Scenario!$B$8</f>
        <v/>
      </c>
      <c r="O5" s="31" t="inlineStr">
        <is>
          <t>Hentet fra arket Scenario. Dette er den ene forutsetningen som avgjør året.</t>
        </is>
      </c>
    </row>
    <row r="6" ht="15" customHeight="1" s="25">
      <c r="A6" s="31" t="inlineStr">
        <is>
          <t>Kredittid hos grossisten, dager</t>
        </is>
      </c>
      <c r="B6" s="39">
        <f>Scenario!$B$9</f>
        <v/>
      </c>
      <c r="O6" s="31" t="inlineStr">
        <is>
          <t>Virker motsatt vei: lengre kreditt her hjelper på kontoen.</t>
        </is>
      </c>
    </row>
    <row r="8" ht="15" customHeight="1" s="25">
      <c r="A8" s="33" t="inlineStr">
        <is>
          <t>Andel av et salg som innbetales</t>
        </is>
      </c>
    </row>
    <row r="9" ht="15" customHeight="1" s="25">
      <c r="A9" s="31" t="inlineStr">
        <is>
          <t>i salgsmåneden</t>
        </is>
      </c>
      <c r="B9" s="37">
        <f>IF($B$5&lt;=30,(30-$B$5)/30,0)</f>
        <v/>
      </c>
      <c r="O9" s="31" t="inlineStr">
        <is>
          <t>Læreboka regner tretti dager per måned og jevnt salg gjennom måneden. Ved 20 dagers kredittid kommer en tredel inn samme måned og to tredeler måneden etter.</t>
        </is>
      </c>
    </row>
    <row r="10" ht="15" customHeight="1" s="25">
      <c r="A10" s="31" t="inlineStr">
        <is>
          <t>måneden etter</t>
        </is>
      </c>
      <c r="B10" s="37">
        <f>IF($B$5&lt;=30,$B$5/30,MAX(0,(60-$B$5)/30))</f>
        <v/>
      </c>
    </row>
    <row r="11" ht="15" customHeight="1" s="25">
      <c r="A11" s="31" t="inlineStr">
        <is>
          <t>to måneder etter</t>
        </is>
      </c>
      <c r="B11" s="37">
        <f>IF($B$5&lt;=30,0,MIN(1,($B$5-30)/30))</f>
        <v/>
      </c>
    </row>
    <row r="12" ht="15" customHeight="1" s="25">
      <c r="A12" s="33" t="inlineStr">
        <is>
          <t>Andel av et varekjøp som utbetales</t>
        </is>
      </c>
    </row>
    <row r="13" ht="15" customHeight="1" s="25">
      <c r="A13" s="31" t="inlineStr">
        <is>
          <t>i kjøpsmåneden</t>
        </is>
      </c>
      <c r="B13" s="37">
        <f>IF($B$6&lt;=30,(30-$B$6)/30,0)</f>
        <v/>
      </c>
    </row>
    <row r="14" ht="15" customHeight="1" s="25">
      <c r="A14" s="31" t="inlineStr">
        <is>
          <t>måneden etter</t>
        </is>
      </c>
      <c r="B14" s="37">
        <f>IF($B$6&lt;=30,$B$6/30,MAX(0,(60-$B$6)/30))</f>
        <v/>
      </c>
    </row>
    <row r="15" ht="15" customHeight="1" s="25">
      <c r="A15" s="31" t="inlineStr">
        <is>
          <t>to måneder etter</t>
        </is>
      </c>
      <c r="B15" s="37">
        <f>IF($B$6&lt;=30,0,MIN(1,($B$6-30)/30))</f>
        <v/>
      </c>
    </row>
    <row r="17" ht="15" customHeight="1" s="25">
      <c r="A17" s="29" t="inlineStr">
        <is>
          <t>2 · Inngående poster</t>
        </is>
      </c>
    </row>
    <row r="18" ht="15" customHeight="1" s="25">
      <c r="A18" s="31" t="inlineStr">
        <is>
          <t>Bankinnskudd 1.1.2027</t>
        </is>
      </c>
      <c r="B18" s="35" t="n">
        <v>1000000</v>
      </c>
    </row>
    <row r="19" ht="15" customHeight="1" s="25">
      <c r="A19" s="31" t="inlineStr">
        <is>
          <t>Kundefordringer 1.1.2027</t>
        </is>
      </c>
      <c r="B19" s="35" t="n">
        <v>4200000</v>
      </c>
      <c r="O19" s="31" t="inlineStr">
        <is>
          <t>Svarer til 54 dagers salg, ikke 20. Tallet sto i balansen hele tida.</t>
        </is>
      </c>
    </row>
    <row r="20" ht="15" customHeight="1" s="25">
      <c r="A20" s="31" t="inlineStr">
        <is>
          <t>herav innbetalt i januar</t>
        </is>
      </c>
      <c r="B20" s="36" t="n">
        <v>0.6</v>
      </c>
    </row>
    <row r="21" ht="15" customHeight="1" s="25">
      <c r="A21" s="31" t="inlineStr">
        <is>
          <t>Leverandørgjeld 1.1.2027</t>
        </is>
      </c>
      <c r="B21" s="35" t="n">
        <v>2100000</v>
      </c>
    </row>
    <row r="22" ht="15" customHeight="1" s="25">
      <c r="A22" s="31" t="inlineStr">
        <is>
          <t>Kassekredittramme</t>
        </is>
      </c>
      <c r="B22" s="42">
        <f>'Investering og finans'!$B$28</f>
        <v/>
      </c>
    </row>
    <row r="23" ht="15" customHeight="1" s="25">
      <c r="A23" s="31" t="inlineStr">
        <is>
          <t>Kassekreditt trukket 1.1.2027</t>
        </is>
      </c>
      <c r="B23" s="42">
        <f>'Investering og finans'!$B$29</f>
        <v/>
      </c>
    </row>
    <row r="25" ht="15" customHeight="1" s="25">
      <c r="A25" s="29" t="inlineStr">
        <is>
          <t>3 · Innbetalinger fra driften</t>
        </is>
      </c>
    </row>
    <row r="26" ht="27.75" customHeight="1" s="25">
      <c r="A26" s="34" t="inlineStr">
        <is>
          <t>Post</t>
        </is>
      </c>
      <c r="B26" s="34" t="inlineStr">
        <is>
          <t>År</t>
        </is>
      </c>
      <c r="C26" s="34" t="inlineStr">
        <is>
          <t>Jan</t>
        </is>
      </c>
      <c r="D26" s="34" t="inlineStr">
        <is>
          <t>Feb</t>
        </is>
      </c>
      <c r="E26" s="34" t="inlineStr">
        <is>
          <t>Mar</t>
        </is>
      </c>
      <c r="F26" s="34" t="inlineStr">
        <is>
          <t>Apr</t>
        </is>
      </c>
      <c r="G26" s="34" t="inlineStr">
        <is>
          <t>Mai</t>
        </is>
      </c>
      <c r="H26" s="34" t="inlineStr">
        <is>
          <t>Jun</t>
        </is>
      </c>
      <c r="I26" s="34" t="inlineStr">
        <is>
          <t>Jul</t>
        </is>
      </c>
      <c r="J26" s="34" t="inlineStr">
        <is>
          <t>Aug</t>
        </is>
      </c>
      <c r="K26" s="34" t="inlineStr">
        <is>
          <t>Sep</t>
        </is>
      </c>
      <c r="L26" s="34" t="inlineStr">
        <is>
          <t>Okt</t>
        </is>
      </c>
      <c r="M26" s="34" t="inlineStr">
        <is>
          <t>Nov</t>
        </is>
      </c>
      <c r="N26" s="34" t="inlineStr">
        <is>
          <t>Des</t>
        </is>
      </c>
      <c r="O26" s="34" t="inlineStr">
        <is>
          <t>Kommentar</t>
        </is>
      </c>
    </row>
    <row r="27" ht="15" customHeight="1" s="25">
      <c r="A27" s="31" t="inlineStr">
        <is>
          <t>Månedsnummer</t>
        </is>
      </c>
      <c r="C27" s="39">
        <f>1</f>
        <v/>
      </c>
      <c r="D27" s="39">
        <f>2</f>
        <v/>
      </c>
      <c r="E27" s="39">
        <f>3</f>
        <v/>
      </c>
      <c r="F27" s="39">
        <f>4</f>
        <v/>
      </c>
      <c r="G27" s="39">
        <f>5</f>
        <v/>
      </c>
      <c r="H27" s="39">
        <f>6</f>
        <v/>
      </c>
      <c r="I27" s="39">
        <f>7</f>
        <v/>
      </c>
      <c r="J27" s="39">
        <f>8</f>
        <v/>
      </c>
      <c r="K27" s="39">
        <f>9</f>
        <v/>
      </c>
      <c r="L27" s="39">
        <f>10</f>
        <v/>
      </c>
      <c r="M27" s="39">
        <f>11</f>
        <v/>
      </c>
      <c r="N27" s="39">
        <f>12</f>
        <v/>
      </c>
    </row>
    <row r="28" ht="15" customHeight="1" s="25">
      <c r="A28" s="31" t="inlineStr">
        <is>
          <t>Salgsinntekt inkl. merverdiavgift</t>
        </is>
      </c>
      <c r="B28" s="42">
        <f>SUM(C28:N28)</f>
        <v/>
      </c>
      <c r="C28" s="42">
        <f>Salgsbudsjett!C20</f>
        <v/>
      </c>
      <c r="D28" s="42">
        <f>Salgsbudsjett!D20</f>
        <v/>
      </c>
      <c r="E28" s="42">
        <f>Salgsbudsjett!E20</f>
        <v/>
      </c>
      <c r="F28" s="42">
        <f>Salgsbudsjett!F20</f>
        <v/>
      </c>
      <c r="G28" s="42">
        <f>Salgsbudsjett!G20</f>
        <v/>
      </c>
      <c r="H28" s="42">
        <f>Salgsbudsjett!H20</f>
        <v/>
      </c>
      <c r="I28" s="42">
        <f>Salgsbudsjett!I20</f>
        <v/>
      </c>
      <c r="J28" s="42">
        <f>Salgsbudsjett!J20</f>
        <v/>
      </c>
      <c r="K28" s="42">
        <f>Salgsbudsjett!K20</f>
        <v/>
      </c>
      <c r="L28" s="42">
        <f>Salgsbudsjett!L20</f>
        <v/>
      </c>
      <c r="M28" s="42">
        <f>Salgsbudsjett!M20</f>
        <v/>
      </c>
      <c r="N28" s="42">
        <f>Salgsbudsjett!N20</f>
        <v/>
      </c>
      <c r="O28" s="31" t="inlineStr">
        <is>
          <t>Fakturert beløp. Ikke det samme som innbetalt.</t>
        </is>
      </c>
    </row>
    <row r="29" ht="15" customHeight="1" s="25">
      <c r="A29" s="31" t="inlineStr">
        <is>
          <t>Innbetalt fra årets salg</t>
        </is>
      </c>
      <c r="B29" s="42">
        <f>SUM(C29:N29)</f>
        <v/>
      </c>
      <c r="C29" s="42">
        <f>C28*$B$9</f>
        <v/>
      </c>
      <c r="D29" s="42">
        <f>D28*$B$9+C28*$B$10</f>
        <v/>
      </c>
      <c r="E29" s="42">
        <f>E28*$B$9+D28*$B$10+C28*$B$11</f>
        <v/>
      </c>
      <c r="F29" s="42">
        <f>F28*$B$9+E28*$B$10+D28*$B$11</f>
        <v/>
      </c>
      <c r="G29" s="42">
        <f>G28*$B$9+F28*$B$10+E28*$B$11</f>
        <v/>
      </c>
      <c r="H29" s="42">
        <f>H28*$B$9+G28*$B$10+F28*$B$11</f>
        <v/>
      </c>
      <c r="I29" s="42">
        <f>I28*$B$9+H28*$B$10+G28*$B$11</f>
        <v/>
      </c>
      <c r="J29" s="42">
        <f>J28*$B$9+I28*$B$10+H28*$B$11</f>
        <v/>
      </c>
      <c r="K29" s="42">
        <f>K28*$B$9+J28*$B$10+I28*$B$11</f>
        <v/>
      </c>
      <c r="L29" s="42">
        <f>L28*$B$9+K28*$B$10+J28*$B$11</f>
        <v/>
      </c>
      <c r="M29" s="42">
        <f>M28*$B$9+L28*$B$10+K28*$B$11</f>
        <v/>
      </c>
      <c r="N29" s="42">
        <f>N28*$B$9+M28*$B$10+L28*$B$11</f>
        <v/>
      </c>
    </row>
    <row r="30" ht="15" customHeight="1" s="25">
      <c r="A30" s="31" t="inlineStr">
        <is>
          <t>Innbetalt fra kundefordringene 1.1.</t>
        </is>
      </c>
      <c r="B30" s="42">
        <f>SUM(C30:N30)</f>
        <v/>
      </c>
      <c r="C30" s="42">
        <f>$B$19*$B$20</f>
        <v/>
      </c>
      <c r="D30" s="42">
        <f>$B$19*(1-$B$20)</f>
        <v/>
      </c>
      <c r="E30" s="42">
        <f>0</f>
        <v/>
      </c>
      <c r="F30" s="42">
        <f>0</f>
        <v/>
      </c>
      <c r="G30" s="42">
        <f>0</f>
        <v/>
      </c>
      <c r="H30" s="42">
        <f>0</f>
        <v/>
      </c>
      <c r="I30" s="42">
        <f>0</f>
        <v/>
      </c>
      <c r="J30" s="42">
        <f>0</f>
        <v/>
      </c>
      <c r="K30" s="42">
        <f>0</f>
        <v/>
      </c>
      <c r="L30" s="42">
        <f>0</f>
        <v/>
      </c>
      <c r="M30" s="42">
        <f>0</f>
        <v/>
      </c>
      <c r="N30" s="42">
        <f>0</f>
        <v/>
      </c>
    </row>
    <row r="31" ht="15" customHeight="1" s="25">
      <c r="A31" s="31" t="inlineStr">
        <is>
          <t>Renteinntekter</t>
        </is>
      </c>
      <c r="B31" s="42">
        <f>SUM(C31:N31)</f>
        <v/>
      </c>
      <c r="C31" s="42">
        <f>'Investering og finans'!C42</f>
        <v/>
      </c>
      <c r="D31" s="42">
        <f>'Investering og finans'!D42</f>
        <v/>
      </c>
      <c r="E31" s="42">
        <f>'Investering og finans'!E42</f>
        <v/>
      </c>
      <c r="F31" s="42">
        <f>'Investering og finans'!F42</f>
        <v/>
      </c>
      <c r="G31" s="42">
        <f>'Investering og finans'!G42</f>
        <v/>
      </c>
      <c r="H31" s="42">
        <f>'Investering og finans'!H42</f>
        <v/>
      </c>
      <c r="I31" s="42">
        <f>'Investering og finans'!I42</f>
        <v/>
      </c>
      <c r="J31" s="42">
        <f>'Investering og finans'!J42</f>
        <v/>
      </c>
      <c r="K31" s="42">
        <f>'Investering og finans'!K42</f>
        <v/>
      </c>
      <c r="L31" s="42">
        <f>'Investering og finans'!L42</f>
        <v/>
      </c>
      <c r="M31" s="42">
        <f>'Investering og finans'!M42</f>
        <v/>
      </c>
      <c r="N31" s="42">
        <f>'Investering og finans'!N42</f>
        <v/>
      </c>
    </row>
    <row r="32" ht="15" customHeight="1" s="25">
      <c r="A32" s="33" t="inlineStr">
        <is>
          <t>= Sum innbetalinger</t>
        </is>
      </c>
      <c r="B32" s="43">
        <f>SUM(C32:N32)</f>
        <v/>
      </c>
      <c r="C32" s="43">
        <f>C29+C30+C31</f>
        <v/>
      </c>
      <c r="D32" s="43">
        <f>D29+D30+D31</f>
        <v/>
      </c>
      <c r="E32" s="43">
        <f>E29+E30+E31</f>
        <v/>
      </c>
      <c r="F32" s="43">
        <f>F29+F30+F31</f>
        <v/>
      </c>
      <c r="G32" s="43">
        <f>G29+G30+G31</f>
        <v/>
      </c>
      <c r="H32" s="43">
        <f>H29+H30+H31</f>
        <v/>
      </c>
      <c r="I32" s="43">
        <f>I29+I30+I31</f>
        <v/>
      </c>
      <c r="J32" s="43">
        <f>J29+J30+J31</f>
        <v/>
      </c>
      <c r="K32" s="43">
        <f>K29+K30+K31</f>
        <v/>
      </c>
      <c r="L32" s="43">
        <f>L29+L30+L31</f>
        <v/>
      </c>
      <c r="M32" s="43">
        <f>M29+M30+M31</f>
        <v/>
      </c>
      <c r="N32" s="43">
        <f>N29+N30+N31</f>
        <v/>
      </c>
    </row>
    <row r="34" ht="15" customHeight="1" s="25">
      <c r="A34" s="29" t="inlineStr">
        <is>
          <t>4 · Utbetalinger fra driften</t>
        </is>
      </c>
    </row>
    <row r="35" ht="15" customHeight="1" s="25">
      <c r="A35" s="31" t="inlineStr">
        <is>
          <t>Varekjøp inkl. merverdiavgift</t>
        </is>
      </c>
      <c r="B35" s="42">
        <f>SUM(C35:N35)</f>
        <v/>
      </c>
      <c r="C35" s="42">
        <f>Materiellbudsjett!C20</f>
        <v/>
      </c>
      <c r="D35" s="42">
        <f>Materiellbudsjett!D20</f>
        <v/>
      </c>
      <c r="E35" s="42">
        <f>Materiellbudsjett!E20</f>
        <v/>
      </c>
      <c r="F35" s="42">
        <f>Materiellbudsjett!F20</f>
        <v/>
      </c>
      <c r="G35" s="42">
        <f>Materiellbudsjett!G20</f>
        <v/>
      </c>
      <c r="H35" s="42">
        <f>Materiellbudsjett!H20</f>
        <v/>
      </c>
      <c r="I35" s="42">
        <f>Materiellbudsjett!I20</f>
        <v/>
      </c>
      <c r="J35" s="42">
        <f>Materiellbudsjett!J20</f>
        <v/>
      </c>
      <c r="K35" s="42">
        <f>Materiellbudsjett!K20</f>
        <v/>
      </c>
      <c r="L35" s="42">
        <f>Materiellbudsjett!L20</f>
        <v/>
      </c>
      <c r="M35" s="42">
        <f>Materiellbudsjett!M20</f>
        <v/>
      </c>
      <c r="N35" s="42">
        <f>Materiellbudsjett!N20</f>
        <v/>
      </c>
      <c r="O35" s="31" t="inlineStr">
        <is>
          <t>Bestilt beløp. Ikke det samme som betalt.</t>
        </is>
      </c>
    </row>
    <row r="36" ht="15" customHeight="1" s="25">
      <c r="A36" s="31" t="inlineStr">
        <is>
          <t>Til leverandørene</t>
        </is>
      </c>
      <c r="B36" s="42">
        <f>SUM(C36:N36)</f>
        <v/>
      </c>
      <c r="C36" s="42">
        <f>C35*$B$13+$B$21</f>
        <v/>
      </c>
      <c r="D36" s="42">
        <f>D35*$B$13+C35*$B$14</f>
        <v/>
      </c>
      <c r="E36" s="42">
        <f>E35*$B$13+D35*$B$14+C35*$B$15</f>
        <v/>
      </c>
      <c r="F36" s="42">
        <f>F35*$B$13+E35*$B$14+D35*$B$15</f>
        <v/>
      </c>
      <c r="G36" s="42">
        <f>G35*$B$13+F35*$B$14+E35*$B$15</f>
        <v/>
      </c>
      <c r="H36" s="42">
        <f>H35*$B$13+G35*$B$14+F35*$B$15</f>
        <v/>
      </c>
      <c r="I36" s="42">
        <f>I35*$B$13+H35*$B$14+G35*$B$15</f>
        <v/>
      </c>
      <c r="J36" s="42">
        <f>J35*$B$13+I35*$B$14+H35*$B$15</f>
        <v/>
      </c>
      <c r="K36" s="42">
        <f>K35*$B$13+J35*$B$14+I35*$B$15</f>
        <v/>
      </c>
      <c r="L36" s="42">
        <f>L35*$B$13+K35*$B$14+J35*$B$15</f>
        <v/>
      </c>
      <c r="M36" s="42">
        <f>M35*$B$13+L35*$B$14+K35*$B$15</f>
        <v/>
      </c>
      <c r="N36" s="42">
        <f>N35*$B$13+M35*$B$14+L35*$B$15</f>
        <v/>
      </c>
      <c r="O36" s="31" t="inlineStr">
        <is>
          <t>Januar bærer også hele leverandørgjelda fra 2026.</t>
        </is>
      </c>
    </row>
    <row r="37" ht="15" customHeight="1" s="25">
      <c r="A37" s="31" t="inlineStr">
        <is>
          <t>Lønn</t>
        </is>
      </c>
      <c r="B37" s="42">
        <f>SUM(C37:N37)</f>
        <v/>
      </c>
      <c r="C37" s="42">
        <f>Lønnsbudsjett!C28</f>
        <v/>
      </c>
      <c r="D37" s="42">
        <f>Lønnsbudsjett!D28</f>
        <v/>
      </c>
      <c r="E37" s="42">
        <f>Lønnsbudsjett!E28</f>
        <v/>
      </c>
      <c r="F37" s="42">
        <f>Lønnsbudsjett!F28</f>
        <v/>
      </c>
      <c r="G37" s="42">
        <f>Lønnsbudsjett!G28</f>
        <v/>
      </c>
      <c r="H37" s="42">
        <f>Lønnsbudsjett!H28</f>
        <v/>
      </c>
      <c r="I37" s="42">
        <f>Lønnsbudsjett!I28</f>
        <v/>
      </c>
      <c r="J37" s="42">
        <f>Lønnsbudsjett!J28</f>
        <v/>
      </c>
      <c r="K37" s="42">
        <f>Lønnsbudsjett!K28</f>
        <v/>
      </c>
      <c r="L37" s="42">
        <f>Lønnsbudsjett!L28</f>
        <v/>
      </c>
      <c r="M37" s="42">
        <f>Lønnsbudsjett!M28</f>
        <v/>
      </c>
      <c r="N37" s="42">
        <f>Lønnsbudsjett!N28</f>
        <v/>
      </c>
    </row>
    <row r="38" ht="15" customHeight="1" s="25">
      <c r="A38" s="31" t="inlineStr">
        <is>
          <t>Feriepenger</t>
        </is>
      </c>
      <c r="B38" s="42">
        <f>SUM(C38:N38)</f>
        <v/>
      </c>
      <c r="C38" s="42">
        <f>Lønnsbudsjett!C29</f>
        <v/>
      </c>
      <c r="D38" s="42">
        <f>Lønnsbudsjett!D29</f>
        <v/>
      </c>
      <c r="E38" s="42">
        <f>Lønnsbudsjett!E29</f>
        <v/>
      </c>
      <c r="F38" s="42">
        <f>Lønnsbudsjett!F29</f>
        <v/>
      </c>
      <c r="G38" s="42">
        <f>Lønnsbudsjett!G29</f>
        <v/>
      </c>
      <c r="H38" s="42">
        <f>Lønnsbudsjett!H29</f>
        <v/>
      </c>
      <c r="I38" s="42">
        <f>Lønnsbudsjett!I29</f>
        <v/>
      </c>
      <c r="J38" s="42">
        <f>Lønnsbudsjett!J29</f>
        <v/>
      </c>
      <c r="K38" s="42">
        <f>Lønnsbudsjett!K29</f>
        <v/>
      </c>
      <c r="L38" s="42">
        <f>Lønnsbudsjett!L29</f>
        <v/>
      </c>
      <c r="M38" s="42">
        <f>Lønnsbudsjett!M29</f>
        <v/>
      </c>
      <c r="N38" s="42">
        <f>Lønnsbudsjett!N29</f>
        <v/>
      </c>
    </row>
    <row r="39" ht="15" customHeight="1" s="25">
      <c r="A39" s="31" t="inlineStr">
        <is>
          <t>Arbeidsgiveravgift</t>
        </is>
      </c>
      <c r="B39" s="42">
        <f>SUM(C39:N39)</f>
        <v/>
      </c>
      <c r="C39" s="42">
        <f>Lønnsbudsjett!C30</f>
        <v/>
      </c>
      <c r="D39" s="42">
        <f>Lønnsbudsjett!D30</f>
        <v/>
      </c>
      <c r="E39" s="42">
        <f>Lønnsbudsjett!E30</f>
        <v/>
      </c>
      <c r="F39" s="42">
        <f>Lønnsbudsjett!F30</f>
        <v/>
      </c>
      <c r="G39" s="42">
        <f>Lønnsbudsjett!G30</f>
        <v/>
      </c>
      <c r="H39" s="42">
        <f>Lønnsbudsjett!H30</f>
        <v/>
      </c>
      <c r="I39" s="42">
        <f>Lønnsbudsjett!I30</f>
        <v/>
      </c>
      <c r="J39" s="42">
        <f>Lønnsbudsjett!J30</f>
        <v/>
      </c>
      <c r="K39" s="42">
        <f>Lønnsbudsjett!K30</f>
        <v/>
      </c>
      <c r="L39" s="42">
        <f>Lønnsbudsjett!L30</f>
        <v/>
      </c>
      <c r="M39" s="42">
        <f>Lønnsbudsjett!M30</f>
        <v/>
      </c>
      <c r="N39" s="42">
        <f>Lønnsbudsjett!N30</f>
        <v/>
      </c>
    </row>
    <row r="40" ht="15" customHeight="1" s="25">
      <c r="A40" s="31" t="inlineStr">
        <is>
          <t>Merverdiavgift</t>
        </is>
      </c>
      <c r="B40" s="42">
        <f>SUM(C40:N40)</f>
        <v/>
      </c>
      <c r="C40" s="42">
        <f>'Mva-budsjett'!C20</f>
        <v/>
      </c>
      <c r="D40" s="42">
        <f>'Mva-budsjett'!D20</f>
        <v/>
      </c>
      <c r="E40" s="42">
        <f>'Mva-budsjett'!E20</f>
        <v/>
      </c>
      <c r="F40" s="42">
        <f>'Mva-budsjett'!F20</f>
        <v/>
      </c>
      <c r="G40" s="42">
        <f>'Mva-budsjett'!G20</f>
        <v/>
      </c>
      <c r="H40" s="42">
        <f>'Mva-budsjett'!H20</f>
        <v/>
      </c>
      <c r="I40" s="42">
        <f>'Mva-budsjett'!I20</f>
        <v/>
      </c>
      <c r="J40" s="42">
        <f>'Mva-budsjett'!J20</f>
        <v/>
      </c>
      <c r="K40" s="42">
        <f>'Mva-budsjett'!K20</f>
        <v/>
      </c>
      <c r="L40" s="42">
        <f>'Mva-budsjett'!L20</f>
        <v/>
      </c>
      <c r="M40" s="42">
        <f>'Mva-budsjett'!M20</f>
        <v/>
      </c>
      <c r="N40" s="42">
        <f>'Mva-budsjett'!N20</f>
        <v/>
      </c>
    </row>
    <row r="41" ht="15" customHeight="1" s="25">
      <c r="A41" s="31" t="inlineStr">
        <is>
          <t>Andre driftskostnader inkl. merverdiavgift</t>
        </is>
      </c>
      <c r="B41" s="42">
        <f>SUM(C41:N41)</f>
        <v/>
      </c>
      <c r="C41" s="42">
        <f>'Andre kostnader'!C20</f>
        <v/>
      </c>
      <c r="D41" s="42">
        <f>'Andre kostnader'!D20</f>
        <v/>
      </c>
      <c r="E41" s="42">
        <f>'Andre kostnader'!E20</f>
        <v/>
      </c>
      <c r="F41" s="42">
        <f>'Andre kostnader'!F20</f>
        <v/>
      </c>
      <c r="G41" s="42">
        <f>'Andre kostnader'!G20</f>
        <v/>
      </c>
      <c r="H41" s="42">
        <f>'Andre kostnader'!H20</f>
        <v/>
      </c>
      <c r="I41" s="42">
        <f>'Andre kostnader'!I20</f>
        <v/>
      </c>
      <c r="J41" s="42">
        <f>'Andre kostnader'!J20</f>
        <v/>
      </c>
      <c r="K41" s="42">
        <f>'Andre kostnader'!K20</f>
        <v/>
      </c>
      <c r="L41" s="42">
        <f>'Andre kostnader'!L20</f>
        <v/>
      </c>
      <c r="M41" s="42">
        <f>'Andre kostnader'!M20</f>
        <v/>
      </c>
      <c r="N41" s="42">
        <f>'Andre kostnader'!N20</f>
        <v/>
      </c>
    </row>
    <row r="42" ht="15" customHeight="1" s="25">
      <c r="A42" s="31" t="inlineStr">
        <is>
          <t>Rentekostnader</t>
        </is>
      </c>
      <c r="B42" s="42">
        <f>SUM(C42:N42)</f>
        <v/>
      </c>
      <c r="C42" s="42">
        <f>'Investering og finans'!C41</f>
        <v/>
      </c>
      <c r="D42" s="42">
        <f>'Investering og finans'!D41</f>
        <v/>
      </c>
      <c r="E42" s="42">
        <f>'Investering og finans'!E41</f>
        <v/>
      </c>
      <c r="F42" s="42">
        <f>'Investering og finans'!F41</f>
        <v/>
      </c>
      <c r="G42" s="42">
        <f>'Investering og finans'!G41</f>
        <v/>
      </c>
      <c r="H42" s="42">
        <f>'Investering og finans'!H41</f>
        <v/>
      </c>
      <c r="I42" s="42">
        <f>'Investering og finans'!I41</f>
        <v/>
      </c>
      <c r="J42" s="42">
        <f>'Investering og finans'!J41</f>
        <v/>
      </c>
      <c r="K42" s="42">
        <f>'Investering og finans'!K41</f>
        <v/>
      </c>
      <c r="L42" s="42">
        <f>'Investering og finans'!L41</f>
        <v/>
      </c>
      <c r="M42" s="42">
        <f>'Investering og finans'!M41</f>
        <v/>
      </c>
      <c r="N42" s="42">
        <f>'Investering og finans'!N41</f>
        <v/>
      </c>
    </row>
    <row r="43" ht="15" customHeight="1" s="25">
      <c r="A43" s="31" t="inlineStr">
        <is>
          <t>Forhåndsskatt</t>
        </is>
      </c>
      <c r="B43" s="42">
        <f>SUM(C43:N43)</f>
        <v/>
      </c>
      <c r="C43" s="42">
        <f>'Investering og finans'!C45</f>
        <v/>
      </c>
      <c r="D43" s="42">
        <f>'Investering og finans'!D45</f>
        <v/>
      </c>
      <c r="E43" s="42">
        <f>'Investering og finans'!E45</f>
        <v/>
      </c>
      <c r="F43" s="42">
        <f>'Investering og finans'!F45</f>
        <v/>
      </c>
      <c r="G43" s="42">
        <f>'Investering og finans'!G45</f>
        <v/>
      </c>
      <c r="H43" s="42">
        <f>'Investering og finans'!H45</f>
        <v/>
      </c>
      <c r="I43" s="42">
        <f>'Investering og finans'!I45</f>
        <v/>
      </c>
      <c r="J43" s="42">
        <f>'Investering og finans'!J45</f>
        <v/>
      </c>
      <c r="K43" s="42">
        <f>'Investering og finans'!K45</f>
        <v/>
      </c>
      <c r="L43" s="42">
        <f>'Investering og finans'!L45</f>
        <v/>
      </c>
      <c r="M43" s="42">
        <f>'Investering og finans'!M45</f>
        <v/>
      </c>
      <c r="N43" s="42">
        <f>'Investering og finans'!N45</f>
        <v/>
      </c>
    </row>
    <row r="44" ht="15" customHeight="1" s="25">
      <c r="A44" s="33" t="inlineStr">
        <is>
          <t>= Sum utbetalinger fra driften</t>
        </is>
      </c>
      <c r="B44" s="43">
        <f>SUM(C44:N44)</f>
        <v/>
      </c>
      <c r="C44" s="43">
        <f>SUM(C36:C43)</f>
        <v/>
      </c>
      <c r="D44" s="43">
        <f>SUM(D36:D43)</f>
        <v/>
      </c>
      <c r="E44" s="43">
        <f>SUM(E36:E43)</f>
        <v/>
      </c>
      <c r="F44" s="43">
        <f>SUM(F36:F43)</f>
        <v/>
      </c>
      <c r="G44" s="43">
        <f>SUM(G36:G43)</f>
        <v/>
      </c>
      <c r="H44" s="43">
        <f>SUM(H36:H43)</f>
        <v/>
      </c>
      <c r="I44" s="43">
        <f>SUM(I36:I43)</f>
        <v/>
      </c>
      <c r="J44" s="43">
        <f>SUM(J36:J43)</f>
        <v/>
      </c>
      <c r="K44" s="43">
        <f>SUM(K36:K43)</f>
        <v/>
      </c>
      <c r="L44" s="43">
        <f>SUM(L36:L43)</f>
        <v/>
      </c>
      <c r="M44" s="43">
        <f>SUM(M36:M43)</f>
        <v/>
      </c>
      <c r="N44" s="43">
        <f>SUM(N36:N43)</f>
        <v/>
      </c>
    </row>
    <row r="45" ht="15" customHeight="1" s="25">
      <c r="A45" s="33" t="inlineStr">
        <is>
          <t>= A · Netto likviditetsendring fra driften</t>
        </is>
      </c>
      <c r="B45" s="43">
        <f>SUM(C45:N45)</f>
        <v/>
      </c>
      <c r="C45" s="43">
        <f>C32-C44</f>
        <v/>
      </c>
      <c r="D45" s="43">
        <f>D32-D44</f>
        <v/>
      </c>
      <c r="E45" s="43">
        <f>E32-E44</f>
        <v/>
      </c>
      <c r="F45" s="43">
        <f>F32-F44</f>
        <v/>
      </c>
      <c r="G45" s="43">
        <f>G32-G44</f>
        <v/>
      </c>
      <c r="H45" s="43">
        <f>H32-H44</f>
        <v/>
      </c>
      <c r="I45" s="43">
        <f>I32-I44</f>
        <v/>
      </c>
      <c r="J45" s="43">
        <f>J32-J44</f>
        <v/>
      </c>
      <c r="K45" s="43">
        <f>K32-K44</f>
        <v/>
      </c>
      <c r="L45" s="43">
        <f>L32-L44</f>
        <v/>
      </c>
      <c r="M45" s="43">
        <f>M32-M44</f>
        <v/>
      </c>
      <c r="N45" s="43">
        <f>N32-N44</f>
        <v/>
      </c>
      <c r="O45" s="31" t="inlineStr">
        <is>
          <t>Klarer driften å forsyne seg selv med penger? Dette er linja banken ser på først.</t>
        </is>
      </c>
    </row>
    <row r="47" ht="15" customHeight="1" s="25">
      <c r="A47" s="29" t="inlineStr">
        <is>
          <t>5 · Finansiering</t>
        </is>
      </c>
    </row>
    <row r="48" ht="15" customHeight="1" s="25">
      <c r="A48" s="31" t="inlineStr">
        <is>
          <t>+ Nye lån</t>
        </is>
      </c>
      <c r="B48" s="42">
        <f>SUM(C48:N48)</f>
        <v/>
      </c>
      <c r="C48" s="42">
        <f>'Investering og finans'!C43</f>
        <v/>
      </c>
      <c r="D48" s="42">
        <f>'Investering og finans'!D43</f>
        <v/>
      </c>
      <c r="E48" s="42">
        <f>'Investering og finans'!E43</f>
        <v/>
      </c>
      <c r="F48" s="42">
        <f>'Investering og finans'!F43</f>
        <v/>
      </c>
      <c r="G48" s="42">
        <f>'Investering og finans'!G43</f>
        <v/>
      </c>
      <c r="H48" s="42">
        <f>'Investering og finans'!H43</f>
        <v/>
      </c>
      <c r="I48" s="42">
        <f>'Investering og finans'!I43</f>
        <v/>
      </c>
      <c r="J48" s="42">
        <f>'Investering og finans'!J43</f>
        <v/>
      </c>
      <c r="K48" s="42">
        <f>'Investering og finans'!K43</f>
        <v/>
      </c>
      <c r="L48" s="42">
        <f>'Investering og finans'!L43</f>
        <v/>
      </c>
      <c r="M48" s="42">
        <f>'Investering og finans'!M43</f>
        <v/>
      </c>
      <c r="N48" s="42">
        <f>'Investering og finans'!N43</f>
        <v/>
      </c>
    </row>
    <row r="49" ht="15" customHeight="1" s="25">
      <c r="A49" s="31" t="inlineStr">
        <is>
          <t>− Avdrag</t>
        </is>
      </c>
      <c r="B49" s="42">
        <f>SUM(C49:N49)</f>
        <v/>
      </c>
      <c r="C49" s="42">
        <f>'Investering og finans'!C40</f>
        <v/>
      </c>
      <c r="D49" s="42">
        <f>'Investering og finans'!D40</f>
        <v/>
      </c>
      <c r="E49" s="42">
        <f>'Investering og finans'!E40</f>
        <v/>
      </c>
      <c r="F49" s="42">
        <f>'Investering og finans'!F40</f>
        <v/>
      </c>
      <c r="G49" s="42">
        <f>'Investering og finans'!G40</f>
        <v/>
      </c>
      <c r="H49" s="42">
        <f>'Investering og finans'!H40</f>
        <v/>
      </c>
      <c r="I49" s="42">
        <f>'Investering og finans'!I40</f>
        <v/>
      </c>
      <c r="J49" s="42">
        <f>'Investering og finans'!J40</f>
        <v/>
      </c>
      <c r="K49" s="42">
        <f>'Investering og finans'!K40</f>
        <v/>
      </c>
      <c r="L49" s="42">
        <f>'Investering og finans'!L40</f>
        <v/>
      </c>
      <c r="M49" s="42">
        <f>'Investering og finans'!M40</f>
        <v/>
      </c>
      <c r="N49" s="42">
        <f>'Investering og finans'!N40</f>
        <v/>
      </c>
    </row>
    <row r="50" ht="15" customHeight="1" s="25">
      <c r="A50" s="31" t="inlineStr">
        <is>
          <t>− Utbytte</t>
        </is>
      </c>
      <c r="B50" s="42">
        <f>SUM(C50:N50)</f>
        <v/>
      </c>
      <c r="C50" s="42">
        <f>'Investering og finans'!C44</f>
        <v/>
      </c>
      <c r="D50" s="42">
        <f>'Investering og finans'!D44</f>
        <v/>
      </c>
      <c r="E50" s="42">
        <f>'Investering og finans'!E44</f>
        <v/>
      </c>
      <c r="F50" s="42">
        <f>'Investering og finans'!F44</f>
        <v/>
      </c>
      <c r="G50" s="42">
        <f>'Investering og finans'!G44</f>
        <v/>
      </c>
      <c r="H50" s="42">
        <f>'Investering og finans'!H44</f>
        <v/>
      </c>
      <c r="I50" s="42">
        <f>'Investering og finans'!I44</f>
        <v/>
      </c>
      <c r="J50" s="42">
        <f>'Investering og finans'!J44</f>
        <v/>
      </c>
      <c r="K50" s="42">
        <f>'Investering og finans'!K44</f>
        <v/>
      </c>
      <c r="L50" s="42">
        <f>'Investering og finans'!L44</f>
        <v/>
      </c>
      <c r="M50" s="42">
        <f>'Investering og finans'!M44</f>
        <v/>
      </c>
      <c r="N50" s="42">
        <f>'Investering og finans'!N44</f>
        <v/>
      </c>
    </row>
    <row r="51" ht="15" customHeight="1" s="25">
      <c r="A51" s="33" t="inlineStr">
        <is>
          <t>= B · Netto likviditetsendring fra finansieringen</t>
        </is>
      </c>
      <c r="B51" s="43">
        <f>SUM(C51:N51)</f>
        <v/>
      </c>
      <c r="C51" s="43">
        <f>C48-C49-C50</f>
        <v/>
      </c>
      <c r="D51" s="43">
        <f>D48-D49-D50</f>
        <v/>
      </c>
      <c r="E51" s="43">
        <f>E48-E49-E50</f>
        <v/>
      </c>
      <c r="F51" s="43">
        <f>F48-F49-F50</f>
        <v/>
      </c>
      <c r="G51" s="43">
        <f>G48-G49-G50</f>
        <v/>
      </c>
      <c r="H51" s="43">
        <f>H48-H49-H50</f>
        <v/>
      </c>
      <c r="I51" s="43">
        <f>I48-I49-I50</f>
        <v/>
      </c>
      <c r="J51" s="43">
        <f>J48-J49-J50</f>
        <v/>
      </c>
      <c r="K51" s="43">
        <f>K48-K49-K50</f>
        <v/>
      </c>
      <c r="L51" s="43">
        <f>L48-L49-L50</f>
        <v/>
      </c>
      <c r="M51" s="43">
        <f>M48-M49-M50</f>
        <v/>
      </c>
      <c r="N51" s="43">
        <f>N48-N49-N50</f>
        <v/>
      </c>
      <c r="O51" s="31" t="inlineStr">
        <is>
          <t>Ingen av disse postene står i resultatbudsjettet.</t>
        </is>
      </c>
    </row>
    <row r="53" ht="15" customHeight="1" s="25">
      <c r="A53" s="29" t="inlineStr">
        <is>
          <t>6 · Investeringer</t>
        </is>
      </c>
    </row>
    <row r="54" ht="15" customHeight="1" s="25">
      <c r="A54" s="31" t="inlineStr">
        <is>
          <t>− Kjøp av driftsmidler inkl. merverdiavgift</t>
        </is>
      </c>
      <c r="B54" s="42">
        <f>SUM(C54:N54)</f>
        <v/>
      </c>
      <c r="C54" s="42">
        <f>'Investering og finans'!C37</f>
        <v/>
      </c>
      <c r="D54" s="42">
        <f>'Investering og finans'!D37</f>
        <v/>
      </c>
      <c r="E54" s="42">
        <f>'Investering og finans'!E37</f>
        <v/>
      </c>
      <c r="F54" s="42">
        <f>'Investering og finans'!F37</f>
        <v/>
      </c>
      <c r="G54" s="42">
        <f>'Investering og finans'!G37</f>
        <v/>
      </c>
      <c r="H54" s="42">
        <f>'Investering og finans'!H37</f>
        <v/>
      </c>
      <c r="I54" s="42">
        <f>'Investering og finans'!I37</f>
        <v/>
      </c>
      <c r="J54" s="42">
        <f>'Investering og finans'!J37</f>
        <v/>
      </c>
      <c r="K54" s="42">
        <f>'Investering og finans'!K37</f>
        <v/>
      </c>
      <c r="L54" s="42">
        <f>'Investering og finans'!L37</f>
        <v/>
      </c>
      <c r="M54" s="42">
        <f>'Investering og finans'!M37</f>
        <v/>
      </c>
      <c r="N54" s="42">
        <f>'Investering og finans'!N37</f>
        <v/>
      </c>
    </row>
    <row r="55" ht="15" customHeight="1" s="25">
      <c r="A55" s="31" t="inlineStr">
        <is>
          <t>+ Salg av driftsmidler</t>
        </is>
      </c>
      <c r="B55" s="42">
        <f>SUM(C55:N55)</f>
        <v/>
      </c>
      <c r="C55" s="42">
        <f>'Investering og finans'!C39</f>
        <v/>
      </c>
      <c r="D55" s="42">
        <f>'Investering og finans'!D39</f>
        <v/>
      </c>
      <c r="E55" s="42">
        <f>'Investering og finans'!E39</f>
        <v/>
      </c>
      <c r="F55" s="42">
        <f>'Investering og finans'!F39</f>
        <v/>
      </c>
      <c r="G55" s="42">
        <f>'Investering og finans'!G39</f>
        <v/>
      </c>
      <c r="H55" s="42">
        <f>'Investering og finans'!H39</f>
        <v/>
      </c>
      <c r="I55" s="42">
        <f>'Investering og finans'!I39</f>
        <v/>
      </c>
      <c r="J55" s="42">
        <f>'Investering og finans'!J39</f>
        <v/>
      </c>
      <c r="K55" s="42">
        <f>'Investering og finans'!K39</f>
        <v/>
      </c>
      <c r="L55" s="42">
        <f>'Investering og finans'!L39</f>
        <v/>
      </c>
      <c r="M55" s="42">
        <f>'Investering og finans'!M39</f>
        <v/>
      </c>
      <c r="N55" s="42">
        <f>'Investering og finans'!N39</f>
        <v/>
      </c>
    </row>
    <row r="56" ht="15" customHeight="1" s="25">
      <c r="A56" s="33" t="inlineStr">
        <is>
          <t>= C · Netto likviditetsendring fra investeringene</t>
        </is>
      </c>
      <c r="B56" s="43">
        <f>SUM(C56:N56)</f>
        <v/>
      </c>
      <c r="C56" s="43">
        <f>C55-C54</f>
        <v/>
      </c>
      <c r="D56" s="43">
        <f>D55-D54</f>
        <v/>
      </c>
      <c r="E56" s="43">
        <f>E55-E54</f>
        <v/>
      </c>
      <c r="F56" s="43">
        <f>F55-F54</f>
        <v/>
      </c>
      <c r="G56" s="43">
        <f>G55-G54</f>
        <v/>
      </c>
      <c r="H56" s="43">
        <f>H55-H54</f>
        <v/>
      </c>
      <c r="I56" s="43">
        <f>I55-I54</f>
        <v/>
      </c>
      <c r="J56" s="43">
        <f>J55-J54</f>
        <v/>
      </c>
      <c r="K56" s="43">
        <f>K55-K54</f>
        <v/>
      </c>
      <c r="L56" s="43">
        <f>L55-L54</f>
        <v/>
      </c>
      <c r="M56" s="43">
        <f>M55-M54</f>
        <v/>
      </c>
      <c r="N56" s="43">
        <f>N55-N54</f>
        <v/>
      </c>
    </row>
    <row r="58" ht="15" customHeight="1" s="25">
      <c r="A58" s="29" t="inlineStr">
        <is>
          <t>7 · Beholdningen på konto</t>
        </is>
      </c>
    </row>
    <row r="59" ht="15" customHeight="1" s="25">
      <c r="A59" s="31" t="inlineStr">
        <is>
          <t>Endring i måneden, A + B + C</t>
        </is>
      </c>
      <c r="B59" s="42">
        <f>SUM(C59:N59)</f>
        <v/>
      </c>
      <c r="C59" s="42">
        <f>C45+C51+C56</f>
        <v/>
      </c>
      <c r="D59" s="42">
        <f>D45+D51+D56</f>
        <v/>
      </c>
      <c r="E59" s="42">
        <f>E45+E51+E56</f>
        <v/>
      </c>
      <c r="F59" s="42">
        <f>F45+F51+F56</f>
        <v/>
      </c>
      <c r="G59" s="42">
        <f>G45+G51+G56</f>
        <v/>
      </c>
      <c r="H59" s="42">
        <f>H45+H51+H56</f>
        <v/>
      </c>
      <c r="I59" s="42">
        <f>I45+I51+I56</f>
        <v/>
      </c>
      <c r="J59" s="42">
        <f>J45+J51+J56</f>
        <v/>
      </c>
      <c r="K59" s="42">
        <f>K45+K51+K56</f>
        <v/>
      </c>
      <c r="L59" s="42">
        <f>L45+L51+L56</f>
        <v/>
      </c>
      <c r="M59" s="42">
        <f>M45+M51+M56</f>
        <v/>
      </c>
      <c r="N59" s="42">
        <f>N45+N51+N56</f>
        <v/>
      </c>
    </row>
    <row r="60" ht="15" customHeight="1" s="25">
      <c r="A60" s="31" t="inlineStr">
        <is>
          <t>Inngående beholdning</t>
        </is>
      </c>
      <c r="C60" s="42">
        <f>$B$18</f>
        <v/>
      </c>
      <c r="D60" s="42">
        <f>C61</f>
        <v/>
      </c>
      <c r="E60" s="42">
        <f>D61</f>
        <v/>
      </c>
      <c r="F60" s="42">
        <f>E61</f>
        <v/>
      </c>
      <c r="G60" s="42">
        <f>F61</f>
        <v/>
      </c>
      <c r="H60" s="42">
        <f>G61</f>
        <v/>
      </c>
      <c r="I60" s="42">
        <f>H61</f>
        <v/>
      </c>
      <c r="J60" s="42">
        <f>I61</f>
        <v/>
      </c>
      <c r="K60" s="42">
        <f>J61</f>
        <v/>
      </c>
      <c r="L60" s="42">
        <f>K61</f>
        <v/>
      </c>
      <c r="M60" s="42">
        <f>L61</f>
        <v/>
      </c>
      <c r="N60" s="42">
        <f>M61</f>
        <v/>
      </c>
    </row>
    <row r="61" ht="15" customHeight="1" s="25">
      <c r="A61" s="33" t="inlineStr">
        <is>
          <t>= Utgående beholdning</t>
        </is>
      </c>
      <c r="C61" s="43">
        <f>C59+C60</f>
        <v/>
      </c>
      <c r="D61" s="43">
        <f>D59+D60</f>
        <v/>
      </c>
      <c r="E61" s="43">
        <f>E59+E60</f>
        <v/>
      </c>
      <c r="F61" s="43">
        <f>F59+F60</f>
        <v/>
      </c>
      <c r="G61" s="43">
        <f>G59+G60</f>
        <v/>
      </c>
      <c r="H61" s="43">
        <f>H59+H60</f>
        <v/>
      </c>
      <c r="I61" s="43">
        <f>I59+I60</f>
        <v/>
      </c>
      <c r="J61" s="43">
        <f>J59+J60</f>
        <v/>
      </c>
      <c r="K61" s="43">
        <f>K59+K60</f>
        <v/>
      </c>
      <c r="L61" s="43">
        <f>L59+L60</f>
        <v/>
      </c>
      <c r="M61" s="43">
        <f>M59+M60</f>
        <v/>
      </c>
      <c r="N61" s="43">
        <f>N59+N60</f>
        <v/>
      </c>
    </row>
    <row r="62" ht="15" customHeight="1" s="25">
      <c r="A62" s="31" t="inlineStr">
        <is>
          <t>Kassekreditt som må trekkes</t>
        </is>
      </c>
      <c r="C62" s="42">
        <f>MAX(0,-C61)</f>
        <v/>
      </c>
      <c r="D62" s="42">
        <f>MAX(0,-D61)</f>
        <v/>
      </c>
      <c r="E62" s="42">
        <f>MAX(0,-E61)</f>
        <v/>
      </c>
      <c r="F62" s="42">
        <f>MAX(0,-F61)</f>
        <v/>
      </c>
      <c r="G62" s="42">
        <f>MAX(0,-G61)</f>
        <v/>
      </c>
      <c r="H62" s="42">
        <f>MAX(0,-H61)</f>
        <v/>
      </c>
      <c r="I62" s="42">
        <f>MAX(0,-I61)</f>
        <v/>
      </c>
      <c r="J62" s="42">
        <f>MAX(0,-J61)</f>
        <v/>
      </c>
      <c r="K62" s="42">
        <f>MAX(0,-K61)</f>
        <v/>
      </c>
      <c r="L62" s="42">
        <f>MAX(0,-L61)</f>
        <v/>
      </c>
      <c r="M62" s="42">
        <f>MAX(0,-M61)</f>
        <v/>
      </c>
      <c r="N62" s="42">
        <f>MAX(0,-N61)</f>
        <v/>
      </c>
    </row>
    <row r="63" ht="15" customHeight="1" s="25">
      <c r="A63" s="31" t="inlineStr">
        <is>
          <t>Bankinnskudd</t>
        </is>
      </c>
      <c r="C63" s="42">
        <f>MAX(0,C61)</f>
        <v/>
      </c>
      <c r="D63" s="42">
        <f>MAX(0,D61)</f>
        <v/>
      </c>
      <c r="E63" s="42">
        <f>MAX(0,E61)</f>
        <v/>
      </c>
      <c r="F63" s="42">
        <f>MAX(0,F61)</f>
        <v/>
      </c>
      <c r="G63" s="42">
        <f>MAX(0,G61)</f>
        <v/>
      </c>
      <c r="H63" s="42">
        <f>MAX(0,H61)</f>
        <v/>
      </c>
      <c r="I63" s="42">
        <f>MAX(0,I61)</f>
        <v/>
      </c>
      <c r="J63" s="42">
        <f>MAX(0,J61)</f>
        <v/>
      </c>
      <c r="K63" s="42">
        <f>MAX(0,K61)</f>
        <v/>
      </c>
      <c r="L63" s="42">
        <f>MAX(0,L61)</f>
        <v/>
      </c>
      <c r="M63" s="42">
        <f>MAX(0,M61)</f>
        <v/>
      </c>
      <c r="N63" s="42">
        <f>MAX(0,N61)</f>
        <v/>
      </c>
    </row>
    <row r="64" ht="15" customHeight="1" s="25">
      <c r="A64" s="31" t="inlineStr">
        <is>
          <t>Likviditetsreserve</t>
        </is>
      </c>
      <c r="C64" s="43">
        <f>C63+$B$22-$B$23-C62</f>
        <v/>
      </c>
      <c r="D64" s="43">
        <f>D63+$B$22-$B$23-D62</f>
        <v/>
      </c>
      <c r="E64" s="43">
        <f>E63+$B$22-$B$23-E62</f>
        <v/>
      </c>
      <c r="F64" s="43">
        <f>F63+$B$22-$B$23-F62</f>
        <v/>
      </c>
      <c r="G64" s="43">
        <f>G63+$B$22-$B$23-G62</f>
        <v/>
      </c>
      <c r="H64" s="43">
        <f>H63+$B$22-$B$23-H62</f>
        <v/>
      </c>
      <c r="I64" s="43">
        <f>I63+$B$22-$B$23-I62</f>
        <v/>
      </c>
      <c r="J64" s="43">
        <f>J63+$B$22-$B$23-J62</f>
        <v/>
      </c>
      <c r="K64" s="43">
        <f>K63+$B$22-$B$23-K62</f>
        <v/>
      </c>
      <c r="L64" s="43">
        <f>L63+$B$22-$B$23-L62</f>
        <v/>
      </c>
      <c r="M64" s="43">
        <f>M63+$B$22-$B$23-M62</f>
        <v/>
      </c>
      <c r="N64" s="43">
        <f>N63+$B$22-$B$23-N62</f>
        <v/>
      </c>
      <c r="O64" s="31" t="inlineStr">
        <is>
          <t>Penger på konto pluss den delen av kassekreditten som ikke er brukt. Det er dette beløpet bedriften faktisk kan betale regninger med.</t>
        </is>
      </c>
    </row>
    <row r="66" ht="15" customHeight="1" s="25">
      <c r="A66" s="29" t="inlineStr">
        <is>
          <t>8 · Året sett under ett</t>
        </is>
      </c>
    </row>
    <row r="67" ht="15" customHeight="1" s="25">
      <c r="A67" s="33" t="inlineStr">
        <is>
          <t>Laveste beholdning</t>
        </is>
      </c>
      <c r="B67" s="43">
        <f>MIN(C61:N61)</f>
        <v/>
      </c>
    </row>
    <row r="68" ht="15" customHeight="1" s="25">
      <c r="A68" s="31" t="inlineStr">
        <is>
          <t>Måneden det skjer i</t>
        </is>
      </c>
      <c r="B68" s="48">
        <f>INDEX($C$26:$N$26,MATCH(MIN(C61:N61),C61:N61,0))</f>
        <v/>
      </c>
    </row>
    <row r="69" ht="15" customHeight="1" s="25">
      <c r="A69" s="31" t="inlineStr">
        <is>
          <t>Måneder i minus</t>
        </is>
      </c>
      <c r="B69" s="39">
        <f>COUNTIF(C61:N61,"&lt;0")</f>
        <v/>
      </c>
    </row>
    <row r="70" ht="15" customHeight="1" s="25">
      <c r="A70" s="31" t="inlineStr">
        <is>
          <t>Største trekk på kassekreditten</t>
        </is>
      </c>
      <c r="B70" s="42">
        <f>MAX(C62:N62)</f>
        <v/>
      </c>
    </row>
    <row r="71" ht="15" customHeight="1" s="25">
      <c r="A71" s="31" t="inlineStr">
        <is>
          <t>Samlet trekk medregnet det som alt er trukket</t>
        </is>
      </c>
      <c r="B71" s="42">
        <f>B70+$B$23</f>
        <v/>
      </c>
    </row>
    <row r="72" ht="15" customHeight="1" s="25">
      <c r="A72" s="31" t="inlineStr">
        <is>
          <t>Andel av rammen som er brukt</t>
        </is>
      </c>
      <c r="B72" s="46">
        <f>B71/$B$22</f>
        <v/>
      </c>
    </row>
    <row r="73" ht="15" customHeight="1" s="25">
      <c r="A73" s="31" t="inlineStr">
        <is>
          <t>Renter på kassekreditten gjennom året</t>
        </is>
      </c>
      <c r="B73" s="42">
        <f>SUM(C62:N62)/12*'Investering og finans'!$B$30</f>
        <v/>
      </c>
    </row>
    <row r="74" ht="15" customHeight="1" s="25">
      <c r="A74" s="31" t="inlineStr">
        <is>
          <t>Laveste likviditetsreserve</t>
        </is>
      </c>
      <c r="B74" s="42">
        <f>MIN(C64:N64)</f>
        <v/>
      </c>
    </row>
    <row r="75" ht="15" customHeight="1" s="25">
      <c r="A75" s="31" t="inlineStr">
        <is>
          <t>Driftsresultat i resultatbudsjettet</t>
        </is>
      </c>
      <c r="B75" s="42">
        <f>Resultatbudsjett!B15</f>
        <v/>
      </c>
      <c r="O75" s="31" t="inlineStr">
        <is>
          <t>Uendret uansett hva kredittiden settes til. Det er hele poenget i kapitlet.</t>
        </is>
      </c>
    </row>
    <row r="77" ht="15" customHeight="1" s="25">
      <c r="A77" s="29" t="inlineStr">
        <is>
          <t>9 · Kontroll</t>
        </is>
      </c>
    </row>
    <row r="78" ht="15" customHeight="1" s="25">
      <c r="A78" s="31" t="inlineStr">
        <is>
          <t>Summerer andelene seg til hundre prosent?</t>
        </is>
      </c>
      <c r="B78" s="44">
        <f>IF(AND(ABS(B9+B10+B11-1)&lt;0.0001,ABS(B13+B14+B15-1)&lt;0.0001),"OK — alt salg og alle varekjøp blir betalt til slutt","AVVIK: kredittiden må ligge mellom 0 og 60 dager")</f>
        <v/>
      </c>
    </row>
    <row r="79" ht="15" customHeight="1" s="25">
      <c r="A79" s="31" t="inlineStr">
        <is>
          <t>Går beholdningen opp?</t>
        </is>
      </c>
      <c r="B79" s="44">
        <f>IF(ABS(N61-($B$18+SUM(C59:N59)))&lt;1,"OK — utgående beholdning er inngående pluss alle endringene","AVVIK: beholdningen henger ikke sammen")</f>
        <v/>
      </c>
    </row>
    <row r="80" ht="15" customHeight="1" s="25">
      <c r="A80" s="31" t="inlineStr">
        <is>
          <t>Holder trekket seg innenfor kassekredittrammen?</t>
        </is>
      </c>
      <c r="B80" s="44">
        <f>IF(B71&lt;=B22,"OK — trekket holder seg innenfor rammen. Se likevel hvor mye av den som er brukt opp i B72","AVVIK: rammen sprenges. Banken må kontaktes FØR det skjer, ikke etter")</f>
        <v/>
      </c>
    </row>
    <row r="81" ht="15" customHeight="1" s="25">
      <c r="A81" s="31" t="inlineStr">
        <is>
          <t>Står resultatet stille når kredittiden endres?</t>
        </is>
      </c>
      <c r="B81" s="44">
        <f>IF(ABS(B75-Resultatbudsjett!B15)&lt;1,"OK — driftsresultatet rører seg ikke uansett hva du setter i arket Scenario. Resultat og likviditet er to ulike spørsmål","AVVIK: her er noe koblet feil")</f>
        <v/>
      </c>
    </row>
    <row r="82" ht="15" customHeight="1" s="25">
      <c r="A82" s="31" t="inlineStr">
        <is>
          <t>Er de tre nivåene regnet riktig?</t>
        </is>
      </c>
      <c r="B82" s="44">
        <f>IF(ABS(B59-(B45+B51+B56))&lt;1,"OK — drift, finansiering og investering summerer seg til endringen i beholdningen","AVVIK: de tre nivåene summerer seg ikke")</f>
        <v/>
      </c>
    </row>
    <row r="84" ht="15" customHeight="1" s="25">
      <c r="A84" s="33" t="inlineStr">
        <is>
          <t>Prøv dette: sett kredittiden i arket Scenario til 54 dager, som er det kundene faktisk brukte i 2026. Driftsresultatet står stille. Kontoen gjør det ikke.</t>
        </is>
      </c>
    </row>
    <row r="85" ht="15" customHeight="1" s="25">
      <c r="A85" s="28" t="inlineStr">
        <is>
          <t>Kilde: Bok 1 kap. 9.4 og 9.6. Oppstillingen i tre nivåer — drift, finansiering og investering — er den samme som brukes i 3EKC.</t>
        </is>
      </c>
    </row>
  </sheetData>
  <conditionalFormatting sqref="B78">
    <cfRule type="expression" rank="0" priority="2" equalAverage="0" aboveAverage="0" dxfId="0" text="" percent="0" bottom="0">
      <formula>LEFT(B78,5)="AVVIK"</formula>
    </cfRule>
  </conditionalFormatting>
  <conditionalFormatting sqref="B79">
    <cfRule type="expression" rank="0" priority="3" equalAverage="0" aboveAverage="0" dxfId="0" text="" percent="0" bottom="0">
      <formula>LEFT(B79,5)="AVVIK"</formula>
    </cfRule>
  </conditionalFormatting>
  <conditionalFormatting sqref="B80">
    <cfRule type="expression" rank="0" priority="4" equalAverage="0" aboveAverage="0" dxfId="0" text="" percent="0" bottom="0">
      <formula>LEFT(B80,5)="AVVIK"</formula>
    </cfRule>
  </conditionalFormatting>
  <conditionalFormatting sqref="B81">
    <cfRule type="expression" rank="0" priority="5" equalAverage="0" aboveAverage="0" dxfId="0" text="" percent="0" bottom="0">
      <formula>LEFT(B81,5)="AVVIK"</formula>
    </cfRule>
  </conditionalFormatting>
  <conditionalFormatting sqref="B82">
    <cfRule type="expression" rank="0" priority="6" equalAverage="0" aboveAverage="0" dxfId="0" text="" percent="0" bottom="0">
      <formula>LEFT(B82,5)="AVVIK"</formula>
    </cfRule>
  </conditionalFormatting>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E42"/>
  <sheetViews>
    <sheetView showFormulas="0" showGridLines="0" showRowColHeaders="1" showZeros="1" rightToLeft="0" tabSelected="0" showOutlineSymbols="1" defaultGridColor="1" view="normal" topLeftCell="A1" colorId="64" zoomScale="100" zoomScaleNormal="10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baseColWidth="8" defaultColWidth="8.6796875" defaultRowHeight="15" zeroHeight="0" outlineLevelRow="0"/>
  <cols>
    <col width="46" customWidth="1" style="24" min="1" max="1"/>
    <col width="19" customWidth="1" style="24" min="2" max="2"/>
    <col width="21" customWidth="1" style="24" min="3" max="3"/>
    <col width="19" customWidth="1" style="24" min="4" max="4"/>
    <col width="74" customWidth="1" style="24" min="5" max="5"/>
  </cols>
  <sheetData>
    <row r="1" ht="17.35" customHeight="1" s="25">
      <c r="A1" s="26" t="inlineStr">
        <is>
          <t>Balansebudsjett 31.12.2027 — hovedbudsjett</t>
        </is>
      </c>
    </row>
    <row r="2" ht="15" customHeight="1" s="25">
      <c r="A2" s="27" t="inlineStr">
        <is>
          <t>Det tredje hovedbudsjettet. Sjelden i oppgaver, men det er dette banken vil se ved en større lånesøknad.</t>
        </is>
      </c>
    </row>
    <row r="4" ht="15" customHeight="1" s="25">
      <c r="A4" s="29" t="inlineStr">
        <is>
          <t>1 · To beløp som betales i 2027, men hører hjemme i 2026</t>
        </is>
      </c>
    </row>
    <row r="5" ht="15" customHeight="1" s="25">
      <c r="A5" s="31" t="inlineStr">
        <is>
          <t>Forhåndsskatt for 2026</t>
        </is>
      </c>
      <c r="B5" s="42">
        <f>'Investering og finans'!$B$27</f>
        <v/>
      </c>
    </row>
    <row r="6" ht="15" customHeight="1" s="25">
      <c r="A6" s="31" t="inlineStr">
        <is>
          <t>Arbeidsgiveravgift på feriepengene fra 2026</t>
        </is>
      </c>
      <c r="B6" s="42">
        <f>Lønnsbudsjett!$B$13*Lønnsbudsjett!$B$10</f>
        <v/>
      </c>
    </row>
    <row r="7" ht="15" customHeight="1" s="25">
      <c r="A7" s="28" t="inlineStr">
        <is>
          <t>Balansen for 2026 i denne casen har avsatt feriepengene, men verken skatten eller arbeidsgiveravgiften på feriepengene. Begge betales i 2027. Skatten løser vi ved å budsjettere den som årets skattekostnad. Avgiften trekkes fra egenkapitalen på egen linje under. I et ekte regnskap ville begge stått som kortsiktig gjeld 31.12.2026 — det er nettopp det en avsetning er til for.</t>
        </is>
      </c>
    </row>
    <row r="9" ht="15" customHeight="1" s="25">
      <c r="A9" s="29" t="inlineStr">
        <is>
          <t>2 · Balansebudsjettet</t>
        </is>
      </c>
    </row>
    <row r="10" ht="27.75" customHeight="1" s="25">
      <c r="A10" s="34" t="inlineStr">
        <is>
          <t>Post</t>
        </is>
      </c>
      <c r="B10" s="34" t="inlineStr">
        <is>
          <t>31.12.2026</t>
        </is>
      </c>
      <c r="C10" s="34" t="inlineStr">
        <is>
          <t>Budsjettert endring i 2027</t>
        </is>
      </c>
      <c r="D10" s="34" t="inlineStr">
        <is>
          <t>31.12.2027</t>
        </is>
      </c>
      <c r="E10" s="34" t="inlineStr">
        <is>
          <t>Hvor tallet kommer fra</t>
        </is>
      </c>
    </row>
    <row r="11" ht="15" customHeight="1" s="25">
      <c r="A11" s="29" t="inlineStr">
        <is>
          <t>EIENDELER</t>
        </is>
      </c>
    </row>
    <row r="12" ht="15" customHeight="1" s="25">
      <c r="A12" s="31" t="inlineStr">
        <is>
          <t>Varige driftsmidler</t>
        </is>
      </c>
      <c r="B12" s="35" t="n">
        <v>3600000</v>
      </c>
      <c r="C12" s="42">
        <f>'Investering og finans'!$B$5-'Investering og finans'!$B$15</f>
        <v/>
      </c>
      <c r="D12" s="43">
        <f>B12+C12</f>
        <v/>
      </c>
      <c r="E12" s="31" t="inlineStr">
        <is>
          <t>Investeringsbudsjettet minus avskrivningsbudsjettet.</t>
        </is>
      </c>
    </row>
    <row r="13" ht="15" customHeight="1" s="25">
      <c r="A13" s="31" t="inlineStr">
        <is>
          <t>Varelager</t>
        </is>
      </c>
      <c r="B13" s="35" t="n">
        <v>1400000</v>
      </c>
      <c r="C13" s="42">
        <f>SUM(Materiellbudsjett!C17:N17)</f>
        <v/>
      </c>
      <c r="D13" s="43">
        <f>B13+C13</f>
        <v/>
      </c>
      <c r="E13" s="31" t="inlineStr">
        <is>
          <t>Den planlagte lagerendringen i materiellbudsjettet.</t>
        </is>
      </c>
    </row>
    <row r="14" ht="15" customHeight="1" s="25">
      <c r="A14" s="31" t="inlineStr">
        <is>
          <t>Kundefordringer</t>
        </is>
      </c>
      <c r="B14" s="42">
        <f>Likviditetsbudsjett!$B$19</f>
        <v/>
      </c>
      <c r="C14" s="42">
        <f>Likviditetsbudsjett!B28-Likviditetsbudsjett!B29-Likviditetsbudsjett!B30</f>
        <v/>
      </c>
      <c r="D14" s="43">
        <f>B14+C14</f>
        <v/>
      </c>
      <c r="E14" s="31" t="inlineStr">
        <is>
          <t>Fakturert i året minus innbetalt i året. Det som står igjen, er det kundene skylder ved årsskiftet.</t>
        </is>
      </c>
    </row>
    <row r="15" ht="15" customHeight="1" s="25">
      <c r="A15" s="31" t="inlineStr">
        <is>
          <t>Bankinnskudd</t>
        </is>
      </c>
      <c r="B15" s="42">
        <f>Likviditetsbudsjett!$B$18</f>
        <v/>
      </c>
      <c r="C15" s="42">
        <f>D15-B15</f>
        <v/>
      </c>
      <c r="D15" s="43">
        <f>Likviditetsbudsjett!N63</f>
        <v/>
      </c>
      <c r="E15" s="31" t="inlineStr">
        <is>
          <t>Utgående beholdning i desember i likviditetsbudsjettet.</t>
        </is>
      </c>
    </row>
    <row r="16" ht="15" customHeight="1" s="25">
      <c r="A16" s="33" t="inlineStr">
        <is>
          <t>= Sum eiendeler</t>
        </is>
      </c>
      <c r="B16" s="43">
        <f>SUM(B12:B15)</f>
        <v/>
      </c>
      <c r="C16" s="43">
        <f>SUM(C12:C15)</f>
        <v/>
      </c>
      <c r="D16" s="43">
        <f>SUM(D12:D15)</f>
        <v/>
      </c>
    </row>
    <row r="18" ht="15" customHeight="1" s="25">
      <c r="A18" s="29" t="inlineStr">
        <is>
          <t>EGENKAPITAL OG GJELD</t>
        </is>
      </c>
    </row>
    <row r="19" ht="15" customHeight="1" s="25">
      <c r="A19" s="31" t="inlineStr">
        <is>
          <t>Aksjekapital</t>
        </is>
      </c>
      <c r="B19" s="35" t="n">
        <v>300000</v>
      </c>
      <c r="C19" s="42">
        <f>0</f>
        <v/>
      </c>
      <c r="D19" s="43">
        <f>B19+C19</f>
        <v/>
      </c>
    </row>
    <row r="20" ht="15" customHeight="1" s="25">
      <c r="A20" s="31" t="inlineStr">
        <is>
          <t>Annen egenkapital</t>
        </is>
      </c>
      <c r="B20" s="35" t="n">
        <v>2610000</v>
      </c>
      <c r="C20" s="42">
        <f>Resultatbudsjett!$B$23-$B$6</f>
        <v/>
      </c>
      <c r="D20" s="43">
        <f>B20+C20</f>
        <v/>
      </c>
      <c r="E20" s="31" t="inlineStr">
        <is>
          <t>Budsjettert årsresultat, minus arbeidsgiveravgiften på fjorårets feriepenger fra rad 6.</t>
        </is>
      </c>
    </row>
    <row r="21" ht="15" customHeight="1" s="25">
      <c r="A21" s="33" t="inlineStr">
        <is>
          <t>= Sum egenkapital</t>
        </is>
      </c>
      <c r="B21" s="43">
        <f>B19+B20</f>
        <v/>
      </c>
      <c r="C21" s="43">
        <f>C19+C20</f>
        <v/>
      </c>
      <c r="D21" s="43">
        <f>D19+D20</f>
        <v/>
      </c>
    </row>
    <row r="22" ht="15" customHeight="1" s="25">
      <c r="A22" s="31" t="inlineStr">
        <is>
          <t>Banklån</t>
        </is>
      </c>
      <c r="B22" s="42">
        <f>'Investering og finans'!$B$19</f>
        <v/>
      </c>
      <c r="C22" s="42">
        <f>'Investering og finans'!$B$23-'Investering og finans'!$B$20*4</f>
        <v/>
      </c>
      <c r="D22" s="43">
        <f>B22+C22</f>
        <v/>
      </c>
      <c r="E22" s="31" t="inlineStr">
        <is>
          <t>Nye lån minus fire kvartalsavdrag, fra finansbudsjettet.</t>
        </is>
      </c>
    </row>
    <row r="23" ht="15" customHeight="1" s="25">
      <c r="A23" s="31" t="inlineStr">
        <is>
          <t>Leverandørgjeld</t>
        </is>
      </c>
      <c r="B23" s="42">
        <f>Likviditetsbudsjett!$B$21</f>
        <v/>
      </c>
      <c r="C23" s="42">
        <f>Likviditetsbudsjett!B35-Likviditetsbudsjett!B36</f>
        <v/>
      </c>
      <c r="D23" s="43">
        <f>B23+C23</f>
        <v/>
      </c>
      <c r="E23" s="31" t="inlineStr">
        <is>
          <t>Kjøpt i året minus betalt i året.</t>
        </is>
      </c>
    </row>
    <row r="24" ht="15" customHeight="1" s="25">
      <c r="A24" s="31" t="inlineStr">
        <is>
          <t>Skyldig merverdiavgift</t>
        </is>
      </c>
      <c r="B24" s="42">
        <f>'Mva-budsjett'!$B$6</f>
        <v/>
      </c>
      <c r="C24" s="42">
        <f>D24-B24</f>
        <v/>
      </c>
      <c r="D24" s="43">
        <f>'Mva-budsjett'!$B$23</f>
        <v/>
      </c>
      <c r="E24" s="31" t="inlineStr">
        <is>
          <t>6. termin 2027, som forfaller 10. februar 2028.</t>
        </is>
      </c>
    </row>
    <row r="25" ht="15" customHeight="1" s="25">
      <c r="A25" s="31" t="inlineStr">
        <is>
          <t>Skyldig arbeidsgiveravgift</t>
        </is>
      </c>
      <c r="B25" s="42">
        <f>Lønnsbudsjett!$B$15</f>
        <v/>
      </c>
      <c r="C25" s="42">
        <f>D25-B25</f>
        <v/>
      </c>
      <c r="D25" s="43">
        <f>Lønnsbudsjett!$B$35</f>
        <v/>
      </c>
      <c r="E25" s="31" t="inlineStr">
        <is>
          <t>Avgiften på november- og desemberlønna pluss avgiften på årets feriepenger.</t>
        </is>
      </c>
    </row>
    <row r="26" ht="15" customHeight="1" s="25">
      <c r="A26" s="31" t="inlineStr">
        <is>
          <t>Skyldige feriepenger</t>
        </is>
      </c>
      <c r="B26" s="42">
        <f>Lønnsbudsjett!$B$13</f>
        <v/>
      </c>
      <c r="C26" s="42">
        <f>D26-B26</f>
        <v/>
      </c>
      <c r="D26" s="43">
        <f>Lønnsbudsjett!$B$34</f>
        <v/>
      </c>
      <c r="E26" s="31" t="inlineStr">
        <is>
          <t>Alt som er opptjent i 2027 og utbetales sommeren 2028.</t>
        </is>
      </c>
    </row>
    <row r="27" ht="15" customHeight="1" s="25">
      <c r="A27" s="31" t="inlineStr">
        <is>
          <t>Kassekreditt</t>
        </is>
      </c>
      <c r="B27" s="42">
        <f>'Investering og finans'!$B$29</f>
        <v/>
      </c>
      <c r="C27" s="42">
        <f>D27-B27</f>
        <v/>
      </c>
      <c r="D27" s="43">
        <f>B27+Likviditetsbudsjett!N62</f>
        <v/>
      </c>
      <c r="E27" s="31" t="inlineStr">
        <is>
          <t>Det som alt var trukket, pluss det året tvinger fram.</t>
        </is>
      </c>
    </row>
    <row r="28" ht="15" customHeight="1" s="25">
      <c r="A28" s="33" t="inlineStr">
        <is>
          <t>= Sum gjeld</t>
        </is>
      </c>
      <c r="B28" s="43">
        <f>SUM(B22:B27)</f>
        <v/>
      </c>
      <c r="C28" s="43">
        <f>SUM(C22:C27)</f>
        <v/>
      </c>
      <c r="D28" s="43">
        <f>SUM(D22:D27)</f>
        <v/>
      </c>
    </row>
    <row r="29" ht="15" customHeight="1" s="25">
      <c r="A29" s="33" t="inlineStr">
        <is>
          <t>= Sum egenkapital og gjeld</t>
        </is>
      </c>
      <c r="B29" s="43">
        <f>B21+B28</f>
        <v/>
      </c>
      <c r="C29" s="43">
        <f>C21+C28</f>
        <v/>
      </c>
      <c r="D29" s="43">
        <f>D21+D28</f>
        <v/>
      </c>
    </row>
    <row r="31" ht="15" customHeight="1" s="25">
      <c r="A31" s="29" t="inlineStr">
        <is>
          <t>3 · Nøkkeltall ut av balansebudsjettet</t>
        </is>
      </c>
    </row>
    <row r="32" ht="15" customHeight="1" s="25">
      <c r="A32" s="31" t="inlineStr">
        <is>
          <t>Egenkapitalandel 31.12.2026</t>
        </is>
      </c>
      <c r="B32" s="37">
        <f>B21/B16</f>
        <v/>
      </c>
    </row>
    <row r="33" ht="15" customHeight="1" s="25">
      <c r="A33" s="31" t="inlineStr">
        <is>
          <t>Egenkapitalandel 31.12.2027</t>
        </is>
      </c>
      <c r="B33" s="46">
        <f>D21/D16</f>
        <v/>
      </c>
      <c r="E33" s="31" t="inlineStr">
        <is>
          <t>Dette er tallet banken ser på. Et overskuddsår løfter det uten at bedriften har gjort annet enn å tjene penger.</t>
        </is>
      </c>
    </row>
    <row r="34" ht="15" customHeight="1" s="25">
      <c r="A34" s="31" t="inlineStr">
        <is>
          <t>Likviditetsgrad 1 · 31.12.2027</t>
        </is>
      </c>
      <c r="B34" s="38">
        <f>(D13+D14+D15)/(D23+D24+D25+D26+D27)</f>
        <v/>
      </c>
      <c r="E34" s="31" t="inlineStr">
        <is>
          <t>Omløpsmidler delt på kortsiktig gjeld, slik du regnet det i kapittel 4. Normtallet er 2.</t>
        </is>
      </c>
    </row>
    <row r="36" ht="15" customHeight="1" s="25">
      <c r="A36" s="29" t="inlineStr">
        <is>
          <t>4 · Kontroll</t>
        </is>
      </c>
    </row>
    <row r="37" ht="15" customHeight="1" s="25">
      <c r="A37" s="31" t="inlineStr">
        <is>
          <t>Går den inngående balansen opp?</t>
        </is>
      </c>
      <c r="B37" s="44">
        <f>IF(ABS(B16-B29)&lt;1,"OK — balansen 31.12.2026 går opp","AVVIK: den inngående balansen går ikke opp")</f>
        <v/>
      </c>
    </row>
    <row r="38" ht="15" customHeight="1" s="25">
      <c r="A38" s="31" t="inlineStr">
        <is>
          <t>Går balansebudsjettet opp?</t>
        </is>
      </c>
      <c r="B38" s="44">
        <f>IF(ABS(D16-D29)&lt;1,"OK — eiendelene er nøyaktig like store som egenkapital og gjeld. Budsjettet henger sammen","AVVIK: eiendelene og finansieringen spriker. Da er en av postene budsjettert feil")</f>
        <v/>
      </c>
    </row>
    <row r="39" ht="15" customHeight="1" s="25">
      <c r="A39" s="31" t="inlineStr">
        <is>
          <t>Vokser egenkapitalen?</t>
        </is>
      </c>
      <c r="B39" s="44">
        <f>IF(D21&gt;B21,"OK — egenkapitalen vokser gjennom året fordi bedriften budsjetterer med overskudd","AVVIK: egenkapitalen krymper. Da tar bedriften ut mer enn den tjener")</f>
        <v/>
      </c>
    </row>
    <row r="41" ht="15" customHeight="1" s="25">
      <c r="A41" s="33" t="inlineStr">
        <is>
          <t>Balansebudsjettet er prøven på om de to andre hovedbudsjettene henger sammen. Går det opp, er resultatbudsjettet og likviditetsbudsjettet enige med hverandre. Går det ikke opp, er én av dem feil.</t>
        </is>
      </c>
    </row>
    <row r="42" ht="15" customHeight="1" s="25">
      <c r="A42" s="28" t="inlineStr">
        <is>
          <t>Kilde: Bok 1 kap. 9.2. Nøkkeltallene er de samme som i kapittel 4.</t>
        </is>
      </c>
    </row>
  </sheetData>
  <conditionalFormatting sqref="B37">
    <cfRule type="expression" rank="0" priority="2" equalAverage="0" aboveAverage="0" dxfId="0" text="" percent="0" bottom="0">
      <formula>LEFT(B37,5)="AVVIK"</formula>
    </cfRule>
  </conditionalFormatting>
  <conditionalFormatting sqref="B38">
    <cfRule type="expression" rank="0" priority="3" equalAverage="0" aboveAverage="0" dxfId="0" text="" percent="0" bottom="0">
      <formula>LEFT(B38,5)="AVVIK"</formula>
    </cfRule>
  </conditionalFormatting>
  <conditionalFormatting sqref="B39">
    <cfRule type="expression" rank="0" priority="4" equalAverage="0" aboveAverage="0" dxfId="0" text="" percent="0" bottom="0">
      <formula>LEFT(B39,5)="AVVIK"</formula>
    </cfRule>
  </conditionalFormatting>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K34"/>
  <sheetViews>
    <sheetView showFormulas="0" showGridLines="0" showRowColHeaders="1" showZeros="1" rightToLeft="0" tabSelected="0" showOutlineSymbols="1" defaultGridColor="1"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baseColWidth="8" defaultColWidth="8.6796875" defaultRowHeight="15" zeroHeight="0" outlineLevelRow="0"/>
  <cols>
    <col width="26" customWidth="1" style="24" min="1" max="1"/>
    <col width="30" customWidth="1" style="24" min="2" max="2"/>
    <col width="26" customWidth="1" style="24" min="3" max="3"/>
    <col width="15" customWidth="1" style="24" min="4" max="6"/>
    <col width="12" customWidth="1" style="24" min="7" max="7"/>
    <col width="14" customWidth="1" style="24" min="8" max="9"/>
    <col width="40" customWidth="1" style="24" min="10" max="10"/>
    <col width="36" customWidth="1" style="24" min="11" max="11"/>
  </cols>
  <sheetData>
    <row r="1" ht="17.35" customHeight="1" s="25">
      <c r="A1" s="26" t="inlineStr">
        <is>
          <t>Budsjettkontroll 2026 — delbudsjett for delbudsjett</t>
        </is>
      </c>
    </row>
    <row r="2" ht="15" customHeight="1" s="25">
      <c r="A2" s="27" t="inlineStr">
        <is>
          <t>Avviket peker på et sted. Det sier ikke hvorfor. De to siste kolonnene er dine — det er der jobben ligger.</t>
        </is>
      </c>
    </row>
    <row r="5" ht="27.75" customHeight="1" s="25">
      <c r="A5" s="34" t="inlineStr">
        <is>
          <t>Post</t>
        </is>
      </c>
      <c r="B5" s="34" t="inlineStr">
        <is>
          <t>Delbudsjett</t>
        </is>
      </c>
      <c r="C5" s="34" t="inlineStr">
        <is>
          <t>Hvem eier det</t>
        </is>
      </c>
      <c r="D5" s="34" t="inlineStr">
        <is>
          <t>Budsjett 2026</t>
        </is>
      </c>
      <c r="E5" s="34" t="inlineStr">
        <is>
          <t>Regnskap 2026</t>
        </is>
      </c>
      <c r="F5" s="34" t="inlineStr">
        <is>
          <t>Avvik i kroner</t>
        </is>
      </c>
      <c r="G5" s="34" t="inlineStr">
        <is>
          <t>Avvik i prosent</t>
        </is>
      </c>
      <c r="H5" s="34" t="inlineStr">
        <is>
          <t>Andel av salget, budsjett</t>
        </is>
      </c>
      <c r="I5" s="34" t="inlineStr">
        <is>
          <t>Andel av salget, regnskap</t>
        </is>
      </c>
      <c r="J5" s="34" t="inlineStr">
        <is>
          <t>Hva skyldes avviket?</t>
        </is>
      </c>
      <c r="K5" s="34" t="inlineStr">
        <is>
          <t>Hva gjør vi med det?</t>
        </is>
      </c>
    </row>
    <row r="6" ht="15" customHeight="1" s="25">
      <c r="A6" s="31" t="inlineStr">
        <is>
          <t>Salgsinntekt</t>
        </is>
      </c>
      <c r="B6" s="31" t="inlineStr">
        <is>
          <t>Salgsbudsjettet</t>
        </is>
      </c>
      <c r="C6" s="31" t="inlineStr">
        <is>
          <t>Ida Haugen, kalkulatør</t>
        </is>
      </c>
      <c r="D6" s="35" t="n">
        <v>22000000</v>
      </c>
      <c r="E6" s="35" t="n">
        <v>22400000</v>
      </c>
      <c r="F6" s="43">
        <f>E6-D6</f>
        <v/>
      </c>
      <c r="G6" s="37">
        <f>F6/D6</f>
        <v/>
      </c>
      <c r="J6" s="30" t="n"/>
      <c r="K6" s="30" t="n"/>
    </row>
    <row r="7" ht="15" customHeight="1" s="25">
      <c r="A7" s="31" t="inlineStr">
        <is>
          <t>Varekostnad</t>
        </is>
      </c>
      <c r="B7" s="31" t="inlineStr">
        <is>
          <t>Materiell- og innkjøpsbudsjettet</t>
        </is>
      </c>
      <c r="C7" s="31" t="inlineStr">
        <is>
          <t>Ronny Fjeld, formann</t>
        </is>
      </c>
      <c r="D7" s="35" t="n">
        <v>8240000</v>
      </c>
      <c r="E7" s="35" t="n">
        <v>8390000</v>
      </c>
      <c r="F7" s="43">
        <f>D7-E7</f>
        <v/>
      </c>
      <c r="G7" s="37">
        <f>F7/D7</f>
        <v/>
      </c>
      <c r="H7" s="37">
        <f>D7/$D$6</f>
        <v/>
      </c>
      <c r="I7" s="37">
        <f>E7/$E$6</f>
        <v/>
      </c>
      <c r="J7" s="30" t="n"/>
      <c r="K7" s="30" t="n"/>
    </row>
    <row r="8" ht="15" customHeight="1" s="25">
      <c r="A8" s="31" t="inlineStr">
        <is>
          <t>Lønnskostnad</t>
        </is>
      </c>
      <c r="B8" s="31" t="inlineStr">
        <is>
          <t>Lønnsbudsjettet</t>
        </is>
      </c>
      <c r="C8" s="31" t="inlineStr">
        <is>
          <t>Kari Nordlund, daglig leder</t>
        </is>
      </c>
      <c r="D8" s="35" t="n">
        <v>10460000</v>
      </c>
      <c r="E8" s="35" t="n">
        <v>10660000</v>
      </c>
      <c r="F8" s="43">
        <f>D8-E8</f>
        <v/>
      </c>
      <c r="G8" s="37">
        <f>F8/D8</f>
        <v/>
      </c>
      <c r="H8" s="37">
        <f>D8/$D$6</f>
        <v/>
      </c>
      <c r="I8" s="37">
        <f>E8/$E$6</f>
        <v/>
      </c>
      <c r="J8" s="30" t="n"/>
      <c r="K8" s="30" t="n"/>
    </row>
    <row r="9" ht="15" customHeight="1" s="25">
      <c r="A9" s="31" t="inlineStr">
        <is>
          <t>Avskrivninger</t>
        </is>
      </c>
      <c r="B9" s="31" t="inlineStr">
        <is>
          <t>Avskrivningsbudsjettet</t>
        </is>
      </c>
      <c r="C9" s="31" t="inlineStr">
        <is>
          <t>Kari Nordlund, daglig leder</t>
        </is>
      </c>
      <c r="D9" s="35" t="n">
        <v>640000</v>
      </c>
      <c r="E9" s="35" t="n">
        <v>620000</v>
      </c>
      <c r="F9" s="43">
        <f>D9-E9</f>
        <v/>
      </c>
      <c r="G9" s="37">
        <f>F9/D9</f>
        <v/>
      </c>
      <c r="H9" s="37">
        <f>D9/$D$6</f>
        <v/>
      </c>
      <c r="I9" s="37">
        <f>E9/$E$6</f>
        <v/>
      </c>
      <c r="J9" s="30" t="n"/>
      <c r="K9" s="30" t="n"/>
    </row>
    <row r="10" ht="15" customHeight="1" s="25">
      <c r="A10" s="31" t="inlineStr">
        <is>
          <t>Andre driftskostnader</t>
        </is>
      </c>
      <c r="B10" s="31" t="inlineStr">
        <is>
          <t>Kostnadsbudsjettet</t>
        </is>
      </c>
      <c r="C10" s="31" t="inlineStr">
        <is>
          <t>Kari Nordlund, daglig leder</t>
        </is>
      </c>
      <c r="D10" s="35" t="n">
        <v>1250000</v>
      </c>
      <c r="E10" s="35" t="n">
        <v>1386000</v>
      </c>
      <c r="F10" s="43">
        <f>D10-E10</f>
        <v/>
      </c>
      <c r="G10" s="37">
        <f>F10/D10</f>
        <v/>
      </c>
      <c r="H10" s="37">
        <f>D10/$D$6</f>
        <v/>
      </c>
      <c r="I10" s="37">
        <f>E10/$E$6</f>
        <v/>
      </c>
      <c r="J10" s="30" t="n"/>
      <c r="K10" s="30" t="n"/>
    </row>
    <row r="12" ht="15" customHeight="1" s="25">
      <c r="A12" s="33" t="inlineStr">
        <is>
          <t>= Sum driftskostnader</t>
        </is>
      </c>
      <c r="D12" s="43">
        <f>SUM(D7:D10)</f>
        <v/>
      </c>
      <c r="E12" s="43">
        <f>SUM(E7:E10)</f>
        <v/>
      </c>
      <c r="F12" s="43">
        <f>D12-E12</f>
        <v/>
      </c>
      <c r="G12" s="37">
        <f>F12/D12</f>
        <v/>
      </c>
    </row>
    <row r="13" ht="15" customHeight="1" s="25">
      <c r="A13" s="33" t="inlineStr">
        <is>
          <t>= Driftsresultat</t>
        </is>
      </c>
      <c r="D13" s="43">
        <f>D6-D12</f>
        <v/>
      </c>
      <c r="E13" s="43">
        <f>E6-E12</f>
        <v/>
      </c>
      <c r="F13" s="43">
        <f>E13-D13</f>
        <v/>
      </c>
      <c r="G13" s="37">
        <f>F13/D13</f>
        <v/>
      </c>
      <c r="J13" s="30" t="n"/>
      <c r="K13" s="30" t="n"/>
    </row>
    <row r="15" ht="15" customHeight="1" s="25">
      <c r="A15" s="29" t="inlineStr">
        <is>
          <t>Slik leser du tabellen</t>
        </is>
      </c>
    </row>
    <row r="16" ht="15" customHeight="1" s="25">
      <c r="A16" s="31" t="inlineStr">
        <is>
          <t>Et positivt avvik er alltid godt nytt for bedriften: mer inntekt enn budsjettert, eller lavere kostnad. Et negativt avvik er det motsatte. Kolonnen med avvik i kroner er regnet slik at fortegnet alltid betyr det samme, uansett om raden er en inntekt eller en kostnad.</t>
        </is>
      </c>
    </row>
    <row r="17" ht="15" customHeight="1" s="25">
      <c r="A17" s="31" t="inlineStr">
        <is>
          <t>De to siste kolonnene er nøkkelen. Selger bedriften mer enn budsjettert, MÅ varekostnaden og lønnskostnaden også bli høyere — det er et mengdeavvik, og det er ingens feil. Er derimot andelen av salget en annen enn budsjettert, har noe reelt flyttet seg. Da er det et prisavvik, og da har det en adresse.</t>
        </is>
      </c>
    </row>
    <row r="19" ht="15" customHeight="1" s="25">
      <c r="A19" s="29" t="inlineStr">
        <is>
          <t>Hvor avviket faktisk kommer fra</t>
        </is>
      </c>
    </row>
    <row r="20" ht="15" customHeight="1" s="25">
      <c r="A20" s="31" t="inlineStr">
        <is>
          <t>Mersalg mot budsjett</t>
        </is>
      </c>
      <c r="D20" s="43">
        <f>E6-D6</f>
        <v/>
      </c>
    </row>
    <row r="21" ht="15" customHeight="1" s="25">
      <c r="A21" s="31" t="inlineStr">
        <is>
          <t>Varekostnad ved budsjettert andel, gitt det faktiske salget</t>
        </is>
      </c>
      <c r="D21" s="42">
        <f>E6*H7</f>
        <v/>
      </c>
    </row>
    <row r="22" ht="15" customHeight="1" s="25">
      <c r="A22" s="31" t="inlineStr">
        <is>
          <t>Faktisk varekostnad</t>
        </is>
      </c>
      <c r="D22" s="42">
        <f>E7</f>
        <v/>
      </c>
    </row>
    <row r="23" ht="15" customHeight="1" s="25">
      <c r="A23" s="31" t="inlineStr">
        <is>
          <t>Rent prisavvik på varekostnaden</t>
        </is>
      </c>
      <c r="D23" s="43">
        <f>D21-D22</f>
        <v/>
      </c>
      <c r="J23" s="31" t="inlineStr">
        <is>
          <t>Nær null. Innkjøpet har gått som planlagt.</t>
        </is>
      </c>
    </row>
    <row r="24" ht="15" customHeight="1" s="25">
      <c r="A24" s="31" t="inlineStr">
        <is>
          <t>Andre driftskostnader ved budsjettert andel</t>
        </is>
      </c>
      <c r="D24" s="42">
        <f>E6*H10</f>
        <v/>
      </c>
    </row>
    <row r="25" ht="15" customHeight="1" s="25">
      <c r="A25" s="31" t="inlineStr">
        <is>
          <t>Faktiske andre driftskostnader</t>
        </is>
      </c>
      <c r="D25" s="42">
        <f>E10</f>
        <v/>
      </c>
    </row>
    <row r="26" ht="15" customHeight="1" s="25">
      <c r="A26" s="33" t="inlineStr">
        <is>
          <t>Rent avvik på andre driftskostnader</t>
        </is>
      </c>
      <c r="D26" s="43">
        <f>D24-D25</f>
        <v/>
      </c>
      <c r="J26" s="31" t="inlineStr">
        <is>
          <t>Her ligger pengene. Denne posten skal forklares med bilag.</t>
        </is>
      </c>
    </row>
    <row r="28" ht="15" customHeight="1" s="25">
      <c r="A28" s="29" t="inlineStr">
        <is>
          <t>Kontroll</t>
        </is>
      </c>
    </row>
    <row r="29" ht="15" customHeight="1" s="25">
      <c r="A29" s="31" t="inlineStr">
        <is>
          <t>Ble salget høyere enn budsjettert?</t>
        </is>
      </c>
      <c r="B29" s="44">
        <f>IF(F6&gt;0,"OK — bedriften solgte mer enn planlagt. Da MÅ varekostnaden og lønnskostnaden også være høyere","AVVIK: salget sviktet. Da er kostnadsavvikene en annen historie")</f>
        <v/>
      </c>
    </row>
    <row r="30" ht="15" customHeight="1" s="25">
      <c r="A30" s="31" t="inlineStr">
        <is>
          <t>Er varekostnadsandelen den samme?</t>
        </is>
      </c>
      <c r="B30" s="44">
        <f>IF(ABS(H7-I7)&lt;0.01,"OK — varekostnaden utgjør nesten nøyaktig samme andel av salget som budsjettert. Materiellbudsjettet har holdt","AVVIK: varekostnadsandelen har flyttet seg. Da er det et prisavvik, og da er innkjøperen riktig adressat")</f>
        <v/>
      </c>
    </row>
    <row r="31" ht="15" customHeight="1" s="25">
      <c r="A31" s="31" t="inlineStr">
        <is>
          <t>Hvilket delbudsjett har faktisk sviktet?</t>
        </is>
      </c>
      <c r="B31" s="44">
        <f>IF(ABS(I10-H10)&gt;ABS(I7-H7),"OK — kostnadsbudsjettet har flyttet seg mest som andel av salget. Det er der du skal be om en spesifikasjon","AVVIK: her er det materiellbudsjettet som har flyttet seg mest")</f>
        <v/>
      </c>
    </row>
    <row r="33" ht="15" customHeight="1" s="25">
      <c r="A33" s="33" t="inlineStr">
        <is>
          <t>Fyll ut kolonne J og K for hver rad. Et avvik uten forklaring er bare et tall. Et avvik med forklaring og et tiltak er styring.</t>
        </is>
      </c>
    </row>
    <row r="34" ht="15" customHeight="1" s="25">
      <c r="A34" s="28" t="inlineStr">
        <is>
          <t>Kilde: Bok 1 kap. 9.8 og 9.9. Tallene er de samme som i arbeidsboka «Budsjett».</t>
        </is>
      </c>
    </row>
  </sheetData>
  <conditionalFormatting sqref="B29">
    <cfRule type="expression" rank="0" priority="2" equalAverage="0" aboveAverage="0" dxfId="0" text="" percent="0" bottom="0">
      <formula>LEFT(B29,5)="AVVIK"</formula>
    </cfRule>
  </conditionalFormatting>
  <conditionalFormatting sqref="B30">
    <cfRule type="expression" rank="0" priority="3" equalAverage="0" aboveAverage="0" dxfId="0" text="" percent="0" bottom="0">
      <formula>LEFT(B30,5)="AVVIK"</formula>
    </cfRule>
  </conditionalFormatting>
  <conditionalFormatting sqref="B31">
    <cfRule type="expression" rank="0" priority="4" equalAverage="0" aboveAverage="0" dxfId="0" text="" percent="0" bottom="0">
      <formula>LEFT(B31,5)="AVVIK"</formula>
    </cfRule>
  </conditionalFormatting>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1"/>
  </sheetPr>
  <dimension ref="A1:G4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24" min="1" max="1"/>
    <col width="20" customWidth="1" style="24" min="2" max="6"/>
    <col width="66" customWidth="1" style="24" min="7" max="7"/>
  </cols>
  <sheetData>
    <row r="1" ht="17.35" customHeight="1" s="25">
      <c r="A1" s="26" t="inlineStr">
        <is>
          <t>Scenario — fire knapper</t>
        </is>
      </c>
    </row>
    <row r="2" ht="15" customHeight="1" s="25">
      <c r="A2" s="27" t="inlineStr">
        <is>
          <t>Skru på forutsetningene og se hva som skjer med resultatet og med kontoen. De to svarer ikke likt.</t>
        </is>
      </c>
    </row>
    <row r="4" ht="15" customHeight="1" s="25">
      <c r="A4" s="29" t="inlineStr">
        <is>
          <t>1 · Knappene</t>
        </is>
      </c>
    </row>
    <row r="5" ht="15" customHeight="1" s="25">
      <c r="A5" s="28" t="inlineStr">
        <is>
          <t>Endre disse fire cellene. Alt annet i arbeidsboka regner seg om.</t>
        </is>
      </c>
    </row>
    <row r="6" ht="15" customHeight="1" s="25">
      <c r="A6" s="31" t="inlineStr">
        <is>
          <t>Vekst i omsetningen mot grunnbudsjettet</t>
        </is>
      </c>
      <c r="B6" s="36" t="n">
        <v>0</v>
      </c>
      <c r="G6" s="31" t="inlineStr">
        <is>
          <t>Virker på salgsbudsjettet. Både timeomsetning og materiellsalg vokser, og dermed også varekostnaden og de variable andre kostnadene.</t>
        </is>
      </c>
    </row>
    <row r="7" ht="15" customHeight="1" s="25">
      <c r="A7" s="31" t="inlineStr">
        <is>
          <t>Lønnsvekst mot grunnbudsjettet</t>
        </is>
      </c>
      <c r="B7" s="36" t="n">
        <v>0</v>
      </c>
      <c r="G7" s="31" t="inlineStr">
        <is>
          <t>Virker på lønnsbudsjettet. Husk at feriepenger og arbeidsgiveravgift følger med oppover.</t>
        </is>
      </c>
    </row>
    <row r="8" ht="15" customHeight="1" s="25">
      <c r="A8" s="31" t="inlineStr">
        <is>
          <t>Kredittid til kundene, dager</t>
        </is>
      </c>
      <c r="B8" s="41" t="n">
        <v>20</v>
      </c>
      <c r="G8" s="31" t="inlineStr">
        <is>
          <t>Virker bare på likviditetsbudsjettet. Resultatet rører seg ikke med en eneste krone.</t>
        </is>
      </c>
    </row>
    <row r="9" ht="15" customHeight="1" s="25">
      <c r="A9" s="31" t="inlineStr">
        <is>
          <t>Kredittid hos grossisten, dager</t>
        </is>
      </c>
      <c r="B9" s="41" t="n">
        <v>30</v>
      </c>
      <c r="G9" s="31" t="inlineStr">
        <is>
          <t>Samme sak, men motsatt vei.</t>
        </is>
      </c>
    </row>
    <row r="11" ht="15" customHeight="1" s="25">
      <c r="A11" s="29" t="inlineStr">
        <is>
          <t>2 · Hva knappene gjør med resultatet</t>
        </is>
      </c>
    </row>
    <row r="12" ht="15" customHeight="1" s="25">
      <c r="A12" s="31" t="inlineStr">
        <is>
          <t>Salgsinntekt</t>
        </is>
      </c>
      <c r="B12" s="42">
        <f>Resultatbudsjett!B7</f>
        <v/>
      </c>
    </row>
    <row r="13" ht="15" customHeight="1" s="25">
      <c r="A13" s="31" t="inlineStr">
        <is>
          <t>Sum driftskostnader</t>
        </is>
      </c>
      <c r="B13" s="42">
        <f>Resultatbudsjett!B14</f>
        <v/>
      </c>
    </row>
    <row r="14" ht="15" customHeight="1" s="25">
      <c r="A14" s="33" t="inlineStr">
        <is>
          <t>Driftsresultat</t>
        </is>
      </c>
      <c r="B14" s="43">
        <f>Resultatbudsjett!B15</f>
        <v/>
      </c>
      <c r="G14" s="31" t="inlineStr">
        <is>
          <t>Kredittidene i B8 og B9 kan du sette til hva du vil — disse fire tallene rører seg ikke.</t>
        </is>
      </c>
    </row>
    <row r="15" ht="15" customHeight="1" s="25">
      <c r="A15" s="31" t="inlineStr">
        <is>
          <t>Driftsmargin</t>
        </is>
      </c>
      <c r="B15" s="46">
        <f>Resultatbudsjett!B16</f>
        <v/>
      </c>
    </row>
    <row r="16" ht="15" customHeight="1" s="25">
      <c r="A16" s="31" t="inlineStr">
        <is>
          <t>Budsjettert årsresultat</t>
        </is>
      </c>
      <c r="B16" s="42">
        <f>Resultatbudsjett!B23</f>
        <v/>
      </c>
    </row>
    <row r="18" ht="15" customHeight="1" s="25">
      <c r="A18" s="29" t="inlineStr">
        <is>
          <t>3 · Hva knappene gjør med kontoen</t>
        </is>
      </c>
    </row>
    <row r="19" ht="15" customHeight="1" s="25">
      <c r="A19" s="33" t="inlineStr">
        <is>
          <t>Laveste beholdning gjennom året</t>
        </is>
      </c>
      <c r="B19" s="43">
        <f>Likviditetsbudsjett!B67</f>
        <v/>
      </c>
    </row>
    <row r="20" ht="15" customHeight="1" s="25">
      <c r="A20" s="31" t="inlineStr">
        <is>
          <t>Måneden det skjer i</t>
        </is>
      </c>
      <c r="B20" s="48">
        <f>Likviditetsbudsjett!B68</f>
        <v/>
      </c>
    </row>
    <row r="21" ht="15" customHeight="1" s="25">
      <c r="A21" s="31" t="inlineStr">
        <is>
          <t>Måneder i minus</t>
        </is>
      </c>
      <c r="B21" s="39">
        <f>Likviditetsbudsjett!B69</f>
        <v/>
      </c>
    </row>
    <row r="22" ht="15" customHeight="1" s="25">
      <c r="A22" s="31" t="inlineStr">
        <is>
          <t>Største trekk på kassekreditten</t>
        </is>
      </c>
      <c r="B22" s="42">
        <f>Likviditetsbudsjett!B70</f>
        <v/>
      </c>
    </row>
    <row r="23" ht="15" customHeight="1" s="25">
      <c r="A23" s="31" t="inlineStr">
        <is>
          <t>Andel av kassekredittrammen som er brukt</t>
        </is>
      </c>
      <c r="B23" s="46">
        <f>Likviditetsbudsjett!B72</f>
        <v/>
      </c>
    </row>
    <row r="24" ht="15" customHeight="1" s="25">
      <c r="A24" s="31" t="inlineStr">
        <is>
          <t>Renter på kassekreditten gjennom året</t>
        </is>
      </c>
      <c r="B24" s="42">
        <f>Likviditetsbudsjett!B73</f>
        <v/>
      </c>
    </row>
    <row r="25" ht="15" customHeight="1" s="25">
      <c r="A25" s="31" t="inlineStr">
        <is>
          <t>Bankinnskudd 31.12.2027</t>
        </is>
      </c>
      <c r="B25" s="42">
        <f>Balansebudsjett!D15</f>
        <v/>
      </c>
    </row>
    <row r="26" ht="15" customHeight="1" s="25">
      <c r="A26" s="31" t="inlineStr">
        <is>
          <t>Egenkapitalandel 31.12.2027</t>
        </is>
      </c>
      <c r="B26" s="37">
        <f>Balansebudsjett!B33</f>
        <v/>
      </c>
    </row>
    <row r="28" ht="15" customHeight="1" s="25">
      <c r="A28" s="29" t="inlineStr">
        <is>
          <t>4 · Fire oppsett å prøve</t>
        </is>
      </c>
    </row>
    <row r="29" ht="15" customHeight="1" s="25">
      <c r="A29" s="28" t="inlineStr">
        <is>
          <t>Sett inn verdiene i rad 6 til 9, les av tallene over, og skriv dem i de gule kolonnene her. Da har du hele tabellen, regnet av deg selv.</t>
        </is>
      </c>
    </row>
    <row r="30" ht="27.75" customHeight="1" s="25">
      <c r="A30" s="34" t="inlineStr">
        <is>
          <t>Oppsett</t>
        </is>
      </c>
      <c r="B30" s="34" t="inlineStr">
        <is>
          <t>Omsetningsvekst</t>
        </is>
      </c>
      <c r="C30" s="34" t="inlineStr">
        <is>
          <t>Lønnsvekst</t>
        </is>
      </c>
      <c r="D30" s="34" t="inlineStr">
        <is>
          <t>Kredittid kunder</t>
        </is>
      </c>
      <c r="E30" s="34" t="inlineStr">
        <is>
          <t>Driftsresultat du leser av</t>
        </is>
      </c>
      <c r="F30" s="34" t="inlineStr">
        <is>
          <t>Bunn du leser av</t>
        </is>
      </c>
      <c r="G30" s="34" t="inlineStr">
        <is>
          <t>Hva oppsettet forteller</t>
        </is>
      </c>
    </row>
    <row r="31" ht="15" customHeight="1" s="25">
      <c r="A31" s="33" t="inlineStr">
        <is>
          <t>Grunnbudsjettet</t>
        </is>
      </c>
      <c r="B31" s="36" t="n">
        <v>0</v>
      </c>
      <c r="C31" s="36" t="n">
        <v>0</v>
      </c>
      <c r="D31" s="41" t="n">
        <v>20</v>
      </c>
      <c r="E31" s="35" t="n">
        <v>0</v>
      </c>
      <c r="F31" s="35" t="n">
        <v>0</v>
      </c>
      <c r="G31" s="31" t="inlineStr">
        <is>
          <t>Slik Kari har lagt budsjettet. Overskudd, og penger på konto hele året.</t>
        </is>
      </c>
    </row>
    <row r="32" ht="15" customHeight="1" s="25">
      <c r="A32" s="33" t="inlineStr">
        <is>
          <t>Kundene betaler som de gjorde i 2026</t>
        </is>
      </c>
      <c r="B32" s="36" t="n">
        <v>0</v>
      </c>
      <c r="C32" s="36" t="n">
        <v>0</v>
      </c>
      <c r="D32" s="41" t="n">
        <v>54</v>
      </c>
      <c r="E32" s="35" t="n">
        <v>0</v>
      </c>
      <c r="F32" s="35" t="n">
        <v>0</v>
      </c>
      <c r="G32" s="31" t="inlineStr">
        <is>
          <t>Samme resultat, tom konto. Ingenting er endret unntatt når pengene kommer.</t>
        </is>
      </c>
    </row>
    <row r="33" ht="15" customHeight="1" s="25">
      <c r="A33" s="33" t="inlineStr">
        <is>
          <t>God vekst, og lønna følger etter</t>
        </is>
      </c>
      <c r="B33" s="36" t="n">
        <v>0.1</v>
      </c>
      <c r="C33" s="36" t="n">
        <v>0.04</v>
      </c>
      <c r="D33" s="41" t="n">
        <v>20</v>
      </c>
      <c r="E33" s="35" t="n">
        <v>0</v>
      </c>
      <c r="F33" s="35" t="n">
        <v>0</v>
      </c>
      <c r="G33" s="31" t="inlineStr">
        <is>
          <t>Vekst koster penger før den gir penger: varene kjøpes først, kundene betaler etterpå.</t>
        </is>
      </c>
    </row>
    <row r="34" ht="15" customHeight="1" s="25">
      <c r="A34" s="33" t="inlineStr">
        <is>
          <t>Nedgangsår</t>
        </is>
      </c>
      <c r="B34" s="36" t="n">
        <v>-0.15</v>
      </c>
      <c r="C34" s="36" t="n">
        <v>0</v>
      </c>
      <c r="D34" s="41" t="n">
        <v>35</v>
      </c>
      <c r="E34" s="35" t="n">
        <v>0</v>
      </c>
      <c r="F34" s="35" t="n">
        <v>0</v>
      </c>
      <c r="G34" s="31" t="inlineStr">
        <is>
          <t>De variable kostnadene faller. De faste gjør det ikke. Se driftsmarginen.</t>
        </is>
      </c>
    </row>
    <row r="36" ht="15" customHeight="1" s="25">
      <c r="A36" s="29" t="inlineStr">
        <is>
          <t>5 · Kontroll</t>
        </is>
      </c>
    </row>
    <row r="37" ht="15" customHeight="1" s="25">
      <c r="A37" s="31" t="inlineStr">
        <is>
          <t>Er resultatet uavhengig av kredittiden?</t>
        </is>
      </c>
      <c r="B37" s="44">
        <f>IF(ABS(B14-Resultatbudsjett!B15)&lt;1,"OK — driftsresultatet kommer fra resultatbudsjettet, og der finnes ikke kredittid i det hele tatt","AVVIK: her er noe koblet feil")</f>
        <v/>
      </c>
    </row>
    <row r="38" ht="15" customHeight="1" s="25">
      <c r="A38" s="31" t="inlineStr">
        <is>
          <t>Tåler bedriften oppsettet som ligger inne?</t>
        </is>
      </c>
      <c r="B38" s="44">
        <f>IF(B19&gt;=0,"OK — kontoen holder seg over null hele året med disse forutsetningene","AVVIK: kontoen går tom. Se hvilken måned i B20, og hvor mye som må trekkes i B22")</f>
        <v/>
      </c>
    </row>
    <row r="39" ht="15" customHeight="1" s="25">
      <c r="A39" s="31" t="inlineStr">
        <is>
          <t>Holder trekket seg innenfor rammen?</t>
        </is>
      </c>
      <c r="B39" s="44">
        <f>IF(B23&lt;=1,"OK — kassekreditten strekker til, men se hvor mye av den som er brukt opp","AVVIK: rammen sprenges med disse forutsetningene")</f>
        <v/>
      </c>
    </row>
    <row r="41" ht="15" customHeight="1" s="25">
      <c r="A41" s="33" t="inlineStr">
        <is>
          <t>Det viktigste du lærer av dette arket: to av knappene flytter resultatet, og alle fire flytter kontoen. En bedrift kan dø av den tredje knappen uten at regnskapet viser et eneste rødt tall.</t>
        </is>
      </c>
    </row>
    <row r="42" ht="15" customHeight="1" s="25">
      <c r="A42" s="28" t="inlineStr">
        <is>
          <t>Kilde: Bok 1 kap. 9.6 og 9.7. Bransjetall: NHO Elektro, Lønnsomhetsrapport 2025, gjengitt i Elektro 24-7 19.08.2026 (hentet 10.09.2026). De 809 er bedriftene i datagrunnlaget, ikke bransjen. NHO Elektro oppgir ikke svarprosent.</t>
        </is>
      </c>
    </row>
  </sheetData>
  <conditionalFormatting sqref="B37">
    <cfRule type="expression" rank="0" priority="2" equalAverage="0" aboveAverage="0" dxfId="0" text="" percent="0" bottom="0">
      <formula>LEFT(B37,5)="AVVIK"</formula>
    </cfRule>
  </conditionalFormatting>
  <conditionalFormatting sqref="B38">
    <cfRule type="expression" rank="0" priority="3" equalAverage="0" aboveAverage="0" dxfId="0" text="" percent="0" bottom="0">
      <formula>LEFT(B38,5)="AVVIK"</formula>
    </cfRule>
  </conditionalFormatting>
  <conditionalFormatting sqref="B39">
    <cfRule type="expression" rank="0" priority="4" equalAverage="0" aboveAverage="0" dxfId="0" text="" percent="0" bottom="0">
      <formula>LEFT(B39,5)="AVVIK"</formula>
    </cfRule>
  </conditionalFormatting>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2026-09-14T08:42:16Z</dcterms:created>
  <dcterms:modified xmlns:dcterms="http://purl.org/dc/terms/" xmlns:xsi="http://www.w3.org/2001/XMLSchema-instance" xsi:type="dcterms:W3CDTF">2026-10-02T10:04:17Z</dcterms:modified>
  <cp:revision>0</cp:revision>
</cp:coreProperties>
</file>