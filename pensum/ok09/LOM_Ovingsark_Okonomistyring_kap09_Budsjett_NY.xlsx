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iledning" sheetId="1" state="visible" r:id="rId1"/>
    <sheet xmlns:r="http://schemas.openxmlformats.org/officeDocument/2006/relationships" name="Resultatbudsjett" sheetId="2" state="visible" r:id="rId2"/>
    <sheet xmlns:r="http://schemas.openxmlformats.org/officeDocument/2006/relationships" name="Likviditet" sheetId="3" state="visible" r:id="rId3"/>
    <sheet xmlns:r="http://schemas.openxmlformats.org/officeDocument/2006/relationships" name="Budsjettkontroll" sheetId="4" state="visible" r:id="rId4"/>
    <sheet xmlns:r="http://schemas.openxmlformats.org/officeDocument/2006/relationships" name="Sce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kr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CE6F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7" fillId="5" borderId="1" pivotButton="0" quotePrefix="0" xfId="0"/>
    <xf numFmtId="0" fontId="5" fillId="0" borderId="0" pivotButton="0" quotePrefix="0" xfId="0"/>
    <xf numFmtId="0" fontId="5" fillId="3" borderId="1" pivotButton="0" quotePrefix="0" xfId="0"/>
    <xf numFmtId="0" fontId="6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3" fontId="5" fillId="3" borderId="1" pivotButton="0" quotePrefix="0" xfId="0"/>
    <xf numFmtId="164" fontId="6" fillId="4" borderId="1" pivotButton="0" quotePrefix="0" xfId="0"/>
    <xf numFmtId="164" fontId="7" fillId="5" borderId="1" pivotButton="0" quotePrefix="0" xfId="0"/>
    <xf numFmtId="165" fontId="7" fillId="5" borderId="1" pivotButton="0" quotePrefix="0" xfId="0"/>
    <xf numFmtId="164" fontId="5" fillId="3" borderId="1" pivotButton="0" quotePrefix="0" xfId="0"/>
    <xf numFmtId="165" fontId="6" fillId="4" borderId="1" pivotButton="0" quotePrefix="0" xfId="0"/>
    <xf numFmtId="165" fontId="5" fillId="3" borderId="1" pivotButton="0" quotePrefix="0" xfId="0"/>
    <xf numFmtId="0" fontId="6" fillId="3" borderId="1" pivotButton="0" quotePrefix="0" xfId="0"/>
    <xf numFmtId="3" fontId="7" fillId="5" borderId="1" pivotButton="0" quotePrefix="0" xfId="0"/>
    <xf numFmtId="0" fontId="6" fillId="4" borderId="1" pivotButton="0" quotePrefix="0" xfId="0"/>
    <xf numFmtId="3" fontId="6" fillId="4" borderId="1" pivotButton="0" quotePrefix="0" xfId="0"/>
    <xf numFmtId="4" fontId="6" fillId="4" borderId="1" pivotButton="0" quotePrefix="0" xfId="0"/>
    <xf numFmtId="4" fontId="5" fillId="3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2" customWidth="1" min="3" max="3"/>
  </cols>
  <sheetData>
    <row r="1">
      <c r="A1" s="1" t="inlineStr">
        <is>
          <t>Budsjettering og budsjettkontroll</t>
        </is>
      </c>
    </row>
    <row r="2">
      <c r="A2" s="2" t="inlineStr">
        <is>
          <t>LØM Økonomistyring kap. 9 · arbeidsregneark · Fagskolen Oslo, Avdeling Elkraft</t>
        </is>
      </c>
    </row>
    <row r="3">
      <c r="A3" s="3" t="inlineStr">
        <is>
          <t>Emne: Teknisk kommunikasjon og ledelse for 1ET-klassene · LØM for 2ET, 2EK, 3EK og 4EK</t>
        </is>
      </c>
    </row>
    <row r="4">
      <c r="A4" s="4" t="inlineStr">
        <is>
          <t>Fargekode</t>
        </is>
      </c>
    </row>
    <row r="5">
      <c r="A5" s="5" t="inlineStr">
        <is>
          <t>Gul celle med blå skrift</t>
        </is>
      </c>
      <c r="B5" s="6" t="inlineStr">
        <is>
          <t>Inndata — dette er tallene du endrer.</t>
        </is>
      </c>
    </row>
    <row r="6">
      <c r="A6" s="7" t="inlineStr">
        <is>
          <t>Grå eller lyseblå celle, svart skrift</t>
        </is>
      </c>
      <c r="B6" s="6" t="inlineStr">
        <is>
          <t>Formel — regner seg selv. Ikke skriv over den.</t>
        </is>
      </c>
    </row>
    <row r="7">
      <c r="A7" s="7" t="inlineStr">
        <is>
          <t>Mørkeblå rad med hvit skrift</t>
        </is>
      </c>
      <c r="B7" s="6" t="inlineStr">
        <is>
          <t>Kolonneoverskrift.</t>
        </is>
      </c>
    </row>
    <row r="9">
      <c r="A9" s="4" t="inlineStr">
        <is>
          <t>Ark i arbeidsboka</t>
        </is>
      </c>
    </row>
    <row r="10">
      <c r="A10" s="8" t="inlineStr">
        <is>
          <t>Resultatbudsjett</t>
        </is>
      </c>
      <c r="B10" s="6" t="inlineStr">
        <is>
          <t>Hva bedriften tjener, år og måned for måned. Salgsprofilen og satsene er de gule cellene.</t>
        </is>
      </c>
    </row>
    <row r="11">
      <c r="A11" s="8" t="inlineStr">
        <is>
          <t>Likviditet</t>
        </is>
      </c>
      <c r="B11" s="6" t="inlineStr">
        <is>
          <t>Når pengene beveger seg. Tolv måneder, alle innbetalinger og utbetalinger. Kredittiden til kundene står i B5 — det er den ene cellen som avgjør året.</t>
        </is>
      </c>
    </row>
    <row r="12">
      <c r="A12" s="8" t="inlineStr">
        <is>
          <t>Budsjettkontroll</t>
        </is>
      </c>
      <c r="B12" s="6" t="inlineStr">
        <is>
          <t>2026 målt mot budsjettet: avvik i kroner, i prosent og som andel av salget. Den siste kolonnen er den som avslører hvem som eier avviket.</t>
        </is>
      </c>
    </row>
    <row r="13">
      <c r="A13" s="8" t="inlineStr">
        <is>
          <t>Scenario</t>
        </is>
      </c>
      <c r="B13" s="6" t="inlineStr">
        <is>
          <t>Tre scenarioer: hva kredittiden gjør med året, de fire tiltakene fra lærebokas liste, og kvartalet der budsjettet sprakk.</t>
        </is>
      </c>
    </row>
    <row r="15">
      <c r="A15" s="3" t="inlineStr">
        <is>
          <t>Tallene som ligger inne er budsjettet Nordlys Elektro AS har lagt for 2027, og budsjettkontrollen for 2026. Samme bedrift som i alle ti kapitlene i Bok 1.</t>
        </is>
      </c>
    </row>
    <row r="16">
      <c r="A16" s="3" t="inlineStr">
        <is>
          <t>Alle inndataceller er gule. Vil du bruke arket på din egen bedrift, bytter du dem ut — salgsprofilen, satsene, de inngående postene og forfallsmånedene.</t>
        </is>
      </c>
    </row>
    <row r="17">
      <c r="A17" s="3" t="inlineStr">
        <is>
          <t>Merverdiavgift og arbeidsgiveravgift forfaller terminvis. Terminene er bygd inn i arket, og du ser dem i blokka fra rad 35 i arket Likviditet.</t>
        </is>
      </c>
    </row>
    <row r="19">
      <c r="A19" s="3" t="inlineStr">
        <is>
          <t>Tallene som ligger inne er et eksempel fra en elektrobedrift. Bytt dem ut med dine egne — alle formler følger med.</t>
        </is>
      </c>
    </row>
    <row r="20">
      <c r="A20" s="3" t="inlineStr">
        <is>
          <t>Arbeidsregneark til LØM · Fagskolen Oslo, Avdeling Elkraft. Regnearket er øvingsstøtte, ikke et regnskapssystem.</t>
        </is>
      </c>
    </row>
    <row r="22">
      <c r="A22" s="4" t="inlineStr">
        <is>
          <t>Den ene knappen</t>
        </is>
      </c>
    </row>
    <row r="23">
      <c r="A23" s="6" t="inlineStr">
        <is>
          <t>Likviditet!B5</t>
        </is>
      </c>
      <c r="B23" s="6" t="inlineStr">
        <is>
          <t>Kredittid til kundene</t>
        </is>
      </c>
      <c r="C23" s="6" t="inlineStr">
        <is>
          <t>Endrer hele årets kontobeholdning. Resultatbudsjettet står helt stille. Det er kapitlets viktigste poeng, og det er bygd inn i arket.</t>
        </is>
      </c>
    </row>
    <row r="24">
      <c r="A24" s="6" t="inlineStr">
        <is>
          <t>Likviditet!B29</t>
        </is>
      </c>
      <c r="B24" s="6" t="inlineStr">
        <is>
          <t>Måneden investeringen kjøpes i</t>
        </is>
      </c>
      <c r="C24" s="6" t="inlineStr">
        <is>
          <t>Tiltak B i klasseoppgaven. Sett den til 9 og se bunnen flytte seg.</t>
        </is>
      </c>
    </row>
    <row r="25">
      <c r="A25" s="6" t="inlineStr">
        <is>
          <t>Likviditet!B6</t>
        </is>
      </c>
      <c r="B25" s="6" t="inlineStr">
        <is>
          <t>Kredittid hos grossisten</t>
        </is>
      </c>
      <c r="C25" s="6" t="inlineStr">
        <is>
          <t>Tiltak D. Virker motsatt vei av kundekredittiden.</t>
        </is>
      </c>
    </row>
    <row r="27">
      <c r="A27" s="4" t="inlineStr">
        <is>
          <t>Hvilken oppgave bruker hvilket ark</t>
        </is>
      </c>
    </row>
    <row r="28" ht="28" customHeight="1">
      <c r="A28" s="9" t="inlineStr">
        <is>
          <t>Oppgave i øvingsheftet</t>
        </is>
      </c>
      <c r="B28" s="9" t="inlineStr">
        <is>
          <t>Ark</t>
        </is>
      </c>
      <c r="C28" s="9" t="inlineStr">
        <is>
          <t>Celler du endrer og leser av</t>
        </is>
      </c>
    </row>
    <row r="29">
      <c r="A29" s="6" t="inlineStr">
        <is>
          <t>A1 · Går kontoen tom?</t>
        </is>
      </c>
      <c r="B29" s="8" t="inlineStr">
        <is>
          <t>Likviditet</t>
        </is>
      </c>
      <c r="C29" s="6" t="inlineStr">
        <is>
          <t>Endre B5 og les av B73, B74 og B75. Sammenlikn med B80, som ikke rører seg.</t>
        </is>
      </c>
    </row>
    <row r="30">
      <c r="A30" s="6" t="inlineStr">
        <is>
          <t>A2 · Hvilken av de tre er en kostnad?</t>
        </is>
      </c>
      <c r="B30" s="8" t="inlineStr">
        <is>
          <t>Likviditet</t>
        </is>
      </c>
      <c r="C30" s="6" t="inlineStr">
        <is>
          <t>Se rad 57, 59 og 61: feriepenger, merverdiavgift og avdrag. Ingen av dem finnes i arket Resultatbudsjett.</t>
        </is>
      </c>
    </row>
    <row r="31">
      <c r="A31" s="6" t="inlineStr">
        <is>
          <t>A3 · Klasseoppgave: Kari skal i banken</t>
        </is>
      </c>
      <c r="B31" s="8" t="inlineStr">
        <is>
          <t>Scenario</t>
        </is>
      </c>
      <c r="C31" s="6" t="inlineStr">
        <is>
          <t>Scenario B, rad 25 til 28. Prøv ett tiltak om gangen i arket Likviditet og skriv bunnen i kolonne C.</t>
        </is>
      </c>
    </row>
    <row r="32">
      <c r="A32" s="6" t="inlineStr">
        <is>
          <t>1 · Når kommer pengene inn?</t>
        </is>
      </c>
      <c r="B32" s="8" t="inlineStr">
        <is>
          <t>Likviditet</t>
        </is>
      </c>
      <c r="C32" s="6" t="inlineStr">
        <is>
          <t>Endre B5 og les av andelene i B9, B10 og B11, og innbetalingene i rad 47 og 48.</t>
        </is>
      </c>
    </row>
    <row r="33">
      <c r="A33" s="6" t="inlineStr">
        <is>
          <t>2 · Resultatbudsjettet for 2027</t>
        </is>
      </c>
      <c r="B33" s="8" t="inlineStr">
        <is>
          <t>Resultatbudsjett</t>
        </is>
      </c>
      <c r="C33" s="6" t="inlineStr">
        <is>
          <t>Endre B8, B10, B11, B12, B14 og B15. Les av rad 19 til 26.</t>
        </is>
      </c>
    </row>
    <row r="34">
      <c r="A34" s="6" t="inlineStr">
        <is>
          <t>3 · Likviditetsbudsjettet for første kvartal</t>
        </is>
      </c>
      <c r="B34" s="8" t="inlineStr">
        <is>
          <t>Likviditet</t>
        </is>
      </c>
      <c r="C34" s="6" t="inlineStr">
        <is>
          <t>Kolonne C, D og E er januar, februar og mars. Les av sum inn i rad 50, sum ut i rad 64 og beholdningen i rad 69. Deloppgave d) løser du ved å sette B5 til 54.</t>
        </is>
      </c>
    </row>
    <row r="35">
      <c r="A35" s="6" t="inlineStr">
        <is>
          <t>4 · Budsjettkontroll: hvem har skylda?</t>
        </is>
      </c>
      <c r="B35" s="8" t="inlineStr">
        <is>
          <t>Budsjettkontroll</t>
        </is>
      </c>
      <c r="C35" s="6" t="inlineStr">
        <is>
          <t>Endre B6 til C10. Les av avvikene i kolonne D og E, andelene i F og G, og oppsplittingen i rad 16 til 22.</t>
        </is>
      </c>
    </row>
    <row r="36">
      <c r="A36" s="6" t="inlineStr">
        <is>
          <t>5 · Eksamensnær: budsjettet sprekker i mars</t>
        </is>
      </c>
      <c r="B36" s="8" t="inlineStr">
        <is>
          <t>Scenario</t>
        </is>
      </c>
      <c r="C36" s="6" t="inlineStr">
        <is>
          <t>Scenario C, rad 35 til 39, og november-regningen i rad 42 til 46.</t>
        </is>
      </c>
    </row>
    <row r="38">
      <c r="A38" s="4" t="inlineStr">
        <is>
          <t>Kontrollradene</t>
        </is>
      </c>
    </row>
    <row r="39">
      <c r="A39" s="6" t="inlineStr">
        <is>
          <t>Hvert regneark har en kontrollblokk. Står det OK, henger tallene sammen. Står det AVVIK, farges cellen rød, og teksten sier hva som ikke går opp.</t>
        </is>
      </c>
    </row>
    <row r="40">
      <c r="A40" s="6" t="inlineStr">
        <is>
          <t>Merk kontrollen i Likviditet!B86: den sier fra når kassekredittrammen sprenges. Setter du kredittiden høyt nok, slår den ut — og da er det for seint å ringe banken.</t>
        </is>
      </c>
    </row>
    <row r="41">
      <c r="A41" s="3" t="inlineStr">
        <is>
          <t>Kontroller i arbeidsboka: Resultatbudsjett B32, Resultatbudsjett B33, Resultatbudsjett B34, Likviditet B83, Likviditet B84, Likviditet B85, Likviditet B86, Likviditet B87, Budsjettkontroll B25, Budsjettkontroll B26, Budsjettkontroll B27, Scenario B49, Scenario B50, Scenario B51</t>
        </is>
      </c>
    </row>
    <row r="43">
      <c r="A43" s="4" t="inlineStr">
        <is>
          <t>Slik henger kapitlene sammen</t>
        </is>
      </c>
    </row>
    <row r="44">
      <c r="A44" s="6" t="inlineStr">
        <is>
          <t>Budsjettet bygger på kalkylen fra kapittel 5: salgsinntekten er fakturerte timer ganget med timeprisen, pluss materiell med påslag. Kundefordringene og kredittiden er de samme som binder kapital i kapittel 6. Investeringen i mars er den du regner nåverdien av i kapittel 10. Og avviksanalysen bakerst er den samme regnskapslesingen som i kapittel 3 og 4 — bare sett framover i tid.</t>
        </is>
      </c>
    </row>
    <row r="46">
      <c r="A46" s="4" t="inlineStr">
        <is>
          <t>Kilder</t>
        </is>
      </c>
    </row>
    <row r="47">
      <c r="A47" s="3" t="inlineStr">
        <is>
          <t>Hjertnes, J. og Skorpen, K.: Økonomistyring for LØM-emnet (ISBN 978-82-450-5544-3), kapittel 9 «Budsjettering og budsjettkontroll», avsnitt 9.1 til 9.8. Forfallsregler for merverdiavgift og arbeidsgiveravgift: skattebetalingsloven og merverdiavgiftsloven (Lovdata).</t>
        </is>
      </c>
    </row>
    <row r="48">
      <c r="A48" s="3" t="inlineStr">
        <is>
          <t>Bransjetall: NHO Elektro, Lønnsomhetsrapport 2025, gjengitt i Elektro 24-7 19.08.2026 (hentet 10.09.2026). De 809 er bedriftene i datagrunnlaget, ikke bransjen. NHO Elektro oppgir ikke svarprosent.</t>
        </is>
      </c>
    </row>
    <row r="49">
      <c r="A49" s="3" t="inlineStr">
        <is>
          <t>Nordlys Elektro AS er en konstruert casebedrift. Tallene henger sammen på tvers av alle ti kapitlene i Bok 1.</t>
        </is>
      </c>
    </row>
  </sheetData>
  <printOptions horizontalCentered="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52" customWidth="1" min="15" max="15"/>
  </cols>
  <sheetData>
    <row r="1">
      <c r="A1" s="1" t="inlineStr">
        <is>
          <t>Resultatbudsjett 2027</t>
        </is>
      </c>
    </row>
    <row r="2">
      <c r="A2" s="2" t="inlineStr">
        <is>
          <t>Hva bedriften tjener. Endre de gule cellene — merk at ingen av dem sier noe om NÅR pengene beveger seg.</t>
        </is>
      </c>
    </row>
    <row r="4">
      <c r="A4" s="4" t="inlineStr">
        <is>
          <t>1 · Forutsetningene</t>
        </is>
      </c>
    </row>
    <row r="5" ht="28" customHeight="1">
      <c r="A5" s="9" t="inlineStr">
        <is>
          <t>Post</t>
        </is>
      </c>
      <c r="B5" s="9" t="inlineStr">
        <is>
          <t>År</t>
        </is>
      </c>
      <c r="C5" s="9" t="inlineStr">
        <is>
          <t>Jan</t>
        </is>
      </c>
      <c r="D5" s="9" t="inlineStr">
        <is>
          <t>Feb</t>
        </is>
      </c>
      <c r="E5" s="9" t="inlineStr">
        <is>
          <t>Mar</t>
        </is>
      </c>
      <c r="F5" s="9" t="inlineStr">
        <is>
          <t>Apr</t>
        </is>
      </c>
      <c r="G5" s="9" t="inlineStr">
        <is>
          <t>Mai</t>
        </is>
      </c>
      <c r="H5" s="9" t="inlineStr">
        <is>
          <t>Jun</t>
        </is>
      </c>
      <c r="I5" s="9" t="inlineStr">
        <is>
          <t>Jul</t>
        </is>
      </c>
      <c r="J5" s="9" t="inlineStr">
        <is>
          <t>Aug</t>
        </is>
      </c>
      <c r="K5" s="9" t="inlineStr">
        <is>
          <t>Sep</t>
        </is>
      </c>
      <c r="L5" s="9" t="inlineStr">
        <is>
          <t>Okt</t>
        </is>
      </c>
      <c r="M5" s="9" t="inlineStr">
        <is>
          <t>Nov</t>
        </is>
      </c>
      <c r="N5" s="9" t="inlineStr">
        <is>
          <t>Des</t>
        </is>
      </c>
      <c r="O5" s="9" t="inlineStr">
        <is>
          <t>Kommentar</t>
        </is>
      </c>
    </row>
    <row r="6">
      <c r="A6" s="6" t="inlineStr">
        <is>
          <t>Månedsnummer</t>
        </is>
      </c>
      <c r="C6" s="10">
        <f>1</f>
        <v/>
      </c>
      <c r="D6" s="10">
        <f>2</f>
        <v/>
      </c>
      <c r="E6" s="10">
        <f>3</f>
        <v/>
      </c>
      <c r="F6" s="10">
        <f>4</f>
        <v/>
      </c>
      <c r="G6" s="10">
        <f>5</f>
        <v/>
      </c>
      <c r="H6" s="10">
        <f>6</f>
        <v/>
      </c>
      <c r="I6" s="10">
        <f>7</f>
        <v/>
      </c>
      <c r="J6" s="10">
        <f>8</f>
        <v/>
      </c>
      <c r="K6" s="10">
        <f>9</f>
        <v/>
      </c>
      <c r="L6" s="10">
        <f>10</f>
        <v/>
      </c>
      <c r="M6" s="10">
        <f>11</f>
        <v/>
      </c>
      <c r="N6" s="10">
        <f>12</f>
        <v/>
      </c>
    </row>
    <row r="7">
      <c r="A7" s="8" t="inlineStr">
        <is>
          <t>Salg uten mva.</t>
        </is>
      </c>
      <c r="B7" s="11">
        <f>SUM(C7:N7)</f>
        <v/>
      </c>
      <c r="C7" s="12" t="n">
        <v>1800000</v>
      </c>
      <c r="D7" s="12" t="n">
        <v>2100000</v>
      </c>
      <c r="E7" s="12" t="n">
        <v>2200000</v>
      </c>
      <c r="F7" s="12" t="n">
        <v>2100000</v>
      </c>
      <c r="G7" s="12" t="n">
        <v>2000000</v>
      </c>
      <c r="H7" s="12" t="n">
        <v>2000000</v>
      </c>
      <c r="I7" s="12" t="n">
        <v>1200000</v>
      </c>
      <c r="J7" s="12" t="n">
        <v>1900000</v>
      </c>
      <c r="K7" s="12" t="n">
        <v>2100000</v>
      </c>
      <c r="L7" s="12" t="n">
        <v>2200000</v>
      </c>
      <c r="M7" s="12" t="n">
        <v>2300000</v>
      </c>
      <c r="N7" s="12" t="n">
        <v>2100000</v>
      </c>
      <c r="O7" s="6" t="inlineStr">
        <is>
          <t>Salgsprofilen gjennom året: tynn januar, stille juli, tunge høstmåneder.</t>
        </is>
      </c>
    </row>
    <row r="8">
      <c r="A8" s="6" t="inlineStr">
        <is>
          <t>Bruttofortjeneste</t>
        </is>
      </c>
      <c r="B8" s="13" t="n">
        <v>0.625</v>
      </c>
      <c r="O8" s="6" t="inlineStr">
        <is>
          <t>Det som blir igjen av salget etter varekostnaden.</t>
        </is>
      </c>
    </row>
    <row r="9">
      <c r="A9" s="6" t="inlineStr">
        <is>
          <t>Varekostnad</t>
        </is>
      </c>
      <c r="B9" s="11">
        <f>SUM(C9:N9)</f>
        <v/>
      </c>
      <c r="C9" s="14">
        <f>C7*(1-$B$8)</f>
        <v/>
      </c>
      <c r="D9" s="14">
        <f>D7*(1-$B$8)</f>
        <v/>
      </c>
      <c r="E9" s="14">
        <f>E7*(1-$B$8)</f>
        <v/>
      </c>
      <c r="F9" s="14">
        <f>F7*(1-$B$8)</f>
        <v/>
      </c>
      <c r="G9" s="14">
        <f>G7*(1-$B$8)</f>
        <v/>
      </c>
      <c r="H9" s="14">
        <f>H7*(1-$B$8)</f>
        <v/>
      </c>
      <c r="I9" s="14">
        <f>I7*(1-$B$8)</f>
        <v/>
      </c>
      <c r="J9" s="14">
        <f>J7*(1-$B$8)</f>
        <v/>
      </c>
      <c r="K9" s="14">
        <f>K7*(1-$B$8)</f>
        <v/>
      </c>
      <c r="L9" s="14">
        <f>L7*(1-$B$8)</f>
        <v/>
      </c>
      <c r="M9" s="14">
        <f>M7*(1-$B$8)</f>
        <v/>
      </c>
      <c r="N9" s="14">
        <f>N7*(1-$B$8)</f>
        <v/>
      </c>
      <c r="O9" s="6" t="inlineStr">
        <is>
          <t>Følger salget. Lageret forutsettes uendret gjennom året.</t>
        </is>
      </c>
    </row>
    <row r="10">
      <c r="A10" s="6" t="inlineStr">
        <is>
          <t>Lønn per måned</t>
        </is>
      </c>
      <c r="B10" s="12" t="n">
        <v>700000</v>
      </c>
    </row>
    <row r="11">
      <c r="A11" s="6" t="inlineStr">
        <is>
          <t>Feriepengesats</t>
        </is>
      </c>
      <c r="B11" s="13" t="n">
        <v>0.12</v>
      </c>
    </row>
    <row r="12">
      <c r="A12" s="6" t="inlineStr">
        <is>
          <t>Arbeidsgiveravgift</t>
        </is>
      </c>
      <c r="B12" s="13" t="n">
        <v>0.141</v>
      </c>
    </row>
    <row r="13">
      <c r="A13" s="8" t="inlineStr">
        <is>
          <t>= Lønnskostnad for året</t>
        </is>
      </c>
      <c r="B13" s="11">
        <f>B10*12*(1+B11)*(1+B12)</f>
        <v/>
      </c>
      <c r="O13" s="6" t="inlineStr">
        <is>
          <t>Lønn pluss feriepenger pluss arbeidsgiveravgift av begge deler.</t>
        </is>
      </c>
    </row>
    <row r="14">
      <c r="A14" s="6" t="inlineStr">
        <is>
          <t>Avskrivninger for året</t>
        </is>
      </c>
      <c r="B14" s="12" t="n">
        <v>680000</v>
      </c>
    </row>
    <row r="15">
      <c r="A15" s="6" t="inlineStr">
        <is>
          <t>Andre driftskostnader for året</t>
        </is>
      </c>
      <c r="B15" s="12" t="n">
        <v>1500000</v>
      </c>
    </row>
    <row r="16">
      <c r="A16" s="6" t="inlineStr">
        <is>
          <t>Merverdiavgiftssats</t>
        </is>
      </c>
      <c r="B16" s="13" t="n">
        <v>0.25</v>
      </c>
    </row>
    <row r="18">
      <c r="A18" s="4" t="inlineStr">
        <is>
          <t>2 · Resultatbudsjettet</t>
        </is>
      </c>
    </row>
    <row r="19">
      <c r="A19" s="8" t="inlineStr">
        <is>
          <t>Salgsinntekt</t>
        </is>
      </c>
      <c r="B19" s="11">
        <f>B7</f>
        <v/>
      </c>
      <c r="C19" s="14">
        <f>C7</f>
        <v/>
      </c>
      <c r="D19" s="14">
        <f>D7</f>
        <v/>
      </c>
      <c r="E19" s="14">
        <f>E7</f>
        <v/>
      </c>
      <c r="F19" s="14">
        <f>F7</f>
        <v/>
      </c>
      <c r="G19" s="14">
        <f>G7</f>
        <v/>
      </c>
      <c r="H19" s="14">
        <f>H7</f>
        <v/>
      </c>
      <c r="I19" s="14">
        <f>I7</f>
        <v/>
      </c>
      <c r="J19" s="14">
        <f>J7</f>
        <v/>
      </c>
      <c r="K19" s="14">
        <f>K7</f>
        <v/>
      </c>
      <c r="L19" s="14">
        <f>L7</f>
        <v/>
      </c>
      <c r="M19" s="14">
        <f>M7</f>
        <v/>
      </c>
      <c r="N19" s="14">
        <f>N7</f>
        <v/>
      </c>
    </row>
    <row r="20">
      <c r="A20" s="6" t="inlineStr">
        <is>
          <t>− Varekostnad</t>
        </is>
      </c>
      <c r="B20" s="14">
        <f>B9</f>
        <v/>
      </c>
      <c r="C20" s="14">
        <f>C9</f>
        <v/>
      </c>
      <c r="D20" s="14">
        <f>D9</f>
        <v/>
      </c>
      <c r="E20" s="14">
        <f>E9</f>
        <v/>
      </c>
      <c r="F20" s="14">
        <f>F9</f>
        <v/>
      </c>
      <c r="G20" s="14">
        <f>G9</f>
        <v/>
      </c>
      <c r="H20" s="14">
        <f>H9</f>
        <v/>
      </c>
      <c r="I20" s="14">
        <f>I9</f>
        <v/>
      </c>
      <c r="J20" s="14">
        <f>J9</f>
        <v/>
      </c>
      <c r="K20" s="14">
        <f>K9</f>
        <v/>
      </c>
      <c r="L20" s="14">
        <f>L9</f>
        <v/>
      </c>
      <c r="M20" s="14">
        <f>M9</f>
        <v/>
      </c>
      <c r="N20" s="14">
        <f>N9</f>
        <v/>
      </c>
    </row>
    <row r="21">
      <c r="A21" s="6" t="inlineStr">
        <is>
          <t>− Lønnskostnad</t>
        </is>
      </c>
      <c r="B21" s="14">
        <f>B13</f>
        <v/>
      </c>
      <c r="C21" s="14">
        <f>$B$13/12</f>
        <v/>
      </c>
      <c r="D21" s="14">
        <f>$B$13/12</f>
        <v/>
      </c>
      <c r="E21" s="14">
        <f>$B$13/12</f>
        <v/>
      </c>
      <c r="F21" s="14">
        <f>$B$13/12</f>
        <v/>
      </c>
      <c r="G21" s="14">
        <f>$B$13/12</f>
        <v/>
      </c>
      <c r="H21" s="14">
        <f>$B$13/12</f>
        <v/>
      </c>
      <c r="I21" s="14">
        <f>$B$13/12</f>
        <v/>
      </c>
      <c r="J21" s="14">
        <f>$B$13/12</f>
        <v/>
      </c>
      <c r="K21" s="14">
        <f>$B$13/12</f>
        <v/>
      </c>
      <c r="L21" s="14">
        <f>$B$13/12</f>
        <v/>
      </c>
      <c r="M21" s="14">
        <f>$B$13/12</f>
        <v/>
      </c>
      <c r="N21" s="14">
        <f>$B$13/12</f>
        <v/>
      </c>
    </row>
    <row r="22">
      <c r="A22" s="6" t="inlineStr">
        <is>
          <t>− Avskrivninger</t>
        </is>
      </c>
      <c r="B22" s="14">
        <f>B14</f>
        <v/>
      </c>
      <c r="C22" s="14">
        <f>$B$14/12</f>
        <v/>
      </c>
      <c r="D22" s="14">
        <f>$B$14/12</f>
        <v/>
      </c>
      <c r="E22" s="14">
        <f>$B$14/12</f>
        <v/>
      </c>
      <c r="F22" s="14">
        <f>$B$14/12</f>
        <v/>
      </c>
      <c r="G22" s="14">
        <f>$B$14/12</f>
        <v/>
      </c>
      <c r="H22" s="14">
        <f>$B$14/12</f>
        <v/>
      </c>
      <c r="I22" s="14">
        <f>$B$14/12</f>
        <v/>
      </c>
      <c r="J22" s="14">
        <f>$B$14/12</f>
        <v/>
      </c>
      <c r="K22" s="14">
        <f>$B$14/12</f>
        <v/>
      </c>
      <c r="L22" s="14">
        <f>$B$14/12</f>
        <v/>
      </c>
      <c r="M22" s="14">
        <f>$B$14/12</f>
        <v/>
      </c>
      <c r="N22" s="14">
        <f>$B$14/12</f>
        <v/>
      </c>
      <c r="O22" s="6" t="inlineStr">
        <is>
          <t>Ikke-betalbar kostnad. Den står IKKE i likviditetsbudsjettet.</t>
        </is>
      </c>
    </row>
    <row r="23">
      <c r="A23" s="6" t="inlineStr">
        <is>
          <t>− Andre driftskostnader</t>
        </is>
      </c>
      <c r="B23" s="14">
        <f>B15</f>
        <v/>
      </c>
      <c r="C23" s="14">
        <f>$B$15/12</f>
        <v/>
      </c>
      <c r="D23" s="14">
        <f>$B$15/12</f>
        <v/>
      </c>
      <c r="E23" s="14">
        <f>$B$15/12</f>
        <v/>
      </c>
      <c r="F23" s="14">
        <f>$B$15/12</f>
        <v/>
      </c>
      <c r="G23" s="14">
        <f>$B$15/12</f>
        <v/>
      </c>
      <c r="H23" s="14">
        <f>$B$15/12</f>
        <v/>
      </c>
      <c r="I23" s="14">
        <f>$B$15/12</f>
        <v/>
      </c>
      <c r="J23" s="14">
        <f>$B$15/12</f>
        <v/>
      </c>
      <c r="K23" s="14">
        <f>$B$15/12</f>
        <v/>
      </c>
      <c r="L23" s="14">
        <f>$B$15/12</f>
        <v/>
      </c>
      <c r="M23" s="14">
        <f>$B$15/12</f>
        <v/>
      </c>
      <c r="N23" s="14">
        <f>$B$15/12</f>
        <v/>
      </c>
    </row>
    <row r="24">
      <c r="A24" s="8" t="inlineStr">
        <is>
          <t>= Sum driftskostnader</t>
        </is>
      </c>
      <c r="B24" s="11">
        <f>SUM(B20:B23)</f>
        <v/>
      </c>
      <c r="C24" s="14">
        <f>SUM(C20:C23)</f>
        <v/>
      </c>
      <c r="D24" s="14">
        <f>SUM(D20:D23)</f>
        <v/>
      </c>
      <c r="E24" s="14">
        <f>SUM(E20:E23)</f>
        <v/>
      </c>
      <c r="F24" s="14">
        <f>SUM(F20:F23)</f>
        <v/>
      </c>
      <c r="G24" s="14">
        <f>SUM(G20:G23)</f>
        <v/>
      </c>
      <c r="H24" s="14">
        <f>SUM(H20:H23)</f>
        <v/>
      </c>
      <c r="I24" s="14">
        <f>SUM(I20:I23)</f>
        <v/>
      </c>
      <c r="J24" s="14">
        <f>SUM(J20:J23)</f>
        <v/>
      </c>
      <c r="K24" s="14">
        <f>SUM(K20:K23)</f>
        <v/>
      </c>
      <c r="L24" s="14">
        <f>SUM(L20:L23)</f>
        <v/>
      </c>
      <c r="M24" s="14">
        <f>SUM(M20:M23)</f>
        <v/>
      </c>
      <c r="N24" s="14">
        <f>SUM(N20:N23)</f>
        <v/>
      </c>
    </row>
    <row r="25">
      <c r="A25" s="8" t="inlineStr">
        <is>
          <t>= Driftsresultat</t>
        </is>
      </c>
      <c r="B25" s="11">
        <f>B19-B24</f>
        <v/>
      </c>
      <c r="C25" s="11">
        <f>C19-C24</f>
        <v/>
      </c>
      <c r="D25" s="11">
        <f>D19-D24</f>
        <v/>
      </c>
      <c r="E25" s="11">
        <f>E19-E24</f>
        <v/>
      </c>
      <c r="F25" s="11">
        <f>F19-F24</f>
        <v/>
      </c>
      <c r="G25" s="11">
        <f>G19-G24</f>
        <v/>
      </c>
      <c r="H25" s="11">
        <f>H19-H24</f>
        <v/>
      </c>
      <c r="I25" s="11">
        <f>I19-I24</f>
        <v/>
      </c>
      <c r="J25" s="11">
        <f>J19-J24</f>
        <v/>
      </c>
      <c r="K25" s="11">
        <f>K19-K24</f>
        <v/>
      </c>
      <c r="L25" s="11">
        <f>L19-L24</f>
        <v/>
      </c>
      <c r="M25" s="11">
        <f>M19-M24</f>
        <v/>
      </c>
      <c r="N25" s="11">
        <f>N19-N24</f>
        <v/>
      </c>
    </row>
    <row r="26">
      <c r="A26" s="6" t="inlineStr">
        <is>
          <t>Driftsmargin</t>
        </is>
      </c>
      <c r="B26" s="15">
        <f>B25/B19</f>
        <v/>
      </c>
      <c r="C26" s="16">
        <f>C25/C19</f>
        <v/>
      </c>
      <c r="D26" s="16">
        <f>D25/D19</f>
        <v/>
      </c>
      <c r="E26" s="16">
        <f>E25/E19</f>
        <v/>
      </c>
      <c r="F26" s="16">
        <f>F25/F19</f>
        <v/>
      </c>
      <c r="G26" s="16">
        <f>G25/G19</f>
        <v/>
      </c>
      <c r="H26" s="16">
        <f>H25/H19</f>
        <v/>
      </c>
      <c r="I26" s="16">
        <f>I25/I19</f>
        <v/>
      </c>
      <c r="J26" s="16">
        <f>J25/J19</f>
        <v/>
      </c>
      <c r="K26" s="16">
        <f>K25/K19</f>
        <v/>
      </c>
      <c r="L26" s="16">
        <f>L25/L19</f>
        <v/>
      </c>
      <c r="M26" s="16">
        <f>M25/M19</f>
        <v/>
      </c>
      <c r="N26" s="16">
        <f>N25/N19</f>
        <v/>
      </c>
      <c r="O26" s="6" t="inlineStr">
        <is>
          <t>Legg merke til juli: lav omsetning, samme faste kostnader.</t>
        </is>
      </c>
    </row>
    <row r="28">
      <c r="A28" s="4" t="inlineStr">
        <is>
          <t>3 · Første kvartal</t>
        </is>
      </c>
    </row>
    <row r="29">
      <c r="A29" s="6" t="inlineStr">
        <is>
          <t>Driftsresultat januar til mars</t>
        </is>
      </c>
      <c r="B29" s="11">
        <f>SUM(C25:E25)</f>
        <v/>
      </c>
      <c r="O29" s="6" t="inlineStr">
        <is>
          <t>Positivt. Og likevel kan kontoen være tom — se arket Likviditet.</t>
        </is>
      </c>
    </row>
    <row r="31">
      <c r="A31" s="4" t="inlineStr">
        <is>
          <t>Kontroll</t>
        </is>
      </c>
    </row>
    <row r="32">
      <c r="A32" s="6" t="inlineStr">
        <is>
          <t>Summerer månedene seg til året?</t>
        </is>
      </c>
      <c r="B32" s="17">
        <f>IF(ABS(SUM(C25:N25)-B25)&lt;1,"OK — de tolv månedene summerer seg til årsbudsjettet","AVVIK: månedene og året gir ulikt driftsresultat")</f>
        <v/>
      </c>
    </row>
    <row r="33">
      <c r="A33" s="6" t="inlineStr">
        <is>
          <t>Er driftsresultatet positivt?</t>
        </is>
      </c>
      <c r="B33" s="17">
        <f>IF(B25&gt;0,"OK — budsjettet viser overskudd","AVVIK: budsjettet går i minus — da er det ikke likviditeten som er hovedproblemet")</f>
        <v/>
      </c>
    </row>
    <row r="34">
      <c r="A34" s="6" t="inlineStr">
        <is>
          <t>Er bruttofortjenesten mulig?</t>
        </is>
      </c>
      <c r="B34" s="17">
        <f>IF(AND(B8&gt;0,B8&lt;1),"OK — bruttofortjenesten ligger mellom null og hundre prosent","AVVIK: umulig bruttofortjeneste i B8")</f>
        <v/>
      </c>
    </row>
    <row r="36">
      <c r="A36" s="8" t="inlineStr">
        <is>
          <t>Prøv dette: endre salget i en enkelt måned og se at driftsresultatet flytter seg. Gå så til arket Likviditet og endre kredittiden i B5 — der flytter kontobeholdningen seg uten at ett eneste tall her endrer seg.</t>
        </is>
      </c>
    </row>
    <row r="37">
      <c r="A37" s="3" t="inlineStr">
        <is>
          <t>Kilde: Bok 1 kap. 9.2 og 9.3. Tallene er budsjettet Nordlys Elektro AS har lagt for 2027.</t>
        </is>
      </c>
    </row>
  </sheetData>
  <conditionalFormatting sqref="B32">
    <cfRule type="expression" priority="1" dxfId="0" stopIfTrue="0">
      <formula>LEFT(B32,5)="AVVIK"</formula>
    </cfRule>
  </conditionalFormatting>
  <conditionalFormatting sqref="B33">
    <cfRule type="expression" priority="2" dxfId="0" stopIfTrue="0">
      <formula>LEFT(B33,5)="AVVIK"</formula>
    </cfRule>
  </conditionalFormatting>
  <conditionalFormatting sqref="B34">
    <cfRule type="expression" priority="3" dxfId="0" stopIfTrue="0">
      <formula>LEFT(B34,5)="AVVIK"</formula>
    </cfRule>
  </conditionalFormatting>
  <printOptions horizontalCentered="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90"/>
  <sheetViews>
    <sheetView showGridLines="0" workbookViewId="0">
      <pane xSplit="2" ySplit="43" topLeftCell="C4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52" customWidth="1" min="15" max="15"/>
  </cols>
  <sheetData>
    <row r="1">
      <c r="A1" s="1" t="inlineStr">
        <is>
          <t>Likviditetsbudsjett 2027</t>
        </is>
      </c>
    </row>
    <row r="2">
      <c r="A2" s="2" t="inlineStr">
        <is>
          <t>Når pengene beveger seg. Samme bedrift, samme år, helt annet svar.</t>
        </is>
      </c>
    </row>
    <row r="4">
      <c r="A4" s="4" t="inlineStr">
        <is>
          <t>1 · De to knappene</t>
        </is>
      </c>
    </row>
    <row r="5">
      <c r="A5" s="6" t="inlineStr">
        <is>
          <t>Kredittid til kundene, dager</t>
        </is>
      </c>
      <c r="B5" s="18" t="n">
        <v>20</v>
      </c>
      <c r="O5" s="6" t="inlineStr">
        <is>
          <t>DETTE er cellen. Endre den, og hele året flytter seg.</t>
        </is>
      </c>
    </row>
    <row r="6">
      <c r="A6" s="6" t="inlineStr">
        <is>
          <t>Kredittid hos grossisten, dager</t>
        </is>
      </c>
      <c r="B6" s="18" t="n">
        <v>30</v>
      </c>
      <c r="O6" s="6" t="inlineStr">
        <is>
          <t>Motsatt vei: lengre kreditt her hjelper på kontoen.</t>
        </is>
      </c>
    </row>
    <row r="8">
      <c r="A8" s="8" t="inlineStr">
        <is>
          <t>Andel av et salg som innbetales</t>
        </is>
      </c>
    </row>
    <row r="9">
      <c r="A9" s="6" t="inlineStr">
        <is>
          <t>i salgsmåneden</t>
        </is>
      </c>
      <c r="B9" s="16">
        <f>IF($B$5&lt;=30,(30-$B$5)/30,0)</f>
        <v/>
      </c>
      <c r="O9" s="6" t="inlineStr">
        <is>
          <t>Læreboka regner tretti dager per måned og jevnt salg gjennom måneden.</t>
        </is>
      </c>
    </row>
    <row r="10">
      <c r="A10" s="6" t="inlineStr">
        <is>
          <t>måneden etter</t>
        </is>
      </c>
      <c r="B10" s="16">
        <f>IF($B$5&lt;=30,$B$5/30,MAX(0,(60-$B$5)/30))</f>
        <v/>
      </c>
    </row>
    <row r="11">
      <c r="A11" s="6" t="inlineStr">
        <is>
          <t>to måneder etter</t>
        </is>
      </c>
      <c r="B11" s="16">
        <f>IF($B$5&lt;=30,0,MIN(1,($B$5-30)/30))</f>
        <v/>
      </c>
    </row>
    <row r="12">
      <c r="A12" s="8" t="inlineStr">
        <is>
          <t>Andel av et varekjøp som utbetales</t>
        </is>
      </c>
    </row>
    <row r="13">
      <c r="A13" s="6" t="inlineStr">
        <is>
          <t>i kjøpsmåneden</t>
        </is>
      </c>
      <c r="B13" s="16">
        <f>IF($B$6&lt;=30,(30-$B$6)/30,0)</f>
        <v/>
      </c>
    </row>
    <row r="14">
      <c r="A14" s="6" t="inlineStr">
        <is>
          <t>måneden etter</t>
        </is>
      </c>
      <c r="B14" s="16">
        <f>IF($B$6&lt;=30,$B$6/30,MAX(0,(60-$B$6)/30))</f>
        <v/>
      </c>
    </row>
    <row r="15">
      <c r="A15" s="6" t="inlineStr">
        <is>
          <t>to måneder etter</t>
        </is>
      </c>
      <c r="B15" s="16">
        <f>IF($B$6&lt;=30,0,MIN(1,($B$6-30)/30))</f>
        <v/>
      </c>
    </row>
    <row r="17">
      <c r="A17" s="4" t="inlineStr">
        <is>
          <t>2 · Inngående størrelser</t>
        </is>
      </c>
    </row>
    <row r="18">
      <c r="A18" s="6" t="inlineStr">
        <is>
          <t>Bankinnskudd 1. januar</t>
        </is>
      </c>
      <c r="B18" s="12" t="n">
        <v>1000000</v>
      </c>
    </row>
    <row r="19">
      <c r="A19" s="6" t="inlineStr">
        <is>
          <t>Kundefordringer 1. januar</t>
        </is>
      </c>
      <c r="B19" s="12" t="n">
        <v>4200000</v>
      </c>
      <c r="O19" s="6" t="inlineStr">
        <is>
          <t>Svarer til 54 dagers salg, ikke 20. Det burde vært et varsel allerede i november.</t>
        </is>
      </c>
    </row>
    <row r="20">
      <c r="A20" s="6" t="inlineStr">
        <is>
          <t>herav inn i januar</t>
        </is>
      </c>
      <c r="B20" s="13" t="n">
        <v>0.6</v>
      </c>
    </row>
    <row r="21">
      <c r="A21" s="6" t="inlineStr">
        <is>
          <t>Leverandørgjeld 1. januar, forfaller i januar</t>
        </is>
      </c>
      <c r="B21" s="12" t="n">
        <v>2100000</v>
      </c>
    </row>
    <row r="22">
      <c r="A22" s="6" t="inlineStr">
        <is>
          <t>Skyldig arbeidsgiveravgift 6. termin 2026, forfaller 15. januar</t>
        </is>
      </c>
      <c r="B22" s="12" t="n">
        <v>136000</v>
      </c>
    </row>
    <row r="23">
      <c r="A23" s="6" t="inlineStr">
        <is>
          <t>Skyldig merverdiavgift 6. termin 2026, forfaller 10. februar</t>
        </is>
      </c>
      <c r="B23" s="12" t="n">
        <v>1064000</v>
      </c>
    </row>
    <row r="24">
      <c r="A24" s="6" t="inlineStr">
        <is>
          <t>Skyldige feriepenger, utbetales i juni</t>
        </is>
      </c>
      <c r="B24" s="12" t="n">
        <v>890000</v>
      </c>
    </row>
    <row r="25">
      <c r="A25" s="6" t="inlineStr">
        <is>
          <t>Forhåndsskatt, halvparten i februar og halvparten i april</t>
        </is>
      </c>
      <c r="B25" s="12" t="n">
        <v>262000</v>
      </c>
    </row>
    <row r="26">
      <c r="A26" s="6" t="inlineStr">
        <is>
          <t>Renter og avdrag per kvartal</t>
        </is>
      </c>
      <c r="B26" s="12" t="n">
        <v>192500</v>
      </c>
    </row>
    <row r="27">
      <c r="A27" s="6" t="inlineStr">
        <is>
          <t>Renteinntekter per kvartal</t>
        </is>
      </c>
      <c r="B27" s="12" t="n">
        <v>14000</v>
      </c>
    </row>
    <row r="28">
      <c r="A28" s="6" t="inlineStr">
        <is>
          <t>Investering, kjøpesum uten mva.</t>
        </is>
      </c>
      <c r="B28" s="12" t="n">
        <v>480000</v>
      </c>
    </row>
    <row r="29">
      <c r="A29" s="6" t="inlineStr">
        <is>
          <t>Investeringen kjøpes i måned nummer</t>
        </is>
      </c>
      <c r="B29" s="18" t="n">
        <v>3</v>
      </c>
      <c r="O29" s="6" t="inlineStr">
        <is>
          <t>Endre til 9 og se hva som skjer med bunnen. Det er tiltak B i klasseoppgaven.</t>
        </is>
      </c>
    </row>
    <row r="30">
      <c r="A30" s="6" t="inlineStr">
        <is>
          <t>Kassekredittramme</t>
        </is>
      </c>
      <c r="B30" s="12" t="n">
        <v>1500000</v>
      </c>
    </row>
    <row r="31">
      <c r="A31" s="6" t="inlineStr">
        <is>
          <t>Kassekreditt allerede trukket 1. januar</t>
        </is>
      </c>
      <c r="B31" s="12" t="n">
        <v>300000</v>
      </c>
    </row>
    <row r="32">
      <c r="A32" s="6" t="inlineStr">
        <is>
          <t>Kassekredittrente</t>
        </is>
      </c>
      <c r="B32" s="13" t="n">
        <v>0.08</v>
      </c>
    </row>
    <row r="34">
      <c r="A34" s="4" t="inlineStr">
        <is>
          <t>3 · Merverdiavgiftsterminene</t>
        </is>
      </c>
    </row>
    <row r="35" ht="28" customHeight="1">
      <c r="A35" s="9" t="inlineStr">
        <is>
          <t>Termin</t>
        </is>
      </c>
      <c r="B35" s="9" t="inlineStr">
        <is>
          <t>Måneder</t>
        </is>
      </c>
      <c r="C35" s="9" t="inlineStr">
        <is>
          <t>Utgående mva.</t>
        </is>
      </c>
      <c r="D35" s="9" t="inlineStr">
        <is>
          <t>Inngående mva.</t>
        </is>
      </c>
      <c r="E35" s="9" t="inlineStr">
        <is>
          <t>Netto å betale</t>
        </is>
      </c>
      <c r="F35" s="9" t="inlineStr">
        <is>
          <t>Forfaller i måned nr</t>
        </is>
      </c>
    </row>
    <row r="36">
      <c r="A36" s="6" t="inlineStr">
        <is>
          <t>Termin 1</t>
        </is>
      </c>
      <c r="B36" s="6" t="inlineStr">
        <is>
          <t>Jan–Feb</t>
        </is>
      </c>
      <c r="C36" s="14">
        <f>(Resultatbudsjett!C7+Resultatbudsjett!D7)*Resultatbudsjett!$B$16</f>
        <v/>
      </c>
      <c r="D36" s="14">
        <f>(Resultatbudsjett!C9+Resultatbudsjett!D9+2*Resultatbudsjett!$B$15/12+IF(AND($B$29&gt;=1,$B$29&lt;=2),$B$28,0))*Resultatbudsjett!$B$16</f>
        <v/>
      </c>
      <c r="E36" s="11">
        <f>C36-D36</f>
        <v/>
      </c>
      <c r="F36" s="10">
        <f>4</f>
        <v/>
      </c>
      <c r="H36" s="6" t="inlineStr">
        <is>
          <t>Utgående mva. på salget minus inngående mva. på varekjøp, andre driftskostnader og investeringen. Forfaller én måned og ti dager etter terminen er slutt.</t>
        </is>
      </c>
    </row>
    <row r="37">
      <c r="A37" s="6" t="inlineStr">
        <is>
          <t>Termin 2</t>
        </is>
      </c>
      <c r="B37" s="6" t="inlineStr">
        <is>
          <t>Mar–Apr</t>
        </is>
      </c>
      <c r="C37" s="14">
        <f>(Resultatbudsjett!E7+Resultatbudsjett!F7)*Resultatbudsjett!$B$16</f>
        <v/>
      </c>
      <c r="D37" s="14">
        <f>(Resultatbudsjett!E9+Resultatbudsjett!F9+2*Resultatbudsjett!$B$15/12+IF(AND($B$29&gt;=3,$B$29&lt;=4),$B$28,0))*Resultatbudsjett!$B$16</f>
        <v/>
      </c>
      <c r="E37" s="11">
        <f>C37-D37</f>
        <v/>
      </c>
      <c r="F37" s="10">
        <f>6</f>
        <v/>
      </c>
    </row>
    <row r="38">
      <c r="A38" s="6" t="inlineStr">
        <is>
          <t>Termin 3</t>
        </is>
      </c>
      <c r="B38" s="6" t="inlineStr">
        <is>
          <t>Mai–Jun</t>
        </is>
      </c>
      <c r="C38" s="14">
        <f>(Resultatbudsjett!G7+Resultatbudsjett!H7)*Resultatbudsjett!$B$16</f>
        <v/>
      </c>
      <c r="D38" s="14">
        <f>(Resultatbudsjett!G9+Resultatbudsjett!H9+2*Resultatbudsjett!$B$15/12+IF(AND($B$29&gt;=5,$B$29&lt;=6),$B$28,0))*Resultatbudsjett!$B$16</f>
        <v/>
      </c>
      <c r="E38" s="11">
        <f>C38-D38</f>
        <v/>
      </c>
      <c r="F38" s="10">
        <f>8</f>
        <v/>
      </c>
    </row>
    <row r="39">
      <c r="A39" s="6" t="inlineStr">
        <is>
          <t>Termin 4</t>
        </is>
      </c>
      <c r="B39" s="6" t="inlineStr">
        <is>
          <t>Jul–Aug</t>
        </is>
      </c>
      <c r="C39" s="14">
        <f>(Resultatbudsjett!I7+Resultatbudsjett!J7)*Resultatbudsjett!$B$16</f>
        <v/>
      </c>
      <c r="D39" s="14">
        <f>(Resultatbudsjett!I9+Resultatbudsjett!J9+2*Resultatbudsjett!$B$15/12+IF(AND($B$29&gt;=7,$B$29&lt;=8),$B$28,0))*Resultatbudsjett!$B$16</f>
        <v/>
      </c>
      <c r="E39" s="11">
        <f>C39-D39</f>
        <v/>
      </c>
      <c r="F39" s="10">
        <f>10</f>
        <v/>
      </c>
    </row>
    <row r="40">
      <c r="A40" s="6" t="inlineStr">
        <is>
          <t>Termin 5</t>
        </is>
      </c>
      <c r="B40" s="6" t="inlineStr">
        <is>
          <t>Sep–Okt</t>
        </is>
      </c>
      <c r="C40" s="14">
        <f>(Resultatbudsjett!K7+Resultatbudsjett!L7)*Resultatbudsjett!$B$16</f>
        <v/>
      </c>
      <c r="D40" s="14">
        <f>(Resultatbudsjett!K9+Resultatbudsjett!L9+2*Resultatbudsjett!$B$15/12+IF(AND($B$29&gt;=9,$B$29&lt;=10),$B$28,0))*Resultatbudsjett!$B$16</f>
        <v/>
      </c>
      <c r="E40" s="11">
        <f>C40-D40</f>
        <v/>
      </c>
      <c r="F40" s="10">
        <f>12</f>
        <v/>
      </c>
    </row>
    <row r="42">
      <c r="A42" s="4" t="inlineStr">
        <is>
          <t>4 · Innbetalinger</t>
        </is>
      </c>
    </row>
    <row r="43" ht="28" customHeight="1">
      <c r="A43" s="9" t="inlineStr">
        <is>
          <t>Post</t>
        </is>
      </c>
      <c r="B43" s="9" t="inlineStr">
        <is>
          <t>År</t>
        </is>
      </c>
      <c r="C43" s="9" t="inlineStr">
        <is>
          <t>Jan</t>
        </is>
      </c>
      <c r="D43" s="9" t="inlineStr">
        <is>
          <t>Feb</t>
        </is>
      </c>
      <c r="E43" s="9" t="inlineStr">
        <is>
          <t>Mar</t>
        </is>
      </c>
      <c r="F43" s="9" t="inlineStr">
        <is>
          <t>Apr</t>
        </is>
      </c>
      <c r="G43" s="9" t="inlineStr">
        <is>
          <t>Mai</t>
        </is>
      </c>
      <c r="H43" s="9" t="inlineStr">
        <is>
          <t>Jun</t>
        </is>
      </c>
      <c r="I43" s="9" t="inlineStr">
        <is>
          <t>Jul</t>
        </is>
      </c>
      <c r="J43" s="9" t="inlineStr">
        <is>
          <t>Aug</t>
        </is>
      </c>
      <c r="K43" s="9" t="inlineStr">
        <is>
          <t>Sep</t>
        </is>
      </c>
      <c r="L43" s="9" t="inlineStr">
        <is>
          <t>Okt</t>
        </is>
      </c>
      <c r="M43" s="9" t="inlineStr">
        <is>
          <t>Nov</t>
        </is>
      </c>
      <c r="N43" s="9" t="inlineStr">
        <is>
          <t>Des</t>
        </is>
      </c>
      <c r="O43" s="9" t="inlineStr">
        <is>
          <t>Kommentar</t>
        </is>
      </c>
    </row>
    <row r="44">
      <c r="A44" s="6" t="inlineStr">
        <is>
          <t>Månedsnummer</t>
        </is>
      </c>
      <c r="C44" s="10">
        <f>1</f>
        <v/>
      </c>
      <c r="D44" s="10">
        <f>2</f>
        <v/>
      </c>
      <c r="E44" s="10">
        <f>3</f>
        <v/>
      </c>
      <c r="F44" s="10">
        <f>4</f>
        <v/>
      </c>
      <c r="G44" s="10">
        <f>5</f>
        <v/>
      </c>
      <c r="H44" s="10">
        <f>6</f>
        <v/>
      </c>
      <c r="I44" s="10">
        <f>7</f>
        <v/>
      </c>
      <c r="J44" s="10">
        <f>8</f>
        <v/>
      </c>
      <c r="K44" s="10">
        <f>9</f>
        <v/>
      </c>
      <c r="L44" s="10">
        <f>10</f>
        <v/>
      </c>
      <c r="M44" s="10">
        <f>11</f>
        <v/>
      </c>
      <c r="N44" s="10">
        <f>12</f>
        <v/>
      </c>
    </row>
    <row r="45">
      <c r="A45" s="6" t="inlineStr">
        <is>
          <t>Salg uten mva.</t>
        </is>
      </c>
      <c r="B45" s="14">
        <f>SUM(C45:N45)</f>
        <v/>
      </c>
      <c r="C45" s="14">
        <f>Resultatbudsjett!C7</f>
        <v/>
      </c>
      <c r="D45" s="14">
        <f>Resultatbudsjett!D7</f>
        <v/>
      </c>
      <c r="E45" s="14">
        <f>Resultatbudsjett!E7</f>
        <v/>
      </c>
      <c r="F45" s="14">
        <f>Resultatbudsjett!F7</f>
        <v/>
      </c>
      <c r="G45" s="14">
        <f>Resultatbudsjett!G7</f>
        <v/>
      </c>
      <c r="H45" s="14">
        <f>Resultatbudsjett!H7</f>
        <v/>
      </c>
      <c r="I45" s="14">
        <f>Resultatbudsjett!I7</f>
        <v/>
      </c>
      <c r="J45" s="14">
        <f>Resultatbudsjett!J7</f>
        <v/>
      </c>
      <c r="K45" s="14">
        <f>Resultatbudsjett!K7</f>
        <v/>
      </c>
      <c r="L45" s="14">
        <f>Resultatbudsjett!L7</f>
        <v/>
      </c>
      <c r="M45" s="14">
        <f>Resultatbudsjett!M7</f>
        <v/>
      </c>
      <c r="N45" s="14">
        <f>Resultatbudsjett!N7</f>
        <v/>
      </c>
    </row>
    <row r="46">
      <c r="A46" s="6" t="inlineStr">
        <is>
          <t>Salg inkl. mva.</t>
        </is>
      </c>
      <c r="B46" s="14">
        <f>SUM(C46:N46)</f>
        <v/>
      </c>
      <c r="C46" s="14">
        <f>C45*(1+Resultatbudsjett!$B$16)</f>
        <v/>
      </c>
      <c r="D46" s="14">
        <f>D45*(1+Resultatbudsjett!$B$16)</f>
        <v/>
      </c>
      <c r="E46" s="14">
        <f>E45*(1+Resultatbudsjett!$B$16)</f>
        <v/>
      </c>
      <c r="F46" s="14">
        <f>F45*(1+Resultatbudsjett!$B$16)</f>
        <v/>
      </c>
      <c r="G46" s="14">
        <f>G45*(1+Resultatbudsjett!$B$16)</f>
        <v/>
      </c>
      <c r="H46" s="14">
        <f>H45*(1+Resultatbudsjett!$B$16)</f>
        <v/>
      </c>
      <c r="I46" s="14">
        <f>I45*(1+Resultatbudsjett!$B$16)</f>
        <v/>
      </c>
      <c r="J46" s="14">
        <f>J45*(1+Resultatbudsjett!$B$16)</f>
        <v/>
      </c>
      <c r="K46" s="14">
        <f>K45*(1+Resultatbudsjett!$B$16)</f>
        <v/>
      </c>
      <c r="L46" s="14">
        <f>L45*(1+Resultatbudsjett!$B$16)</f>
        <v/>
      </c>
      <c r="M46" s="14">
        <f>M45*(1+Resultatbudsjett!$B$16)</f>
        <v/>
      </c>
      <c r="N46" s="14">
        <f>N45*(1+Resultatbudsjett!$B$16)</f>
        <v/>
      </c>
      <c r="O46" s="6" t="inlineStr">
        <is>
          <t>Kunden betaler prisen med mva. Det er dette beløpet som kommer inn.</t>
        </is>
      </c>
    </row>
    <row r="47">
      <c r="A47" s="6" t="inlineStr">
        <is>
          <t>Innbetalt fra årets salg</t>
        </is>
      </c>
      <c r="B47" s="14">
        <f>SUM(C47:N47)</f>
        <v/>
      </c>
      <c r="C47" s="14">
        <f>C46*$B$9</f>
        <v/>
      </c>
      <c r="D47" s="14">
        <f>D46*$B$9+C46*$B$10</f>
        <v/>
      </c>
      <c r="E47" s="14">
        <f>E46*$B$9+D46*$B$10+C46*$B$11</f>
        <v/>
      </c>
      <c r="F47" s="14">
        <f>F46*$B$9+E46*$B$10+D46*$B$11</f>
        <v/>
      </c>
      <c r="G47" s="14">
        <f>G46*$B$9+F46*$B$10+E46*$B$11</f>
        <v/>
      </c>
      <c r="H47" s="14">
        <f>H46*$B$9+G46*$B$10+F46*$B$11</f>
        <v/>
      </c>
      <c r="I47" s="14">
        <f>I46*$B$9+H46*$B$10+G46*$B$11</f>
        <v/>
      </c>
      <c r="J47" s="14">
        <f>J46*$B$9+I46*$B$10+H46*$B$11</f>
        <v/>
      </c>
      <c r="K47" s="14">
        <f>K46*$B$9+J46*$B$10+I46*$B$11</f>
        <v/>
      </c>
      <c r="L47" s="14">
        <f>L46*$B$9+K46*$B$10+J46*$B$11</f>
        <v/>
      </c>
      <c r="M47" s="14">
        <f>M46*$B$9+L46*$B$10+K46*$B$11</f>
        <v/>
      </c>
      <c r="N47" s="14">
        <f>N46*$B$9+M46*$B$10+L46*$B$11</f>
        <v/>
      </c>
    </row>
    <row r="48">
      <c r="A48" s="6" t="inlineStr">
        <is>
          <t>Innbetalt fra kundefordringer 1. januar</t>
        </is>
      </c>
      <c r="B48" s="14">
        <f>SUM(C48:N48)</f>
        <v/>
      </c>
      <c r="C48" s="14">
        <f>$B$19*$B$20</f>
        <v/>
      </c>
      <c r="D48" s="14">
        <f>$B$19*(1-$B$20)</f>
        <v/>
      </c>
      <c r="E48" s="14">
        <f>0</f>
        <v/>
      </c>
      <c r="F48" s="14">
        <f>0</f>
        <v/>
      </c>
      <c r="G48" s="14">
        <f>0</f>
        <v/>
      </c>
      <c r="H48" s="14">
        <f>0</f>
        <v/>
      </c>
      <c r="I48" s="14">
        <f>0</f>
        <v/>
      </c>
      <c r="J48" s="14">
        <f>0</f>
        <v/>
      </c>
      <c r="K48" s="14">
        <f>0</f>
        <v/>
      </c>
      <c r="L48" s="14">
        <f>0</f>
        <v/>
      </c>
      <c r="M48" s="14">
        <f>0</f>
        <v/>
      </c>
      <c r="N48" s="14">
        <f>0</f>
        <v/>
      </c>
    </row>
    <row r="49">
      <c r="A49" s="6" t="inlineStr">
        <is>
          <t>Renteinntekter</t>
        </is>
      </c>
      <c r="B49" s="14">
        <f>SUM(C49:N49)</f>
        <v/>
      </c>
      <c r="C49" s="14">
        <f>IF(MOD(C44,3)=0,$B$27,0)</f>
        <v/>
      </c>
      <c r="D49" s="14">
        <f>IF(MOD(D44,3)=0,$B$27,0)</f>
        <v/>
      </c>
      <c r="E49" s="14">
        <f>IF(MOD(E44,3)=0,$B$27,0)</f>
        <v/>
      </c>
      <c r="F49" s="14">
        <f>IF(MOD(F44,3)=0,$B$27,0)</f>
        <v/>
      </c>
      <c r="G49" s="14">
        <f>IF(MOD(G44,3)=0,$B$27,0)</f>
        <v/>
      </c>
      <c r="H49" s="14">
        <f>IF(MOD(H44,3)=0,$B$27,0)</f>
        <v/>
      </c>
      <c r="I49" s="14">
        <f>IF(MOD(I44,3)=0,$B$27,0)</f>
        <v/>
      </c>
      <c r="J49" s="14">
        <f>IF(MOD(J44,3)=0,$B$27,0)</f>
        <v/>
      </c>
      <c r="K49" s="14">
        <f>IF(MOD(K44,3)=0,$B$27,0)</f>
        <v/>
      </c>
      <c r="L49" s="14">
        <f>IF(MOD(L44,3)=0,$B$27,0)</f>
        <v/>
      </c>
      <c r="M49" s="14">
        <f>IF(MOD(M44,3)=0,$B$27,0)</f>
        <v/>
      </c>
      <c r="N49" s="14">
        <f>IF(MOD(N44,3)=0,$B$27,0)</f>
        <v/>
      </c>
    </row>
    <row r="50">
      <c r="A50" s="8" t="inlineStr">
        <is>
          <t>= Sum innbetalinger</t>
        </is>
      </c>
      <c r="B50" s="11">
        <f>SUM(C50:N50)</f>
        <v/>
      </c>
      <c r="C50" s="11">
        <f>SUM(C47:C49)</f>
        <v/>
      </c>
      <c r="D50" s="11">
        <f>SUM(D47:D49)</f>
        <v/>
      </c>
      <c r="E50" s="11">
        <f>SUM(E47:E49)</f>
        <v/>
      </c>
      <c r="F50" s="11">
        <f>SUM(F47:F49)</f>
        <v/>
      </c>
      <c r="G50" s="11">
        <f>SUM(G47:G49)</f>
        <v/>
      </c>
      <c r="H50" s="11">
        <f>SUM(H47:H49)</f>
        <v/>
      </c>
      <c r="I50" s="11">
        <f>SUM(I47:I49)</f>
        <v/>
      </c>
      <c r="J50" s="11">
        <f>SUM(J47:J49)</f>
        <v/>
      </c>
      <c r="K50" s="11">
        <f>SUM(K47:K49)</f>
        <v/>
      </c>
      <c r="L50" s="11">
        <f>SUM(L47:L49)</f>
        <v/>
      </c>
      <c r="M50" s="11">
        <f>SUM(M47:M49)</f>
        <v/>
      </c>
      <c r="N50" s="11">
        <f>SUM(N47:N49)</f>
        <v/>
      </c>
    </row>
    <row r="52">
      <c r="A52" s="4" t="inlineStr">
        <is>
          <t>5 · Utbetalinger</t>
        </is>
      </c>
    </row>
    <row r="53">
      <c r="A53" s="6" t="inlineStr">
        <is>
          <t>Varekjøp uten mva.</t>
        </is>
      </c>
      <c r="B53" s="14">
        <f>SUM(C53:N53)</f>
        <v/>
      </c>
      <c r="C53" s="14">
        <f>Resultatbudsjett!C9</f>
        <v/>
      </c>
      <c r="D53" s="14">
        <f>Resultatbudsjett!D9</f>
        <v/>
      </c>
      <c r="E53" s="14">
        <f>Resultatbudsjett!E9</f>
        <v/>
      </c>
      <c r="F53" s="14">
        <f>Resultatbudsjett!F9</f>
        <v/>
      </c>
      <c r="G53" s="14">
        <f>Resultatbudsjett!G9</f>
        <v/>
      </c>
      <c r="H53" s="14">
        <f>Resultatbudsjett!H9</f>
        <v/>
      </c>
      <c r="I53" s="14">
        <f>Resultatbudsjett!I9</f>
        <v/>
      </c>
      <c r="J53" s="14">
        <f>Resultatbudsjett!J9</f>
        <v/>
      </c>
      <c r="K53" s="14">
        <f>Resultatbudsjett!K9</f>
        <v/>
      </c>
      <c r="L53" s="14">
        <f>Resultatbudsjett!L9</f>
        <v/>
      </c>
      <c r="M53" s="14">
        <f>Resultatbudsjett!M9</f>
        <v/>
      </c>
      <c r="N53" s="14">
        <f>Resultatbudsjett!N9</f>
        <v/>
      </c>
    </row>
    <row r="54">
      <c r="A54" s="6" t="inlineStr">
        <is>
          <t>Varekjøp inkl. mva.</t>
        </is>
      </c>
      <c r="B54" s="14">
        <f>SUM(C54:N54)</f>
        <v/>
      </c>
      <c r="C54" s="14">
        <f>C53*(1+Resultatbudsjett!$B$16)</f>
        <v/>
      </c>
      <c r="D54" s="14">
        <f>D53*(1+Resultatbudsjett!$B$16)</f>
        <v/>
      </c>
      <c r="E54" s="14">
        <f>E53*(1+Resultatbudsjett!$B$16)</f>
        <v/>
      </c>
      <c r="F54" s="14">
        <f>F53*(1+Resultatbudsjett!$B$16)</f>
        <v/>
      </c>
      <c r="G54" s="14">
        <f>G53*(1+Resultatbudsjett!$B$16)</f>
        <v/>
      </c>
      <c r="H54" s="14">
        <f>H53*(1+Resultatbudsjett!$B$16)</f>
        <v/>
      </c>
      <c r="I54" s="14">
        <f>I53*(1+Resultatbudsjett!$B$16)</f>
        <v/>
      </c>
      <c r="J54" s="14">
        <f>J53*(1+Resultatbudsjett!$B$16)</f>
        <v/>
      </c>
      <c r="K54" s="14">
        <f>K53*(1+Resultatbudsjett!$B$16)</f>
        <v/>
      </c>
      <c r="L54" s="14">
        <f>L53*(1+Resultatbudsjett!$B$16)</f>
        <v/>
      </c>
      <c r="M54" s="14">
        <f>M53*(1+Resultatbudsjett!$B$16)</f>
        <v/>
      </c>
      <c r="N54" s="14">
        <f>N53*(1+Resultatbudsjett!$B$16)</f>
        <v/>
      </c>
    </row>
    <row r="55">
      <c r="A55" s="6" t="inlineStr">
        <is>
          <t>Til leverandøren</t>
        </is>
      </c>
      <c r="B55" s="14">
        <f>SUM(C55:N55)</f>
        <v/>
      </c>
      <c r="C55" s="14">
        <f>C54*$B$13+$B$21</f>
        <v/>
      </c>
      <c r="D55" s="14">
        <f>D54*$B$13+C54*$B$14</f>
        <v/>
      </c>
      <c r="E55" s="14">
        <f>E54*$B$13+D54*$B$14+C54*$B$15</f>
        <v/>
      </c>
      <c r="F55" s="14">
        <f>F54*$B$13+E54*$B$14+D54*$B$15</f>
        <v/>
      </c>
      <c r="G55" s="14">
        <f>G54*$B$13+F54*$B$14+E54*$B$15</f>
        <v/>
      </c>
      <c r="H55" s="14">
        <f>H54*$B$13+G54*$B$14+F54*$B$15</f>
        <v/>
      </c>
      <c r="I55" s="14">
        <f>I54*$B$13+H54*$B$14+G54*$B$15</f>
        <v/>
      </c>
      <c r="J55" s="14">
        <f>J54*$B$13+I54*$B$14+H54*$B$15</f>
        <v/>
      </c>
      <c r="K55" s="14">
        <f>K54*$B$13+J54*$B$14+I54*$B$15</f>
        <v/>
      </c>
      <c r="L55" s="14">
        <f>L54*$B$13+K54*$B$14+J54*$B$15</f>
        <v/>
      </c>
      <c r="M55" s="14">
        <f>M54*$B$13+L54*$B$14+K54*$B$15</f>
        <v/>
      </c>
      <c r="N55" s="14">
        <f>N54*$B$13+M54*$B$14+L54*$B$15</f>
        <v/>
      </c>
      <c r="O55" s="6" t="inlineStr">
        <is>
          <t>Januar bærer også hele leverandørgjelda fra 2026.</t>
        </is>
      </c>
    </row>
    <row r="56">
      <c r="A56" s="6" t="inlineStr">
        <is>
          <t>Lønn</t>
        </is>
      </c>
      <c r="B56" s="14">
        <f>SUM(C56:N56)</f>
        <v/>
      </c>
      <c r="C56" s="14">
        <f>Resultatbudsjett!$B$10</f>
        <v/>
      </c>
      <c r="D56" s="14">
        <f>Resultatbudsjett!$B$10</f>
        <v/>
      </c>
      <c r="E56" s="14">
        <f>Resultatbudsjett!$B$10</f>
        <v/>
      </c>
      <c r="F56" s="14">
        <f>Resultatbudsjett!$B$10</f>
        <v/>
      </c>
      <c r="G56" s="14">
        <f>Resultatbudsjett!$B$10</f>
        <v/>
      </c>
      <c r="H56" s="14">
        <f>Resultatbudsjett!$B$10</f>
        <v/>
      </c>
      <c r="I56" s="14">
        <f>Resultatbudsjett!$B$10</f>
        <v/>
      </c>
      <c r="J56" s="14">
        <f>Resultatbudsjett!$B$10</f>
        <v/>
      </c>
      <c r="K56" s="14">
        <f>Resultatbudsjett!$B$10</f>
        <v/>
      </c>
      <c r="L56" s="14">
        <f>Resultatbudsjett!$B$10</f>
        <v/>
      </c>
      <c r="M56" s="14">
        <f>Resultatbudsjett!$B$10</f>
        <v/>
      </c>
      <c r="N56" s="14">
        <f>Resultatbudsjett!$B$10</f>
        <v/>
      </c>
    </row>
    <row r="57">
      <c r="A57" s="6" t="inlineStr">
        <is>
          <t>Feriepenger</t>
        </is>
      </c>
      <c r="B57" s="14">
        <f>SUM(C57:N57)</f>
        <v/>
      </c>
      <c r="C57" s="14">
        <f>IF(C44=6,$B$24,0)</f>
        <v/>
      </c>
      <c r="D57" s="14">
        <f>IF(D44=6,$B$24,0)</f>
        <v/>
      </c>
      <c r="E57" s="14">
        <f>IF(E44=6,$B$24,0)</f>
        <v/>
      </c>
      <c r="F57" s="14">
        <f>IF(F44=6,$B$24,0)</f>
        <v/>
      </c>
      <c r="G57" s="14">
        <f>IF(G44=6,$B$24,0)</f>
        <v/>
      </c>
      <c r="H57" s="14">
        <f>IF(H44=6,$B$24,0)</f>
        <v/>
      </c>
      <c r="I57" s="14">
        <f>IF(I44=6,$B$24,0)</f>
        <v/>
      </c>
      <c r="J57" s="14">
        <f>IF(J44=6,$B$24,0)</f>
        <v/>
      </c>
      <c r="K57" s="14">
        <f>IF(K44=6,$B$24,0)</f>
        <v/>
      </c>
      <c r="L57" s="14">
        <f>IF(L44=6,$B$24,0)</f>
        <v/>
      </c>
      <c r="M57" s="14">
        <f>IF(M44=6,$B$24,0)</f>
        <v/>
      </c>
      <c r="N57" s="14">
        <f>IF(N44=6,$B$24,0)</f>
        <v/>
      </c>
      <c r="O57" s="6" t="inlineStr">
        <is>
          <t>Kostnadsført i 2026, betalt i 2027. Står ikke i resultatbudsjettet.</t>
        </is>
      </c>
    </row>
    <row r="58">
      <c r="A58" s="6" t="inlineStr">
        <is>
          <t>Arbeidsgiveravgift</t>
        </is>
      </c>
      <c r="B58" s="14">
        <f>SUM(C58:N58)</f>
        <v/>
      </c>
      <c r="C58" s="14">
        <f>IF(C44=1,$B$22,0)+IF(AND(MOD(C44,2)=1,C44&gt;=3),2*Resultatbudsjett!$B$10*Resultatbudsjett!$B$12,0)+IF(C44=7,$B$24*Resultatbudsjett!$B$12,0)</f>
        <v/>
      </c>
      <c r="D58" s="14">
        <f>IF(D44=1,$B$22,0)+IF(AND(MOD(D44,2)=1,D44&gt;=3),2*Resultatbudsjett!$B$10*Resultatbudsjett!$B$12,0)+IF(D44=7,$B$24*Resultatbudsjett!$B$12,0)</f>
        <v/>
      </c>
      <c r="E58" s="14">
        <f>IF(E44=1,$B$22,0)+IF(AND(MOD(E44,2)=1,E44&gt;=3),2*Resultatbudsjett!$B$10*Resultatbudsjett!$B$12,0)+IF(E44=7,$B$24*Resultatbudsjett!$B$12,0)</f>
        <v/>
      </c>
      <c r="F58" s="14">
        <f>IF(F44=1,$B$22,0)+IF(AND(MOD(F44,2)=1,F44&gt;=3),2*Resultatbudsjett!$B$10*Resultatbudsjett!$B$12,0)+IF(F44=7,$B$24*Resultatbudsjett!$B$12,0)</f>
        <v/>
      </c>
      <c r="G58" s="14">
        <f>IF(G44=1,$B$22,0)+IF(AND(MOD(G44,2)=1,G44&gt;=3),2*Resultatbudsjett!$B$10*Resultatbudsjett!$B$12,0)+IF(G44=7,$B$24*Resultatbudsjett!$B$12,0)</f>
        <v/>
      </c>
      <c r="H58" s="14">
        <f>IF(H44=1,$B$22,0)+IF(AND(MOD(H44,2)=1,H44&gt;=3),2*Resultatbudsjett!$B$10*Resultatbudsjett!$B$12,0)+IF(H44=7,$B$24*Resultatbudsjett!$B$12,0)</f>
        <v/>
      </c>
      <c r="I58" s="14">
        <f>IF(I44=1,$B$22,0)+IF(AND(MOD(I44,2)=1,I44&gt;=3),2*Resultatbudsjett!$B$10*Resultatbudsjett!$B$12,0)+IF(I44=7,$B$24*Resultatbudsjett!$B$12,0)</f>
        <v/>
      </c>
      <c r="J58" s="14">
        <f>IF(J44=1,$B$22,0)+IF(AND(MOD(J44,2)=1,J44&gt;=3),2*Resultatbudsjett!$B$10*Resultatbudsjett!$B$12,0)+IF(J44=7,$B$24*Resultatbudsjett!$B$12,0)</f>
        <v/>
      </c>
      <c r="K58" s="14">
        <f>IF(K44=1,$B$22,0)+IF(AND(MOD(K44,2)=1,K44&gt;=3),2*Resultatbudsjett!$B$10*Resultatbudsjett!$B$12,0)+IF(K44=7,$B$24*Resultatbudsjett!$B$12,0)</f>
        <v/>
      </c>
      <c r="L58" s="14">
        <f>IF(L44=1,$B$22,0)+IF(AND(MOD(L44,2)=1,L44&gt;=3),2*Resultatbudsjett!$B$10*Resultatbudsjett!$B$12,0)+IF(L44=7,$B$24*Resultatbudsjett!$B$12,0)</f>
        <v/>
      </c>
      <c r="M58" s="14">
        <f>IF(M44=1,$B$22,0)+IF(AND(MOD(M44,2)=1,M44&gt;=3),2*Resultatbudsjett!$B$10*Resultatbudsjett!$B$12,0)+IF(M44=7,$B$24*Resultatbudsjett!$B$12,0)</f>
        <v/>
      </c>
      <c r="N58" s="14">
        <f>IF(N44=1,$B$22,0)+IF(AND(MOD(N44,2)=1,N44&gt;=3),2*Resultatbudsjett!$B$10*Resultatbudsjett!$B$12,0)+IF(N44=7,$B$24*Resultatbudsjett!$B$12,0)</f>
        <v/>
      </c>
      <c r="O58" s="6" t="inlineStr">
        <is>
          <t>Seks terminer. Januar bærer også terminen fra 2026, og juli avgiften på feriepengene.</t>
        </is>
      </c>
    </row>
    <row r="59">
      <c r="A59" s="6" t="inlineStr">
        <is>
          <t>Merverdiavgift</t>
        </is>
      </c>
      <c r="B59" s="14">
        <f>SUM(C59:N59)</f>
        <v/>
      </c>
      <c r="C59" s="14">
        <f>IF(C44=2,$B$23,0)+SUMIF($F$36:$F$40,C44,$E$36:$E$40)</f>
        <v/>
      </c>
      <c r="D59" s="14">
        <f>IF(D44=2,$B$23,0)+SUMIF($F$36:$F$40,D44,$E$36:$E$40)</f>
        <v/>
      </c>
      <c r="E59" s="14">
        <f>IF(E44=2,$B$23,0)+SUMIF($F$36:$F$40,E44,$E$36:$E$40)</f>
        <v/>
      </c>
      <c r="F59" s="14">
        <f>IF(F44=2,$B$23,0)+SUMIF($F$36:$F$40,F44,$E$36:$E$40)</f>
        <v/>
      </c>
      <c r="G59" s="14">
        <f>IF(G44=2,$B$23,0)+SUMIF($F$36:$F$40,G44,$E$36:$E$40)</f>
        <v/>
      </c>
      <c r="H59" s="14">
        <f>IF(H44=2,$B$23,0)+SUMIF($F$36:$F$40,H44,$E$36:$E$40)</f>
        <v/>
      </c>
      <c r="I59" s="14">
        <f>IF(I44=2,$B$23,0)+SUMIF($F$36:$F$40,I44,$E$36:$E$40)</f>
        <v/>
      </c>
      <c r="J59" s="14">
        <f>IF(J44=2,$B$23,0)+SUMIF($F$36:$F$40,J44,$E$36:$E$40)</f>
        <v/>
      </c>
      <c r="K59" s="14">
        <f>IF(K44=2,$B$23,0)+SUMIF($F$36:$F$40,K44,$E$36:$E$40)</f>
        <v/>
      </c>
      <c r="L59" s="14">
        <f>IF(L44=2,$B$23,0)+SUMIF($F$36:$F$40,L44,$E$36:$E$40)</f>
        <v/>
      </c>
      <c r="M59" s="14">
        <f>IF(M44=2,$B$23,0)+SUMIF($F$36:$F$40,M44,$E$36:$E$40)</f>
        <v/>
      </c>
      <c r="N59" s="14">
        <f>IF(N44=2,$B$23,0)+SUMIF($F$36:$F$40,N44,$E$36:$E$40)</f>
        <v/>
      </c>
      <c r="O59" s="6" t="inlineStr">
        <is>
          <t>Aldri en kostnad. Nordlys krever den inn fra kunden og sender differansen videre.</t>
        </is>
      </c>
    </row>
    <row r="60">
      <c r="A60" s="6" t="inlineStr">
        <is>
          <t>Andre driftskostnader inkl. mva.</t>
        </is>
      </c>
      <c r="B60" s="14">
        <f>SUM(C60:N60)</f>
        <v/>
      </c>
      <c r="C60" s="14">
        <f>Resultatbudsjett!$B$15/12*(1+Resultatbudsjett!$B$16)</f>
        <v/>
      </c>
      <c r="D60" s="14">
        <f>Resultatbudsjett!$B$15/12*(1+Resultatbudsjett!$B$16)</f>
        <v/>
      </c>
      <c r="E60" s="14">
        <f>Resultatbudsjett!$B$15/12*(1+Resultatbudsjett!$B$16)</f>
        <v/>
      </c>
      <c r="F60" s="14">
        <f>Resultatbudsjett!$B$15/12*(1+Resultatbudsjett!$B$16)</f>
        <v/>
      </c>
      <c r="G60" s="14">
        <f>Resultatbudsjett!$B$15/12*(1+Resultatbudsjett!$B$16)</f>
        <v/>
      </c>
      <c r="H60" s="14">
        <f>Resultatbudsjett!$B$15/12*(1+Resultatbudsjett!$B$16)</f>
        <v/>
      </c>
      <c r="I60" s="14">
        <f>Resultatbudsjett!$B$15/12*(1+Resultatbudsjett!$B$16)</f>
        <v/>
      </c>
      <c r="J60" s="14">
        <f>Resultatbudsjett!$B$15/12*(1+Resultatbudsjett!$B$16)</f>
        <v/>
      </c>
      <c r="K60" s="14">
        <f>Resultatbudsjett!$B$15/12*(1+Resultatbudsjett!$B$16)</f>
        <v/>
      </c>
      <c r="L60" s="14">
        <f>Resultatbudsjett!$B$15/12*(1+Resultatbudsjett!$B$16)</f>
        <v/>
      </c>
      <c r="M60" s="14">
        <f>Resultatbudsjett!$B$15/12*(1+Resultatbudsjett!$B$16)</f>
        <v/>
      </c>
      <c r="N60" s="14">
        <f>Resultatbudsjett!$B$15/12*(1+Resultatbudsjett!$B$16)</f>
        <v/>
      </c>
    </row>
    <row r="61">
      <c r="A61" s="6" t="inlineStr">
        <is>
          <t>Renter og avdrag</t>
        </is>
      </c>
      <c r="B61" s="14">
        <f>SUM(C61:N61)</f>
        <v/>
      </c>
      <c r="C61" s="14">
        <f>IF(MOD(C44,3)=0,$B$26,0)</f>
        <v/>
      </c>
      <c r="D61" s="14">
        <f>IF(MOD(D44,3)=0,$B$26,0)</f>
        <v/>
      </c>
      <c r="E61" s="14">
        <f>IF(MOD(E44,3)=0,$B$26,0)</f>
        <v/>
      </c>
      <c r="F61" s="14">
        <f>IF(MOD(F44,3)=0,$B$26,0)</f>
        <v/>
      </c>
      <c r="G61" s="14">
        <f>IF(MOD(G44,3)=0,$B$26,0)</f>
        <v/>
      </c>
      <c r="H61" s="14">
        <f>IF(MOD(H44,3)=0,$B$26,0)</f>
        <v/>
      </c>
      <c r="I61" s="14">
        <f>IF(MOD(I44,3)=0,$B$26,0)</f>
        <v/>
      </c>
      <c r="J61" s="14">
        <f>IF(MOD(J44,3)=0,$B$26,0)</f>
        <v/>
      </c>
      <c r="K61" s="14">
        <f>IF(MOD(K44,3)=0,$B$26,0)</f>
        <v/>
      </c>
      <c r="L61" s="14">
        <f>IF(MOD(L44,3)=0,$B$26,0)</f>
        <v/>
      </c>
      <c r="M61" s="14">
        <f>IF(MOD(M44,3)=0,$B$26,0)</f>
        <v/>
      </c>
      <c r="N61" s="14">
        <f>IF(MOD(N44,3)=0,$B$26,0)</f>
        <v/>
      </c>
      <c r="O61" s="6" t="inlineStr">
        <is>
          <t>Bare renten er kostnad. Avdraget er nedbetaling av gjeld.</t>
        </is>
      </c>
    </row>
    <row r="62">
      <c r="A62" s="6" t="inlineStr">
        <is>
          <t>Forhåndsskatt</t>
        </is>
      </c>
      <c r="B62" s="14">
        <f>SUM(C62:N62)</f>
        <v/>
      </c>
      <c r="C62" s="14">
        <f>IF(OR(C44=2,C44=4),$B$25/2,0)</f>
        <v/>
      </c>
      <c r="D62" s="14">
        <f>IF(OR(D44=2,D44=4),$B$25/2,0)</f>
        <v/>
      </c>
      <c r="E62" s="14">
        <f>IF(OR(E44=2,E44=4),$B$25/2,0)</f>
        <v/>
      </c>
      <c r="F62" s="14">
        <f>IF(OR(F44=2,F44=4),$B$25/2,0)</f>
        <v/>
      </c>
      <c r="G62" s="14">
        <f>IF(OR(G44=2,G44=4),$B$25/2,0)</f>
        <v/>
      </c>
      <c r="H62" s="14">
        <f>IF(OR(H44=2,H44=4),$B$25/2,0)</f>
        <v/>
      </c>
      <c r="I62" s="14">
        <f>IF(OR(I44=2,I44=4),$B$25/2,0)</f>
        <v/>
      </c>
      <c r="J62" s="14">
        <f>IF(OR(J44=2,J44=4),$B$25/2,0)</f>
        <v/>
      </c>
      <c r="K62" s="14">
        <f>IF(OR(K44=2,K44=4),$B$25/2,0)</f>
        <v/>
      </c>
      <c r="L62" s="14">
        <f>IF(OR(L44=2,L44=4),$B$25/2,0)</f>
        <v/>
      </c>
      <c r="M62" s="14">
        <f>IF(OR(M44=2,M44=4),$B$25/2,0)</f>
        <v/>
      </c>
      <c r="N62" s="14">
        <f>IF(OR(N44=2,N44=4),$B$25/2,0)</f>
        <v/>
      </c>
    </row>
    <row r="63">
      <c r="A63" s="6" t="inlineStr">
        <is>
          <t>Investering inkl. mva.</t>
        </is>
      </c>
      <c r="B63" s="14">
        <f>SUM(C63:N63)</f>
        <v/>
      </c>
      <c r="C63" s="14">
        <f>IF(C44=$B$29,$B$28*(1+Resultatbudsjett!$B$16),0)</f>
        <v/>
      </c>
      <c r="D63" s="14">
        <f>IF(D44=$B$29,$B$28*(1+Resultatbudsjett!$B$16),0)</f>
        <v/>
      </c>
      <c r="E63" s="14">
        <f>IF(E44=$B$29,$B$28*(1+Resultatbudsjett!$B$16),0)</f>
        <v/>
      </c>
      <c r="F63" s="14">
        <f>IF(F44=$B$29,$B$28*(1+Resultatbudsjett!$B$16),0)</f>
        <v/>
      </c>
      <c r="G63" s="14">
        <f>IF(G44=$B$29,$B$28*(1+Resultatbudsjett!$B$16),0)</f>
        <v/>
      </c>
      <c r="H63" s="14">
        <f>IF(H44=$B$29,$B$28*(1+Resultatbudsjett!$B$16),0)</f>
        <v/>
      </c>
      <c r="I63" s="14">
        <f>IF(I44=$B$29,$B$28*(1+Resultatbudsjett!$B$16),0)</f>
        <v/>
      </c>
      <c r="J63" s="14">
        <f>IF(J44=$B$29,$B$28*(1+Resultatbudsjett!$B$16),0)</f>
        <v/>
      </c>
      <c r="K63" s="14">
        <f>IF(K44=$B$29,$B$28*(1+Resultatbudsjett!$B$16),0)</f>
        <v/>
      </c>
      <c r="L63" s="14">
        <f>IF(L44=$B$29,$B$28*(1+Resultatbudsjett!$B$16),0)</f>
        <v/>
      </c>
      <c r="M63" s="14">
        <f>IF(M44=$B$29,$B$28*(1+Resultatbudsjett!$B$16),0)</f>
        <v/>
      </c>
      <c r="N63" s="14">
        <f>IF(N44=$B$29,$B$28*(1+Resultatbudsjett!$B$16),0)</f>
        <v/>
      </c>
    </row>
    <row r="64">
      <c r="A64" s="8" t="inlineStr">
        <is>
          <t>= Sum utbetalinger</t>
        </is>
      </c>
      <c r="B64" s="11">
        <f>SUM(C64:N64)</f>
        <v/>
      </c>
      <c r="C64" s="11">
        <f>SUM(C55:C63)</f>
        <v/>
      </c>
      <c r="D64" s="11">
        <f>SUM(D55:D63)</f>
        <v/>
      </c>
      <c r="E64" s="11">
        <f>SUM(E55:E63)</f>
        <v/>
      </c>
      <c r="F64" s="11">
        <f>SUM(F55:F63)</f>
        <v/>
      </c>
      <c r="G64" s="11">
        <f>SUM(G55:G63)</f>
        <v/>
      </c>
      <c r="H64" s="11">
        <f>SUM(H55:H63)</f>
        <v/>
      </c>
      <c r="I64" s="11">
        <f>SUM(I55:I63)</f>
        <v/>
      </c>
      <c r="J64" s="11">
        <f>SUM(J55:J63)</f>
        <v/>
      </c>
      <c r="K64" s="11">
        <f>SUM(K55:K63)</f>
        <v/>
      </c>
      <c r="L64" s="11">
        <f>SUM(L55:L63)</f>
        <v/>
      </c>
      <c r="M64" s="11">
        <f>SUM(M55:M63)</f>
        <v/>
      </c>
      <c r="N64" s="11">
        <f>SUM(N55:N63)</f>
        <v/>
      </c>
    </row>
    <row r="66">
      <c r="A66" s="4" t="inlineStr">
        <is>
          <t>6 · Beholdningen på konto</t>
        </is>
      </c>
    </row>
    <row r="67">
      <c r="A67" s="6" t="inlineStr">
        <is>
          <t>Inngående beholdning</t>
        </is>
      </c>
      <c r="C67" s="14">
        <f>$B$18</f>
        <v/>
      </c>
      <c r="D67" s="14">
        <f>C69</f>
        <v/>
      </c>
      <c r="E67" s="14">
        <f>D69</f>
        <v/>
      </c>
      <c r="F67" s="14">
        <f>E69</f>
        <v/>
      </c>
      <c r="G67" s="14">
        <f>F69</f>
        <v/>
      </c>
      <c r="H67" s="14">
        <f>G69</f>
        <v/>
      </c>
      <c r="I67" s="14">
        <f>H69</f>
        <v/>
      </c>
      <c r="J67" s="14">
        <f>I69</f>
        <v/>
      </c>
      <c r="K67" s="14">
        <f>J69</f>
        <v/>
      </c>
      <c r="L67" s="14">
        <f>K69</f>
        <v/>
      </c>
      <c r="M67" s="14">
        <f>L69</f>
        <v/>
      </c>
      <c r="N67" s="14">
        <f>M69</f>
        <v/>
      </c>
    </row>
    <row r="68">
      <c r="A68" s="6" t="inlineStr">
        <is>
          <t>Endring i måneden</t>
        </is>
      </c>
      <c r="B68" s="14">
        <f>SUM(C68:N68)</f>
        <v/>
      </c>
      <c r="C68" s="14">
        <f>C50-C64</f>
        <v/>
      </c>
      <c r="D68" s="14">
        <f>D50-D64</f>
        <v/>
      </c>
      <c r="E68" s="14">
        <f>E50-E64</f>
        <v/>
      </c>
      <c r="F68" s="14">
        <f>F50-F64</f>
        <v/>
      </c>
      <c r="G68" s="14">
        <f>G50-G64</f>
        <v/>
      </c>
      <c r="H68" s="14">
        <f>H50-H64</f>
        <v/>
      </c>
      <c r="I68" s="14">
        <f>I50-I64</f>
        <v/>
      </c>
      <c r="J68" s="14">
        <f>J50-J64</f>
        <v/>
      </c>
      <c r="K68" s="14">
        <f>K50-K64</f>
        <v/>
      </c>
      <c r="L68" s="14">
        <f>L50-L64</f>
        <v/>
      </c>
      <c r="M68" s="14">
        <f>M50-M64</f>
        <v/>
      </c>
      <c r="N68" s="14">
        <f>N50-N64</f>
        <v/>
      </c>
    </row>
    <row r="69">
      <c r="A69" s="8" t="inlineStr">
        <is>
          <t>= Utgående beholdning</t>
        </is>
      </c>
      <c r="C69" s="11">
        <f>C67+C68</f>
        <v/>
      </c>
      <c r="D69" s="11">
        <f>D67+D68</f>
        <v/>
      </c>
      <c r="E69" s="11">
        <f>E67+E68</f>
        <v/>
      </c>
      <c r="F69" s="11">
        <f>F67+F68</f>
        <v/>
      </c>
      <c r="G69" s="11">
        <f>G67+G68</f>
        <v/>
      </c>
      <c r="H69" s="11">
        <f>H67+H68</f>
        <v/>
      </c>
      <c r="I69" s="11">
        <f>I67+I68</f>
        <v/>
      </c>
      <c r="J69" s="11">
        <f>J67+J68</f>
        <v/>
      </c>
      <c r="K69" s="11">
        <f>K67+K68</f>
        <v/>
      </c>
      <c r="L69" s="11">
        <f>L67+L68</f>
        <v/>
      </c>
      <c r="M69" s="11">
        <f>M67+M68</f>
        <v/>
      </c>
      <c r="N69" s="11">
        <f>N67+N68</f>
        <v/>
      </c>
    </row>
    <row r="70">
      <c r="A70" s="6" t="inlineStr">
        <is>
          <t>Kassekreditt som må trekkes</t>
        </is>
      </c>
      <c r="C70" s="14">
        <f>MAX(0,-C69)</f>
        <v/>
      </c>
      <c r="D70" s="14">
        <f>MAX(0,-D69)</f>
        <v/>
      </c>
      <c r="E70" s="14">
        <f>MAX(0,-E69)</f>
        <v/>
      </c>
      <c r="F70" s="14">
        <f>MAX(0,-F69)</f>
        <v/>
      </c>
      <c r="G70" s="14">
        <f>MAX(0,-G69)</f>
        <v/>
      </c>
      <c r="H70" s="14">
        <f>MAX(0,-H69)</f>
        <v/>
      </c>
      <c r="I70" s="14">
        <f>MAX(0,-I69)</f>
        <v/>
      </c>
      <c r="J70" s="14">
        <f>MAX(0,-J69)</f>
        <v/>
      </c>
      <c r="K70" s="14">
        <f>MAX(0,-K69)</f>
        <v/>
      </c>
      <c r="L70" s="14">
        <f>MAX(0,-L69)</f>
        <v/>
      </c>
      <c r="M70" s="14">
        <f>MAX(0,-M69)</f>
        <v/>
      </c>
      <c r="N70" s="14">
        <f>MAX(0,-N69)</f>
        <v/>
      </c>
    </row>
    <row r="72">
      <c r="A72" s="4" t="inlineStr">
        <is>
          <t>7 · Året sett under ett</t>
        </is>
      </c>
    </row>
    <row r="73">
      <c r="A73" s="8" t="inlineStr">
        <is>
          <t>Laveste kontobeholdning</t>
        </is>
      </c>
      <c r="B73" s="11">
        <f>MIN(C69:N69)</f>
        <v/>
      </c>
    </row>
    <row r="74">
      <c r="A74" s="6" t="inlineStr">
        <is>
          <t>Måneden det skjer i</t>
        </is>
      </c>
      <c r="B74" s="19">
        <f>INDEX($C$43:$N$43,MATCH(MIN(C69:N69),C69:N69,0))</f>
        <v/>
      </c>
    </row>
    <row r="75">
      <c r="A75" s="6" t="inlineStr">
        <is>
          <t>Antall måneder i minus</t>
        </is>
      </c>
      <c r="B75" s="10">
        <f>COUNTIF(C69:N69,"&lt;0")</f>
        <v/>
      </c>
    </row>
    <row r="76">
      <c r="A76" s="6" t="inlineStr">
        <is>
          <t>Største trekk på kassekreditten</t>
        </is>
      </c>
      <c r="B76" s="14">
        <f>MAX(C70:N70)</f>
        <v/>
      </c>
    </row>
    <row r="77">
      <c r="A77" s="6" t="inlineStr">
        <is>
          <t>Samlet trekk medregnet det som alt er trukket</t>
        </is>
      </c>
      <c r="B77" s="14">
        <f>B76+B31</f>
        <v/>
      </c>
    </row>
    <row r="78">
      <c r="A78" s="6" t="inlineStr">
        <is>
          <t>Andel av rammen som er brukt opp</t>
        </is>
      </c>
      <c r="B78" s="15">
        <f>B77/B30</f>
        <v/>
      </c>
    </row>
    <row r="79">
      <c r="A79" s="6" t="inlineStr">
        <is>
          <t>Renter på kassekreditten gjennom året</t>
        </is>
      </c>
      <c r="B79" s="14">
        <f>SUM(C70:N70)/12*B32</f>
        <v/>
      </c>
      <c r="O79" s="6" t="inlineStr">
        <is>
          <t>Gjennomsnittlig trekk gjennom året, ganget med renten.</t>
        </is>
      </c>
    </row>
    <row r="80">
      <c r="A80" s="6" t="inlineStr">
        <is>
          <t>Driftsresultat i resultatbudsjettet</t>
        </is>
      </c>
      <c r="B80" s="14">
        <f>Resultatbudsjett!B25</f>
        <v/>
      </c>
      <c r="O80" s="6" t="inlineStr">
        <is>
          <t>Uendret, uansett hva du setter i B5. Det er hele poenget.</t>
        </is>
      </c>
    </row>
    <row r="82">
      <c r="A82" s="4" t="inlineStr">
        <is>
          <t>Kontroll</t>
        </is>
      </c>
    </row>
    <row r="83">
      <c r="A83" s="6" t="inlineStr">
        <is>
          <t>Summerer andelene seg til hundre prosent?</t>
        </is>
      </c>
      <c r="B83" s="17">
        <f>IF(AND(ABS(B9+B10+B11-1)&lt;0.0001,ABS(B13+B14+B15-1)&lt;0.0001),"OK — alt salg og alle varekjøp blir betalt til slutt","AVVIK: andelene summerer seg ikke til hundre prosent — kredittiden må ligge mellom 0 og 60 dager")</f>
        <v/>
      </c>
    </row>
    <row r="84">
      <c r="A84" s="6" t="inlineStr">
        <is>
          <t>Kommer alle pengene inn i løpet av året?</t>
        </is>
      </c>
      <c r="B84" s="17">
        <f>IF(B47&lt;=B46+1,"OK — innbetalingene overstiger ikke det som er fakturert","AVVIK: mer er innbetalt enn fakturert")</f>
        <v/>
      </c>
    </row>
    <row r="85">
      <c r="A85" s="6" t="inlineStr">
        <is>
          <t>Går beholdningen opp?</t>
        </is>
      </c>
      <c r="B85" s="17">
        <f>IF(ABS(N69-(B18+SUM(C68:N68)))&lt;1,"OK — utgående beholdning er inngående pluss alle endringene","AVVIK: beholdningen henger ikke sammen")</f>
        <v/>
      </c>
    </row>
    <row r="86">
      <c r="A86" s="6" t="inlineStr">
        <is>
          <t>Holder trekket seg innenfor kassekredittrammen?</t>
        </is>
      </c>
      <c r="B86" s="17">
        <f>IF(B77&lt;=B30,"OK — trekket holder seg innenfor rammen, men se hvor mye av den som er brukt opp i B78","AVVIK: rammen sprenges — banken må kontaktes FØR det skjer, ikke etter")</f>
        <v/>
      </c>
    </row>
    <row r="87">
      <c r="A87" s="6" t="inlineStr">
        <is>
          <t>Er resultatet uavhengig av kredittiden?</t>
        </is>
      </c>
      <c r="B87" s="17">
        <f>IF(ABS(B80-Resultatbudsjett!B25)&lt;1,"OK — driftsresultatet står stille uansett hva du setter i B5. Resultat og likviditet er to ulike spørsmål","AVVIK: her er noe koblet feil")</f>
        <v/>
      </c>
    </row>
    <row r="89">
      <c r="A89" s="8" t="inlineStr">
        <is>
          <t>Prøv dette: sett kredittiden i B5 til 44. Da er det bare 24 533 kroner igjen på det verste, og ved 45 går kontoen i minus. Sett den til 54, som er det kundene faktisk brukte i 2026, og se hvor mange måneder som havner i minus.</t>
        </is>
      </c>
    </row>
    <row r="90">
      <c r="A90" s="3" t="inlineStr">
        <is>
          <t>Kilde: Bok 1 kap. 9.4 til 9.6 om likviditetsbudsjettet, og 9.7 om tiltak. Forfallsreglene for merverdiavgift og arbeidsgiveravgift følger skattebetalingsloven og merverdiavgiftsloven (Lovdata).</t>
        </is>
      </c>
    </row>
  </sheetData>
  <conditionalFormatting sqref="B83">
    <cfRule type="expression" priority="1" dxfId="0" stopIfTrue="0">
      <formula>LEFT(B83,5)="AVVIK"</formula>
    </cfRule>
  </conditionalFormatting>
  <conditionalFormatting sqref="B84">
    <cfRule type="expression" priority="2" dxfId="0" stopIfTrue="0">
      <formula>LEFT(B84,5)="AVVIK"</formula>
    </cfRule>
  </conditionalFormatting>
  <conditionalFormatting sqref="B85">
    <cfRule type="expression" priority="3" dxfId="0" stopIfTrue="0">
      <formula>LEFT(B85,5)="AVVIK"</formula>
    </cfRule>
  </conditionalFormatting>
  <conditionalFormatting sqref="B86">
    <cfRule type="expression" priority="4" dxfId="0" stopIfTrue="0">
      <formula>LEFT(B86,5)="AVVIK"</formula>
    </cfRule>
  </conditionalFormatting>
  <conditionalFormatting sqref="B87">
    <cfRule type="expression" priority="5" dxfId="0" stopIfTrue="0">
      <formula>LEFT(B87,5)="AVVIK"</formula>
    </cfRule>
  </conditionalFormatting>
  <printOptions horizontalCentered="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3" customWidth="1" min="5" max="5"/>
    <col width="15" customWidth="1" min="6" max="6"/>
    <col width="15" customWidth="1" min="7" max="7"/>
    <col width="48" customWidth="1" min="8" max="8"/>
  </cols>
  <sheetData>
    <row r="1">
      <c r="A1" s="1" t="inlineStr">
        <is>
          <t>Budsjettkontroll 2026</t>
        </is>
      </c>
    </row>
    <row r="2">
      <c r="A2" s="2" t="inlineStr">
        <is>
          <t>Hva som ble annerledes enn planlagt — og hvem som faktisk eier avviket.</t>
        </is>
      </c>
    </row>
    <row r="5" ht="28" customHeight="1">
      <c r="A5" s="9" t="inlineStr">
        <is>
          <t>Post</t>
        </is>
      </c>
      <c r="B5" s="9" t="inlineStr">
        <is>
          <t>Budsjett 2026</t>
        </is>
      </c>
      <c r="C5" s="9" t="inlineStr">
        <is>
          <t>Regnskap 2026</t>
        </is>
      </c>
      <c r="D5" s="9" t="inlineStr">
        <is>
          <t>Avvik i kroner</t>
        </is>
      </c>
      <c r="E5" s="9" t="inlineStr">
        <is>
          <t>Avvik i prosent</t>
        </is>
      </c>
      <c r="F5" s="9" t="inlineStr">
        <is>
          <t>Andel av salget, budsjett</t>
        </is>
      </c>
      <c r="G5" s="9" t="inlineStr">
        <is>
          <t>Andel av salget, regnskap</t>
        </is>
      </c>
      <c r="H5" s="9" t="inlineStr">
        <is>
          <t>Hva raden forteller</t>
        </is>
      </c>
    </row>
    <row r="6">
      <c r="A6" s="6" t="inlineStr">
        <is>
          <t>Salgsinntekt</t>
        </is>
      </c>
      <c r="B6" s="12" t="n">
        <v>22000000</v>
      </c>
      <c r="C6" s="12" t="n">
        <v>22400000</v>
      </c>
      <c r="D6" s="11">
        <f>C6-B6</f>
        <v/>
      </c>
      <c r="E6" s="16">
        <f>D6/B6</f>
        <v/>
      </c>
      <c r="H6" s="6" t="inlineStr">
        <is>
          <t>Positivt avvik: bedriften solgte mer enn planlagt.</t>
        </is>
      </c>
    </row>
    <row r="7">
      <c r="A7" s="6" t="inlineStr">
        <is>
          <t>Varekostnad</t>
        </is>
      </c>
      <c r="B7" s="12" t="n">
        <v>8240000</v>
      </c>
      <c r="C7" s="12" t="n">
        <v>8390000</v>
      </c>
      <c r="D7" s="11">
        <f>B7-C7</f>
        <v/>
      </c>
      <c r="E7" s="16">
        <f>D7/B7</f>
        <v/>
      </c>
      <c r="F7" s="16">
        <f>B7/$B$6</f>
        <v/>
      </c>
      <c r="G7" s="16">
        <f>C7/$C$6</f>
        <v/>
      </c>
      <c r="H7" s="6" t="inlineStr">
        <is>
          <t>Negativt i kroner — men se de to siste kolonnene før du konkluderer.</t>
        </is>
      </c>
    </row>
    <row r="8">
      <c r="A8" s="6" t="inlineStr">
        <is>
          <t>Lønnskostnad</t>
        </is>
      </c>
      <c r="B8" s="12" t="n">
        <v>10460000</v>
      </c>
      <c r="C8" s="12" t="n">
        <v>10660000</v>
      </c>
      <c r="D8" s="11">
        <f>B8-C8</f>
        <v/>
      </c>
      <c r="E8" s="16">
        <f>D8/B8</f>
        <v/>
      </c>
      <c r="F8" s="16">
        <f>B8/$B$6</f>
        <v/>
      </c>
      <c r="G8" s="16">
        <f>C8/$C$6</f>
        <v/>
      </c>
      <c r="H8" s="6" t="inlineStr">
        <is>
          <t>Samme sak: mer salg krever flere timer.</t>
        </is>
      </c>
    </row>
    <row r="9">
      <c r="A9" s="6" t="inlineStr">
        <is>
          <t>Avskrivninger</t>
        </is>
      </c>
      <c r="B9" s="12" t="n">
        <v>640000</v>
      </c>
      <c r="C9" s="12" t="n">
        <v>620000</v>
      </c>
      <c r="D9" s="11">
        <f>B9-C9</f>
        <v/>
      </c>
      <c r="E9" s="16">
        <f>D9/B9</f>
        <v/>
      </c>
      <c r="F9" s="16">
        <f>B9/$B$6</f>
        <v/>
      </c>
      <c r="G9" s="16">
        <f>C9/$C$6</f>
        <v/>
      </c>
      <c r="H9" s="6" t="inlineStr">
        <is>
          <t>Liten post, og den følger ikke salget.</t>
        </is>
      </c>
    </row>
    <row r="10">
      <c r="A10" s="6" t="inlineStr">
        <is>
          <t>Andre driftskostnader</t>
        </is>
      </c>
      <c r="B10" s="12" t="n">
        <v>1250000</v>
      </c>
      <c r="C10" s="12" t="n">
        <v>1386000</v>
      </c>
      <c r="D10" s="11">
        <f>B10-C10</f>
        <v/>
      </c>
      <c r="E10" s="16">
        <f>D10/B10</f>
        <v/>
      </c>
      <c r="F10" s="16">
        <f>B10/$B$6</f>
        <v/>
      </c>
      <c r="G10" s="16">
        <f>C10/$C$6</f>
        <v/>
      </c>
      <c r="H10" s="6" t="inlineStr">
        <is>
          <t>Her har noe faktisk flyttet seg. Dette er posten Kari skal spørre om.</t>
        </is>
      </c>
    </row>
    <row r="12">
      <c r="A12" s="8" t="inlineStr">
        <is>
          <t>= Sum driftskostnader</t>
        </is>
      </c>
      <c r="B12" s="11">
        <f>SUM(B7:B10)</f>
        <v/>
      </c>
      <c r="C12" s="11">
        <f>SUM(C7:C10)</f>
        <v/>
      </c>
      <c r="D12" s="11">
        <f>B12-C12</f>
        <v/>
      </c>
      <c r="E12" s="16">
        <f>D12/B12</f>
        <v/>
      </c>
    </row>
    <row r="13">
      <c r="A13" s="8" t="inlineStr">
        <is>
          <t>= Driftsresultat</t>
        </is>
      </c>
      <c r="B13" s="11">
        <f>B6-B12</f>
        <v/>
      </c>
      <c r="C13" s="11">
        <f>C6-C12</f>
        <v/>
      </c>
      <c r="D13" s="11">
        <f>C13-B13</f>
        <v/>
      </c>
      <c r="E13" s="16">
        <f>D13/B13</f>
        <v/>
      </c>
      <c r="H13" s="6" t="inlineStr">
        <is>
          <t>Negativt avvik, til tross for at salget ble høyere enn budsjettert.</t>
        </is>
      </c>
    </row>
    <row r="15">
      <c r="A15" s="4" t="inlineStr">
        <is>
          <t>Hvor avviket faktisk kommer fra</t>
        </is>
      </c>
    </row>
    <row r="16">
      <c r="A16" s="6" t="inlineStr">
        <is>
          <t>Mersalg mot budsjett</t>
        </is>
      </c>
      <c r="B16" s="14">
        <f>C6-B6</f>
        <v/>
      </c>
    </row>
    <row r="17">
      <c r="A17" s="6" t="inlineStr">
        <is>
          <t>Varekostnad ved budsjettert andel, gitt det faktiske salget</t>
        </is>
      </c>
      <c r="B17" s="14">
        <f>C6*F7</f>
        <v/>
      </c>
    </row>
    <row r="18">
      <c r="A18" s="6" t="inlineStr">
        <is>
          <t>Faktisk varekostnad</t>
        </is>
      </c>
      <c r="B18" s="14">
        <f>C7</f>
        <v/>
      </c>
    </row>
    <row r="19">
      <c r="A19" s="6" t="inlineStr">
        <is>
          <t>Rent prisavvik på varekostnaden</t>
        </is>
      </c>
      <c r="B19" s="11">
        <f>B17-B18</f>
        <v/>
      </c>
      <c r="H19" s="6" t="inlineStr">
        <is>
          <t>Nær null: innkjøpet har gått som planlagt. Kroneavviket er et mengdeavvik.</t>
        </is>
      </c>
    </row>
    <row r="20">
      <c r="A20" s="6" t="inlineStr">
        <is>
          <t>Andre driftskostnader ved budsjettert andel</t>
        </is>
      </c>
      <c r="B20" s="14">
        <f>C6*F10</f>
        <v/>
      </c>
    </row>
    <row r="21">
      <c r="A21" s="6" t="inlineStr">
        <is>
          <t>Faktiske andre driftskostnader</t>
        </is>
      </c>
      <c r="B21" s="14">
        <f>C10</f>
        <v/>
      </c>
    </row>
    <row r="22">
      <c r="A22" s="8" t="inlineStr">
        <is>
          <t>Rent avvik på andre driftskostnader</t>
        </is>
      </c>
      <c r="B22" s="11">
        <f>B20-B21</f>
        <v/>
      </c>
      <c r="H22" s="6" t="inlineStr">
        <is>
          <t>Her ligger pengene. Dette er posten som skal forklares med bilag.</t>
        </is>
      </c>
    </row>
    <row r="24">
      <c r="A24" s="4" t="inlineStr">
        <is>
          <t>Kontroll</t>
        </is>
      </c>
    </row>
    <row r="25">
      <c r="A25" s="6" t="inlineStr">
        <is>
          <t>Ble salget høyere enn budsjettert?</t>
        </is>
      </c>
      <c r="B25" s="17">
        <f>IF(D6&gt;0,"OK — bedriften solgte mer enn planlagt. Da MÅ varekostnaden og lønnskostnaden også være høyere","AVVIK: salget sviktet — da er kostnadsavvikene en annen historie")</f>
        <v/>
      </c>
    </row>
    <row r="26">
      <c r="A26" s="6" t="inlineStr">
        <is>
          <t>Er varekostnadsandelen den samme?</t>
        </is>
      </c>
      <c r="B26" s="17">
        <f>IF(ABS(F7-G7)&lt;0.01,"OK — varekostnaden utgjør nesten nøyaktig samme andel av salget som budsjettert. Innkjøpet har gått som planlagt","AVVIK: varekostnadsandelen har flyttet seg — da er det et prisavvik, og da er innkjøperen riktig adressat")</f>
        <v/>
      </c>
    </row>
    <row r="27">
      <c r="A27" s="6" t="inlineStr">
        <is>
          <t>Hvilken post har faktisk flyttet seg?</t>
        </is>
      </c>
      <c r="B27" s="17">
        <f>IF(ABS(G10-F10)&gt;ABS(G7-F7),"OK — andre driftskostnader har flyttet seg mest som andel av salget. Det er der Kari skal be om en spesifikasjon","AVVIK: her er det varekostnaden som har flyttet seg mest")</f>
        <v/>
      </c>
    </row>
    <row r="29">
      <c r="A29" s="8" t="inlineStr">
        <is>
          <t>Avviksanalysen peker på stedet. Den gir ikke svaret. Det siste finner du bare ved å se på bilagene.</t>
        </is>
      </c>
    </row>
    <row r="30">
      <c r="A30" s="3" t="inlineStr">
        <is>
          <t>Kilde: Bok 1 kap. 9.8 om budsjettkontroll og avviksanalyse.</t>
        </is>
      </c>
    </row>
  </sheetData>
  <conditionalFormatting sqref="B25">
    <cfRule type="expression" priority="1" dxfId="0" stopIfTrue="0">
      <formula>LEFT(B25,5)="AVVIK"</formula>
    </cfRule>
  </conditionalFormatting>
  <conditionalFormatting sqref="B26">
    <cfRule type="expression" priority="2" dxfId="0" stopIfTrue="0">
      <formula>LEFT(B26,5)="AVVIK"</formula>
    </cfRule>
  </conditionalFormatting>
  <conditionalFormatting sqref="B27">
    <cfRule type="expression" priority="3" dxfId="0" stopIfTrue="0">
      <formula>LEFT(B27,5)="AVVIK"</formula>
    </cfRule>
  </conditionalFormatting>
  <printOptions horizontalCentered="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4" customWidth="1" min="5" max="5"/>
    <col width="52" customWidth="1" min="6" max="6"/>
  </cols>
  <sheetData>
    <row r="1">
      <c r="A1" s="1" t="inlineStr">
        <is>
          <t>Tre scenarioer</t>
        </is>
      </c>
    </row>
    <row r="2">
      <c r="A2" s="2" t="inlineStr">
        <is>
          <t>Samme resultatbudsjett. Helt ulike år på konto.</t>
        </is>
      </c>
    </row>
    <row r="4">
      <c r="A4" s="4" t="inlineStr">
        <is>
          <t>Scenario A · hva kredittiden gjør med året</t>
        </is>
      </c>
    </row>
    <row r="5">
      <c r="A5" s="3" t="inlineStr">
        <is>
          <t>Sett kredittiden i Likviditet!B5 til hver av verdiene under og les av bunnen. Radene her viser det arket regner nå.</t>
        </is>
      </c>
    </row>
    <row r="7">
      <c r="A7" s="6" t="inlineStr">
        <is>
          <t>Kredittid som ligger inne nå</t>
        </is>
      </c>
      <c r="B7" s="20">
        <f>Likviditet!B5</f>
        <v/>
      </c>
    </row>
    <row r="8">
      <c r="A8" s="6" t="inlineStr">
        <is>
          <t>Laveste kontobeholdning</t>
        </is>
      </c>
      <c r="B8" s="11">
        <f>Likviditet!B73</f>
        <v/>
      </c>
    </row>
    <row r="9">
      <c r="A9" s="6" t="inlineStr">
        <is>
          <t>Måneden det skjer i</t>
        </is>
      </c>
      <c r="B9" s="7">
        <f>Likviditet!B74</f>
        <v/>
      </c>
    </row>
    <row r="10">
      <c r="A10" s="6" t="inlineStr">
        <is>
          <t>Måneder i minus</t>
        </is>
      </c>
      <c r="B10" s="10">
        <f>Likviditet!B75</f>
        <v/>
      </c>
    </row>
    <row r="11">
      <c r="A11" s="6" t="inlineStr">
        <is>
          <t>Driftsresultat i resultatbudsjettet</t>
        </is>
      </c>
      <c r="B11" s="14">
        <f>Resultatbudsjett!B25</f>
        <v/>
      </c>
      <c r="F11" s="6" t="inlineStr">
        <is>
          <t>Står stille uansett. Skriv ned bunnen for hver kredittid du prøver.</t>
        </is>
      </c>
    </row>
    <row r="13" ht="28" customHeight="1">
      <c r="A13" s="9" t="inlineStr">
        <is>
          <t>Kredittid</t>
        </is>
      </c>
      <c r="B13" s="9" t="inlineStr">
        <is>
          <t>Hva den svarer til</t>
        </is>
      </c>
      <c r="C13" s="9" t="inlineStr">
        <is>
          <t>Skriv inn bunnen du leser av</t>
        </is>
      </c>
      <c r="D13" s="9" t="inlineStr"/>
      <c r="E13" s="9" t="inlineStr">
        <is>
          <t>Hva raden betyr</t>
        </is>
      </c>
    </row>
    <row r="14">
      <c r="A14" s="18" t="n">
        <v>20</v>
      </c>
      <c r="B14" s="6" t="inlineStr">
        <is>
          <t>20 dager</t>
        </is>
      </c>
      <c r="C14" s="12" t="n">
        <v>0</v>
      </c>
      <c r="E14" s="6" t="inlineStr">
        <is>
          <t>Budsjettets egen forutsetning.</t>
        </is>
      </c>
    </row>
    <row r="15">
      <c r="A15" s="18" t="n">
        <v>30</v>
      </c>
      <c r="B15" s="6" t="inlineStr">
        <is>
          <t>30 dager</t>
        </is>
      </c>
      <c r="C15" s="12" t="n">
        <v>0</v>
      </c>
      <c r="E15" s="6" t="inlineStr">
        <is>
          <t>Én måned. Vanlig avtalt frist hos større kunder.</t>
        </is>
      </c>
    </row>
    <row r="16">
      <c r="A16" s="18" t="n">
        <v>35</v>
      </c>
      <c r="B16" s="6" t="inlineStr">
        <is>
          <t>35 dager</t>
        </is>
      </c>
      <c r="C16" s="12" t="n">
        <v>0</v>
      </c>
      <c r="E16" s="6" t="inlineStr">
        <is>
          <t>Kredittiden har glidd litt.</t>
        </is>
      </c>
    </row>
    <row r="17">
      <c r="A17" s="18" t="n">
        <v>45</v>
      </c>
      <c r="B17" s="6" t="inlineStr">
        <is>
          <t>45 dager</t>
        </is>
      </c>
      <c r="C17" s="12" t="n">
        <v>0</v>
      </c>
      <c r="E17" s="6" t="inlineStr">
        <is>
          <t>Her går kontoen i minus for første gang. Ved 44 dager er det 24 533 kroner igjen på det verste.</t>
        </is>
      </c>
    </row>
    <row r="18">
      <c r="A18" s="18" t="n">
        <v>54</v>
      </c>
      <c r="B18" s="6" t="inlineStr">
        <is>
          <t>54 dager</t>
        </is>
      </c>
      <c r="C18" s="12" t="n">
        <v>0</v>
      </c>
      <c r="E18" s="6" t="inlineStr">
        <is>
          <t>Som kundene faktisk betalte i 2026.</t>
        </is>
      </c>
    </row>
    <row r="20">
      <c r="A20" s="3" t="inlineStr">
        <is>
          <t>Kolonne C er din egen notatkolonne: sett kredittiden i Likviditet!B5, les av Likviditet!B73 og skriv tallet inn her. Da har du hele tabellen fra økta, regnet av deg selv.</t>
        </is>
      </c>
    </row>
    <row r="22">
      <c r="A22" s="4" t="inlineStr">
        <is>
          <t>Scenario B · de fire tiltakene</t>
        </is>
      </c>
    </row>
    <row r="23">
      <c r="A23" s="3" t="inlineStr">
        <is>
          <t>Utgangspunktet er at kundene bruker 54 dager, som de gjorde i 2026.</t>
        </is>
      </c>
    </row>
    <row r="24" ht="28" customHeight="1">
      <c r="A24" s="9" t="inlineStr">
        <is>
          <t>Tiltak</t>
        </is>
      </c>
      <c r="B24" s="9" t="inlineStr">
        <is>
          <t>Slik gjør du det i arket</t>
        </is>
      </c>
      <c r="C24" s="9" t="inlineStr">
        <is>
          <t>Bunn du leser av</t>
        </is>
      </c>
      <c r="D24" s="9" t="inlineStr"/>
      <c r="E24" s="9" t="inlineStr">
        <is>
          <t>Hva tiltaket koster</t>
        </is>
      </c>
    </row>
    <row r="25">
      <c r="A25" s="8" t="inlineStr">
        <is>
          <t>A · kortere kredittid til kundene</t>
        </is>
      </c>
      <c r="B25" s="6" t="inlineStr">
        <is>
          <t>Sett Likviditet!B5 til 20</t>
        </is>
      </c>
      <c r="C25" s="12" t="n">
        <v>0</v>
      </c>
      <c r="E25" s="6" t="inlineStr">
        <is>
          <t>ingenting i kroner — bare at noen fakturerer samme dag og purrer etter fjorten dager</t>
        </is>
      </c>
    </row>
    <row r="26">
      <c r="A26" s="8" t="inlineStr">
        <is>
          <t>B · utsette investeringen</t>
        </is>
      </c>
      <c r="B26" s="6" t="inlineStr">
        <is>
          <t>Sett Likviditet!B29 til 9</t>
        </is>
      </c>
      <c r="C26" s="12" t="n">
        <v>0</v>
      </c>
      <c r="E26" s="6" t="inlineStr">
        <is>
          <t>et halvt år uten det utstyret skulle tjene penger på — regn på det i kapittel 10</t>
        </is>
      </c>
    </row>
    <row r="27">
      <c r="A27" s="8" t="inlineStr">
        <is>
          <t>C · utvidet kassekreditt</t>
        </is>
      </c>
      <c r="B27" s="6" t="inlineStr">
        <is>
          <t>Sett Likviditet!B30 høyere</t>
        </is>
      </c>
      <c r="C27" s="12" t="n">
        <v>0</v>
      </c>
      <c r="E27" s="6" t="inlineStr">
        <is>
          <t>renter, og problemet er like stort neste år</t>
        </is>
      </c>
    </row>
    <row r="28">
      <c r="A28" s="8" t="inlineStr">
        <is>
          <t>D · lengre kreditt hos grossisten</t>
        </is>
      </c>
      <c r="B28" s="6" t="inlineStr">
        <is>
          <t>Sett Likviditet!B6 til 45</t>
        </is>
      </c>
      <c r="C28" s="12" t="n">
        <v>0</v>
      </c>
      <c r="E28" s="6" t="inlineStr">
        <is>
          <t>mulige kontantrabatter, og problemet flyttes til leverandøren</t>
        </is>
      </c>
    </row>
    <row r="30">
      <c r="A30" s="3" t="inlineStr">
        <is>
          <t>Prøv ett tiltak om gangen, og sett arket tilbake mellom hver gang. Skriv bunnen i kolonne C. Så prøver du to av dem sammen.</t>
        </is>
      </c>
    </row>
    <row r="32">
      <c r="A32" s="4" t="inlineStr">
        <is>
          <t>Scenario C · mars sprekker</t>
        </is>
      </c>
    </row>
    <row r="33">
      <c r="A33" s="3" t="inlineStr">
        <is>
          <t>Første kvartal, budsjettert mot slik det faktisk gikk.</t>
        </is>
      </c>
    </row>
    <row r="34" ht="28" customHeight="1">
      <c r="A34" s="9" t="inlineStr"/>
      <c r="B34" s="9" t="inlineStr">
        <is>
          <t>Budsjettert</t>
        </is>
      </c>
      <c r="C34" s="9" t="inlineStr">
        <is>
          <t>Faktisk</t>
        </is>
      </c>
      <c r="D34" s="9" t="inlineStr">
        <is>
          <t>Avvik</t>
        </is>
      </c>
      <c r="E34" s="9" t="inlineStr">
        <is>
          <t>Hva raden betyr</t>
        </is>
      </c>
    </row>
    <row r="35">
      <c r="A35" s="6" t="inlineStr">
        <is>
          <t>Kredittid til kundene, dager</t>
        </is>
      </c>
      <c r="B35" s="18" t="n">
        <v>20</v>
      </c>
      <c r="C35" s="18" t="n">
        <v>54</v>
      </c>
      <c r="D35" s="10">
        <f>C35-B35</f>
        <v/>
      </c>
      <c r="E35" s="6" t="inlineStr">
        <is>
          <t>Den ene forutsetningen som velter kvartalet.</t>
        </is>
      </c>
    </row>
    <row r="36">
      <c r="A36" s="6" t="inlineStr">
        <is>
          <t>Innbetalt i kvartalet</t>
        </is>
      </c>
      <c r="B36" s="12" t="n">
        <v>10005666.66666667</v>
      </c>
      <c r="C36" s="12" t="n">
        <v>6989000</v>
      </c>
      <c r="D36" s="11">
        <f>C36-B36</f>
        <v/>
      </c>
      <c r="E36" s="6" t="inlineStr">
        <is>
          <t>Sett kredittiden i Likviditet!B5 og les av SUM(C50:E50) for å regne begge selv.</t>
        </is>
      </c>
    </row>
    <row r="37">
      <c r="A37" s="6" t="inlineStr">
        <is>
          <t>Utbetalt i kvartalet</t>
        </is>
      </c>
      <c r="B37" s="12" t="n">
        <v>8817775</v>
      </c>
      <c r="C37" s="14">
        <f>B37</f>
        <v/>
      </c>
      <c r="D37" s="14">
        <f>C37-B37</f>
        <v/>
      </c>
      <c r="E37" s="6" t="inlineStr">
        <is>
          <t>Nøyaktig det samme. Regningene bryr seg ikke om når kundene betaler.</t>
        </is>
      </c>
    </row>
    <row r="38">
      <c r="A38" s="8" t="inlineStr">
        <is>
          <t>Beholdning 31. mars</t>
        </is>
      </c>
      <c r="B38" s="11">
        <f>Likviditet!B18+B36-B37</f>
        <v/>
      </c>
      <c r="C38" s="11">
        <f>Likviditet!B18+C36-C37</f>
        <v/>
      </c>
      <c r="D38" s="11">
        <f>C38-B38</f>
        <v/>
      </c>
    </row>
    <row r="39">
      <c r="A39" s="6" t="inlineStr">
        <is>
          <t>Driftsresultat i kvartalet</t>
        </is>
      </c>
      <c r="B39" s="14">
        <f>Resultatbudsjett!B29</f>
        <v/>
      </c>
      <c r="C39" s="14">
        <f>B39</f>
        <v/>
      </c>
      <c r="D39" s="14">
        <f>0</f>
        <v/>
      </c>
      <c r="E39" s="6" t="inlineStr">
        <is>
          <t>Uendret. Regnskapet viser overskudd i et kvartal der kontoen gikk tom.</t>
        </is>
      </c>
    </row>
    <row r="41">
      <c r="A41" s="4" t="inlineStr">
        <is>
          <t>Hva burde vært gjort i november?</t>
        </is>
      </c>
    </row>
    <row r="42">
      <c r="A42" s="6" t="inlineStr">
        <is>
          <t>Kundefordringer 31.12.2026</t>
        </is>
      </c>
      <c r="B42" s="14">
        <f>Likviditet!B19</f>
        <v/>
      </c>
    </row>
    <row r="43">
      <c r="A43" s="6" t="inlineStr">
        <is>
          <t>Salg 2026 inkl. mva.</t>
        </is>
      </c>
      <c r="B43" s="12" t="n">
        <v>28000000</v>
      </c>
    </row>
    <row r="44">
      <c r="A44" s="8" t="inlineStr">
        <is>
          <t>Kredittiden regnskapet allerede viste</t>
        </is>
      </c>
      <c r="B44" s="21">
        <f>B42*360/B43</f>
        <v/>
      </c>
    </row>
    <row r="45">
      <c r="A45" s="6" t="inlineStr">
        <is>
          <t>Kredittiden budsjettet forutsatte</t>
        </is>
      </c>
      <c r="B45" s="22">
        <f>B35</f>
        <v/>
      </c>
    </row>
    <row r="46">
      <c r="A46" s="8" t="inlineStr">
        <is>
          <t>Bom</t>
        </is>
      </c>
      <c r="B46" s="21">
        <f>B44-B45</f>
        <v/>
      </c>
      <c r="E46" s="6" t="inlineStr">
        <is>
          <t>Tallet sto i balansen hele tida. Ingen regnet på det.</t>
        </is>
      </c>
    </row>
    <row r="48">
      <c r="A48" s="4" t="inlineStr">
        <is>
          <t>Kontroll</t>
        </is>
      </c>
    </row>
    <row r="49">
      <c r="A49" s="6" t="inlineStr">
        <is>
          <t>Er hele avviket i mars et innbetalingsavvik?</t>
        </is>
      </c>
      <c r="B49" s="17">
        <f>IF(ABS(D38-D36)&lt;1,"OK — hele avviket kommer fra innbetalingene. Utbetalingene er de samme","AVVIK: da er det mer enn kredittiden som har endret seg")</f>
        <v/>
      </c>
    </row>
    <row r="50">
      <c r="A50" s="6" t="inlineStr">
        <is>
          <t>Viser resultatet overskudd i det samme kvartalet?</t>
        </is>
      </c>
      <c r="B50" s="17">
        <f>IF(B39&gt;0,"OK — resultatbudsjettet viser overskudd i et kvartal der kontoen gikk tom. Det er hele poenget i kapitlet","AVVIK: går resultatet også i minus, er dette et lønnsomhetsproblem og ikke bare et likviditetsproblem")</f>
        <v/>
      </c>
    </row>
    <row r="51">
      <c r="A51" s="6" t="inlineStr">
        <is>
          <t>Var kredittiden synlig i regnskapet på forhånd?</t>
        </is>
      </c>
      <c r="B51" s="17">
        <f>IF(B46&gt;0,"OK — regnskapet for 2026 viste lengre kredittid enn budsjettet forutsatte. Bommen var mulig å se i november","AVVIK: budsjettet var i tråd med regnskapet — da må forklaringen ligge et annet sted")</f>
        <v/>
      </c>
    </row>
    <row r="53">
      <c r="A53" s="3" t="inlineStr">
        <is>
          <t>Kilde: Bok 1 kap. 9.4 til 9.8. Kredittiden i 2026 er lest av balansen, slik kapittel 4 gjør det. Bransjetall: NHO Elektro, Lønnsomhetsrapport 2025, gjengitt i Elektro 24-7 19.08.2026 (hentet 10.09.2026). De 809 er bedriftene i datagrunnlaget, ikke bransjen. NHO Elektro oppgir ikke svarprosent.</t>
        </is>
      </c>
    </row>
  </sheetData>
  <conditionalFormatting sqref="B49">
    <cfRule type="expression" priority="1" dxfId="0" stopIfTrue="0">
      <formula>LEFT(B49,5)="AVVIK"</formula>
    </cfRule>
  </conditionalFormatting>
  <conditionalFormatting sqref="B50">
    <cfRule type="expression" priority="2" dxfId="0" stopIfTrue="0">
      <formula>LEFT(B50,5)="AVVIK"</formula>
    </cfRule>
  </conditionalFormatting>
  <conditionalFormatting sqref="B51">
    <cfRule type="expression" priority="3" dxfId="0" stopIfTrue="0">
      <formula>LEFT(B51,5)="AVVIK"</formula>
    </cfRule>
  </conditionalFormatting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2026-09-11T09:29:49Z</dcterms:created>
  <dcterms:modified xmlns:dcterms="http://purl.org/dc/terms/" xmlns:xsi="http://www.w3.org/2001/XMLSchema-instance" xsi:type="dcterms:W3CDTF">2026-10-02T10:05:03Z</dcterms:modified>
</cp:coreProperties>
</file>