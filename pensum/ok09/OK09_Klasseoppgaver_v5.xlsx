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eiledning" sheetId="1" state="visible" r:id="rId3"/>
    <sheet name="A1" sheetId="2" state="visible" r:id="rId4"/>
    <sheet name="A2" sheetId="3" state="visible" r:id="rId5"/>
    <sheet name="B1" sheetId="4" state="visible" r:id="rId6"/>
    <sheet name="B2"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<sst xmlns="http://schemas.openxmlformats.org/spreadsheetml/2006/main" count="151" uniqueCount="126">
  <si>
    <t xml:space="preserve">Klasseoppgaver til Økonomistyring kapittel 9: Budsjettering og budsjettkontroll (V5)</t>
  </si>
  <si>
    <t xml:space="preserve">LØM · Fagskolen Oslo, Avdeling Elkraft · versjon 5, oktober 2026</t>
  </si>
  <si>
    <t xml:space="preserve">Slik bruker du arbeidsboka</t>
  </si>
  <si>
    <t xml:space="preserve">Gule celler med blå skrift</t>
  </si>
  <si>
    <t xml:space="preserve">Her skriver du svaret ditt.</t>
  </si>
  <si>
    <t xml:space="preserve">Kolonnen «Sjekk»</t>
  </si>
  <si>
    <t xml:space="preserve">Viser «Riktig» eller «Prøv igjen» når du har svart. Løsningen får du i appen etter levering, eller i plenum.</t>
  </si>
  <si>
    <t xml:space="preserve">Arkene</t>
  </si>
  <si>
    <t xml:space="preserve">A1</t>
  </si>
  <si>
    <t xml:space="preserve">Nordlys, første kvartal i budsjettåret: budsjett mot regnskap (Nordlys)</t>
  </si>
  <si>
    <t xml:space="preserve">A2</t>
  </si>
  <si>
    <t xml:space="preserve">Din egen el-bedrift: resultatbudsjettet for første driftsår (Egen el-bedrift)</t>
  </si>
  <si>
    <t xml:space="preserve">B1</t>
  </si>
  <si>
    <t xml:space="preserve">Nordlys, første kvartal i budsjettåret: har vi penger til lønn den 15.? (Nordlys)</t>
  </si>
  <si>
    <t xml:space="preserve">B2</t>
  </si>
  <si>
    <t xml:space="preserve">Din egen el-bedrift: likviditeten i oppstartsmånedene (Egen el-bedrift)</t>
  </si>
  <si>
    <t xml:space="preserve">Læreboka</t>
  </si>
  <si>
    <t xml:space="preserve">Hjertnes, J. og Skorpen, K.: Økonomistyring for LØM-emnet, kapittel 9.</t>
  </si>
  <si>
    <t xml:space="preserve">Appen</t>
  </si>
  <si>
    <t xml:space="preserve">Økonomistyring kap. 9 → Øv → Klasseoppgaver gir fasit per deloppgave.</t>
  </si>
  <si>
    <t xml:space="preserve">A1 · Nordlys, første kvartal i budsjettåret: budsjett mot regnskap</t>
  </si>
  <si>
    <t xml:space="preserve">25 minutter · Helst alene. Sammen med sidemannen eller flere hvis du vil. Ark og blyant, appen (PC eller mobil) eller læreboka.</t>
  </si>
  <si>
    <t xml:space="preserve">Kort oppsummert: Budsjettkontroll er å sette regnskapet ved siden av budsjettet for samme periode og regne avviket. Fortegnet sier om avviket er godt eller dårlig for resultatet: inntekt regnskap − budsjett, kostnad budsjett − regnskap. Avvik i prosent er avviket delt på budsjettet. Varekostnad og lønn følger salget, så se på andelen av salget før du leter etter årsaken.</t>
  </si>
  <si>
    <t xml:space="preserve">Casen er lagt til budsjettåret 2027; regnestykket er det samme uansett når du gjør det. Første kvartal er over. Budsjettet for kvartalet er hentet fra Nordlys' resultatbudsjett, måned for måned (januar 1 800 000, februar 2 100 000 og mars 2 200 000 i salg). Regnskapet for kvartalet ligger ved siden av. Kari (daglig leder) skal møte Ida (kalkulatør og innkjøp) på mandag og vil vite hva hun skal spørre om. Gå fram slik: først avviket i kroner med riktig fortegn, så i prosent, så kostnadene som andel av salget. Først da vet du hvor du skal lete.</t>
  </si>
  <si>
    <t xml:space="preserve">Post (kr)</t>
  </si>
  <si>
    <t xml:space="preserve">Budsjett 1. kv.</t>
  </si>
  <si>
    <t xml:space="preserve">Regnskap 1. kv.</t>
  </si>
  <si>
    <t xml:space="preserve">Salgsinntekt</t>
  </si>
  <si>
    <t xml:space="preserve">Varekostnad</t>
  </si>
  <si>
    <t xml:space="preserve">Lønnskostnad</t>
  </si>
  <si>
    <t xml:space="preserve">Avskrivninger</t>
  </si>
  <si>
    <t xml:space="preserve">Andre driftskostnader</t>
  </si>
  <si>
    <t xml:space="preserve">Driftsresultat</t>
  </si>
  <si>
    <t xml:space="preserve">Gule celler med spørsmålstegn kan du fylle inn selv mens du regner.</t>
  </si>
  <si>
    <t xml:space="preserve">Deloppgave</t>
  </si>
  <si>
    <t xml:space="preserve">Ditt svar</t>
  </si>
  <si>
    <t xml:space="preserve">Sjekk</t>
  </si>
  <si>
    <t xml:space="preserve">a)  Avviket i salgsinntekt, i kroner. Inntekt: regnskap minus budsjett. Positivt tall betyr bra for resultatet.</t>
  </si>
  <si>
    <t xml:space="preserve">b)  Avviket i varekostnad, i kroner. Kostnad: budsjett minus regnskap. Ble kostnaden større enn planlagt, skal svaret være negativt.</t>
  </si>
  <si>
    <t xml:space="preserve">c)  Avviket i driftsresultat, i kroner. Driftsresultatet behandles som en inntekt: regnskap minus budsjett.</t>
  </si>
  <si>
    <t xml:space="preserve">d)  Varekostnaden i prosent av salget i regnskapet: varekostnad delt på salgsinntekt. Budsjettet forutsatte 37,5 %. Svar med én desimal. Er andelen lik, fulgte kostnaden bare salget (mengdeavvik); er den høyere, har noe annet skjedd (pris, svinn, feil kalkyle).</t>
  </si>
  <si>
    <t xml:space="preserve">e)  Hva skal Kari spørre Ida om på mandag? Skriv to setninger: ett spørsmål om materiellet og ett om andre driftskostnader.</t>
  </si>
  <si>
    <t xml:space="preserve">Kilde: Hjertnes, J. og Skorpen, K.: Økonomistyring for LØM-emnet, kap. 9, avsnitt 9.8. Nordlys Elektro AS er en konstruert casebedrift.</t>
  </si>
  <si>
    <t xml:space="preserve">Regnearket er øvingsstøtte. Det kan ikke siteres eller vises til i besvarelser, prosjektoppgaver eller eksamen; der gjelder læreboka og oppgitte primærkilder.</t>
  </si>
  <si>
    <t xml:space="preserve">A2 · Din egen el-bedrift: resultatbudsjettet for første driftsår</t>
  </si>
  <si>
    <t xml:space="preserve">Kort oppsummert: Resultatbudsjettet settes opp som resultatregnskapet, bare framover i tid: salgsinntekter, varekostnad, lønnskostnad, avskrivninger, andre driftskostnader, driftsresultat, finansposter. Hver linje skal ha en forutsetning bak seg. Lønnskostnaden er lønn pluss sosiale kostnader. Egenkapital, lån, mva og ufakturerbare timer hører ikke hjemme i driftsbudsjettet.</t>
  </si>
  <si>
    <t xml:space="preserve">Dere starter Fjell Elektro AS, en installasjonsbedrift med to montører og én eier som er faglig ansvarlig og selv jobber halve tiden ute på oppdrag. Forutsetningene for første driftsår står under. Sett opp resultatbudsjettet (driftsbudsjettet) som et resultatregnskap, linje for linje: salgsinntekter, varekostnad, lønnskostnad, avskrivninger, andre driftskostnader, driftsresultat, renter, resultat før skatt. Skriv én setning som begrunner hver linje. Bruk bare det som er inntekt eller kostnad i driftsåret; penger som lånes eller skytes inn, er ikke inntekt.</t>
  </si>
  <si>
    <t xml:space="preserve">Forutsetning</t>
  </si>
  <si>
    <t xml:space="preserve">Verdi</t>
  </si>
  <si>
    <t xml:space="preserve">Fakturerbare timer</t>
  </si>
  <si>
    <t xml:space="preserve">2 montører à 1 400 timer, eier 700 timer (til sammen 3 500 timer)</t>
  </si>
  <si>
    <t xml:space="preserve">Timepris</t>
  </si>
  <si>
    <t xml:space="preserve">890 kr per time uten mva</t>
  </si>
  <si>
    <t xml:space="preserve">Materiell</t>
  </si>
  <si>
    <t xml:space="preserve">Innkjøp 1 400 000 kr, selges videre med 20 % påslag</t>
  </si>
  <si>
    <t xml:space="preserve">Lønn</t>
  </si>
  <si>
    <t xml:space="preserve">Montører 560 000 kr hver, eier 700 000 kr</t>
  </si>
  <si>
    <t xml:space="preserve">Sosiale kostnader</t>
  </si>
  <si>
    <t xml:space="preserve">46,8 % av lønn (feriepenger, arbeidsgiveravgift, pensjon, forsikring, sykefravær)</t>
  </si>
  <si>
    <t xml:space="preserve">Utstyr og verktøy</t>
  </si>
  <si>
    <t xml:space="preserve">Kjøpt for 300 000 kr, avskrives lineært over 5 år</t>
  </si>
  <si>
    <t xml:space="preserve">To servicebiler på leasing 144 000, lokaler 120 000, forsikring 45 000, telefon, IT og regnskapsfører 110 000, markedsføring 40 000, diverse 60 000</t>
  </si>
  <si>
    <t xml:space="preserve">Finansiering</t>
  </si>
  <si>
    <t xml:space="preserve">Aksjekapital 300 000 kr og banklån 500 000 kr til 7,5 % rente, avdrag 100 000 kr i året</t>
  </si>
  <si>
    <t xml:space="preserve">Ikke fakturerbar tid</t>
  </si>
  <si>
    <t xml:space="preserve">Hver montør har i tillegg 400 timer i året til kjøring, opplæring og garantiarbeid</t>
  </si>
  <si>
    <t xml:space="preserve">a)  Sum salgsinntekter for året, i kroner: fakturerbare timer ganger timepris, pluss materiell med påslag. De ufakturerbare timene gir ingen inntekt.</t>
  </si>
  <si>
    <t xml:space="preserve">b)  Lønnskostnad for året, i kroner: all lønn (også eierens) ganger 1 pluss sosiale kostnader.</t>
  </si>
  <si>
    <t xml:space="preserve">c)  Driftsresultat for året, i kroner: sum salgsinntekter minus varekostnad, lønnskostnad, avskrivninger og andre driftskostnader. Renter kommer etter driftsresultatet.</t>
  </si>
  <si>
    <t xml:space="preserve">d)  Hvilke av disse postene hører hjemme i resultatbudsjettet (driftsbudsjettet)? Spør for hver post: er dette en inntekt eller en kostnad i driftsåret, eller er det bare penger som flytter seg?</t>
  </si>
  <si>
    <t xml:space="preserve">      Aksjekapital 300 000 kr   (Ja eller Nei)</t>
  </si>
  <si>
    <t xml:space="preserve">      Banklån 500 000 kr   (Ja eller Nei)</t>
  </si>
  <si>
    <t xml:space="preserve">      Renter 37 500 kr   (Ja eller Nei)</t>
  </si>
  <si>
    <t xml:space="preserve">      Ufakturerbare timer, 800 timer   (Ja eller Nei)</t>
  </si>
  <si>
    <t xml:space="preserve">      Merverdiavgift 25 %   (Ja eller Nei)</t>
  </si>
  <si>
    <t xml:space="preserve">      Leasing av servicebiler 144 000 kr   (Ja eller Nei)</t>
  </si>
  <si>
    <t xml:space="preserve">e)  Hvilken forutsetning er mest usikker, og hva gjør dere hvis den slår feil? To setninger. Tips: regn hva som skjer med driftsresultatet hvis hver montør fakturerer 200 timer mindre.</t>
  </si>
  <si>
    <t xml:space="preserve">Kilde: Hjertnes, J. og Skorpen, K.: Økonomistyring for LØM-emnet, kap. 9, avsnitt 9.2–9.3 og kap. 2 om lønnskostnad. Oppsettet følger resultatregnskapet (NS 4102).</t>
  </si>
  <si>
    <t xml:space="preserve">B1 · Nordlys, første kvartal i budsjettåret: har vi penger til lønn den 15.?</t>
  </si>
  <si>
    <t xml:space="preserve">Kort oppsummert: Likviditetsbudsjettet fører pengene når de flytter seg, med mva. Sum innbetalinger − sum utbetalinger = endring i beholdning. Beholdning ved månedsstart + endring = beholdning ved månedsslutt. Ved 20 dagers kredittid kommer 1/3 av salget inkl. mva inn i salgsmåneden og 2/3 måneden etter. Feriepenger, arbeidsgiveravgift, mva og avdrag går ut av kontoen på faste datoer uten å være kostnad i perioden.</t>
  </si>
  <si>
    <t xml:space="preserve">Casen er lagt til budsjettåret 2027. Nordlys går inn i året med 982 650 kr på konto og 4 200 000 kr utestående hos kundene (2 520 000 kommer i januar og 1 680 000 i februar). Budsjettert salg uten mva er 1 800 000 i januar, 2 100 000 i februar og 2 200 000 i mars, med 20 dagers kredittid. Utbetalingene står ferdig i tabellen. Fyll inn innbetalingene fra kundene og regn ut beholdningen måned for måned. Gå fram slik: salg ganger 1,25 (mva), fordel etter kredittiden, legg til gamle fordringer og renteinntekter, trekk fra utbetalingene, legg endringen til beholdningen ved månedsstart.</t>
  </si>
  <si>
    <t xml:space="preserve">Kr</t>
  </si>
  <si>
    <t xml:space="preserve">Januar</t>
  </si>
  <si>
    <t xml:space="preserve">Februar</t>
  </si>
  <si>
    <t xml:space="preserve">Mars</t>
  </si>
  <si>
    <t xml:space="preserve">Innbetalt fra årets salg (inkl. mva)</t>
  </si>
  <si>
    <t xml:space="preserve">Innbetalt fra kundefordringer 1. januar</t>
  </si>
  <si>
    <t xml:space="preserve">Renteinntekter</t>
  </si>
  <si>
    <t xml:space="preserve">= Sum innbetalinger</t>
  </si>
  <si>
    <t xml:space="preserve">Til leverandøren (inkl. mva)</t>
  </si>
  <si>
    <t xml:space="preserve">Arbeidsgiveravgift (termin)</t>
  </si>
  <si>
    <t xml:space="preserve">Merverdiavgift (termin)</t>
  </si>
  <si>
    <t xml:space="preserve">Andre driftskostnader (inkl. mva)</t>
  </si>
  <si>
    <t xml:space="preserve">Renter og avdrag (kvartal)</t>
  </si>
  <si>
    <t xml:space="preserve">Forhåndsskatt</t>
  </si>
  <si>
    <t xml:space="preserve">Investering, utstyr (inkl. mva)</t>
  </si>
  <si>
    <t xml:space="preserve">= Sum utbetalinger</t>
  </si>
  <si>
    <t xml:space="preserve">Beholdning ved månedsstart</t>
  </si>
  <si>
    <t xml:space="preserve">= Beholdning ved månedsslutt</t>
  </si>
  <si>
    <t xml:space="preserve">a)  Innbetalt fra årets salg i februar, i kroner: to tredeler av januarsalget pluss en tredel av februarsalget, begge med mva.</t>
  </si>
  <si>
    <t xml:space="preserve">b)  Sum innbetalinger i mars, i kroner: innbetalt fra årets salg (februar og mars) pluss renteinntekter. Ingen gamle fordringer igjen.</t>
  </si>
  <si>
    <t xml:space="preserve">c)  Beholdning på konto ved utgangen av mars, i kroner. Regn måned for måned: beholdning ved start pluss innbetalinger minus utbetalinger.</t>
  </si>
  <si>
    <t xml:space="preserve">d)  Kundene brukte 54 dager året før, ikke 20. Hva skjer med resultatbudsjettet hvis det fortsetter i budsjettåret? Tenk på når inntekten føres.   A: Det blir lavere, fordi inntektene kommer senere   B: Det endres ikke med en krone   C: Det blir høyere, fordi kundene betaler renter   (skriv bokstaven)</t>
  </si>
  <si>
    <t xml:space="preserve">e)  Kari skal i banken på fredag. Sett de fire tiltakene i rekkefølge og begrunn det første: A kortere kredittid (bunn 1 160 400, ingen måneder i minus), B utsette utstyret (bedrer bunnen 156 885), C større kassekreditt (endrer ikke budsjettet), D 15 dager lengre leverandørkreditt (løfter bunnen 491 300).</t>
  </si>
  <si>
    <t xml:space="preserve">Kilde: Hjertnes, J. og Skorpen, K.: Økonomistyring for LØM-emnet, kap. 9, avsnitt 9.4–9.7. Tallene er regnearkets ark «Likviditet». Nordlys Elektro AS er en konstruert casebedrift.</t>
  </si>
  <si>
    <t xml:space="preserve">B2 · Din egen el-bedrift: likviditeten i oppstartsmånedene</t>
  </si>
  <si>
    <t xml:space="preserve">Kort oppsummert: I oppstarten kommer pengene inn senere enn de går ut. Aksjekapital og lån er innbetalinger i likviditetsbudsjettet, selv om de aldri står i driftsbudsjettet. Alle beløp er med mva. Arbeidsgiveravgift og mva betales terminvis, ikke i måneden de oppstår.</t>
  </si>
  <si>
    <t xml:space="preserve">Fjell Elektro AS (samme bedrift som i oppgave A2) starter 1. januar med tom konto. Kundene får 30 dagers kredittid, så januarsalget betales i februar. Salg uten mva: januar 350 000, februar 400 000, mars 400 000. Utbetalingene per måned står i tabellen. Lønna er forenklet til 150 000 kr per måned; A2 gir 1 820 000 / 12 = 151 667, men rundingen gjør regningen enklere (arbeidsgiveravgift 14,1 % av 300 000 = 42 300). Fyll inn innbetalingene og regn ut saldoen måned for måned.</t>
  </si>
  <si>
    <t xml:space="preserve">Innbetalt aksjekapital</t>
  </si>
  <si>
    <t xml:space="preserve">Utbetalt banklån</t>
  </si>
  <si>
    <t xml:space="preserve">Innbetalt fra kunder (inkl. mva)</t>
  </si>
  <si>
    <t xml:space="preserve">Utstyr og verktøy (300 000 + mva)</t>
  </si>
  <si>
    <t xml:space="preserve">Materiell (inkl. mva)</t>
  </si>
  <si>
    <t xml:space="preserve">Lønn utbetalt (forenklet: 150 000)</t>
  </si>
  <si>
    <t xml:space="preserve">Lokaler</t>
  </si>
  <si>
    <t xml:space="preserve">Leasing servicebiler</t>
  </si>
  <si>
    <t xml:space="preserve">Forsikring (årspremie)</t>
  </si>
  <si>
    <t xml:space="preserve">Arbeidsgiveravgift jan.–feb. (15. mars)</t>
  </si>
  <si>
    <t xml:space="preserve">Saldo ved månedsstart</t>
  </si>
  <si>
    <t xml:space="preserve">= Saldo ved månedsslutt</t>
  </si>
  <si>
    <t xml:space="preserve">a)  Saldo på konto ved utgangen av januar, i kroner. Husk: med 30 dagers kredittid kommer ingen kundepenger i januar; aksjekapital og lån gjør.</t>
  </si>
  <si>
    <t xml:space="preserve">b)  Saldo på konto ved utgangen av mars, i kroner. Januarsalget betales i februar og februarsalget i mars, begge med mva.</t>
  </si>
  <si>
    <t xml:space="preserve">c)  Kundene betaler etter 60 dager i stedet for 30. Hva blir saldoen ved utgangen av februar? (Nå kommer januarsalget først i mars.)</t>
  </si>
  <si>
    <t xml:space="preserve">d)  Hvorfor står aksjekapitalen og banklånet her, men ikke i driftsbudsjettet i oppgave A2?   A: Fordi de er inntekter i oppstartsåret   B: Fordi likviditetsbudsjettet følger pengene, og driftsbudsjettet følger inntekter og kostnader   C: Fordi de er fradragsberettiget   (skriv bokstaven)</t>
  </si>
  <si>
    <t xml:space="preserve">e)  Hva forfaller 10. april, og hvor mye? Regn: utgående mva på salget i januar og februar, minus inngående mva på utstyr og materiell.</t>
  </si>
  <si>
    <t xml:space="preserve">Kilde: Hjertnes, J. og Skorpen, K.: Økonomistyring for LØM-emnet, kap. 9, avsnitt 9.4–9.6. Terminer: arbeidsgiveravgift 15. mars for januar–februar, mva 10. april for januar–februar (Skatteetaten).</t>
  </si>
</sst>
</file>

<file path=xl/styles.xml><?xml version="1.0" encoding="utf-8"?>
<styleSheet xmlns="http://schemas.openxmlformats.org/spreadsheetml/2006/main">
  <numFmts count="2">
    <numFmt numFmtId="164" formatCode="General"/>
    <numFmt numFmtId="165" formatCode="#,##0.##;\−#,##0.##;\0"/>
  </numFmts>
  <fonts count="10">
    <font>
      <sz val="11"/>
      <color theme="1"/>
      <name val="Calibri"/>
      <family val="2"/>
      <charset val="1"/>
    </font>
    <font>
      <sz val="10"/>
      <name val="Arial"/>
      <family val="0"/>
    </font>
    <font>
      <sz val="10"/>
      <name val="Arial"/>
      <family val="0"/>
    </font>
    <font>
      <sz val="10"/>
      <name val="Arial"/>
      <family val="0"/>
    </font>
    <font>
      <b val="true"/>
      <sz val="14"/>
      <color rgb="FF2F4A6D"/>
      <name val="Arial"/>
      <family val="0"/>
      <charset val="1"/>
    </font>
    <font>
      <i val="true"/>
      <sz val="10"/>
      <color rgb="FF5E6670"/>
      <name val="Arial"/>
      <family val="0"/>
      <charset val="1"/>
    </font>
    <font>
      <b val="true"/>
      <sz val="11"/>
      <name val="Arial"/>
      <family val="0"/>
      <charset val="1"/>
    </font>
    <font>
      <sz val="11"/>
      <name val="Arial"/>
      <family val="0"/>
      <charset val="1"/>
    </font>
    <font>
      <b val="true"/>
      <sz val="11"/>
      <color rgb="FFFFFFFF"/>
      <name val="Arial"/>
      <family val="0"/>
      <charset val="1"/>
    </font>
    <font>
      <sz val="11"/>
      <color rgb="FF0000FF"/>
      <name val="Arial"/>
      <family val="0"/>
      <charset val="1"/>
    </font>
  </fonts>
  <fills count="5">
    <fill>
      <patternFill patternType="none"/>
    </fill>
    <fill>
      <patternFill patternType="gray125"/>
    </fill>
    <fill>
      <patternFill patternType="solid">
        <fgColor rgb="FF2F4A6D"/>
        <bgColor rgb="FF333333"/>
      </patternFill>
    </fill>
    <fill>
      <patternFill patternType="solid">
        <fgColor rgb="FFF4F6FA"/>
        <bgColor rgb="FFFFFFFF"/>
      </patternFill>
    </fill>
    <fill>
      <patternFill patternType="solid">
        <fgColor rgb="FFFFFF00"/>
        <bgColor rgb="FFFFFF00"/>
      </patternFill>
    </fill>
  </fills>
  <borders count="2">
    <border diagonalUp="false" diagonalDown="false">
      <left/>
      <right/>
      <top/>
      <bottom/>
      <diagonal/>
    </border>
    <border diagonalUp="false" diagonalDown="false">
      <left style="thin">
        <color rgb="FFDDE3EA"/>
      </left>
      <right style="thin">
        <color rgb="FFDDE3EA"/>
      </right>
      <top style="thin">
        <color rgb="FFDDE3EA"/>
      </top>
      <bottom style="thin">
        <color rgb="FFDDE3E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left" vertical="bottom" textRotation="0" wrapText="true" indent="0" shrinkToFit="false"/>
      <protection locked="true" hidden="false"/>
    </xf>
    <xf numFmtId="164" fontId="8" fillId="2" borderId="1" xfId="0" applyFont="true" applyBorder="true" applyAlignment="true" applyProtection="false">
      <alignment horizontal="right" vertical="bottom" textRotation="0" wrapText="true" indent="0" shrinkToFit="false"/>
      <protection locked="true" hidden="false"/>
    </xf>
    <xf numFmtId="164" fontId="7" fillId="0" borderId="1" xfId="0" applyFont="true" applyBorder="true" applyAlignment="true" applyProtection="false">
      <alignment horizontal="left" vertical="bottom" textRotation="0" wrapText="true" indent="0" shrinkToFit="false"/>
      <protection locked="true" hidden="false"/>
    </xf>
    <xf numFmtId="165" fontId="7" fillId="0" borderId="1" xfId="0" applyFont="true" applyBorder="true" applyAlignment="true" applyProtection="false">
      <alignment horizontal="right" vertical="bottom" textRotation="0" wrapText="false" indent="0" shrinkToFit="false"/>
      <protection locked="true" hidden="false"/>
    </xf>
    <xf numFmtId="164" fontId="7" fillId="3" borderId="1" xfId="0" applyFont="true" applyBorder="true" applyAlignment="true" applyProtection="false">
      <alignment horizontal="left" vertical="bottom" textRotation="0" wrapText="true" indent="0" shrinkToFit="false"/>
      <protection locked="true" hidden="false"/>
    </xf>
    <xf numFmtId="165" fontId="7" fillId="3" borderId="1" xfId="0" applyFont="true" applyBorder="true" applyAlignment="true" applyProtection="false">
      <alignment horizontal="right"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5" fontId="9" fillId="4"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left" vertical="bottom" textRotation="0" wrapText="true" indent="0" shrinkToFit="false"/>
      <protection locked="true" hidden="false"/>
    </xf>
    <xf numFmtId="164" fontId="6" fillId="0" borderId="1" xfId="0" applyFont="true" applyBorder="true" applyAlignment="true" applyProtection="false">
      <alignment horizontal="left" vertical="bottom" textRotation="0" wrapText="true" indent="0" shrinkToFit="false"/>
      <protection locked="true" hidden="false"/>
    </xf>
    <xf numFmtId="165" fontId="6" fillId="0" borderId="1" xfId="0" applyFont="true" applyBorder="true" applyAlignment="true" applyProtection="false">
      <alignment horizontal="right" vertical="bottom" textRotation="0" wrapText="false" indent="0" shrinkToFit="false"/>
      <protection locked="true" hidden="false"/>
    </xf>
    <xf numFmtId="165" fontId="6" fillId="3" borderId="1" xfId="0" applyFont="true" applyBorder="true" applyAlignment="true" applyProtection="fals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4F6FA"/>
      <rgbColor rgb="FFCCFFFF"/>
      <rgbColor rgb="FF660066"/>
      <rgbColor rgb="FFFF8080"/>
      <rgbColor rgb="FF0066CC"/>
      <rgbColor rgb="FFDDE3EA"/>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E6670"/>
      <rgbColor rgb="FF969696"/>
      <rgbColor rgb="FF003366"/>
      <rgbColor rgb="FF339966"/>
      <rgbColor rgb="FF003300"/>
      <rgbColor rgb="FF333300"/>
      <rgbColor rgb="FF993300"/>
      <rgbColor rgb="FF993366"/>
      <rgbColor rgb="FF2F4A6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0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row>
    <row r="5" customFormat="false" ht="15" hidden="false" customHeight="false" outlineLevel="0" collapsed="false">
      <c r="A5" s="5" t="s">
        <v>3</v>
      </c>
      <c r="B5" s="4" t="s">
        <v>4</v>
      </c>
    </row>
    <row r="6" customFormat="false" ht="15" hidden="false" customHeight="false" outlineLevel="0" collapsed="false">
      <c r="A6" s="5" t="s">
        <v>5</v>
      </c>
      <c r="B6" s="4" t="s">
        <v>6</v>
      </c>
    </row>
    <row r="7" customFormat="false" ht="15" hidden="false" customHeight="false" outlineLevel="0" collapsed="false">
      <c r="A7" s="3" t="s">
        <v>7</v>
      </c>
      <c r="B7" s="4"/>
    </row>
    <row r="8" customFormat="false" ht="15" hidden="false" customHeight="false" outlineLevel="0" collapsed="false">
      <c r="A8" s="5" t="s">
        <v>8</v>
      </c>
      <c r="B8" s="4" t="s">
        <v>9</v>
      </c>
    </row>
    <row r="9" customFormat="false" ht="15" hidden="false" customHeight="false" outlineLevel="0" collapsed="false">
      <c r="A9" s="5" t="s">
        <v>10</v>
      </c>
      <c r="B9" s="4" t="s">
        <v>11</v>
      </c>
    </row>
    <row r="10" customFormat="false" ht="15" hidden="false" customHeight="false" outlineLevel="0" collapsed="false">
      <c r="A10" s="5" t="s">
        <v>12</v>
      </c>
      <c r="B10" s="4" t="s">
        <v>13</v>
      </c>
    </row>
    <row r="11" customFormat="false" ht="15" hidden="false" customHeight="false" outlineLevel="0" collapsed="false">
      <c r="A11" s="5" t="s">
        <v>14</v>
      </c>
      <c r="B11" s="4" t="s">
        <v>15</v>
      </c>
    </row>
    <row r="12" customFormat="false" ht="15" hidden="false" customHeight="false" outlineLevel="0" collapsed="false">
      <c r="A12" s="3" t="s">
        <v>16</v>
      </c>
      <c r="B12" s="4" t="s">
        <v>17</v>
      </c>
    </row>
    <row r="13" customFormat="false" ht="15" hidden="false" customHeight="false" outlineLevel="0" collapsed="false">
      <c r="A13" s="3" t="s">
        <v>18</v>
      </c>
      <c r="B13" s="4" t="s">
        <v>19</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20</v>
      </c>
    </row>
    <row r="2" customFormat="false" ht="15" hidden="false" customHeight="false" outlineLevel="0" collapsed="false">
      <c r="A2" s="2" t="s">
        <v>21</v>
      </c>
    </row>
    <row r="4" customFormat="false" ht="63.75" hidden="false" customHeight="true" outlineLevel="0" collapsed="false">
      <c r="A4" s="6" t="s">
        <v>22</v>
      </c>
      <c r="B4" s="6"/>
      <c r="C4" s="6"/>
      <c r="D4" s="6"/>
      <c r="E4" s="6"/>
      <c r="F4" s="6"/>
      <c r="G4" s="6"/>
    </row>
    <row r="5" customFormat="false" ht="78.75" hidden="false" customHeight="true" outlineLevel="0" collapsed="false">
      <c r="A5" s="7" t="s">
        <v>23</v>
      </c>
      <c r="B5" s="7"/>
      <c r="C5" s="7"/>
      <c r="D5" s="7"/>
      <c r="E5" s="7"/>
      <c r="F5" s="7"/>
      <c r="G5" s="7"/>
    </row>
    <row r="7" customFormat="false" ht="26.85" hidden="false" customHeight="false" outlineLevel="0" collapsed="false">
      <c r="A7" s="8" t="s">
        <v>24</v>
      </c>
      <c r="B7" s="9" t="s">
        <v>25</v>
      </c>
      <c r="C7" s="9" t="s">
        <v>26</v>
      </c>
    </row>
    <row r="8" customFormat="false" ht="15" hidden="false" customHeight="false" outlineLevel="0" collapsed="false">
      <c r="A8" s="10" t="s">
        <v>27</v>
      </c>
      <c r="B8" s="11" t="n">
        <v>6100000</v>
      </c>
      <c r="C8" s="11" t="n">
        <v>6350000</v>
      </c>
    </row>
    <row r="9" customFormat="false" ht="15" hidden="false" customHeight="false" outlineLevel="0" collapsed="false">
      <c r="A9" s="12" t="s">
        <v>28</v>
      </c>
      <c r="B9" s="13" t="n">
        <v>2287500</v>
      </c>
      <c r="C9" s="13" t="n">
        <v>2476500</v>
      </c>
    </row>
    <row r="10" customFormat="false" ht="15" hidden="false" customHeight="false" outlineLevel="0" collapsed="false">
      <c r="A10" s="10" t="s">
        <v>29</v>
      </c>
      <c r="B10" s="11" t="n">
        <v>2683632</v>
      </c>
      <c r="C10" s="11" t="n">
        <v>2760000</v>
      </c>
    </row>
    <row r="11" customFormat="false" ht="15" hidden="false" customHeight="false" outlineLevel="0" collapsed="false">
      <c r="A11" s="12" t="s">
        <v>30</v>
      </c>
      <c r="B11" s="13" t="n">
        <v>165000</v>
      </c>
      <c r="C11" s="13" t="n">
        <v>165000</v>
      </c>
    </row>
    <row r="12" customFormat="false" ht="15" hidden="false" customHeight="false" outlineLevel="0" collapsed="false">
      <c r="A12" s="10" t="s">
        <v>31</v>
      </c>
      <c r="B12" s="11" t="n">
        <v>375000</v>
      </c>
      <c r="C12" s="11" t="n">
        <v>410000</v>
      </c>
    </row>
    <row r="13" customFormat="false" ht="15" hidden="false" customHeight="false" outlineLevel="0" collapsed="false">
      <c r="A13" s="12" t="s">
        <v>32</v>
      </c>
      <c r="B13" s="13" t="n">
        <v>588868</v>
      </c>
      <c r="C13" s="13" t="n">
        <v>538500</v>
      </c>
    </row>
    <row r="14" customFormat="false" ht="15" hidden="false" customHeight="true" outlineLevel="0" collapsed="false">
      <c r="A14" s="6" t="s">
        <v>33</v>
      </c>
      <c r="B14" s="6"/>
      <c r="C14" s="6"/>
      <c r="D14" s="6"/>
      <c r="E14" s="6"/>
      <c r="F14" s="6"/>
      <c r="G14" s="6"/>
    </row>
    <row r="16" customFormat="false" ht="15" hidden="false" customHeight="false" outlineLevel="0" collapsed="false">
      <c r="A16" s="14" t="s">
        <v>34</v>
      </c>
      <c r="B16" s="14"/>
      <c r="C16" s="14"/>
      <c r="D16" s="14"/>
      <c r="E16" s="14"/>
      <c r="F16" s="14" t="s">
        <v>35</v>
      </c>
      <c r="G16" s="14" t="s">
        <v>36</v>
      </c>
    </row>
    <row r="17" customFormat="false" ht="33.75" hidden="false" customHeight="true" outlineLevel="0" collapsed="false">
      <c r="A17" s="7" t="s">
        <v>37</v>
      </c>
      <c r="B17" s="7"/>
      <c r="C17" s="7"/>
      <c r="D17" s="7"/>
      <c r="E17" s="7"/>
      <c r="F17" s="15"/>
      <c r="G17" s="16" t="str">
        <f aca="false">IF(F17="","",IF(ABS(F17-(250000))&lt;=0.000000001,"Riktig","Prøv igjen"))</f>
        <v/>
      </c>
    </row>
    <row r="18" customFormat="false" ht="33.75" hidden="false" customHeight="true" outlineLevel="0" collapsed="false">
      <c r="A18" s="7" t="s">
        <v>38</v>
      </c>
      <c r="B18" s="7"/>
      <c r="C18" s="7"/>
      <c r="D18" s="7"/>
      <c r="E18" s="7"/>
      <c r="F18" s="15"/>
      <c r="G18" s="16" t="str">
        <f aca="false">IF(F18="","",IF(ABS(F18-(-189000))&lt;=0.000000001,"Riktig","Prøv igjen"))</f>
        <v/>
      </c>
    </row>
    <row r="19" customFormat="false" ht="33.75" hidden="false" customHeight="true" outlineLevel="0" collapsed="false">
      <c r="A19" s="7" t="s">
        <v>39</v>
      </c>
      <c r="B19" s="7"/>
      <c r="C19" s="7"/>
      <c r="D19" s="7"/>
      <c r="E19" s="7"/>
      <c r="F19" s="15"/>
      <c r="G19" s="16" t="str">
        <f aca="false">IF(F19="","",IF(ABS(F19-(-50368))&lt;=0.000000001,"Riktig","Prøv igjen"))</f>
        <v/>
      </c>
    </row>
    <row r="20" customFormat="false" ht="48.75" hidden="false" customHeight="true" outlineLevel="0" collapsed="false">
      <c r="A20" s="7" t="s">
        <v>40</v>
      </c>
      <c r="B20" s="7"/>
      <c r="C20" s="7"/>
      <c r="D20" s="7"/>
      <c r="E20" s="7"/>
      <c r="F20" s="15"/>
      <c r="G20" s="16" t="str">
        <f aca="false">IF(F20="","",IF(ABS(F20-(39))&lt;=0.1,"Riktig","Prøv igjen"))</f>
        <v/>
      </c>
    </row>
    <row r="21" customFormat="false" ht="33.75" hidden="false" customHeight="true" outlineLevel="0" collapsed="false">
      <c r="A21" s="7" t="s">
        <v>41</v>
      </c>
      <c r="B21" s="7"/>
      <c r="C21" s="7"/>
      <c r="D21" s="7"/>
      <c r="E21" s="7"/>
    </row>
    <row r="22" customFormat="false" ht="15" hidden="false" customHeight="false" outlineLevel="0" collapsed="false">
      <c r="A22" s="17"/>
      <c r="B22" s="17"/>
      <c r="C22" s="17"/>
      <c r="D22" s="17"/>
      <c r="E22" s="17"/>
      <c r="F22" s="17"/>
      <c r="G22" s="17"/>
    </row>
    <row r="23" customFormat="false" ht="15" hidden="false" customHeight="false" outlineLevel="0" collapsed="false">
      <c r="A23" s="17"/>
      <c r="B23" s="17"/>
      <c r="C23" s="17"/>
      <c r="D23" s="17"/>
      <c r="E23" s="17"/>
      <c r="F23" s="17"/>
      <c r="G23" s="17"/>
    </row>
    <row r="24" customFormat="false" ht="15" hidden="false" customHeight="false" outlineLevel="0" collapsed="false">
      <c r="A24" s="17"/>
      <c r="B24" s="17"/>
      <c r="C24" s="17"/>
      <c r="D24" s="17"/>
      <c r="E24" s="17"/>
      <c r="F24" s="17"/>
      <c r="G24" s="17"/>
    </row>
    <row r="26" customFormat="false" ht="33.75" hidden="false" customHeight="true" outlineLevel="0" collapsed="false">
      <c r="A26" s="6" t="s">
        <v>42</v>
      </c>
      <c r="B26" s="6"/>
      <c r="C26" s="6"/>
      <c r="D26" s="6"/>
      <c r="E26" s="6"/>
      <c r="F26" s="6"/>
      <c r="G26" s="6"/>
    </row>
    <row r="27" customFormat="false" ht="15" hidden="false" customHeight="true" outlineLevel="0" collapsed="false">
      <c r="A27" s="6" t="s">
        <v>43</v>
      </c>
      <c r="B27" s="6"/>
      <c r="C27" s="6"/>
      <c r="D27" s="6"/>
      <c r="E27" s="6"/>
      <c r="F27" s="6"/>
      <c r="G27" s="6"/>
    </row>
  </sheetData>
  <mergeCells count="12">
    <mergeCell ref="A4:G4"/>
    <mergeCell ref="A5:G5"/>
    <mergeCell ref="A14:G14"/>
    <mergeCell ref="A16:E16"/>
    <mergeCell ref="A17:E17"/>
    <mergeCell ref="A18:E18"/>
    <mergeCell ref="A19:E19"/>
    <mergeCell ref="A20:E20"/>
    <mergeCell ref="A21:E21"/>
    <mergeCell ref="A22:G24"/>
    <mergeCell ref="A26:G26"/>
    <mergeCell ref="A27:G27"/>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44</v>
      </c>
    </row>
    <row r="2" customFormat="false" ht="15" hidden="false" customHeight="false" outlineLevel="0" collapsed="false">
      <c r="A2" s="2" t="s">
        <v>21</v>
      </c>
    </row>
    <row r="4" customFormat="false" ht="63.75" hidden="false" customHeight="true" outlineLevel="0" collapsed="false">
      <c r="A4" s="6" t="s">
        <v>45</v>
      </c>
      <c r="B4" s="6"/>
      <c r="C4" s="6"/>
      <c r="D4" s="6"/>
      <c r="E4" s="6"/>
      <c r="F4" s="6"/>
      <c r="G4" s="6"/>
    </row>
    <row r="5" customFormat="false" ht="93.75" hidden="false" customHeight="true" outlineLevel="0" collapsed="false">
      <c r="A5" s="7" t="s">
        <v>46</v>
      </c>
      <c r="B5" s="7"/>
      <c r="C5" s="7"/>
      <c r="D5" s="7"/>
      <c r="E5" s="7"/>
      <c r="F5" s="7"/>
      <c r="G5" s="7"/>
    </row>
    <row r="7" customFormat="false" ht="15" hidden="false" customHeight="false" outlineLevel="0" collapsed="false">
      <c r="A7" s="14" t="s">
        <v>47</v>
      </c>
      <c r="B7" s="14" t="s">
        <v>48</v>
      </c>
      <c r="C7" s="14"/>
      <c r="D7" s="14"/>
      <c r="E7" s="14"/>
      <c r="F7" s="14"/>
      <c r="G7" s="14"/>
    </row>
    <row r="8" customFormat="false" ht="18.75" hidden="false" customHeight="true" outlineLevel="0" collapsed="false">
      <c r="A8" s="18" t="s">
        <v>49</v>
      </c>
      <c r="B8" s="7" t="s">
        <v>50</v>
      </c>
      <c r="C8" s="7"/>
      <c r="D8" s="7"/>
      <c r="E8" s="7"/>
      <c r="F8" s="7"/>
      <c r="G8" s="7"/>
    </row>
    <row r="9" customFormat="false" ht="18.75" hidden="false" customHeight="true" outlineLevel="0" collapsed="false">
      <c r="A9" s="18" t="s">
        <v>51</v>
      </c>
      <c r="B9" s="7" t="s">
        <v>52</v>
      </c>
      <c r="C9" s="7"/>
      <c r="D9" s="7"/>
      <c r="E9" s="7"/>
      <c r="F9" s="7"/>
      <c r="G9" s="7"/>
    </row>
    <row r="10" customFormat="false" ht="18.75" hidden="false" customHeight="true" outlineLevel="0" collapsed="false">
      <c r="A10" s="18" t="s">
        <v>53</v>
      </c>
      <c r="B10" s="7" t="s">
        <v>54</v>
      </c>
      <c r="C10" s="7"/>
      <c r="D10" s="7"/>
      <c r="E10" s="7"/>
      <c r="F10" s="7"/>
      <c r="G10" s="7"/>
    </row>
    <row r="11" customFormat="false" ht="18.75" hidden="false" customHeight="true" outlineLevel="0" collapsed="false">
      <c r="A11" s="18" t="s">
        <v>55</v>
      </c>
      <c r="B11" s="7" t="s">
        <v>56</v>
      </c>
      <c r="C11" s="7"/>
      <c r="D11" s="7"/>
      <c r="E11" s="7"/>
      <c r="F11" s="7"/>
      <c r="G11" s="7"/>
    </row>
    <row r="12" customFormat="false" ht="18.75" hidden="false" customHeight="true" outlineLevel="0" collapsed="false">
      <c r="A12" s="18" t="s">
        <v>57</v>
      </c>
      <c r="B12" s="7" t="s">
        <v>58</v>
      </c>
      <c r="C12" s="7"/>
      <c r="D12" s="7"/>
      <c r="E12" s="7"/>
      <c r="F12" s="7"/>
      <c r="G12" s="7"/>
    </row>
    <row r="13" customFormat="false" ht="18.75" hidden="false" customHeight="true" outlineLevel="0" collapsed="false">
      <c r="A13" s="18" t="s">
        <v>59</v>
      </c>
      <c r="B13" s="7" t="s">
        <v>60</v>
      </c>
      <c r="C13" s="7"/>
      <c r="D13" s="7"/>
      <c r="E13" s="7"/>
      <c r="F13" s="7"/>
      <c r="G13" s="7"/>
    </row>
    <row r="14" customFormat="false" ht="33.75" hidden="false" customHeight="true" outlineLevel="0" collapsed="false">
      <c r="A14" s="18" t="s">
        <v>31</v>
      </c>
      <c r="B14" s="7" t="s">
        <v>61</v>
      </c>
      <c r="C14" s="7"/>
      <c r="D14" s="7"/>
      <c r="E14" s="7"/>
      <c r="F14" s="7"/>
      <c r="G14" s="7"/>
    </row>
    <row r="15" customFormat="false" ht="18.75" hidden="false" customHeight="true" outlineLevel="0" collapsed="false">
      <c r="A15" s="18" t="s">
        <v>62</v>
      </c>
      <c r="B15" s="7" t="s">
        <v>63</v>
      </c>
      <c r="C15" s="7"/>
      <c r="D15" s="7"/>
      <c r="E15" s="7"/>
      <c r="F15" s="7"/>
      <c r="G15" s="7"/>
    </row>
    <row r="16" customFormat="false" ht="18.75" hidden="false" customHeight="true" outlineLevel="0" collapsed="false">
      <c r="A16" s="18" t="s">
        <v>64</v>
      </c>
      <c r="B16" s="7" t="s">
        <v>65</v>
      </c>
      <c r="C16" s="7"/>
      <c r="D16" s="7"/>
      <c r="E16" s="7"/>
      <c r="F16" s="7"/>
      <c r="G16" s="7"/>
    </row>
    <row r="18" customFormat="false" ht="15" hidden="false" customHeight="false" outlineLevel="0" collapsed="false">
      <c r="A18" s="14" t="s">
        <v>34</v>
      </c>
      <c r="B18" s="14"/>
      <c r="C18" s="14"/>
      <c r="D18" s="14"/>
      <c r="E18" s="14"/>
      <c r="F18" s="14" t="s">
        <v>35</v>
      </c>
      <c r="G18" s="14" t="s">
        <v>36</v>
      </c>
    </row>
    <row r="19" customFormat="false" ht="33.75" hidden="false" customHeight="true" outlineLevel="0" collapsed="false">
      <c r="A19" s="7" t="s">
        <v>66</v>
      </c>
      <c r="B19" s="7"/>
      <c r="C19" s="7"/>
      <c r="D19" s="7"/>
      <c r="E19" s="7"/>
      <c r="F19" s="15"/>
      <c r="G19" s="16" t="str">
        <f aca="false">IF(F19="","",IF(ABS(F19-(4795000))&lt;=0.000000001,"Riktig","Prøv igjen"))</f>
        <v/>
      </c>
    </row>
    <row r="20" customFormat="false" ht="18.75" hidden="false" customHeight="true" outlineLevel="0" collapsed="false">
      <c r="A20" s="7" t="s">
        <v>67</v>
      </c>
      <c r="B20" s="7"/>
      <c r="C20" s="7"/>
      <c r="D20" s="7"/>
      <c r="E20" s="7"/>
      <c r="F20" s="15"/>
      <c r="G20" s="16" t="str">
        <f aca="false">IF(F20="","",IF(ABS(F20-(2671760))&lt;=0.000000001,"Riktig","Prøv igjen"))</f>
        <v/>
      </c>
    </row>
    <row r="21" customFormat="false" ht="33.75" hidden="false" customHeight="true" outlineLevel="0" collapsed="false">
      <c r="A21" s="7" t="s">
        <v>68</v>
      </c>
      <c r="B21" s="7"/>
      <c r="C21" s="7"/>
      <c r="D21" s="7"/>
      <c r="E21" s="7"/>
      <c r="F21" s="15"/>
      <c r="G21" s="16" t="str">
        <f aca="false">IF(F21="","",IF(ABS(F21-(144240))&lt;=0.000000001,"Riktig","Prøv igjen"))</f>
        <v/>
      </c>
    </row>
    <row r="22" customFormat="false" ht="48.75" hidden="false" customHeight="true" outlineLevel="0" collapsed="false">
      <c r="A22" s="7" t="s">
        <v>69</v>
      </c>
      <c r="B22" s="7"/>
      <c r="C22" s="7"/>
      <c r="D22" s="7"/>
      <c r="E22" s="7"/>
    </row>
    <row r="23" customFormat="false" ht="15" hidden="false" customHeight="true" outlineLevel="0" collapsed="false">
      <c r="A23" s="7" t="s">
        <v>70</v>
      </c>
      <c r="B23" s="7"/>
      <c r="C23" s="7"/>
      <c r="D23" s="7"/>
      <c r="E23" s="7"/>
      <c r="F23" s="19"/>
      <c r="G23" s="16" t="str">
        <f aca="false">IF(F23="","",IF(UPPER(TRIM(F23))="NEI","Riktig","Prøv igjen"))</f>
        <v/>
      </c>
    </row>
    <row r="24" customFormat="false" ht="15" hidden="false" customHeight="true" outlineLevel="0" collapsed="false">
      <c r="A24" s="7" t="s">
        <v>71</v>
      </c>
      <c r="B24" s="7"/>
      <c r="C24" s="7"/>
      <c r="D24" s="7"/>
      <c r="E24" s="7"/>
      <c r="F24" s="19"/>
      <c r="G24" s="16" t="str">
        <f aca="false">IF(F24="","",IF(UPPER(TRIM(F24))="NEI","Riktig","Prøv igjen"))</f>
        <v/>
      </c>
    </row>
    <row r="25" customFormat="false" ht="15" hidden="false" customHeight="true" outlineLevel="0" collapsed="false">
      <c r="A25" s="7" t="s">
        <v>72</v>
      </c>
      <c r="B25" s="7"/>
      <c r="C25" s="7"/>
      <c r="D25" s="7"/>
      <c r="E25" s="7"/>
      <c r="F25" s="19"/>
      <c r="G25" s="16" t="str">
        <f aca="false">IF(F25="","",IF(UPPER(TRIM(F25))="JA","Riktig","Prøv igjen"))</f>
        <v/>
      </c>
    </row>
    <row r="26" customFormat="false" ht="15" hidden="false" customHeight="true" outlineLevel="0" collapsed="false">
      <c r="A26" s="7" t="s">
        <v>73</v>
      </c>
      <c r="B26" s="7"/>
      <c r="C26" s="7"/>
      <c r="D26" s="7"/>
      <c r="E26" s="7"/>
      <c r="F26" s="19"/>
      <c r="G26" s="16" t="str">
        <f aca="false">IF(F26="","",IF(UPPER(TRIM(F26))="NEI","Riktig","Prøv igjen"))</f>
        <v/>
      </c>
    </row>
    <row r="27" customFormat="false" ht="15" hidden="false" customHeight="true" outlineLevel="0" collapsed="false">
      <c r="A27" s="7" t="s">
        <v>74</v>
      </c>
      <c r="B27" s="7"/>
      <c r="C27" s="7"/>
      <c r="D27" s="7"/>
      <c r="E27" s="7"/>
      <c r="F27" s="19"/>
      <c r="G27" s="16" t="str">
        <f aca="false">IF(F27="","",IF(UPPER(TRIM(F27))="NEI","Riktig","Prøv igjen"))</f>
        <v/>
      </c>
    </row>
    <row r="28" customFormat="false" ht="15" hidden="false" customHeight="true" outlineLevel="0" collapsed="false">
      <c r="A28" s="7" t="s">
        <v>75</v>
      </c>
      <c r="B28" s="7"/>
      <c r="C28" s="7"/>
      <c r="D28" s="7"/>
      <c r="E28" s="7"/>
      <c r="F28" s="19"/>
      <c r="G28" s="16" t="str">
        <f aca="false">IF(F28="","",IF(UPPER(TRIM(F28))="JA","Riktig","Prøv igjen"))</f>
        <v/>
      </c>
    </row>
    <row r="29" customFormat="false" ht="33.75" hidden="false" customHeight="true" outlineLevel="0" collapsed="false">
      <c r="A29" s="7" t="s">
        <v>76</v>
      </c>
      <c r="B29" s="7"/>
      <c r="C29" s="7"/>
      <c r="D29" s="7"/>
      <c r="E29" s="7"/>
    </row>
    <row r="30" customFormat="false" ht="15" hidden="false" customHeight="false" outlineLevel="0" collapsed="false">
      <c r="A30" s="17"/>
      <c r="B30" s="17"/>
      <c r="C30" s="17"/>
      <c r="D30" s="17"/>
      <c r="E30" s="17"/>
      <c r="F30" s="17"/>
      <c r="G30" s="17"/>
    </row>
    <row r="31" customFormat="false" ht="15" hidden="false" customHeight="false" outlineLevel="0" collapsed="false">
      <c r="A31" s="17"/>
      <c r="B31" s="17"/>
      <c r="C31" s="17"/>
      <c r="D31" s="17"/>
      <c r="E31" s="17"/>
      <c r="F31" s="17"/>
      <c r="G31" s="17"/>
    </row>
    <row r="32" customFormat="false" ht="15" hidden="false" customHeight="false" outlineLevel="0" collapsed="false">
      <c r="A32" s="17"/>
      <c r="B32" s="17"/>
      <c r="C32" s="17"/>
      <c r="D32" s="17"/>
      <c r="E32" s="17"/>
      <c r="F32" s="17"/>
      <c r="G32" s="17"/>
    </row>
    <row r="34" customFormat="false" ht="33.75" hidden="false" customHeight="true" outlineLevel="0" collapsed="false">
      <c r="A34" s="6" t="s">
        <v>77</v>
      </c>
      <c r="B34" s="6"/>
      <c r="C34" s="6"/>
      <c r="D34" s="6"/>
      <c r="E34" s="6"/>
      <c r="F34" s="6"/>
      <c r="G34" s="6"/>
    </row>
    <row r="35" customFormat="false" ht="15" hidden="false" customHeight="true" outlineLevel="0" collapsed="false">
      <c r="A35" s="6" t="s">
        <v>43</v>
      </c>
      <c r="B35" s="6"/>
      <c r="C35" s="6"/>
      <c r="D35" s="6"/>
      <c r="E35" s="6"/>
      <c r="F35" s="6"/>
      <c r="G35" s="6"/>
    </row>
  </sheetData>
  <mergeCells count="27">
    <mergeCell ref="A4:G4"/>
    <mergeCell ref="A5:G5"/>
    <mergeCell ref="B7:G7"/>
    <mergeCell ref="B8:G8"/>
    <mergeCell ref="B9:G9"/>
    <mergeCell ref="B10:G10"/>
    <mergeCell ref="B11:G11"/>
    <mergeCell ref="B12:G12"/>
    <mergeCell ref="B13:G13"/>
    <mergeCell ref="B14:G14"/>
    <mergeCell ref="B15:G15"/>
    <mergeCell ref="B16:G16"/>
    <mergeCell ref="A18:E18"/>
    <mergeCell ref="A19:E19"/>
    <mergeCell ref="A20:E20"/>
    <mergeCell ref="A21:E21"/>
    <mergeCell ref="A22:E22"/>
    <mergeCell ref="A23:E23"/>
    <mergeCell ref="A24:E24"/>
    <mergeCell ref="A25:E25"/>
    <mergeCell ref="A26:E26"/>
    <mergeCell ref="A27:E27"/>
    <mergeCell ref="A28:E28"/>
    <mergeCell ref="A29:E29"/>
    <mergeCell ref="A30:G32"/>
    <mergeCell ref="A34:G34"/>
    <mergeCell ref="A35:G35"/>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78</v>
      </c>
    </row>
    <row r="2" customFormat="false" ht="15" hidden="false" customHeight="false" outlineLevel="0" collapsed="false">
      <c r="A2" s="2" t="s">
        <v>21</v>
      </c>
    </row>
    <row r="4" customFormat="false" ht="63.75" hidden="false" customHeight="true" outlineLevel="0" collapsed="false">
      <c r="A4" s="6" t="s">
        <v>79</v>
      </c>
      <c r="B4" s="6"/>
      <c r="C4" s="6"/>
      <c r="D4" s="6"/>
      <c r="E4" s="6"/>
      <c r="F4" s="6"/>
      <c r="G4" s="6"/>
    </row>
    <row r="5" customFormat="false" ht="93.75" hidden="false" customHeight="true" outlineLevel="0" collapsed="false">
      <c r="A5" s="7" t="s">
        <v>80</v>
      </c>
      <c r="B5" s="7"/>
      <c r="C5" s="7"/>
      <c r="D5" s="7"/>
      <c r="E5" s="7"/>
      <c r="F5" s="7"/>
      <c r="G5" s="7"/>
    </row>
    <row r="7" customFormat="false" ht="15" hidden="false" customHeight="false" outlineLevel="0" collapsed="false">
      <c r="A7" s="8" t="s">
        <v>81</v>
      </c>
      <c r="B7" s="9" t="s">
        <v>82</v>
      </c>
      <c r="C7" s="9" t="s">
        <v>83</v>
      </c>
      <c r="D7" s="9" t="s">
        <v>84</v>
      </c>
    </row>
    <row r="8" customFormat="false" ht="15" hidden="false" customHeight="false" outlineLevel="0" collapsed="false">
      <c r="A8" s="10" t="s">
        <v>85</v>
      </c>
      <c r="B8" s="15"/>
      <c r="C8" s="15"/>
      <c r="D8" s="15"/>
    </row>
    <row r="9" customFormat="false" ht="26.85" hidden="false" customHeight="false" outlineLevel="0" collapsed="false">
      <c r="A9" s="12" t="s">
        <v>86</v>
      </c>
      <c r="B9" s="13" t="n">
        <v>2520000</v>
      </c>
      <c r="C9" s="13" t="n">
        <v>1680000</v>
      </c>
      <c r="D9" s="13" t="n">
        <v>0</v>
      </c>
    </row>
    <row r="10" customFormat="false" ht="15" hidden="false" customHeight="false" outlineLevel="0" collapsed="false">
      <c r="A10" s="10" t="s">
        <v>87</v>
      </c>
      <c r="B10" s="11" t="n">
        <v>0</v>
      </c>
      <c r="C10" s="11" t="n">
        <v>0</v>
      </c>
      <c r="D10" s="11" t="n">
        <v>14000</v>
      </c>
    </row>
    <row r="11" customFormat="false" ht="15" hidden="false" customHeight="false" outlineLevel="0" collapsed="false">
      <c r="A11" s="20" t="s">
        <v>88</v>
      </c>
      <c r="B11" s="15"/>
      <c r="C11" s="15"/>
      <c r="D11" s="15"/>
    </row>
    <row r="12" customFormat="false" ht="15" hidden="false" customHeight="false" outlineLevel="0" collapsed="false">
      <c r="A12" s="10" t="s">
        <v>89</v>
      </c>
      <c r="B12" s="11" t="n">
        <v>2100000</v>
      </c>
      <c r="C12" s="11" t="n">
        <v>843750</v>
      </c>
      <c r="D12" s="11" t="n">
        <v>984375</v>
      </c>
    </row>
    <row r="13" customFormat="false" ht="15" hidden="false" customHeight="false" outlineLevel="0" collapsed="false">
      <c r="A13" s="12" t="s">
        <v>55</v>
      </c>
      <c r="B13" s="13" t="n">
        <v>700000</v>
      </c>
      <c r="C13" s="13" t="n">
        <v>700000</v>
      </c>
      <c r="D13" s="13" t="n">
        <v>700000</v>
      </c>
    </row>
    <row r="14" customFormat="false" ht="15" hidden="false" customHeight="false" outlineLevel="0" collapsed="false">
      <c r="A14" s="10" t="s">
        <v>90</v>
      </c>
      <c r="B14" s="11" t="n">
        <v>136000</v>
      </c>
      <c r="C14" s="11" t="n">
        <v>0</v>
      </c>
      <c r="D14" s="11" t="n">
        <v>197400</v>
      </c>
    </row>
    <row r="15" customFormat="false" ht="15" hidden="false" customHeight="false" outlineLevel="0" collapsed="false">
      <c r="A15" s="12" t="s">
        <v>91</v>
      </c>
      <c r="B15" s="13" t="n">
        <v>0</v>
      </c>
      <c r="C15" s="13" t="n">
        <v>1064000</v>
      </c>
      <c r="D15" s="13" t="n">
        <v>0</v>
      </c>
    </row>
    <row r="16" customFormat="false" ht="15" hidden="false" customHeight="false" outlineLevel="0" collapsed="false">
      <c r="A16" s="10" t="s">
        <v>92</v>
      </c>
      <c r="B16" s="11" t="n">
        <v>156250</v>
      </c>
      <c r="C16" s="11" t="n">
        <v>156250</v>
      </c>
      <c r="D16" s="11" t="n">
        <v>156250</v>
      </c>
    </row>
    <row r="17" customFormat="false" ht="15" hidden="false" customHeight="false" outlineLevel="0" collapsed="false">
      <c r="A17" s="12" t="s">
        <v>93</v>
      </c>
      <c r="B17" s="13" t="n">
        <v>0</v>
      </c>
      <c r="C17" s="13" t="n">
        <v>0</v>
      </c>
      <c r="D17" s="13" t="n">
        <v>192500</v>
      </c>
    </row>
    <row r="18" customFormat="false" ht="15" hidden="false" customHeight="false" outlineLevel="0" collapsed="false">
      <c r="A18" s="10" t="s">
        <v>94</v>
      </c>
      <c r="B18" s="11" t="n">
        <v>0</v>
      </c>
      <c r="C18" s="11" t="n">
        <v>128425</v>
      </c>
      <c r="D18" s="11" t="n">
        <v>0</v>
      </c>
    </row>
    <row r="19" customFormat="false" ht="15" hidden="false" customHeight="false" outlineLevel="0" collapsed="false">
      <c r="A19" s="12" t="s">
        <v>95</v>
      </c>
      <c r="B19" s="13" t="n">
        <v>0</v>
      </c>
      <c r="C19" s="13" t="n">
        <v>0</v>
      </c>
      <c r="D19" s="13" t="n">
        <v>600000</v>
      </c>
    </row>
    <row r="20" customFormat="false" ht="15" hidden="false" customHeight="false" outlineLevel="0" collapsed="false">
      <c r="A20" s="21" t="s">
        <v>96</v>
      </c>
      <c r="B20" s="22" t="n">
        <v>3092250</v>
      </c>
      <c r="C20" s="22" t="n">
        <v>2892425</v>
      </c>
      <c r="D20" s="22" t="n">
        <v>2830525</v>
      </c>
    </row>
    <row r="21" customFormat="false" ht="15" hidden="false" customHeight="false" outlineLevel="0" collapsed="false">
      <c r="A21" s="12" t="s">
        <v>97</v>
      </c>
      <c r="B21" s="13" t="n">
        <v>982650</v>
      </c>
      <c r="C21" s="15"/>
      <c r="D21" s="15"/>
    </row>
    <row r="22" customFormat="false" ht="15" hidden="false" customHeight="false" outlineLevel="0" collapsed="false">
      <c r="A22" s="21" t="s">
        <v>98</v>
      </c>
      <c r="B22" s="15"/>
      <c r="C22" s="15"/>
      <c r="D22" s="15"/>
    </row>
    <row r="23" customFormat="false" ht="15" hidden="false" customHeight="true" outlineLevel="0" collapsed="false">
      <c r="A23" s="6" t="s">
        <v>33</v>
      </c>
      <c r="B23" s="6"/>
      <c r="C23" s="6"/>
      <c r="D23" s="6"/>
      <c r="E23" s="6"/>
      <c r="F23" s="6"/>
      <c r="G23" s="6"/>
    </row>
    <row r="25" customFormat="false" ht="15" hidden="false" customHeight="false" outlineLevel="0" collapsed="false">
      <c r="A25" s="14" t="s">
        <v>34</v>
      </c>
      <c r="B25" s="14"/>
      <c r="C25" s="14"/>
      <c r="D25" s="14"/>
      <c r="E25" s="14"/>
      <c r="F25" s="14" t="s">
        <v>35</v>
      </c>
      <c r="G25" s="14" t="s">
        <v>36</v>
      </c>
    </row>
    <row r="26" customFormat="false" ht="33.75" hidden="false" customHeight="true" outlineLevel="0" collapsed="false">
      <c r="A26" s="7" t="s">
        <v>99</v>
      </c>
      <c r="B26" s="7"/>
      <c r="C26" s="7"/>
      <c r="D26" s="7"/>
      <c r="E26" s="7"/>
      <c r="F26" s="15"/>
      <c r="G26" s="16" t="str">
        <f aca="false">IF(F26="","",IF(ABS(F26-(2375000))&lt;=0.000000001,"Riktig","Prøv igjen"))</f>
        <v/>
      </c>
    </row>
    <row r="27" customFormat="false" ht="33.75" hidden="false" customHeight="true" outlineLevel="0" collapsed="false">
      <c r="A27" s="7" t="s">
        <v>100</v>
      </c>
      <c r="B27" s="7"/>
      <c r="C27" s="7"/>
      <c r="D27" s="7"/>
      <c r="E27" s="7"/>
      <c r="F27" s="15"/>
      <c r="G27" s="16" t="str">
        <f aca="false">IF(F27="","",IF(ABS(F27-(2680667))&lt;=1,"Riktig","Prøv igjen"))</f>
        <v/>
      </c>
    </row>
    <row r="28" customFormat="false" ht="33.75" hidden="false" customHeight="true" outlineLevel="0" collapsed="false">
      <c r="A28" s="7" t="s">
        <v>101</v>
      </c>
      <c r="B28" s="7"/>
      <c r="C28" s="7"/>
      <c r="D28" s="7"/>
      <c r="E28" s="7"/>
      <c r="F28" s="15"/>
      <c r="G28" s="16" t="str">
        <f aca="false">IF(F28="","",IF(ABS(F28-(2173117))&lt;=1,"Riktig","Prøv igjen"))</f>
        <v/>
      </c>
    </row>
    <row r="29" customFormat="false" ht="63.75" hidden="false" customHeight="true" outlineLevel="0" collapsed="false">
      <c r="A29" s="7" t="s">
        <v>102</v>
      </c>
      <c r="B29" s="7"/>
      <c r="C29" s="7"/>
      <c r="D29" s="7"/>
      <c r="E29" s="7"/>
      <c r="F29" s="19"/>
      <c r="G29" s="16" t="str">
        <f aca="false">IF(F29="","",IF(UPPER(TRIM(F29))="B","Riktig","Prøv igjen"))</f>
        <v/>
      </c>
    </row>
    <row r="30" customFormat="false" ht="63.75" hidden="false" customHeight="true" outlineLevel="0" collapsed="false">
      <c r="A30" s="7" t="s">
        <v>103</v>
      </c>
      <c r="B30" s="7"/>
      <c r="C30" s="7"/>
      <c r="D30" s="7"/>
      <c r="E30" s="7"/>
    </row>
    <row r="31" customFormat="false" ht="15" hidden="false" customHeight="false" outlineLevel="0" collapsed="false">
      <c r="A31" s="17"/>
      <c r="B31" s="17"/>
      <c r="C31" s="17"/>
      <c r="D31" s="17"/>
      <c r="E31" s="17"/>
      <c r="F31" s="17"/>
      <c r="G31" s="17"/>
    </row>
    <row r="32" customFormat="false" ht="15" hidden="false" customHeight="false" outlineLevel="0" collapsed="false">
      <c r="A32" s="17"/>
      <c r="B32" s="17"/>
      <c r="C32" s="17"/>
      <c r="D32" s="17"/>
      <c r="E32" s="17"/>
      <c r="F32" s="17"/>
      <c r="G32" s="17"/>
    </row>
    <row r="33" customFormat="false" ht="15" hidden="false" customHeight="false" outlineLevel="0" collapsed="false">
      <c r="A33" s="17"/>
      <c r="B33" s="17"/>
      <c r="C33" s="17"/>
      <c r="D33" s="17"/>
      <c r="E33" s="17"/>
      <c r="F33" s="17"/>
      <c r="G33" s="17"/>
    </row>
    <row r="35" customFormat="false" ht="33.75" hidden="false" customHeight="true" outlineLevel="0" collapsed="false">
      <c r="A35" s="6" t="s">
        <v>104</v>
      </c>
      <c r="B35" s="6"/>
      <c r="C35" s="6"/>
      <c r="D35" s="6"/>
      <c r="E35" s="6"/>
      <c r="F35" s="6"/>
      <c r="G35" s="6"/>
    </row>
    <row r="36" customFormat="false" ht="15" hidden="false" customHeight="true" outlineLevel="0" collapsed="false">
      <c r="A36" s="6" t="s">
        <v>43</v>
      </c>
      <c r="B36" s="6"/>
      <c r="C36" s="6"/>
      <c r="D36" s="6"/>
      <c r="E36" s="6"/>
      <c r="F36" s="6"/>
      <c r="G36" s="6"/>
    </row>
  </sheetData>
  <mergeCells count="12">
    <mergeCell ref="A4:G4"/>
    <mergeCell ref="A5:G5"/>
    <mergeCell ref="A23:G23"/>
    <mergeCell ref="A25:E25"/>
    <mergeCell ref="A26:E26"/>
    <mergeCell ref="A27:E27"/>
    <mergeCell ref="A28:E28"/>
    <mergeCell ref="A29:E29"/>
    <mergeCell ref="A30:E30"/>
    <mergeCell ref="A31:G33"/>
    <mergeCell ref="A35:G35"/>
    <mergeCell ref="A36:G36"/>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105</v>
      </c>
    </row>
    <row r="2" customFormat="false" ht="15" hidden="false" customHeight="false" outlineLevel="0" collapsed="false">
      <c r="A2" s="2" t="s">
        <v>21</v>
      </c>
    </row>
    <row r="4" customFormat="false" ht="48.75" hidden="false" customHeight="true" outlineLevel="0" collapsed="false">
      <c r="A4" s="6" t="s">
        <v>106</v>
      </c>
      <c r="B4" s="6"/>
      <c r="C4" s="6"/>
      <c r="D4" s="6"/>
      <c r="E4" s="6"/>
      <c r="F4" s="6"/>
      <c r="G4" s="6"/>
    </row>
    <row r="5" customFormat="false" ht="78.75" hidden="false" customHeight="true" outlineLevel="0" collapsed="false">
      <c r="A5" s="7" t="s">
        <v>107</v>
      </c>
      <c r="B5" s="7"/>
      <c r="C5" s="7"/>
      <c r="D5" s="7"/>
      <c r="E5" s="7"/>
      <c r="F5" s="7"/>
      <c r="G5" s="7"/>
    </row>
    <row r="7" customFormat="false" ht="15" hidden="false" customHeight="false" outlineLevel="0" collapsed="false">
      <c r="A7" s="8" t="s">
        <v>81</v>
      </c>
      <c r="B7" s="9" t="s">
        <v>82</v>
      </c>
      <c r="C7" s="9" t="s">
        <v>83</v>
      </c>
      <c r="D7" s="9" t="s">
        <v>84</v>
      </c>
    </row>
    <row r="8" customFormat="false" ht="15" hidden="false" customHeight="false" outlineLevel="0" collapsed="false">
      <c r="A8" s="10" t="s">
        <v>108</v>
      </c>
      <c r="B8" s="11" t="n">
        <v>300000</v>
      </c>
      <c r="C8" s="11" t="n">
        <v>0</v>
      </c>
      <c r="D8" s="11" t="n">
        <v>0</v>
      </c>
    </row>
    <row r="9" customFormat="false" ht="15" hidden="false" customHeight="false" outlineLevel="0" collapsed="false">
      <c r="A9" s="12" t="s">
        <v>109</v>
      </c>
      <c r="B9" s="13" t="n">
        <v>500000</v>
      </c>
      <c r="C9" s="13" t="n">
        <v>0</v>
      </c>
      <c r="D9" s="13" t="n">
        <v>0</v>
      </c>
    </row>
    <row r="10" customFormat="false" ht="15" hidden="false" customHeight="false" outlineLevel="0" collapsed="false">
      <c r="A10" s="10" t="s">
        <v>110</v>
      </c>
      <c r="B10" s="15"/>
      <c r="C10" s="15"/>
      <c r="D10" s="15"/>
    </row>
    <row r="11" customFormat="false" ht="15" hidden="false" customHeight="false" outlineLevel="0" collapsed="false">
      <c r="A11" s="20" t="s">
        <v>88</v>
      </c>
      <c r="B11" s="15"/>
      <c r="C11" s="15"/>
      <c r="D11" s="15"/>
    </row>
    <row r="12" customFormat="false" ht="15" hidden="false" customHeight="false" outlineLevel="0" collapsed="false">
      <c r="A12" s="10" t="s">
        <v>111</v>
      </c>
      <c r="B12" s="11" t="n">
        <v>375000</v>
      </c>
      <c r="C12" s="11" t="n">
        <v>0</v>
      </c>
      <c r="D12" s="11" t="n">
        <v>0</v>
      </c>
    </row>
    <row r="13" customFormat="false" ht="15" hidden="false" customHeight="false" outlineLevel="0" collapsed="false">
      <c r="A13" s="12" t="s">
        <v>112</v>
      </c>
      <c r="B13" s="13" t="n">
        <v>175000</v>
      </c>
      <c r="C13" s="13" t="n">
        <v>150000</v>
      </c>
      <c r="D13" s="13" t="n">
        <v>150000</v>
      </c>
    </row>
    <row r="14" customFormat="false" ht="15" hidden="false" customHeight="false" outlineLevel="0" collapsed="false">
      <c r="A14" s="10" t="s">
        <v>113</v>
      </c>
      <c r="B14" s="11" t="n">
        <v>150000</v>
      </c>
      <c r="C14" s="11" t="n">
        <v>150000</v>
      </c>
      <c r="D14" s="11" t="n">
        <v>150000</v>
      </c>
    </row>
    <row r="15" customFormat="false" ht="15" hidden="false" customHeight="false" outlineLevel="0" collapsed="false">
      <c r="A15" s="12" t="s">
        <v>114</v>
      </c>
      <c r="B15" s="13" t="n">
        <v>10000</v>
      </c>
      <c r="C15" s="13" t="n">
        <v>10000</v>
      </c>
      <c r="D15" s="13" t="n">
        <v>10000</v>
      </c>
    </row>
    <row r="16" customFormat="false" ht="15" hidden="false" customHeight="false" outlineLevel="0" collapsed="false">
      <c r="A16" s="10" t="s">
        <v>115</v>
      </c>
      <c r="B16" s="11" t="n">
        <v>12000</v>
      </c>
      <c r="C16" s="11" t="n">
        <v>12000</v>
      </c>
      <c r="D16" s="11" t="n">
        <v>12000</v>
      </c>
    </row>
    <row r="17" customFormat="false" ht="15" hidden="false" customHeight="false" outlineLevel="0" collapsed="false">
      <c r="A17" s="12" t="s">
        <v>116</v>
      </c>
      <c r="B17" s="13" t="n">
        <v>45000</v>
      </c>
      <c r="C17" s="13" t="n">
        <v>0</v>
      </c>
      <c r="D17" s="13" t="n">
        <v>0</v>
      </c>
    </row>
    <row r="18" customFormat="false" ht="26.85" hidden="false" customHeight="false" outlineLevel="0" collapsed="false">
      <c r="A18" s="10" t="s">
        <v>117</v>
      </c>
      <c r="B18" s="11" t="n">
        <v>0</v>
      </c>
      <c r="C18" s="11" t="n">
        <v>0</v>
      </c>
      <c r="D18" s="11" t="n">
        <v>42300</v>
      </c>
    </row>
    <row r="19" customFormat="false" ht="15" hidden="false" customHeight="false" outlineLevel="0" collapsed="false">
      <c r="A19" s="20" t="s">
        <v>96</v>
      </c>
      <c r="B19" s="23" t="n">
        <v>767000</v>
      </c>
      <c r="C19" s="23" t="n">
        <v>322000</v>
      </c>
      <c r="D19" s="23" t="n">
        <v>364300</v>
      </c>
    </row>
    <row r="20" customFormat="false" ht="15" hidden="false" customHeight="false" outlineLevel="0" collapsed="false">
      <c r="A20" s="10" t="s">
        <v>118</v>
      </c>
      <c r="B20" s="11" t="n">
        <v>0</v>
      </c>
      <c r="C20" s="15"/>
      <c r="D20" s="15"/>
    </row>
    <row r="21" customFormat="false" ht="15" hidden="false" customHeight="false" outlineLevel="0" collapsed="false">
      <c r="A21" s="20" t="s">
        <v>119</v>
      </c>
      <c r="B21" s="15"/>
      <c r="C21" s="15"/>
      <c r="D21" s="15"/>
    </row>
    <row r="22" customFormat="false" ht="15" hidden="false" customHeight="true" outlineLevel="0" collapsed="false">
      <c r="A22" s="6" t="s">
        <v>33</v>
      </c>
      <c r="B22" s="6"/>
      <c r="C22" s="6"/>
      <c r="D22" s="6"/>
      <c r="E22" s="6"/>
      <c r="F22" s="6"/>
      <c r="G22" s="6"/>
    </row>
    <row r="24" customFormat="false" ht="15" hidden="false" customHeight="false" outlineLevel="0" collapsed="false">
      <c r="A24" s="14" t="s">
        <v>34</v>
      </c>
      <c r="B24" s="14"/>
      <c r="C24" s="14"/>
      <c r="D24" s="14"/>
      <c r="E24" s="14"/>
      <c r="F24" s="14" t="s">
        <v>35</v>
      </c>
      <c r="G24" s="14" t="s">
        <v>36</v>
      </c>
    </row>
    <row r="25" customFormat="false" ht="33.75" hidden="false" customHeight="true" outlineLevel="0" collapsed="false">
      <c r="A25" s="7" t="s">
        <v>120</v>
      </c>
      <c r="B25" s="7"/>
      <c r="C25" s="7"/>
      <c r="D25" s="7"/>
      <c r="E25" s="7"/>
      <c r="F25" s="15"/>
      <c r="G25" s="16" t="str">
        <f aca="false">IF(F25="","",IF(ABS(F25-(33000))&lt;=0.000000001,"Riktig","Prøv igjen"))</f>
        <v/>
      </c>
    </row>
    <row r="26" customFormat="false" ht="33.75" hidden="false" customHeight="true" outlineLevel="0" collapsed="false">
      <c r="A26" s="7" t="s">
        <v>121</v>
      </c>
      <c r="B26" s="7"/>
      <c r="C26" s="7"/>
      <c r="D26" s="7"/>
      <c r="E26" s="7"/>
      <c r="F26" s="15"/>
      <c r="G26" s="16" t="str">
        <f aca="false">IF(F26="","",IF(ABS(F26-(284200))&lt;=0.000000001,"Riktig","Prøv igjen"))</f>
        <v/>
      </c>
    </row>
    <row r="27" customFormat="false" ht="33.75" hidden="false" customHeight="true" outlineLevel="0" collapsed="false">
      <c r="A27" s="7" t="s">
        <v>122</v>
      </c>
      <c r="B27" s="7"/>
      <c r="C27" s="7"/>
      <c r="D27" s="7"/>
      <c r="E27" s="7"/>
      <c r="F27" s="15"/>
      <c r="G27" s="16" t="str">
        <f aca="false">IF(F27="","",IF(ABS(F27-(-289000))&lt;=0.000000001,"Riktig","Prøv igjen"))</f>
        <v/>
      </c>
    </row>
    <row r="28" customFormat="false" ht="63.75" hidden="false" customHeight="true" outlineLevel="0" collapsed="false">
      <c r="A28" s="7" t="s">
        <v>123</v>
      </c>
      <c r="B28" s="7"/>
      <c r="C28" s="7"/>
      <c r="D28" s="7"/>
      <c r="E28" s="7"/>
      <c r="F28" s="19"/>
      <c r="G28" s="16" t="str">
        <f aca="false">IF(F28="","",IF(UPPER(TRIM(F28))="B","Riktig","Prøv igjen"))</f>
        <v/>
      </c>
    </row>
    <row r="29" customFormat="false" ht="33.75" hidden="false" customHeight="true" outlineLevel="0" collapsed="false">
      <c r="A29" s="7" t="s">
        <v>124</v>
      </c>
      <c r="B29" s="7"/>
      <c r="C29" s="7"/>
      <c r="D29" s="7"/>
      <c r="E29" s="7"/>
    </row>
    <row r="30" customFormat="false" ht="15" hidden="false" customHeight="false" outlineLevel="0" collapsed="false">
      <c r="A30" s="17"/>
      <c r="B30" s="17"/>
      <c r="C30" s="17"/>
      <c r="D30" s="17"/>
      <c r="E30" s="17"/>
      <c r="F30" s="17"/>
      <c r="G30" s="17"/>
    </row>
    <row r="31" customFormat="false" ht="15" hidden="false" customHeight="false" outlineLevel="0" collapsed="false">
      <c r="A31" s="17"/>
      <c r="B31" s="17"/>
      <c r="C31" s="17"/>
      <c r="D31" s="17"/>
      <c r="E31" s="17"/>
      <c r="F31" s="17"/>
      <c r="G31" s="17"/>
    </row>
    <row r="32" customFormat="false" ht="15" hidden="false" customHeight="false" outlineLevel="0" collapsed="false">
      <c r="A32" s="17"/>
      <c r="B32" s="17"/>
      <c r="C32" s="17"/>
      <c r="D32" s="17"/>
      <c r="E32" s="17"/>
      <c r="F32" s="17"/>
      <c r="G32" s="17"/>
    </row>
    <row r="34" customFormat="false" ht="33.75" hidden="false" customHeight="true" outlineLevel="0" collapsed="false">
      <c r="A34" s="6" t="s">
        <v>125</v>
      </c>
      <c r="B34" s="6"/>
      <c r="C34" s="6"/>
      <c r="D34" s="6"/>
      <c r="E34" s="6"/>
      <c r="F34" s="6"/>
      <c r="G34" s="6"/>
    </row>
    <row r="35" customFormat="false" ht="15" hidden="false" customHeight="true" outlineLevel="0" collapsed="false">
      <c r="A35" s="6" t="s">
        <v>43</v>
      </c>
      <c r="B35" s="6"/>
      <c r="C35" s="6"/>
      <c r="D35" s="6"/>
      <c r="E35" s="6"/>
      <c r="F35" s="6"/>
      <c r="G35" s="6"/>
    </row>
  </sheetData>
  <mergeCells count="12">
    <mergeCell ref="A4:G4"/>
    <mergeCell ref="A5:G5"/>
    <mergeCell ref="A22:G22"/>
    <mergeCell ref="A24:E24"/>
    <mergeCell ref="A25:E25"/>
    <mergeCell ref="A26:E26"/>
    <mergeCell ref="A27:E27"/>
    <mergeCell ref="A28:E28"/>
    <mergeCell ref="A29:E29"/>
    <mergeCell ref="A30:G32"/>
    <mergeCell ref="A34:G34"/>
    <mergeCell ref="A35:G35"/>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2026-10-11T08:44:02Z</dcterms:created>
  <dc:creator>openpyxl</dc:creator>
  <dc:description/>
  <dc:language>en-US</dc:language>
  <cp:lastModifiedBy/>
  <dcterms:modified xsi:type="dcterms:W3CDTF">2026-10-11T08:44:02Z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