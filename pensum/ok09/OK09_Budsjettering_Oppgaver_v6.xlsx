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<sst xmlns="http://schemas.openxmlformats.org/spreadsheetml/2006/main" count="411" uniqueCount="312">
  <si>
    <t xml:space="preserve">Budsjettering og budsjettkontroll: oppgaver til kapittel 9</t>
  </si>
  <si>
    <t xml:space="preserve">Økonomistyring for LØM-emnet (Hjertnes og Skorpen), kapittel 9. Versjon 6, oktober 2026. Nordlys Elektro AS og Fjell Elektro AS er konstruerte casebedrifter; tallene er faktaarkene, og budsjettet for 2027 er regnet fra regnskapet for 2026.</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</si>
  <si>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</si>
  <si>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</si>
  <si>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</si>
  <si>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</si>
  <si>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</si>
  <si>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</si>
  <si>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resultatbudsjett for 2027, linje for linje</t>
  </si>
  <si>
    <t xml:space="preserve">1B  Fjell Elektro: startbudsjettet for det første driftsåret</t>
  </si>
  <si>
    <t xml:space="preserve">1C  Hvor hører posten hjemme: resultatbudsjettet, likviditetsbudsjettet eller begge?</t>
  </si>
  <si>
    <t xml:space="preserve">2A  Nordlys, første kvartal 2027: har vi penger til lønn den 15.?</t>
  </si>
  <si>
    <t xml:space="preserve">2B  Fjell Elektro: likviditeten i oppstartsmånedene</t>
  </si>
  <si>
    <t xml:space="preserve">2C  Nordlys, første kvartal 2027: budsjett mot regnskap</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</si>
  <si>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</si>
  <si>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</si>
  <si>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Nordlys' resultatbudsjett for 2027, linje for linje</t>
  </si>
  <si>
    <t xml:space="preserve">Økt 1 av 3, resultatbudsjettet. Alene, i par eller i gruppe, slik du vil.</t>
  </si>
  <si>
    <t xml:space="preserve">Situasjonen</t>
  </si>
  <si>
    <t xml:space="preserve">Kari Nordlund, daglig leder i Nordlys Elektro, skal levere budsjettet for 2027 til banken og styret. Regnskapet for 2026 ligger i faktaarket, og forutsetningene for 2027 er bestemt. Du setter opp resultatbudsjettet slik boka gjør det: som resultatregnskapet, bare framover i tid, uten merverdiavgift, med én forutsetning bak hver linje.</t>
  </si>
  <si>
    <t xml:space="preserve">Begrepene du trenger</t>
  </si>
  <si>
    <t xml:space="preserve">Resultatbudsjett: forventede inntekter og kostnader for en framtidig periode, satt opp som resultatregnskapet. Varekostnad = salgsinntekt × (1 − bruttofortjeneste i prosent). Lønnskostnad = lønn × (1 + sosiale kostnader i prosent); boka bruker 46,8 %. Lineær avskrivning = anskaffelseskostnad / brukstid i år. Driftsresultat = driftsinntekter − driftskostnader; renter kommer under. Driftsmargin = driftsresultat / salgsinntekt × 100.</t>
  </si>
  <si>
    <t xml:space="preserve">Forutsetningene for 2027, én per linje</t>
  </si>
  <si>
    <t xml:space="preserve">Salgsinntekt 24 000 000 kr: 7,1 % mer enn i 2026, fordi to nye rammeavtaler er signert. Varekostnad: 37,5 % av salget, som i 2026 (8 390 000 / 22 400 000). Lønn: 7 500 000 kr i brutto lønn til alle 18 ansatte etter lønnsoppgjøret (i 2026 var den 10 660 000 / 1,468 = om lag 7 260 000), med 46,8 % sosiale kostnader etter bokas tabell 2.4. Avskrivninger: 620 000 på det bedriften har, pluss termograferingsutstyr til 480 000 kr som kjøpes i mars og avskrives lineært over 4 år, altså 120 000 i året og 10 000 per måned fra og med mars. Andre driftskostnader: 1 500 000 kr, om lag 8 % over fjorårets 1 386 000. Renteinntekter som i fjor, 56 000. Rentekostnad: 7,5 % av banklånet på 2 800 000. Avdraget på lånet er ikke en kostnad.</t>
  </si>
  <si>
    <t xml:space="preserve">Post (kroner)</t>
  </si>
  <si>
    <t xml:space="preserve">Regnskap 2026</t>
  </si>
  <si>
    <t xml:space="preserve">Budsjett 2027</t>
  </si>
  <si>
    <t xml:space="preserve">Salgsinntekt</t>
  </si>
  <si>
    <t xml:space="preserve">Varekostnad (materiell og innleie)</t>
  </si>
  <si>
    <t xml:space="preserve">Lønnskostnad (lønn med 46,8 % sosiale kostnader)</t>
  </si>
  <si>
    <t xml:space="preserve">Avskrivninger</t>
  </si>
  <si>
    <t xml:space="preserve">Andre driftskostnader</t>
  </si>
  <si>
    <t xml:space="preserve">Driftsresultat</t>
  </si>
  <si>
    <t xml:space="preserve">Renteinntekter</t>
  </si>
  <si>
    <t xml:space="preserve">Rentekostnader</t>
  </si>
  <si>
    <t xml:space="preserve">Resultat før skatt</t>
  </si>
  <si>
    <t xml:space="preserve">Oppgaven, trinn for trinn</t>
  </si>
  <si>
    <t xml:space="preserve">1. Fyll de gule cellene i budsjettkolonnen, linje for linje, ut fra forutsetningene over: varekostnad, lønnskostnad, avskrivninger, driftsresultat, rentekostnader og resultat før skatt.
2. Sjekkene under sier om hver linje stemmer, og hva du bør se på hvis ikke.
3. Svar på a og b under: driftsmarginen, og hva som skjer med driftsresultatet hvis salget svikter med 5 %.</t>
  </si>
  <si>
    <t xml:space="preserve">Sjekk av linjene i budsjettet</t>
  </si>
  <si>
    <t xml:space="preserve">Varekostnad 2027:</t>
  </si>
  <si>
    <t xml:space="preserve">Lønnskostnad 2027:</t>
  </si>
  <si>
    <t xml:space="preserve">Avskrivninger 2027:</t>
  </si>
  <si>
    <t xml:space="preserve">Driftsresultat 2027:</t>
  </si>
  <si>
    <t xml:space="preserve">Rentekostnader 2027:</t>
  </si>
  <si>
    <t xml:space="preserve">Resultat før skatt 2027:</t>
  </si>
  <si>
    <t xml:space="preserve">a) Driftsmargin 2027: driftsresultat i prosent av salgsinntekten, én desimal (skriv 7,4 for 7,4 %)</t>
  </si>
  <si>
    <t xml:space="preserve">%</t>
  </si>
  <si>
    <t xml:space="preserve">b) Driftsresultat hvis salget blir 5 % lavere enn budsjettert (varekostnaden følger salget, resten står fast)</t>
  </si>
  <si>
    <t xml:space="preserve">kr</t>
  </si>
  <si>
    <t xml:space="preserve">c) Hvilken forutsetning i budsjettet er mest usikker, og hva gjør Kari hvis den slår feil? To–tre setninger.</t>
  </si>
  <si>
    <t xml:space="preserve">Står du fast? Skriv JA i den gule cellen:</t>
  </si>
  <si>
    <t xml:space="preserve">Gule celler fyller du inn. Grønne regnes ut av arket. Sjekken til høyre forteller om svaret stemmer, og hva du bør se på hvis ikke.</t>
  </si>
  <si>
    <t xml:space="preserve">Ja</t>
  </si>
  <si>
    <t xml:space="preserve">Oppgave 1B: Fjell Elektro: startbudsjettet for det første driftsåret</t>
  </si>
  <si>
    <t xml:space="preserve">Nei</t>
  </si>
  <si>
    <t xml:space="preserve">Fjell Elektro AS er den lille bedriften som likner den dere etablerer i prosjektet «Etablering av El-bedrift»: to montører og én eier som er faglig ansvarlig og jobber halve tiden ute. Banken vil se et resultatbudsjett for det første driftsåret før den gir lån. Forutsetningene står i tabellen. Du setter opp budsjettet linje for linje og sier hva som er mest usikkert.</t>
  </si>
  <si>
    <t xml:space="preserve">Bare fakturerbare timer gir inntekt; de ikke fakturerbare er allerede betalt gjennom lønna. Eieren i et aksjeselskap er ansatt og skal ha lønn. Lønnskostnad = lønn × 1,468. Lån, aksjekapital, avdrag og merverdiavgift er ikke inntekt eller kostnad og står aldri i resultatbudsjettet. Renten er en finanskostnad under driftsresultatet.</t>
  </si>
  <si>
    <t xml:space="preserve">Forutsetning</t>
  </si>
  <si>
    <t xml:space="preserve">Verdi</t>
  </si>
  <si>
    <t xml:space="preserve">Fakturerbare timer (2 montører à 1 400 + eier 700)</t>
  </si>
  <si>
    <t xml:space="preserve">Timepris uten merverdiavgift, kr</t>
  </si>
  <si>
    <t xml:space="preserve">Materiell kjøpt inn, kr (selges med 20 % påslag)</t>
  </si>
  <si>
    <t xml:space="preserve">Lønn montører, kr per år hver (2 montører)</t>
  </si>
  <si>
    <t xml:space="preserve">Lønn eier, kr per år</t>
  </si>
  <si>
    <t xml:space="preserve">Sosiale kostnader, prosent av lønn (bokas tabell 2.4)</t>
  </si>
  <si>
    <t xml:space="preserve">46,8 %</t>
  </si>
  <si>
    <t xml:space="preserve">Utstyr og verktøy, kr (avskrives lineært over 5 år)</t>
  </si>
  <si>
    <t xml:space="preserve">Andre driftskostnader, kr (leasing 144 000, lokaler 120 000, forsikring 45 000, telefon/IT/regnskap 110 000, markedsføring 40 000, diverse 60 000)</t>
  </si>
  <si>
    <t xml:space="preserve">Banklån, kr (7,5 % rente, avdrag 100 000 per år)</t>
  </si>
  <si>
    <t xml:space="preserve">Aksjekapital, kr</t>
  </si>
  <si>
    <t xml:space="preserve">Ikke fakturerbare timer per montør (kjøring, opplæring, garanti)</t>
  </si>
  <si>
    <t xml:space="preserve">1. Regn linjene i resultatbudsjettet, a til f, i hele kroner. Bare fakturerbare timer gir inntekt. All lønn, også eierens, får sosiale kostnader. Renter kommer under driftsresultatet.
2. Sorter de seks postene i g: hører de hjemme i resultatbudsjettet eller ikke?
3. Skriv to setninger i h om den mest usikre forutsetningen.</t>
  </si>
  <si>
    <t xml:space="preserve">a) Salgsinntekter: timer × timepris + materiell med påslag</t>
  </si>
  <si>
    <t xml:space="preserve">b) Lønnskostnad: all lønn × 1,468</t>
  </si>
  <si>
    <t xml:space="preserve">c) Avskrivning: utstyr delt på brukstid</t>
  </si>
  <si>
    <t xml:space="preserve">d) Andre driftskostnader, summen av de seks postene</t>
  </si>
  <si>
    <t xml:space="preserve">e) Driftsresultat: salgsinntekter − varekostnad (materiellet til innkjøpspris) − lønnskostnad − avskrivning − andre driftskostnader</t>
  </si>
  <si>
    <t xml:space="preserve">f) Resultat før skatt: driftsresultat − renter (7,5 % av 500 000)</t>
  </si>
  <si>
    <t xml:space="preserve">g) Hører posten hjemme i resultatbudsjettet? Aksjekapital 300 000 kr</t>
  </si>
  <si>
    <t xml:space="preserve">g) Hører posten hjemme i resultatbudsjettet? Banklån 500 000 kr</t>
  </si>
  <si>
    <t xml:space="preserve">g) Hører posten hjemme i resultatbudsjettet? Renter 37 500 kr</t>
  </si>
  <si>
    <t xml:space="preserve">g) Hører posten hjemme i resultatbudsjettet? Ikke fakturerbare timer, 800 timer</t>
  </si>
  <si>
    <t xml:space="preserve">g) Hører posten hjemme i resultatbudsjettet? Merverdiavgift 25 %</t>
  </si>
  <si>
    <t xml:space="preserve">g) Hører posten hjemme i resultatbudsjettet? Leasing av servicebiler 144 000 kr</t>
  </si>
  <si>
    <t xml:space="preserve">h) Hvilken forutsetning er mest usikker, og hva gjør dere hvis den slår feil? Regn gjerne: hva skjer med driftsresultatet hvis hver montør fakturerer 200 timer mindre?</t>
  </si>
  <si>
    <t xml:space="preserve">Bare resultatbudsjettet</t>
  </si>
  <si>
    <t xml:space="preserve">Oppgave 1C: Hvor hører posten hjemme: resultatbudsjettet, likviditetsbudsjettet eller begge?</t>
  </si>
  <si>
    <t xml:space="preserve">Bare likviditetsbudsjettet</t>
  </si>
  <si>
    <t xml:space="preserve">Begge</t>
  </si>
  <si>
    <t xml:space="preserve">Sara, lærlingen hos Nordlys, har sett budsjettet og spør hvorfor avdraget på lånet ikke står der, når det er den største regningen i mars. Kari ber deg sortere ti poster fra Nordlys: hører de hjemme i resultatbudsjettet, i likviditetsbudsjettet, eller i begge? Så tre små regnestykker, og en forklaring til Sara.</t>
  </si>
  <si>
    <t xml:space="preserve">Resultatbudsjettet fører inntekter og kostnader i den perioden de oppstår, uten merverdiavgift. Likviditetsbudsjettet fører innbetalinger og utbetalinger i den måneden pengene flytter seg, med merverdiavgift. Avskrivning er en kostnad uten utbetaling. Avdrag, merverdiavgift til staten og fjorårets feriepenger er utbetalinger uten kostnad. Lån og aksjekapital er innbetalinger uten inntekt.</t>
  </si>
  <si>
    <t xml:space="preserve">Sorter de ti postene (velg i nedtrekksmenyen)</t>
  </si>
  <si>
    <t xml:space="preserve">Avskrivning på servicebilene, 620 000 kr i året</t>
  </si>
  <si>
    <t xml:space="preserve">Kjøp av termograferingsutstyr i mars, 600 000 kr med merverdiavgift</t>
  </si>
  <si>
    <t xml:space="preserve">Avdrag på banklånet, 560 000 kr i året</t>
  </si>
  <si>
    <t xml:space="preserve">Renter på banklånet, 210 000 kr</t>
  </si>
  <si>
    <t xml:space="preserve">Merverdiavgift som sendes til staten</t>
  </si>
  <si>
    <t xml:space="preserve">Feriepenger opptjent i 2026, utbetalt i juni 2027 (890 000 kr)</t>
  </si>
  <si>
    <t xml:space="preserve">Montørlønn for mars</t>
  </si>
  <si>
    <t xml:space="preserve">Materiell kjøpt og brukt i mars, betalt til Polarlys i april</t>
  </si>
  <si>
    <t xml:space="preserve">Nytt banklån på 1 000 000 kr</t>
  </si>
  <si>
    <t xml:space="preserve">Husleie for verkstedet</t>
  </si>
  <si>
    <t xml:space="preserve">Tre små regnestykker</t>
  </si>
  <si>
    <t xml:space="preserve">Nordlys bytter en servicebil: ny bil 450 000 kr uten merverdiavgift, brukstid 5 år, lineær avskrivning. Lønna i 2027 er budsjettert til 7 500 000 kr, og feriepengene er 12 % av lønna. Svar i hele kroner.</t>
  </si>
  <si>
    <t xml:space="preserve">a) Avskrivning per år på den nye bilen (står i resultatbudsjettet)</t>
  </si>
  <si>
    <t xml:space="preserve">b) Utbetaling den måneden bilen kjøpes, med merverdiavgift (står i likviditetsbudsjettet)</t>
  </si>
  <si>
    <t xml:space="preserve">c) Feriepenger opptjent i 2027 (kostnad i 2027, utbetaling i juni 2028)</t>
  </si>
  <si>
    <t xml:space="preserve">d) Forklar til Sara, lærlingen, hvorfor avdraget på banklånet ikke står i resultatbudsjettet, mens renten gjør det. To setninger.</t>
  </si>
  <si>
    <t xml:space="preserve">Det blir lavere, fordi inntektene kommer senere</t>
  </si>
  <si>
    <t xml:space="preserve">Oppgave 2A: Nordlys, første kvartal 2027: har vi penger til lønn den 15.?</t>
  </si>
  <si>
    <t xml:space="preserve">Det endres ikke med en krone</t>
  </si>
  <si>
    <t xml:space="preserve">Økt 2 av 3, likviditetsbudsjettet. Alene, i par eller i gruppe, slik du vil.</t>
  </si>
  <si>
    <t xml:space="preserve">Det blir høyere, fordi kundene betaler renter</t>
  </si>
  <si>
    <t xml:space="preserve">Budsjettet for 2027 viser 1 770 000 kr i driftsresultat. Likevel ringer regnskapsføreren: 1. januar står det 982 650 kr på driftskontoen, Polarlys skal ha 2 100 000 for materiellet fra desember, Skatteetaten skal ha 500 000 i skattetrekk fra desemberlønnen, og kundene skylder 4 200 000, men de betaler når de betaler. Kari vil se pengene måned for måned. Januar er regnet ferdig; du regner februar og mars, og så hva som skjer hvis kundene betaler senere.</t>
  </si>
  <si>
    <t xml:space="preserve">Likviditetsbudsjett: innbetalinger og utbetalinger i den måneden pengene flytter seg, alle beløp med merverdiavgift. Kredittid 20 dager: en tredel av salget betales i salgsmåneden, to tredeler måneden etter (boka regner 30 dager per måned). Innbetalingsoverskudd = sum innbetalinger − sum utbetalinger. Beholdning ved slutt = beholdning ved start + innbetalingsoverskudd. Kassekreditt: en avtalt ramme banken lar bedriften trekke på, mot rente.</t>
  </si>
  <si>
    <t xml:space="preserve">Forutsetningene</t>
  </si>
  <si>
    <t xml:space="preserve">Salg uten merverdiavgift: januar 1 800 000, februar 2 100 000, mars 2 250 000 (fra salgsbudsjettet). Kundene betaler med 25 % merverdiavgift, altså salget × 1,25, og har 20 dagers kredittid: en tredel kommer inn i salgsmåneden, to tredeler måneden etter. Kundefordringene fra 2026, 4 200 000 kr, kommer inn med 2 400 000 i januar og 1 800 000 i februar. Utbetalingene står ferdig i tabellen: leverandørgjelden fra 2026 betales i januar; materiellet (37,5 % av salget, pluss merverdiavgift) betales måneden etter kjøpet; lønn 7 500 000 / 12 = 625 000 per måned; skattetrekket fra desemberlønnen, 500 000 kr i balansen, betales til Skatteetaten i januar; arbeidsgiveravgift for november–desember 2026 (170 000) forfaller 15. januar og for januar–februar (14,1 % × 2 × 625 000 = 176 250) 15. mars; merverdiavgift for november–desember 2026 (530 000) forfaller 10. februar; andre driftskostnader 1 500 000 / 12 × 1,25 = 156 250 per måned; renter og avdrag på banklånet kvartalsvis i mars (52 500 + 140 000); forhåndsskatt 15. februar er halve fjorårets skatt (256 850 / 2); termograferingsutstyret kjøpes i mars for 480 000 × 1,25. Beholdningen på driftskontoen 1. januar er 982 650 kr (balansen).</t>
  </si>
  <si>
    <t xml:space="preserve">Kroner</t>
  </si>
  <si>
    <t xml:space="preserve">Januar</t>
  </si>
  <si>
    <t xml:space="preserve">Februar</t>
  </si>
  <si>
    <t xml:space="preserve">Mars</t>
  </si>
  <si>
    <t xml:space="preserve">Innbetalt fra kundefordringene 1. januar</t>
  </si>
  <si>
    <t xml:space="preserve">Innbetalt fra årets salg (med merverdiavgift)</t>
  </si>
  <si>
    <t xml:space="preserve">Sum innbetalinger</t>
  </si>
  <si>
    <t xml:space="preserve">Til Polarlys: leverandørgjeld 1. januar</t>
  </si>
  <si>
    <t xml:space="preserve">Til Polarlys: forrige måneds materiell (med merverdiavgift)</t>
  </si>
  <si>
    <t xml:space="preserve">Lønn og skattetrekk</t>
  </si>
  <si>
    <t xml:space="preserve">Skattetrekk fra desember 2026 (til Skatteetaten)</t>
  </si>
  <si>
    <t xml:space="preserve">Arbeidsgiveravgift (termin)</t>
  </si>
  <si>
    <t xml:space="preserve">Merverdiavgift (termin)</t>
  </si>
  <si>
    <t xml:space="preserve">Andre driftskostnader (med merverdiavgift)</t>
  </si>
  <si>
    <t xml:space="preserve">Renter og avdrag på banklånet (kvartal)</t>
  </si>
  <si>
    <t xml:space="preserve">Forhåndsskatt</t>
  </si>
  <si>
    <t xml:space="preserve">Termograferingsutstyr (med merverdiavgift)</t>
  </si>
  <si>
    <t xml:space="preserve">Sum utbetalinger</t>
  </si>
  <si>
    <t xml:space="preserve">Innbetalingsoverskudd (inn − ut)</t>
  </si>
  <si>
    <t xml:space="preserve">Beholdning ved månedsstart</t>
  </si>
  <si>
    <t xml:space="preserve">Beholdning ved månedsslutt</t>
  </si>
  <si>
    <t xml:space="preserve">1. Januar er regnet. Fyll de gule cellene for februar og mars: innbetalt fra årets salg (gang salget med 1,25 og fordel etter kredittiden), sum innbetalinger, innbetalingsoverskudd, beholdning ved månedsstart (det er beholdningen ved slutten av måneden før) og beholdning ved månedsslutt.
2. Sjekkene under sier om cellene stemmer.
3. Svar på a til d under, og skriv forklaringen i e.</t>
  </si>
  <si>
    <t xml:space="preserve">Sjekk av cellene i tabellen</t>
  </si>
  <si>
    <t xml:space="preserve">Innbetalt fra årets salg i februar:</t>
  </si>
  <si>
    <t xml:space="preserve">Innbetalt fra årets salg i mars:</t>
  </si>
  <si>
    <t xml:space="preserve">Sum innbetalinger februar:</t>
  </si>
  <si>
    <t xml:space="preserve">Sum innbetalinger mars:</t>
  </si>
  <si>
    <t xml:space="preserve">Innbetalingsoverskudd februar:</t>
  </si>
  <si>
    <t xml:space="preserve">Innbetalingsoverskudd mars:</t>
  </si>
  <si>
    <t xml:space="preserve">Beholdning ved månedsstart februar:</t>
  </si>
  <si>
    <t xml:space="preserve">Beholdning ved månedsslutt februar:</t>
  </si>
  <si>
    <t xml:space="preserve">Beholdning ved månedsstart mars:</t>
  </si>
  <si>
    <t xml:space="preserve">Beholdning ved månedsslutt mars:</t>
  </si>
  <si>
    <t xml:space="preserve">Så: hva om kundene betaler senere?</t>
  </si>
  <si>
    <t xml:space="preserve">Kundene brukte i snitt 54 dager i 2026, ikke 20. Regn med bokas 60 dager: hele salget kommer inn to måneder etter salgsmåneden, så januarsalget kommer først i mars. Kundefordringene fra 2026 og alle utbetalingene er som før. Kassekreditten har en ramme på 1 000 000 kr, og 300 000 var trukket ved årsskiftet.</t>
  </si>
  <si>
    <t xml:space="preserve">a) Beholdning ved slutten av februar ved 60 dagers kredittid</t>
  </si>
  <si>
    <t xml:space="preserve">b) Beholdning ved slutten av mars ved 60 dagers kredittid</t>
  </si>
  <si>
    <t xml:space="preserve">c) Hvor mye må Nordlys trekke på kassekreditten i tillegg til de 300 000 for å dekke minus på kontoen 31. mars? (Hele kroner, positivt tall.) Holder rammen?</t>
  </si>
  <si>
    <t xml:space="preserve">d) Kundene bruker 60 dager i stedet for 20. Hva skjer med driftsresultatet i resultatbudsjettet for 2027?</t>
  </si>
  <si>
    <t xml:space="preserve">e) Kari skal i banken. Hva foreslår du at Nordlys gjør først, og hvorfor kommer større kassekreditt sist? Bruk minst to av lærebokas tiltak (fakturere tidlig, e-faktura, kortere kredittid, purre tidlig, forskudd på store jobber, lengre leverandørkreditt).</t>
  </si>
  <si>
    <t xml:space="preserve">Fordi de er inntekter i oppstartsåret</t>
  </si>
  <si>
    <t xml:space="preserve">Oppgave 2B: Fjell Elektro: likviditeten i oppstartsmånedene</t>
  </si>
  <si>
    <t xml:space="preserve">Fordi likviditetsbudsjettet følger pengene, og resultatbudsjettet følger inntekter og kostnader</t>
  </si>
  <si>
    <t xml:space="preserve">Fordi de er fradragsberettiget</t>
  </si>
  <si>
    <t xml:space="preserve">Fjell Elektro AS (samme bedrift som i 1B) starter 1. januar med tom konto. Aksjekapital og banklån kommer inn i januar; kundene betaler etter 30 dager. Dette er startbudsjettet banken spør etter i «Etablering av El-bedrift»: holder pengene til kundene begynner å betale? Fyll inn innbetalingene og regn saldoen måned for måned.</t>
  </si>
  <si>
    <t xml:space="preserve">I oppstarten går pengene ut før de kommer inn. Aksjekapital og lån er innbetalinger i likviditetsbudsjettet, aldri inntekter. Alle beløp er med merverdiavgift. Arbeidsgiveravgift og merverdiavgift betales terminvis: avgiften for januar–februar forfaller 15. mars, merverdiavgiften 10. april. Skyldig merverdiavgift = utgående (25 % av salget) − inngående (avgift betalt på kjøp).</t>
  </si>
  <si>
    <t xml:space="preserve">Fjell Elektro AS starter 1. januar med tom konto. Aksjekapitalen på 300 000 og banklånet på 500 000 kommer inn i januar. Salg uten merverdiavgift: januar 350 000, februar 400 000, mars 400 000; kundene betaler salget × 1,25 etter 30 dager, så januarsalget kommer i februar. Grossisten gir 30 dagers kreditt fra start, så materiellet betales måneden etter kjøpet, med merverdiavgift: januarkjøpet på 175 000 i februar og februarkjøpet på 150 000 i mars. Lønn er forenklet til 150 000 per måned (1 820 000 / 12 er 151 667). Pensjonspremien, 8 % av lønna, betales hver måned. Arbeidsgiveravgiften for januar–februar, 14,1 % × 300 000 = 42 300, forfaller 15. mars. Lokaler, leasing, forsikring og de andre postene er oppgitt som beløpet som går ut av kontoen. Merverdiavgift for januar–februar forfaller 10. april; forenklet regner vi inngående avgift bare på utstyr og materiell.</t>
  </si>
  <si>
    <t xml:space="preserve">Innbetalt aksjekapital</t>
  </si>
  <si>
    <t xml:space="preserve">Utbetalt banklån</t>
  </si>
  <si>
    <t xml:space="preserve">Innbetalt fra kunder (med merverdiavgift, 30 dager)</t>
  </si>
  <si>
    <t xml:space="preserve">Utstyr og verktøy (300 000 + merverdiavgift)</t>
  </si>
  <si>
    <t xml:space="preserve">Materiell (med merverdiavgift, betalt måneden etter)</t>
  </si>
  <si>
    <t xml:space="preserve">Lønn og skattetrekk (forenklet 150 000)</t>
  </si>
  <si>
    <t xml:space="preserve">Pensjonspremie, 8 % av lønna</t>
  </si>
  <si>
    <t xml:space="preserve">Lokaler</t>
  </si>
  <si>
    <t xml:space="preserve">Leasing av servicebiler</t>
  </si>
  <si>
    <t xml:space="preserve">Telefon, IT, regnskapsfører, markedsføring og diverse (210 000 / 12)</t>
  </si>
  <si>
    <t xml:space="preserve">Forsikring (årspremie)</t>
  </si>
  <si>
    <t xml:space="preserve">Arbeidsgiveravgift januar–februar (15. mars)</t>
  </si>
  <si>
    <t xml:space="preserve">Saldo ved månedsstart</t>
  </si>
  <si>
    <t xml:space="preserve">Saldo ved månedsslutt</t>
  </si>
  <si>
    <t xml:space="preserve">1. Fyll de gule cellene: innbetalt fra kunder i februar og mars, sum innbetalinger, saldo ved månedsstart og saldo ved månedsslutt. Saldo ved slutt = saldo ved start + sum innbetalinger − sum utbetalinger.
2. Sjekkene sier om cellene stemmer.
3. Svar på a til c, velg i d og regn merverdiavgiften i e.</t>
  </si>
  <si>
    <t xml:space="preserve">Innbetalt fra kunder i februar:</t>
  </si>
  <si>
    <t xml:space="preserve">Innbetalt fra kunder i mars:</t>
  </si>
  <si>
    <t xml:space="preserve">Saldo ved månedsstart februar:</t>
  </si>
  <si>
    <t xml:space="preserve">Saldo ved månedsstart mars:</t>
  </si>
  <si>
    <t xml:space="preserve">Saldo ved månedsslutt januar:</t>
  </si>
  <si>
    <t xml:space="preserve">Saldo ved månedsslutt februar:</t>
  </si>
  <si>
    <t xml:space="preserve">Saldo ved månedsslutt mars:</t>
  </si>
  <si>
    <t xml:space="preserve">a) Hvor mye mangler i januar hvis Fjell ikke hadde hatt banklånet? (Saldo 31. januar uten de 500 000, negativt tall)</t>
  </si>
  <si>
    <t xml:space="preserve">b) Saldo ved slutten av februar hvis kundene betaler etter 60 dager i stedet for 30 (januarsalget kommer først i mars)</t>
  </si>
  <si>
    <t xml:space="preserve">c) Saldo ved slutten av mars ved 60 dager (i mars kommer januarsalget)</t>
  </si>
  <si>
    <t xml:space="preserve">d) Hvorfor står aksjekapitalen og banklånet her, men ikke i resultatbudsjettet i oppgave 1B?</t>
  </si>
  <si>
    <t xml:space="preserve">e) Merverdiavgift som forfaller 10. april: utgående avgift på salget i januar og februar, minus inngående avgift på utstyr og materiell</t>
  </si>
  <si>
    <t xml:space="preserve">Lønnskostnaden, som gikk opp 37 500</t>
  </si>
  <si>
    <t xml:space="preserve">Oppgave 2C: Nordlys, første kvartal 2027: budsjett mot regnskap</t>
  </si>
  <si>
    <t xml:space="preserve">Varekostnaden: 96 000 av avviket forklares ikke av at salget økte</t>
  </si>
  <si>
    <t xml:space="preserve">Økt 3 av 3, budsjettkontroll og avvik. Alene, i par eller i gruppe, slik du vil.</t>
  </si>
  <si>
    <t xml:space="preserve">Avskrivningene</t>
  </si>
  <si>
    <t xml:space="preserve">Første kvartal er over. Kari setter regnskapet ved siden av budsjettet for kvartalet. Salget ble bedre enn planlagt, men driftsresultatet ble dårligere. Hun skal møte Ida (kalkulatør) på mandag og vil vite hva hun skal spørre om. Regn avvikene med riktig fortegn, så andelen av salget, og finn stedet Kari skal lete.</t>
  </si>
  <si>
    <t xml:space="preserve">Budsjettkontroll: regnskapet sammenliknes med budsjettet for samme periode. Avvik for en inntekt = regnskap − budsjett; for en kostnad = budsjett − regnskap. Pluss er bra for resultatet, minus er dårlig. Avvik i prosent = avvik / budsjett × 100. Mengdeavvik: den delen av et kostnadsavvik som bare følger av at salget ble større; resten er prisavvik (pris, svinn, feil kalkyle).</t>
  </si>
  <si>
    <t xml:space="preserve">Tallene</t>
  </si>
  <si>
    <t xml:space="preserve">Budsjettet for første kvartal er hentet fra resultatbudsjettet for 2027: salg januar 1 800 000 + februar 2 100 000 + mars 2 250 000 = 6 150 000; varekostnad 37,5 % av salget; lønnskostnad en firedel av 11 010 000; avskrivninger tre måneder à 620 000 / 12 pluss 10 000 for termograferingsutstyret i mars; andre driftskostnader en firedel av 1 500 000. Regnskapet for kvartalet står ved siden av.</t>
  </si>
  <si>
    <t xml:space="preserve">Budsjett 1. kvartal</t>
  </si>
  <si>
    <t xml:space="preserve">Regnskap 1. kvartal</t>
  </si>
  <si>
    <t xml:space="preserve">Varekostnad</t>
  </si>
  <si>
    <t xml:space="preserve">Lønnskostnad</t>
  </si>
  <si>
    <t xml:space="preserve">1. Regn avvikene i a til c med riktig fortegn: inntekt = regnskap − budsjett, kostnad = budsjett − regnskap. Driftsresultatet behandles som en inntekt. Pluss betyr bra for resultatet.
2. Regn varekostnaden som andel av salget i regnskapet i d.
3. Velg i e hvor Kari skal lete, og skriv spørsmålene hennes i f.</t>
  </si>
  <si>
    <t xml:space="preserve">a) Avvik i salgsinntekt, i kroner (regnskap − budsjett)</t>
  </si>
  <si>
    <t xml:space="preserve">b) Avvik i varekostnad, i kroner (budsjett − regnskap)</t>
  </si>
  <si>
    <t xml:space="preserve">c) Avvik i driftsresultat, i kroner (regnskap − budsjett)</t>
  </si>
  <si>
    <t xml:space="preserve">d) Varekostnad i prosent av salget i regnskapet, én desimal (budsjettet forutsatte 37,5)</t>
  </si>
  <si>
    <t xml:space="preserve">e) Hvor skal Kari lete først? Regn hver kostnad som andel av salget før du svarer.</t>
  </si>
  <si>
    <t xml:space="preserve">f) Hva skal Kari spørre Ida (kalkulatør) om på mandag? To setninger: én om materiellet, én om andre driftskostnader. Spørsmålet skal peke på stedet, ikke på personen.</t>
  </si>
  <si>
    <t xml:space="preserve">Fasit, kapittel 9</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</si>
  <si>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</si>
  <si>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</si>
  <si>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</si>
  <si>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</si>
  <si>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Varekostnad 2027</t>
  </si>
  <si>
    <t xml:space="preserve">24 000 000 × 37,5 % = 9 000 000 kr</t>
  </si>
  <si>
    <t xml:space="preserve">1A Lønnskostnad 2027</t>
  </si>
  <si>
    <t xml:space="preserve">7 500 000 × 1,468 = 11 010 000 kr</t>
  </si>
  <si>
    <t xml:space="preserve">1A Avskrivninger 2027</t>
  </si>
  <si>
    <t xml:space="preserve">620 000 + 480 000 / 4 / 12 × 10 = 620 000 + 100 000 = 720 000 kr</t>
  </si>
  <si>
    <t xml:space="preserve">1A Driftsresultat 2027</t>
  </si>
  <si>
    <t xml:space="preserve">24 000 000 − 9 000 000 − 11 010 000 − 720 000 − 1 500 000 = 1 770 000 kr</t>
  </si>
  <si>
    <t xml:space="preserve">1A Rentekostnader 2027</t>
  </si>
  <si>
    <t xml:space="preserve">2 800 000 × 7,5 % = 210 000 kr</t>
  </si>
  <si>
    <t xml:space="preserve">1A Resultat før skatt 2027</t>
  </si>
  <si>
    <t xml:space="preserve">1 770 000 + 56 000 − 210 000 = 1 616 000 kr</t>
  </si>
  <si>
    <t xml:space="preserve">1A a) Driftsmargin</t>
  </si>
  <si>
    <t xml:space="preserve">1 770 000 / 24 000 000 = 7,4 % (6,0 % i 2026)</t>
  </si>
  <si>
    <t xml:space="preserve">1A b) Driftsresultat ved 5 % lavere salg</t>
  </si>
  <si>
    <t xml:space="preserve">1 770 000 − 1 200 000 + 450 000 = 1 020 000 kr; resultatet faller 750 000</t>
  </si>
  <si>
    <t xml:space="preserve">1A c) Mest usikkert</t>
  </si>
  <si>
    <t xml:space="preserve">Salget. Alt annet henger på det, og det bygger på fakturerte timer og timeprisen. Tiltak: selge mer, prise høyere eller kutte faste kostnader</t>
  </si>
  <si>
    <t xml:space="preserve">1B a) Salgsinntekter</t>
  </si>
  <si>
    <t xml:space="preserve">3 500 × 890 + 1 400 000 × 1,20 = 3 115 000 + 1 680 000 = 4 795 000 kr</t>
  </si>
  <si>
    <t xml:space="preserve">1B b) Lønnskostnad</t>
  </si>
  <si>
    <t xml:space="preserve">(2 × 560 000 + 700 000) × 1,468 = 1 820 000 × 1,468 = 2 671 760 kr</t>
  </si>
  <si>
    <t xml:space="preserve">1B c) Avskrivning</t>
  </si>
  <si>
    <t xml:space="preserve">300 000 / 5 = 60 000 kr</t>
  </si>
  <si>
    <t xml:space="preserve">1B d) Andre driftskostnader</t>
  </si>
  <si>
    <t xml:space="preserve">144 000 + 120 000 + 45 000 + 110 000 + 40 000 + 60 000 = 519 000 kr</t>
  </si>
  <si>
    <t xml:space="preserve">1B e) Driftsresultat</t>
  </si>
  <si>
    <t xml:space="preserve">4 795 000 − 1 400 000 − 2 671 760 − 60 000 − 519 000 = 144 240 kr (driftsmargin 3,0 %)</t>
  </si>
  <si>
    <t xml:space="preserve">1B f) Resultat før skatt</t>
  </si>
  <si>
    <t xml:space="preserve">144 240 − 500 000 × 7,5 % = 144 240 − 37 500 = 106 740 kr</t>
  </si>
  <si>
    <t xml:space="preserve">1B g) Sorteringen</t>
  </si>
  <si>
    <t xml:space="preserve">Ja: renter og leasing. Nei: aksjekapital, banklån, ikke fakturerbare timer og merverdiavgift</t>
  </si>
  <si>
    <t xml:space="preserve">1B h) Mest usikkert</t>
  </si>
  <si>
    <t xml:space="preserve">Timetallet. 200 timer mindre per montør gir 356 000 kr mindre i inntekt, og driftsresultatet blir −211 760 kr</t>
  </si>
  <si>
    <t xml:space="preserve">1C Sorteringen</t>
  </si>
  <si>
    <t xml:space="preserve">Bare resultat: avskrivning. Bare likviditet: utstyrskjøpet, avdrag, merverdiavgift, feriepengene fra 2026, nytt lån. Begge: renter, montørlønn, materiell (ulik måned), husleie</t>
  </si>
  <si>
    <t xml:space="preserve">1C a) Avskrivning ny bil</t>
  </si>
  <si>
    <t xml:space="preserve">450 000 / 5 = 90 000 kr per år</t>
  </si>
  <si>
    <t xml:space="preserve">1C b) Utbetaling ved kjøpet</t>
  </si>
  <si>
    <t xml:space="preserve">450 000 × 1,25 = 562 500 kr</t>
  </si>
  <si>
    <t xml:space="preserve">1C c) Feriepenger opptjent 2027</t>
  </si>
  <si>
    <t xml:space="preserve">7 500 000 × 12 % = 900 000 kr; utbetales juni 2028</t>
  </si>
  <si>
    <t xml:space="preserve">1C d) Til Sara</t>
  </si>
  <si>
    <t xml:space="preserve">Avdraget er nedbetaling av gjeld, ikke forbruk. Renten er prisen for lånet og en kostnad</t>
  </si>
  <si>
    <t xml:space="preserve">2A Innbetalt fra årets salg februar</t>
  </si>
  <si>
    <t xml:space="preserve">2 250 000 × 2/3 + 2 625 000 / 3 = 1 500 000 + 875 000 = 2 375 000 kr</t>
  </si>
  <si>
    <t xml:space="preserve">2A Innbetalt fra årets salg mars</t>
  </si>
  <si>
    <t xml:space="preserve">2 625 000 × 2/3 + 2 812 500 / 3 = 1 750 000 + 937 500 = 2 687 500 kr</t>
  </si>
  <si>
    <t xml:space="preserve">2A Sum innbetalinger februar og mars</t>
  </si>
  <si>
    <t xml:space="preserve">Februar 1 800 000 + 2 375 000 = 4 175 000. Mars 2 687 500</t>
  </si>
  <si>
    <t xml:space="preserve">2A Innbetalingsoverskudd februar og mars</t>
  </si>
  <si>
    <t xml:space="preserve">Februar 4 175 000 − 2 283 425 = 1 891 575. Mars 2 687 500 − 2 734 375 = −46 875</t>
  </si>
  <si>
    <t xml:space="preserve">2A Beholdning ved månedsslutt februar</t>
  </si>
  <si>
    <t xml:space="preserve">581 400 + 1 891 575 = 2 472 975 kr</t>
  </si>
  <si>
    <t xml:space="preserve">2A Beholdning ved månedsslutt mars</t>
  </si>
  <si>
    <t xml:space="preserve">2 472 975 − 46 875 = 2 426 100 kr</t>
  </si>
  <si>
    <t xml:space="preserve">2A a) Februar ved 60 dager</t>
  </si>
  <si>
    <t xml:space="preserve">Januar 982 650 + 2 400 000 − 3 551 250 = −168 600. Februar −168 600 + 1 800 000 − 2 283 425 = −652 025 kr</t>
  </si>
  <si>
    <t xml:space="preserve">2A b) Mars ved 60 dager</t>
  </si>
  <si>
    <t xml:space="preserve">−652 025 + 2 250 000 − 2 734 375 = −1 136 400 kr</t>
  </si>
  <si>
    <t xml:space="preserve">2A c) Trekk på kassekreditten</t>
  </si>
  <si>
    <t xml:space="preserve">1 136 400 kr i tillegg til 300 000: 1 436 400, som er 436 400 over rammen på 1 000 000. Rammen holder ikke</t>
  </si>
  <si>
    <t xml:space="preserve">2A d) Driftsresultatet</t>
  </si>
  <si>
    <t xml:space="preserve">Endres ikke med en krone. Inntekten føres når fakturaen skrives</t>
  </si>
  <si>
    <t xml:space="preserve">2A e) Tiltak</t>
  </si>
  <si>
    <t xml:space="preserve">Først: fakturer samme dag, e-faktura, purr tidlig, forskudd på store jobber, lengre kreditt hos Polarlys. Sist: kassekreditt, som koster 7,5 % rente og ikke løser årsaken</t>
  </si>
  <si>
    <t xml:space="preserve">2B Innbetalt fra kunder februar og mars</t>
  </si>
  <si>
    <t xml:space="preserve">Februar 350 000 × 1,25 = 437 500. Mars 400 000 × 1,25 = 500 000</t>
  </si>
  <si>
    <t xml:space="preserve">2B Saldo 31. januar</t>
  </si>
  <si>
    <t xml:space="preserve">0 + 800 000 − 621 500 = 178 500 kr</t>
  </si>
  <si>
    <t xml:space="preserve">2B Saldo 28. februar</t>
  </si>
  <si>
    <t xml:space="preserve">178 500 + 437 500 − 376 500 = 239 500 kr</t>
  </si>
  <si>
    <t xml:space="preserve">2B Saldo 31. mars</t>
  </si>
  <si>
    <t xml:space="preserve">239 500 + 500 000 − 393 800 = 345 700 kr</t>
  </si>
  <si>
    <t xml:space="preserve">2B a) Uten banklånet</t>
  </si>
  <si>
    <t xml:space="preserve">300 000 − 621 500 = −321 500 kr</t>
  </si>
  <si>
    <t xml:space="preserve">2B b) Februar ved 60 dager</t>
  </si>
  <si>
    <t xml:space="preserve">178 500 − 376 500 = −198 000 kr</t>
  </si>
  <si>
    <t xml:space="preserve">2B c) Mars ved 60 dager</t>
  </si>
  <si>
    <t xml:space="preserve">−198 000 + 437 500 − 393 800 = −154 300 kr</t>
  </si>
  <si>
    <t xml:space="preserve">2B d) Aksjekapital og lån</t>
  </si>
  <si>
    <t xml:space="preserve">Likviditetsbudsjettet følger pengene; resultatbudsjettet følger inntekter og kostnader. Lånet er ikke tjent</t>
  </si>
  <si>
    <t xml:space="preserve">2B e) Merverdiavgift 10. april</t>
  </si>
  <si>
    <t xml:space="preserve">(350 000 + 400 000) × 25 % − (75 000 + 35 000 + 30 000) = 187 500 − 140 000 = 47 500 kr</t>
  </si>
  <si>
    <t xml:space="preserve">2C a) Avvik salgsinntekt</t>
  </si>
  <si>
    <t xml:space="preserve">6 400 000 − 6 150 000 = +250 000 kr (+4,1 %)</t>
  </si>
  <si>
    <t xml:space="preserve">2C b) Avvik varekostnad</t>
  </si>
  <si>
    <t xml:space="preserve">2 306 250 − 2 496 000 = −189 750 kr (−8,2 %)</t>
  </si>
  <si>
    <t xml:space="preserve">2C c) Avvik driftsresultat</t>
  </si>
  <si>
    <t xml:space="preserve">539 000 − 551 250 = −12 250 kr (−2,2 %). Kontroll: 250 000 − 189 750 − 37 500 − 35 000 = −12 250</t>
  </si>
  <si>
    <t xml:space="preserve">2C d) Varekostnad i prosent av salget</t>
  </si>
  <si>
    <t xml:space="preserve">2 496 000 / 6 400 000 = 39,0 % (budsjett 37,5 %)</t>
  </si>
  <si>
    <t xml:space="preserve">2C e) Hvor Kari skal lete</t>
  </si>
  <si>
    <t xml:space="preserve">Varekostnaden: mengdeavvik 250 000 × 37,5 % = 93 750; de siste 96 000 må forklares. Og andre driftskostnader, −35 000 (−9,3 %), som ikke følger salget</t>
  </si>
  <si>
    <t xml:space="preserve">2C f) Spørsmålene til Ida</t>
  </si>
  <si>
    <t xml:space="preserve">Materiell: hvor kommer de siste 96 000 fra, pris, svinn eller feil kalkyle? Andre driftskostnader: hvilke poster, engangs eller nytt nivå? Lønna fulgte salget; ikke bruk tid på den</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</si>
</sst>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19</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21</v>
      </c>
      <c r="C7" s="8"/>
      <c r="D7" s="8"/>
      <c r="E7" s="8"/>
      <c r="F7" s="8"/>
      <c r="G7" s="8"/>
    </row>
    <row r="9" customFormat="false" ht="15.75" hidden="false" customHeight="true" outlineLevel="0" collapsed="false">
      <c r="B9" s="7" t="s">
        <v>22</v>
      </c>
      <c r="C9" s="7"/>
      <c r="D9" s="7"/>
      <c r="E9" s="7"/>
      <c r="F9" s="7"/>
      <c r="G9" s="7"/>
    </row>
    <row r="10" customFormat="false" ht="105" hidden="false" customHeight="true" outlineLevel="0" collapsed="false">
      <c r="B10" s="8" t="s">
        <v>23</v>
      </c>
      <c r="C10" s="8"/>
      <c r="D10" s="8"/>
      <c r="E10" s="8"/>
      <c r="F10" s="8"/>
      <c r="G10" s="8"/>
    </row>
    <row r="12" customFormat="false" ht="15" hidden="false" customHeight="false" outlineLevel="0" collapsed="false">
      <c r="B12" s="9" t="s">
        <v>24</v>
      </c>
      <c r="C12" s="10" t="s">
        <v>25</v>
      </c>
      <c r="D12" s="10" t="s">
        <v>26</v>
      </c>
    </row>
    <row r="13" customFormat="false" ht="15" hidden="false" customHeight="false" outlineLevel="0" collapsed="false">
      <c r="B13" s="11" t="s">
        <v>27</v>
      </c>
      <c r="C13" s="12" t="n">
        <v>22400000</v>
      </c>
      <c r="D13" s="12" t="n">
        <v>24000000</v>
      </c>
    </row>
    <row r="14" customFormat="false" ht="15" hidden="false" customHeight="false" outlineLevel="0" collapsed="false">
      <c r="B14" s="11" t="s">
        <v>28</v>
      </c>
      <c r="C14" s="12" t="n">
        <v>8390000</v>
      </c>
      <c r="D14" s="13"/>
    </row>
    <row r="15" customFormat="false" ht="15" hidden="false" customHeight="false" outlineLevel="0" collapsed="false">
      <c r="B15" s="11" t="s">
        <v>29</v>
      </c>
      <c r="C15" s="12" t="n">
        <v>10660000</v>
      </c>
      <c r="D15" s="13"/>
    </row>
    <row r="16" customFormat="false" ht="15" hidden="false" customHeight="false" outlineLevel="0" collapsed="false">
      <c r="B16" s="11" t="s">
        <v>30</v>
      </c>
      <c r="C16" s="12" t="n">
        <v>620000</v>
      </c>
      <c r="D16" s="13"/>
    </row>
    <row r="17" customFormat="false" ht="15" hidden="false" customHeight="false" outlineLevel="0" collapsed="false">
      <c r="B17" s="11" t="s">
        <v>31</v>
      </c>
      <c r="C17" s="12" t="n">
        <v>1386000</v>
      </c>
      <c r="D17" s="12" t="n">
        <v>1500000</v>
      </c>
    </row>
    <row r="18" customFormat="false" ht="15" hidden="false" customHeight="false" outlineLevel="0" collapsed="false">
      <c r="B18" s="11" t="s">
        <v>32</v>
      </c>
      <c r="C18" s="12" t="n">
        <v>1344000</v>
      </c>
      <c r="D18" s="13"/>
    </row>
    <row r="19" customFormat="false" ht="15" hidden="false" customHeight="false" outlineLevel="0" collapsed="false">
      <c r="B19" s="11" t="s">
        <v>33</v>
      </c>
      <c r="C19" s="12" t="n">
        <v>56000</v>
      </c>
      <c r="D19" s="12" t="n">
        <v>56000</v>
      </c>
    </row>
    <row r="20" customFormat="false" ht="15" hidden="false" customHeight="false" outlineLevel="0" collapsed="false">
      <c r="B20" s="11" t="s">
        <v>34</v>
      </c>
      <c r="C20" s="12" t="n">
        <v>232500</v>
      </c>
      <c r="D20" s="13"/>
    </row>
    <row r="21" customFormat="false" ht="15" hidden="false" customHeight="false" outlineLevel="0" collapsed="false">
      <c r="B21" s="11" t="s">
        <v>35</v>
      </c>
      <c r="C21" s="12" t="n">
        <v>1167500</v>
      </c>
      <c r="D21" s="13"/>
    </row>
    <row r="23" customFormat="false" ht="15.75" hidden="false" customHeight="true" outlineLevel="0" collapsed="false">
      <c r="B23" s="7" t="s">
        <v>36</v>
      </c>
      <c r="C23" s="7"/>
      <c r="D23" s="7"/>
      <c r="E23" s="7"/>
      <c r="F23" s="7"/>
      <c r="G23" s="7"/>
    </row>
    <row r="24" customFormat="false" ht="60" hidden="false" customHeight="true" outlineLevel="0" collapsed="false">
      <c r="B24" s="8" t="s">
        <v>37</v>
      </c>
      <c r="C24" s="8"/>
      <c r="D24" s="8"/>
      <c r="E24" s="8"/>
      <c r="F24" s="8"/>
      <c r="G24" s="8"/>
    </row>
    <row r="26" customFormat="false" ht="15" hidden="false" customHeight="false" outlineLevel="0" collapsed="false">
      <c r="B26" s="14" t="s">
        <v>38</v>
      </c>
    </row>
    <row r="27" customFormat="false" ht="36" hidden="false" customHeight="true" outlineLevel="0" collapsed="false">
      <c r="B27" s="0" t="s">
        <v>39</v>
      </c>
      <c r="C27" s="15" t="str">
        <f aca="false">IF(D14="","Skriv svaret i cellen D14.",IF(D14=(D13*0.375),"Riktig.",IF(D14=(D13*0.625),"Du har regnet bruttofortjenesten (62,5 %). Varekostnaden er resten: 37,5 % av salget.",IF(D14=(8390000*1.071),"Du har økt fjorårets varekostnad med 7,1 %. Det gir nesten det samme, men forutsetningen er 37,5 % av salget på 24 000 000.","Ikke riktig ennå. Varekostnad = salgsinntekt × 37,5 %."))))</f>
        <v>Skriv svaret i cellen D14.</v>
      </c>
      <c r="D27" s="15"/>
      <c r="E27" s="15"/>
      <c r="F27" s="15"/>
      <c r="G27" s="15"/>
    </row>
    <row r="28" customFormat="false" ht="36" hidden="false" customHeight="true" outlineLevel="0" collapsed="false">
      <c r="B28" s="0" t="s">
        <v>40</v>
      </c>
      <c r="C28" s="15" t="str">
        <f aca="false">IF(D15="","Skriv svaret i cellen D15.",IF(D15=(7500000*1.468),"Riktig.",IF(D15=(7500000),"Du har satt inn lønna alene. De sosiale kostnadene på 46,8 % kommer på toppen: gang med 1,468.",IF(D15=(7500000*0.468),"Du har regnet bare de sosiale kostnadene. Lønnskostnaden er lønna pluss de sosiale: 7 500 000 × 1,468.",IF(D15=(7500000*1.12*1.141),"Du har tatt bare feriepenger og arbeidsgiveravgift. Boka regner også pensjon, helligdager, forsikring og sykepenger: 46,8 % til sammen.","Ikke riktig ennå. Lønnskostnad = lønn × (1 + 0,468).")))))</f>
        <v>Skriv svaret i cellen D15.</v>
      </c>
      <c r="D28" s="15"/>
      <c r="E28" s="15"/>
      <c r="F28" s="15"/>
      <c r="G28" s="15"/>
    </row>
    <row r="29" customFormat="false" ht="36" hidden="false" customHeight="true" outlineLevel="0" collapsed="false">
      <c r="B29" s="0" t="s">
        <v>41</v>
      </c>
      <c r="C29" s="15" t="str">
        <f aca="false">IF(D16="","Skriv svaret i cellen D16.",IF(D16=(620000+480000/4/12*10),"Riktig.",IF(D16=(620000+480000/4),"Du har tatt et helt år på termograferingsutstyret. Det kjøpes i mars, så det er 10 måneder à 10 000 i 2027.",IF(D16=(620000),"Du har glemt det nye utstyret. 480 000 over 4 år er 10 000 per måned, fra mars: 100 000 i 2027.",IF(D16=(620000+480000),"Du har tatt hele kjøpesummen som kostnad. Utstyret avskrives over 4 år; bare 100 000 er kostnad i 2027.","Ikke riktig ennå. Avskrivninger = 620 000 + 480 000 / 4 år / 12 måneder × 10 måneder.")))))</f>
        <v>Skriv svaret i cellen D16.</v>
      </c>
      <c r="D29" s="15"/>
      <c r="E29" s="15"/>
      <c r="F29" s="15"/>
      <c r="G29" s="15"/>
    </row>
    <row r="30" customFormat="false" ht="36" hidden="false" customHeight="true" outlineLevel="0" collapsed="false">
      <c r="B30" s="0" t="s">
        <v>42</v>
      </c>
      <c r="C30" s="15" t="str">
        <f aca="false">IF(D18="","Skriv svaret i cellen D18.",IF(D18=(D13-D14-D15-D16-D17),"Riktig.",IF(D18=(D13-D14-D15-D16-D17-210000),"Du har trukket fra rentekostnaden. Den kommer under driftsresultatet, ikke i det.",IF(D18=(D13-D14-D15-D17),"Du har glemt avskrivningene. De er en kostnad selv om ingen penger går ut i 2027.","Ikke riktig ennå. Driftsresultat = salgsinntekt − varekostnad − lønnskostnad − avskrivninger − andre driftskostnader."))))</f>
        <v>Skriv svaret i cellen D18.</v>
      </c>
      <c r="D30" s="15"/>
      <c r="E30" s="15"/>
      <c r="F30" s="15"/>
      <c r="G30" s="15"/>
    </row>
    <row r="31" customFormat="false" ht="36" hidden="false" customHeight="true" outlineLevel="0" collapsed="false">
      <c r="B31" s="0" t="s">
        <v>43</v>
      </c>
      <c r="C31" s="15" t="str">
        <f aca="false">IF(D20="","Skriv svaret i cellen D20.",IF(D20=(2800000*0.075),"Riktig.",IF(D20=(2800000*0.075+560000),"Du har lagt til avdraget på 560 000. Avdrag er ikke en kostnad; bare renten er det.",IF(D20=(232500),"Du har tatt fjorårets rentekostnad. Forutsetningen er 7,5 % av banklånet på 2 800 000.","Ikke riktig ennå. Rentekostnad = 2 800 000 × 7,5 %."))))</f>
        <v>Skriv svaret i cellen D20.</v>
      </c>
      <c r="D31" s="15"/>
      <c r="E31" s="15"/>
      <c r="F31" s="15"/>
      <c r="G31" s="15"/>
    </row>
    <row r="32" customFormat="false" ht="36" hidden="false" customHeight="true" outlineLevel="0" collapsed="false">
      <c r="B32" s="0" t="s">
        <v>44</v>
      </c>
      <c r="C32" s="15" t="str">
        <f aca="false">IF(D21="","Skriv svaret i cellen D21.",IF(D21=(D18+D19-D20),"Riktig.",IF(D21=(D18-D20),"Du har glemt renteinntektene på 56 000.",IF(D21=(D18-D19-D20),"Renteinntektene skal legges til, ikke trekkes fra.","Ikke riktig ennå. Resultat før skatt = driftsresultat + renteinntekter − rentekostnader."))))</f>
        <v>Skriv svaret i cellen D21.</v>
      </c>
      <c r="D32" s="15"/>
      <c r="E32" s="15"/>
      <c r="F32" s="15"/>
      <c r="G32" s="15"/>
    </row>
    <row r="34" customFormat="false" ht="43.5" hidden="false" customHeight="true" outlineLevel="0" collapsed="false">
      <c r="B34" s="16" t="s">
        <v>45</v>
      </c>
      <c r="C34" s="17"/>
      <c r="D34" s="18" t="s">
        <v>46</v>
      </c>
      <c r="G34" s="19" t="str">
        <f aca="false">IF(C34="","Skriv svaret i den gule cellen.",IF(ABS(C34-(ROUND(D18/D13*100,1)))&lt;=0.06,"Riktig.",IF(ABS(C34-(ROUND(D21/D13*100,1)))&lt;=0.06,"Du har brukt resultat før skatt. Driftsmarginen bruker driftsresultatet.",IF(ABS(C34-(ROUND(1344000/22400000*100,1)))&lt;=0.06,"Det er fjorårets driftsmargin, 6,0 %. Oppgaven spør om budsjettet for 2027.","Ikke riktig ennå. Se på regnestykket øverst på fanen, og sjekk at du har med alle leddene."))))</f>
        <v>Skriv svaret i den gule cellen.</v>
      </c>
    </row>
    <row r="35" customFormat="false" ht="43.5" hidden="false" customHeight="true" outlineLevel="0" collapsed="false">
      <c r="B35" s="16" t="s">
        <v>47</v>
      </c>
      <c r="C35" s="13"/>
      <c r="D35" s="18" t="s">
        <v>48</v>
      </c>
      <c r="G35" s="19" t="str">
        <f aca="false">IF(C35="","Skriv svaret i den gule cellen.",IF(C35=(D18-24000000*0.05+24000000*0.05*0.375),"Riktig.",IF(ABS(C35-(D18-24000000*0.05))&lt;=0,"Du har trukket fra hele inntektstapet. Varekostnaden faller også, med 37,5 % av 1 200 000 = 450 000.",IF(ABS(C35-(D18*0.95))&lt;=0,"Du har tatt 5 % av driftsresultatet. Det er salget som faller 5 %, og det er 1 200 000 kr.","Ikke riktig ennå. Se på regnestykket øverst på fanen, og sjekk at du har med alle leddene."))))</f>
        <v>Skriv svaret i den gule cellen.</v>
      </c>
    </row>
    <row r="37" customFormat="false" ht="15" hidden="false" customHeight="true" outlineLevel="0" collapsed="false">
      <c r="B37" s="8" t="s">
        <v>49</v>
      </c>
      <c r="C37" s="8"/>
      <c r="D37" s="8"/>
      <c r="E37" s="8"/>
      <c r="F37" s="8"/>
      <c r="G37" s="8"/>
    </row>
    <row r="38" customFormat="false" ht="21.75" hidden="false" customHeight="true" outlineLevel="0" collapsed="false">
      <c r="B38" s="20"/>
      <c r="C38" s="20"/>
      <c r="D38" s="20"/>
      <c r="E38" s="20"/>
      <c r="F38" s="20"/>
      <c r="G38" s="20"/>
    </row>
    <row r="39" customFormat="false" ht="21.75" hidden="false" customHeight="true" outlineLevel="0" collapsed="false">
      <c r="B39" s="20"/>
      <c r="C39" s="20"/>
      <c r="D39" s="20"/>
      <c r="E39" s="20"/>
      <c r="F39" s="20"/>
      <c r="G39" s="20"/>
    </row>
    <row r="40" customFormat="false" ht="21.75" hidden="false" customHeight="true" outlineLevel="0" collapsed="false">
      <c r="B40" s="20"/>
      <c r="C40" s="20"/>
      <c r="D40" s="20"/>
      <c r="E40" s="20"/>
      <c r="F40" s="20"/>
      <c r="G40" s="20"/>
    </row>
    <row r="41" customFormat="false" ht="39.75" hidden="false" customHeight="true" outlineLevel="0" collapsed="false">
      <c r="B41" s="21" t="str">
        <f aca="false">IF(LEN(B38)&lt;40,"",IF(AND(ISNUMBER(SEARCH("salg",B38)),ISNUMBER(SEARCH("time",B38))),"Bra: du peker på salget, og du sier noe om timene bak det. Si også hvilket tiltak Kari velger først: selge mer, prise høyere eller kutte faste kostnader.",IF(OR(ISNUMBER(SEARCH("salg",B38)),ISNUMBER(SEARCH("time",B38))),"Du er på sporet. Si hvilken linje alt annet henger på (salget), og hva Kari gjør hvis den svikter.","Tips: salget på 24 000 000 er den forutsetningen alt annet henger på. Faller det 5 %, faller driftsresultatet 750 000 kr. Salget bygger på fakturerte montørtimer og timeprisen, så det er der Kari må følge med.")))</f>
        <v/>
      </c>
      <c r="C41" s="21"/>
      <c r="D41" s="21"/>
      <c r="E41" s="21"/>
      <c r="F41" s="21"/>
      <c r="G41" s="21"/>
    </row>
    <row r="42" customFormat="false" ht="15" hidden="false" customHeight="false" outlineLevel="0" collapsed="false">
      <c r="B42" s="14" t="s">
        <v>50</v>
      </c>
      <c r="C42" s="22"/>
    </row>
    <row r="43" customFormat="false" ht="60" hidden="false" customHeight="true" outlineLevel="0" collapsed="false">
      <c r="B43" s="23" t="str">
        <f aca="false">IF(C42="JA","Hint: Varekostnad: 24 000 000 × 0,375 = 9 000 000. Lønnskostnad: 7 500 000 × 1,468 = 11 010 000. Avskrivninger: 620 000 + 10 000 × 10 = 720 000. Driftsresultat: 24 000 000 − 9 000 000 − 11 010 000 − 720 000 − 1 500 000 = 1 770 000. Rentekostnad 210 000. Resultat før skatt: 1 770 000 + 56 000 − 210 000 = 1 616 000. Driftsmargin 1 770 000 / 24 000 000 = 7,4 %. Ved 5 % lavere salg: 1 770 000 − 1 200 000 + 450 000 = 1 020 000.","")</f>
        <v/>
      </c>
      <c r="C43" s="23"/>
      <c r="D43" s="23"/>
      <c r="E43" s="23"/>
      <c r="F43" s="23"/>
      <c r="G43" s="23"/>
    </row>
    <row r="45" customFormat="false" ht="30" hidden="false" customHeight="true" outlineLevel="0" collapsed="false">
      <c r="B45" s="6" t="s">
        <v>51</v>
      </c>
      <c r="C45" s="6"/>
      <c r="D45" s="6"/>
      <c r="E45" s="6"/>
      <c r="F45" s="6"/>
      <c r="G45" s="6"/>
    </row>
  </sheetData>
  <mergeCells count="21">
    <mergeCell ref="B2:G2"/>
    <mergeCell ref="B3:G3"/>
    <mergeCell ref="B4:G4"/>
    <mergeCell ref="B5:G5"/>
    <mergeCell ref="B6:G6"/>
    <mergeCell ref="B7:G7"/>
    <mergeCell ref="B9:G9"/>
    <mergeCell ref="B10:G10"/>
    <mergeCell ref="B23:G23"/>
    <mergeCell ref="B24:G24"/>
    <mergeCell ref="C27:G27"/>
    <mergeCell ref="C28:G28"/>
    <mergeCell ref="C29:G29"/>
    <mergeCell ref="C30:G30"/>
    <mergeCell ref="C31:G31"/>
    <mergeCell ref="C32:G32"/>
    <mergeCell ref="B37:G37"/>
    <mergeCell ref="B38:G40"/>
    <mergeCell ref="B41:G41"/>
    <mergeCell ref="B43:G43"/>
    <mergeCell ref="B45:G45"/>
  </mergeCells>
  <conditionalFormatting sqref="C27">
    <cfRule type="expression" priority="2" aboveAverage="0" equalAverage="0" bottom="0" percent="0" rank="0" text="" dxfId="0">
      <formula>LEFT(C27,6)="Riktig"</formula>
    </cfRule>
    <cfRule type="expression" priority="3" aboveAverage="0" equalAverage="0" bottom="0" percent="0" rank="0" text="" dxfId="1">
      <formula>AND(C27&lt;&gt;"",LEFT(C27,6)&lt;&gt;"Riktig",LEFT(C27,5)&lt;&gt;"Skriv")</formula>
    </cfRule>
  </conditionalFormatting>
  <conditionalFormatting sqref="C28">
    <cfRule type="expression" priority="4" aboveAverage="0" equalAverage="0" bottom="0" percent="0" rank="0" text="" dxfId="0">
      <formula>LEFT(C28,6)="Riktig"</formula>
    </cfRule>
    <cfRule type="expression" priority="5" aboveAverage="0" equalAverage="0" bottom="0" percent="0" rank="0" text="" dxfId="1">
      <formula>AND(C28&lt;&gt;"",LEFT(C28,6)&lt;&gt;"Riktig",LEFT(C28,5)&lt;&gt;"Skriv")</formula>
    </cfRule>
  </conditionalFormatting>
  <conditionalFormatting sqref="C29">
    <cfRule type="expression" priority="6" aboveAverage="0" equalAverage="0" bottom="0" percent="0" rank="0" text="" dxfId="0">
      <formula>LEFT(C29,6)="Riktig"</formula>
    </cfRule>
    <cfRule type="expression" priority="7" aboveAverage="0" equalAverage="0" bottom="0" percent="0" rank="0" text="" dxfId="1">
      <formula>AND(C29&lt;&gt;"",LEFT(C29,6)&lt;&gt;"Riktig",LEFT(C29,5)&lt;&gt;"Skriv")</formula>
    </cfRule>
  </conditionalFormatting>
  <conditionalFormatting sqref="C30">
    <cfRule type="expression" priority="8" aboveAverage="0" equalAverage="0" bottom="0" percent="0" rank="0" text="" dxfId="0">
      <formula>LEFT(C30,6)="Riktig"</formula>
    </cfRule>
    <cfRule type="expression" priority="9" aboveAverage="0" equalAverage="0" bottom="0" percent="0" rank="0" text="" dxfId="1">
      <formula>AND(C30&lt;&gt;"",LEFT(C30,6)&lt;&gt;"Riktig",LEFT(C30,5)&lt;&gt;"Skriv")</formula>
    </cfRule>
  </conditionalFormatting>
  <conditionalFormatting sqref="C31">
    <cfRule type="expression" priority="10" aboveAverage="0" equalAverage="0" bottom="0" percent="0" rank="0" text="" dxfId="0">
      <formula>LEFT(C31,6)="Riktig"</formula>
    </cfRule>
    <cfRule type="expression" priority="11" aboveAverage="0" equalAverage="0" bottom="0" percent="0" rank="0" text="" dxfId="1">
      <formula>AND(C31&lt;&gt;"",LEFT(C31,6)&lt;&gt;"Riktig",LEFT(C31,5)&lt;&gt;"Skriv")</formula>
    </cfRule>
  </conditionalFormatting>
  <conditionalFormatting sqref="C32">
    <cfRule type="expression" priority="12" aboveAverage="0" equalAverage="0" bottom="0" percent="0" rank="0" text="" dxfId="0">
      <formula>LEFT(C32,6)="Riktig"</formula>
    </cfRule>
    <cfRule type="expression" priority="13" aboveAverage="0" equalAverage="0" bottom="0" percent="0" rank="0" text="" dxfId="1">
      <formula>AND(C32&lt;&gt;"",LEFT(C32,6)&lt;&gt;"Riktig",LEFT(C32,5)&lt;&gt;"Skriv")</formula>
    </cfRule>
  </conditionalFormatting>
  <conditionalFormatting sqref="G34">
    <cfRule type="expression" priority="14" aboveAverage="0" equalAverage="0" bottom="0" percent="0" rank="0" text="" dxfId="0">
      <formula>LEFT(G34,6)="Riktig"</formula>
    </cfRule>
    <cfRule type="expression" priority="15" aboveAverage="0" equalAverage="0" bottom="0" percent="0" rank="0" text="" dxfId="1">
      <formula>AND(G34&lt;&gt;"",LEFT(G34,6)&lt;&gt;"Riktig",LEFT(G34,5)&lt;&gt;"Skriv")</formula>
    </cfRule>
  </conditionalFormatting>
  <conditionalFormatting sqref="G35">
    <cfRule type="expression" priority="16" aboveAverage="0" equalAverage="0" bottom="0" percent="0" rank="0" text="" dxfId="0">
      <formula>LEFT(G35,6)="Riktig"</formula>
    </cfRule>
    <cfRule type="expression" priority="17" aboveAverage="0" equalAverage="0" bottom="0" percent="0" rank="0" text="" dxfId="1">
      <formula>AND(G35&lt;&gt;"",LEFT(G35,6)&lt;&gt;"Riktig",LEFT(G35,5)&lt;&gt;"Skriv")</formula>
    </cfRule>
  </conditionalFormatting>
  <dataValidations count="1">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52</v>
      </c>
    </row>
    <row r="2" customFormat="false" ht="25.5" hidden="false" customHeight="true" outlineLevel="0" collapsed="false">
      <c r="B2" s="5" t="s">
        <v>53</v>
      </c>
      <c r="C2" s="5"/>
      <c r="D2" s="5"/>
      <c r="E2" s="5"/>
      <c r="F2" s="5"/>
      <c r="G2" s="5"/>
      <c r="Z2" s="24" t="s">
        <v>54</v>
      </c>
    </row>
    <row r="3" customFormat="false" ht="15" hidden="false" customHeight="true" outlineLevel="0" collapsed="false">
      <c r="B3" s="6" t="s">
        <v>17</v>
      </c>
      <c r="C3" s="6"/>
      <c r="D3" s="6"/>
      <c r="E3" s="6"/>
      <c r="F3" s="6"/>
      <c r="G3" s="6"/>
      <c r="Z3" s="24" t="s">
        <v>52</v>
      </c>
    </row>
    <row r="4" customFormat="false" ht="15.75" hidden="false" customHeight="true" outlineLevel="0" collapsed="false">
      <c r="B4" s="7" t="s">
        <v>18</v>
      </c>
      <c r="C4" s="7"/>
      <c r="D4" s="7"/>
      <c r="E4" s="7"/>
      <c r="F4" s="7"/>
      <c r="G4" s="7"/>
      <c r="Z4" s="24" t="s">
        <v>54</v>
      </c>
    </row>
    <row r="5" customFormat="false" ht="60" hidden="false" customHeight="true" outlineLevel="0" collapsed="false">
      <c r="B5" s="8" t="s">
        <v>55</v>
      </c>
      <c r="C5" s="8"/>
      <c r="D5" s="8"/>
      <c r="E5" s="8"/>
      <c r="F5" s="8"/>
      <c r="G5" s="8"/>
      <c r="Z5" s="24" t="s">
        <v>52</v>
      </c>
    </row>
    <row r="6" customFormat="false" ht="15.75" hidden="false" customHeight="true" outlineLevel="0" collapsed="false">
      <c r="B6" s="7" t="s">
        <v>20</v>
      </c>
      <c r="C6" s="7"/>
      <c r="D6" s="7"/>
      <c r="E6" s="7"/>
      <c r="F6" s="7"/>
      <c r="G6" s="7"/>
      <c r="Z6" s="24" t="s">
        <v>54</v>
      </c>
    </row>
    <row r="7" customFormat="false" ht="45" hidden="false" customHeight="true" outlineLevel="0" collapsed="false">
      <c r="B7" s="8" t="s">
        <v>56</v>
      </c>
      <c r="C7" s="8"/>
      <c r="D7" s="8"/>
      <c r="E7" s="8"/>
      <c r="F7" s="8"/>
      <c r="G7" s="8"/>
      <c r="Z7" s="24" t="s">
        <v>52</v>
      </c>
    </row>
    <row r="8" customFormat="false" ht="15" hidden="false" customHeight="false" outlineLevel="0" collapsed="false">
      <c r="Z8" s="0" t="s">
        <v>54</v>
      </c>
    </row>
    <row r="9" customFormat="false" ht="15" hidden="false" customHeight="false" outlineLevel="0" collapsed="false">
      <c r="B9" s="9" t="s">
        <v>57</v>
      </c>
      <c r="C9" s="10" t="s">
        <v>58</v>
      </c>
      <c r="Z9" s="24" t="s">
        <v>52</v>
      </c>
    </row>
    <row r="10" customFormat="false" ht="15" hidden="false" customHeight="false" outlineLevel="0" collapsed="false">
      <c r="B10" s="11" t="s">
        <v>59</v>
      </c>
      <c r="C10" s="12" t="n">
        <v>3500</v>
      </c>
      <c r="Z10" s="24" t="s">
        <v>54</v>
      </c>
    </row>
    <row r="11" customFormat="false" ht="15" hidden="false" customHeight="false" outlineLevel="0" collapsed="false">
      <c r="B11" s="11" t="s">
        <v>60</v>
      </c>
      <c r="C11" s="12" t="n">
        <v>890</v>
      </c>
      <c r="Z11" s="24" t="s">
        <v>52</v>
      </c>
    </row>
    <row r="12" customFormat="false" ht="15" hidden="false" customHeight="false" outlineLevel="0" collapsed="false">
      <c r="B12" s="11" t="s">
        <v>61</v>
      </c>
      <c r="C12" s="12" t="n">
        <v>1400000</v>
      </c>
      <c r="Z12" s="24" t="s">
        <v>54</v>
      </c>
    </row>
    <row r="13" customFormat="false" ht="15" hidden="false" customHeight="false" outlineLevel="0" collapsed="false">
      <c r="B13" s="11" t="s">
        <v>62</v>
      </c>
      <c r="C13" s="12" t="n">
        <v>560000</v>
      </c>
    </row>
    <row r="14" customFormat="false" ht="15" hidden="false" customHeight="false" outlineLevel="0" collapsed="false">
      <c r="B14" s="11" t="s">
        <v>63</v>
      </c>
      <c r="C14" s="12" t="n">
        <v>700000</v>
      </c>
    </row>
    <row r="15" customFormat="false" ht="15" hidden="false" customHeight="false" outlineLevel="0" collapsed="false">
      <c r="B15" s="11" t="s">
        <v>64</v>
      </c>
      <c r="C15" s="12" t="s">
        <v>65</v>
      </c>
    </row>
    <row r="16" customFormat="false" ht="15" hidden="false" customHeight="false" outlineLevel="0" collapsed="false">
      <c r="B16" s="11" t="s">
        <v>66</v>
      </c>
      <c r="C16" s="12" t="n">
        <v>300000</v>
      </c>
    </row>
    <row r="17" customFormat="false" ht="15" hidden="false" customHeight="false" outlineLevel="0" collapsed="false">
      <c r="B17" s="11" t="s">
        <v>67</v>
      </c>
      <c r="C17" s="12" t="n">
        <v>519000</v>
      </c>
    </row>
    <row r="18" customFormat="false" ht="15" hidden="false" customHeight="false" outlineLevel="0" collapsed="false">
      <c r="B18" s="11" t="s">
        <v>68</v>
      </c>
      <c r="C18" s="12" t="n">
        <v>500000</v>
      </c>
    </row>
    <row r="19" customFormat="false" ht="15" hidden="false" customHeight="false" outlineLevel="0" collapsed="false">
      <c r="B19" s="11" t="s">
        <v>69</v>
      </c>
      <c r="C19" s="12" t="n">
        <v>300000</v>
      </c>
    </row>
    <row r="20" customFormat="false" ht="15" hidden="false" customHeight="false" outlineLevel="0" collapsed="false">
      <c r="B20" s="11" t="s">
        <v>70</v>
      </c>
      <c r="C20" s="12" t="n">
        <v>400</v>
      </c>
    </row>
    <row r="22" customFormat="false" ht="15.75" hidden="false" customHeight="true" outlineLevel="0" collapsed="false">
      <c r="B22" s="7" t="s">
        <v>36</v>
      </c>
      <c r="C22" s="7"/>
      <c r="D22" s="7"/>
      <c r="E22" s="7"/>
      <c r="F22" s="7"/>
      <c r="G22" s="7"/>
    </row>
    <row r="23" customFormat="false" ht="45" hidden="false" customHeight="true" outlineLevel="0" collapsed="false">
      <c r="B23" s="8" t="s">
        <v>71</v>
      </c>
      <c r="C23" s="8"/>
      <c r="D23" s="8"/>
      <c r="E23" s="8"/>
      <c r="F23" s="8"/>
      <c r="G23" s="8"/>
    </row>
    <row r="25" customFormat="false" ht="43.5" hidden="false" customHeight="true" outlineLevel="0" collapsed="false">
      <c r="B25" s="16" t="s">
        <v>72</v>
      </c>
      <c r="C25" s="13"/>
      <c r="D25" s="18" t="s">
        <v>48</v>
      </c>
      <c r="G25" s="19" t="str">
        <f aca="false">IF(C25="","Skriv svaret i den gule cellen.",IF(C25=(3500*890+1400000*1.2),"Riktig.",IF(ABS(C25-(3500*890+1400000))&lt;=0,"Du har glemt påslaget på materiellet: det selges for 1 400 000 × 1,20.",IF(ABS(C25-(4300*890+1400000*1.2))&lt;=0,"Du har tatt med de 800 ikke-fakturerbare timene. Bare 3 500 timer gir inntekt.",IF(ABS(C25-(3500*890))&lt;=0,"Du har glemt materiellet. Det selges videre for 1 680 000.","Ikke riktig ennå. Se på regnestykket øverst på fanen, og sjekk at du har med alle leddene.")))))</f>
        <v>Skriv svaret i den gule cellen.</v>
      </c>
    </row>
    <row r="26" customFormat="false" ht="43.5" hidden="false" customHeight="true" outlineLevel="0" collapsed="false">
      <c r="B26" s="16" t="s">
        <v>73</v>
      </c>
      <c r="C26" s="13"/>
      <c r="D26" s="18" t="s">
        <v>48</v>
      </c>
      <c r="G26" s="19" t="str">
        <f aca="false">IF(C26="","Skriv svaret i den gule cellen.",IF(C26=((2*560000+700000)*1.468),"Riktig.",IF(ABS(C26-(2*560000*1.468))&lt;=0,"Du har glemt eierens lønn. I et aksjeselskap er eieren ansatt og skal ha lønn.",IF(ABS(C26-(2*560000+700000))&lt;=0,"Du har glemt de sosiale kostnadene. Gang lønna med 1,468.",IF(ABS(C26-((2*560000+700000)*1.12*1.141))&lt;=0,"Du har tatt bare feriepenger og arbeidsgiveravgift. Fjell bruker bokas 46,8 %.","Ikke riktig ennå. Se på regnestykket øverst på fanen, og sjekk at du har med alle leddene.")))))</f>
        <v>Skriv svaret i den gule cellen.</v>
      </c>
    </row>
    <row r="27" customFormat="false" ht="43.5" hidden="false" customHeight="true" outlineLevel="0" collapsed="false">
      <c r="B27" s="16" t="s">
        <v>74</v>
      </c>
      <c r="C27" s="13"/>
      <c r="D27" s="18" t="s">
        <v>48</v>
      </c>
      <c r="G27" s="19" t="str">
        <f aca="false">IF(C27="","Skriv svaret i den gule cellen.",IF(C27=(300000/5),"Riktig.",IF(ABS(C27-(300000))&lt;=0,"Du har tatt hele kjøpet som kostnad. Det fordeles over 5 år.",IF(ABS(C27-(300000/5*1.25))&lt;=0,"Merverdiavgift hører ikke hjemme i resultatbudsjettet.","Ikke riktig ennå. Se på regnestykket øverst på fanen, og sjekk at du har med alle leddene."))))</f>
        <v>Skriv svaret i den gule cellen.</v>
      </c>
    </row>
    <row r="28" customFormat="false" ht="43.5" hidden="false" customHeight="true" outlineLevel="0" collapsed="false">
      <c r="B28" s="16" t="s">
        <v>75</v>
      </c>
      <c r="C28" s="13"/>
      <c r="D28" s="18" t="s">
        <v>48</v>
      </c>
      <c r="G28" s="19" t="str">
        <f aca="false">IF(C28="","Skriv svaret i den gule cellen.",IF(C28=(144000+120000+45000+110000+40000+60000),"Riktig.",IF(ABS(C28-(144000+120000+45000+110000+40000))&lt;=0,"Du har glemt diverse, 60 000.",IF(ABS(C28-(120000+45000+110000+40000+60000))&lt;=0,"Du har glemt leasingen på bilene, 144 000. Leasing er en driftskostnad.","Ikke riktig ennå. Se på regnestykket øverst på fanen, og sjekk at du har med alle leddene."))))</f>
        <v>Skriv svaret i den gule cellen.</v>
      </c>
    </row>
    <row r="29" customFormat="false" ht="43.5" hidden="false" customHeight="true" outlineLevel="0" collapsed="false">
      <c r="B29" s="16" t="s">
        <v>76</v>
      </c>
      <c r="C29" s="13"/>
      <c r="D29" s="18" t="s">
        <v>48</v>
      </c>
      <c r="G29" s="19" t="str">
        <f aca="false">IF(C29="","Skriv svaret i den gule cellen.",IF(C29=(3500*890+1400000*1.2-1400000-(2*560000+700000)*1.468-300000/5-519000),"Riktig.",IF(ABS(C29-(3500*890+1400000*1.2-1400000*1.2-(2*560000+700000)*1.468-300000/5-519000))&lt;=0,"Du har trukket fra materiellet med påslag. Varekostnaden er innkjøpsprisen, 1 400 000.",IF(ABS(C29-(3500*890+1400000*1.2-1400000-(2*560000+700000)*1.468-300000/5-519000-37500))&lt;=0,"Du har trukket fra rentene. De kommer under driftsresultatet.",IF(ABS(C29-(3500*890+1400000*1.2-1400000-(2*560000+700000)*1.468-300000/5-519000-100000))&lt;=0,"Du har trukket fra avdraget på lånet. Avdrag er ikke en kostnad.","Ikke riktig ennå. Se på regnestykket øverst på fanen, og sjekk at du har med alle leddene.")))))</f>
        <v>Skriv svaret i den gule cellen.</v>
      </c>
    </row>
    <row r="30" customFormat="false" ht="43.5" hidden="false" customHeight="true" outlineLevel="0" collapsed="false">
      <c r="B30" s="16" t="s">
        <v>77</v>
      </c>
      <c r="C30" s="13"/>
      <c r="D30" s="18" t="s">
        <v>48</v>
      </c>
      <c r="G30" s="19" t="str">
        <f aca="false">IF(C30="","Skriv svaret i den gule cellen.",IF(C30=(3500*890+1400000*1.2-1400000-(2*560000+700000)*1.468-300000/5-519000-500000*0.075),"Riktig.",IF(ABS(C30-(3500*890+1400000*1.2-1400000-(2*560000+700000)*1.468-300000/5-519000-500000*0.075-100000))&lt;=0,"Du har trukket fra avdraget. Bare renten, 37 500, er kostnad.","Ikke riktig ennå. Se på regnestykket øverst på fanen, og sjekk at du har med alle leddene.")))</f>
        <v>Skriv svaret i den gule cellen.</v>
      </c>
    </row>
    <row r="32" customFormat="false" ht="39.75" hidden="false" customHeight="true" outlineLevel="0" collapsed="false">
      <c r="B32" s="16" t="s">
        <v>78</v>
      </c>
      <c r="C32" s="22"/>
      <c r="G32" s="19" t="str">
        <f aca="false">IF(C32="","Velg i nedtrekksmenyen.",IF(C32="Nei","Riktig. Finansiering. Står i balansen og i likviditetsbudsjettet, aldri som inntekt.","Ikke riktig. Finansiering. Står i balansen og i likviditetsbudsjettet, aldri som inntekt."))</f>
        <v>Velg i nedtrekksmenyen.</v>
      </c>
    </row>
    <row r="33" customFormat="false" ht="39.75" hidden="false" customHeight="true" outlineLevel="0" collapsed="false">
      <c r="B33" s="16" t="s">
        <v>79</v>
      </c>
      <c r="C33" s="22"/>
      <c r="G33" s="19" t="str">
        <f aca="false">IF(C33="","Velg i nedtrekksmenyen.",IF(C33="Nei","Riktig. Finansiering. Bare renten er kostnad; avdraget er en utbetaling.","Ikke riktig. Finansiering. Bare renten er kostnad; avdraget er en utbetaling."))</f>
        <v>Velg i nedtrekksmenyen.</v>
      </c>
    </row>
    <row r="34" customFormat="false" ht="39.75" hidden="false" customHeight="true" outlineLevel="0" collapsed="false">
      <c r="B34" s="16" t="s">
        <v>80</v>
      </c>
      <c r="C34" s="22"/>
      <c r="G34" s="19" t="str">
        <f aca="false">IF(C34="","Velg i nedtrekksmenyen.",IF(C34="Ja","Riktig. Finanskostnad, under driftsresultatet.","Ikke riktig. Finanskostnad, under driftsresultatet."))</f>
        <v>Velg i nedtrekksmenyen.</v>
      </c>
    </row>
    <row r="35" customFormat="false" ht="39.75" hidden="false" customHeight="true" outlineLevel="0" collapsed="false">
      <c r="B35" s="16" t="s">
        <v>81</v>
      </c>
      <c r="C35" s="22"/>
      <c r="G35" s="19" t="str">
        <f aca="false">IF(C35="","Velg i nedtrekksmenyen.",IF(C35="Nei","Riktig. Tapt inntekt, ikke en kostnad. Lønna for timene er allerede med i lønnskostnaden.","Ikke riktig. Tapt inntekt, ikke en kostnad. Lønna for timene er allerede med i lønnskostnaden."))</f>
        <v>Velg i nedtrekksmenyen.</v>
      </c>
    </row>
    <row r="36" customFormat="false" ht="39.75" hidden="false" customHeight="true" outlineLevel="0" collapsed="false">
      <c r="B36" s="16" t="s">
        <v>82</v>
      </c>
      <c r="C36" s="22"/>
      <c r="G36" s="19" t="str">
        <f aca="false">IF(C36="","Velg i nedtrekksmenyen.",IF(C36="Nei","Riktig. Statens penger. Resultatbudsjettet settes opp uten merverdiavgift; den finnes bare i likviditetsbudsjettet.","Ikke riktig. Statens penger. Resultatbudsjettet settes opp uten merverdiavgift; den finnes bare i likviditetsbudsjettet."))</f>
        <v>Velg i nedtrekksmenyen.</v>
      </c>
    </row>
    <row r="37" customFormat="false" ht="39.75" hidden="false" customHeight="true" outlineLevel="0" collapsed="false">
      <c r="B37" s="16" t="s">
        <v>83</v>
      </c>
      <c r="C37" s="22"/>
      <c r="G37" s="19" t="str">
        <f aca="false">IF(C37="","Velg i nedtrekksmenyen.",IF(C37="Ja","Riktig. Driftskostnad under andre driftskostnader.","Ikke riktig. Driftskostnad under andre driftskostnader."))</f>
        <v>Velg i nedtrekksmenyen.</v>
      </c>
    </row>
    <row r="39" customFormat="false" ht="30" hidden="false" customHeight="true" outlineLevel="0" collapsed="false">
      <c r="B39" s="8" t="s">
        <v>84</v>
      </c>
      <c r="C39" s="8"/>
      <c r="D39" s="8"/>
      <c r="E39" s="8"/>
      <c r="F39" s="8"/>
      <c r="G39" s="8"/>
    </row>
    <row r="40" customFormat="false" ht="21.75" hidden="false" customHeight="true" outlineLevel="0" collapsed="false">
      <c r="B40" s="20"/>
      <c r="C40" s="20"/>
      <c r="D40" s="20"/>
      <c r="E40" s="20"/>
      <c r="F40" s="20"/>
      <c r="G40" s="20"/>
    </row>
    <row r="41" customFormat="false" ht="21.75" hidden="false" customHeight="true" outlineLevel="0" collapsed="false">
      <c r="B41" s="20"/>
      <c r="C41" s="20"/>
      <c r="D41" s="20"/>
      <c r="E41" s="20"/>
      <c r="F41" s="20"/>
      <c r="G41" s="20"/>
    </row>
    <row r="42" customFormat="false" ht="21.75" hidden="false" customHeight="true" outlineLevel="0" collapsed="false">
      <c r="B42" s="20"/>
      <c r="C42" s="20"/>
      <c r="D42" s="20"/>
      <c r="E42" s="20"/>
      <c r="F42" s="20"/>
      <c r="G42" s="20"/>
    </row>
    <row r="43" customFormat="false" ht="39.75" hidden="false" customHeight="true" outlineLevel="0" collapsed="false">
      <c r="B43" s="21" t="str">
        <f aca="false">IF(LEN(B40)&lt;40,"",IF(AND(ISNUMBER(SEARCH("time",B40)),ISNUMBER(SEARCH("356",B40))),"Bra: du peker på timetallet og har regnet konsekvensen, 400 timer × 890 = 356 000 kr mindre i inntekt. Si også hvilket tiltak dere velger først.",IF(OR(ISNUMBER(SEARCH("time",B40)),ISNUMBER(SEARCH("356",B40))),"Du er på sporet. Regn konsekvensen: 2 × 200 timer × 890 kr = 356 000 kr, og driftsresultatet blir negativt.","Tips: 1 400 fakturerbare timer per montør forutsetter oppdrag hele året. Faller det til 1 200, forsvinner 400 × 890 = 356 000 kr, og driftsresultatet på 144 240 blir −211 760. Tiltak: selge flere timer, høyere timepris eller lavere faste kostnader.")))</f>
        <v/>
      </c>
      <c r="C43" s="21"/>
      <c r="D43" s="21"/>
      <c r="E43" s="21"/>
      <c r="F43" s="21"/>
      <c r="G43" s="21"/>
    </row>
    <row r="44" customFormat="false" ht="15" hidden="false" customHeight="false" outlineLevel="0" collapsed="false">
      <c r="B44" s="14" t="s">
        <v>50</v>
      </c>
      <c r="C44" s="22"/>
    </row>
    <row r="45" customFormat="false" ht="45" hidden="false" customHeight="true" outlineLevel="0" collapsed="false">
      <c r="B45" s="23" t="str">
        <f aca="false">IF(C44="JA","Hint: a: 3 500 × 890 = 3 115 000, pluss 1 400 000 × 1,20 = 1 680 000, sum 4 795 000. b: 1 820 000 × 1,468 = 2 671 760. c: 300 000 / 5 = 60 000. d: 519 000. e: 4 795 000 − 1 400 000 − 2 671 760 − 60 000 − 519 000 = 144 240. f: 144 240 − 37 500 = 106 740.","")</f>
        <v/>
      </c>
      <c r="C45" s="23"/>
      <c r="D45" s="23"/>
      <c r="E45" s="23"/>
      <c r="F45" s="23"/>
      <c r="G45" s="23"/>
    </row>
    <row r="47" customFormat="false" ht="30" hidden="false" customHeight="true" outlineLevel="0" collapsed="false">
      <c r="B47" s="6" t="s">
        <v>51</v>
      </c>
      <c r="C47" s="6"/>
      <c r="D47" s="6"/>
      <c r="E47" s="6"/>
      <c r="F47" s="6"/>
      <c r="G47" s="6"/>
    </row>
  </sheetData>
  <mergeCells count="13">
    <mergeCell ref="B2:G2"/>
    <mergeCell ref="B3:G3"/>
    <mergeCell ref="B4:G4"/>
    <mergeCell ref="B5:G5"/>
    <mergeCell ref="B6:G6"/>
    <mergeCell ref="B7:G7"/>
    <mergeCell ref="B22:G22"/>
    <mergeCell ref="B23:G23"/>
    <mergeCell ref="B39:G39"/>
    <mergeCell ref="B40:G42"/>
    <mergeCell ref="B43:G43"/>
    <mergeCell ref="B45:G45"/>
    <mergeCell ref="B47:G47"/>
  </mergeCells>
  <conditionalFormatting sqref="G25">
    <cfRule type="expression" priority="2" aboveAverage="0" equalAverage="0" bottom="0" percent="0" rank="0" text="" dxfId="0">
      <formula>LEFT(G25,6)="Riktig"</formula>
    </cfRule>
    <cfRule type="expression" priority="3" aboveAverage="0" equalAverage="0" bottom="0" percent="0" rank="0" text="" dxfId="1">
      <formula>AND(G25&lt;&gt;"",LEFT(G25,6)&lt;&gt;"Riktig",LEFT(G25,5)&lt;&gt;"Skriv")</formula>
    </cfRule>
  </conditionalFormatting>
  <conditionalFormatting sqref="G26">
    <cfRule type="expression" priority="4" aboveAverage="0" equalAverage="0" bottom="0" percent="0" rank="0" text="" dxfId="0">
      <formula>LEFT(G26,6)="Riktig"</formula>
    </cfRule>
    <cfRule type="expression" priority="5" aboveAverage="0" equalAverage="0" bottom="0" percent="0" rank="0" text="" dxfId="1">
      <formula>AND(G26&lt;&gt;"",LEFT(G26,6)&lt;&gt;"Riktig",LEFT(G26,5)&lt;&gt;"Skriv")</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AND(G27&lt;&gt;"",LEFT(G27,6)&lt;&gt;"Riktig",LEFT(G27,5)&lt;&gt;"Skriv")</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AND(G28&lt;&gt;"",LEFT(G28,6)&lt;&gt;"Riktig",LEFT(G28,5)&lt;&gt;"Skriv")</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AND(G29&lt;&gt;"",LEFT(G29,6)&lt;&gt;"Riktig",LEFT(G29,5)&lt;&gt;"Skriv")</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AND(G30&lt;&gt;"",LEFT(G30,6)&lt;&gt;"Riktig",LEFT(G30,5)&lt;&gt;"Skriv")</formula>
    </cfRule>
  </conditionalFormatting>
  <conditionalFormatting sqref="G32">
    <cfRule type="expression" priority="14" aboveAverage="0" equalAverage="0" bottom="0" percent="0" rank="0" text="" dxfId="0">
      <formula>LEFT(G32,6)="Riktig"</formula>
    </cfRule>
    <cfRule type="expression" priority="15" aboveAverage="0" equalAverage="0" bottom="0" percent="0" rank="0" text="" dxfId="1">
      <formula>LEFT(G32,4)="Ikke"</formula>
    </cfRule>
  </conditionalFormatting>
  <conditionalFormatting sqref="G33">
    <cfRule type="expression" priority="16" aboveAverage="0" equalAverage="0" bottom="0" percent="0" rank="0" text="" dxfId="0">
      <formula>LEFT(G33,6)="Riktig"</formula>
    </cfRule>
    <cfRule type="expression" priority="17" aboveAverage="0" equalAverage="0" bottom="0" percent="0" rank="0" text="" dxfId="1">
      <formula>LEFT(G33,4)="Ikke"</formula>
    </cfRule>
  </conditionalFormatting>
  <conditionalFormatting sqref="G34">
    <cfRule type="expression" priority="18" aboveAverage="0" equalAverage="0" bottom="0" percent="0" rank="0" text="" dxfId="0">
      <formula>LEFT(G34,6)="Riktig"</formula>
    </cfRule>
    <cfRule type="expression" priority="19" aboveAverage="0" equalAverage="0" bottom="0" percent="0" rank="0" text="" dxfId="1">
      <formula>LEFT(G34,4)="Ikke"</formula>
    </cfRule>
  </conditionalFormatting>
  <conditionalFormatting sqref="G35">
    <cfRule type="expression" priority="20" aboveAverage="0" equalAverage="0" bottom="0" percent="0" rank="0" text="" dxfId="0">
      <formula>LEFT(G35,6)="Riktig"</formula>
    </cfRule>
    <cfRule type="expression" priority="21" aboveAverage="0" equalAverage="0" bottom="0" percent="0" rank="0" text="" dxfId="1">
      <formula>LEFT(G35,4)="Ikke"</formula>
    </cfRule>
  </conditionalFormatting>
  <conditionalFormatting sqref="G36">
    <cfRule type="expression" priority="22" aboveAverage="0" equalAverage="0" bottom="0" percent="0" rank="0" text="" dxfId="0">
      <formula>LEFT(G36,6)="Riktig"</formula>
    </cfRule>
    <cfRule type="expression" priority="23" aboveAverage="0" equalAverage="0" bottom="0" percent="0" rank="0" text="" dxfId="1">
      <formula>LEFT(G36,4)="Ikke"</formula>
    </cfRule>
  </conditionalFormatting>
  <conditionalFormatting sqref="G37">
    <cfRule type="expression" priority="24" aboveAverage="0" equalAverage="0" bottom="0" percent="0" rank="0" text="" dxfId="0">
      <formula>LEFT(G37,6)="Riktig"</formula>
    </cfRule>
    <cfRule type="expression" priority="25" aboveAverage="0" equalAverage="0" bottom="0" percent="0" rank="0" text="" dxfId="1">
      <formula>LEFT(G37,4)="Ikke"</formula>
    </cfRule>
  </conditionalFormatting>
  <dataValidations count="7">
    <dataValidation allowBlank="true" errorStyle="stop" operator="between" showDropDown="false" showErrorMessage="false" showInputMessage="false" sqref="C32" type="list">
      <formula1>$Z$1:$Z$2</formula1>
      <formula2>0</formula2>
    </dataValidation>
    <dataValidation allowBlank="true" errorStyle="stop" operator="between" showDropDown="false" showErrorMessage="false" showInputMessage="false" sqref="C33" type="list">
      <formula1>$Z$3:$Z$4</formula1>
      <formula2>0</formula2>
    </dataValidation>
    <dataValidation allowBlank="true" errorStyle="stop" operator="between" showDropDown="false" showErrorMessage="false" showInputMessage="false" sqref="C34" type="list">
      <formula1>$Z$5:$Z$6</formula1>
      <formula2>0</formula2>
    </dataValidation>
    <dataValidation allowBlank="true" errorStyle="stop" operator="between" showDropDown="false" showErrorMessage="false" showInputMessage="false" sqref="C35" type="list">
      <formula1>$Z$7:$Z$8</formula1>
      <formula2>0</formula2>
    </dataValidation>
    <dataValidation allowBlank="true" errorStyle="stop" operator="between" showDropDown="false" showErrorMessage="false" showInputMessage="false" sqref="C36" type="list">
      <formula1>$Z$9:$Z$10</formula1>
      <formula2>0</formula2>
    </dataValidation>
    <dataValidation allowBlank="true" errorStyle="stop" operator="between" showDropDown="false" showErrorMessage="false" showInputMessage="false" sqref="C37" type="list">
      <formula1>$Z$11:$Z$12</formula1>
      <formula2>0</formula2>
    </dataValidation>
    <dataValidation allowBlank="true" errorStyle="stop" operator="between" showDropDown="false" showErrorMessage="false" showInputMessage="false" sqref="C4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85</v>
      </c>
    </row>
    <row r="2" customFormat="false" ht="25.5" hidden="false" customHeight="true" outlineLevel="0" collapsed="false">
      <c r="B2" s="5" t="s">
        <v>86</v>
      </c>
      <c r="C2" s="5"/>
      <c r="D2" s="5"/>
      <c r="E2" s="5"/>
      <c r="F2" s="5"/>
      <c r="G2" s="5"/>
      <c r="Z2" s="24" t="s">
        <v>87</v>
      </c>
    </row>
    <row r="3" customFormat="false" ht="15" hidden="false" customHeight="true" outlineLevel="0" collapsed="false">
      <c r="B3" s="6" t="s">
        <v>17</v>
      </c>
      <c r="C3" s="6"/>
      <c r="D3" s="6"/>
      <c r="E3" s="6"/>
      <c r="F3" s="6"/>
      <c r="G3" s="6"/>
      <c r="Z3" s="24" t="s">
        <v>88</v>
      </c>
    </row>
    <row r="4" customFormat="false" ht="15.75" hidden="false" customHeight="true" outlineLevel="0" collapsed="false">
      <c r="B4" s="7" t="s">
        <v>18</v>
      </c>
      <c r="C4" s="7"/>
      <c r="D4" s="7"/>
      <c r="E4" s="7"/>
      <c r="F4" s="7"/>
      <c r="G4" s="7"/>
      <c r="Z4" s="24" t="s">
        <v>85</v>
      </c>
    </row>
    <row r="5" customFormat="false" ht="45" hidden="false" customHeight="true" outlineLevel="0" collapsed="false">
      <c r="B5" s="8" t="s">
        <v>89</v>
      </c>
      <c r="C5" s="8"/>
      <c r="D5" s="8"/>
      <c r="E5" s="8"/>
      <c r="F5" s="8"/>
      <c r="G5" s="8"/>
      <c r="Z5" s="24" t="s">
        <v>87</v>
      </c>
    </row>
    <row r="6" customFormat="false" ht="15.75" hidden="false" customHeight="true" outlineLevel="0" collapsed="false">
      <c r="B6" s="7" t="s">
        <v>20</v>
      </c>
      <c r="C6" s="7"/>
      <c r="D6" s="7"/>
      <c r="E6" s="7"/>
      <c r="F6" s="7"/>
      <c r="G6" s="7"/>
      <c r="Z6" s="24" t="s">
        <v>88</v>
      </c>
    </row>
    <row r="7" customFormat="false" ht="60" hidden="false" customHeight="true" outlineLevel="0" collapsed="false">
      <c r="B7" s="8" t="s">
        <v>90</v>
      </c>
      <c r="C7" s="8"/>
      <c r="D7" s="8"/>
      <c r="E7" s="8"/>
      <c r="F7" s="8"/>
      <c r="G7" s="8"/>
      <c r="Z7" s="24" t="s">
        <v>85</v>
      </c>
    </row>
    <row r="8" customFormat="false" ht="15" hidden="false" customHeight="false" outlineLevel="0" collapsed="false">
      <c r="Z8" s="0" t="s">
        <v>87</v>
      </c>
    </row>
    <row r="9" customFormat="false" ht="15" hidden="false" customHeight="true" outlineLevel="0" collapsed="false">
      <c r="B9" s="7" t="s">
        <v>91</v>
      </c>
      <c r="C9" s="7"/>
      <c r="D9" s="7"/>
      <c r="E9" s="7"/>
      <c r="F9" s="7"/>
      <c r="G9" s="7"/>
      <c r="Z9" s="24" t="s">
        <v>88</v>
      </c>
    </row>
    <row r="10" customFormat="false" ht="39.75" hidden="false" customHeight="true" outlineLevel="0" collapsed="false">
      <c r="B10" s="16" t="s">
        <v>92</v>
      </c>
      <c r="C10" s="22"/>
      <c r="G10" s="19" t="str">
        <f aca="false">IF(C10="","Velg i nedtrekksmenyen.",IF(C10="Bare resultatbudsjettet","Riktig. Kostnad uten utbetaling. Pengene gikk ut da bilene ble kjøpt.","Ikke riktig. Kostnad uten utbetaling. Pengene gikk ut da bilene ble kjøpt."))</f>
        <v>Velg i nedtrekksmenyen.</v>
      </c>
      <c r="Z10" s="24" t="s">
        <v>85</v>
      </c>
    </row>
    <row r="11" customFormat="false" ht="39.75" hidden="false" customHeight="true" outlineLevel="0" collapsed="false">
      <c r="B11" s="16" t="s">
        <v>93</v>
      </c>
      <c r="C11" s="22"/>
      <c r="G11" s="19" t="str">
        <f aca="false">IF(C11="","Velg i nedtrekksmenyen.",IF(C11="Bare likviditetsbudsjettet","Riktig. Utbetalingen skjer i mars. I resultatbudsjettet står bare avskrivningen, 10 000 per måned.","Ikke riktig. Utbetalingen skjer i mars. I resultatbudsjettet står bare avskrivningen, 10 000 per måned."))</f>
        <v>Velg i nedtrekksmenyen.</v>
      </c>
      <c r="Z11" s="24" t="s">
        <v>87</v>
      </c>
    </row>
    <row r="12" customFormat="false" ht="39.75" hidden="false" customHeight="true" outlineLevel="0" collapsed="false">
      <c r="B12" s="16" t="s">
        <v>94</v>
      </c>
      <c r="C12" s="22"/>
      <c r="G12" s="19" t="str">
        <f aca="false">IF(C12="","Velg i nedtrekksmenyen.",IF(C12="Bare likviditetsbudsjettet","Riktig. Nedbetaling av gjeld er ikke en kostnad.","Ikke riktig. Nedbetaling av gjeld er ikke en kostnad."))</f>
        <v>Velg i nedtrekksmenyen.</v>
      </c>
      <c r="Z12" s="24" t="s">
        <v>88</v>
      </c>
    </row>
    <row r="13" customFormat="false" ht="39.75" hidden="false" customHeight="true" outlineLevel="0" collapsed="false">
      <c r="B13" s="16" t="s">
        <v>95</v>
      </c>
      <c r="C13" s="22"/>
      <c r="G13" s="19" t="str">
        <f aca="false">IF(C13="","Velg i nedtrekksmenyen.",IF(C13="Begge","Riktig. Renten er en kostnad i resultatbudsjettet og en utbetaling når den forfaller.","Ikke riktig. Renten er en kostnad i resultatbudsjettet og en utbetaling når den forfaller."))</f>
        <v>Velg i nedtrekksmenyen.</v>
      </c>
      <c r="Z13" s="24" t="s">
        <v>85</v>
      </c>
    </row>
    <row r="14" customFormat="false" ht="39.75" hidden="false" customHeight="true" outlineLevel="0" collapsed="false">
      <c r="B14" s="16" t="s">
        <v>96</v>
      </c>
      <c r="C14" s="22"/>
      <c r="G14" s="19" t="str">
        <f aca="false">IF(C14="","Velg i nedtrekksmenyen.",IF(C14="Bare likviditetsbudsjettet","Riktig. Statens penger. Resultatbudsjettet settes opp uten merverdiavgift.","Ikke riktig. Statens penger. Resultatbudsjettet settes opp uten merverdiavgift."))</f>
        <v>Velg i nedtrekksmenyen.</v>
      </c>
      <c r="Z14" s="24" t="s">
        <v>87</v>
      </c>
    </row>
    <row r="15" customFormat="false" ht="39.75" hidden="false" customHeight="true" outlineLevel="0" collapsed="false">
      <c r="B15" s="16" t="s">
        <v>97</v>
      </c>
      <c r="C15" s="22"/>
      <c r="G15" s="19" t="str">
        <f aca="false">IF(C15="","Velg i nedtrekksmenyen.",IF(C15="Bare likviditetsbudsjettet","Riktig. Kostnaden ble tatt i 2026, da de ble tjent opp. I 2027 er det bare en utbetaling.","Ikke riktig. Kostnaden ble tatt i 2026, da de ble tjent opp. I 2027 er det bare en utbetaling."))</f>
        <v>Velg i nedtrekksmenyen.</v>
      </c>
      <c r="Z15" s="24" t="s">
        <v>88</v>
      </c>
    </row>
    <row r="16" customFormat="false" ht="39.75" hidden="false" customHeight="true" outlineLevel="0" collapsed="false">
      <c r="B16" s="16" t="s">
        <v>98</v>
      </c>
      <c r="C16" s="22"/>
      <c r="G16" s="19" t="str">
        <f aca="false">IF(C16="","Velg i nedtrekksmenyen.",IF(C16="Begge","Riktig. Kostnad i mars, og utbetaling når lønna betales.","Ikke riktig. Kostnad i mars, og utbetaling når lønna betales."))</f>
        <v>Velg i nedtrekksmenyen.</v>
      </c>
      <c r="Z16" s="24" t="s">
        <v>85</v>
      </c>
    </row>
    <row r="17" customFormat="false" ht="39.75" hidden="false" customHeight="true" outlineLevel="0" collapsed="false">
      <c r="B17" s="16" t="s">
        <v>99</v>
      </c>
      <c r="C17" s="22"/>
      <c r="G17" s="19" t="str">
        <f aca="false">IF(C17="","Velg i nedtrekksmenyen.",IF(C17="Begge","Riktig. Kostnad i mars i resultatbudsjettet, utbetaling i april i likviditetsbudsjettet. Begge, men i ulik måned.","Ikke riktig. Kostnad i mars i resultatbudsjettet, utbetaling i april i likviditetsbudsjettet. Begge, men i ulik måned."))</f>
        <v>Velg i nedtrekksmenyen.</v>
      </c>
      <c r="Z17" s="24" t="s">
        <v>87</v>
      </c>
    </row>
    <row r="18" customFormat="false" ht="39.75" hidden="false" customHeight="true" outlineLevel="0" collapsed="false">
      <c r="B18" s="16" t="s">
        <v>100</v>
      </c>
      <c r="C18" s="22"/>
      <c r="G18" s="19" t="str">
        <f aca="false">IF(C18="","Velg i nedtrekksmenyen.",IF(C18="Bare likviditetsbudsjettet","Riktig. Innbetaling uten inntekt. Lånet er ikke tjent, det er lånt.","Ikke riktig. Innbetaling uten inntekt. Lånet er ikke tjent, det er lånt."))</f>
        <v>Velg i nedtrekksmenyen.</v>
      </c>
      <c r="Z18" s="24" t="s">
        <v>88</v>
      </c>
    </row>
    <row r="19" customFormat="false" ht="39.75" hidden="false" customHeight="true" outlineLevel="0" collapsed="false">
      <c r="B19" s="16" t="s">
        <v>101</v>
      </c>
      <c r="C19" s="22"/>
      <c r="G19" s="19" t="str">
        <f aca="false">IF(C19="","Velg i nedtrekksmenyen.",IF(C19="Begge","Riktig. Kostnad og utbetaling, som regel i samme måned.","Ikke riktig. Kostnad og utbetaling, som regel i samme måned."))</f>
        <v>Velg i nedtrekksmenyen.</v>
      </c>
      <c r="Z19" s="24" t="s">
        <v>85</v>
      </c>
    </row>
    <row r="20" customFormat="false" ht="15" hidden="false" customHeight="false" outlineLevel="0" collapsed="false">
      <c r="Z20" s="0" t="s">
        <v>87</v>
      </c>
    </row>
    <row r="21" customFormat="false" ht="15.75" hidden="false" customHeight="true" outlineLevel="0" collapsed="false">
      <c r="B21" s="7" t="s">
        <v>102</v>
      </c>
      <c r="C21" s="7"/>
      <c r="D21" s="7"/>
      <c r="E21" s="7"/>
      <c r="F21" s="7"/>
      <c r="G21" s="7"/>
      <c r="Z21" s="24" t="s">
        <v>88</v>
      </c>
    </row>
    <row r="22" customFormat="false" ht="30" hidden="false" customHeight="true" outlineLevel="0" collapsed="false">
      <c r="B22" s="8" t="s">
        <v>103</v>
      </c>
      <c r="C22" s="8"/>
      <c r="D22" s="8"/>
      <c r="E22" s="8"/>
      <c r="F22" s="8"/>
      <c r="G22" s="8"/>
      <c r="Z22" s="24" t="s">
        <v>85</v>
      </c>
    </row>
    <row r="23" customFormat="false" ht="43.5" hidden="false" customHeight="true" outlineLevel="0" collapsed="false">
      <c r="B23" s="16" t="s">
        <v>104</v>
      </c>
      <c r="C23" s="13"/>
      <c r="D23" s="18" t="s">
        <v>48</v>
      </c>
      <c r="G23" s="19" t="str">
        <f aca="false">IF(C23="","Skriv svaret i den gule cellen.",IF(C23=(450000/5),"Riktig.",IF(ABS(C23-(450000))&lt;=0,"Du har tatt hele kjøpesummen. Den fordeles over 5 år.",IF(ABS(C23-(450000*1.25/5))&lt;=0,"Merverdiavgiften hører ikke hjemme i resultatbudsjettet.","Ikke riktig ennå. Se på regnestykket øverst på fanen, og sjekk at du har med alle leddene."))))</f>
        <v>Skriv svaret i den gule cellen.</v>
      </c>
      <c r="Z23" s="24" t="s">
        <v>87</v>
      </c>
    </row>
    <row r="24" customFormat="false" ht="43.5" hidden="false" customHeight="true" outlineLevel="0" collapsed="false">
      <c r="B24" s="16" t="s">
        <v>105</v>
      </c>
      <c r="C24" s="13"/>
      <c r="D24" s="18" t="s">
        <v>48</v>
      </c>
      <c r="G24" s="19" t="str">
        <f aca="false">IF(C24="","Skriv svaret i den gule cellen.",IF(C24=(450000*1.25),"Riktig.",IF(ABS(C24-(450000))&lt;=0,"Kontoen betaler fakturaen med merverdiavgift: 450 000 × 1,25.",IF(ABS(C24-(450000/5))&lt;=0,"Det er avskrivningen. Her spørres det om pengene som går ut av kontoen den måneden bilen kjøpes.","Ikke riktig ennå. Se på regnestykket øverst på fanen, og sjekk at du har med alle leddene."))))</f>
        <v>Skriv svaret i den gule cellen.</v>
      </c>
      <c r="Z24" s="24" t="s">
        <v>88</v>
      </c>
    </row>
    <row r="25" customFormat="false" ht="43.5" hidden="false" customHeight="true" outlineLevel="0" collapsed="false">
      <c r="B25" s="16" t="s">
        <v>106</v>
      </c>
      <c r="C25" s="13"/>
      <c r="D25" s="18" t="s">
        <v>48</v>
      </c>
      <c r="G25" s="19" t="str">
        <f aca="false">IF(C25="","Skriv svaret i den gule cellen.",IF(C25=(7500000*0.12),"Riktig.",IF(ABS(C25-(7500000*0.143))&lt;=0,"14,3 % gjelder bare ansatte som fyller 60. Her er satsen 12 %.",IF(ABS(C25-(890000))&lt;=0,"Det er feriepengene fra 2026, som utbetales i juni 2027. Oppgaven spør om dem som tjenes opp i 2027.","Ikke riktig ennå. Se på regnestykket øverst på fanen, og sjekk at du har med alle leddene."))))</f>
        <v>Skriv svaret i den gule cellen.</v>
      </c>
      <c r="Z25" s="24" t="s">
        <v>85</v>
      </c>
    </row>
    <row r="26" customFormat="false" ht="15" hidden="false" customHeight="false" outlineLevel="0" collapsed="false">
      <c r="Z26" s="0" t="s">
        <v>87</v>
      </c>
    </row>
    <row r="27" customFormat="false" ht="30" hidden="false" customHeight="true" outlineLevel="0" collapsed="false">
      <c r="B27" s="8" t="s">
        <v>107</v>
      </c>
      <c r="C27" s="8"/>
      <c r="D27" s="8"/>
      <c r="E27" s="8"/>
      <c r="F27" s="8"/>
      <c r="G27" s="8"/>
      <c r="Z27" s="24" t="s">
        <v>88</v>
      </c>
    </row>
    <row r="28" customFormat="false" ht="21.75" hidden="false" customHeight="true" outlineLevel="0" collapsed="false">
      <c r="B28" s="20"/>
      <c r="C28" s="20"/>
      <c r="D28" s="20"/>
      <c r="E28" s="20"/>
      <c r="F28" s="20"/>
      <c r="G28" s="20"/>
      <c r="Z28" s="24" t="s">
        <v>85</v>
      </c>
    </row>
    <row r="29" customFormat="false" ht="21.75" hidden="false" customHeight="true" outlineLevel="0" collapsed="false">
      <c r="B29" s="20"/>
      <c r="C29" s="20"/>
      <c r="D29" s="20"/>
      <c r="E29" s="20"/>
      <c r="F29" s="20"/>
      <c r="G29" s="20"/>
      <c r="Z29" s="24" t="s">
        <v>87</v>
      </c>
    </row>
    <row r="30" customFormat="false" ht="21.75" hidden="false" customHeight="true" outlineLevel="0" collapsed="false">
      <c r="B30" s="20"/>
      <c r="C30" s="20"/>
      <c r="D30" s="20"/>
      <c r="E30" s="20"/>
      <c r="F30" s="20"/>
      <c r="G30" s="20"/>
      <c r="Z30" s="24" t="s">
        <v>88</v>
      </c>
    </row>
    <row r="31" customFormat="false" ht="39.75" hidden="false" customHeight="true" outlineLevel="0" collapsed="false">
      <c r="B31" s="21" t="str">
        <f aca="false">IF(LEN(B28)&lt;40,"",IF(AND(ISNUMBER(SEARCH("gjeld",B28)),ISNUMBER(SEARCH("kostnad",B28))),"Bra: du skiller mellom å betale ned gjeld og å betale for å låne. Avdraget flytter penger fra kontoen til banken uten at noe er brukt opp; renten er prisen for lånet og en kostnad.",IF(OR(ISNUMBER(SEARCH("gjeld",B28)),ISNUMBER(SEARCH("kostnad",B28))),"Du er på sporet. Si at avdraget er nedbetaling av gjeld (ikke forbruk), og at renten er prisen for å låne (en kostnad).","Tips: avdraget er nedbetaling av gjeld; bedriften skylder mindre, men har ikke brukt opp noe. Renten er det lånet koster, og en kostnad i perioden.")))</f>
        <v/>
      </c>
      <c r="C31" s="21"/>
      <c r="D31" s="21"/>
      <c r="E31" s="21"/>
      <c r="F31" s="21"/>
      <c r="G31" s="21"/>
    </row>
    <row r="32" customFormat="false" ht="15" hidden="false" customHeight="false" outlineLevel="0" collapsed="false">
      <c r="B32" s="14" t="s">
        <v>50</v>
      </c>
      <c r="C32" s="22"/>
    </row>
    <row r="33" customFormat="false" ht="45" hidden="false" customHeight="true" outlineLevel="0" collapsed="false">
      <c r="B33" s="23" t="str">
        <f aca="false">IF(C32="JA","Hint: Spør for hver post: er det en inntekt eller kostnad i perioden (resultatbudsjettet), og flytter det penger på konto (likviditetsbudsjettet)? a: 450 000 / 5 = 90 000. b: 450 000 × 1,25 = 562 500. c: 7 500 000 × 12 % = 900 000.","")</f>
        <v/>
      </c>
      <c r="C33" s="23"/>
      <c r="D33" s="23"/>
      <c r="E33" s="23"/>
      <c r="F33" s="23"/>
      <c r="G33" s="23"/>
    </row>
    <row r="35" customFormat="false" ht="30" hidden="false" customHeight="true" outlineLevel="0" collapsed="false">
      <c r="B35" s="6" t="s">
        <v>51</v>
      </c>
      <c r="C35" s="6"/>
      <c r="D35" s="6"/>
      <c r="E35" s="6"/>
      <c r="F35" s="6"/>
      <c r="G35" s="6"/>
    </row>
  </sheetData>
  <mergeCells count="14">
    <mergeCell ref="B2:G2"/>
    <mergeCell ref="B3:G3"/>
    <mergeCell ref="B4:G4"/>
    <mergeCell ref="B5:G5"/>
    <mergeCell ref="B6:G6"/>
    <mergeCell ref="B7:G7"/>
    <mergeCell ref="B9:G9"/>
    <mergeCell ref="B21:G21"/>
    <mergeCell ref="B22:G22"/>
    <mergeCell ref="B27:G27"/>
    <mergeCell ref="B28:G30"/>
    <mergeCell ref="B31:G31"/>
    <mergeCell ref="B33:G33"/>
    <mergeCell ref="B35:G35"/>
  </mergeCells>
  <conditionalFormatting sqref="G10">
    <cfRule type="expression" priority="2" aboveAverage="0" equalAverage="0" bottom="0" percent="0" rank="0" text="" dxfId="0">
      <formula>LEFT(G10,6)="Riktig"</formula>
    </cfRule>
    <cfRule type="expression" priority="3" aboveAverage="0" equalAverage="0" bottom="0" percent="0" rank="0" text="" dxfId="1">
      <formula>LEFT(G10,4)="Ikke"</formula>
    </cfRule>
  </conditionalFormatting>
  <conditionalFormatting sqref="G11">
    <cfRule type="expression" priority="4" aboveAverage="0" equalAverage="0" bottom="0" percent="0" rank="0" text="" dxfId="0">
      <formula>LEFT(G11,6)="Riktig"</formula>
    </cfRule>
    <cfRule type="expression" priority="5" aboveAverage="0" equalAverage="0" bottom="0" percent="0" rank="0" text="" dxfId="1">
      <formula>LEFT(G11,4)="Ikke"</formula>
    </cfRule>
  </conditionalFormatting>
  <conditionalFormatting sqref="G12">
    <cfRule type="expression" priority="6" aboveAverage="0" equalAverage="0" bottom="0" percent="0" rank="0" text="" dxfId="0">
      <formula>LEFT(G12,6)="Riktig"</formula>
    </cfRule>
    <cfRule type="expression" priority="7" aboveAverage="0" equalAverage="0" bottom="0" percent="0" rank="0" text="" dxfId="1">
      <formula>LEFT(G12,4)="Ikke"</formula>
    </cfRule>
  </conditionalFormatting>
  <conditionalFormatting sqref="G13">
    <cfRule type="expression" priority="8" aboveAverage="0" equalAverage="0" bottom="0" percent="0" rank="0" text="" dxfId="0">
      <formula>LEFT(G13,6)="Riktig"</formula>
    </cfRule>
    <cfRule type="expression" priority="9" aboveAverage="0" equalAverage="0" bottom="0" percent="0" rank="0" text="" dxfId="1">
      <formula>LEFT(G13,4)="Ikke"</formula>
    </cfRule>
  </conditionalFormatting>
  <conditionalFormatting sqref="G14">
    <cfRule type="expression" priority="10" aboveAverage="0" equalAverage="0" bottom="0" percent="0" rank="0" text="" dxfId="0">
      <formula>LEFT(G14,6)="Riktig"</formula>
    </cfRule>
    <cfRule type="expression" priority="11" aboveAverage="0" equalAverage="0" bottom="0" percent="0" rank="0" text="" dxfId="1">
      <formula>LEFT(G14,4)="Ikke"</formula>
    </cfRule>
  </conditionalFormatting>
  <conditionalFormatting sqref="G15">
    <cfRule type="expression" priority="12" aboveAverage="0" equalAverage="0" bottom="0" percent="0" rank="0" text="" dxfId="0">
      <formula>LEFT(G15,6)="Riktig"</formula>
    </cfRule>
    <cfRule type="expression" priority="13" aboveAverage="0" equalAverage="0" bottom="0" percent="0" rank="0" text="" dxfId="1">
      <formula>LEFT(G15,4)="Ikke"</formula>
    </cfRule>
  </conditionalFormatting>
  <conditionalFormatting sqref="G16">
    <cfRule type="expression" priority="14" aboveAverage="0" equalAverage="0" bottom="0" percent="0" rank="0" text="" dxfId="0">
      <formula>LEFT(G16,6)="Riktig"</formula>
    </cfRule>
    <cfRule type="expression" priority="15" aboveAverage="0" equalAverage="0" bottom="0" percent="0" rank="0" text="" dxfId="1">
      <formula>LEFT(G16,4)="Ikke"</formula>
    </cfRule>
  </conditionalFormatting>
  <conditionalFormatting sqref="G17">
    <cfRule type="expression" priority="16" aboveAverage="0" equalAverage="0" bottom="0" percent="0" rank="0" text="" dxfId="0">
      <formula>LEFT(G17,6)="Riktig"</formula>
    </cfRule>
    <cfRule type="expression" priority="17" aboveAverage="0" equalAverage="0" bottom="0" percent="0" rank="0" text="" dxfId="1">
      <formula>LEFT(G17,4)="Ikke"</formula>
    </cfRule>
  </conditionalFormatting>
  <conditionalFormatting sqref="G18">
    <cfRule type="expression" priority="18" aboveAverage="0" equalAverage="0" bottom="0" percent="0" rank="0" text="" dxfId="0">
      <formula>LEFT(G18,6)="Riktig"</formula>
    </cfRule>
    <cfRule type="expression" priority="19" aboveAverage="0" equalAverage="0" bottom="0" percent="0" rank="0" text="" dxfId="1">
      <formula>LEFT(G18,4)="Ikke"</formula>
    </cfRule>
  </conditionalFormatting>
  <conditionalFormatting sqref="G19">
    <cfRule type="expression" priority="20" aboveAverage="0" equalAverage="0" bottom="0" percent="0" rank="0" text="" dxfId="0">
      <formula>LEFT(G19,6)="Riktig"</formula>
    </cfRule>
    <cfRule type="expression" priority="21" aboveAverage="0" equalAverage="0" bottom="0" percent="0" rank="0" text="" dxfId="1">
      <formula>LEFT(G19,4)="Ikke"</formula>
    </cfRule>
  </conditionalFormatting>
  <conditionalFormatting sqref="G23">
    <cfRule type="expression" priority="22" aboveAverage="0" equalAverage="0" bottom="0" percent="0" rank="0" text="" dxfId="0">
      <formula>LEFT(G23,6)="Riktig"</formula>
    </cfRule>
    <cfRule type="expression" priority="23" aboveAverage="0" equalAverage="0" bottom="0" percent="0" rank="0" text="" dxfId="1">
      <formula>AND(G23&lt;&gt;"",LEFT(G23,6)&lt;&gt;"Riktig",LEFT(G23,5)&lt;&gt;"Skriv")</formula>
    </cfRule>
  </conditionalFormatting>
  <conditionalFormatting sqref="G24">
    <cfRule type="expression" priority="24" aboveAverage="0" equalAverage="0" bottom="0" percent="0" rank="0" text="" dxfId="0">
      <formula>LEFT(G24,6)="Riktig"</formula>
    </cfRule>
    <cfRule type="expression" priority="25" aboveAverage="0" equalAverage="0" bottom="0" percent="0" rank="0" text="" dxfId="1">
      <formula>AND(G24&lt;&gt;"",LEFT(G24,6)&lt;&gt;"Riktig",LEFT(G24,5)&lt;&gt;"Skriv")</formula>
    </cfRule>
  </conditionalFormatting>
  <conditionalFormatting sqref="G25">
    <cfRule type="expression" priority="26" aboveAverage="0" equalAverage="0" bottom="0" percent="0" rank="0" text="" dxfId="0">
      <formula>LEFT(G25,6)="Riktig"</formula>
    </cfRule>
    <cfRule type="expression" priority="27" aboveAverage="0" equalAverage="0" bottom="0" percent="0" rank="0" text="" dxfId="1">
      <formula>AND(G25&lt;&gt;"",LEFT(G25,6)&lt;&gt;"Riktig",LEFT(G25,5)&lt;&gt;"Skriv")</formula>
    </cfRule>
  </conditionalFormatting>
  <dataValidations count="11">
    <dataValidation allowBlank="true" errorStyle="stop" operator="between" showDropDown="false" showErrorMessage="false" showInputMessage="false" sqref="C10" type="list">
      <formula1>$Z$1:$Z$3</formula1>
      <formula2>0</formula2>
    </dataValidation>
    <dataValidation allowBlank="true" errorStyle="stop" operator="between" showDropDown="false" showErrorMessage="false" showInputMessage="false" sqref="C11" type="list">
      <formula1>$Z$4:$Z$6</formula1>
      <formula2>0</formula2>
    </dataValidation>
    <dataValidation allowBlank="true" errorStyle="stop" operator="between" showDropDown="false" showErrorMessage="false" showInputMessage="false" sqref="C12" type="list">
      <formula1>$Z$7:$Z$9</formula1>
      <formula2>0</formula2>
    </dataValidation>
    <dataValidation allowBlank="true" errorStyle="stop" operator="between" showDropDown="false" showErrorMessage="false" showInputMessage="false" sqref="C13" type="list">
      <formula1>$Z$10:$Z$12</formula1>
      <formula2>0</formula2>
    </dataValidation>
    <dataValidation allowBlank="true" errorStyle="stop" operator="between" showDropDown="false" showErrorMessage="false" showInputMessage="false" sqref="C14" type="list">
      <formula1>$Z$13:$Z$15</formula1>
      <formula2>0</formula2>
    </dataValidation>
    <dataValidation allowBlank="true" errorStyle="stop" operator="between" showDropDown="false" showErrorMessage="false" showInputMessage="false" sqref="C15" type="list">
      <formula1>$Z$16:$Z$18</formula1>
      <formula2>0</formula2>
    </dataValidation>
    <dataValidation allowBlank="true" errorStyle="stop" operator="between" showDropDown="false" showErrorMessage="false" showInputMessage="false" sqref="C16" type="list">
      <formula1>$Z$19:$Z$21</formula1>
      <formula2>0</formula2>
    </dataValidation>
    <dataValidation allowBlank="true" errorStyle="stop" operator="between" showDropDown="false" showErrorMessage="false" showInputMessage="false" sqref="C17" type="list">
      <formula1>$Z$22:$Z$24</formula1>
      <formula2>0</formula2>
    </dataValidation>
    <dataValidation allowBlank="true" errorStyle="stop" operator="between" showDropDown="false" showErrorMessage="false" showInputMessage="false" sqref="C18" type="list">
      <formula1>$Z$25:$Z$27</formula1>
      <formula2>0</formula2>
    </dataValidation>
    <dataValidation allowBlank="true" errorStyle="stop" operator="between" showDropDown="false" showErrorMessage="false" showInputMessage="false" sqref="C19" type="list">
      <formula1>$Z$28:$Z$30</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108</v>
      </c>
    </row>
    <row r="2" customFormat="false" ht="25.5" hidden="false" customHeight="true" outlineLevel="0" collapsed="false">
      <c r="B2" s="5" t="s">
        <v>109</v>
      </c>
      <c r="C2" s="5"/>
      <c r="D2" s="5"/>
      <c r="E2" s="5"/>
      <c r="F2" s="5"/>
      <c r="G2" s="5"/>
      <c r="Z2" s="24" t="s">
        <v>110</v>
      </c>
    </row>
    <row r="3" customFormat="false" ht="15" hidden="false" customHeight="true" outlineLevel="0" collapsed="false">
      <c r="B3" s="6" t="s">
        <v>111</v>
      </c>
      <c r="C3" s="6"/>
      <c r="D3" s="6"/>
      <c r="E3" s="6"/>
      <c r="F3" s="6"/>
      <c r="G3" s="6"/>
      <c r="Z3" s="24" t="s">
        <v>112</v>
      </c>
    </row>
    <row r="4" customFormat="false" ht="15.75" hidden="false" customHeight="true" outlineLevel="0" collapsed="false">
      <c r="B4" s="7" t="s">
        <v>18</v>
      </c>
      <c r="C4" s="7"/>
      <c r="D4" s="7"/>
      <c r="E4" s="7"/>
      <c r="F4" s="7"/>
      <c r="G4" s="7"/>
    </row>
    <row r="5" customFormat="false" ht="60" hidden="false" customHeight="true" outlineLevel="0" collapsed="false">
      <c r="B5" s="8" t="s">
        <v>113</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114</v>
      </c>
      <c r="C7" s="8"/>
      <c r="D7" s="8"/>
      <c r="E7" s="8"/>
      <c r="F7" s="8"/>
      <c r="G7" s="8"/>
    </row>
    <row r="9" customFormat="false" ht="15.75" hidden="false" customHeight="true" outlineLevel="0" collapsed="false">
      <c r="B9" s="7" t="s">
        <v>115</v>
      </c>
      <c r="C9" s="7"/>
      <c r="D9" s="7"/>
      <c r="E9" s="7"/>
      <c r="F9" s="7"/>
      <c r="G9" s="7"/>
    </row>
    <row r="10" customFormat="false" ht="150" hidden="false" customHeight="true" outlineLevel="0" collapsed="false">
      <c r="B10" s="8" t="s">
        <v>116</v>
      </c>
      <c r="C10" s="8"/>
      <c r="D10" s="8"/>
      <c r="E10" s="8"/>
      <c r="F10" s="8"/>
      <c r="G10" s="8"/>
    </row>
    <row r="12" customFormat="false" ht="15" hidden="false" customHeight="false" outlineLevel="0" collapsed="false">
      <c r="B12" s="9" t="s">
        <v>117</v>
      </c>
      <c r="C12" s="10" t="s">
        <v>118</v>
      </c>
      <c r="D12" s="10" t="s">
        <v>119</v>
      </c>
      <c r="E12" s="10" t="s">
        <v>120</v>
      </c>
    </row>
    <row r="13" customFormat="false" ht="15" hidden="false" customHeight="false" outlineLevel="0" collapsed="false">
      <c r="B13" s="11" t="s">
        <v>121</v>
      </c>
      <c r="C13" s="12" t="n">
        <v>2400000</v>
      </c>
      <c r="D13" s="12" t="n">
        <v>1800000</v>
      </c>
      <c r="E13" s="12" t="n">
        <v>0</v>
      </c>
    </row>
    <row r="14" customFormat="false" ht="15" hidden="false" customHeight="false" outlineLevel="0" collapsed="false">
      <c r="B14" s="11" t="s">
        <v>122</v>
      </c>
      <c r="C14" s="12" t="n">
        <v>750000</v>
      </c>
      <c r="D14" s="13"/>
      <c r="E14" s="13"/>
    </row>
    <row r="15" customFormat="false" ht="15" hidden="false" customHeight="false" outlineLevel="0" collapsed="false">
      <c r="B15" s="11" t="s">
        <v>123</v>
      </c>
      <c r="C15" s="25" t="n">
        <f aca="false">C13+C14</f>
        <v>3150000</v>
      </c>
      <c r="D15" s="13"/>
      <c r="E15" s="13"/>
    </row>
    <row r="16" customFormat="false" ht="15" hidden="false" customHeight="false" outlineLevel="0" collapsed="false">
      <c r="B16" s="11" t="s">
        <v>124</v>
      </c>
      <c r="C16" s="12" t="n">
        <v>2100000</v>
      </c>
      <c r="D16" s="12" t="n">
        <v>0</v>
      </c>
      <c r="E16" s="12" t="n">
        <v>0</v>
      </c>
    </row>
    <row r="17" customFormat="false" ht="15" hidden="false" customHeight="false" outlineLevel="0" collapsed="false">
      <c r="B17" s="11" t="s">
        <v>125</v>
      </c>
      <c r="C17" s="12" t="n">
        <v>0</v>
      </c>
      <c r="D17" s="12" t="n">
        <v>843750</v>
      </c>
      <c r="E17" s="12" t="n">
        <v>984375</v>
      </c>
    </row>
    <row r="18" customFormat="false" ht="15" hidden="false" customHeight="false" outlineLevel="0" collapsed="false">
      <c r="B18" s="11" t="s">
        <v>126</v>
      </c>
      <c r="C18" s="12" t="n">
        <v>625000</v>
      </c>
      <c r="D18" s="12" t="n">
        <v>625000</v>
      </c>
      <c r="E18" s="12" t="n">
        <v>625000</v>
      </c>
    </row>
    <row r="19" customFormat="false" ht="15" hidden="false" customHeight="false" outlineLevel="0" collapsed="false">
      <c r="B19" s="11" t="s">
        <v>127</v>
      </c>
      <c r="C19" s="12" t="n">
        <v>500000</v>
      </c>
      <c r="D19" s="12" t="n">
        <v>0</v>
      </c>
      <c r="E19" s="12" t="n">
        <v>0</v>
      </c>
    </row>
    <row r="20" customFormat="false" ht="15" hidden="false" customHeight="false" outlineLevel="0" collapsed="false">
      <c r="B20" s="11" t="s">
        <v>128</v>
      </c>
      <c r="C20" s="12" t="n">
        <v>170000</v>
      </c>
      <c r="D20" s="12" t="n">
        <v>0</v>
      </c>
      <c r="E20" s="12" t="n">
        <v>176250</v>
      </c>
    </row>
    <row r="21" customFormat="false" ht="15" hidden="false" customHeight="false" outlineLevel="0" collapsed="false">
      <c r="B21" s="11" t="s">
        <v>129</v>
      </c>
      <c r="C21" s="12" t="n">
        <v>0</v>
      </c>
      <c r="D21" s="12" t="n">
        <v>530000</v>
      </c>
      <c r="E21" s="12" t="n">
        <v>0</v>
      </c>
    </row>
    <row r="22" customFormat="false" ht="15" hidden="false" customHeight="false" outlineLevel="0" collapsed="false">
      <c r="B22" s="11" t="s">
        <v>130</v>
      </c>
      <c r="C22" s="12" t="n">
        <v>156250</v>
      </c>
      <c r="D22" s="12" t="n">
        <v>156250</v>
      </c>
      <c r="E22" s="12" t="n">
        <v>156250</v>
      </c>
    </row>
    <row r="23" customFormat="false" ht="15" hidden="false" customHeight="false" outlineLevel="0" collapsed="false">
      <c r="B23" s="11" t="s">
        <v>131</v>
      </c>
      <c r="C23" s="12" t="n">
        <v>0</v>
      </c>
      <c r="D23" s="12" t="n">
        <v>0</v>
      </c>
      <c r="E23" s="12" t="n">
        <v>192500</v>
      </c>
    </row>
    <row r="24" customFormat="false" ht="15" hidden="false" customHeight="false" outlineLevel="0" collapsed="false">
      <c r="B24" s="11" t="s">
        <v>132</v>
      </c>
      <c r="C24" s="12" t="n">
        <v>0</v>
      </c>
      <c r="D24" s="12" t="n">
        <v>128425</v>
      </c>
      <c r="E24" s="12" t="n">
        <v>0</v>
      </c>
    </row>
    <row r="25" customFormat="false" ht="15" hidden="false" customHeight="false" outlineLevel="0" collapsed="false">
      <c r="B25" s="11" t="s">
        <v>133</v>
      </c>
      <c r="C25" s="12" t="n">
        <v>0</v>
      </c>
      <c r="D25" s="12" t="n">
        <v>0</v>
      </c>
      <c r="E25" s="12" t="n">
        <v>600000</v>
      </c>
    </row>
    <row r="26" customFormat="false" ht="15" hidden="false" customHeight="false" outlineLevel="0" collapsed="false">
      <c r="B26" s="11" t="s">
        <v>134</v>
      </c>
      <c r="C26" s="25" t="n">
        <f aca="false">SUM(C16:C25)</f>
        <v>3551250</v>
      </c>
      <c r="D26" s="25" t="n">
        <f aca="false">SUM(D16:D25)</f>
        <v>2283425</v>
      </c>
      <c r="E26" s="25" t="n">
        <f aca="false">SUM(E16:E25)</f>
        <v>2734375</v>
      </c>
    </row>
    <row r="27" customFormat="false" ht="15" hidden="false" customHeight="false" outlineLevel="0" collapsed="false">
      <c r="B27" s="11" t="s">
        <v>135</v>
      </c>
      <c r="C27" s="25" t="n">
        <f aca="false">C15-C26</f>
        <v>-401250</v>
      </c>
      <c r="D27" s="13"/>
      <c r="E27" s="13"/>
    </row>
    <row r="28" customFormat="false" ht="15" hidden="false" customHeight="false" outlineLevel="0" collapsed="false">
      <c r="B28" s="11" t="s">
        <v>136</v>
      </c>
      <c r="C28" s="12" t="n">
        <v>982650</v>
      </c>
      <c r="D28" s="13"/>
      <c r="E28" s="13"/>
    </row>
    <row r="29" customFormat="false" ht="15" hidden="false" customHeight="false" outlineLevel="0" collapsed="false">
      <c r="B29" s="11" t="s">
        <v>137</v>
      </c>
      <c r="C29" s="25" t="n">
        <f aca="false">C28+C27</f>
        <v>581400</v>
      </c>
      <c r="D29" s="13"/>
      <c r="E29" s="13"/>
    </row>
    <row r="31" customFormat="false" ht="15.75" hidden="false" customHeight="true" outlineLevel="0" collapsed="false">
      <c r="B31" s="7" t="s">
        <v>36</v>
      </c>
      <c r="C31" s="7"/>
      <c r="D31" s="7"/>
      <c r="E31" s="7"/>
      <c r="F31" s="7"/>
      <c r="G31" s="7"/>
    </row>
    <row r="32" customFormat="false" ht="60" hidden="false" customHeight="true" outlineLevel="0" collapsed="false">
      <c r="B32" s="8" t="s">
        <v>138</v>
      </c>
      <c r="C32" s="8"/>
      <c r="D32" s="8"/>
      <c r="E32" s="8"/>
      <c r="F32" s="8"/>
      <c r="G32" s="8"/>
    </row>
    <row r="34" customFormat="false" ht="15" hidden="false" customHeight="false" outlineLevel="0" collapsed="false">
      <c r="B34" s="14" t="s">
        <v>139</v>
      </c>
    </row>
    <row r="35" customFormat="false" ht="36" hidden="false" customHeight="true" outlineLevel="0" collapsed="false">
      <c r="B35" s="0" t="s">
        <v>140</v>
      </c>
      <c r="C35" s="15" t="str">
        <f aca="false">IF(D14="","Skriv svaret i cellen D14.",IF(D14=(2250000*2/3+2625000/3),"Riktig.",IF(D14=(1800000*2/3+2100000/3),"Du har fordelt salget uten merverdiavgift. Kunden betaler salget × 1,25.",IF(D14=(2625000),"Du har tatt hele februarsalget. Med 20 dager kommer en tredel av februar og to tredeler av januar.",IF(D14=(2250000),"Du har tatt hele januarsalget. To tredeler av det kom i februar, pluss en tredel av februarsalget.","Ikke riktig ennå. To tredeler av januarsalget med merverdiavgift pluss en tredel av februarsalget med merverdiavgift.")))))</f>
        <v>Skriv svaret i cellen D14.</v>
      </c>
      <c r="D35" s="15"/>
      <c r="E35" s="15"/>
      <c r="F35" s="15"/>
      <c r="G35" s="15"/>
    </row>
    <row r="36" customFormat="false" ht="36" hidden="false" customHeight="true" outlineLevel="0" collapsed="false">
      <c r="B36" s="0" t="s">
        <v>141</v>
      </c>
      <c r="C36" s="15" t="str">
        <f aca="false">IF(E14="","Skriv svaret i cellen E14.",IF(E14=(2625000*2/3+2812500/3),"Riktig.",IF(E14=(2100000*2/3+2250000/3),"Du har fordelt salget uten merverdiavgift. Gang med 1,25 først.",IF(E14=(2812500),"Du har tatt hele marssalget. Bare en tredel kommer i mars; resten i april.","Ikke riktig ennå. To tredeler av februarsalget med merverdiavgift pluss en tredel av marssalget med merverdiavgift."))))</f>
        <v>Skriv svaret i cellen E14.</v>
      </c>
      <c r="D36" s="15"/>
      <c r="E36" s="15"/>
      <c r="F36" s="15"/>
      <c r="G36" s="15"/>
    </row>
    <row r="37" customFormat="false" ht="36" hidden="false" customHeight="true" outlineLevel="0" collapsed="false">
      <c r="B37" s="0" t="s">
        <v>142</v>
      </c>
      <c r="C37" s="15" t="str">
        <f aca="false">IF(D15="","Skriv svaret i cellen D15.",IF(D15=(D13+D14),"Riktig.",IF(D15=(D14),"Du har glemt de gamle kundefordringene, 1 800 000 i februar.","Ikke riktig ennå. Kundefordringene fra 2026 pluss innbetalt fra årets salg.")))</f>
        <v>Skriv svaret i cellen D15.</v>
      </c>
      <c r="D37" s="15"/>
      <c r="E37" s="15"/>
      <c r="F37" s="15"/>
      <c r="G37" s="15"/>
    </row>
    <row r="38" customFormat="false" ht="36" hidden="false" customHeight="true" outlineLevel="0" collapsed="false">
      <c r="B38" s="0" t="s">
        <v>143</v>
      </c>
      <c r="C38" s="15" t="str">
        <f aca="false">IF(E15="","Skriv svaret i cellen E15.",IF(E15=(E14),"Riktig.",IF(E15=(E14+1800000),"Det er ingen gamle kundefordringer igjen i mars. Alt kom i januar og februar.","Ikke riktig ennå. I mars er det bare årets salg som kommer inn.")))</f>
        <v>Skriv svaret i cellen E15.</v>
      </c>
      <c r="D38" s="15"/>
      <c r="E38" s="15"/>
      <c r="F38" s="15"/>
      <c r="G38" s="15"/>
    </row>
    <row r="39" customFormat="false" ht="36" hidden="false" customHeight="true" outlineLevel="0" collapsed="false">
      <c r="B39" s="0" t="s">
        <v>144</v>
      </c>
      <c r="C39" s="15" t="str">
        <f aca="false">IF(D27="","Skriv svaret i cellen D27.",IF(D27=(D15-D26),"Riktig.",IF(D27=(D26-D15),"Du har snudd fortegnet. Innbetalinger minus utbetalinger.","Ikke riktig ennå. Sum innbetalinger minus sum utbetalinger.")))</f>
        <v>Skriv svaret i cellen D27.</v>
      </c>
      <c r="D39" s="15"/>
      <c r="E39" s="15"/>
      <c r="F39" s="15"/>
      <c r="G39" s="15"/>
    </row>
    <row r="40" customFormat="false" ht="36" hidden="false" customHeight="true" outlineLevel="0" collapsed="false">
      <c r="B40" s="0" t="s">
        <v>145</v>
      </c>
      <c r="C40" s="15" t="str">
        <f aca="false">IF(E27="","Skriv svaret i cellen E27.",IF(E27=(E15-E26),"Riktig.",IF(E27=(E26-E15),"Du har snudd fortegnet. I mars går det mer ut enn inn, så tallet skal være negativt.","Ikke riktig ennå. Sum innbetalinger minus sum utbetalinger. Negativt tall når mer går ut enn inn.")))</f>
        <v>Skriv svaret i cellen E27.</v>
      </c>
      <c r="D40" s="15"/>
      <c r="E40" s="15"/>
      <c r="F40" s="15"/>
      <c r="G40" s="15"/>
    </row>
    <row r="41" customFormat="false" ht="36" hidden="false" customHeight="true" outlineLevel="0" collapsed="false">
      <c r="B41" s="0" t="s">
        <v>146</v>
      </c>
      <c r="C41" s="15" t="str">
        <f aca="false">IF(D28="","Skriv svaret i cellen D28.",IF(D28=(C29),"Riktig.",IF(D28=(982650),"Det er beholdningen 1. januar. Februar starter med det januar sluttet med.","Ikke riktig ennå. Beholdningen ved starten av februar er beholdningen ved slutten av januar.")))</f>
        <v>Skriv svaret i cellen D28.</v>
      </c>
      <c r="D41" s="15"/>
      <c r="E41" s="15"/>
      <c r="F41" s="15"/>
      <c r="G41" s="15"/>
    </row>
    <row r="42" customFormat="false" ht="36" hidden="false" customHeight="true" outlineLevel="0" collapsed="false">
      <c r="B42" s="0" t="s">
        <v>147</v>
      </c>
      <c r="C42" s="15" t="str">
        <f aca="false">IF(D29="","Skriv svaret i cellen D29.",IF(D29=(D28+D27),"Riktig.",IF(D29=(D28-D27),"Overskuddet skal legges til beholdningen, ikke trekkes fra.","Ikke riktig ennå. Beholdning ved start pluss innbetalingsoverskuddet.")))</f>
        <v>Skriv svaret i cellen D29.</v>
      </c>
      <c r="D42" s="15"/>
      <c r="E42" s="15"/>
      <c r="F42" s="15"/>
      <c r="G42" s="15"/>
    </row>
    <row r="43" customFormat="false" ht="36" hidden="false" customHeight="true" outlineLevel="0" collapsed="false">
      <c r="B43" s="0" t="s">
        <v>148</v>
      </c>
      <c r="C43" s="15" t="str">
        <f aca="false">IF(E28="","Skriv svaret i cellen E28.",IF(E28=(D29),"Riktig.","Ikke riktig ennå. Mars starter med det februar sluttet med."))</f>
        <v>Skriv svaret i cellen E28.</v>
      </c>
      <c r="D43" s="15"/>
      <c r="E43" s="15"/>
      <c r="F43" s="15"/>
      <c r="G43" s="15"/>
    </row>
    <row r="44" customFormat="false" ht="36" hidden="false" customHeight="true" outlineLevel="0" collapsed="false">
      <c r="B44" s="0" t="s">
        <v>149</v>
      </c>
      <c r="C44" s="15" t="str">
        <f aca="false">IF(E29="","Skriv svaret i cellen E29.",IF(E29=(E28+E27),"Riktig.",IF(E29=(E28-E27),"Overskuddet i mars er negativt og skal legges til med fortegn: beholdningen går ned.","Ikke riktig ennå. Beholdning ved start pluss innbetalingsoverskuddet (som er negativt i mars).")))</f>
        <v>Skriv svaret i cellen E29.</v>
      </c>
      <c r="D44" s="15"/>
      <c r="E44" s="15"/>
      <c r="F44" s="15"/>
      <c r="G44" s="15"/>
    </row>
    <row r="46" customFormat="false" ht="15.75" hidden="false" customHeight="true" outlineLevel="0" collapsed="false">
      <c r="B46" s="7" t="s">
        <v>150</v>
      </c>
      <c r="C46" s="7"/>
      <c r="D46" s="7"/>
      <c r="E46" s="7"/>
      <c r="F46" s="7"/>
      <c r="G46" s="7"/>
    </row>
    <row r="47" customFormat="false" ht="45" hidden="false" customHeight="true" outlineLevel="0" collapsed="false">
      <c r="B47" s="8" t="s">
        <v>151</v>
      </c>
      <c r="C47" s="8"/>
      <c r="D47" s="8"/>
      <c r="E47" s="8"/>
      <c r="F47" s="8"/>
      <c r="G47" s="8"/>
    </row>
    <row r="48" customFormat="false" ht="43.5" hidden="false" customHeight="true" outlineLevel="0" collapsed="false">
      <c r="B48" s="16" t="s">
        <v>152</v>
      </c>
      <c r="C48" s="13"/>
      <c r="D48" s="18" t="s">
        <v>48</v>
      </c>
      <c r="G48" s="19" t="str">
        <f aca="false">IF(C48="","Skriv svaret i den gule cellen.",IF(C48=(982650+2400000-3551250+1800000-2283425),"Riktig.",IF(ABS(C48-(982650+2400000-3551250+1800000+2250000-2283425))&lt;=0,"Du har latt januarsalget komme i februar. Med 60 dager kommer det først i mars.",IF(ABS(C48-(982650+2400000+750000-3551250+1800000+2375000-2283425))&lt;=0,"Det er budsjettet med 20 dager. Nå skal alt salg komme to måneder etter.",IF(ABS(C48-(982650+2400000-3051250+1800000-2283425))&lt;=0,"Du har glemt skattetrekket fra desember, 500 000, som betales i januar.","Ikke riktig ennå. Se på regnestykket øverst på fanen, og sjekk at du har med alle leddene.")))))</f>
        <v>Skriv svaret i den gule cellen.</v>
      </c>
    </row>
    <row r="49" customFormat="false" ht="43.5" hidden="false" customHeight="true" outlineLevel="0" collapsed="false">
      <c r="B49" s="16" t="s">
        <v>153</v>
      </c>
      <c r="C49" s="13"/>
      <c r="D49" s="18" t="s">
        <v>48</v>
      </c>
      <c r="G49" s="19" t="str">
        <f aca="false">IF(C49="","Skriv svaret i den gule cellen.",IF(C49=(982650+2400000-3551250+1800000-2283425+2250000-2734375),"Riktig.",IF(ABS(C49-(982650+2400000-3551250+1800000-2283425-2734375))&lt;=0,"Du har glemt januarsalget, 2 250 000 med merverdiavgift, som kommer inn i mars.",IF(ABS(C49-(982650+2400000-3551250+1800000-2283425+2625000-2734375))&lt;=0,"Du har tatt februarsalget. I mars kommer januarsalget (to måneder etter).","Ikke riktig ennå. Se på regnestykket øverst på fanen, og sjekk at du har med alle leddene."))))</f>
        <v>Skriv svaret i den gule cellen.</v>
      </c>
    </row>
    <row r="50" customFormat="false" ht="43.5" hidden="false" customHeight="true" outlineLevel="0" collapsed="false">
      <c r="B50" s="16" t="s">
        <v>154</v>
      </c>
      <c r="C50" s="13"/>
      <c r="D50" s="18" t="s">
        <v>48</v>
      </c>
      <c r="G50" s="19" t="str">
        <f aca="false">IF(C50="","Skriv svaret i den gule cellen.",IF(C50=(-(982650+2400000-3551250+1800000-2283425+2250000-2734375)),"Riktig.",IF(ABS(C50-(1000000))&lt;=0,"Rammen er 1 000 000, men spørsmålet er hvor mye som må trekkes: beløpet kontoen er i minus.",IF(ABS(C50-(-(982650+2400000-3551250+1800000-2283425+2250000-2734375)+300000))&lt;=0,"De 300 000 var trukket fra før. Spørsmålet er tillegget: det kontoen er i minus 31. mars.",IF(ABS(C50-(1000000-300000))&lt;=0,"Det er det som er igjen av rammen. Spørsmålet er hvor mye som trengs: det kontoen er i minus 31. mars.","Ikke riktig ennå. Se på regnestykket øverst på fanen, og sjekk at du har med alle leddene.")))))</f>
        <v>Skriv svaret i den gule cellen.</v>
      </c>
    </row>
    <row r="52" customFormat="false" ht="39.75" hidden="false" customHeight="true" outlineLevel="0" collapsed="false">
      <c r="B52" s="16" t="s">
        <v>155</v>
      </c>
      <c r="C52" s="22"/>
      <c r="G52" s="19" t="str">
        <f aca="false">IF(C52="","Velg i nedtrekksmenyen.",IF(C52="Det endres ikke med en krone","Riktig. Inntekten føres når fakturaen skrives, ikke når den betales. Kredittiden endrer bare likviditetsbudsjettet: driftsresultatet er 1 770 000 i begge tilfeller.","Ikke riktig. Inntekten føres når fakturaen skrives, ikke når den betales. Kredittiden endrer bare likviditetsbudsjettet: driftsresultatet er 1 770 000 i begge tilfeller."))</f>
        <v>Velg i nedtrekksmenyen.</v>
      </c>
    </row>
    <row r="54" customFormat="false" ht="45" hidden="false" customHeight="true" outlineLevel="0" collapsed="false">
      <c r="B54" s="8" t="s">
        <v>156</v>
      </c>
      <c r="C54" s="8"/>
      <c r="D54" s="8"/>
      <c r="E54" s="8"/>
      <c r="F54" s="8"/>
      <c r="G54" s="8"/>
    </row>
    <row r="55" customFormat="false" ht="21.75" hidden="false" customHeight="true" outlineLevel="0" collapsed="false">
      <c r="B55" s="20"/>
      <c r="C55" s="20"/>
      <c r="D55" s="20"/>
      <c r="E55" s="20"/>
      <c r="F55" s="20"/>
      <c r="G55" s="20"/>
    </row>
    <row r="56" customFormat="false" ht="21.75" hidden="false" customHeight="true" outlineLevel="0" collapsed="false">
      <c r="B56" s="20"/>
      <c r="C56" s="20"/>
      <c r="D56" s="20"/>
      <c r="E56" s="20"/>
      <c r="F56" s="20"/>
      <c r="G56" s="20"/>
    </row>
    <row r="57" customFormat="false" ht="21.75" hidden="false" customHeight="true" outlineLevel="0" collapsed="false">
      <c r="B57" s="20"/>
      <c r="C57" s="20"/>
      <c r="D57" s="20"/>
      <c r="E57" s="20"/>
      <c r="F57" s="20"/>
      <c r="G57" s="20"/>
    </row>
    <row r="58" customFormat="false" ht="39.75" hidden="false" customHeight="true" outlineLevel="0" collapsed="false">
      <c r="B58" s="21" t="str">
        <f aca="false">IF(LEN(B55)&lt;40,"",IF(AND(ISNUMBER(SEARCH("faktur",B55)),ISNUMBER(SEARCH("kassekreditt",B55))),"Bra: du starter med det som er gratis og treffer årsaken (fakturering og kredittid), og du sier hvorfor kassekreditten kommer sist: den koster rente og løser ikke problemet.",IF(OR(ISNUMBER(SEARCH("faktur",B55)),ISNUMBER(SEARCH("kassekreditt",B55))),"Du er på sporet. Nevn et konkret tiltak overfor kundene først, og si at kassekreditten bare gir lov til å ligge i minus, mot rente.","Tips: fakturer samme dag som jobben er ferdig, bruk e-faktura, purr tidlig, krev forskudd på store jobber, og be Polarlys om lengre kredittid. Kassekreditten endrer ingenting i budsjettet; den koster 7,5 % rente og problemet er like stort neste år.")))</f>
        <v/>
      </c>
      <c r="C58" s="21"/>
      <c r="D58" s="21"/>
      <c r="E58" s="21"/>
      <c r="F58" s="21"/>
      <c r="G58" s="21"/>
    </row>
    <row r="59" customFormat="false" ht="15" hidden="false" customHeight="false" outlineLevel="0" collapsed="false">
      <c r="B59" s="14" t="s">
        <v>50</v>
      </c>
      <c r="C59" s="22"/>
    </row>
    <row r="60" customFormat="false" ht="90" hidden="false" customHeight="true" outlineLevel="0" collapsed="false">
      <c r="B60" s="23" t="str">
        <f aca="false">IF(C59="JA","Hint: Januar: ut 3 551 250 med skattetrekket fra desember; beholdning 982 650 + 3 150 000 − 3 551 250 = 581 400. Februar: innbetalt 2 250 000 × 2/3 + 2 625 000 / 3 = 2 375 000, pluss 1 800 000 gamle fordringer = 4 175 000. Ut 2 283 425. Overskudd 1 891 575. Beholdning 581 400 + 1 891 575 = 2 472 975. Mars: innbetalt 2 625 000 × 2/3 + 2 812 500 / 3 = 2 687 500. Ut 2 734 375. Overskudd −46 875. Beholdning 2 426 100. Ved 60 dager: januar 982 650 + 2 400 000 − 3 551 250 = −168 600; februar −168 600 + 1 800 000 − 2 283 425 = −652 025; mars −652 025 + 2 250 000 − 2 734 375 = −1 136 400.","")</f>
        <v/>
      </c>
      <c r="C60" s="23"/>
      <c r="D60" s="23"/>
      <c r="E60" s="23"/>
      <c r="F60" s="23"/>
      <c r="G60" s="23"/>
    </row>
    <row r="62" customFormat="false" ht="30" hidden="false" customHeight="true" outlineLevel="0" collapsed="false">
      <c r="B62" s="6" t="s">
        <v>51</v>
      </c>
      <c r="C62" s="6"/>
      <c r="D62" s="6"/>
      <c r="E62" s="6"/>
      <c r="F62" s="6"/>
      <c r="G62" s="6"/>
    </row>
  </sheetData>
  <mergeCells count="27">
    <mergeCell ref="B2:G2"/>
    <mergeCell ref="B3:G3"/>
    <mergeCell ref="B4:G4"/>
    <mergeCell ref="B5:G5"/>
    <mergeCell ref="B6:G6"/>
    <mergeCell ref="B7:G7"/>
    <mergeCell ref="B9:G9"/>
    <mergeCell ref="B10:G10"/>
    <mergeCell ref="B31:G31"/>
    <mergeCell ref="B32:G32"/>
    <mergeCell ref="C35:G35"/>
    <mergeCell ref="C36:G36"/>
    <mergeCell ref="C37:G37"/>
    <mergeCell ref="C38:G38"/>
    <mergeCell ref="C39:G39"/>
    <mergeCell ref="C40:G40"/>
    <mergeCell ref="C41:G41"/>
    <mergeCell ref="C42:G42"/>
    <mergeCell ref="C43:G43"/>
    <mergeCell ref="C44:G44"/>
    <mergeCell ref="B46:G46"/>
    <mergeCell ref="B47:G47"/>
    <mergeCell ref="B54:G54"/>
    <mergeCell ref="B55:G57"/>
    <mergeCell ref="B58:G58"/>
    <mergeCell ref="B60:G60"/>
    <mergeCell ref="B62:G62"/>
  </mergeCells>
  <conditionalFormatting sqref="C35">
    <cfRule type="expression" priority="2" aboveAverage="0" equalAverage="0" bottom="0" percent="0" rank="0" text="" dxfId="0">
      <formula>LEFT(C35,6)="Riktig"</formula>
    </cfRule>
    <cfRule type="expression" priority="3" aboveAverage="0" equalAverage="0" bottom="0" percent="0" rank="0" text="" dxfId="1">
      <formula>AND(C35&lt;&gt;"",LEFT(C35,6)&lt;&gt;"Riktig",LEFT(C35,5)&lt;&gt;"Skriv")</formula>
    </cfRule>
  </conditionalFormatting>
  <conditionalFormatting sqref="C36">
    <cfRule type="expression" priority="4" aboveAverage="0" equalAverage="0" bottom="0" percent="0" rank="0" text="" dxfId="0">
      <formula>LEFT(C36,6)="Riktig"</formula>
    </cfRule>
    <cfRule type="expression" priority="5" aboveAverage="0" equalAverage="0" bottom="0" percent="0" rank="0" text="" dxfId="1">
      <formula>AND(C36&lt;&gt;"",LEFT(C36,6)&lt;&gt;"Riktig",LEFT(C36,5)&lt;&gt;"Skriv")</formula>
    </cfRule>
  </conditionalFormatting>
  <conditionalFormatting sqref="C37">
    <cfRule type="expression" priority="6" aboveAverage="0" equalAverage="0" bottom="0" percent="0" rank="0" text="" dxfId="0">
      <formula>LEFT(C37,6)="Riktig"</formula>
    </cfRule>
    <cfRule type="expression" priority="7" aboveAverage="0" equalAverage="0" bottom="0" percent="0" rank="0" text="" dxfId="1">
      <formula>AND(C37&lt;&gt;"",LEFT(C37,6)&lt;&gt;"Riktig",LEFT(C37,5)&lt;&gt;"Skriv")</formula>
    </cfRule>
  </conditionalFormatting>
  <conditionalFormatting sqref="C38">
    <cfRule type="expression" priority="8" aboveAverage="0" equalAverage="0" bottom="0" percent="0" rank="0" text="" dxfId="0">
      <formula>LEFT(C38,6)="Riktig"</formula>
    </cfRule>
    <cfRule type="expression" priority="9" aboveAverage="0" equalAverage="0" bottom="0" percent="0" rank="0" text="" dxfId="1">
      <formula>AND(C38&lt;&gt;"",LEFT(C38,6)&lt;&gt;"Riktig",LEFT(C38,5)&lt;&gt;"Skriv")</formula>
    </cfRule>
  </conditionalFormatting>
  <conditionalFormatting sqref="C39">
    <cfRule type="expression" priority="10" aboveAverage="0" equalAverage="0" bottom="0" percent="0" rank="0" text="" dxfId="0">
      <formula>LEFT(C39,6)="Riktig"</formula>
    </cfRule>
    <cfRule type="expression" priority="11" aboveAverage="0" equalAverage="0" bottom="0" percent="0" rank="0" text="" dxfId="1">
      <formula>AND(C39&lt;&gt;"",LEFT(C39,6)&lt;&gt;"Riktig",LEFT(C39,5)&lt;&gt;"Skriv")</formula>
    </cfRule>
  </conditionalFormatting>
  <conditionalFormatting sqref="C40">
    <cfRule type="expression" priority="12" aboveAverage="0" equalAverage="0" bottom="0" percent="0" rank="0" text="" dxfId="0">
      <formula>LEFT(C40,6)="Riktig"</formula>
    </cfRule>
    <cfRule type="expression" priority="13" aboveAverage="0" equalAverage="0" bottom="0" percent="0" rank="0" text="" dxfId="1">
      <formula>AND(C40&lt;&gt;"",LEFT(C40,6)&lt;&gt;"Riktig",LEFT(C40,5)&lt;&gt;"Skriv")</formula>
    </cfRule>
  </conditionalFormatting>
  <conditionalFormatting sqref="C41">
    <cfRule type="expression" priority="14" aboveAverage="0" equalAverage="0" bottom="0" percent="0" rank="0" text="" dxfId="0">
      <formula>LEFT(C41,6)="Riktig"</formula>
    </cfRule>
    <cfRule type="expression" priority="15" aboveAverage="0" equalAverage="0" bottom="0" percent="0" rank="0" text="" dxfId="1">
      <formula>AND(C41&lt;&gt;"",LEFT(C41,6)&lt;&gt;"Riktig",LEFT(C41,5)&lt;&gt;"Skriv")</formula>
    </cfRule>
  </conditionalFormatting>
  <conditionalFormatting sqref="C42">
    <cfRule type="expression" priority="16" aboveAverage="0" equalAverage="0" bottom="0" percent="0" rank="0" text="" dxfId="0">
      <formula>LEFT(C42,6)="Riktig"</formula>
    </cfRule>
    <cfRule type="expression" priority="17" aboveAverage="0" equalAverage="0" bottom="0" percent="0" rank="0" text="" dxfId="1">
      <formula>AND(C42&lt;&gt;"",LEFT(C42,6)&lt;&gt;"Riktig",LEFT(C42,5)&lt;&gt;"Skriv")</formula>
    </cfRule>
  </conditionalFormatting>
  <conditionalFormatting sqref="C43">
    <cfRule type="expression" priority="18" aboveAverage="0" equalAverage="0" bottom="0" percent="0" rank="0" text="" dxfId="0">
      <formula>LEFT(C43,6)="Riktig"</formula>
    </cfRule>
    <cfRule type="expression" priority="19" aboveAverage="0" equalAverage="0" bottom="0" percent="0" rank="0" text="" dxfId="1">
      <formula>AND(C43&lt;&gt;"",LEFT(C43,6)&lt;&gt;"Riktig",LEFT(C43,5)&lt;&gt;"Skriv")</formula>
    </cfRule>
  </conditionalFormatting>
  <conditionalFormatting sqref="C44">
    <cfRule type="expression" priority="20" aboveAverage="0" equalAverage="0" bottom="0" percent="0" rank="0" text="" dxfId="0">
      <formula>LEFT(C44,6)="Riktig"</formula>
    </cfRule>
    <cfRule type="expression" priority="21" aboveAverage="0" equalAverage="0" bottom="0" percent="0" rank="0" text="" dxfId="1">
      <formula>AND(C44&lt;&gt;"",LEFT(C44,6)&lt;&gt;"Riktig",LEFT(C44,5)&lt;&gt;"Skriv")</formula>
    </cfRule>
  </conditionalFormatting>
  <conditionalFormatting sqref="G48">
    <cfRule type="expression" priority="22" aboveAverage="0" equalAverage="0" bottom="0" percent="0" rank="0" text="" dxfId="0">
      <formula>LEFT(G48,6)="Riktig"</formula>
    </cfRule>
    <cfRule type="expression" priority="23" aboveAverage="0" equalAverage="0" bottom="0" percent="0" rank="0" text="" dxfId="1">
      <formula>AND(G48&lt;&gt;"",LEFT(G48,6)&lt;&gt;"Riktig",LEFT(G48,5)&lt;&gt;"Skriv")</formula>
    </cfRule>
  </conditionalFormatting>
  <conditionalFormatting sqref="G49">
    <cfRule type="expression" priority="24" aboveAverage="0" equalAverage="0" bottom="0" percent="0" rank="0" text="" dxfId="0">
      <formula>LEFT(G49,6)="Riktig"</formula>
    </cfRule>
    <cfRule type="expression" priority="25" aboveAverage="0" equalAverage="0" bottom="0" percent="0" rank="0" text="" dxfId="1">
      <formula>AND(G49&lt;&gt;"",LEFT(G49,6)&lt;&gt;"Riktig",LEFT(G49,5)&lt;&gt;"Skriv")</formula>
    </cfRule>
  </conditionalFormatting>
  <conditionalFormatting sqref="G50">
    <cfRule type="expression" priority="26" aboveAverage="0" equalAverage="0" bottom="0" percent="0" rank="0" text="" dxfId="0">
      <formula>LEFT(G50,6)="Riktig"</formula>
    </cfRule>
    <cfRule type="expression" priority="27" aboveAverage="0" equalAverage="0" bottom="0" percent="0" rank="0" text="" dxfId="1">
      <formula>AND(G50&lt;&gt;"",LEFT(G50,6)&lt;&gt;"Riktig",LEFT(G50,5)&lt;&gt;"Skriv")</formula>
    </cfRule>
  </conditionalFormatting>
  <conditionalFormatting sqref="G52">
    <cfRule type="expression" priority="28" aboveAverage="0" equalAverage="0" bottom="0" percent="0" rank="0" text="" dxfId="0">
      <formula>LEFT(G52,6)="Riktig"</formula>
    </cfRule>
    <cfRule type="expression" priority="29" aboveAverage="0" equalAverage="0" bottom="0" percent="0" rank="0" text="" dxfId="1">
      <formula>LEFT(G52,4)="Ikke"</formula>
    </cfRule>
  </conditionalFormatting>
  <dataValidations count="2">
    <dataValidation allowBlank="true" errorStyle="stop" operator="between" showDropDown="false" showErrorMessage="false" showInputMessage="false" sqref="C52" type="list">
      <formula1>$Z$1:$Z$3</formula1>
      <formula2>0</formula2>
    </dataValidation>
    <dataValidation allowBlank="true" errorStyle="stop" operator="between" showDropDown="false" showErrorMessage="false" showInputMessage="false" sqref="C5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157</v>
      </c>
    </row>
    <row r="2" customFormat="false" ht="25.5" hidden="false" customHeight="true" outlineLevel="0" collapsed="false">
      <c r="B2" s="5" t="s">
        <v>158</v>
      </c>
      <c r="C2" s="5"/>
      <c r="D2" s="5"/>
      <c r="E2" s="5"/>
      <c r="F2" s="5"/>
      <c r="G2" s="5"/>
      <c r="Z2" s="24" t="s">
        <v>159</v>
      </c>
    </row>
    <row r="3" customFormat="false" ht="15" hidden="false" customHeight="true" outlineLevel="0" collapsed="false">
      <c r="B3" s="6" t="s">
        <v>111</v>
      </c>
      <c r="C3" s="6"/>
      <c r="D3" s="6"/>
      <c r="E3" s="6"/>
      <c r="F3" s="6"/>
      <c r="G3" s="6"/>
      <c r="Z3" s="24" t="s">
        <v>160</v>
      </c>
    </row>
    <row r="4" customFormat="false" ht="15.75" hidden="false" customHeight="true" outlineLevel="0" collapsed="false">
      <c r="B4" s="7" t="s">
        <v>18</v>
      </c>
      <c r="C4" s="7"/>
      <c r="D4" s="7"/>
      <c r="E4" s="7"/>
      <c r="F4" s="7"/>
      <c r="G4" s="7"/>
    </row>
    <row r="5" customFormat="false" ht="45" hidden="false" customHeight="true" outlineLevel="0" collapsed="false">
      <c r="B5" s="8" t="s">
        <v>161</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162</v>
      </c>
      <c r="C7" s="8"/>
      <c r="D7" s="8"/>
      <c r="E7" s="8"/>
      <c r="F7" s="8"/>
      <c r="G7" s="8"/>
    </row>
    <row r="9" customFormat="false" ht="15.75" hidden="false" customHeight="true" outlineLevel="0" collapsed="false">
      <c r="B9" s="7" t="s">
        <v>115</v>
      </c>
      <c r="C9" s="7"/>
      <c r="D9" s="7"/>
      <c r="E9" s="7"/>
      <c r="F9" s="7"/>
      <c r="G9" s="7"/>
    </row>
    <row r="10" customFormat="false" ht="120" hidden="false" customHeight="true" outlineLevel="0" collapsed="false">
      <c r="B10" s="8" t="s">
        <v>163</v>
      </c>
      <c r="C10" s="8"/>
      <c r="D10" s="8"/>
      <c r="E10" s="8"/>
      <c r="F10" s="8"/>
      <c r="G10" s="8"/>
    </row>
    <row r="12" customFormat="false" ht="15" hidden="false" customHeight="false" outlineLevel="0" collapsed="false">
      <c r="B12" s="9" t="s">
        <v>117</v>
      </c>
      <c r="C12" s="10" t="s">
        <v>118</v>
      </c>
      <c r="D12" s="10" t="s">
        <v>119</v>
      </c>
      <c r="E12" s="10" t="s">
        <v>120</v>
      </c>
    </row>
    <row r="13" customFormat="false" ht="15" hidden="false" customHeight="false" outlineLevel="0" collapsed="false">
      <c r="B13" s="11" t="s">
        <v>164</v>
      </c>
      <c r="C13" s="12" t="n">
        <v>300000</v>
      </c>
      <c r="D13" s="12" t="n">
        <v>0</v>
      </c>
      <c r="E13" s="12" t="n">
        <v>0</v>
      </c>
    </row>
    <row r="14" customFormat="false" ht="15" hidden="false" customHeight="false" outlineLevel="0" collapsed="false">
      <c r="B14" s="11" t="s">
        <v>165</v>
      </c>
      <c r="C14" s="12" t="n">
        <v>500000</v>
      </c>
      <c r="D14" s="12" t="n">
        <v>0</v>
      </c>
      <c r="E14" s="12" t="n">
        <v>0</v>
      </c>
    </row>
    <row r="15" customFormat="false" ht="15" hidden="false" customHeight="false" outlineLevel="0" collapsed="false">
      <c r="B15" s="11" t="s">
        <v>166</v>
      </c>
      <c r="C15" s="12" t="n">
        <v>0</v>
      </c>
      <c r="D15" s="13"/>
      <c r="E15" s="13"/>
    </row>
    <row r="16" customFormat="false" ht="15" hidden="false" customHeight="false" outlineLevel="0" collapsed="false">
      <c r="B16" s="11" t="s">
        <v>123</v>
      </c>
      <c r="C16" s="25" t="n">
        <f aca="false">SUM(C13:C15)</f>
        <v>800000</v>
      </c>
      <c r="D16" s="13"/>
      <c r="E16" s="13"/>
    </row>
    <row r="17" customFormat="false" ht="15" hidden="false" customHeight="false" outlineLevel="0" collapsed="false">
      <c r="B17" s="11" t="s">
        <v>167</v>
      </c>
      <c r="C17" s="12" t="n">
        <v>375000</v>
      </c>
      <c r="D17" s="12" t="n">
        <v>0</v>
      </c>
      <c r="E17" s="12" t="n">
        <v>0</v>
      </c>
    </row>
    <row r="18" customFormat="false" ht="15" hidden="false" customHeight="false" outlineLevel="0" collapsed="false">
      <c r="B18" s="11" t="s">
        <v>168</v>
      </c>
      <c r="C18" s="12" t="n">
        <v>0</v>
      </c>
      <c r="D18" s="12" t="n">
        <v>175000</v>
      </c>
      <c r="E18" s="12" t="n">
        <v>150000</v>
      </c>
    </row>
    <row r="19" customFormat="false" ht="15" hidden="false" customHeight="false" outlineLevel="0" collapsed="false">
      <c r="B19" s="11" t="s">
        <v>169</v>
      </c>
      <c r="C19" s="12" t="n">
        <v>150000</v>
      </c>
      <c r="D19" s="12" t="n">
        <v>150000</v>
      </c>
      <c r="E19" s="12" t="n">
        <v>150000</v>
      </c>
    </row>
    <row r="20" customFormat="false" ht="15" hidden="false" customHeight="false" outlineLevel="0" collapsed="false">
      <c r="B20" s="11" t="s">
        <v>170</v>
      </c>
      <c r="C20" s="12" t="n">
        <v>12000</v>
      </c>
      <c r="D20" s="12" t="n">
        <v>12000</v>
      </c>
      <c r="E20" s="12" t="n">
        <v>12000</v>
      </c>
    </row>
    <row r="21" customFormat="false" ht="15" hidden="false" customHeight="false" outlineLevel="0" collapsed="false">
      <c r="B21" s="11" t="s">
        <v>171</v>
      </c>
      <c r="C21" s="12" t="n">
        <v>10000</v>
      </c>
      <c r="D21" s="12" t="n">
        <v>10000</v>
      </c>
      <c r="E21" s="12" t="n">
        <v>10000</v>
      </c>
    </row>
    <row r="22" customFormat="false" ht="15" hidden="false" customHeight="false" outlineLevel="0" collapsed="false">
      <c r="B22" s="11" t="s">
        <v>172</v>
      </c>
      <c r="C22" s="12" t="n">
        <v>12000</v>
      </c>
      <c r="D22" s="12" t="n">
        <v>12000</v>
      </c>
      <c r="E22" s="12" t="n">
        <v>12000</v>
      </c>
    </row>
    <row r="23" customFormat="false" ht="15" hidden="false" customHeight="false" outlineLevel="0" collapsed="false">
      <c r="B23" s="11" t="s">
        <v>173</v>
      </c>
      <c r="C23" s="12" t="n">
        <v>17500</v>
      </c>
      <c r="D23" s="12" t="n">
        <v>17500</v>
      </c>
      <c r="E23" s="12" t="n">
        <v>17500</v>
      </c>
    </row>
    <row r="24" customFormat="false" ht="15" hidden="false" customHeight="false" outlineLevel="0" collapsed="false">
      <c r="B24" s="11" t="s">
        <v>174</v>
      </c>
      <c r="C24" s="12" t="n">
        <v>45000</v>
      </c>
      <c r="D24" s="12" t="n">
        <v>0</v>
      </c>
      <c r="E24" s="12" t="n">
        <v>0</v>
      </c>
    </row>
    <row r="25" customFormat="false" ht="15" hidden="false" customHeight="false" outlineLevel="0" collapsed="false">
      <c r="B25" s="11" t="s">
        <v>175</v>
      </c>
      <c r="C25" s="12" t="n">
        <v>0</v>
      </c>
      <c r="D25" s="12" t="n">
        <v>0</v>
      </c>
      <c r="E25" s="12" t="n">
        <v>42300</v>
      </c>
    </row>
    <row r="26" customFormat="false" ht="15" hidden="false" customHeight="false" outlineLevel="0" collapsed="false">
      <c r="B26" s="11" t="s">
        <v>134</v>
      </c>
      <c r="C26" s="25" t="n">
        <f aca="false">SUM(C17:C25)</f>
        <v>621500</v>
      </c>
      <c r="D26" s="25" t="n">
        <f aca="false">SUM(D17:D25)</f>
        <v>376500</v>
      </c>
      <c r="E26" s="25" t="n">
        <f aca="false">SUM(E17:E25)</f>
        <v>393800</v>
      </c>
    </row>
    <row r="27" customFormat="false" ht="15" hidden="false" customHeight="false" outlineLevel="0" collapsed="false">
      <c r="B27" s="11" t="s">
        <v>176</v>
      </c>
      <c r="C27" s="12" t="n">
        <v>0</v>
      </c>
      <c r="D27" s="13"/>
      <c r="E27" s="13"/>
    </row>
    <row r="28" customFormat="false" ht="15" hidden="false" customHeight="false" outlineLevel="0" collapsed="false">
      <c r="B28" s="11" t="s">
        <v>177</v>
      </c>
      <c r="C28" s="13"/>
      <c r="D28" s="13"/>
      <c r="E28" s="13"/>
    </row>
    <row r="30" customFormat="false" ht="15.75" hidden="false" customHeight="true" outlineLevel="0" collapsed="false">
      <c r="B30" s="7" t="s">
        <v>36</v>
      </c>
      <c r="C30" s="7"/>
      <c r="D30" s="7"/>
      <c r="E30" s="7"/>
      <c r="F30" s="7"/>
      <c r="G30" s="7"/>
    </row>
    <row r="31" customFormat="false" ht="45" hidden="false" customHeight="true" outlineLevel="0" collapsed="false">
      <c r="B31" s="8" t="s">
        <v>178</v>
      </c>
      <c r="C31" s="8"/>
      <c r="D31" s="8"/>
      <c r="E31" s="8"/>
      <c r="F31" s="8"/>
      <c r="G31" s="8"/>
    </row>
    <row r="33" customFormat="false" ht="15" hidden="false" customHeight="false" outlineLevel="0" collapsed="false">
      <c r="B33" s="14" t="s">
        <v>139</v>
      </c>
    </row>
    <row r="34" customFormat="false" ht="36" hidden="false" customHeight="true" outlineLevel="0" collapsed="false">
      <c r="B34" s="0" t="s">
        <v>179</v>
      </c>
      <c r="C34" s="15" t="str">
        <f aca="false">IF(D15="","Skriv svaret i cellen D15.",IF(D15=(350000*1.25),"Riktig.",IF(D15=(350000),"Kunden betaler med merverdiavgift: 350 000 × 1,25.",IF(D15=(400000*1.25),"Du har tatt februarsalget. Med 30 dager kommer januarsalget i februar.","Ikke riktig ennå. Januarsalget med merverdiavgift: 350 000 × 1,25."))))</f>
        <v>Skriv svaret i cellen D15.</v>
      </c>
      <c r="D34" s="15"/>
      <c r="E34" s="15"/>
      <c r="F34" s="15"/>
      <c r="G34" s="15"/>
    </row>
    <row r="35" customFormat="false" ht="36" hidden="false" customHeight="true" outlineLevel="0" collapsed="false">
      <c r="B35" s="0" t="s">
        <v>180</v>
      </c>
      <c r="C35" s="15" t="str">
        <f aca="false">IF(E15="","Skriv svaret i cellen E15.",IF(E15=(400000*1.25),"Riktig.",IF(E15=(400000),"Gang med 1,25 for merverdiavgiften.",IF(E15=(350000*1.25),"Det er januarsalget, som kom i februar. I mars kommer februarsalget.","Ikke riktig ennå. Februarsalget med merverdiavgift: 400 000 × 1,25."))))</f>
        <v>Skriv svaret i cellen E15.</v>
      </c>
      <c r="D35" s="15"/>
      <c r="E35" s="15"/>
      <c r="F35" s="15"/>
      <c r="G35" s="15"/>
    </row>
    <row r="36" customFormat="false" ht="36" hidden="false" customHeight="true" outlineLevel="0" collapsed="false">
      <c r="B36" s="0" t="s">
        <v>142</v>
      </c>
      <c r="C36" s="15" t="str">
        <f aca="false">IF(D16="","Skriv svaret i cellen D16.",IF(D16=(D15),"Riktig.","Ikke riktig ennå. I februar er det bare kundene som betaler inn: 437 500."))</f>
        <v>Skriv svaret i cellen D16.</v>
      </c>
      <c r="D36" s="15"/>
      <c r="E36" s="15"/>
      <c r="F36" s="15"/>
      <c r="G36" s="15"/>
    </row>
    <row r="37" customFormat="false" ht="36" hidden="false" customHeight="true" outlineLevel="0" collapsed="false">
      <c r="B37" s="0" t="s">
        <v>143</v>
      </c>
      <c r="C37" s="15" t="str">
        <f aca="false">IF(E16="","Skriv svaret i cellen E16.",IF(E16=(E15),"Riktig.","Ikke riktig ennå. I mars er det bare kundene som betaler inn: 500 000."))</f>
        <v>Skriv svaret i cellen E16.</v>
      </c>
      <c r="D37" s="15"/>
      <c r="E37" s="15"/>
      <c r="F37" s="15"/>
      <c r="G37" s="15"/>
    </row>
    <row r="38" customFormat="false" ht="36" hidden="false" customHeight="true" outlineLevel="0" collapsed="false">
      <c r="B38" s="0" t="s">
        <v>181</v>
      </c>
      <c r="C38" s="15" t="str">
        <f aca="false">IF(D27="","Skriv svaret i cellen D27.",IF(D27=(C28),"Riktig.",IF(D27=(0),"Februar starter med det januar sluttet med, ikke med null.","Ikke riktig ennå. Saldo ved slutten av januar.")))</f>
        <v>Skriv svaret i cellen D27.</v>
      </c>
      <c r="D38" s="15"/>
      <c r="E38" s="15"/>
      <c r="F38" s="15"/>
      <c r="G38" s="15"/>
    </row>
    <row r="39" customFormat="false" ht="36" hidden="false" customHeight="true" outlineLevel="0" collapsed="false">
      <c r="B39" s="0" t="s">
        <v>182</v>
      </c>
      <c r="C39" s="15" t="str">
        <f aca="false">IF(E27="","Skriv svaret i cellen E27.",IF(E27=(D28),"Riktig.","Ikke riktig ennå. Saldo ved slutten av februar."))</f>
        <v>Skriv svaret i cellen E27.</v>
      </c>
      <c r="D39" s="15"/>
      <c r="E39" s="15"/>
      <c r="F39" s="15"/>
      <c r="G39" s="15"/>
    </row>
    <row r="40" customFormat="false" ht="36" hidden="false" customHeight="true" outlineLevel="0" collapsed="false">
      <c r="B40" s="0" t="s">
        <v>183</v>
      </c>
      <c r="C40" s="15" t="str">
        <f aca="false">IF(C28="","Skriv svaret i cellen C28.",IF(C28=(C27+C16-C26),"Riktig.",IF(C28=(C16-C26+350000*1.25),"Du har latt kundene betale i januar. Med 30 dagers kreditt kommer ingen kundepenger i januar.","Ikke riktig ennå. 0 + 800 000 − 621 500.")))</f>
        <v>Skriv svaret i cellen C28.</v>
      </c>
      <c r="D40" s="15"/>
      <c r="E40" s="15"/>
      <c r="F40" s="15"/>
      <c r="G40" s="15"/>
    </row>
    <row r="41" customFormat="false" ht="36" hidden="false" customHeight="true" outlineLevel="0" collapsed="false">
      <c r="B41" s="0" t="s">
        <v>184</v>
      </c>
      <c r="C41" s="15" t="str">
        <f aca="false">IF(D28="","Skriv svaret i cellen D28.",IF(D28=(C28+D16-D26),"Riktig.",IF(D28=(D16-D26),"Du har glemt å starte med saldoen fra januar.","Ikke riktig ennå. Saldo ved start (slutten av januar) + inn − ut.")))</f>
        <v>Skriv svaret i cellen D28.</v>
      </c>
      <c r="D41" s="15"/>
      <c r="E41" s="15"/>
      <c r="F41" s="15"/>
      <c r="G41" s="15"/>
    </row>
    <row r="42" customFormat="false" ht="36" hidden="false" customHeight="true" outlineLevel="0" collapsed="false">
      <c r="B42" s="0" t="s">
        <v>185</v>
      </c>
      <c r="C42" s="15" t="str">
        <f aca="false">IF(E28="","Skriv svaret i cellen E28.",IF(E28=(D28+E16-E26),"Riktig.",IF(E28=(E16-E26),"Start med saldoen fra februar.","Ikke riktig ennå. Saldo ved start (slutten av februar) + inn − ut.")))</f>
        <v>Skriv svaret i cellen E28.</v>
      </c>
      <c r="D42" s="15"/>
      <c r="E42" s="15"/>
      <c r="F42" s="15"/>
      <c r="G42" s="15"/>
    </row>
    <row r="44" customFormat="false" ht="43.5" hidden="false" customHeight="true" outlineLevel="0" collapsed="false">
      <c r="B44" s="16" t="s">
        <v>186</v>
      </c>
      <c r="C44" s="13"/>
      <c r="D44" s="18" t="s">
        <v>48</v>
      </c>
      <c r="G44" s="19" t="str">
        <f aca="false">IF(C44="","Skriv svaret i den gule cellen.",IF(C44=(300000-621500),"Riktig.",IF(ABS(C44-(300000-621500+500000))&lt;=0,"Det er saldoen med lånet. Oppgaven spør hva som skjer uten de 500 000.",IF(ABS(C44-(300000-796500))&lt;=0,"Du har betalt januarmateriellet i januar. Med 30 dagers kreditt betales det i februar.","Ikke riktig ennå. Se på regnestykket øverst på fanen, og sjekk at du har med alle leddene."))))</f>
        <v>Skriv svaret i den gule cellen.</v>
      </c>
    </row>
    <row r="45" customFormat="false" ht="43.5" hidden="false" customHeight="true" outlineLevel="0" collapsed="false">
      <c r="B45" s="16" t="s">
        <v>187</v>
      </c>
      <c r="C45" s="13"/>
      <c r="D45" s="18" t="s">
        <v>48</v>
      </c>
      <c r="G45" s="19" t="str">
        <f aca="false">IF(C45="","Skriv svaret i den gule cellen.",IF(C45=(800000-621500-376500),"Riktig.",IF(ABS(C45-(800000-621500+437500-376500))&lt;=0,"Det er saldoen med 30 dager. Med 60 dager kommer ingen kundepenger i februar.","Ikke riktig ennå. Se på regnestykket øverst på fanen, og sjekk at du har med alle leddene.")))</f>
        <v>Skriv svaret i den gule cellen.</v>
      </c>
    </row>
    <row r="46" customFormat="false" ht="43.5" hidden="false" customHeight="true" outlineLevel="0" collapsed="false">
      <c r="B46" s="16" t="s">
        <v>188</v>
      </c>
      <c r="C46" s="13"/>
      <c r="D46" s="18" t="s">
        <v>48</v>
      </c>
      <c r="G46" s="19" t="str">
        <f aca="false">IF(C46="","Skriv svaret i den gule cellen.",IF(C46=(800000-621500-376500+437500-393800),"Riktig.",IF(ABS(C46-(800000-621500-376500+500000-393800))&lt;=0,"Du har latt februarsalget komme i mars. Med 60 dager er det januarsalget, 437 500.","Ikke riktig ennå. Se på regnestykket øverst på fanen, og sjekk at du har med alle leddene.")))</f>
        <v>Skriv svaret i den gule cellen.</v>
      </c>
    </row>
    <row r="48" customFormat="false" ht="39.75" hidden="false" customHeight="true" outlineLevel="0" collapsed="false">
      <c r="B48" s="16" t="s">
        <v>189</v>
      </c>
      <c r="C48" s="22"/>
      <c r="G48" s="19" t="str">
        <f aca="false">IF(C48="","Velg i nedtrekksmenyen.",IF(C48="Fordi likviditetsbudsjettet følger pengene, og resultatbudsjettet følger inntekter og kostnader","Riktig. Pengene kommer inn på konto, så de hører hjemme i likviditetsbudsjettet. De er ikke tjent, så de er ikke inntekt. I balansen står de som egenkapital og gjeld.","Ikke riktig. Pengene kommer inn på konto, så de hører hjemme i likviditetsbudsjettet. De er ikke tjent, så de er ikke inntekt. I balansen står de som egenkapital og gjeld."))</f>
        <v>Velg i nedtrekksmenyen.</v>
      </c>
    </row>
    <row r="50" customFormat="false" ht="43.5" hidden="false" customHeight="true" outlineLevel="0" collapsed="false">
      <c r="B50" s="16" t="s">
        <v>190</v>
      </c>
      <c r="C50" s="13"/>
      <c r="D50" s="18" t="s">
        <v>48</v>
      </c>
      <c r="G50" s="19" t="str">
        <f aca="false">IF(C50="","Skriv svaret i den gule cellen.",IF(C50=((350000+400000)*0.25-(75000+35000+30000)),"Riktig.",IF(ABS(C50-((350000+400000)*0.25))&lt;=0,"Du har glemt å trekke fra inngående avgift: 75 000 på utstyret og 35 000 + 30 000 på materiellet.",IF(ABS(C50-((350000+400000+400000)*0.25-(75000+35000+30000+30000)))&lt;=0,"Du har tatt med mars. Terminen januar–februar forfaller 10. april; mars hører til neste termin.",IF(ABS(C50-((350000+400000)*0.25-(35000+30000)))&lt;=0,"Du har glemt inngående avgift på utstyret, 75 000.","Ikke riktig ennå. Se på regnestykket øverst på fanen, og sjekk at du har med alle leddene.")))))</f>
        <v>Skriv svaret i den gule cellen.</v>
      </c>
    </row>
    <row r="51" customFormat="false" ht="15" hidden="false" customHeight="false" outlineLevel="0" collapsed="false">
      <c r="B51" s="14" t="s">
        <v>50</v>
      </c>
      <c r="C51" s="22"/>
    </row>
    <row r="52" customFormat="false" ht="60" hidden="false" customHeight="true" outlineLevel="0" collapsed="false">
      <c r="B52" s="23" t="str">
        <f aca="false">IF(C51="JA","Hint: Januar: inn 300 000 + 500 000 = 800 000, ut 621 500 (materiellet betales først i februar), saldo 178 500. Februar: 178 500 + 437 500 − 376 500 = 239 500. Mars: 239 500 + 500 000 − 393 800 = 345 700. Uten lån: 300 000 − 621 500 = −321 500. Ved 60 dager: februar 178 500 − 376 500 = −198 000; mars −198 000 + 437 500 − 393 800 = −154 300. Merverdiavgift: 187 500 − 140 000 = 47 500.","")</f>
        <v/>
      </c>
      <c r="C52" s="23"/>
      <c r="D52" s="23"/>
      <c r="E52" s="23"/>
      <c r="F52" s="23"/>
      <c r="G52" s="23"/>
    </row>
    <row r="54" customFormat="false" ht="30" hidden="false" customHeight="true" outlineLevel="0" collapsed="false">
      <c r="B54" s="6" t="s">
        <v>51</v>
      </c>
      <c r="C54" s="6"/>
      <c r="D54" s="6"/>
      <c r="E54" s="6"/>
      <c r="F54" s="6"/>
      <c r="G54" s="6"/>
    </row>
  </sheetData>
  <mergeCells count="21">
    <mergeCell ref="B2:G2"/>
    <mergeCell ref="B3:G3"/>
    <mergeCell ref="B4:G4"/>
    <mergeCell ref="B5:G5"/>
    <mergeCell ref="B6:G6"/>
    <mergeCell ref="B7:G7"/>
    <mergeCell ref="B9:G9"/>
    <mergeCell ref="B10:G10"/>
    <mergeCell ref="B30:G30"/>
    <mergeCell ref="B31:G31"/>
    <mergeCell ref="C34:G34"/>
    <mergeCell ref="C35:G35"/>
    <mergeCell ref="C36:G36"/>
    <mergeCell ref="C37:G37"/>
    <mergeCell ref="C38:G38"/>
    <mergeCell ref="C39:G39"/>
    <mergeCell ref="C40:G40"/>
    <mergeCell ref="C41:G41"/>
    <mergeCell ref="C42:G42"/>
    <mergeCell ref="B52:G52"/>
    <mergeCell ref="B54:G54"/>
  </mergeCells>
  <conditionalFormatting sqref="C34">
    <cfRule type="expression" priority="2" aboveAverage="0" equalAverage="0" bottom="0" percent="0" rank="0" text="" dxfId="0">
      <formula>LEFT(C34,6)="Riktig"</formula>
    </cfRule>
    <cfRule type="expression" priority="3" aboveAverage="0" equalAverage="0" bottom="0" percent="0" rank="0" text="" dxfId="1">
      <formula>AND(C34&lt;&gt;"",LEFT(C34,6)&lt;&gt;"Riktig",LEFT(C34,5)&lt;&gt;"Skriv")</formula>
    </cfRule>
  </conditionalFormatting>
  <conditionalFormatting sqref="C35">
    <cfRule type="expression" priority="4" aboveAverage="0" equalAverage="0" bottom="0" percent="0" rank="0" text="" dxfId="0">
      <formula>LEFT(C35,6)="Riktig"</formula>
    </cfRule>
    <cfRule type="expression" priority="5" aboveAverage="0" equalAverage="0" bottom="0" percent="0" rank="0" text="" dxfId="1">
      <formula>AND(C35&lt;&gt;"",LEFT(C35,6)&lt;&gt;"Riktig",LEFT(C35,5)&lt;&gt;"Skriv")</formula>
    </cfRule>
  </conditionalFormatting>
  <conditionalFormatting sqref="C36">
    <cfRule type="expression" priority="6" aboveAverage="0" equalAverage="0" bottom="0" percent="0" rank="0" text="" dxfId="0">
      <formula>LEFT(C36,6)="Riktig"</formula>
    </cfRule>
    <cfRule type="expression" priority="7" aboveAverage="0" equalAverage="0" bottom="0" percent="0" rank="0" text="" dxfId="1">
      <formula>AND(C36&lt;&gt;"",LEFT(C36,6)&lt;&gt;"Riktig",LEFT(C36,5)&lt;&gt;"Skriv")</formula>
    </cfRule>
  </conditionalFormatting>
  <conditionalFormatting sqref="C37">
    <cfRule type="expression" priority="8" aboveAverage="0" equalAverage="0" bottom="0" percent="0" rank="0" text="" dxfId="0">
      <formula>LEFT(C37,6)="Riktig"</formula>
    </cfRule>
    <cfRule type="expression" priority="9" aboveAverage="0" equalAverage="0" bottom="0" percent="0" rank="0" text="" dxfId="1">
      <formula>AND(C37&lt;&gt;"",LEFT(C37,6)&lt;&gt;"Riktig",LEFT(C37,5)&lt;&gt;"Skriv")</formula>
    </cfRule>
  </conditionalFormatting>
  <conditionalFormatting sqref="C38">
    <cfRule type="expression" priority="10" aboveAverage="0" equalAverage="0" bottom="0" percent="0" rank="0" text="" dxfId="0">
      <formula>LEFT(C38,6)="Riktig"</formula>
    </cfRule>
    <cfRule type="expression" priority="11" aboveAverage="0" equalAverage="0" bottom="0" percent="0" rank="0" text="" dxfId="1">
      <formula>AND(C38&lt;&gt;"",LEFT(C38,6)&lt;&gt;"Riktig",LEFT(C38,5)&lt;&gt;"Skriv")</formula>
    </cfRule>
  </conditionalFormatting>
  <conditionalFormatting sqref="C39">
    <cfRule type="expression" priority="12" aboveAverage="0" equalAverage="0" bottom="0" percent="0" rank="0" text="" dxfId="0">
      <formula>LEFT(C39,6)="Riktig"</formula>
    </cfRule>
    <cfRule type="expression" priority="13" aboveAverage="0" equalAverage="0" bottom="0" percent="0" rank="0" text="" dxfId="1">
      <formula>AND(C39&lt;&gt;"",LEFT(C39,6)&lt;&gt;"Riktig",LEFT(C39,5)&lt;&gt;"Skriv")</formula>
    </cfRule>
  </conditionalFormatting>
  <conditionalFormatting sqref="C40">
    <cfRule type="expression" priority="14" aboveAverage="0" equalAverage="0" bottom="0" percent="0" rank="0" text="" dxfId="0">
      <formula>LEFT(C40,6)="Riktig"</formula>
    </cfRule>
    <cfRule type="expression" priority="15" aboveAverage="0" equalAverage="0" bottom="0" percent="0" rank="0" text="" dxfId="1">
      <formula>AND(C40&lt;&gt;"",LEFT(C40,6)&lt;&gt;"Riktig",LEFT(C40,5)&lt;&gt;"Skriv")</formula>
    </cfRule>
  </conditionalFormatting>
  <conditionalFormatting sqref="C41">
    <cfRule type="expression" priority="16" aboveAverage="0" equalAverage="0" bottom="0" percent="0" rank="0" text="" dxfId="0">
      <formula>LEFT(C41,6)="Riktig"</formula>
    </cfRule>
    <cfRule type="expression" priority="17" aboveAverage="0" equalAverage="0" bottom="0" percent="0" rank="0" text="" dxfId="1">
      <formula>AND(C41&lt;&gt;"",LEFT(C41,6)&lt;&gt;"Riktig",LEFT(C41,5)&lt;&gt;"Skriv")</formula>
    </cfRule>
  </conditionalFormatting>
  <conditionalFormatting sqref="C42">
    <cfRule type="expression" priority="18" aboveAverage="0" equalAverage="0" bottom="0" percent="0" rank="0" text="" dxfId="0">
      <formula>LEFT(C42,6)="Riktig"</formula>
    </cfRule>
    <cfRule type="expression" priority="19" aboveAverage="0" equalAverage="0" bottom="0" percent="0" rank="0" text="" dxfId="1">
      <formula>AND(C42&lt;&gt;"",LEFT(C42,6)&lt;&gt;"Riktig",LEFT(C42,5)&lt;&gt;"Skriv")</formula>
    </cfRule>
  </conditionalFormatting>
  <conditionalFormatting sqref="G44">
    <cfRule type="expression" priority="20" aboveAverage="0" equalAverage="0" bottom="0" percent="0" rank="0" text="" dxfId="0">
      <formula>LEFT(G44,6)="Riktig"</formula>
    </cfRule>
    <cfRule type="expression" priority="21" aboveAverage="0" equalAverage="0" bottom="0" percent="0" rank="0" text="" dxfId="1">
      <formula>AND(G44&lt;&gt;"",LEFT(G44,6)&lt;&gt;"Riktig",LEFT(G44,5)&lt;&gt;"Skriv")</formula>
    </cfRule>
  </conditionalFormatting>
  <conditionalFormatting sqref="G45">
    <cfRule type="expression" priority="22" aboveAverage="0" equalAverage="0" bottom="0" percent="0" rank="0" text="" dxfId="0">
      <formula>LEFT(G45,6)="Riktig"</formula>
    </cfRule>
    <cfRule type="expression" priority="23" aboveAverage="0" equalAverage="0" bottom="0" percent="0" rank="0" text="" dxfId="1">
      <formula>AND(G45&lt;&gt;"",LEFT(G45,6)&lt;&gt;"Riktig",LEFT(G45,5)&lt;&gt;"Skriv")</formula>
    </cfRule>
  </conditionalFormatting>
  <conditionalFormatting sqref="G46">
    <cfRule type="expression" priority="24" aboveAverage="0" equalAverage="0" bottom="0" percent="0" rank="0" text="" dxfId="0">
      <formula>LEFT(G46,6)="Riktig"</formula>
    </cfRule>
    <cfRule type="expression" priority="25" aboveAverage="0" equalAverage="0" bottom="0" percent="0" rank="0" text="" dxfId="1">
      <formula>AND(G46&lt;&gt;"",LEFT(G46,6)&lt;&gt;"Riktig",LEFT(G46,5)&lt;&gt;"Skriv")</formula>
    </cfRule>
  </conditionalFormatting>
  <conditionalFormatting sqref="G48">
    <cfRule type="expression" priority="26" aboveAverage="0" equalAverage="0" bottom="0" percent="0" rank="0" text="" dxfId="0">
      <formula>LEFT(G48,6)="Riktig"</formula>
    </cfRule>
    <cfRule type="expression" priority="27" aboveAverage="0" equalAverage="0" bottom="0" percent="0" rank="0" text="" dxfId="1">
      <formula>LEFT(G48,4)="Ikke"</formula>
    </cfRule>
  </conditionalFormatting>
  <conditionalFormatting sqref="G50">
    <cfRule type="expression" priority="28" aboveAverage="0" equalAverage="0" bottom="0" percent="0" rank="0" text="" dxfId="0">
      <formula>LEFT(G50,6)="Riktig"</formula>
    </cfRule>
    <cfRule type="expression" priority="29" aboveAverage="0" equalAverage="0" bottom="0" percent="0" rank="0" text="" dxfId="1">
      <formula>AND(G50&lt;&gt;"",LEFT(G50,6)&lt;&gt;"Riktig",LEFT(G50,5)&lt;&gt;"Skriv")</formula>
    </cfRule>
  </conditionalFormatting>
  <dataValidations count="2">
    <dataValidation allowBlank="true" errorStyle="stop" operator="between" showDropDown="false" showErrorMessage="false" showInputMessage="false" sqref="C48" type="list">
      <formula1>$Z$1:$Z$3</formula1>
      <formula2>0</formula2>
    </dataValidation>
    <dataValidation allowBlank="true" errorStyle="stop" operator="between" showDropDown="false" showErrorMessage="false" showInputMessage="false" sqref="C5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191</v>
      </c>
    </row>
    <row r="2" customFormat="false" ht="25.5" hidden="false" customHeight="true" outlineLevel="0" collapsed="false">
      <c r="B2" s="5" t="s">
        <v>192</v>
      </c>
      <c r="C2" s="5"/>
      <c r="D2" s="5"/>
      <c r="E2" s="5"/>
      <c r="F2" s="5"/>
      <c r="G2" s="5"/>
      <c r="Z2" s="24" t="s">
        <v>193</v>
      </c>
    </row>
    <row r="3" customFormat="false" ht="15" hidden="false" customHeight="true" outlineLevel="0" collapsed="false">
      <c r="B3" s="6" t="s">
        <v>194</v>
      </c>
      <c r="C3" s="6"/>
      <c r="D3" s="6"/>
      <c r="E3" s="6"/>
      <c r="F3" s="6"/>
      <c r="G3" s="6"/>
      <c r="Z3" s="24" t="s">
        <v>195</v>
      </c>
    </row>
    <row r="4" customFormat="false" ht="15.75" hidden="false" customHeight="true" outlineLevel="0" collapsed="false">
      <c r="B4" s="7" t="s">
        <v>18</v>
      </c>
      <c r="C4" s="7"/>
      <c r="D4" s="7"/>
      <c r="E4" s="7"/>
      <c r="F4" s="7"/>
      <c r="G4" s="7"/>
    </row>
    <row r="5" customFormat="false" ht="45" hidden="false" customHeight="true" outlineLevel="0" collapsed="false">
      <c r="B5" s="8" t="s">
        <v>196</v>
      </c>
      <c r="C5" s="8"/>
      <c r="D5" s="8"/>
      <c r="E5" s="8"/>
      <c r="F5" s="8"/>
      <c r="G5" s="8"/>
    </row>
    <row r="6" customFormat="false" ht="15.75" hidden="false" customHeight="true" outlineLevel="0" collapsed="false">
      <c r="B6" s="7" t="s">
        <v>20</v>
      </c>
      <c r="C6" s="7"/>
      <c r="D6" s="7"/>
      <c r="E6" s="7"/>
      <c r="F6" s="7"/>
      <c r="G6" s="7"/>
    </row>
    <row r="7" customFormat="false" ht="60" hidden="false" customHeight="true" outlineLevel="0" collapsed="false">
      <c r="B7" s="8" t="s">
        <v>197</v>
      </c>
      <c r="C7" s="8"/>
      <c r="D7" s="8"/>
      <c r="E7" s="8"/>
      <c r="F7" s="8"/>
      <c r="G7" s="8"/>
    </row>
    <row r="9" customFormat="false" ht="15.75" hidden="false" customHeight="true" outlineLevel="0" collapsed="false">
      <c r="B9" s="7" t="s">
        <v>198</v>
      </c>
      <c r="C9" s="7"/>
      <c r="D9" s="7"/>
      <c r="E9" s="7"/>
      <c r="F9" s="7"/>
      <c r="G9" s="7"/>
    </row>
    <row r="10" customFormat="false" ht="60" hidden="false" customHeight="true" outlineLevel="0" collapsed="false">
      <c r="B10" s="8" t="s">
        <v>199</v>
      </c>
      <c r="C10" s="8"/>
      <c r="D10" s="8"/>
      <c r="E10" s="8"/>
      <c r="F10" s="8"/>
      <c r="G10" s="8"/>
    </row>
    <row r="11" customFormat="false" ht="15" hidden="false" customHeight="false" outlineLevel="0" collapsed="false">
      <c r="B11" s="9" t="s">
        <v>24</v>
      </c>
      <c r="C11" s="10" t="s">
        <v>200</v>
      </c>
      <c r="D11" s="10" t="s">
        <v>201</v>
      </c>
    </row>
    <row r="12" customFormat="false" ht="15" hidden="false" customHeight="false" outlineLevel="0" collapsed="false">
      <c r="B12" s="11" t="s">
        <v>27</v>
      </c>
      <c r="C12" s="12" t="n">
        <v>6150000</v>
      </c>
      <c r="D12" s="12" t="n">
        <v>6400000</v>
      </c>
    </row>
    <row r="13" customFormat="false" ht="15" hidden="false" customHeight="false" outlineLevel="0" collapsed="false">
      <c r="B13" s="11" t="s">
        <v>202</v>
      </c>
      <c r="C13" s="12" t="n">
        <v>2306250</v>
      </c>
      <c r="D13" s="12" t="n">
        <v>2496000</v>
      </c>
    </row>
    <row r="14" customFormat="false" ht="15" hidden="false" customHeight="false" outlineLevel="0" collapsed="false">
      <c r="B14" s="11" t="s">
        <v>203</v>
      </c>
      <c r="C14" s="12" t="n">
        <v>2752500</v>
      </c>
      <c r="D14" s="12" t="n">
        <v>2790000</v>
      </c>
    </row>
    <row r="15" customFormat="false" ht="15" hidden="false" customHeight="false" outlineLevel="0" collapsed="false">
      <c r="B15" s="11" t="s">
        <v>30</v>
      </c>
      <c r="C15" s="12" t="n">
        <v>165000</v>
      </c>
      <c r="D15" s="12" t="n">
        <v>165000</v>
      </c>
    </row>
    <row r="16" customFormat="false" ht="15" hidden="false" customHeight="false" outlineLevel="0" collapsed="false">
      <c r="B16" s="11" t="s">
        <v>31</v>
      </c>
      <c r="C16" s="12" t="n">
        <v>375000</v>
      </c>
      <c r="D16" s="12" t="n">
        <v>410000</v>
      </c>
    </row>
    <row r="17" customFormat="false" ht="15" hidden="false" customHeight="false" outlineLevel="0" collapsed="false">
      <c r="B17" s="11" t="s">
        <v>32</v>
      </c>
      <c r="C17" s="12" t="n">
        <v>551250</v>
      </c>
      <c r="D17" s="12" t="n">
        <v>539000</v>
      </c>
    </row>
    <row r="19" customFormat="false" ht="15.75" hidden="false" customHeight="true" outlineLevel="0" collapsed="false">
      <c r="B19" s="7" t="s">
        <v>36</v>
      </c>
      <c r="C19" s="7"/>
      <c r="D19" s="7"/>
      <c r="E19" s="7"/>
      <c r="F19" s="7"/>
      <c r="G19" s="7"/>
    </row>
    <row r="20" customFormat="false" ht="45" hidden="false" customHeight="true" outlineLevel="0" collapsed="false">
      <c r="B20" s="8" t="s">
        <v>204</v>
      </c>
      <c r="C20" s="8"/>
      <c r="D20" s="8"/>
      <c r="E20" s="8"/>
      <c r="F20" s="8"/>
      <c r="G20" s="8"/>
    </row>
    <row r="22" customFormat="false" ht="43.5" hidden="false" customHeight="true" outlineLevel="0" collapsed="false">
      <c r="B22" s="16" t="s">
        <v>205</v>
      </c>
      <c r="C22" s="13"/>
      <c r="D22" s="18" t="s">
        <v>48</v>
      </c>
      <c r="G22" s="19" t="str">
        <f aca="false">IF(C22="","Skriv svaret i den gule cellen.",IF(C22=(6400000-6150000),"Riktig.",IF(ABS(C22-(6150000-6400000))&lt;=0,"Du har snudd fortegnet. For en inntekt er avviket regnskap minus budsjett; mer salg er bra, altså pluss.","Ikke riktig ennå. Se på regnestykket øverst på fanen, og sjekk at du har med alle leddene.")))</f>
        <v>Skriv svaret i den gule cellen.</v>
      </c>
    </row>
    <row r="23" customFormat="false" ht="43.5" hidden="false" customHeight="true" outlineLevel="0" collapsed="false">
      <c r="B23" s="16" t="s">
        <v>206</v>
      </c>
      <c r="C23" s="13"/>
      <c r="D23" s="18" t="s">
        <v>48</v>
      </c>
      <c r="G23" s="19" t="str">
        <f aca="false">IF(C23="","Skriv svaret i den gule cellen.",IF(C23=(2306250-2496000),"Riktig.",IF(ABS(C23-(2496000-2306250))&lt;=0,"Du har satt pluss fordi tallet gikk opp. En kostnad som blir større enn planlagt, er dårlig for resultatet: negativt avvik.","Ikke riktig ennå. Se på regnestykket øverst på fanen, og sjekk at du har med alle leddene.")))</f>
        <v>Skriv svaret i den gule cellen.</v>
      </c>
    </row>
    <row r="24" customFormat="false" ht="43.5" hidden="false" customHeight="true" outlineLevel="0" collapsed="false">
      <c r="B24" s="16" t="s">
        <v>207</v>
      </c>
      <c r="C24" s="13"/>
      <c r="D24" s="18" t="s">
        <v>48</v>
      </c>
      <c r="G24" s="19" t="str">
        <f aca="false">IF(C24="","Skriv svaret i den gule cellen.",IF(C24=(539000-551250),"Riktig.",IF(ABS(C24-(551250-539000))&lt;=0,"Driftsresultatet behandles som en inntekt: regnskap minus budsjett. Det ble lavere enn planlagt, altså minus.",IF(ABS(C24-(6400000-6150000-(2496000-2306250)))&lt;=0,"Du har regnet bare salg og varekostnad. Lønn og andre driftskostnader har også avvik; summen av alle avvikene er avviket i driftsresultatet.","Ikke riktig ennå. Se på regnestykket øverst på fanen, og sjekk at du har med alle leddene."))))</f>
        <v>Skriv svaret i den gule cellen.</v>
      </c>
    </row>
    <row r="25" customFormat="false" ht="43.5" hidden="false" customHeight="true" outlineLevel="0" collapsed="false">
      <c r="B25" s="16" t="s">
        <v>208</v>
      </c>
      <c r="C25" s="17"/>
      <c r="D25" s="18" t="s">
        <v>46</v>
      </c>
      <c r="G25" s="19" t="str">
        <f aca="false">IF(C25="","Skriv svaret i den gule cellen.",IF(ABS(C25-(ROUND(2496000/6400000*100,1)))&lt;=0.06,"Riktig.",IF(ABS(C25-(37.5))&lt;=0.06,"Det er budsjettets andel. Regn regnskapets: 2 496 000 / 6 400 000.",IF(ABS(C25-(ROUND(2496000/6150000*100,1)))&lt;=0.06,"Du har delt på budsjettert salg. Begge tallene skal være fra regnskapet.","Ikke riktig ennå. Se på regnestykket øverst på fanen, og sjekk at du har med alle leddene."))))</f>
        <v>Skriv svaret i den gule cellen.</v>
      </c>
    </row>
    <row r="27" customFormat="false" ht="39.75" hidden="false" customHeight="true" outlineLevel="0" collapsed="false">
      <c r="B27" s="16" t="s">
        <v>209</v>
      </c>
      <c r="C27" s="22"/>
      <c r="G27" s="19" t="str">
        <f aca="false">IF(C27="","Velg i nedtrekksmenyen.",IF(C27="Varekostnaden: 96 000 av avviket forklares ikke av at salget økte","Riktig. Salget økte 250 000, og med 37,5 % skulle varekostnaden øke 93 750 (mengdeavvik). Den økte 189 750. Resten, 96 000, er pris, svinn eller jobber som er priset feil. Lønna gikk opp i kroner, men ned som andel av salget (44,8 % til 43,6 %), så den fulgte salget. Avskrivningene har ikke avvik.","Ikke riktig. Salget økte 250 000, og med 37,5 % skulle varekostnaden øke 93 750 (mengdeavvik). Den økte 189 750. Resten, 96 000, er pris, svinn eller jobber som er priset feil. Lønna gikk opp i kroner, men ned som andel av salget (44,8 % til 43,6 %), så den fulgte salget. Avskrivningene har ikke avvik."))</f>
        <v>Velg i nedtrekksmenyen.</v>
      </c>
    </row>
    <row r="29" customFormat="false" ht="30" hidden="false" customHeight="true" outlineLevel="0" collapsed="false">
      <c r="B29" s="8" t="s">
        <v>210</v>
      </c>
      <c r="C29" s="8"/>
      <c r="D29" s="8"/>
      <c r="E29" s="8"/>
      <c r="F29" s="8"/>
      <c r="G29" s="8"/>
    </row>
    <row r="30" customFormat="false" ht="21.75" hidden="false" customHeight="true" outlineLevel="0" collapsed="false">
      <c r="B30" s="20"/>
      <c r="C30" s="20"/>
      <c r="D30" s="20"/>
      <c r="E30" s="20"/>
      <c r="F30" s="20"/>
      <c r="G30" s="20"/>
    </row>
    <row r="31" customFormat="false" ht="21.75" hidden="false" customHeight="true" outlineLevel="0" collapsed="false">
      <c r="B31" s="20"/>
      <c r="C31" s="20"/>
      <c r="D31" s="20"/>
      <c r="E31" s="20"/>
      <c r="F31" s="20"/>
      <c r="G31" s="20"/>
    </row>
    <row r="32" customFormat="false" ht="21.75" hidden="false" customHeight="true" outlineLevel="0" collapsed="false">
      <c r="B32" s="20"/>
      <c r="C32" s="20"/>
      <c r="D32" s="20"/>
      <c r="E32" s="20"/>
      <c r="F32" s="20"/>
      <c r="G32" s="20"/>
    </row>
    <row r="33" customFormat="false" ht="39.75" hidden="false" customHeight="true" outlineLevel="0" collapsed="false">
      <c r="B33" s="21" t="str">
        <f aca="false">IF(LEN(B30)&lt;40,"",IF(AND(ISNUMBER(SEARCH("96 000",B30)),ISNUMBER(SEARCH("driftskostnad",B30))),"Bra: du skiller mengdeavviket (93 750) fra det som må forklares (96 000), og du tar andre driftskostnader (−35 000, −9,3 %) som et eget spørsmål. Husk: avviket peker på stedet, ikke på årsaken og ikke på personen.",IF(OR(ISNUMBER(SEARCH("96 000",B30)),ISNUMBER(SEARCH("driftskostnad",B30))),"Du har med noe. Si at 93 750 av materiellavviket følger salget, og spør om de siste 96 000. Still et eget spørsmål om andre driftskostnader, som ikke følger salget.","Tips: ikke «hvorfor brukte du 189 750 for mye?», men «93 750 av avviket kommer av at vi solgte mer; hvor kommer de siste 96 000 fra: pris, svinn eller jobber vi priset feil?» Og: «andre driftskostnader er 35 000 over, 9,3 %; hvilke poster, og er det engangskostnader eller nytt nivå?»")))</f>
        <v/>
      </c>
      <c r="C33" s="21"/>
      <c r="D33" s="21"/>
      <c r="E33" s="21"/>
      <c r="F33" s="21"/>
      <c r="G33" s="21"/>
    </row>
    <row r="34" customFormat="false" ht="15" hidden="false" customHeight="false" outlineLevel="0" collapsed="false">
      <c r="B34" s="14" t="s">
        <v>50</v>
      </c>
      <c r="C34" s="22"/>
    </row>
    <row r="35" customFormat="false" ht="45" hidden="false" customHeight="true" outlineLevel="0" collapsed="false">
      <c r="B35" s="23" t="str">
        <f aca="false">IF(C34="JA","Hint: a: 6 400 000 − 6 150 000 = +250 000 (+4,1 %). b: 2 306 250 − 2 496 000 = −189 750 (−8,2 %). c: 539 000 − 551 250 = −12 250 (−2,2 %). Kontroll: 250 000 − 189 750 − 37 500 + 0 − 35 000 = −12 250. d: 2 496 000 / 6 400 000 = 39,0 %. Mengdeavvik 250 000 × 37,5 % = 93 750; resten 189 750 − 93 750 = 96 000.","")</f>
        <v/>
      </c>
      <c r="C35" s="23"/>
      <c r="D35" s="23"/>
      <c r="E35" s="23"/>
      <c r="F35" s="23"/>
      <c r="G35" s="23"/>
    </row>
    <row r="37" customFormat="false" ht="30" hidden="false" customHeight="true" outlineLevel="0" collapsed="false">
      <c r="B37" s="6" t="s">
        <v>51</v>
      </c>
      <c r="C37" s="6"/>
      <c r="D37" s="6"/>
      <c r="E37" s="6"/>
      <c r="F37" s="6"/>
      <c r="G37" s="6"/>
    </row>
  </sheetData>
  <mergeCells count="15">
    <mergeCell ref="B2:G2"/>
    <mergeCell ref="B3:G3"/>
    <mergeCell ref="B4:G4"/>
    <mergeCell ref="B5:G5"/>
    <mergeCell ref="B6:G6"/>
    <mergeCell ref="B7:G7"/>
    <mergeCell ref="B9:G9"/>
    <mergeCell ref="B10:G10"/>
    <mergeCell ref="B19:G19"/>
    <mergeCell ref="B20:G20"/>
    <mergeCell ref="B29:G29"/>
    <mergeCell ref="B30:G32"/>
    <mergeCell ref="B33:G33"/>
    <mergeCell ref="B35:G35"/>
    <mergeCell ref="B37:G37"/>
  </mergeCells>
  <conditionalFormatting sqref="G22">
    <cfRule type="expression" priority="2" aboveAverage="0" equalAverage="0" bottom="0" percent="0" rank="0" text="" dxfId="0">
      <formula>LEFT(G22,6)="Riktig"</formula>
    </cfRule>
    <cfRule type="expression" priority="3" aboveAverage="0" equalAverage="0" bottom="0" percent="0" rank="0" text="" dxfId="1">
      <formula>AND(G22&lt;&gt;"",LEFT(G22,6)&lt;&gt;"Riktig",LEFT(G22,5)&lt;&gt;"Skriv")</formula>
    </cfRule>
  </conditionalFormatting>
  <conditionalFormatting sqref="G23">
    <cfRule type="expression" priority="4" aboveAverage="0" equalAverage="0" bottom="0" percent="0" rank="0" text="" dxfId="0">
      <formula>LEFT(G23,6)="Riktig"</formula>
    </cfRule>
    <cfRule type="expression" priority="5" aboveAverage="0" equalAverage="0" bottom="0" percent="0" rank="0" text="" dxfId="1">
      <formula>AND(G23&lt;&gt;"",LEFT(G23,6)&lt;&gt;"Riktig",LEFT(G23,5)&lt;&gt;"Skriv")</formula>
    </cfRule>
  </conditionalFormatting>
  <conditionalFormatting sqref="G24">
    <cfRule type="expression" priority="6" aboveAverage="0" equalAverage="0" bottom="0" percent="0" rank="0" text="" dxfId="0">
      <formula>LEFT(G24,6)="Riktig"</formula>
    </cfRule>
    <cfRule type="expression" priority="7" aboveAverage="0" equalAverage="0" bottom="0" percent="0" rank="0" text="" dxfId="1">
      <formula>AND(G24&lt;&gt;"",LEFT(G24,6)&lt;&gt;"Riktig",LEFT(G24,5)&lt;&gt;"Skriv")</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AND(G25&lt;&gt;"",LEFT(G25,6)&lt;&gt;"Riktig",LEFT(G25,5)&lt;&gt;"Skriv")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LEFT(G27,4)="Ikke"</formula>
    </cfRule>
  </conditionalFormatting>
  <dataValidations count="2">
    <dataValidation allowBlank="true" errorStyle="stop" operator="between" showDropDown="false" showErrorMessage="false" showInputMessage="false" sqref="C27" type="list">
      <formula1>$Z$1:$Z$3</formula1>
      <formula2>0</formula2>
    </dataValidation>
    <dataValidation allowBlank="true" errorStyle="stop" operator="between" showDropDown="false" showErrorMessage="false" showInputMessage="false" sqref="C3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211</v>
      </c>
    </row>
    <row r="3" customFormat="false" ht="30" hidden="false" customHeight="true" outlineLevel="0" collapsed="false">
      <c r="B3" s="6" t="s">
        <v>212</v>
      </c>
      <c r="C3" s="6"/>
      <c r="D3" s="6"/>
    </row>
    <row r="5" customFormat="false" ht="15" hidden="false" customHeight="false" outlineLevel="0" collapsed="false">
      <c r="B5" s="27" t="s">
        <v>213</v>
      </c>
      <c r="C5" s="27" t="s">
        <v>214</v>
      </c>
      <c r="D5" s="27" t="s">
        <v>215</v>
      </c>
    </row>
    <row r="6" customFormat="false" ht="30" hidden="false" customHeight="true" outlineLevel="0" collapsed="false">
      <c r="B6" s="28" t="s">
        <v>216</v>
      </c>
      <c r="C6" s="25" t="n">
        <v>9000000</v>
      </c>
      <c r="D6" s="28" t="s">
        <v>217</v>
      </c>
    </row>
    <row r="7" customFormat="false" ht="30" hidden="false" customHeight="true" outlineLevel="0" collapsed="false">
      <c r="B7" s="28" t="s">
        <v>218</v>
      </c>
      <c r="C7" s="25" t="n">
        <v>11010000</v>
      </c>
      <c r="D7" s="28" t="s">
        <v>219</v>
      </c>
    </row>
    <row r="8" customFormat="false" ht="30" hidden="false" customHeight="true" outlineLevel="0" collapsed="false">
      <c r="B8" s="28" t="s">
        <v>220</v>
      </c>
      <c r="C8" s="25" t="n">
        <v>720000</v>
      </c>
      <c r="D8" s="28" t="s">
        <v>221</v>
      </c>
    </row>
    <row r="9" customFormat="false" ht="30" hidden="false" customHeight="true" outlineLevel="0" collapsed="false">
      <c r="B9" s="28" t="s">
        <v>222</v>
      </c>
      <c r="C9" s="25" t="n">
        <v>1770000</v>
      </c>
      <c r="D9" s="28" t="s">
        <v>223</v>
      </c>
    </row>
    <row r="10" customFormat="false" ht="30" hidden="false" customHeight="true" outlineLevel="0" collapsed="false">
      <c r="B10" s="28" t="s">
        <v>224</v>
      </c>
      <c r="C10" s="25" t="n">
        <v>210000</v>
      </c>
      <c r="D10" s="28" t="s">
        <v>225</v>
      </c>
    </row>
    <row r="11" customFormat="false" ht="30" hidden="false" customHeight="true" outlineLevel="0" collapsed="false">
      <c r="B11" s="28" t="s">
        <v>226</v>
      </c>
      <c r="C11" s="25" t="n">
        <v>1616000</v>
      </c>
      <c r="D11" s="28" t="s">
        <v>227</v>
      </c>
    </row>
    <row r="12" customFormat="false" ht="30" hidden="false" customHeight="true" outlineLevel="0" collapsed="false">
      <c r="B12" s="28" t="s">
        <v>228</v>
      </c>
      <c r="C12" s="25" t="n">
        <v>7.4</v>
      </c>
      <c r="D12" s="28" t="s">
        <v>229</v>
      </c>
    </row>
    <row r="13" customFormat="false" ht="30" hidden="false" customHeight="true" outlineLevel="0" collapsed="false">
      <c r="B13" s="28" t="s">
        <v>230</v>
      </c>
      <c r="C13" s="25" t="n">
        <v>1020000</v>
      </c>
      <c r="D13" s="28" t="s">
        <v>231</v>
      </c>
    </row>
    <row r="14" customFormat="false" ht="30" hidden="false" customHeight="true" outlineLevel="0" collapsed="false">
      <c r="B14" s="28" t="s">
        <v>232</v>
      </c>
      <c r="C14" s="25"/>
      <c r="D14" s="28" t="s">
        <v>233</v>
      </c>
    </row>
    <row r="15" customFormat="false" ht="30" hidden="false" customHeight="true" outlineLevel="0" collapsed="false">
      <c r="B15" s="28" t="s">
        <v>234</v>
      </c>
      <c r="C15" s="25" t="n">
        <v>4795000</v>
      </c>
      <c r="D15" s="28" t="s">
        <v>235</v>
      </c>
    </row>
    <row r="16" customFormat="false" ht="30" hidden="false" customHeight="true" outlineLevel="0" collapsed="false">
      <c r="B16" s="28" t="s">
        <v>236</v>
      </c>
      <c r="C16" s="25" t="n">
        <v>2671760</v>
      </c>
      <c r="D16" s="28" t="s">
        <v>237</v>
      </c>
    </row>
    <row r="17" customFormat="false" ht="30" hidden="false" customHeight="true" outlineLevel="0" collapsed="false">
      <c r="B17" s="28" t="s">
        <v>238</v>
      </c>
      <c r="C17" s="25" t="n">
        <v>60000</v>
      </c>
      <c r="D17" s="28" t="s">
        <v>239</v>
      </c>
    </row>
    <row r="18" customFormat="false" ht="30" hidden="false" customHeight="true" outlineLevel="0" collapsed="false">
      <c r="B18" s="28" t="s">
        <v>240</v>
      </c>
      <c r="C18" s="25" t="n">
        <v>519000</v>
      </c>
      <c r="D18" s="28" t="s">
        <v>241</v>
      </c>
    </row>
    <row r="19" customFormat="false" ht="30" hidden="false" customHeight="true" outlineLevel="0" collapsed="false">
      <c r="B19" s="28" t="s">
        <v>242</v>
      </c>
      <c r="C19" s="25" t="n">
        <v>144240</v>
      </c>
      <c r="D19" s="28" t="s">
        <v>243</v>
      </c>
    </row>
    <row r="20" customFormat="false" ht="30" hidden="false" customHeight="true" outlineLevel="0" collapsed="false">
      <c r="B20" s="28" t="s">
        <v>244</v>
      </c>
      <c r="C20" s="25" t="n">
        <v>106740</v>
      </c>
      <c r="D20" s="28" t="s">
        <v>245</v>
      </c>
    </row>
    <row r="21" customFormat="false" ht="30" hidden="false" customHeight="true" outlineLevel="0" collapsed="false">
      <c r="B21" s="28" t="s">
        <v>246</v>
      </c>
      <c r="C21" s="25"/>
      <c r="D21" s="28" t="s">
        <v>247</v>
      </c>
    </row>
    <row r="22" customFormat="false" ht="30" hidden="false" customHeight="true" outlineLevel="0" collapsed="false">
      <c r="B22" s="28" t="s">
        <v>248</v>
      </c>
      <c r="C22" s="25"/>
      <c r="D22" s="28" t="s">
        <v>249</v>
      </c>
    </row>
    <row r="23" customFormat="false" ht="45" hidden="false" customHeight="true" outlineLevel="0" collapsed="false">
      <c r="B23" s="28" t="s">
        <v>250</v>
      </c>
      <c r="C23" s="25"/>
      <c r="D23" s="28" t="s">
        <v>251</v>
      </c>
    </row>
    <row r="24" customFormat="false" ht="30" hidden="false" customHeight="true" outlineLevel="0" collapsed="false">
      <c r="B24" s="28" t="s">
        <v>252</v>
      </c>
      <c r="C24" s="25" t="n">
        <v>90000</v>
      </c>
      <c r="D24" s="28" t="s">
        <v>253</v>
      </c>
    </row>
    <row r="25" customFormat="false" ht="30" hidden="false" customHeight="true" outlineLevel="0" collapsed="false">
      <c r="B25" s="28" t="s">
        <v>254</v>
      </c>
      <c r="C25" s="25" t="n">
        <v>562500</v>
      </c>
      <c r="D25" s="28" t="s">
        <v>255</v>
      </c>
    </row>
    <row r="26" customFormat="false" ht="30" hidden="false" customHeight="true" outlineLevel="0" collapsed="false">
      <c r="B26" s="28" t="s">
        <v>256</v>
      </c>
      <c r="C26" s="25" t="n">
        <v>900000</v>
      </c>
      <c r="D26" s="28" t="s">
        <v>257</v>
      </c>
    </row>
    <row r="27" customFormat="false" ht="30" hidden="false" customHeight="true" outlineLevel="0" collapsed="false">
      <c r="B27" s="28" t="s">
        <v>258</v>
      </c>
      <c r="C27" s="25"/>
      <c r="D27" s="28" t="s">
        <v>259</v>
      </c>
    </row>
    <row r="28" customFormat="false" ht="30" hidden="false" customHeight="true" outlineLevel="0" collapsed="false">
      <c r="B28" s="28" t="s">
        <v>260</v>
      </c>
      <c r="C28" s="25" t="n">
        <v>2375000</v>
      </c>
      <c r="D28" s="28" t="s">
        <v>261</v>
      </c>
    </row>
    <row r="29" customFormat="false" ht="30" hidden="false" customHeight="true" outlineLevel="0" collapsed="false">
      <c r="B29" s="28" t="s">
        <v>262</v>
      </c>
      <c r="C29" s="25" t="n">
        <v>2687500</v>
      </c>
      <c r="D29" s="28" t="s">
        <v>263</v>
      </c>
    </row>
    <row r="30" customFormat="false" ht="30" hidden="false" customHeight="true" outlineLevel="0" collapsed="false">
      <c r="B30" s="28" t="s">
        <v>264</v>
      </c>
      <c r="C30" s="25"/>
      <c r="D30" s="28" t="s">
        <v>265</v>
      </c>
    </row>
    <row r="31" customFormat="false" ht="30" hidden="false" customHeight="true" outlineLevel="0" collapsed="false">
      <c r="B31" s="28" t="s">
        <v>266</v>
      </c>
      <c r="C31" s="25"/>
      <c r="D31" s="28" t="s">
        <v>267</v>
      </c>
    </row>
    <row r="32" customFormat="false" ht="30" hidden="false" customHeight="true" outlineLevel="0" collapsed="false">
      <c r="B32" s="28" t="s">
        <v>268</v>
      </c>
      <c r="C32" s="25" t="n">
        <v>2472975</v>
      </c>
      <c r="D32" s="28" t="s">
        <v>269</v>
      </c>
    </row>
    <row r="33" customFormat="false" ht="30" hidden="false" customHeight="true" outlineLevel="0" collapsed="false">
      <c r="B33" s="28" t="s">
        <v>270</v>
      </c>
      <c r="C33" s="25" t="n">
        <v>2426100</v>
      </c>
      <c r="D33" s="28" t="s">
        <v>271</v>
      </c>
    </row>
    <row r="34" customFormat="false" ht="30" hidden="false" customHeight="true" outlineLevel="0" collapsed="false">
      <c r="B34" s="28" t="s">
        <v>272</v>
      </c>
      <c r="C34" s="25" t="n">
        <v>-652025</v>
      </c>
      <c r="D34" s="28" t="s">
        <v>273</v>
      </c>
    </row>
    <row r="35" customFormat="false" ht="30" hidden="false" customHeight="true" outlineLevel="0" collapsed="false">
      <c r="B35" s="28" t="s">
        <v>274</v>
      </c>
      <c r="C35" s="25" t="n">
        <v>-1136400</v>
      </c>
      <c r="D35" s="28" t="s">
        <v>275</v>
      </c>
    </row>
    <row r="36" customFormat="false" ht="30" hidden="false" customHeight="true" outlineLevel="0" collapsed="false">
      <c r="B36" s="28" t="s">
        <v>276</v>
      </c>
      <c r="C36" s="25" t="n">
        <v>1136400</v>
      </c>
      <c r="D36" s="28" t="s">
        <v>277</v>
      </c>
    </row>
    <row r="37" customFormat="false" ht="30" hidden="false" customHeight="true" outlineLevel="0" collapsed="false">
      <c r="B37" s="28" t="s">
        <v>278</v>
      </c>
      <c r="C37" s="25"/>
      <c r="D37" s="28" t="s">
        <v>279</v>
      </c>
    </row>
    <row r="38" customFormat="false" ht="45" hidden="false" customHeight="true" outlineLevel="0" collapsed="false">
      <c r="B38" s="28" t="s">
        <v>280</v>
      </c>
      <c r="C38" s="25"/>
      <c r="D38" s="28" t="s">
        <v>281</v>
      </c>
    </row>
    <row r="39" customFormat="false" ht="30" hidden="false" customHeight="true" outlineLevel="0" collapsed="false">
      <c r="B39" s="28" t="s">
        <v>282</v>
      </c>
      <c r="C39" s="25"/>
      <c r="D39" s="28" t="s">
        <v>283</v>
      </c>
    </row>
    <row r="40" customFormat="false" ht="30" hidden="false" customHeight="true" outlineLevel="0" collapsed="false">
      <c r="B40" s="28" t="s">
        <v>284</v>
      </c>
      <c r="C40" s="25" t="n">
        <v>178500</v>
      </c>
      <c r="D40" s="28" t="s">
        <v>285</v>
      </c>
    </row>
    <row r="41" customFormat="false" ht="30" hidden="false" customHeight="true" outlineLevel="0" collapsed="false">
      <c r="B41" s="28" t="s">
        <v>286</v>
      </c>
      <c r="C41" s="25" t="n">
        <v>239500</v>
      </c>
      <c r="D41" s="28" t="s">
        <v>287</v>
      </c>
    </row>
    <row r="42" customFormat="false" ht="30" hidden="false" customHeight="true" outlineLevel="0" collapsed="false">
      <c r="B42" s="28" t="s">
        <v>288</v>
      </c>
      <c r="C42" s="25" t="n">
        <v>345700</v>
      </c>
      <c r="D42" s="28" t="s">
        <v>289</v>
      </c>
    </row>
    <row r="43" customFormat="false" ht="30" hidden="false" customHeight="true" outlineLevel="0" collapsed="false">
      <c r="B43" s="28" t="s">
        <v>290</v>
      </c>
      <c r="C43" s="25" t="n">
        <v>-321500</v>
      </c>
      <c r="D43" s="28" t="s">
        <v>291</v>
      </c>
    </row>
    <row r="44" customFormat="false" ht="30" hidden="false" customHeight="true" outlineLevel="0" collapsed="false">
      <c r="B44" s="28" t="s">
        <v>292</v>
      </c>
      <c r="C44" s="25" t="n">
        <v>-198000</v>
      </c>
      <c r="D44" s="28" t="s">
        <v>293</v>
      </c>
    </row>
    <row r="45" customFormat="false" ht="30" hidden="false" customHeight="true" outlineLevel="0" collapsed="false">
      <c r="B45" s="28" t="s">
        <v>294</v>
      </c>
      <c r="C45" s="25" t="n">
        <v>-154300</v>
      </c>
      <c r="D45" s="28" t="s">
        <v>295</v>
      </c>
    </row>
    <row r="46" customFormat="false" ht="30" hidden="false" customHeight="true" outlineLevel="0" collapsed="false">
      <c r="B46" s="28" t="s">
        <v>296</v>
      </c>
      <c r="C46" s="25"/>
      <c r="D46" s="28" t="s">
        <v>297</v>
      </c>
    </row>
    <row r="47" customFormat="false" ht="30" hidden="false" customHeight="true" outlineLevel="0" collapsed="false">
      <c r="B47" s="28" t="s">
        <v>298</v>
      </c>
      <c r="C47" s="25" t="n">
        <v>47500</v>
      </c>
      <c r="D47" s="28" t="s">
        <v>299</v>
      </c>
    </row>
    <row r="48" customFormat="false" ht="30" hidden="false" customHeight="true" outlineLevel="0" collapsed="false">
      <c r="B48" s="28" t="s">
        <v>300</v>
      </c>
      <c r="C48" s="25" t="n">
        <v>250000</v>
      </c>
      <c r="D48" s="28" t="s">
        <v>301</v>
      </c>
    </row>
    <row r="49" customFormat="false" ht="30" hidden="false" customHeight="true" outlineLevel="0" collapsed="false">
      <c r="B49" s="28" t="s">
        <v>302</v>
      </c>
      <c r="C49" s="25" t="n">
        <v>-189750</v>
      </c>
      <c r="D49" s="28" t="s">
        <v>303</v>
      </c>
    </row>
    <row r="50" customFormat="false" ht="30" hidden="false" customHeight="true" outlineLevel="0" collapsed="false">
      <c r="B50" s="28" t="s">
        <v>304</v>
      </c>
      <c r="C50" s="25" t="n">
        <v>-12250</v>
      </c>
      <c r="D50" s="28" t="s">
        <v>305</v>
      </c>
    </row>
    <row r="51" customFormat="false" ht="30" hidden="false" customHeight="true" outlineLevel="0" collapsed="false">
      <c r="B51" s="28" t="s">
        <v>306</v>
      </c>
      <c r="C51" s="25" t="n">
        <v>39</v>
      </c>
      <c r="D51" s="28" t="s">
        <v>307</v>
      </c>
    </row>
    <row r="52" customFormat="false" ht="30" hidden="false" customHeight="true" outlineLevel="0" collapsed="false">
      <c r="B52" s="28" t="s">
        <v>308</v>
      </c>
      <c r="C52" s="25"/>
      <c r="D52" s="28" t="s">
        <v>309</v>
      </c>
    </row>
    <row r="53" customFormat="false" ht="45" hidden="false" customHeight="true" outlineLevel="0" collapsed="false">
      <c r="B53" s="28" t="s">
        <v>310</v>
      </c>
      <c r="C53" s="25"/>
      <c r="D53" s="28" t="s">
        <v>311</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2026-10-22T16:59:55Z</dcterms:created>
  <dc:creator>openpyxl</dc:creator>
  <dc:description/>
  <dc:language>en-US</dc:language>
  <cp:lastModifiedBy/>
  <dcterms:modified xsi:type="dcterms:W3CDTF">2026-10-22T16:59:55Z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