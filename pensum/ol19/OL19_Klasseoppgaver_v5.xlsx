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<sst xmlns="http://schemas.openxmlformats.org/spreadsheetml/2006/main" count="188" uniqueCount="154">
  <si>
    <t xml:space="preserve">Klasseoppgaver til Organisasjon og ledelse kapittel 19: Organisasjonskultur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</si>
  <si>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</si>
  <si>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</si>
  <si>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</si>
  <si>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</si>
  <si>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</si>
  <si>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</si>
  <si>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</si>
  <si>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</si>
  <si>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hvem melder sin egen feil? (Nordlys)</t>
  </si>
  <si>
    <t xml:space="preserve">A2</t>
  </si>
  <si>
    <t xml:space="preserve">Fjell Elektro: hva lærer lærlingen om sjekklista? (Egen el-bedrift)</t>
  </si>
  <si>
    <t xml:space="preserve">B1</t>
  </si>
  <si>
    <t xml:space="preserve">Nordlys: to avdelinger som én. Hvilken kultur vinner? (Nordlys)</t>
  </si>
  <si>
    <t xml:space="preserve">B2</t>
  </si>
  <si>
    <t xml:space="preserve">Fjell Elektro: to nye, og en kultur ingen har bestemt (Egen el-bedrift)</t>
  </si>
  <si>
    <t xml:space="preserve">Læreboka</t>
  </si>
  <si>
    <t xml:space="preserve">Hjertnes, F.: Markedsføring, organisasjon og ledelse for LØM-emnet, kapittel 19.</t>
  </si>
  <si>
    <t xml:space="preserve">Appen</t>
  </si>
  <si>
    <t xml:space="preserve">Organisasjon og ledelse kap. 19 → Øv → Klasseoppgaver gir fasit per deloppgave.</t>
  </si>
  <si>
    <t xml:space="preserve">A1 · Nordlys: hvem melder sin egen feil?</t>
  </si>
  <si>
    <t xml:space="preserve">25 minutter · Helst alene. Sammen med sidemannen eller flere hvis du vil. Ark og blyant, appen (PC eller mobil) eller læreboka.</t>
  </si>
  <si>
    <t xml:space="preserve">Kort oppsummert: Organisasjonskultur er det sett av verdier, normer og virkelighetsoppfatninger som preger organisasjonen (19.1). Kulturen har stor innvirkning på hvordan de formelle oppgavene løses. En verdi er det som holdes for verdifullt, ønskelig og godt. En norm er en uskreven regel for hva som er akseptabel atferd i en bestemt situasjon; brudd fører ofte til sanksjoner. Formelle normer er regler, rutiner og prosedyrer; uformelle normer er skikk og bruk. Schein: kulturen er lært, og læres bort til nye som den riktige måten å tenke og føle på.</t>
  </si>
  <si>
    <t xml:space="preserve">Casen er lagt til 2026/2027. Nordlys meldte 32 avvik i fjor. Alle avdelingene har samme avviksskjema, samme perm for helse, miljø og sikkerhet (HMS) og samme daglige leder. I solcelle og lading ble 5 av 6 avvik meldt av den som selv hadde gjort feilen, i service 11 av 17 og i prosjekt og nybygg 2 av 9. På et nybygg la en montør om en kursfordeling fordi skapet var for lite, uten å rette kursfortegnelsen. Feilen ble oppdaget ved sluttkontrollen 11 uker senere, og omgjøringen tok 2 montører 2 dager à 8 timer. Timeprisen er 890 kr uten merverdiavgift. Montøren sier: «Jeg tenkte det ordnet seg.» Tom vil gi ham en advarsel og sende ut en påminnelse om at avvik skal meldes. Gå fram slik: regn andelen avvik som ble meldt av andre, regn hva feilen kostet, forklar forskjellen mellom avdelingene, sorter verdier og normer, og vurder Toms forslag.</t>
  </si>
  <si>
    <t xml:space="preserve">Avdeling</t>
  </si>
  <si>
    <t xml:space="preserve">Avvik meldt</t>
  </si>
  <si>
    <t xml:space="preserve">Meldt av den som gjorde feilen</t>
  </si>
  <si>
    <t xml:space="preserve">Solcelle og lading</t>
  </si>
  <si>
    <t xml:space="preserve">Service</t>
  </si>
  <si>
    <t xml:space="preserve">Prosjekt og nybygg</t>
  </si>
  <si>
    <t xml:space="preserve">= Hele Nordlys</t>
  </si>
  <si>
    <t xml:space="preserve">Omgjøringen: 2 montører × 2 dager</t>
  </si>
  <si>
    <t xml:space="preserve">8 timer per dag</t>
  </si>
  <si>
    <t xml:space="preserve">890 kr per time</t>
  </si>
  <si>
    <t xml:space="preserve">Meldt av andre, % av alle</t>
  </si>
  <si>
    <t xml:space="preserve">Gule celler med spørsmålstegn kan du fylle inn selv mens du regner.</t>
  </si>
  <si>
    <t xml:space="preserve">Deloppgave</t>
  </si>
  <si>
    <t xml:space="preserve">Ditt svar</t>
  </si>
  <si>
    <t xml:space="preserve">Sjekk</t>
  </si>
  <si>
    <t xml:space="preserve">a)  Hvor mange prosent av de 32 avvikene i fjor ble meldt av noen andre enn den som selv gjorde feilen? Én desimal.</t>
  </si>
  <si>
    <t xml:space="preserve">Formel og begrep</t>
  </si>
  <si>
    <t xml:space="preserve">Andel = avvik meldt av andre / alle avvik × 100. Begrepet bak er at kulturen avgjør hvordan de formelle oppgavene løses (Organisasjon og ledelse 19.1).</t>
  </si>
  <si>
    <t xml:space="preserve">b)  Hvor mange kroner i fakturerbar tid kostet omgjøringen? 2 montører × 2 dager × 8 timer × 890 kr.</t>
  </si>
  <si>
    <t xml:space="preserve">Tapt fakturering = antall montører × dager × timer per dag × timepris. Timeprisen er fra Nordlys' faktaark; regnestykket er casens, ikke bokas.</t>
  </si>
  <si>
    <t xml:space="preserve">c)  Alle avdelingene har samme avviksskjema, samme perm for helse, miljø og sikkerhet og samme daglige leder. Hva forklarer best at prosjekt og nybygg melder 2 av 9 egne feil og solcelle og lading 5 av 6?   A: Strukturen: avdelingene har ulike rutiner for avvik   B: Kulturen: ulike uformelle normer for hva som skjer med den som sier fra   C: Kompetansen: montørene i prosjekt er dårligere fagfolk   (skriv bokstaven)</t>
  </si>
  <si>
    <t xml:space="preserve">d)  Ja eller nei: er dette en norm, altså en regel for hva som er akseptabel atferd i en bestemt situasjon, og ikke en verdi?</t>
  </si>
  <si>
    <t xml:space="preserve">      «Vi tar ikke snarveier på sikkerhet», på veggen i basen   (Ja eller Nei)</t>
  </si>
  <si>
    <t xml:space="preserve">      «Du melder fra hvis noen andre ser det først»   (Ja eller Nei)</t>
  </si>
  <si>
    <t xml:space="preserve">      Avviksprosedyren i permen for helse, miljø og sikkerhet   (Ja eller Nei)</t>
  </si>
  <si>
    <t xml:space="preserve">      Den som kommer sist til basen, fyller bilen   (Ja eller Nei)</t>
  </si>
  <si>
    <t xml:space="preserve">      «Kunden skal ikke ringe oss to ganger om det samme»   (Ja eller Nei)</t>
  </si>
  <si>
    <t xml:space="preserve">e)  Montøren sier «Jeg tenkte det ordnet seg.» Tom vil gi ham en advarsel og sende ut en påminnelse om at avvik skal meldes. Hva sier kapitlet om de to tiltakene, og hva bør Kari gjøre i stedet? Tre setninger.</t>
  </si>
  <si>
    <t xml:space="preserve">Ingen ny formel. Bruk verdi og norm, sanksjoner (19.1) og Scheins syn på kultur som lært og som består så lenge den oppfattes som riktig (19.1).</t>
  </si>
  <si>
    <t xml:space="preserve">Hint, hvis du står fast</t>
  </si>
  <si>
    <t xml:space="preserve">Tallene</t>
  </si>
  <si>
    <t xml:space="preserve">Meldt av andre: 32 − 18 = 14 avvik, delt på 32. Omgjøringen: 2 montører × 2 dager × 8 timer, ganger timeprisen 890 kr.</t>
  </si>
  <si>
    <t xml:space="preserve">Verdi eller norm</t>
  </si>
  <si>
    <t xml:space="preserve">En verdi er det vi sier er godt. En norm er en regel for hva som er akseptabelt, og brudd gir en reaksjon. Formelle normer er regler, rutiner og prosedyrer.</t>
  </si>
  <si>
    <t xml:space="preserve">Kilde: Hjertnes, F.: Markedsføring, organisasjon og ledelse for LØM-emnet, kap. 19, avsnitt 19.1 (definisjonen, verdier og normer, formelle og uformelle normer, sanksjoner, Scheins definisjon). Avvikstallene er fra sammendraget og appen; timeprisen fra faktaarket. Nordlys Elektro AS er en konstruert casebedrift.</t>
  </si>
  <si>
    <t xml:space="preserve">Regnearket er øvingsstøtte. Det kan ikke siteres eller vises til i besvarelser, prosjektoppgaver eller eksamen; der gjelder læreboka og oppgitte primærkilder.</t>
  </si>
  <si>
    <t xml:space="preserve">A2 · Fjell Elektro: hva lærer lærlingen om sjekklista?</t>
  </si>
  <si>
    <t xml:space="preserve">Kort oppsummert: Verdier, normer og virkelighetsoppfatninger er abstrakte størrelser (19.2). De synliggjøres ved kulturelle symboler eller artefakter: arkitektur, interiør, påkledning og uniformering, logo, språk, humor og historier. Artefaktene har både en symbolsk og en instrumentell verdi: de uttrykker kulturen og forsterker den. Virkelighetsoppfatninger er det Schein kaller grunnleggende antagelser (19.1). Kulturen læres bort til nye medlemmer som den riktige måten å oppfatte, tenke og føle på; tilegnelse av kulturen er en forutsetning for vellykket integrering.</t>
  </si>
  <si>
    <t xml:space="preserve">Fjell Elektro AS er Mona Fjell og to montører. Mona er daglig leder og faglig ansvarlig. Servicebilene og arbeidstøyet har Fjells logo. Fjell har en sjekkliste som skal gås gjennom før et anlegg settes under spenning. Den ene montøren sier om den: «Den tar vi når vi har tid.» Mona har sagt til begge: «Hos oss er sikkerhet viktigst.» Hun har også sagt at «rutiner er for store bedrifter». Etter sommeren begynner Fjells første lærling, og hun skal gå sammen med montørene. Gå fram slik: plasser utsagnene i kapitlets begreper, finn de kulturelle symbolene, og vurder hva lærlingen kommer til å lære, og hva Mona bør gjøre.</t>
  </si>
  <si>
    <t xml:space="preserve">Forutsetning</t>
  </si>
  <si>
    <t xml:space="preserve">Verdi</t>
  </si>
  <si>
    <t xml:space="preserve">Folk</t>
  </si>
  <si>
    <t xml:space="preserve">Mona (eier, faglig ansvarlig) og 2 montører</t>
  </si>
  <si>
    <t xml:space="preserve">Synlig for alle</t>
  </si>
  <si>
    <t xml:space="preserve">Logo på servicebiler og arbeidstøy</t>
  </si>
  <si>
    <t xml:space="preserve">Formell rutine</t>
  </si>
  <si>
    <t xml:space="preserve">Sjekkliste før spenningssetting</t>
  </si>
  <si>
    <t xml:space="preserve">Montøren</t>
  </si>
  <si>
    <t xml:space="preserve">«Sjekklista tar vi når vi har tid»</t>
  </si>
  <si>
    <t xml:space="preserve">Mona, til begge</t>
  </si>
  <si>
    <t xml:space="preserve">«Hos oss er sikkerhet viktigst»</t>
  </si>
  <si>
    <t xml:space="preserve">Mona, en annen dag</t>
  </si>
  <si>
    <t xml:space="preserve">«Rutiner er for store bedrifter»</t>
  </si>
  <si>
    <t xml:space="preserve">Etter sommeren</t>
  </si>
  <si>
    <t xml:space="preserve">Første lærling går med montørene</t>
  </si>
  <si>
    <t xml:space="preserve">a)  Montøren sier: «Sjekklista tar vi når vi har tid.» Hva er dette i kapitlets språk?   A: En verdi: det montøren mener er godt   B: En uformell norm som går foran den formelle   C: Et kulturelt symbol (artefakt)   (skriv bokstaven)</t>
  </si>
  <si>
    <t xml:space="preserve">b)  Ja eller nei: er dette et kulturelt symbol, en artefakt, slik boka bruker ordet (19.2)?</t>
  </si>
  <si>
    <t xml:space="preserve">      Logoen på servicebilene   (Ja eller Nei)</t>
  </si>
  <si>
    <t xml:space="preserve">      Arbeidstøyet med logo   (Ja eller Nei)</t>
  </si>
  <si>
    <t xml:space="preserve">      Fagspråket montørene bruker seg imellom   (Ja eller Nei)</t>
  </si>
  <si>
    <t xml:space="preserve">      Historien om Fjells første jobb, som fortelles til nye   (Ja eller Nei)</t>
  </si>
  <si>
    <t xml:space="preserve">      Monas syn at rutiner er for store bedrifter   (Ja eller Nei)</t>
  </si>
  <si>
    <t xml:space="preserve">c)  Mona sier at «rutiner er for store bedrifter». Hvor hører dette hjemme i kapitlets begreper?   A: En formell norm   B: En virkelighetsoppfatning: det Schein kaller en grunnleggende antagelse   C: En artefakt med instrumentell verdi   (skriv bokstaven)</t>
  </si>
  <si>
    <t xml:space="preserve">d)  En student sier: «Fjell er bare tre personer. Det er for lite til å ha en organisasjonskultur.» Hva er riktig?   A: Riktig: kultur krever avdelinger og subkulturer   B: Riktig: kulturen er det som står skrevet i permen, og Fjell har ingen perm   C: Feil: en gruppe som løser utfordringer sammen over tid, utvikler antagelser som læres bort til nye   (skriv bokstaven)</t>
  </si>
  <si>
    <t xml:space="preserve">e)  Hva kommer lærlingen til å lære om sjekklista de første ukene, og hva bør Mona gjøre før hun begynner? Bruk Schein og skillet mellom verdi og norm. Tre setninger.</t>
  </si>
  <si>
    <t xml:space="preserve">Ingen ny formel. Bruk verdi og norm, virkelighetsoppfatninger og sosialisering (19.1), og artefaktene (19.2).</t>
  </si>
  <si>
    <t xml:space="preserve">Tre lag</t>
  </si>
  <si>
    <t xml:space="preserve">Det du ser og hører (logo, klær, språk, historier) er kulturelle symboler. Det som sies er godt, er verdier. Det som tas for gitt uten å sies, er virkelighetsoppfatninger.</t>
  </si>
  <si>
    <t xml:space="preserve">Lærlingen</t>
  </si>
  <si>
    <t xml:space="preserve">Schein: kulturen læres bort til nye som den riktige måten. Lærer lærlingen det som blir sagt, eller det montøren gjør når det haster?</t>
  </si>
  <si>
    <t xml:space="preserve">Kilde: Hjertnes, F.: Markedsføring, organisasjon og ledelse for LØM-emnet, kap. 19, avsnitt 19.1 (verdier, normer, virkelighetsoppfatninger, Scheins definisjon og sosialisering) og 19.2 (kulturelle symboler, symbolsk og instrumentell verdi). Fjell Elektro AS er en konstruert casebedrift.</t>
  </si>
  <si>
    <t xml:space="preserve">B1 · Nordlys: to avdelinger som én. Hvilken kultur vinner?</t>
  </si>
  <si>
    <t xml:space="preserve">Kort oppsummert: Organisasjonsstrukturen skaper subkulturer på tre måter (19.4): spesialisering, kommunikasjon og seleksjon av informasjon. Utdanning og profesjon, kjønn og alder kan også gi subkulturer. Subkulturer er i utgangspunktet ikke et problem; en subkultur blir en motkultur først når den på viktige områder står for noe vesentlig annet. Kulturell styrke er hvor stor innflytelse kulturen har; kulturell kongruens er hvor utbredt den er. Ledelsen påvirker kulturen gjennom riter og seremonier, særlig de daglige, og gjennom sosialisering av nye (19.3.2).</t>
  </si>
  <si>
    <t xml:space="preserve">Oppgaven går tilbake til tiden før Kari lyste ut stillingen som avdelingsleder for solcelle og lading (kap. 18). Nordlys har tre avdelinger. Service ledes av Tom og har 4 montører og 1 lærling. Solcelle og lading har 2 montører og ingen egen leder. Et av alternativene Kari vurderer, er å legge solcelle og lading inn under Tom i stedet for å ansette en leder. I fjor meldte service 17 avvik, 11 av dem av den som selv gjorde feilen. Solcelle og lading meldte 6, 5 av dem selv. Servicemontørene sier: «Kunden skal være fornøyd før du kjører.» De to på solcelle sier: «Vi finner ut av det sammen.» Tom sier om dem: «De gjør det på sin egen måte. Det er en motkultur.» Tom har morgenmøte med service hver dag. Gå fram slik: regn hva den nye avdelingen hadde meldt med fjorårets tall, regn hvor stor del av den nye avdelingen som kommer fra solcelle, sorter hvordan strukturen skaper subkulturer, vurder Toms påstand, og gi Kari en anbefaling før hun bestemmer seg.</t>
  </si>
  <si>
    <t xml:space="preserve">Avdeling i fjor</t>
  </si>
  <si>
    <t xml:space="preserve">Avvik</t>
  </si>
  <si>
    <t xml:space="preserve">Egne</t>
  </si>
  <si>
    <t xml:space="preserve">Service (Tom): 4 + 1 lærling</t>
  </si>
  <si>
    <t xml:space="preserve">= Ny avdeling under Tom</t>
  </si>
  <si>
    <t xml:space="preserve">Egne i ny avdeling, %</t>
  </si>
  <si>
    <t xml:space="preserve">Fra solcelle, % av de 7</t>
  </si>
  <si>
    <t xml:space="preserve">a)  Hvis den nye avdelingen hadde meldt som de to gjorde i fjor: hvor mange prosent av avvikene ville vært meldt av den som selv gjorde feilen? (11 + 5) / (17 + 6). Én desimal.</t>
  </si>
  <si>
    <t xml:space="preserve">Andel egne avvik = egne avvik / alle avvik × 100. Tallet forutsetter at begge gruppene beholder sin måte å melde på; det er casens regnestykke, ikke bokas.</t>
  </si>
  <si>
    <t xml:space="preserve">b)  Den nye avdelingen får 7 utførende under Tom. Hvor mange prosent av dem kommer fra solcelle og lading? Én desimal.</t>
  </si>
  <si>
    <t xml:space="preserve">Andel = antall fra gruppen / alle i avdelingen × 100. Begrepet bak er kulturell kongruens: hvor utbredt en bestemt kultur er (Organisasjon og ledelse 19.4).</t>
  </si>
  <si>
    <t xml:space="preserve">c)  Ja eller nei: er dette en av de tre måtene organisasjonsstrukturen skaper subkulturer på (19.4)?</t>
  </si>
  <si>
    <t xml:space="preserve">      Solcellemontørene ser bare egne anlegg og lite av servicejobbene   (Ja eller Nei)</t>
  </si>
  <si>
    <t xml:space="preserve">      Service snakker om kunder og kjøretid, solcelle om vekselrettere og produksjon   (Ja eller Nei)</t>
  </si>
  <si>
    <t xml:space="preserve">      Hver avdeling legger bare merke til informasjon som er nyttig for seg   (Ja eller Nei)</t>
  </si>
  <si>
    <t xml:space="preserve">      Alle avdelingene har samme perm for helse, miljø og sikkerhet   (Ja eller Nei)</t>
  </si>
  <si>
    <t xml:space="preserve">      Alle har arbeidstøy med samme logo   (Ja eller Nei)</t>
  </si>
  <si>
    <t xml:space="preserve">d)  Tom sier om de to solcellemontørene: «De gjør det på sin egen måte. Det er en motkultur.» Har han rett?   A: Ja: alt som avviker fra flertallet i avdelingen, er motkultur   B: Ja: når kongruensen blir lav, er det per definisjon motkultur   C: Nei: en subkultur blir motkultur først når den står for noe vesentlig annet på viktige områder; de to støtter verdien om å melde fra   (skriv bokstaven)</t>
  </si>
  <si>
    <t xml:space="preserve">e)  Hvis Kari velger sammenslåingen: hvordan bør hun og Tom gjennomføre den, slik at meldekulturen fra solcelle og lading ikke forsvinner? Og hva taler for å ansette en egen leder i stedet? Bruk minst ett tall og to av virkemidlene fra kapitlet. Tre–fire setninger.</t>
  </si>
  <si>
    <t xml:space="preserve">Ingen ny formel. Bruk ledelsens bevisste kulturbygging med riter og sosialisering (19.3.2), subkultur og motkultur (19.4) og Scheins syn på kultur som lært (19.1).</t>
  </si>
  <si>
    <t xml:space="preserve">Egne i ny avdeling: (11 + 5) delt på (17 + 6). Fra solcelle: 2 delt på 7. Svar i prosent med én desimal.</t>
  </si>
  <si>
    <t xml:space="preserve">Subkultur eller motkultur</t>
  </si>
  <si>
    <t xml:space="preserve">Boka gir tre måter strukturen skaper subkulturer på. En motkultur står for noe vesentlig annet på viktige områder. Hva står de to på solcelle for?</t>
  </si>
  <si>
    <t xml:space="preserve">Kilde: Hjertnes, F.: Markedsføring, organisasjon og ledelse for LØM-emnet, kap. 19, avsnitt 19.3.2 (ledelsens bevisste kulturbygging, riter og sosialisering), 19.4 (kulturell styrke og kongruens, subkulturer, tre måter strukturen skaper subkulturer, motkultur) og 19.1 (Schein: kulturen består så lenge den oppfattes som riktig). Avvikstallene er fra sammendraget og appen. Nordlys Elektro AS er en konstruert casebedrift.</t>
  </si>
  <si>
    <t xml:space="preserve">B2 · Fjell Elektro: to nye, og en kultur ingen har bestemt</t>
  </si>
  <si>
    <t xml:space="preserve">Kort oppsummert: Organisasjonskultur formes av tre faktorer (19.3): den lokale og nasjonale kulturen, eiernes eller ledelsens forsøk på å skape en bestemt kultur, og markedet. Ingen leder kan kontrollere alle faktorene, men lederen er endringsagent og kontrollerer riter og seremonier, særlig de daglige, sosialiseringen av nye og rekrutteringen (19.3.2). En nyansatt er ikke en tabula rasa (19.3.1). Sterke kulturer kan gi gruppetenkning (19.5): konsensus framfor alt; deltagerne er sjelden klar over det mens det skjer.</t>
  </si>
  <si>
    <t xml:space="preserve">Fjell Elektro AS er i dag Mona Fjell og to montører. Etter sommeren begynner en lærling og en tredje montør, som kommer fra en større installasjonsbedrift. Jobbene fordeles over kaffen hver morgen. Fjells kunder er boligeiere og små næringskunder i Oslo øst, og de sier fra samme dag hvis de ikke er fornøyde. Mona og de to montørene har aldri meldt et avvik, og de er nesten alltid raskt enige på morgenmøtet. Mona sier: «Vi tre er alltid enige. Vi har en sterk kultur.» Gå fram slik: plasser morgenmøtet i kapitlets begreper, sorter hva Mona kan styre, regn hvor stor del av Fjell som blir ny, ta stilling til Monas utsagn, og si hva hun bør gjøre de første ukene.</t>
  </si>
  <si>
    <t xml:space="preserve">I dag</t>
  </si>
  <si>
    <t xml:space="preserve">Mona og 2 montører (3 personer)</t>
  </si>
  <si>
    <t xml:space="preserve">+ 1 lærling og 1 montør = 5 personer</t>
  </si>
  <si>
    <t xml:space="preserve">Den nye montøren</t>
  </si>
  <si>
    <t xml:space="preserve">Kommer fra en større installasjonsbedrift</t>
  </si>
  <si>
    <t xml:space="preserve">Hver morgen</t>
  </si>
  <si>
    <t xml:space="preserve">Jobbene fordeles over kaffen</t>
  </si>
  <si>
    <t xml:space="preserve">Kundene</t>
  </si>
  <si>
    <t xml:space="preserve">Boligeiere og små næringskunder; sier fra samme dag</t>
  </si>
  <si>
    <t xml:space="preserve">Ingen, siden starten</t>
  </si>
  <si>
    <t xml:space="preserve">Mona</t>
  </si>
  <si>
    <t xml:space="preserve">«Vi tre er alltid enige. Vi har en sterk kultur.»</t>
  </si>
  <si>
    <t xml:space="preserve">a)  Jobbene fordeles over kaffen hver morgen, med Mona til stede. Hva er det i kapitlets språk?   A: En formell norm, som en stillingsinstruks   B: En daglig rite, som ledelsen kan utforme og bruke   C: En subkultur blant montørene   (skriv bokstaven)</t>
  </si>
  <si>
    <t xml:space="preserve">b)  Ja eller nei: er dette noe Mona selv kan styre, som en del av ledelsens bevisste kulturbygging (19.3.2)?</t>
  </si>
  <si>
    <t xml:space="preserve">      Hvordan lærlingen tas imot den første dagen   (Ja eller Nei)</t>
  </si>
  <si>
    <t xml:space="preserve">      Hvem hun ansetter neste gang   (Ja eller Nei)</t>
  </si>
  <si>
    <t xml:space="preserve">      Hva som tas opp på morgenmøtet   (Ja eller Nei)</t>
  </si>
  <si>
    <t xml:space="preserve">      At kundene sier fra samme dag   (Ja eller Nei)</t>
  </si>
  <si>
    <t xml:space="preserve">      Vanene den nye montøren tar med fra forrige jobb   (Ja eller Nei)</t>
  </si>
  <si>
    <t xml:space="preserve">c)  Hvor mange prosent av de fem i Fjell er nye etter sommeren?</t>
  </si>
  <si>
    <t xml:space="preserve">Andel nye = antall nye / alle × 100. Begrepet bak er sosialisering av nye medarbeidere (Organisasjon og ledelse 19.1 og 19.3.2).</t>
  </si>
  <si>
    <t xml:space="preserve">d)  Mona sier: «Vi tre er alltid enige. Vi har en sterk kultur.» Hva sier kapitlet om det?   A: Enighet viser at kulturen er sterk og trygg   B: Rask enighet kan være gruppetenkning, som lettere oppstår i sterke kulturer og sjelden merkes mens det skjer   C: Gruppetenkning finnes bare i store organisasjoner   (skriv bokstaven)</t>
  </si>
  <si>
    <t xml:space="preserve">e)  Hva bør Mona gjøre de første ukene etter sommeren, slik at de to nye lærer de riktige normene og tør å si imot? Bruk minst to av virkemidlene fra kapitlet. Tre setninger.</t>
  </si>
  <si>
    <t xml:space="preserve">Ingen ny formel. Bruk riter og sosialisering (19.3.2), tabula rasa (19.3.1) og gruppetenkning (19.5).</t>
  </si>
  <si>
    <t xml:space="preserve">Hva Mona styrer</t>
  </si>
  <si>
    <t xml:space="preserve">Tre kilder til kultur: nasjonal kultur, ledelsen og markedet. Bare den midterste kan Mona styre: riter, sosialisering og rekruttering. Nye: 2 av 5.</t>
  </si>
  <si>
    <t xml:space="preserve">Alltid enige</t>
  </si>
  <si>
    <t xml:space="preserve">Gruppetenkning setter konsensus framfor alt, oppstår lettere i sterke kulturer og merkes sjelden mens det skjer. Hvem på morgenmøtet tør å si imot?</t>
  </si>
  <si>
    <t xml:space="preserve">Kilde: Hjertnes, F.: Markedsføring, organisasjon og ledelse for LØM-emnet, kap. 19, avsnitt 19.3.1 (nasjonal kultur, tabula rasa), 19.3.2 (ledelsens bevisste kulturbygging: riter, sosialisering, rekruttering), 19.3.3 (markedet) og 19.5 (sterk kultur og gruppetenkning).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</si>
</sst>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tru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123.75" hidden="false" customHeight="true" outlineLevel="0" collapsed="false">
      <c r="A5" s="7" t="s">
        <v>23</v>
      </c>
      <c r="B5" s="7"/>
      <c r="C5" s="7"/>
      <c r="D5" s="7"/>
      <c r="E5" s="7"/>
      <c r="F5" s="7"/>
      <c r="G5" s="7"/>
    </row>
    <row r="7" customFormat="false" ht="39.55" hidden="false" customHeight="false" outlineLevel="0" collapsed="false">
      <c r="A7" s="8" t="s">
        <v>24</v>
      </c>
      <c r="B7" s="9" t="s">
        <v>25</v>
      </c>
      <c r="C7" s="9" t="s">
        <v>26</v>
      </c>
    </row>
    <row r="8" customFormat="false" ht="15" hidden="false" customHeight="false" outlineLevel="0" collapsed="false">
      <c r="A8" s="10" t="s">
        <v>27</v>
      </c>
      <c r="B8" s="11" t="n">
        <v>6</v>
      </c>
      <c r="C8" s="11" t="n">
        <v>5</v>
      </c>
    </row>
    <row r="9" customFormat="false" ht="15" hidden="false" customHeight="false" outlineLevel="0" collapsed="false">
      <c r="A9" s="12" t="s">
        <v>28</v>
      </c>
      <c r="B9" s="13" t="n">
        <v>17</v>
      </c>
      <c r="C9" s="13" t="n">
        <v>11</v>
      </c>
    </row>
    <row r="10" customFormat="false" ht="15" hidden="false" customHeight="false" outlineLevel="0" collapsed="false">
      <c r="A10" s="10" t="s">
        <v>29</v>
      </c>
      <c r="B10" s="11" t="n">
        <v>9</v>
      </c>
      <c r="C10" s="11" t="n">
        <v>2</v>
      </c>
    </row>
    <row r="11" customFormat="false" ht="15" hidden="false" customHeight="false" outlineLevel="0" collapsed="false">
      <c r="A11" s="14" t="s">
        <v>30</v>
      </c>
      <c r="B11" s="15" t="n">
        <v>32</v>
      </c>
      <c r="C11" s="15" t="n">
        <v>18</v>
      </c>
    </row>
    <row r="12" customFormat="false" ht="15" hidden="false" customHeight="false" outlineLevel="0" collapsed="false">
      <c r="A12" s="10" t="s">
        <v>31</v>
      </c>
      <c r="B12" s="16" t="s">
        <v>32</v>
      </c>
      <c r="C12" s="16" t="s">
        <v>33</v>
      </c>
    </row>
    <row r="13" customFormat="false" ht="15" hidden="false" customHeight="false" outlineLevel="0" collapsed="false">
      <c r="A13" s="12" t="s">
        <v>34</v>
      </c>
      <c r="B13" s="17"/>
      <c r="C13" s="18"/>
    </row>
    <row r="14" customFormat="false" ht="15" hidden="false" customHeight="true" outlineLevel="0" collapsed="false">
      <c r="A14" s="6" t="s">
        <v>35</v>
      </c>
      <c r="B14" s="6"/>
      <c r="C14" s="6"/>
      <c r="D14" s="6"/>
      <c r="E14" s="6"/>
      <c r="F14" s="6"/>
      <c r="G14" s="6"/>
    </row>
    <row r="16" customFormat="false" ht="15" hidden="false" customHeight="false" outlineLevel="0" collapsed="false">
      <c r="A16" s="19" t="s">
        <v>36</v>
      </c>
      <c r="B16" s="19"/>
      <c r="C16" s="19"/>
      <c r="D16" s="19"/>
      <c r="E16" s="19"/>
      <c r="F16" s="19" t="s">
        <v>37</v>
      </c>
      <c r="G16" s="19" t="s">
        <v>38</v>
      </c>
    </row>
    <row r="17" customFormat="false" ht="33.75" hidden="false" customHeight="true" outlineLevel="0" collapsed="false">
      <c r="A17" s="7" t="s">
        <v>39</v>
      </c>
      <c r="B17" s="7"/>
      <c r="C17" s="7"/>
      <c r="D17" s="7"/>
      <c r="E17" s="7"/>
      <c r="F17" s="18"/>
      <c r="G17" s="20" t="str">
        <f aca="false">IF(F17="","",IF(ABS(F17-(43.8))&lt;=0.1,"Riktig","Prøv igjen"))</f>
        <v/>
      </c>
    </row>
    <row r="18" customFormat="false" ht="30" hidden="false" customHeight="true" outlineLevel="0" collapsed="false">
      <c r="A18" s="21" t="s">
        <v>40</v>
      </c>
      <c r="B18" s="22" t="s">
        <v>41</v>
      </c>
      <c r="C18" s="22"/>
      <c r="D18" s="22"/>
      <c r="E18" s="22"/>
      <c r="F18" s="22"/>
      <c r="G18" s="22"/>
    </row>
    <row r="20" customFormat="false" ht="33.75" hidden="false" customHeight="true" outlineLevel="0" collapsed="false">
      <c r="A20" s="7" t="s">
        <v>42</v>
      </c>
      <c r="B20" s="7"/>
      <c r="C20" s="7"/>
      <c r="D20" s="7"/>
      <c r="E20" s="7"/>
      <c r="F20" s="18"/>
      <c r="G20" s="20" t="str">
        <f aca="false">IF(F20="","",IF(ABS(F20-(28480))&lt;=1,"Riktig","Prøv igjen"))</f>
        <v/>
      </c>
    </row>
    <row r="21" customFormat="false" ht="30" hidden="false" customHeight="true" outlineLevel="0" collapsed="false">
      <c r="A21" s="21" t="s">
        <v>40</v>
      </c>
      <c r="B21" s="22" t="s">
        <v>43</v>
      </c>
      <c r="C21" s="22"/>
      <c r="D21" s="22"/>
      <c r="E21" s="22"/>
      <c r="F21" s="22"/>
      <c r="G21" s="22"/>
    </row>
    <row r="23" customFormat="false" ht="78.75" hidden="false" customHeight="true" outlineLevel="0" collapsed="false">
      <c r="A23" s="7" t="s">
        <v>44</v>
      </c>
      <c r="B23" s="7"/>
      <c r="C23" s="7"/>
      <c r="D23" s="7"/>
      <c r="E23" s="7"/>
      <c r="F23" s="23"/>
      <c r="G23" s="20" t="str">
        <f aca="false">IF(F23="","",IF(UPPER(TRIM(F23))="B","Riktig","Prøv igjen"))</f>
        <v/>
      </c>
    </row>
    <row r="24" customFormat="false" ht="33.75" hidden="false" customHeight="true" outlineLevel="0" collapsed="false">
      <c r="A24" s="7" t="s">
        <v>45</v>
      </c>
      <c r="B24" s="7"/>
      <c r="C24" s="7"/>
      <c r="D24" s="7"/>
      <c r="E24" s="7"/>
    </row>
    <row r="25" customFormat="false" ht="15" hidden="false" customHeight="true" outlineLevel="0" collapsed="false">
      <c r="A25" s="7" t="s">
        <v>46</v>
      </c>
      <c r="B25" s="7"/>
      <c r="C25" s="7"/>
      <c r="D25" s="7"/>
      <c r="E25" s="7"/>
      <c r="F25" s="23"/>
      <c r="G25" s="20" t="str">
        <f aca="false">IF(F25="","",IF(UPPER(TRIM(F25))="NEI","Riktig","Prøv igjen"))</f>
        <v/>
      </c>
    </row>
    <row r="26" customFormat="false" ht="15" hidden="false" customHeight="true" outlineLevel="0" collapsed="false">
      <c r="A26" s="7" t="s">
        <v>47</v>
      </c>
      <c r="B26" s="7"/>
      <c r="C26" s="7"/>
      <c r="D26" s="7"/>
      <c r="E26" s="7"/>
      <c r="F26" s="23"/>
      <c r="G26" s="20" t="str">
        <f aca="false">IF(F26="","",IF(UPPER(TRIM(F26))="JA","Riktig","Prøv igjen"))</f>
        <v/>
      </c>
    </row>
    <row r="27" customFormat="false" ht="15" hidden="false" customHeight="true" outlineLevel="0" collapsed="false">
      <c r="A27" s="7" t="s">
        <v>48</v>
      </c>
      <c r="B27" s="7"/>
      <c r="C27" s="7"/>
      <c r="D27" s="7"/>
      <c r="E27" s="7"/>
      <c r="F27" s="23"/>
      <c r="G27" s="20" t="str">
        <f aca="false">IF(F27="","",IF(UPPER(TRIM(F27))="JA","Riktig","Prøv igjen"))</f>
        <v/>
      </c>
    </row>
    <row r="28" customFormat="false" ht="15" hidden="false" customHeight="true" outlineLevel="0" collapsed="false">
      <c r="A28" s="7" t="s">
        <v>49</v>
      </c>
      <c r="B28" s="7"/>
      <c r="C28" s="7"/>
      <c r="D28" s="7"/>
      <c r="E28" s="7"/>
      <c r="F28" s="23"/>
      <c r="G28" s="20" t="str">
        <f aca="false">IF(F28="","",IF(UPPER(TRIM(F28))="JA","Riktig","Prøv igjen"))</f>
        <v/>
      </c>
    </row>
    <row r="29" customFormat="false" ht="15" hidden="false" customHeight="true" outlineLevel="0" collapsed="false">
      <c r="A29" s="7" t="s">
        <v>50</v>
      </c>
      <c r="B29" s="7"/>
      <c r="C29" s="7"/>
      <c r="D29" s="7"/>
      <c r="E29" s="7"/>
      <c r="F29" s="23"/>
      <c r="G29" s="20" t="str">
        <f aca="false">IF(F29="","",IF(UPPER(TRIM(F29))="NEI","Riktig","Prøv igjen"))</f>
        <v/>
      </c>
    </row>
    <row r="30" customFormat="false" ht="48.75" hidden="false" customHeight="true" outlineLevel="0" collapsed="false">
      <c r="A30" s="7" t="s">
        <v>51</v>
      </c>
      <c r="B30" s="7"/>
      <c r="C30" s="7"/>
      <c r="D30" s="7"/>
      <c r="E30" s="7"/>
    </row>
    <row r="31" customFormat="false" ht="15" hidden="false" customHeight="false" outlineLevel="0" collapsed="false">
      <c r="A31" s="24"/>
      <c r="B31" s="24"/>
      <c r="C31" s="24"/>
      <c r="D31" s="24"/>
      <c r="E31" s="24"/>
      <c r="F31" s="24"/>
      <c r="G31" s="24"/>
    </row>
    <row r="32" customFormat="false" ht="15" hidden="false" customHeight="false" outlineLevel="0" collapsed="false">
      <c r="A32" s="24"/>
      <c r="B32" s="24"/>
      <c r="C32" s="24"/>
      <c r="D32" s="24"/>
      <c r="E32" s="24"/>
      <c r="F32" s="24"/>
      <c r="G32" s="24"/>
    </row>
    <row r="33" customFormat="false" ht="15" hidden="false" customHeight="false" outlineLevel="0" collapsed="false">
      <c r="A33" s="24"/>
      <c r="B33" s="24"/>
      <c r="C33" s="24"/>
      <c r="D33" s="24"/>
      <c r="E33" s="24"/>
      <c r="F33" s="24"/>
      <c r="G33" s="24"/>
    </row>
    <row r="34" customFormat="false" ht="30" hidden="false" customHeight="true" outlineLevel="0" collapsed="false">
      <c r="A34" s="21" t="s">
        <v>40</v>
      </c>
      <c r="B34" s="22" t="s">
        <v>52</v>
      </c>
      <c r="C34" s="22"/>
      <c r="D34" s="22"/>
      <c r="E34" s="22"/>
      <c r="F34" s="22"/>
      <c r="G34" s="22"/>
    </row>
    <row r="37" customFormat="false" ht="15" hidden="false" customHeight="false" outlineLevel="0" collapsed="false">
      <c r="A37" s="25" t="s">
        <v>53</v>
      </c>
      <c r="B37" s="25"/>
      <c r="C37" s="25"/>
      <c r="D37" s="25"/>
      <c r="E37" s="25"/>
      <c r="F37" s="25"/>
      <c r="G37" s="25"/>
    </row>
    <row r="38" customFormat="false" ht="30" hidden="false" customHeight="true" outlineLevel="0" collapsed="false">
      <c r="A38" s="26" t="s">
        <v>54</v>
      </c>
      <c r="B38" s="27" t="s">
        <v>55</v>
      </c>
      <c r="C38" s="27"/>
      <c r="D38" s="27"/>
      <c r="E38" s="27"/>
      <c r="F38" s="27"/>
      <c r="G38" s="27"/>
    </row>
    <row r="39" customFormat="false" ht="30" hidden="false" customHeight="true" outlineLevel="0" collapsed="false">
      <c r="A39" s="26" t="s">
        <v>56</v>
      </c>
      <c r="B39" s="27" t="s">
        <v>57</v>
      </c>
      <c r="C39" s="27"/>
      <c r="D39" s="27"/>
      <c r="E39" s="27"/>
      <c r="F39" s="27"/>
      <c r="G39" s="27"/>
    </row>
    <row r="41" customFormat="false" ht="48.75" hidden="false" customHeight="true" outlineLevel="0" collapsed="false">
      <c r="A41" s="6" t="s">
        <v>58</v>
      </c>
      <c r="B41" s="6"/>
      <c r="C41" s="6"/>
      <c r="D41" s="6"/>
      <c r="E41" s="6"/>
      <c r="F41" s="6"/>
      <c r="G41" s="6"/>
    </row>
    <row r="42" customFormat="false" ht="15" hidden="false" customHeight="true" outlineLevel="0" collapsed="false">
      <c r="A42" s="6" t="s">
        <v>59</v>
      </c>
      <c r="B42" s="6"/>
      <c r="C42" s="6"/>
      <c r="D42" s="6"/>
      <c r="E42" s="6"/>
      <c r="F42" s="6"/>
      <c r="G42" s="6"/>
    </row>
  </sheetData>
  <mergeCells count="23">
    <mergeCell ref="A4:G4"/>
    <mergeCell ref="A5:G5"/>
    <mergeCell ref="A14:G14"/>
    <mergeCell ref="A16:E16"/>
    <mergeCell ref="A17:E17"/>
    <mergeCell ref="B18:G18"/>
    <mergeCell ref="A20:E20"/>
    <mergeCell ref="B21:G21"/>
    <mergeCell ref="A23:E23"/>
    <mergeCell ref="A24:E24"/>
    <mergeCell ref="A25:E25"/>
    <mergeCell ref="A26:E26"/>
    <mergeCell ref="A27:E27"/>
    <mergeCell ref="A28:E28"/>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60</v>
      </c>
    </row>
    <row r="2" customFormat="false" ht="15" hidden="false" customHeight="false" outlineLevel="0" collapsed="false">
      <c r="A2" s="2" t="s">
        <v>21</v>
      </c>
    </row>
    <row r="4" customFormat="false" ht="93.75" hidden="false" customHeight="true" outlineLevel="0" collapsed="false">
      <c r="A4" s="6" t="s">
        <v>61</v>
      </c>
      <c r="B4" s="6"/>
      <c r="C4" s="6"/>
      <c r="D4" s="6"/>
      <c r="E4" s="6"/>
      <c r="F4" s="6"/>
      <c r="G4" s="6"/>
    </row>
    <row r="5" customFormat="false" ht="93.75" hidden="false" customHeight="true" outlineLevel="0" collapsed="false">
      <c r="A5" s="7" t="s">
        <v>62</v>
      </c>
      <c r="B5" s="7"/>
      <c r="C5" s="7"/>
      <c r="D5" s="7"/>
      <c r="E5" s="7"/>
      <c r="F5" s="7"/>
      <c r="G5" s="7"/>
    </row>
    <row r="7" customFormat="false" ht="15" hidden="false" customHeight="false" outlineLevel="0" collapsed="false">
      <c r="A7" s="19" t="s">
        <v>63</v>
      </c>
      <c r="B7" s="19" t="s">
        <v>64</v>
      </c>
      <c r="C7" s="19"/>
      <c r="D7" s="19"/>
      <c r="E7" s="19"/>
      <c r="F7" s="19"/>
      <c r="G7" s="19"/>
    </row>
    <row r="8" customFormat="false" ht="18.75" hidden="false" customHeight="true" outlineLevel="0" collapsed="false">
      <c r="A8" s="28" t="s">
        <v>65</v>
      </c>
      <c r="B8" s="7" t="s">
        <v>66</v>
      </c>
      <c r="C8" s="7"/>
      <c r="D8" s="7"/>
      <c r="E8" s="7"/>
      <c r="F8" s="7"/>
      <c r="G8" s="7"/>
    </row>
    <row r="9" customFormat="false" ht="18.75" hidden="false" customHeight="true" outlineLevel="0" collapsed="false">
      <c r="A9" s="28" t="s">
        <v>67</v>
      </c>
      <c r="B9" s="7" t="s">
        <v>68</v>
      </c>
      <c r="C9" s="7"/>
      <c r="D9" s="7"/>
      <c r="E9" s="7"/>
      <c r="F9" s="7"/>
      <c r="G9" s="7"/>
    </row>
    <row r="10" customFormat="false" ht="18.75" hidden="false" customHeight="true" outlineLevel="0" collapsed="false">
      <c r="A10" s="28" t="s">
        <v>69</v>
      </c>
      <c r="B10" s="7" t="s">
        <v>70</v>
      </c>
      <c r="C10" s="7"/>
      <c r="D10" s="7"/>
      <c r="E10" s="7"/>
      <c r="F10" s="7"/>
      <c r="G10" s="7"/>
    </row>
    <row r="11" customFormat="false" ht="18.75" hidden="false" customHeight="true" outlineLevel="0" collapsed="false">
      <c r="A11" s="28" t="s">
        <v>71</v>
      </c>
      <c r="B11" s="7" t="s">
        <v>72</v>
      </c>
      <c r="C11" s="7"/>
      <c r="D11" s="7"/>
      <c r="E11" s="7"/>
      <c r="F11" s="7"/>
      <c r="G11" s="7"/>
    </row>
    <row r="12" customFormat="false" ht="18.75" hidden="false" customHeight="true" outlineLevel="0" collapsed="false">
      <c r="A12" s="28" t="s">
        <v>73</v>
      </c>
      <c r="B12" s="7" t="s">
        <v>74</v>
      </c>
      <c r="C12" s="7"/>
      <c r="D12" s="7"/>
      <c r="E12" s="7"/>
      <c r="F12" s="7"/>
      <c r="G12" s="7"/>
    </row>
    <row r="13" customFormat="false" ht="18.75" hidden="false" customHeight="true" outlineLevel="0" collapsed="false">
      <c r="A13" s="28" t="s">
        <v>75</v>
      </c>
      <c r="B13" s="7" t="s">
        <v>76</v>
      </c>
      <c r="C13" s="7"/>
      <c r="D13" s="7"/>
      <c r="E13" s="7"/>
      <c r="F13" s="7"/>
      <c r="G13" s="7"/>
    </row>
    <row r="14" customFormat="false" ht="18.75" hidden="false" customHeight="true" outlineLevel="0" collapsed="false">
      <c r="A14" s="28" t="s">
        <v>77</v>
      </c>
      <c r="B14" s="7" t="s">
        <v>78</v>
      </c>
      <c r="C14" s="7"/>
      <c r="D14" s="7"/>
      <c r="E14" s="7"/>
      <c r="F14" s="7"/>
      <c r="G14" s="7"/>
    </row>
    <row r="16" customFormat="false" ht="15" hidden="false" customHeight="false" outlineLevel="0" collapsed="false">
      <c r="A16" s="19" t="s">
        <v>36</v>
      </c>
      <c r="B16" s="19"/>
      <c r="C16" s="19"/>
      <c r="D16" s="19"/>
      <c r="E16" s="19"/>
      <c r="F16" s="19" t="s">
        <v>37</v>
      </c>
      <c r="G16" s="19" t="s">
        <v>38</v>
      </c>
    </row>
    <row r="17" customFormat="false" ht="48.75" hidden="false" customHeight="true" outlineLevel="0" collapsed="false">
      <c r="A17" s="7" t="s">
        <v>79</v>
      </c>
      <c r="B17" s="7"/>
      <c r="C17" s="7"/>
      <c r="D17" s="7"/>
      <c r="E17" s="7"/>
      <c r="F17" s="23"/>
      <c r="G17" s="20" t="str">
        <f aca="false">IF(F17="","",IF(UPPER(TRIM(F17))="B","Riktig","Prøv igjen"))</f>
        <v/>
      </c>
    </row>
    <row r="18" customFormat="false" ht="18.75" hidden="false" customHeight="true" outlineLevel="0" collapsed="false">
      <c r="A18" s="7" t="s">
        <v>80</v>
      </c>
      <c r="B18" s="7"/>
      <c r="C18" s="7"/>
      <c r="D18" s="7"/>
      <c r="E18" s="7"/>
    </row>
    <row r="19" customFormat="false" ht="15" hidden="false" customHeight="true" outlineLevel="0" collapsed="false">
      <c r="A19" s="7" t="s">
        <v>81</v>
      </c>
      <c r="B19" s="7"/>
      <c r="C19" s="7"/>
      <c r="D19" s="7"/>
      <c r="E19" s="7"/>
      <c r="F19" s="23"/>
      <c r="G19" s="20" t="str">
        <f aca="false">IF(F19="","",IF(UPPER(TRIM(F19))="JA","Riktig","Prøv igjen"))</f>
        <v/>
      </c>
    </row>
    <row r="20" customFormat="false" ht="15" hidden="false" customHeight="true" outlineLevel="0" collapsed="false">
      <c r="A20" s="7" t="s">
        <v>82</v>
      </c>
      <c r="B20" s="7"/>
      <c r="C20" s="7"/>
      <c r="D20" s="7"/>
      <c r="E20" s="7"/>
      <c r="F20" s="23"/>
      <c r="G20" s="20" t="str">
        <f aca="false">IF(F20="","",IF(UPPER(TRIM(F20))="JA","Riktig","Prøv igjen"))</f>
        <v/>
      </c>
    </row>
    <row r="21" customFormat="false" ht="15" hidden="false" customHeight="true" outlineLevel="0" collapsed="false">
      <c r="A21" s="7" t="s">
        <v>83</v>
      </c>
      <c r="B21" s="7"/>
      <c r="C21" s="7"/>
      <c r="D21" s="7"/>
      <c r="E21" s="7"/>
      <c r="F21" s="23"/>
      <c r="G21" s="20" t="str">
        <f aca="false">IF(F21="","",IF(UPPER(TRIM(F21))="JA","Riktig","Prøv igjen"))</f>
        <v/>
      </c>
    </row>
    <row r="22" customFormat="false" ht="15" hidden="false" customHeight="true" outlineLevel="0" collapsed="false">
      <c r="A22" s="7" t="s">
        <v>84</v>
      </c>
      <c r="B22" s="7"/>
      <c r="C22" s="7"/>
      <c r="D22" s="7"/>
      <c r="E22" s="7"/>
      <c r="F22" s="23"/>
      <c r="G22" s="20" t="str">
        <f aca="false">IF(F22="","",IF(UPPER(TRIM(F22))="JA","Riktig","Prøv igjen"))</f>
        <v/>
      </c>
    </row>
    <row r="23" customFormat="false" ht="15" hidden="false" customHeight="true" outlineLevel="0" collapsed="false">
      <c r="A23" s="7" t="s">
        <v>85</v>
      </c>
      <c r="B23" s="7"/>
      <c r="C23" s="7"/>
      <c r="D23" s="7"/>
      <c r="E23" s="7"/>
      <c r="F23" s="23"/>
      <c r="G23" s="20" t="str">
        <f aca="false">IF(F23="","",IF(UPPER(TRIM(F23))="NEI","Riktig","Prøv igjen"))</f>
        <v/>
      </c>
    </row>
    <row r="24" customFormat="false" ht="48.75" hidden="false" customHeight="true" outlineLevel="0" collapsed="false">
      <c r="A24" s="7" t="s">
        <v>86</v>
      </c>
      <c r="B24" s="7"/>
      <c r="C24" s="7"/>
      <c r="D24" s="7"/>
      <c r="E24" s="7"/>
      <c r="F24" s="23"/>
      <c r="G24" s="20" t="str">
        <f aca="false">IF(F24="","",IF(UPPER(TRIM(F24))="B","Riktig","Prøv igjen"))</f>
        <v/>
      </c>
    </row>
    <row r="25" customFormat="false" ht="63.75" hidden="false" customHeight="true" outlineLevel="0" collapsed="false">
      <c r="A25" s="7" t="s">
        <v>87</v>
      </c>
      <c r="B25" s="7"/>
      <c r="C25" s="7"/>
      <c r="D25" s="7"/>
      <c r="E25" s="7"/>
      <c r="F25" s="23"/>
      <c r="G25" s="20" t="str">
        <f aca="false">IF(F25="","",IF(UPPER(TRIM(F25))="C","Riktig","Prøv igjen"))</f>
        <v/>
      </c>
    </row>
    <row r="26" customFormat="false" ht="33.75" hidden="false" customHeight="true" outlineLevel="0" collapsed="false">
      <c r="A26" s="7" t="s">
        <v>88</v>
      </c>
      <c r="B26" s="7"/>
      <c r="C26" s="7"/>
      <c r="D26" s="7"/>
      <c r="E26" s="7"/>
    </row>
    <row r="27" customFormat="false" ht="15" hidden="false" customHeight="false" outlineLevel="0" collapsed="false">
      <c r="A27" s="24"/>
      <c r="B27" s="24"/>
      <c r="C27" s="24"/>
      <c r="D27" s="24"/>
      <c r="E27" s="24"/>
      <c r="F27" s="24"/>
      <c r="G27" s="24"/>
    </row>
    <row r="28" customFormat="false" ht="15" hidden="false" customHeight="false" outlineLevel="0" collapsed="false">
      <c r="A28" s="24"/>
      <c r="B28" s="24"/>
      <c r="C28" s="24"/>
      <c r="D28" s="24"/>
      <c r="E28" s="24"/>
      <c r="F28" s="24"/>
      <c r="G28" s="24"/>
    </row>
    <row r="29" customFormat="false" ht="15" hidden="false" customHeight="false" outlineLevel="0" collapsed="false">
      <c r="A29" s="24"/>
      <c r="B29" s="24"/>
      <c r="C29" s="24"/>
      <c r="D29" s="24"/>
      <c r="E29" s="24"/>
      <c r="F29" s="24"/>
      <c r="G29" s="24"/>
    </row>
    <row r="30" customFormat="false" ht="30" hidden="false" customHeight="true" outlineLevel="0" collapsed="false">
      <c r="A30" s="21" t="s">
        <v>40</v>
      </c>
      <c r="B30" s="22" t="s">
        <v>89</v>
      </c>
      <c r="C30" s="22"/>
      <c r="D30" s="22"/>
      <c r="E30" s="22"/>
      <c r="F30" s="22"/>
      <c r="G30" s="22"/>
    </row>
    <row r="33" customFormat="false" ht="15" hidden="false" customHeight="false" outlineLevel="0" collapsed="false">
      <c r="A33" s="25" t="s">
        <v>53</v>
      </c>
      <c r="B33" s="25"/>
      <c r="C33" s="25"/>
      <c r="D33" s="25"/>
      <c r="E33" s="25"/>
      <c r="F33" s="25"/>
      <c r="G33" s="25"/>
    </row>
    <row r="34" customFormat="false" ht="30" hidden="false" customHeight="true" outlineLevel="0" collapsed="false">
      <c r="A34" s="26" t="s">
        <v>90</v>
      </c>
      <c r="B34" s="27" t="s">
        <v>91</v>
      </c>
      <c r="C34" s="27"/>
      <c r="D34" s="27"/>
      <c r="E34" s="27"/>
      <c r="F34" s="27"/>
      <c r="G34" s="27"/>
    </row>
    <row r="35" customFormat="false" ht="30" hidden="false" customHeight="true" outlineLevel="0" collapsed="false">
      <c r="A35" s="26" t="s">
        <v>92</v>
      </c>
      <c r="B35" s="27" t="s">
        <v>93</v>
      </c>
      <c r="C35" s="27"/>
      <c r="D35" s="27"/>
      <c r="E35" s="27"/>
      <c r="F35" s="27"/>
      <c r="G35" s="27"/>
    </row>
    <row r="37" customFormat="false" ht="48.75" hidden="false" customHeight="true" outlineLevel="0" collapsed="false">
      <c r="A37" s="6" t="s">
        <v>94</v>
      </c>
      <c r="B37" s="6"/>
      <c r="C37" s="6"/>
      <c r="D37" s="6"/>
      <c r="E37" s="6"/>
      <c r="F37" s="6"/>
      <c r="G37" s="6"/>
    </row>
    <row r="38" customFormat="false" ht="15" hidden="false" customHeight="true" outlineLevel="0" collapsed="false">
      <c r="A38" s="6" t="s">
        <v>59</v>
      </c>
      <c r="B38" s="6"/>
      <c r="C38" s="6"/>
      <c r="D38" s="6"/>
      <c r="E38" s="6"/>
      <c r="F38" s="6"/>
      <c r="G38" s="6"/>
    </row>
  </sheetData>
  <mergeCells count="28">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95</v>
      </c>
    </row>
    <row r="2" customFormat="false" ht="15" hidden="false" customHeight="false" outlineLevel="0" collapsed="false">
      <c r="A2" s="2" t="s">
        <v>21</v>
      </c>
    </row>
    <row r="4" customFormat="false" ht="78.75" hidden="false" customHeight="true" outlineLevel="0" collapsed="false">
      <c r="A4" s="6" t="s">
        <v>96</v>
      </c>
      <c r="B4" s="6"/>
      <c r="C4" s="6"/>
      <c r="D4" s="6"/>
      <c r="E4" s="6"/>
      <c r="F4" s="6"/>
      <c r="G4" s="6"/>
    </row>
    <row r="5" customFormat="false" ht="138.75" hidden="false" customHeight="true" outlineLevel="0" collapsed="false">
      <c r="A5" s="7" t="s">
        <v>97</v>
      </c>
      <c r="B5" s="7"/>
      <c r="C5" s="7"/>
      <c r="D5" s="7"/>
      <c r="E5" s="7"/>
      <c r="F5" s="7"/>
      <c r="G5" s="7"/>
    </row>
    <row r="7" customFormat="false" ht="15" hidden="false" customHeight="false" outlineLevel="0" collapsed="false">
      <c r="A7" s="8" t="s">
        <v>98</v>
      </c>
      <c r="B7" s="9" t="s">
        <v>65</v>
      </c>
      <c r="C7" s="9" t="s">
        <v>99</v>
      </c>
      <c r="D7" s="9" t="s">
        <v>100</v>
      </c>
    </row>
    <row r="8" customFormat="false" ht="15" hidden="false" customHeight="false" outlineLevel="0" collapsed="false">
      <c r="A8" s="10" t="s">
        <v>101</v>
      </c>
      <c r="B8" s="11" t="n">
        <v>5</v>
      </c>
      <c r="C8" s="11" t="n">
        <v>17</v>
      </c>
      <c r="D8" s="11" t="n">
        <v>11</v>
      </c>
    </row>
    <row r="9" customFormat="false" ht="15" hidden="false" customHeight="false" outlineLevel="0" collapsed="false">
      <c r="A9" s="12" t="s">
        <v>27</v>
      </c>
      <c r="B9" s="13" t="n">
        <v>2</v>
      </c>
      <c r="C9" s="13" t="n">
        <v>6</v>
      </c>
      <c r="D9" s="13" t="n">
        <v>5</v>
      </c>
    </row>
    <row r="10" customFormat="false" ht="15" hidden="false" customHeight="false" outlineLevel="0" collapsed="false">
      <c r="A10" s="29" t="s">
        <v>102</v>
      </c>
      <c r="B10" s="30" t="n">
        <v>7</v>
      </c>
      <c r="C10" s="30" t="n">
        <v>23</v>
      </c>
      <c r="D10" s="30" t="n">
        <v>16</v>
      </c>
    </row>
    <row r="11" customFormat="false" ht="15" hidden="false" customHeight="false" outlineLevel="0" collapsed="false">
      <c r="A11" s="12" t="s">
        <v>103</v>
      </c>
      <c r="B11" s="17"/>
      <c r="C11" s="17"/>
      <c r="D11" s="18"/>
    </row>
    <row r="12" customFormat="false" ht="15" hidden="false" customHeight="false" outlineLevel="0" collapsed="false">
      <c r="A12" s="10" t="s">
        <v>104</v>
      </c>
      <c r="B12" s="16"/>
      <c r="C12" s="16"/>
      <c r="D12" s="18"/>
    </row>
    <row r="13" customFormat="false" ht="15" hidden="false" customHeight="true" outlineLevel="0" collapsed="false">
      <c r="A13" s="6" t="s">
        <v>35</v>
      </c>
      <c r="B13" s="6"/>
      <c r="C13" s="6"/>
      <c r="D13" s="6"/>
      <c r="E13" s="6"/>
      <c r="F13" s="6"/>
      <c r="G13" s="6"/>
    </row>
    <row r="15" customFormat="false" ht="15" hidden="false" customHeight="false" outlineLevel="0" collapsed="false">
      <c r="A15" s="19" t="s">
        <v>36</v>
      </c>
      <c r="B15" s="19"/>
      <c r="C15" s="19"/>
      <c r="D15" s="19"/>
      <c r="E15" s="19"/>
      <c r="F15" s="19" t="s">
        <v>37</v>
      </c>
      <c r="G15" s="19" t="s">
        <v>38</v>
      </c>
    </row>
    <row r="16" customFormat="false" ht="33.75" hidden="false" customHeight="true" outlineLevel="0" collapsed="false">
      <c r="A16" s="7" t="s">
        <v>105</v>
      </c>
      <c r="B16" s="7"/>
      <c r="C16" s="7"/>
      <c r="D16" s="7"/>
      <c r="E16" s="7"/>
      <c r="F16" s="18"/>
      <c r="G16" s="20" t="str">
        <f aca="false">IF(F16="","",IF(ABS(F16-(69.6))&lt;=0.1,"Riktig","Prøv igjen"))</f>
        <v/>
      </c>
    </row>
    <row r="17" customFormat="false" ht="30" hidden="false" customHeight="true" outlineLevel="0" collapsed="false">
      <c r="A17" s="21" t="s">
        <v>40</v>
      </c>
      <c r="B17" s="22" t="s">
        <v>106</v>
      </c>
      <c r="C17" s="22"/>
      <c r="D17" s="22"/>
      <c r="E17" s="22"/>
      <c r="F17" s="22"/>
      <c r="G17" s="22"/>
    </row>
    <row r="19" customFormat="false" ht="33.75" hidden="false" customHeight="true" outlineLevel="0" collapsed="false">
      <c r="A19" s="7" t="s">
        <v>107</v>
      </c>
      <c r="B19" s="7"/>
      <c r="C19" s="7"/>
      <c r="D19" s="7"/>
      <c r="E19" s="7"/>
      <c r="F19" s="18"/>
      <c r="G19" s="20" t="str">
        <f aca="false">IF(F19="","",IF(ABS(F19-(28.6))&lt;=0.1,"Riktig","Prøv igjen"))</f>
        <v/>
      </c>
    </row>
    <row r="20" customFormat="false" ht="30" hidden="false" customHeight="true" outlineLevel="0" collapsed="false">
      <c r="A20" s="21" t="s">
        <v>40</v>
      </c>
      <c r="B20" s="22" t="s">
        <v>108</v>
      </c>
      <c r="C20" s="22"/>
      <c r="D20" s="22"/>
      <c r="E20" s="22"/>
      <c r="F20" s="22"/>
      <c r="G20" s="22"/>
    </row>
    <row r="22" customFormat="false" ht="33.75" hidden="false" customHeight="true" outlineLevel="0" collapsed="false">
      <c r="A22" s="7" t="s">
        <v>109</v>
      </c>
      <c r="B22" s="7"/>
      <c r="C22" s="7"/>
      <c r="D22" s="7"/>
      <c r="E22" s="7"/>
    </row>
    <row r="23" customFormat="false" ht="15" hidden="false" customHeight="true" outlineLevel="0" collapsed="false">
      <c r="A23" s="7" t="s">
        <v>110</v>
      </c>
      <c r="B23" s="7"/>
      <c r="C23" s="7"/>
      <c r="D23" s="7"/>
      <c r="E23" s="7"/>
      <c r="F23" s="23"/>
      <c r="G23" s="20" t="str">
        <f aca="false">IF(F23="","",IF(UPPER(TRIM(F23))="JA","Riktig","Prøv igjen"))</f>
        <v/>
      </c>
    </row>
    <row r="24" customFormat="false" ht="15" hidden="false" customHeight="true" outlineLevel="0" collapsed="false">
      <c r="A24" s="7" t="s">
        <v>111</v>
      </c>
      <c r="B24" s="7"/>
      <c r="C24" s="7"/>
      <c r="D24" s="7"/>
      <c r="E24" s="7"/>
      <c r="F24" s="23"/>
      <c r="G24" s="20" t="str">
        <f aca="false">IF(F24="","",IF(UPPER(TRIM(F24))="JA","Riktig","Prøv igjen"))</f>
        <v/>
      </c>
    </row>
    <row r="25" customFormat="false" ht="15" hidden="false" customHeight="true" outlineLevel="0" collapsed="false">
      <c r="A25" s="7" t="s">
        <v>112</v>
      </c>
      <c r="B25" s="7"/>
      <c r="C25" s="7"/>
      <c r="D25" s="7"/>
      <c r="E25" s="7"/>
      <c r="F25" s="23"/>
      <c r="G25" s="20" t="str">
        <f aca="false">IF(F25="","",IF(UPPER(TRIM(F25))="JA","Riktig","Prøv igjen"))</f>
        <v/>
      </c>
    </row>
    <row r="26" customFormat="false" ht="15" hidden="false" customHeight="true" outlineLevel="0" collapsed="false">
      <c r="A26" s="7" t="s">
        <v>113</v>
      </c>
      <c r="B26" s="7"/>
      <c r="C26" s="7"/>
      <c r="D26" s="7"/>
      <c r="E26" s="7"/>
      <c r="F26" s="23"/>
      <c r="G26" s="20" t="str">
        <f aca="false">IF(F26="","",IF(UPPER(TRIM(F26))="NEI","Riktig","Prøv igjen"))</f>
        <v/>
      </c>
    </row>
    <row r="27" customFormat="false" ht="15" hidden="false" customHeight="true" outlineLevel="0" collapsed="false">
      <c r="A27" s="7" t="s">
        <v>114</v>
      </c>
      <c r="B27" s="7"/>
      <c r="C27" s="7"/>
      <c r="D27" s="7"/>
      <c r="E27" s="7"/>
      <c r="F27" s="23"/>
      <c r="G27" s="20" t="str">
        <f aca="false">IF(F27="","",IF(UPPER(TRIM(F27))="NEI","Riktig","Prøv igjen"))</f>
        <v/>
      </c>
    </row>
    <row r="28" customFormat="false" ht="78.75" hidden="false" customHeight="true" outlineLevel="0" collapsed="false">
      <c r="A28" s="7" t="s">
        <v>115</v>
      </c>
      <c r="B28" s="7"/>
      <c r="C28" s="7"/>
      <c r="D28" s="7"/>
      <c r="E28" s="7"/>
      <c r="F28" s="23"/>
      <c r="G28" s="20" t="str">
        <f aca="false">IF(F28="","",IF(UPPER(TRIM(F28))="C","Riktig","Prøv igjen"))</f>
        <v/>
      </c>
    </row>
    <row r="29" customFormat="false" ht="48.75" hidden="false" customHeight="true" outlineLevel="0" collapsed="false">
      <c r="A29" s="7" t="s">
        <v>116</v>
      </c>
      <c r="B29" s="7"/>
      <c r="C29" s="7"/>
      <c r="D29" s="7"/>
      <c r="E29" s="7"/>
    </row>
    <row r="30" customFormat="false" ht="15" hidden="false" customHeight="false" outlineLevel="0" collapsed="false">
      <c r="A30" s="24"/>
      <c r="B30" s="24"/>
      <c r="C30" s="24"/>
      <c r="D30" s="24"/>
      <c r="E30" s="24"/>
      <c r="F30" s="24"/>
      <c r="G30" s="24"/>
    </row>
    <row r="31" customFormat="false" ht="15" hidden="false" customHeight="false" outlineLevel="0" collapsed="false">
      <c r="A31" s="24"/>
      <c r="B31" s="24"/>
      <c r="C31" s="24"/>
      <c r="D31" s="24"/>
      <c r="E31" s="24"/>
      <c r="F31" s="24"/>
      <c r="G31" s="24"/>
    </row>
    <row r="32" customFormat="false" ht="15" hidden="false" customHeight="false" outlineLevel="0" collapsed="false">
      <c r="A32" s="24"/>
      <c r="B32" s="24"/>
      <c r="C32" s="24"/>
      <c r="D32" s="24"/>
      <c r="E32" s="24"/>
      <c r="F32" s="24"/>
      <c r="G32" s="24"/>
    </row>
    <row r="33" customFormat="false" ht="30" hidden="false" customHeight="true" outlineLevel="0" collapsed="false">
      <c r="A33" s="21" t="s">
        <v>40</v>
      </c>
      <c r="B33" s="22" t="s">
        <v>117</v>
      </c>
      <c r="C33" s="22"/>
      <c r="D33" s="22"/>
      <c r="E33" s="22"/>
      <c r="F33" s="22"/>
      <c r="G33" s="22"/>
    </row>
    <row r="36" customFormat="false" ht="15" hidden="false" customHeight="false" outlineLevel="0" collapsed="false">
      <c r="A36" s="25" t="s">
        <v>53</v>
      </c>
      <c r="B36" s="25"/>
      <c r="C36" s="25"/>
      <c r="D36" s="25"/>
      <c r="E36" s="25"/>
      <c r="F36" s="25"/>
      <c r="G36" s="25"/>
    </row>
    <row r="37" customFormat="false" ht="30" hidden="false" customHeight="true" outlineLevel="0" collapsed="false">
      <c r="A37" s="26" t="s">
        <v>54</v>
      </c>
      <c r="B37" s="27" t="s">
        <v>118</v>
      </c>
      <c r="C37" s="27"/>
      <c r="D37" s="27"/>
      <c r="E37" s="27"/>
      <c r="F37" s="27"/>
      <c r="G37" s="27"/>
    </row>
    <row r="38" customFormat="false" ht="30" hidden="false" customHeight="true" outlineLevel="0" collapsed="false">
      <c r="A38" s="26" t="s">
        <v>119</v>
      </c>
      <c r="B38" s="27" t="s">
        <v>120</v>
      </c>
      <c r="C38" s="27"/>
      <c r="D38" s="27"/>
      <c r="E38" s="27"/>
      <c r="F38" s="27"/>
      <c r="G38" s="27"/>
    </row>
    <row r="40" customFormat="false" ht="63.75" hidden="false" customHeight="true" outlineLevel="0" collapsed="false">
      <c r="A40" s="6" t="s">
        <v>121</v>
      </c>
      <c r="B40" s="6"/>
      <c r="C40" s="6"/>
      <c r="D40" s="6"/>
      <c r="E40" s="6"/>
      <c r="F40" s="6"/>
      <c r="G40" s="6"/>
    </row>
    <row r="41" customFormat="false" ht="15" hidden="false" customHeight="true" outlineLevel="0" collapsed="false">
      <c r="A41" s="6" t="s">
        <v>59</v>
      </c>
      <c r="B41" s="6"/>
      <c r="C41" s="6"/>
      <c r="D41" s="6"/>
      <c r="E41" s="6"/>
      <c r="F41" s="6"/>
      <c r="G41" s="6"/>
    </row>
  </sheetData>
  <mergeCells count="23">
    <mergeCell ref="A4:G4"/>
    <mergeCell ref="A5:G5"/>
    <mergeCell ref="A13:G13"/>
    <mergeCell ref="A15:E15"/>
    <mergeCell ref="A16:E16"/>
    <mergeCell ref="B17:G17"/>
    <mergeCell ref="A19:E19"/>
    <mergeCell ref="B20:G20"/>
    <mergeCell ref="A22:E22"/>
    <mergeCell ref="A23:E23"/>
    <mergeCell ref="A24:E24"/>
    <mergeCell ref="A25:E25"/>
    <mergeCell ref="A26:E26"/>
    <mergeCell ref="A27:E27"/>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122</v>
      </c>
    </row>
    <row r="2" customFormat="false" ht="15" hidden="false" customHeight="false" outlineLevel="0" collapsed="false">
      <c r="A2" s="2" t="s">
        <v>21</v>
      </c>
    </row>
    <row r="4" customFormat="false" ht="78.75" hidden="false" customHeight="true" outlineLevel="0" collapsed="false">
      <c r="A4" s="6" t="s">
        <v>123</v>
      </c>
      <c r="B4" s="6"/>
      <c r="C4" s="6"/>
      <c r="D4" s="6"/>
      <c r="E4" s="6"/>
      <c r="F4" s="6"/>
      <c r="G4" s="6"/>
    </row>
    <row r="5" customFormat="false" ht="108.75" hidden="false" customHeight="true" outlineLevel="0" collapsed="false">
      <c r="A5" s="7" t="s">
        <v>124</v>
      </c>
      <c r="B5" s="7"/>
      <c r="C5" s="7"/>
      <c r="D5" s="7"/>
      <c r="E5" s="7"/>
      <c r="F5" s="7"/>
      <c r="G5" s="7"/>
    </row>
    <row r="7" customFormat="false" ht="15" hidden="false" customHeight="false" outlineLevel="0" collapsed="false">
      <c r="A7" s="19" t="s">
        <v>63</v>
      </c>
      <c r="B7" s="19" t="s">
        <v>64</v>
      </c>
      <c r="C7" s="19"/>
      <c r="D7" s="19"/>
      <c r="E7" s="19"/>
      <c r="F7" s="19"/>
      <c r="G7" s="19"/>
    </row>
    <row r="8" customFormat="false" ht="18.75" hidden="false" customHeight="true" outlineLevel="0" collapsed="false">
      <c r="A8" s="28" t="s">
        <v>125</v>
      </c>
      <c r="B8" s="7" t="s">
        <v>126</v>
      </c>
      <c r="C8" s="7"/>
      <c r="D8" s="7"/>
      <c r="E8" s="7"/>
      <c r="F8" s="7"/>
      <c r="G8" s="7"/>
    </row>
    <row r="9" customFormat="false" ht="18.75" hidden="false" customHeight="true" outlineLevel="0" collapsed="false">
      <c r="A9" s="28" t="s">
        <v>77</v>
      </c>
      <c r="B9" s="7" t="s">
        <v>127</v>
      </c>
      <c r="C9" s="7"/>
      <c r="D9" s="7"/>
      <c r="E9" s="7"/>
      <c r="F9" s="7"/>
      <c r="G9" s="7"/>
    </row>
    <row r="10" customFormat="false" ht="18.75" hidden="false" customHeight="true" outlineLevel="0" collapsed="false">
      <c r="A10" s="28" t="s">
        <v>128</v>
      </c>
      <c r="B10" s="7" t="s">
        <v>129</v>
      </c>
      <c r="C10" s="7"/>
      <c r="D10" s="7"/>
      <c r="E10" s="7"/>
      <c r="F10" s="7"/>
      <c r="G10" s="7"/>
    </row>
    <row r="11" customFormat="false" ht="18.75" hidden="false" customHeight="true" outlineLevel="0" collapsed="false">
      <c r="A11" s="28" t="s">
        <v>130</v>
      </c>
      <c r="B11" s="7" t="s">
        <v>131</v>
      </c>
      <c r="C11" s="7"/>
      <c r="D11" s="7"/>
      <c r="E11" s="7"/>
      <c r="F11" s="7"/>
      <c r="G11" s="7"/>
    </row>
    <row r="12" customFormat="false" ht="18.75" hidden="false" customHeight="true" outlineLevel="0" collapsed="false">
      <c r="A12" s="28" t="s">
        <v>132</v>
      </c>
      <c r="B12" s="7" t="s">
        <v>133</v>
      </c>
      <c r="C12" s="7"/>
      <c r="D12" s="7"/>
      <c r="E12" s="7"/>
      <c r="F12" s="7"/>
      <c r="G12" s="7"/>
    </row>
    <row r="13" customFormat="false" ht="18.75" hidden="false" customHeight="true" outlineLevel="0" collapsed="false">
      <c r="A13" s="28" t="s">
        <v>25</v>
      </c>
      <c r="B13" s="7" t="s">
        <v>134</v>
      </c>
      <c r="C13" s="7"/>
      <c r="D13" s="7"/>
      <c r="E13" s="7"/>
      <c r="F13" s="7"/>
      <c r="G13" s="7"/>
    </row>
    <row r="14" customFormat="false" ht="18.75" hidden="false" customHeight="true" outlineLevel="0" collapsed="false">
      <c r="A14" s="28" t="s">
        <v>135</v>
      </c>
      <c r="B14" s="7" t="s">
        <v>136</v>
      </c>
      <c r="C14" s="7"/>
      <c r="D14" s="7"/>
      <c r="E14" s="7"/>
      <c r="F14" s="7"/>
      <c r="G14" s="7"/>
    </row>
    <row r="16" customFormat="false" ht="15" hidden="false" customHeight="false" outlineLevel="0" collapsed="false">
      <c r="A16" s="19" t="s">
        <v>36</v>
      </c>
      <c r="B16" s="19"/>
      <c r="C16" s="19"/>
      <c r="D16" s="19"/>
      <c r="E16" s="19"/>
      <c r="F16" s="19" t="s">
        <v>37</v>
      </c>
      <c r="G16" s="19" t="s">
        <v>38</v>
      </c>
    </row>
    <row r="17" customFormat="false" ht="48.75" hidden="false" customHeight="true" outlineLevel="0" collapsed="false">
      <c r="A17" s="7" t="s">
        <v>137</v>
      </c>
      <c r="B17" s="7"/>
      <c r="C17" s="7"/>
      <c r="D17" s="7"/>
      <c r="E17" s="7"/>
      <c r="F17" s="23"/>
      <c r="G17" s="20" t="str">
        <f aca="false">IF(F17="","",IF(UPPER(TRIM(F17))="B","Riktig","Prøv igjen"))</f>
        <v/>
      </c>
    </row>
    <row r="18" customFormat="false" ht="33.75" hidden="false" customHeight="true" outlineLevel="0" collapsed="false">
      <c r="A18" s="7" t="s">
        <v>138</v>
      </c>
      <c r="B18" s="7"/>
      <c r="C18" s="7"/>
      <c r="D18" s="7"/>
      <c r="E18" s="7"/>
    </row>
    <row r="19" customFormat="false" ht="15" hidden="false" customHeight="true" outlineLevel="0" collapsed="false">
      <c r="A19" s="7" t="s">
        <v>139</v>
      </c>
      <c r="B19" s="7"/>
      <c r="C19" s="7"/>
      <c r="D19" s="7"/>
      <c r="E19" s="7"/>
      <c r="F19" s="23"/>
      <c r="G19" s="20" t="str">
        <f aca="false">IF(F19="","",IF(UPPER(TRIM(F19))="JA","Riktig","Prøv igjen"))</f>
        <v/>
      </c>
    </row>
    <row r="20" customFormat="false" ht="15" hidden="false" customHeight="true" outlineLevel="0" collapsed="false">
      <c r="A20" s="7" t="s">
        <v>140</v>
      </c>
      <c r="B20" s="7"/>
      <c r="C20" s="7"/>
      <c r="D20" s="7"/>
      <c r="E20" s="7"/>
      <c r="F20" s="23"/>
      <c r="G20" s="20" t="str">
        <f aca="false">IF(F20="","",IF(UPPER(TRIM(F20))="JA","Riktig","Prøv igjen"))</f>
        <v/>
      </c>
    </row>
    <row r="21" customFormat="false" ht="15" hidden="false" customHeight="true" outlineLevel="0" collapsed="false">
      <c r="A21" s="7" t="s">
        <v>141</v>
      </c>
      <c r="B21" s="7"/>
      <c r="C21" s="7"/>
      <c r="D21" s="7"/>
      <c r="E21" s="7"/>
      <c r="F21" s="23"/>
      <c r="G21" s="20" t="str">
        <f aca="false">IF(F21="","",IF(UPPER(TRIM(F21))="JA","Riktig","Prøv igjen"))</f>
        <v/>
      </c>
    </row>
    <row r="22" customFormat="false" ht="15" hidden="false" customHeight="true" outlineLevel="0" collapsed="false">
      <c r="A22" s="7" t="s">
        <v>142</v>
      </c>
      <c r="B22" s="7"/>
      <c r="C22" s="7"/>
      <c r="D22" s="7"/>
      <c r="E22" s="7"/>
      <c r="F22" s="23"/>
      <c r="G22" s="20" t="str">
        <f aca="false">IF(F22="","",IF(UPPER(TRIM(F22))="NEI","Riktig","Prøv igjen"))</f>
        <v/>
      </c>
    </row>
    <row r="23" customFormat="false" ht="15" hidden="false" customHeight="true" outlineLevel="0" collapsed="false">
      <c r="A23" s="7" t="s">
        <v>143</v>
      </c>
      <c r="B23" s="7"/>
      <c r="C23" s="7"/>
      <c r="D23" s="7"/>
      <c r="E23" s="7"/>
      <c r="F23" s="23"/>
      <c r="G23" s="20" t="str">
        <f aca="false">IF(F23="","",IF(UPPER(TRIM(F23))="NEI","Riktig","Prøv igjen"))</f>
        <v/>
      </c>
    </row>
    <row r="24" customFormat="false" ht="18.75" hidden="false" customHeight="true" outlineLevel="0" collapsed="false">
      <c r="A24" s="7" t="s">
        <v>144</v>
      </c>
      <c r="B24" s="7"/>
      <c r="C24" s="7"/>
      <c r="D24" s="7"/>
      <c r="E24" s="7"/>
      <c r="F24" s="18"/>
      <c r="G24" s="20" t="str">
        <f aca="false">IF(F24="","",IF(ABS(F24-(40))&lt;=0.1,"Riktig","Prøv igjen"))</f>
        <v/>
      </c>
    </row>
    <row r="25" customFormat="false" ht="30" hidden="false" customHeight="true" outlineLevel="0" collapsed="false">
      <c r="A25" s="21" t="s">
        <v>40</v>
      </c>
      <c r="B25" s="22" t="s">
        <v>145</v>
      </c>
      <c r="C25" s="22"/>
      <c r="D25" s="22"/>
      <c r="E25" s="22"/>
      <c r="F25" s="22"/>
      <c r="G25" s="22"/>
    </row>
    <row r="27" customFormat="false" ht="63.75" hidden="false" customHeight="true" outlineLevel="0" collapsed="false">
      <c r="A27" s="7" t="s">
        <v>146</v>
      </c>
      <c r="B27" s="7"/>
      <c r="C27" s="7"/>
      <c r="D27" s="7"/>
      <c r="E27" s="7"/>
      <c r="F27" s="23"/>
      <c r="G27" s="20" t="str">
        <f aca="false">IF(F27="","",IF(UPPER(TRIM(F27))="B","Riktig","Prøv igjen"))</f>
        <v/>
      </c>
    </row>
    <row r="28" customFormat="false" ht="33.75" hidden="false" customHeight="true" outlineLevel="0" collapsed="false">
      <c r="A28" s="7" t="s">
        <v>147</v>
      </c>
      <c r="B28" s="7"/>
      <c r="C28" s="7"/>
      <c r="D28" s="7"/>
      <c r="E28" s="7"/>
    </row>
    <row r="29" customFormat="false" ht="15" hidden="false" customHeight="false" outlineLevel="0" collapsed="false">
      <c r="A29" s="24"/>
      <c r="B29" s="24"/>
      <c r="C29" s="24"/>
      <c r="D29" s="24"/>
      <c r="E29" s="24"/>
      <c r="F29" s="24"/>
      <c r="G29" s="24"/>
    </row>
    <row r="30" customFormat="false" ht="15" hidden="false" customHeight="false" outlineLevel="0" collapsed="false">
      <c r="A30" s="24"/>
      <c r="B30" s="24"/>
      <c r="C30" s="24"/>
      <c r="D30" s="24"/>
      <c r="E30" s="24"/>
      <c r="F30" s="24"/>
      <c r="G30" s="24"/>
    </row>
    <row r="31" customFormat="false" ht="15" hidden="false" customHeight="false" outlineLevel="0" collapsed="false">
      <c r="A31" s="24"/>
      <c r="B31" s="24"/>
      <c r="C31" s="24"/>
      <c r="D31" s="24"/>
      <c r="E31" s="24"/>
      <c r="F31" s="24"/>
      <c r="G31" s="24"/>
    </row>
    <row r="32" customFormat="false" ht="30" hidden="false" customHeight="true" outlineLevel="0" collapsed="false">
      <c r="A32" s="21" t="s">
        <v>40</v>
      </c>
      <c r="B32" s="22" t="s">
        <v>148</v>
      </c>
      <c r="C32" s="22"/>
      <c r="D32" s="22"/>
      <c r="E32" s="22"/>
      <c r="F32" s="22"/>
      <c r="G32" s="22"/>
    </row>
    <row r="35" customFormat="false" ht="15" hidden="false" customHeight="false" outlineLevel="0" collapsed="false">
      <c r="A35" s="25" t="s">
        <v>53</v>
      </c>
      <c r="B35" s="25"/>
      <c r="C35" s="25"/>
      <c r="D35" s="25"/>
      <c r="E35" s="25"/>
      <c r="F35" s="25"/>
      <c r="G35" s="25"/>
    </row>
    <row r="36" customFormat="false" ht="30" hidden="false" customHeight="true" outlineLevel="0" collapsed="false">
      <c r="A36" s="26" t="s">
        <v>149</v>
      </c>
      <c r="B36" s="27" t="s">
        <v>150</v>
      </c>
      <c r="C36" s="27"/>
      <c r="D36" s="27"/>
      <c r="E36" s="27"/>
      <c r="F36" s="27"/>
      <c r="G36" s="27"/>
    </row>
    <row r="37" customFormat="false" ht="30" hidden="false" customHeight="true" outlineLevel="0" collapsed="false">
      <c r="A37" s="26" t="s">
        <v>151</v>
      </c>
      <c r="B37" s="27" t="s">
        <v>152</v>
      </c>
      <c r="C37" s="27"/>
      <c r="D37" s="27"/>
      <c r="E37" s="27"/>
      <c r="F37" s="27"/>
      <c r="G37" s="27"/>
    </row>
    <row r="39" customFormat="false" ht="48.75" hidden="false" customHeight="true" outlineLevel="0" collapsed="false">
      <c r="A39" s="6" t="s">
        <v>153</v>
      </c>
      <c r="B39" s="6"/>
      <c r="C39" s="6"/>
      <c r="D39" s="6"/>
      <c r="E39" s="6"/>
      <c r="F39" s="6"/>
      <c r="G39" s="6"/>
    </row>
    <row r="40" customFormat="false" ht="15" hidden="false" customHeight="true" outlineLevel="0" collapsed="false">
      <c r="A40" s="6" t="s">
        <v>59</v>
      </c>
      <c r="B40" s="6"/>
      <c r="C40" s="6"/>
      <c r="D40" s="6"/>
      <c r="E40" s="6"/>
      <c r="F40" s="6"/>
      <c r="G40" s="6"/>
    </row>
  </sheetData>
  <mergeCells count="29">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B25:G25"/>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2026-10-12T16:58:40Z</dcterms:created>
  <dc:creator>openpyxl</dc:creator>
  <dc:description/>
  <dc:language>en-US</dc:language>
  <cp:lastModifiedBy/>
  <dcterms:modified xsi:type="dcterms:W3CDTF">2026-10-12T16:58:40Z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