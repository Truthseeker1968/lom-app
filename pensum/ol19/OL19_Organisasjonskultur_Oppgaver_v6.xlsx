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<sst xmlns="http://schemas.openxmlformats.org/spreadsheetml/2006/main" count="279" uniqueCount="168">
  <si>
    <t xml:space="preserve">Organisasjonskultur: oppgaver til kapittel 19</t>
  </si>
  <si>
    <t xml:space="preserve">Markedsføring, organisasjon og ledelse for LØM-emnet (Hjertnes), kapittel 19. Versjon 6, oktober 2026. Nordlys Elektro AS og Fjell Elektro AS er konstruerte casebedrifter; avvikstallene og utsagnene er casefakta for kapittel 19.</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</si>
  <si>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</si>
  <si>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</si>
  <si>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</si>
  <si>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</si>
  <si>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</si>
  <si>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</si>
  <si>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Hvem melder sin egen feil? Kulturen hos Nordlys i tall og begreper</t>
  </si>
  <si>
    <t xml:space="preserve">1B  Fjell Elektro: hvor kommer kulturen fra, og hva styrer Mona?</t>
  </si>
  <si>
    <t xml:space="preserve">1C  To avdelinger som én, og Monas sterke kultur: subkultur, motkultur og gruppetenkning</t>
  </si>
  <si>
    <t xml:space="preserve">Fasit  Alle svar med regnestykket skrevet ut</t>
  </si>
  <si>
    <t xml:space="preserve">Dette er øvingsmateriell til repetisjons- og øvingsstøtte. I besvarelser, caser, prosjektoppgaver og eksamen gjelder lærebøkene og oppgitte primærkilder.</t>
  </si>
  <si>
    <t xml:space="preserve">Strukturen: avdelingene har ulike rutiner for avvik</t>
  </si>
  <si>
    <t xml:space="preserve">Oppgave 1A: Hvem melder sin egen feil? Kulturen hos Nordlys i tall og begreper</t>
  </si>
  <si>
    <t xml:space="preserve">Kulturen: ulike uformelle normer for hva som skjer med den som sier fra</t>
  </si>
  <si>
    <t xml:space="preserve">Alene, i par eller i gruppe, slik du vil.</t>
  </si>
  <si>
    <t xml:space="preserve">Kompetansen: montørene i prosjekt er dårligere fagfolk</t>
  </si>
  <si>
    <t xml:space="preserve">Situasjonen</t>
  </si>
  <si>
    <t xml:space="preserve">Verdi</t>
  </si>
  <si>
    <t xml:space="preserve">Nordlys Elektro AS meldte 32 avvik i fjor. Alle avdelingene har samme avviksskjema, samme perm for helse, miljø og sikkerhet og samme daglige leder. Likevel meldte solcelle og lading 5 av 6 egne feil, service 11 av 17 og prosjekt og nybygg 2 av 9. På et nybygg var underfordelingen levert med for få moduler. En montør satte tre kurser på andre vern enn tegningen viste, uten å rette kursfortegnelsen og uten å melde det. Feilen ble funnet ved sluttkontrollen 11 uker senere. Fordelingen måtte gjøres spenningsløs for omkoblingen, så ny merking, ny kursfortegnelse og ny måling: omgjøringen tok 2 montører 2 dager à 7,5 timer. Kalenderen var full de ukene, så timene kunne ellers vært fakturert på andre jobber. Timeprisen Nordlys tar av kunden er 890 kr uten merverdiavgift (faktaarket). Montørene er fast ansatt og får lønn uansett, så det feilen koster, er faktureringen som gikk tapt. Montøren sier: «Jeg tenkte det ordnet seg.» Tom vil gi ham en advarsel og sende ut en påminnelse. Fjell Elektro AS er med i sorteringen: Mona Fjell, eieren, og to montører.</t>
  </si>
  <si>
    <t xml:space="preserve">Formell norm</t>
  </si>
  <si>
    <t xml:space="preserve">Begrepene du trenger</t>
  </si>
  <si>
    <t xml:space="preserve">Uformell norm</t>
  </si>
  <si>
    <t xml:space="preserve">Organisasjonskultur er det sett av verdier, normer og virkelighetsoppfatninger som preger organisasjonen (19.1). Kulturen har stor innvirkning på hvordan de formelle oppgavene løses. En verdi er det som holdes for verdifullt, ønskelig og godt. En norm er en uskreven regel for hva som er akseptabel atferd; brudd fører ofte til sanksjoner. Formelle normer er regler, rutiner og prosedyrer; uformelle normer er skikk og bruk. Virkelighetsoppfatninger er det Edgar Schein kaller grunnleggende antagelser: det som tas for gitt som sant. Kulturelle symboler, artefakter, er det håndfaste uttrykket for kulturen (19.2).</t>
  </si>
  <si>
    <t xml:space="preserve">Virkelighetsoppfatning</t>
  </si>
  <si>
    <t xml:space="preserve">Kulturelt symbol</t>
  </si>
  <si>
    <t xml:space="preserve">Tallene</t>
  </si>
  <si>
    <t xml:space="preserve">Avvikene i fjor, fordelt på avdelingene. Alle avdelingene har samme avviksskjema, samme perm for helse, miljø og sikkerhet og samme daglige leder, Kari Nordlund. Summene regner arket (grønne celler).</t>
  </si>
  <si>
    <t xml:space="preserve">Avdeling</t>
  </si>
  <si>
    <t xml:space="preserve">Avvik meldt</t>
  </si>
  <si>
    <t xml:space="preserve">Meldt av den som gjorde feilen</t>
  </si>
  <si>
    <t xml:space="preserve">Solcelle og lading (2 montører)</t>
  </si>
  <si>
    <t xml:space="preserve">Service (Tom Berg, 4 montører og 1 lærling)</t>
  </si>
  <si>
    <t xml:space="preserve">Prosjekt og nybygg (Ronny Fjeld, 6 montører og 1 lærling)</t>
  </si>
  <si>
    <t xml:space="preserve">Hele Nordlys</t>
  </si>
  <si>
    <t xml:space="preserve">Oppgaven, trinn for trinn</t>
  </si>
  <si>
    <t xml:space="preserve">1. Regn andelen av alle avvikene som ble meldt av noen andre enn den som gjorde feilen (a), og andelen egne feil i prosjekt og nybygg (b). Svar i prosent med én desimal, for eksempel 43,8.
2. Regn hva feilen ingen meldte, kostet i tapt fakturering (c). Kalenderen var full, så timene kunne ellers vært fakturert på andre jobber.
3. Velg hva som best forklarer forskjellen mellom avdelingene (d).
4. Sorter de tolv utsagnene fra Nordlys og Fjell Elektro i kapitlets begreper (e).
5. Skriv til Kari om Toms to tiltak (f).</t>
  </si>
  <si>
    <t xml:space="preserve">a) Andel av de 32 avvikene som ble meldt av andre enn den som gjorde feilen, i prosent med én desimal</t>
  </si>
  <si>
    <t xml:space="preserve">prosent</t>
  </si>
  <si>
    <t xml:space="preserve">b) Andel egne feil i prosjekt og nybygg: 2 av 9, i prosent med én desimal</t>
  </si>
  <si>
    <t xml:space="preserve">c) Tapt fakturering for omgjøringen av kursfeilen (full kalender): 2 montører × 2 dager × 7,5 timer × 890 kr, i hele kroner</t>
  </si>
  <si>
    <t xml:space="preserve">kr</t>
  </si>
  <si>
    <t xml:space="preserve">d) Samme skjema, samme perm, samme sjef. Hva forklarer best at prosjekt melder 2 av 9 egne feil og solcelle 5 av 6?</t>
  </si>
  <si>
    <t xml:space="preserve">e) Begrepene</t>
  </si>
  <si>
    <t xml:space="preserve">Verdi: det som holdes for verdifullt, ønskelig og godt. Formell norm: regler, rutiner og prosedyrer. Uformell norm: skikk og bruk, en uskreven regel for hva som er akseptabelt. Virkelighetsoppfatning: det som tas for gitt som sant, Scheins grunnleggende antagelse. Kulturelt symbol (artefakt): det håndfaste uttrykket for kulturen, som logo, påkledning, språk og historier. Velg i nedtrekksmenyen.</t>
  </si>
  <si>
    <t xml:space="preserve">1 «Vi tar ikke snarveier på sikkerhet», plakaten på veggen i basen</t>
  </si>
  <si>
    <t xml:space="preserve">2 «Du melder fra hvis noen andre ser det først», slik det er i prosjekt og nybygg</t>
  </si>
  <si>
    <t xml:space="preserve">3 Avviksprosedyren i permen for helse, miljø og sikkerhet</t>
  </si>
  <si>
    <t xml:space="preserve">4 Den som kommer sist til basen, fyller bilen</t>
  </si>
  <si>
    <t xml:space="preserve">5 Logoen på servicebilene og arbeidstøyet hos Nordlys</t>
  </si>
  <si>
    <t xml:space="preserve">6 «Det koster å innrømme en feil»: ingen sier det, alle i prosjekt vet det</t>
  </si>
  <si>
    <t xml:space="preserve">7 Fjell Elektro: sjekklista som skal gås gjennom før anlegget settes under spenning</t>
  </si>
  <si>
    <t xml:space="preserve">8 Fjell-montøren: «Sjekklista tar vi når vi har tid»</t>
  </si>
  <si>
    <t xml:space="preserve">9 Mona Fjell: «Hos oss er sikkerhet viktigst»</t>
  </si>
  <si>
    <t xml:space="preserve">10 Mona Fjell: «Rutiner er for store bedrifter»</t>
  </si>
  <si>
    <t xml:space="preserve">11 Fagspråket i basen: «trekke kurs», «skapet», «spenningssette»</t>
  </si>
  <si>
    <t xml:space="preserve">12 Historien om oppstarten i 2019, som hver ny lærling får høre</t>
  </si>
  <si>
    <t xml:space="preserve">f) Montøren sa «Jeg tenkte det ordnet seg». Tom vil gi ham en advarsel og sende ut en påminnelse om at avvik skal meldes. Hva sier kapitlet om de to tiltakene, og hva bør Kari gjøre i stedet? Tre setninger. Bruk ordene norm og erfaring.</t>
  </si>
  <si>
    <t xml:space="preserve">Står du fast? Skriv JA i den gule cellen:</t>
  </si>
  <si>
    <t xml:space="preserve">Gule celler fyller du inn. Grønne regnes ut av arket. Sjekken til høyre forteller om svaret stemmer, og hva du bør se på hvis ikke.</t>
  </si>
  <si>
    <t xml:space="preserve">Nasjonal og lokal kultur</t>
  </si>
  <si>
    <t xml:space="preserve">Oppgave 1B: Fjell Elektro: hvor kommer kulturen fra, og hva styrer Mona?</t>
  </si>
  <si>
    <t xml:space="preserve">Ledelsens kulturbygging</t>
  </si>
  <si>
    <t xml:space="preserve">Markedet</t>
  </si>
  <si>
    <t xml:space="preserve">Fjell Elektro AS er i dag Mona Fjell og to montører. Etter sommeren begynner en lærling og en tredje montør, som kommer fra en større installasjonsbedrift. Jobbene fordeles over kaffen hver morgen. Kundene er boligeiere og små næringskunder i Oslo øst, og de sier fra samme dag hvis de ikke er fornøyde. Sjekklista for sluttkontrollen finnes, men den ene montøren tar den «når vi har tid». Lærlingen skal gå med en navngitt montør fra dag én, men Mona har ikke noe opplæringsprogram.</t>
  </si>
  <si>
    <t xml:space="preserve">Organisasjonskultur formes av tre faktorer (19.3): den lokale og nasjonale kulturen, eiernes eller ledelsens bevisste kulturbygging, og markedet. Ingen leder kan kontrollere alle faktorene, men lederen er endringsagent og kontrollerer riter og seremonier, særlig de daglige, sosialiseringen av nye og rekrutteringen (19.3.2). En nyansatt er ikke en tabula rasa, et ubeskrevet blad (19.3.1). Markedet virker gjennom risiko og hvor raskt tilbakemeldingen kommer (19.3.3).</t>
  </si>
  <si>
    <t xml:space="preserve">Fjell Elektro AS er i dag Mona Fjell (eier og faglig ansvarlig) og 2 montører. Etter sommeren begynner en lærling og en tredje montør, som kommer fra en større installasjonsbedrift. Nordlys har 18 ansatte og tar inn 2 nye i året (forutsetning).</t>
  </si>
  <si>
    <t xml:space="preserve">1. Sorter åtte forhold hos Fjell etter hvilken av bokas tre kilder til kultur de kommer fra (19.3).
2. Velg hva morgenkaffen er i kapitlets språk, og hva boka sier om opplæringen av lærlingen.
3. Regn hvor stor del av Fjell og av Nordlys som er ny (a og b). Svar i prosent med én desimal.
4. Skriv hva Mona bør gjøre de første ukene (c).</t>
  </si>
  <si>
    <t xml:space="preserve">Hvor kommer dette fra? Bokas tre kilder til kultur (velg i nedtrekksmenyen)</t>
  </si>
  <si>
    <t xml:space="preserve">1 Den nye montøren tar med seg vaner og normer fra bedriften han kom fra</t>
  </si>
  <si>
    <t xml:space="preserve">2 Boligkundene i Oslo øst sier fra samme dag hvis de ikke er fornøyde</t>
  </si>
  <si>
    <t xml:space="preserve">3 Hvordan lærlingen tas imot den første dagen</t>
  </si>
  <si>
    <t xml:space="preserve">4 Liten aksept for store lønnsforskjeller mellom Mona og montørene</t>
  </si>
  <si>
    <t xml:space="preserve">5 Jobbene fordeles over kaffen hver morgen, med Mona til stede</t>
  </si>
  <si>
    <t xml:space="preserve">6 Boligkundene velger den som svarer raskest og billigst; presset på prisen er stort</t>
  </si>
  <si>
    <t xml:space="preserve">7 Hvem Mona velger som tredje montør</t>
  </si>
  <si>
    <t xml:space="preserve">8 Lærlingen forventer likebehandling uansett kjønn og bakgrunn</t>
  </si>
  <si>
    <t xml:space="preserve">Morgenkaffen der jobbene fordeles: hva er det i kapitlets språk?</t>
  </si>
  <si>
    <t xml:space="preserve">En formell norm, som en stillingsinstruks</t>
  </si>
  <si>
    <t xml:space="preserve">Lærlingen skal gå med en navngitt montør fra dag én, som forskriften krever, men uten noe opplæringsprogram. Hva sier boka?</t>
  </si>
  <si>
    <t xml:space="preserve">En daglig rite, som ledelsen kan utforme og bruke</t>
  </si>
  <si>
    <t xml:space="preserve">En subkultur blant montørene</t>
  </si>
  <si>
    <t xml:space="preserve">a) Hvor stor del av Fjell er ny etter sommeren? 2 nye av 5 personer, i prosent med én desimal</t>
  </si>
  <si>
    <t xml:space="preserve">Greit: kulturen læres uansett</t>
  </si>
  <si>
    <t xml:space="preserve">b) Hvor stor del av Nordlys er ny i et år med 2 nye av 18 ansatte? I prosent med én desimal</t>
  </si>
  <si>
    <t xml:space="preserve">Et systematisk opplæringsprogram er også en introduksjon til verdigrunnlaget, ikke bare til oppgavene</t>
  </si>
  <si>
    <t xml:space="preserve">Bare et innvielsesritual gir vellykket sosialisering</t>
  </si>
  <si>
    <t xml:space="preserve">c) Hva bør Mona gjøre de første ukene etter sommeren, så lærlingen og den nye montøren lærer sjekklista som den riktige måten? Bruk minst to av virkemidlene fra kapitlet, og ordene sjekkliste og morgen. Tre setninger.</t>
  </si>
  <si>
    <t xml:space="preserve">Ja, en av de tre</t>
  </si>
  <si>
    <t xml:space="preserve">Oppgave 1C: To avdelinger som én, og Monas sterke kultur: subkultur, motkultur og gruppetenkning</t>
  </si>
  <si>
    <t xml:space="preserve">Nei</t>
  </si>
  <si>
    <t xml:space="preserve">Før Kari lyste ut stillingen som avdelingsleder for solcelle og lading, vurderte hun å legge de to solcellemontørene inn under Tom i service. Service har 4 montører og 1 lærling og meldte 17 avvik i fjor, 11 av dem av den som gjorde feilen. Solcelle og lading meldte 6, 5 av dem selv. Servicemontørene sier: «Kunden skal være fornøyd før du kjører.» De to på solcelle sier: «Vi finner ut av det sammen.» Tom sier: «De gjør det på sin egen måte. Det er en motkultur.» Hos Fjell sier Mona: «Vi tre er alltid enige, og vi har aldri meldt et avvik. Vi har en sterk kultur.»</t>
  </si>
  <si>
    <t xml:space="preserve">Kulturell styrke er hvor stor innflytelse kulturen har på det som skjer; kulturell kongruens er hvor utbredt den samme kulturen er (19.4). Strukturen skaper subkulturer på tre måter: spesialisering, kommunikasjon og seleksjon av informasjon. Subkulturer er i utgangspunktet ikke et problem; en subkultur blir en motkultur først når den på viktige områder står for noe vesentlig annet. Gruppetenkning (19.5) setter konsensus framfor alt og unngår konflikt nesten for enhver pris; den utvikler seg lettest i sterke kulturer, og deltagerne er sjelden klar over det mens det skjer.</t>
  </si>
  <si>
    <t xml:space="preserve">Oppgaven går tilbake til tiden før Kari lyste ut stillingen som avdelingsleder for solcelle og lading (kapittel 18). Ett av alternativene hun vurderte, var å legge de 2 solcellemontørene inn under Tom i service. Summene regner arket (grønne celler).</t>
  </si>
  <si>
    <t xml:space="preserve">Avdeling i fjor</t>
  </si>
  <si>
    <t xml:space="preserve">Folk</t>
  </si>
  <si>
    <t xml:space="preserve">Kulturell styrke</t>
  </si>
  <si>
    <t xml:space="preserve">Service (Tom): 4 montører og 1 lærling</t>
  </si>
  <si>
    <t xml:space="preserve">Kulturell kongruens</t>
  </si>
  <si>
    <t xml:space="preserve">Solcelle og lading: 2 montører, ingen leder</t>
  </si>
  <si>
    <t xml:space="preserve">Ny avdeling under Tom</t>
  </si>
  <si>
    <t xml:space="preserve">1. Regn hva den nye avdelingen hadde meldt med fjorårets tall (a), og hvor stor del av den som kommer fra solcelle (b). Prosent med én desimal.
2. Sorter fem utsagn: er dette en av de tre måtene strukturen skaper subkulturer på (c)?
3. Sorter fire utsagn på kulturell styrke eller kulturell kongruens (d).
4. Ta stilling til Toms og Monas utsagn (e og f).
5. Skriv hva Tom må gjøre ved en sammenslåing (g).</t>
  </si>
  <si>
    <t xml:space="preserve">a) Andel av avvikene i den nye avdelingen som ville vært meldt av den som gjorde feilen: (11 + 5) av (17 + 6), i prosent med én desimal</t>
  </si>
  <si>
    <t xml:space="preserve">Ja: alt som avviker fra flertallet i avdelingen, er motkultur</t>
  </si>
  <si>
    <t xml:space="preserve">b) Hvor stor del av de 7 i den nye avdelingen kommer fra solcelle og lading? I prosent med én desimal</t>
  </si>
  <si>
    <t xml:space="preserve">Ja: når kongruensen blir lav, er det per definisjon motkultur</t>
  </si>
  <si>
    <t xml:space="preserve">Nei: en subkultur blir motkultur først når den står for noe vesentlig annet på viktige områder</t>
  </si>
  <si>
    <t xml:space="preserve">c) Er dette en av de tre måtene organisasjonsstrukturen skaper subkulturer på (19.4)? (velg i nedtrekksmenyen)</t>
  </si>
  <si>
    <t xml:space="preserve">Hun har rett: enighet og null avvik er tegn på en sterk og god kultur</t>
  </si>
  <si>
    <t xml:space="preserve">1 Solcellemontørene ser bare egne anlegg og lite av servicejobbene</t>
  </si>
  <si>
    <t xml:space="preserve">Rask enighet og null avvik kan være gruppetenkning: konsensus framfor alt, og ingen tester ideene</t>
  </si>
  <si>
    <t xml:space="preserve">2 Service snakker om kunder og kjøretid, solcelle om vekselrettere og produksjon</t>
  </si>
  <si>
    <t xml:space="preserve">Fjell er for liten til å ha en kultur, så utsagnet er meningsløst</t>
  </si>
  <si>
    <t xml:space="preserve">3 Hver avdeling legger bare merke til informasjon som er nyttig for seg</t>
  </si>
  <si>
    <t xml:space="preserve">4 Alle avdelingene har samme perm for helse, miljø og sikkerhet</t>
  </si>
  <si>
    <t xml:space="preserve">5 Alle har arbeidstøy med samme logo</t>
  </si>
  <si>
    <t xml:space="preserve">d) Kulturell styrke (hvor mye kulturen preger det som skjer) eller kulturell kongruens (hvor utbredt den samme kulturen er)? (velg i nedtrekksmenyen)</t>
  </si>
  <si>
    <t xml:space="preserve">1 Normen i prosjekt styrer hva montørene gjør også når Ronny ikke er der</t>
  </si>
  <si>
    <t xml:space="preserve">2 De tre avdelingene hos Nordlys melder avvik på tre ulike måter</t>
  </si>
  <si>
    <t xml:space="preserve">3 Hos Fjell gjelder de samme verdiene og normene for alle tre</t>
  </si>
  <si>
    <t xml:space="preserve">4 «Vi finner ut av det sammen» avgjør hvordan de to solcellemontørene løser hver eneste jobb</t>
  </si>
  <si>
    <t xml:space="preserve">e) Tom sier om de to fra solcelle: «De gjør det på sin egen måte. Det er en motkultur.» Har han rett?</t>
  </si>
  <si>
    <t xml:space="preserve">f) Mona Fjell: «Vi tre er alltid enige, og vi har aldri meldt et avvik. Vi har en sterk kultur.» Hva sier kapitlet?</t>
  </si>
  <si>
    <t xml:space="preserve">g) Hvis Kari velger sammenslåingen: hva må Tom gjøre så meldekulturen fra solcelle og lading ikke forsvinner? Bruk tallet fra b, ordet morgenmøte og ordet avvik. Tre setninger.</t>
  </si>
  <si>
    <t xml:space="preserve">Fasit, kapittel 19</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</si>
  <si>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</si>
  <si>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</si>
  <si>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</si>
  <si>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</si>
  <si>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a) Meldt av andre</t>
  </si>
  <si>
    <t xml:space="preserve">(32 − 18) / 32 × 100 = 14 / 32 × 100 = 43,8 %</t>
  </si>
  <si>
    <t xml:space="preserve">1A b) Egne feil i prosjekt</t>
  </si>
  <si>
    <t xml:space="preserve">2 / 9 × 100 = 22,2 %. Solcelle: 5 / 6 = 83,3 %. Service: 11 / 17 = 64,7 %</t>
  </si>
  <si>
    <t xml:space="preserve">1A c) Omgjøringen</t>
  </si>
  <si>
    <t xml:space="preserve">2 × 2 × 7,5 = 30 timer. Full kalender: 30 × 890 = 26 700 kr i tapt fakturering</t>
  </si>
  <si>
    <t xml:space="preserve">1A d) Forklaringen</t>
  </si>
  <si>
    <t xml:space="preserve">Kulturen: ulike uformelle normer for hva som skjer med den som sier fra. Struktur og formelle normer er like</t>
  </si>
  <si>
    <t xml:space="preserve">1A e) Begrepene</t>
  </si>
  <si>
    <t xml:space="preserve">Verdi: 1, 9. Formell norm: 3, 7. Uformell norm: 2, 4, 8. Virkelighetsoppfatning: 6, 10. Kulturelt symbol: 5, 11, 12</t>
  </si>
  <si>
    <t xml:space="preserve">1A f) Til Kari</t>
  </si>
  <si>
    <t xml:space="preserve">Påminnelsen gjentar den formelle normen alle kjenner; problemet er den uformelle normen. Advarselen er en sanksjon alle ser, og bekrefter at det koster å innrømme en feil. Kulturen er lært av erfaring (Schein) og endres bare av ny erfaring: spør hva som gjorde feilen mulig, takk den som melder, meld egne feil selv</t>
  </si>
  <si>
    <t xml:space="preserve">1B Kildene</t>
  </si>
  <si>
    <t xml:space="preserve">Nasjonal og lokal kultur: 1, 4, 8. Ledelsens kulturbygging: 3, 5, 7. Markedet: 2, 6</t>
  </si>
  <si>
    <t xml:space="preserve">1B Morgenkaffen</t>
  </si>
  <si>
    <t xml:space="preserve">En daglig rite, som ledelsen kan utforme og bruke (19.3.2)</t>
  </si>
  <si>
    <t xml:space="preserve">1B Lærlingen uten program</t>
  </si>
  <si>
    <t xml:space="preserve">Et systematisk opplæringsprogram er også en introduksjon til verdigrunnlaget (19.3.2)</t>
  </si>
  <si>
    <t xml:space="preserve">1B a) Nye hos Fjell</t>
  </si>
  <si>
    <t xml:space="preserve">2 / 5 × 100 = 40,0 %</t>
  </si>
  <si>
    <t xml:space="preserve">1B b) Nye hos Nordlys</t>
  </si>
  <si>
    <t xml:space="preserve">2 / 18 × 100 = 11,1 %. Hos Fjell er kulturen lettere å forme, og lettere å miste</t>
  </si>
  <si>
    <t xml:space="preserve">1B c) De første ukene</t>
  </si>
  <si>
    <t xml:space="preserve">Opplæringsprogram med sjekklista først. Morgenkaffen som rite: lærlingen spørres først hva som kan gå galt, og den som sier fra, takkes. Mona tar sjekklista selv hver gang. Den nye montøren spørres hva de gjorde annerledes der han kom fra</t>
  </si>
  <si>
    <t xml:space="preserve">1C a) Egne i ny avdeling</t>
  </si>
  <si>
    <t xml:space="preserve">(11 + 5) / (17 + 6) × 100 = 16 / 23 × 100 = 69,6 %</t>
  </si>
  <si>
    <t xml:space="preserve">1C b) Fra solcelle</t>
  </si>
  <si>
    <t xml:space="preserve">2 / 7 × 100 = 28,6 %</t>
  </si>
  <si>
    <t xml:space="preserve">1C c) De tre måtene</t>
  </si>
  <si>
    <t xml:space="preserve">Ja på 1 spesialisering, 2 kommunikasjon, 3 seleksjon av informasjon. Nei på 4 permen og 5 logoen, som er felles</t>
  </si>
  <si>
    <t xml:space="preserve">1C d) Styrke eller kongruens</t>
  </si>
  <si>
    <t xml:space="preserve">Styrke: 1, 4. Kongruens: 2 (lav hos Nordlys), 3 (høy hos Fjell)</t>
  </si>
  <si>
    <t xml:space="preserve">1C e) Toms påstand</t>
  </si>
  <si>
    <t xml:space="preserve">Nei: subkultur, ikke motkultur. De to støtter verdien om å melde fra, bare tydeligere</t>
  </si>
  <si>
    <t xml:space="preserve">1C f) Monas påstand</t>
  </si>
  <si>
    <t xml:space="preserve">Rask enighet og null avvik kan være gruppetenkning (19.5), ikke bevis på god kultur</t>
  </si>
  <si>
    <t xml:space="preserve">1C g) Sammenslåingen</t>
  </si>
  <si>
    <t xml:space="preserve">De to er 28,6 % av avdelingen; uten bevisst ledelse lærer de servicenormen. Tom bruker morgenmøtet som rite: avvik, også egne, tas opp, og den som melder, takkes. De to viser hvordan de går gjennom en feil sammen. Mål andelen egne avvik etter et år: 69,6 % er målet, 64,7 % betyr at solcellekulturen er borte</t>
  </si>
</sst>
</file>

<file path=xl/styles.xml><?xml version="1.0" encoding="utf-8"?>
<styleSheet xmlns="http://schemas.openxmlformats.org/spreadsheetml/2006/main">
  <numFmts count="3">
    <numFmt numFmtId="164" formatCode="General"/>
    <numFmt numFmtId="165" formatCode="#,##0"/>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sz val="10.5"/>
      <name val="Calibri"/>
      <family val="0"/>
      <charset val="1"/>
    </font>
    <font>
      <i val="true"/>
      <sz val="10.5"/>
      <color rgb="FF2F4A6D"/>
      <name val="Calibri"/>
      <family val="0"/>
      <charset val="1"/>
    </font>
    <font>
      <b val="true"/>
      <sz val="11"/>
      <color theme="1"/>
      <name val="Calibri"/>
      <family val="2"/>
      <charset val="1"/>
    </font>
  </fonts>
  <fills count="6">
    <fill>
      <patternFill patternType="none"/>
    </fill>
    <fill>
      <patternFill patternType="gray125"/>
    </fill>
    <fill>
      <patternFill patternType="solid">
        <fgColor rgb="FF2F4A6D"/>
        <bgColor rgb="FF333333"/>
      </patternFill>
    </fill>
    <fill>
      <patternFill patternType="solid">
        <fgColor rgb="FFE2EFDA"/>
        <bgColor rgb="FFDDEBF7"/>
      </patternFill>
    </fill>
    <fill>
      <patternFill patternType="solid">
        <fgColor rgb="FFFFF2CC"/>
        <bgColor rgb="FFE2EFDA"/>
      </patternFill>
    </fill>
    <fill>
      <patternFill patternType="solid">
        <fgColor rgb="FFDDEBF7"/>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6" fontId="0" fillId="4"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0" fillId="4" borderId="1" xfId="0" applyFont="false" applyBorder="true" applyAlignment="true" applyProtection="false">
      <alignment horizontal="right" vertical="center"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45"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17</v>
      </c>
    </row>
    <row r="4" customFormat="false" ht="15.75" hidden="false" customHeight="true" outlineLevel="0" collapsed="false">
      <c r="B4" s="8" t="s">
        <v>18</v>
      </c>
      <c r="C4" s="8"/>
      <c r="D4" s="8"/>
      <c r="E4" s="8"/>
      <c r="F4" s="8"/>
      <c r="G4" s="8"/>
      <c r="Z4" s="6" t="s">
        <v>19</v>
      </c>
    </row>
    <row r="5" customFormat="false" ht="135" hidden="false" customHeight="true" outlineLevel="0" collapsed="false">
      <c r="B5" s="9" t="s">
        <v>20</v>
      </c>
      <c r="C5" s="9"/>
      <c r="D5" s="9"/>
      <c r="E5" s="9"/>
      <c r="F5" s="9"/>
      <c r="G5" s="9"/>
      <c r="Z5" s="6" t="s">
        <v>21</v>
      </c>
    </row>
    <row r="6" customFormat="false" ht="15.75" hidden="false" customHeight="true" outlineLevel="0" collapsed="false">
      <c r="B6" s="8" t="s">
        <v>22</v>
      </c>
      <c r="C6" s="8"/>
      <c r="D6" s="8"/>
      <c r="E6" s="8"/>
      <c r="F6" s="8"/>
      <c r="G6" s="8"/>
      <c r="Z6" s="6" t="s">
        <v>23</v>
      </c>
    </row>
    <row r="7" customFormat="false" ht="90" hidden="false" customHeight="true" outlineLevel="0" collapsed="false">
      <c r="B7" s="9" t="s">
        <v>24</v>
      </c>
      <c r="C7" s="9"/>
      <c r="D7" s="9"/>
      <c r="E7" s="9"/>
      <c r="F7" s="9"/>
      <c r="G7" s="9"/>
      <c r="Z7" s="6" t="s">
        <v>25</v>
      </c>
    </row>
    <row r="8" customFormat="false" ht="15" hidden="false" customHeight="false" outlineLevel="0" collapsed="false">
      <c r="Z8" s="0" t="s">
        <v>26</v>
      </c>
    </row>
    <row r="9" customFormat="false" ht="15.75" hidden="false" customHeight="true" outlineLevel="0" collapsed="false">
      <c r="B9" s="8" t="s">
        <v>27</v>
      </c>
      <c r="C9" s="8"/>
      <c r="D9" s="8"/>
      <c r="E9" s="8"/>
      <c r="F9" s="8"/>
      <c r="G9" s="8"/>
      <c r="Z9" s="6" t="s">
        <v>19</v>
      </c>
    </row>
    <row r="10" customFormat="false" ht="30" hidden="false" customHeight="true" outlineLevel="0" collapsed="false">
      <c r="B10" s="9" t="s">
        <v>28</v>
      </c>
      <c r="C10" s="9"/>
      <c r="D10" s="9"/>
      <c r="E10" s="9"/>
      <c r="F10" s="9"/>
      <c r="G10" s="9"/>
      <c r="Z10" s="6" t="s">
        <v>21</v>
      </c>
    </row>
    <row r="11" customFormat="false" ht="15" hidden="false" customHeight="false" outlineLevel="0" collapsed="false">
      <c r="B11" s="10" t="s">
        <v>29</v>
      </c>
      <c r="C11" s="11" t="s">
        <v>30</v>
      </c>
      <c r="D11" s="11" t="s">
        <v>31</v>
      </c>
      <c r="Z11" s="6" t="s">
        <v>23</v>
      </c>
    </row>
    <row r="12" customFormat="false" ht="15" hidden="false" customHeight="false" outlineLevel="0" collapsed="false">
      <c r="B12" s="12" t="s">
        <v>32</v>
      </c>
      <c r="C12" s="13" t="n">
        <v>6</v>
      </c>
      <c r="D12" s="13" t="n">
        <v>5</v>
      </c>
      <c r="Z12" s="6" t="s">
        <v>25</v>
      </c>
    </row>
    <row r="13" customFormat="false" ht="15" hidden="false" customHeight="false" outlineLevel="0" collapsed="false">
      <c r="B13" s="12" t="s">
        <v>33</v>
      </c>
      <c r="C13" s="13" t="n">
        <v>17</v>
      </c>
      <c r="D13" s="13" t="n">
        <v>11</v>
      </c>
      <c r="Z13" s="6" t="s">
        <v>26</v>
      </c>
    </row>
    <row r="14" customFormat="false" ht="15" hidden="false" customHeight="false" outlineLevel="0" collapsed="false">
      <c r="B14" s="12" t="s">
        <v>34</v>
      </c>
      <c r="C14" s="13" t="n">
        <v>9</v>
      </c>
      <c r="D14" s="13" t="n">
        <v>2</v>
      </c>
      <c r="Z14" s="6" t="s">
        <v>19</v>
      </c>
    </row>
    <row r="15" customFormat="false" ht="15" hidden="false" customHeight="false" outlineLevel="0" collapsed="false">
      <c r="B15" s="12" t="s">
        <v>35</v>
      </c>
      <c r="C15" s="14" t="n">
        <f aca="false">C12+C13+C14</f>
        <v>32</v>
      </c>
      <c r="D15" s="14" t="n">
        <f aca="false">D12+D13+D14</f>
        <v>18</v>
      </c>
      <c r="Z15" s="6" t="s">
        <v>21</v>
      </c>
    </row>
    <row r="16" customFormat="false" ht="15" hidden="false" customHeight="false" outlineLevel="0" collapsed="false">
      <c r="Z16" s="0" t="s">
        <v>23</v>
      </c>
    </row>
    <row r="17" customFormat="false" ht="15.75" hidden="false" customHeight="true" outlineLevel="0" collapsed="false">
      <c r="B17" s="8" t="s">
        <v>36</v>
      </c>
      <c r="C17" s="8"/>
      <c r="D17" s="8"/>
      <c r="E17" s="8"/>
      <c r="F17" s="8"/>
      <c r="G17" s="8"/>
      <c r="Z17" s="6" t="s">
        <v>25</v>
      </c>
    </row>
    <row r="18" customFormat="false" ht="75" hidden="false" customHeight="true" outlineLevel="0" collapsed="false">
      <c r="B18" s="9" t="s">
        <v>37</v>
      </c>
      <c r="C18" s="9"/>
      <c r="D18" s="9"/>
      <c r="E18" s="9"/>
      <c r="F18" s="9"/>
      <c r="G18" s="9"/>
      <c r="Z18" s="6" t="s">
        <v>26</v>
      </c>
    </row>
    <row r="19" customFormat="false" ht="15" hidden="false" customHeight="false" outlineLevel="0" collapsed="false">
      <c r="Z19" s="0" t="s">
        <v>19</v>
      </c>
    </row>
    <row r="20" customFormat="false" ht="43.5" hidden="false" customHeight="true" outlineLevel="0" collapsed="false">
      <c r="B20" s="15" t="s">
        <v>38</v>
      </c>
      <c r="C20" s="16"/>
      <c r="D20" s="17" t="s">
        <v>39</v>
      </c>
      <c r="G20" s="18" t="str">
        <f aca="false">IF(C20="","Skriv svaret i den gule cellen.",IF(ABS(C20-(ROUND((32-18)/32*100,1)))&lt;=0.1,"Riktig.",IF(ABS(C20-(ROUND(18/32*100,1)))&lt;=0.1,"Du har regnet andelen som meldte sin egen feil. Oppgaven spør om resten: de som ble meldt av andre, 32 − 18.",IF(ABS(C20-(32-18))&lt;=0.1,"Det er antallet, 14. Oppgaven spør om prosent av 32: 14 / 32 × 100.",IF(ABS(C20-(ROUND(14/18*100,1)))&lt;=0.1,"Du har delt på 18. Del på alle avvikene, 32.","Ikke riktig ennå. Se på regnestykket øverst på fanen, og sjekk at du har med alle leddene.")))))</f>
        <v>Skriv svaret i den gule cellen.</v>
      </c>
      <c r="Z20" s="6" t="s">
        <v>21</v>
      </c>
    </row>
    <row r="21" customFormat="false" ht="43.5" hidden="false" customHeight="true" outlineLevel="0" collapsed="false">
      <c r="B21" s="15" t="s">
        <v>40</v>
      </c>
      <c r="C21" s="16"/>
      <c r="D21" s="17" t="s">
        <v>39</v>
      </c>
      <c r="G21" s="18" t="str">
        <f aca="false">IF(C21="","Skriv svaret i den gule cellen.",IF(ABS(C21-(ROUND(2/9*100,1)))&lt;=0.1,"Riktig.",IF(ABS(C21-(ROUND(7/9*100,1)))&lt;=0.1,"Det er andelen meldt av andre i prosjekt. Oppgaven spør om egne: 2 av 9.",IF(ABS(C21-(ROUND(2/32*100,1)))&lt;=0.1,"Du har delt på alle 32 avvikene. Her er det bare prosjekt og nybygg: 2 av 9.","Ikke riktig ennå. Se på regnestykket øverst på fanen, og sjekk at du har med alle leddene."))))</f>
        <v>Skriv svaret i den gule cellen.</v>
      </c>
      <c r="Z21" s="6" t="s">
        <v>23</v>
      </c>
    </row>
    <row r="22" customFormat="false" ht="43.5" hidden="false" customHeight="true" outlineLevel="0" collapsed="false">
      <c r="B22" s="15" t="s">
        <v>41</v>
      </c>
      <c r="C22" s="19"/>
      <c r="D22" s="17" t="s">
        <v>42</v>
      </c>
      <c r="G22" s="18" t="str">
        <f aca="false">IF(C22="","Skriv svaret i den gule cellen.",IF(C22=(2*2*7.5*890),"Riktig.",IF(ABS(C22-(2*7.5*890))&lt;=0,"Du har regnet én montør. Det var to, i to dager hver.",IF(ABS(C22-(2*2*7.5))&lt;=0,"Det er timene, 30. Gang med timeprisen 890 kr.",IF(ABS(C22-(2*2*890))&lt;=0,"Du har glemt timene per dag. 2 montører × 2 dager × 7,5 timer = 30 timer.","Ikke riktig ennå. Se på regnestykket øverst på fanen, og sjekk at du har med alle leddene.")))))</f>
        <v>Skriv svaret i den gule cellen.</v>
      </c>
      <c r="Z22" s="6" t="s">
        <v>25</v>
      </c>
    </row>
    <row r="23" customFormat="false" ht="15" hidden="false" customHeight="false" outlineLevel="0" collapsed="false">
      <c r="Z23" s="0" t="s">
        <v>26</v>
      </c>
    </row>
    <row r="24" customFormat="false" ht="39.75" hidden="false" customHeight="true" outlineLevel="0" collapsed="false">
      <c r="B24" s="15" t="s">
        <v>43</v>
      </c>
      <c r="C24" s="20"/>
      <c r="G24" s="18" t="str">
        <f aca="false">IF(C24="","Velg i nedtrekksmenyen.",IF(C24="Kulturen: ulike uformelle normer for hva som skjer med den som sier fra","Riktig. Strukturen og de formelle normene er like i alle avdelingene (19.1). Det som skiller, er de uformelle prosessene, som boka knytter til kulturen: kulturen har stor innvirkning på hvordan de formelle oppgavene løses. Montøren var like dyktig dagen han la om kursene som dagen feilen ble funnet.","Ikke riktig. Strukturen og de formelle normene er like i alle avdelingene (19.1). Det som skiller, er de uformelle prosessene, som boka knytter til kulturen: kulturen har stor innvirkning på hvordan de formelle oppgavene løses. Montøren var like dyktig dagen han la om kursene som dagen feilen ble funnet."))</f>
        <v>Velg i nedtrekksmenyen.</v>
      </c>
      <c r="Z24" s="6" t="s">
        <v>19</v>
      </c>
    </row>
    <row r="25" customFormat="false" ht="15" hidden="false" customHeight="false" outlineLevel="0" collapsed="false">
      <c r="Z25" s="0" t="s">
        <v>21</v>
      </c>
    </row>
    <row r="26" customFormat="false" ht="15.75" hidden="false" customHeight="true" outlineLevel="0" collapsed="false">
      <c r="B26" s="8" t="s">
        <v>44</v>
      </c>
      <c r="C26" s="8"/>
      <c r="D26" s="8"/>
      <c r="E26" s="8"/>
      <c r="F26" s="8"/>
      <c r="G26" s="8"/>
      <c r="Z26" s="6" t="s">
        <v>23</v>
      </c>
    </row>
    <row r="27" customFormat="false" ht="60" hidden="false" customHeight="true" outlineLevel="0" collapsed="false">
      <c r="B27" s="9" t="s">
        <v>45</v>
      </c>
      <c r="C27" s="9"/>
      <c r="D27" s="9"/>
      <c r="E27" s="9"/>
      <c r="F27" s="9"/>
      <c r="G27" s="9"/>
      <c r="Z27" s="6" t="s">
        <v>25</v>
      </c>
    </row>
    <row r="28" customFormat="false" ht="39.75" hidden="false" customHeight="true" outlineLevel="0" collapsed="false">
      <c r="B28" s="15" t="s">
        <v>46</v>
      </c>
      <c r="C28" s="20"/>
      <c r="G28" s="18" t="str">
        <f aca="false">IF(C28="","Velg i nedtrekksmenyen.",IF(C28="Verdi","Riktig. En verdi: det bedriften sier er godt (19.1). Én ting er å vite hva som er godt, noe annet er å gjøre det.","Ikke riktig. En verdi: det bedriften sier er godt (19.1). Én ting er å vite hva som er godt, noe annet er å gjøre det."))</f>
        <v>Velg i nedtrekksmenyen.</v>
      </c>
      <c r="Z28" s="6" t="s">
        <v>26</v>
      </c>
    </row>
    <row r="29" customFormat="false" ht="39.75" hidden="false" customHeight="true" outlineLevel="0" collapsed="false">
      <c r="B29" s="15" t="s">
        <v>47</v>
      </c>
      <c r="C29" s="20"/>
      <c r="G29" s="18" t="str">
        <f aca="false">IF(C29="","Velg i nedtrekksmenyen.",IF(C29="Uformell norm","Riktig. En uformell norm: ingen har skrevet den ned, men den styrer hva som er akseptabelt (19.1).","Ikke riktig. En uformell norm: ingen har skrevet den ned, men den styrer hva som er akseptabelt (19.1)."))</f>
        <v>Velg i nedtrekksmenyen.</v>
      </c>
      <c r="Z29" s="6" t="s">
        <v>19</v>
      </c>
    </row>
    <row r="30" customFormat="false" ht="39.75" hidden="false" customHeight="true" outlineLevel="0" collapsed="false">
      <c r="B30" s="15" t="s">
        <v>48</v>
      </c>
      <c r="C30" s="20"/>
      <c r="G30" s="18" t="str">
        <f aca="false">IF(C30="","Velg i nedtrekksmenyen.",IF(C30="Formell norm","Riktig. En formell norm: boka regner regler, rutiner og prosedyrer som formelle normer (19.1).","Ikke riktig. En formell norm: boka regner regler, rutiner og prosedyrer som formelle normer (19.1)."))</f>
        <v>Velg i nedtrekksmenyen.</v>
      </c>
      <c r="Z30" s="6" t="s">
        <v>21</v>
      </c>
    </row>
    <row r="31" customFormat="false" ht="39.75" hidden="false" customHeight="true" outlineLevel="0" collapsed="false">
      <c r="B31" s="15" t="s">
        <v>49</v>
      </c>
      <c r="C31" s="20"/>
      <c r="G31" s="18" t="str">
        <f aca="false">IF(C31="","Velg i nedtrekksmenyen.",IF(C31="Uformell norm","Riktig. En uformell norm, skikk og bruk. Bryter du den, får du høre det: sanksjon (19.1).","Ikke riktig. En uformell norm, skikk og bruk. Bryter du den, får du høre det: sanksjon (19.1)."))</f>
        <v>Velg i nedtrekksmenyen.</v>
      </c>
      <c r="Z31" s="6" t="s">
        <v>23</v>
      </c>
    </row>
    <row r="32" customFormat="false" ht="39.75" hidden="false" customHeight="true" outlineLevel="0" collapsed="false">
      <c r="B32" s="15" t="s">
        <v>50</v>
      </c>
      <c r="C32" s="20"/>
      <c r="G32" s="18" t="str">
        <f aca="false">IF(C32="","Velg i nedtrekksmenyen.",IF(C32="Kulturelt symbol","Riktig. Et kulturelt symbol: logo og påkledning er bokas egne eksempler (19.2).","Ikke riktig. Et kulturelt symbol: logo og påkledning er bokas egne eksempler (19.2)."))</f>
        <v>Velg i nedtrekksmenyen.</v>
      </c>
      <c r="Z32" s="6" t="s">
        <v>25</v>
      </c>
    </row>
    <row r="33" customFormat="false" ht="39.75" hidden="false" customHeight="true" outlineLevel="0" collapsed="false">
      <c r="B33" s="15" t="s">
        <v>51</v>
      </c>
      <c r="C33" s="20"/>
      <c r="G33" s="18" t="str">
        <f aca="false">IF(C33="","Velg i nedtrekksmenyen.",IF(C33="Virkelighetsoppfatning","Riktig. En virkelighetsoppfatning: noe som tas for gitt som sant uten å bli sagt (19.1). Den forklarer 2 av 9.","Ikke riktig. En virkelighetsoppfatning: noe som tas for gitt som sant uten å bli sagt (19.1). Den forklarer 2 av 9."))</f>
        <v>Velg i nedtrekksmenyen.</v>
      </c>
      <c r="Z33" s="6" t="s">
        <v>26</v>
      </c>
    </row>
    <row r="34" customFormat="false" ht="39.75" hidden="false" customHeight="true" outlineLevel="0" collapsed="false">
      <c r="B34" s="15" t="s">
        <v>52</v>
      </c>
      <c r="C34" s="20"/>
      <c r="G34" s="18" t="str">
        <f aca="false">IF(C34="","Velg i nedtrekksmenyen.",IF(C34="Formell norm","Riktig. En formell norm: en skrevet rutine (19.1).","Ikke riktig. En formell norm: en skrevet rutine (19.1)."))</f>
        <v>Velg i nedtrekksmenyen.</v>
      </c>
      <c r="Z34" s="6" t="s">
        <v>19</v>
      </c>
    </row>
    <row r="35" customFormat="false" ht="39.75" hidden="false" customHeight="true" outlineLevel="0" collapsed="false">
      <c r="B35" s="15" t="s">
        <v>53</v>
      </c>
      <c r="C35" s="20"/>
      <c r="G35" s="18" t="str">
        <f aca="false">IF(C35="","Velg i nedtrekksmenyen.",IF(C35="Uformell norm","Riktig. En uformell norm som går foran den formelle. Når de to kolliderer, viser den uformelle hva som faktisk gjelder (19.1).","Ikke riktig. En uformell norm som går foran den formelle. Når de to kolliderer, viser den uformelle hva som faktisk gjelder (19.1)."))</f>
        <v>Velg i nedtrekksmenyen.</v>
      </c>
      <c r="Z35" s="6" t="s">
        <v>21</v>
      </c>
    </row>
    <row r="36" customFormat="false" ht="39.75" hidden="false" customHeight="true" outlineLevel="0" collapsed="false">
      <c r="B36" s="15" t="s">
        <v>54</v>
      </c>
      <c r="C36" s="20"/>
      <c r="G36" s="18" t="str">
        <f aca="false">IF(C36="","Velg i nedtrekksmenyen.",IF(C36="Verdi","Riktig. En verdi: det Mona sier er godt (19.1). Normen i 8 viser hva som faktisk gjelder.","Ikke riktig. En verdi: det Mona sier er godt (19.1). Normen i 8 viser hva som faktisk gjelder."))</f>
        <v>Velg i nedtrekksmenyen.</v>
      </c>
      <c r="Z36" s="6" t="s">
        <v>23</v>
      </c>
    </row>
    <row r="37" customFormat="false" ht="39.75" hidden="false" customHeight="true" outlineLevel="0" collapsed="false">
      <c r="B37" s="15" t="s">
        <v>55</v>
      </c>
      <c r="C37" s="20"/>
      <c r="G37" s="18" t="str">
        <f aca="false">IF(C37="","Velg i nedtrekksmenyen.",IF(C37="Virkelighetsoppfatning","Riktig. En virkelighetsoppfatning: hvordan Mona tar for gitt at hennes bedrift er (19.1). Den kan forklare hvorfor sjekklista hoppes over.","Ikke riktig. En virkelighetsoppfatning: hvordan Mona tar for gitt at hennes bedrift er (19.1). Den kan forklare hvorfor sjekklista hoppes over."))</f>
        <v>Velg i nedtrekksmenyen.</v>
      </c>
      <c r="Z37" s="6" t="s">
        <v>25</v>
      </c>
    </row>
    <row r="38" customFormat="false" ht="39.75" hidden="false" customHeight="true" outlineLevel="0" collapsed="false">
      <c r="B38" s="15" t="s">
        <v>56</v>
      </c>
      <c r="C38" s="20"/>
      <c r="G38" s="18" t="str">
        <f aca="false">IF(C38="","Velg i nedtrekksmenyen.",IF(C38="Kulturelt symbol","Riktig. Et kulturelt symbol: språk og fagspråk preger kulturen, og tonen smitter over på resten av samtalen (19.2).","Ikke riktig. Et kulturelt symbol: språk og fagspråk preger kulturen, og tonen smitter over på resten av samtalen (19.2)."))</f>
        <v>Velg i nedtrekksmenyen.</v>
      </c>
      <c r="Z38" s="6" t="s">
        <v>26</v>
      </c>
    </row>
    <row r="39" customFormat="false" ht="39.75" hidden="false" customHeight="true" outlineLevel="0" collapsed="false">
      <c r="B39" s="15" t="s">
        <v>57</v>
      </c>
      <c r="C39" s="20"/>
      <c r="G39" s="18" t="str">
        <f aca="false">IF(C39="","Velg i nedtrekksmenyen.",IF(C39="Kulturelt symbol","Riktig. Et kulturelt symbol: historiene er en del av den kulturelle arven (19.2).","Ikke riktig. Et kulturelt symbol: historiene er en del av den kulturelle arven (19.2)."))</f>
        <v>Velg i nedtrekksmenyen.</v>
      </c>
      <c r="Z39" s="6" t="s">
        <v>19</v>
      </c>
    </row>
    <row r="40" customFormat="false" ht="15" hidden="false" customHeight="false" outlineLevel="0" collapsed="false">
      <c r="Z40" s="0" t="s">
        <v>21</v>
      </c>
    </row>
    <row r="41" customFormat="false" ht="30" hidden="false" customHeight="true" outlineLevel="0" collapsed="false">
      <c r="B41" s="9" t="s">
        <v>58</v>
      </c>
      <c r="C41" s="9"/>
      <c r="D41" s="9"/>
      <c r="E41" s="9"/>
      <c r="F41" s="9"/>
      <c r="G41" s="9"/>
      <c r="Z41" s="6" t="s">
        <v>23</v>
      </c>
    </row>
    <row r="42" customFormat="false" ht="21.75" hidden="false" customHeight="true" outlineLevel="0" collapsed="false">
      <c r="B42" s="21"/>
      <c r="C42" s="21"/>
      <c r="D42" s="21"/>
      <c r="E42" s="21"/>
      <c r="F42" s="21"/>
      <c r="G42" s="21"/>
      <c r="Z42" s="6" t="s">
        <v>25</v>
      </c>
    </row>
    <row r="43" customFormat="false" ht="21.75" hidden="false" customHeight="true" outlineLevel="0" collapsed="false">
      <c r="B43" s="21"/>
      <c r="C43" s="21"/>
      <c r="D43" s="21"/>
      <c r="E43" s="21"/>
      <c r="F43" s="21"/>
      <c r="G43" s="21"/>
      <c r="Z43" s="6" t="s">
        <v>26</v>
      </c>
    </row>
    <row r="44" customFormat="false" ht="21.75" hidden="false" customHeight="true" outlineLevel="0" collapsed="false">
      <c r="B44" s="21"/>
      <c r="C44" s="21"/>
      <c r="D44" s="21"/>
      <c r="E44" s="21"/>
      <c r="F44" s="21"/>
      <c r="G44" s="21"/>
      <c r="Z44" s="6" t="s">
        <v>19</v>
      </c>
    </row>
    <row r="45" customFormat="false" ht="39.75" hidden="false" customHeight="true" outlineLevel="0" collapsed="false">
      <c r="B45" s="22" t="str">
        <f aca="false">IF(LEN(B42)&lt;40,"",IF(AND(ISNUMBER(SEARCH("norm",B42)),ISNUMBER(SEARCH("erfar",B42))),"Bra: du bruker både norm og erfaring. Sjekk at du sier hvilken norm påminnelsen ikke rører (den uformelle), og hva Kari kan gjøre som gir ny erfaring: takke den som melder, og melde egne feil selv.",IF(OR(ISNUMBER(SEARCH("norm",B42)),ISNUMBER(SEARCH("erfar",B42))),"Du er på sporet. Si at påminnelsen gjentar den formelle normen som alle kjenner, mens problemet sitter i den uformelle normen, og at kulturen er lært av erfaring og bare endres av ny erfaring.","Tips: påminnelsen gjentar den formelle normen og verdien, som alle kjenner fra før. Advarselen er en sanksjon alle ser, og den bekrefter normen «meld bare hvis noen andre ser det». Schein: kulturen er lært og består så lenge den oppfattes som riktig. Kari må gi ny erfaring: spørre hva som gjorde feilen mulig, takke den som melder, og melde egne feil selv. 26 700 kr er argumentet.")))</f>
        <v/>
      </c>
      <c r="C45" s="22"/>
      <c r="D45" s="22"/>
      <c r="E45" s="22"/>
      <c r="F45" s="22"/>
      <c r="G45" s="22"/>
      <c r="Z45" s="6" t="s">
        <v>21</v>
      </c>
    </row>
    <row r="46" customFormat="false" ht="15" hidden="false" customHeight="false" outlineLevel="0" collapsed="false">
      <c r="B46" s="23" t="s">
        <v>59</v>
      </c>
      <c r="C46" s="20"/>
      <c r="Z46" s="6" t="s">
        <v>23</v>
      </c>
    </row>
    <row r="47" customFormat="false" ht="60" hidden="false" customHeight="true" outlineLevel="0" collapsed="false">
      <c r="B47" s="24" t="str">
        <f aca="false">IF(C46="JA","Hint: a: (32 − 18) / 32 × 100 = 43,8. b: 2 / 9 × 100 = 22,2. c: 2 × 2 × 7,5 = 30 timer, 30 × 890 = 26 700 kr. d: kulturen. e: plakaten og «sikkerhet viktigst» er verdier; permen og sjekklista er formelle normer; «hvis andre ser det», «sist fyller bilen» og «når vi har tid» er uformelle normer; «det koster å innrømme» og «rutiner er for store bedrifter» er virkelighetsoppfatninger; logoen, fagspråket og historien er kulturelle symboler.","")</f>
        <v/>
      </c>
      <c r="C47" s="24"/>
      <c r="D47" s="24"/>
      <c r="E47" s="24"/>
      <c r="F47" s="24"/>
      <c r="G47" s="24"/>
      <c r="Z47" s="6" t="s">
        <v>25</v>
      </c>
    </row>
    <row r="48" customFormat="false" ht="15" hidden="false" customHeight="false" outlineLevel="0" collapsed="false">
      <c r="Z48" s="0" t="s">
        <v>26</v>
      </c>
    </row>
    <row r="49" customFormat="false" ht="30" hidden="false" customHeight="true" outlineLevel="0" collapsed="false">
      <c r="B49" s="7" t="s">
        <v>60</v>
      </c>
      <c r="C49" s="7"/>
      <c r="D49" s="7"/>
      <c r="E49" s="7"/>
      <c r="F49" s="7"/>
      <c r="G49" s="7"/>
      <c r="Z49" s="6" t="s">
        <v>19</v>
      </c>
    </row>
    <row r="50" customFormat="false" ht="15" hidden="false" customHeight="false" outlineLevel="0" collapsed="false">
      <c r="Z50" s="0" t="s">
        <v>21</v>
      </c>
    </row>
    <row r="51" customFormat="false" ht="15" hidden="false" customHeight="false" outlineLevel="0" collapsed="false">
      <c r="Z51" s="0" t="s">
        <v>23</v>
      </c>
    </row>
    <row r="52" customFormat="false" ht="15" hidden="false" customHeight="false" outlineLevel="0" collapsed="false">
      <c r="Z52" s="0" t="s">
        <v>25</v>
      </c>
    </row>
    <row r="53" customFormat="false" ht="15" hidden="false" customHeight="false" outlineLevel="0" collapsed="false">
      <c r="Z53" s="0" t="s">
        <v>26</v>
      </c>
    </row>
    <row r="54" customFormat="false" ht="15" hidden="false" customHeight="false" outlineLevel="0" collapsed="false">
      <c r="Z54" s="0" t="s">
        <v>19</v>
      </c>
    </row>
    <row r="55" customFormat="false" ht="15" hidden="false" customHeight="false" outlineLevel="0" collapsed="false">
      <c r="Z55" s="0" t="s">
        <v>21</v>
      </c>
    </row>
    <row r="56" customFormat="false" ht="15" hidden="false" customHeight="false" outlineLevel="0" collapsed="false">
      <c r="Z56" s="0" t="s">
        <v>23</v>
      </c>
    </row>
    <row r="57" customFormat="false" ht="15" hidden="false" customHeight="false" outlineLevel="0" collapsed="false">
      <c r="Z57" s="0" t="s">
        <v>25</v>
      </c>
    </row>
    <row r="58" customFormat="false" ht="15" hidden="false" customHeight="false" outlineLevel="0" collapsed="false">
      <c r="Z58" s="0" t="s">
        <v>26</v>
      </c>
    </row>
    <row r="59" customFormat="false" ht="15" hidden="false" customHeight="false" outlineLevel="0" collapsed="false">
      <c r="Z59" s="0" t="s">
        <v>19</v>
      </c>
    </row>
    <row r="60" customFormat="false" ht="15" hidden="false" customHeight="false" outlineLevel="0" collapsed="false">
      <c r="Z60" s="0" t="s">
        <v>21</v>
      </c>
    </row>
    <row r="61" customFormat="false" ht="15" hidden="false" customHeight="false" outlineLevel="0" collapsed="false">
      <c r="Z61" s="0" t="s">
        <v>23</v>
      </c>
    </row>
    <row r="62" customFormat="false" ht="15" hidden="false" customHeight="false" outlineLevel="0" collapsed="false">
      <c r="Z62" s="0" t="s">
        <v>25</v>
      </c>
    </row>
    <row r="63" customFormat="false" ht="15" hidden="false" customHeight="false" outlineLevel="0" collapsed="false">
      <c r="Z63" s="0" t="s">
        <v>26</v>
      </c>
    </row>
  </sheetData>
  <mergeCells count="17">
    <mergeCell ref="B2:G2"/>
    <mergeCell ref="B3:G3"/>
    <mergeCell ref="B4:G4"/>
    <mergeCell ref="B5:G5"/>
    <mergeCell ref="B6:G6"/>
    <mergeCell ref="B7:G7"/>
    <mergeCell ref="B9:G9"/>
    <mergeCell ref="B10:G10"/>
    <mergeCell ref="B17:G17"/>
    <mergeCell ref="B18:G18"/>
    <mergeCell ref="B26:G26"/>
    <mergeCell ref="B27:G27"/>
    <mergeCell ref="B41:G41"/>
    <mergeCell ref="B42:G44"/>
    <mergeCell ref="B45:G45"/>
    <mergeCell ref="B47:G47"/>
    <mergeCell ref="B49:G49"/>
  </mergeCells>
  <conditionalFormatting sqref="G20">
    <cfRule type="expression" priority="2" aboveAverage="0" equalAverage="0" bottom="0" percent="0" rank="0" text="" dxfId="0">
      <formula>LEFT(G20,6)="Riktig"</formula>
    </cfRule>
    <cfRule type="expression" priority="3" aboveAverage="0" equalAverage="0" bottom="0" percent="0" rank="0" text="" dxfId="1">
      <formula>AND(G20&lt;&gt;"",LEFT(G20,6)&lt;&gt;"Riktig",LEFT(G20,5)&lt;&gt;"Skriv")</formula>
    </cfRule>
  </conditionalFormatting>
  <conditionalFormatting sqref="G21">
    <cfRule type="expression" priority="4" aboveAverage="0" equalAverage="0" bottom="0" percent="0" rank="0" text="" dxfId="0">
      <formula>LEFT(G21,6)="Riktig"</formula>
    </cfRule>
    <cfRule type="expression" priority="5" aboveAverage="0" equalAverage="0" bottom="0" percent="0" rank="0" text="" dxfId="1">
      <formula>AND(G21&lt;&gt;"",LEFT(G21,6)&lt;&gt;"Riktig",LEFT(G21,5)&lt;&gt;"Skriv")</formula>
    </cfRule>
  </conditionalFormatting>
  <conditionalFormatting sqref="G22">
    <cfRule type="expression" priority="6" aboveAverage="0" equalAverage="0" bottom="0" percent="0" rank="0" text="" dxfId="0">
      <formula>LEFT(G22,6)="Riktig"</formula>
    </cfRule>
    <cfRule type="expression" priority="7" aboveAverage="0" equalAverage="0" bottom="0" percent="0" rank="0" text="" dxfId="1">
      <formula>AND(G22&lt;&gt;"",LEFT(G22,6)&lt;&gt;"Riktig",LEFT(G22,5)&lt;&gt;"Skriv")</formula>
    </cfRule>
  </conditionalFormatting>
  <conditionalFormatting sqref="G24">
    <cfRule type="expression" priority="8" aboveAverage="0" equalAverage="0" bottom="0" percent="0" rank="0" text="" dxfId="0">
      <formula>LEFT(G24,6)="Riktig"</formula>
    </cfRule>
    <cfRule type="expression" priority="9" aboveAverage="0" equalAverage="0" bottom="0" percent="0" rank="0" text="" dxfId="1">
      <formula>LEFT(G24,4)="Ikke"</formula>
    </cfRule>
  </conditionalFormatting>
  <conditionalFormatting sqref="G28">
    <cfRule type="expression" priority="10" aboveAverage="0" equalAverage="0" bottom="0" percent="0" rank="0" text="" dxfId="0">
      <formula>LEFT(G28,6)="Riktig"</formula>
    </cfRule>
    <cfRule type="expression" priority="11" aboveAverage="0" equalAverage="0" bottom="0" percent="0" rank="0" text="" dxfId="1">
      <formula>LEFT(G28,4)="Ikke"</formula>
    </cfRule>
  </conditionalFormatting>
  <conditionalFormatting sqref="G29">
    <cfRule type="expression" priority="12" aboveAverage="0" equalAverage="0" bottom="0" percent="0" rank="0" text="" dxfId="0">
      <formula>LEFT(G29,6)="Riktig"</formula>
    </cfRule>
    <cfRule type="expression" priority="13" aboveAverage="0" equalAverage="0" bottom="0" percent="0" rank="0" text="" dxfId="1">
      <formula>LEFT(G29,4)="Ikke"</formula>
    </cfRule>
  </conditionalFormatting>
  <conditionalFormatting sqref="G30">
    <cfRule type="expression" priority="14" aboveAverage="0" equalAverage="0" bottom="0" percent="0" rank="0" text="" dxfId="0">
      <formula>LEFT(G30,6)="Riktig"</formula>
    </cfRule>
    <cfRule type="expression" priority="15" aboveAverage="0" equalAverage="0" bottom="0" percent="0" rank="0" text="" dxfId="1">
      <formula>LEFT(G30,4)="Ikke"</formula>
    </cfRule>
  </conditionalFormatting>
  <conditionalFormatting sqref="G31">
    <cfRule type="expression" priority="16" aboveAverage="0" equalAverage="0" bottom="0" percent="0" rank="0" text="" dxfId="0">
      <formula>LEFT(G31,6)="Riktig"</formula>
    </cfRule>
    <cfRule type="expression" priority="17" aboveAverage="0" equalAverage="0" bottom="0" percent="0" rank="0" text="" dxfId="1">
      <formula>LEFT(G31,4)="Ikke"</formula>
    </cfRule>
  </conditionalFormatting>
  <conditionalFormatting sqref="G32">
    <cfRule type="expression" priority="18" aboveAverage="0" equalAverage="0" bottom="0" percent="0" rank="0" text="" dxfId="0">
      <formula>LEFT(G32,6)="Riktig"</formula>
    </cfRule>
    <cfRule type="expression" priority="19" aboveAverage="0" equalAverage="0" bottom="0" percent="0" rank="0" text="" dxfId="1">
      <formula>LEFT(G32,4)="Ikke"</formula>
    </cfRule>
  </conditionalFormatting>
  <conditionalFormatting sqref="G33">
    <cfRule type="expression" priority="20" aboveAverage="0" equalAverage="0" bottom="0" percent="0" rank="0" text="" dxfId="0">
      <formula>LEFT(G33,6)="Riktig"</formula>
    </cfRule>
    <cfRule type="expression" priority="21" aboveAverage="0" equalAverage="0" bottom="0" percent="0" rank="0" text="" dxfId="1">
      <formula>LEFT(G33,4)="Ikke"</formula>
    </cfRule>
  </conditionalFormatting>
  <conditionalFormatting sqref="G34">
    <cfRule type="expression" priority="22" aboveAverage="0" equalAverage="0" bottom="0" percent="0" rank="0" text="" dxfId="0">
      <formula>LEFT(G34,6)="Riktig"</formula>
    </cfRule>
    <cfRule type="expression" priority="23" aboveAverage="0" equalAverage="0" bottom="0" percent="0" rank="0" text="" dxfId="1">
      <formula>LEFT(G34,4)="Ikke"</formula>
    </cfRule>
  </conditionalFormatting>
  <conditionalFormatting sqref="G35">
    <cfRule type="expression" priority="24" aboveAverage="0" equalAverage="0" bottom="0" percent="0" rank="0" text="" dxfId="0">
      <formula>LEFT(G35,6)="Riktig"</formula>
    </cfRule>
    <cfRule type="expression" priority="25" aboveAverage="0" equalAverage="0" bottom="0" percent="0" rank="0" text="" dxfId="1">
      <formula>LEFT(G35,4)="Ikke"</formula>
    </cfRule>
  </conditionalFormatting>
  <conditionalFormatting sqref="G36">
    <cfRule type="expression" priority="26" aboveAverage="0" equalAverage="0" bottom="0" percent="0" rank="0" text="" dxfId="0">
      <formula>LEFT(G36,6)="Riktig"</formula>
    </cfRule>
    <cfRule type="expression" priority="27" aboveAverage="0" equalAverage="0" bottom="0" percent="0" rank="0" text="" dxfId="1">
      <formula>LEFT(G36,4)="Ikke"</formula>
    </cfRule>
  </conditionalFormatting>
  <conditionalFormatting sqref="G37">
    <cfRule type="expression" priority="28" aboveAverage="0" equalAverage="0" bottom="0" percent="0" rank="0" text="" dxfId="0">
      <formula>LEFT(G37,6)="Riktig"</formula>
    </cfRule>
    <cfRule type="expression" priority="29" aboveAverage="0" equalAverage="0" bottom="0" percent="0" rank="0" text="" dxfId="1">
      <formula>LEFT(G37,4)="Ikke"</formula>
    </cfRule>
  </conditionalFormatting>
  <conditionalFormatting sqref="G38">
    <cfRule type="expression" priority="30" aboveAverage="0" equalAverage="0" bottom="0" percent="0" rank="0" text="" dxfId="0">
      <formula>LEFT(G38,6)="Riktig"</formula>
    </cfRule>
    <cfRule type="expression" priority="31" aboveAverage="0" equalAverage="0" bottom="0" percent="0" rank="0" text="" dxfId="1">
      <formula>LEFT(G38,4)="Ikke"</formula>
    </cfRule>
  </conditionalFormatting>
  <conditionalFormatting sqref="G39">
    <cfRule type="expression" priority="32" aboveAverage="0" equalAverage="0" bottom="0" percent="0" rank="0" text="" dxfId="0">
      <formula>LEFT(G39,6)="Riktig"</formula>
    </cfRule>
    <cfRule type="expression" priority="33" aboveAverage="0" equalAverage="0" bottom="0" percent="0" rank="0" text="" dxfId="1">
      <formula>LEFT(G39,4)="Ikke"</formula>
    </cfRule>
  </conditionalFormatting>
  <dataValidations count="14">
    <dataValidation allowBlank="true" errorStyle="stop" operator="between" showDropDown="false" showErrorMessage="false" showInputMessage="false" sqref="C24" type="list">
      <formula1>$Z$1:$Z$3</formula1>
      <formula2>0</formula2>
    </dataValidation>
    <dataValidation allowBlank="true" errorStyle="stop" operator="between" showDropDown="false" showErrorMessage="false" showInputMessage="false" sqref="C28" type="list">
      <formula1>$Z$4:$Z$8</formula1>
      <formula2>0</formula2>
    </dataValidation>
    <dataValidation allowBlank="true" errorStyle="stop" operator="between" showDropDown="false" showErrorMessage="false" showInputMessage="false" sqref="C29" type="list">
      <formula1>$Z$9:$Z$13</formula1>
      <formula2>0</formula2>
    </dataValidation>
    <dataValidation allowBlank="true" errorStyle="stop" operator="between" showDropDown="false" showErrorMessage="false" showInputMessage="false" sqref="C30" type="list">
      <formula1>$Z$14:$Z$18</formula1>
      <formula2>0</formula2>
    </dataValidation>
    <dataValidation allowBlank="true" errorStyle="stop" operator="between" showDropDown="false" showErrorMessage="false" showInputMessage="false" sqref="C31" type="list">
      <formula1>$Z$19:$Z$23</formula1>
      <formula2>0</formula2>
    </dataValidation>
    <dataValidation allowBlank="true" errorStyle="stop" operator="between" showDropDown="false" showErrorMessage="false" showInputMessage="false" sqref="C32" type="list">
      <formula1>$Z$24:$Z$28</formula1>
      <formula2>0</formula2>
    </dataValidation>
    <dataValidation allowBlank="true" errorStyle="stop" operator="between" showDropDown="false" showErrorMessage="false" showInputMessage="false" sqref="C33" type="list">
      <formula1>$Z$29:$Z$33</formula1>
      <formula2>0</formula2>
    </dataValidation>
    <dataValidation allowBlank="true" errorStyle="stop" operator="between" showDropDown="false" showErrorMessage="false" showInputMessage="false" sqref="C34" type="list">
      <formula1>$Z$34:$Z$38</formula1>
      <formula2>0</formula2>
    </dataValidation>
    <dataValidation allowBlank="true" errorStyle="stop" operator="between" showDropDown="false" showErrorMessage="false" showInputMessage="false" sqref="C35" type="list">
      <formula1>$Z$39:$Z$43</formula1>
      <formula2>0</formula2>
    </dataValidation>
    <dataValidation allowBlank="true" errorStyle="stop" operator="between" showDropDown="false" showErrorMessage="false" showInputMessage="false" sqref="C36" type="list">
      <formula1>$Z$44:$Z$48</formula1>
      <formula2>0</formula2>
    </dataValidation>
    <dataValidation allowBlank="true" errorStyle="stop" operator="between" showDropDown="false" showErrorMessage="false" showInputMessage="false" sqref="C37" type="list">
      <formula1>$Z$49:$Z$53</formula1>
      <formula2>0</formula2>
    </dataValidation>
    <dataValidation allowBlank="true" errorStyle="stop" operator="between" showDropDown="false" showErrorMessage="false" showInputMessage="false" sqref="C38" type="list">
      <formula1>$Z$54:$Z$58</formula1>
      <formula2>0</formula2>
    </dataValidation>
    <dataValidation allowBlank="true" errorStyle="stop" operator="between" showDropDown="false" showErrorMessage="false" showInputMessage="false" sqref="C39" type="list">
      <formula1>$Z$59:$Z$63</formula1>
      <formula2>0</formula2>
    </dataValidation>
    <dataValidation allowBlank="true" errorStyle="stop" operator="between" showDropDown="false" showErrorMessage="false" showInputMessage="false" sqref="C46"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61</v>
      </c>
    </row>
    <row r="2" customFormat="false" ht="25.5" hidden="false" customHeight="true" outlineLevel="0" collapsed="false">
      <c r="B2" s="5" t="s">
        <v>62</v>
      </c>
      <c r="C2" s="5"/>
      <c r="D2" s="5"/>
      <c r="E2" s="5"/>
      <c r="F2" s="5"/>
      <c r="G2" s="5"/>
      <c r="Z2" s="6" t="s">
        <v>63</v>
      </c>
    </row>
    <row r="3" customFormat="false" ht="15" hidden="false" customHeight="true" outlineLevel="0" collapsed="false">
      <c r="B3" s="7" t="s">
        <v>16</v>
      </c>
      <c r="C3" s="7"/>
      <c r="D3" s="7"/>
      <c r="E3" s="7"/>
      <c r="F3" s="7"/>
      <c r="G3" s="7"/>
      <c r="Z3" s="6" t="s">
        <v>64</v>
      </c>
    </row>
    <row r="4" customFormat="false" ht="15.75" hidden="false" customHeight="true" outlineLevel="0" collapsed="false">
      <c r="B4" s="8" t="s">
        <v>18</v>
      </c>
      <c r="C4" s="8"/>
      <c r="D4" s="8"/>
      <c r="E4" s="8"/>
      <c r="F4" s="8"/>
      <c r="G4" s="8"/>
      <c r="Z4" s="6" t="s">
        <v>61</v>
      </c>
    </row>
    <row r="5" customFormat="false" ht="75" hidden="false" customHeight="true" outlineLevel="0" collapsed="false">
      <c r="B5" s="9" t="s">
        <v>65</v>
      </c>
      <c r="C5" s="9"/>
      <c r="D5" s="9"/>
      <c r="E5" s="9"/>
      <c r="F5" s="9"/>
      <c r="G5" s="9"/>
      <c r="Z5" s="6" t="s">
        <v>63</v>
      </c>
    </row>
    <row r="6" customFormat="false" ht="15.75" hidden="false" customHeight="true" outlineLevel="0" collapsed="false">
      <c r="B6" s="8" t="s">
        <v>22</v>
      </c>
      <c r="C6" s="8"/>
      <c r="D6" s="8"/>
      <c r="E6" s="8"/>
      <c r="F6" s="8"/>
      <c r="G6" s="8"/>
      <c r="Z6" s="6" t="s">
        <v>64</v>
      </c>
    </row>
    <row r="7" customFormat="false" ht="60" hidden="false" customHeight="true" outlineLevel="0" collapsed="false">
      <c r="B7" s="9" t="s">
        <v>66</v>
      </c>
      <c r="C7" s="9"/>
      <c r="D7" s="9"/>
      <c r="E7" s="9"/>
      <c r="F7" s="9"/>
      <c r="G7" s="9"/>
      <c r="Z7" s="6" t="s">
        <v>61</v>
      </c>
    </row>
    <row r="8" customFormat="false" ht="15" hidden="false" customHeight="false" outlineLevel="0" collapsed="false">
      <c r="Z8" s="0" t="s">
        <v>63</v>
      </c>
    </row>
    <row r="9" customFormat="false" ht="15.75" hidden="false" customHeight="true" outlineLevel="0" collapsed="false">
      <c r="B9" s="8" t="s">
        <v>27</v>
      </c>
      <c r="C9" s="8"/>
      <c r="D9" s="8"/>
      <c r="E9" s="8"/>
      <c r="F9" s="8"/>
      <c r="G9" s="8"/>
      <c r="Z9" s="6" t="s">
        <v>64</v>
      </c>
    </row>
    <row r="10" customFormat="false" ht="45" hidden="false" customHeight="true" outlineLevel="0" collapsed="false">
      <c r="B10" s="9" t="s">
        <v>67</v>
      </c>
      <c r="C10" s="9"/>
      <c r="D10" s="9"/>
      <c r="E10" s="9"/>
      <c r="F10" s="9"/>
      <c r="G10" s="9"/>
      <c r="Z10" s="6" t="s">
        <v>61</v>
      </c>
    </row>
    <row r="11" customFormat="false" ht="15" hidden="false" customHeight="false" outlineLevel="0" collapsed="false">
      <c r="Z11" s="0" t="s">
        <v>63</v>
      </c>
    </row>
    <row r="12" customFormat="false" ht="15.75" hidden="false" customHeight="true" outlineLevel="0" collapsed="false">
      <c r="B12" s="8" t="s">
        <v>36</v>
      </c>
      <c r="C12" s="8"/>
      <c r="D12" s="8"/>
      <c r="E12" s="8"/>
      <c r="F12" s="8"/>
      <c r="G12" s="8"/>
      <c r="Z12" s="6" t="s">
        <v>64</v>
      </c>
    </row>
    <row r="13" customFormat="false" ht="45" hidden="false" customHeight="true" outlineLevel="0" collapsed="false">
      <c r="B13" s="9" t="s">
        <v>68</v>
      </c>
      <c r="C13" s="9"/>
      <c r="D13" s="9"/>
      <c r="E13" s="9"/>
      <c r="F13" s="9"/>
      <c r="G13" s="9"/>
      <c r="Z13" s="6" t="s">
        <v>61</v>
      </c>
    </row>
    <row r="14" customFormat="false" ht="15" hidden="false" customHeight="false" outlineLevel="0" collapsed="false">
      <c r="Z14" s="0" t="s">
        <v>63</v>
      </c>
    </row>
    <row r="15" customFormat="false" ht="15" hidden="false" customHeight="true" outlineLevel="0" collapsed="false">
      <c r="B15" s="25" t="s">
        <v>69</v>
      </c>
      <c r="C15" s="25"/>
      <c r="D15" s="25"/>
      <c r="E15" s="25"/>
      <c r="F15" s="25"/>
      <c r="G15" s="25"/>
      <c r="Z15" s="6" t="s">
        <v>64</v>
      </c>
    </row>
    <row r="16" customFormat="false" ht="39.75" hidden="false" customHeight="true" outlineLevel="0" collapsed="false">
      <c r="B16" s="15" t="s">
        <v>70</v>
      </c>
      <c r="C16" s="20"/>
      <c r="G16" s="18" t="str">
        <f aca="false">IF(C16="","Velg i nedtrekksmenyen.",IF(C16="Nasjonal og lokal kultur","Riktig. Han er ingen tabula rasa, ikke et ubeskrevet blad: utdanning, tidligere jobber og resten av livet har gitt ham verdier og normer han tar med inn (19.3.1).","Ikke riktig. Han er ingen tabula rasa, ikke et ubeskrevet blad: utdanning, tidligere jobber og resten av livet har gitt ham verdier og normer han tar med inn (19.3.1)."))</f>
        <v>Velg i nedtrekksmenyen.</v>
      </c>
      <c r="Z16" s="6" t="s">
        <v>61</v>
      </c>
    </row>
    <row r="17" customFormat="false" ht="39.75" hidden="false" customHeight="true" outlineLevel="0" collapsed="false">
      <c r="B17" s="15" t="s">
        <v>71</v>
      </c>
      <c r="C17" s="20"/>
      <c r="G17" s="18" t="str">
        <f aca="false">IF(C17="","Velg i nedtrekksmenyen.",IF(C17="Markedet","Riktig. Markedet: hvor raskt tilbakemeldingen kommer, former kulturen (19.3.3).","Ikke riktig. Markedet: hvor raskt tilbakemeldingen kommer, former kulturen (19.3.3)."))</f>
        <v>Velg i nedtrekksmenyen.</v>
      </c>
      <c r="Z17" s="6" t="s">
        <v>63</v>
      </c>
    </row>
    <row r="18" customFormat="false" ht="39.75" hidden="false" customHeight="true" outlineLevel="0" collapsed="false">
      <c r="B18" s="15" t="s">
        <v>72</v>
      </c>
      <c r="C18" s="20"/>
      <c r="G18" s="18" t="str">
        <f aca="false">IF(C18="","Velg i nedtrekksmenyen.",IF(C18="Ledelsens kulturbygging","Riktig. Sosialisering: velkomst, presentasjon og opplæringsprogram er ledelsens (19.3.2).","Ikke riktig. Sosialisering: velkomst, presentasjon og opplæringsprogram er ledelsens (19.3.2)."))</f>
        <v>Velg i nedtrekksmenyen.</v>
      </c>
      <c r="Z18" s="6" t="s">
        <v>64</v>
      </c>
    </row>
    <row r="19" customFormat="false" ht="39.75" hidden="false" customHeight="true" outlineLevel="0" collapsed="false">
      <c r="B19" s="15" t="s">
        <v>73</v>
      </c>
      <c r="C19" s="20"/>
      <c r="G19" s="18" t="str">
        <f aca="false">IF(C19="","Velg i nedtrekksmenyen.",IF(C19="Nasjonal og lokal kultur","Riktig. Norsk kultur: nærhet mellom de styrende og de styrte, og lite aksept for store lønnsforskjeller (19.3.1).","Ikke riktig. Norsk kultur: nærhet mellom de styrende og de styrte, og lite aksept for store lønnsforskjeller (19.3.1)."))</f>
        <v>Velg i nedtrekksmenyen.</v>
      </c>
      <c r="Z19" s="6" t="s">
        <v>61</v>
      </c>
    </row>
    <row r="20" customFormat="false" ht="39.75" hidden="false" customHeight="true" outlineLevel="0" collapsed="false">
      <c r="B20" s="15" t="s">
        <v>74</v>
      </c>
      <c r="C20" s="20"/>
      <c r="G20" s="18" t="str">
        <f aca="false">IF(C20="","Velg i nedtrekksmenyen.",IF(C20="Ledelsens kulturbygging","Riktig. En daglig rite: hvordan arbeidsdagen starter. Bare ledelsen kan utforme og opprettholde den (19.3.2).","Ikke riktig. En daglig rite: hvordan arbeidsdagen starter. Bare ledelsen kan utforme og opprettholde den (19.3.2)."))</f>
        <v>Velg i nedtrekksmenyen.</v>
      </c>
      <c r="Z20" s="6" t="s">
        <v>63</v>
      </c>
    </row>
    <row r="21" customFormat="false" ht="39.75" hidden="false" customHeight="true" outlineLevel="0" collapsed="false">
      <c r="B21" s="15" t="s">
        <v>75</v>
      </c>
      <c r="C21" s="20"/>
      <c r="G21" s="18" t="str">
        <f aca="false">IF(C21="","Velg i nedtrekksmenyen.",IF(C21="Markedet","Riktig. Markedet: konkurranse gir press på lønnsomheten og dermed risiko (19.3.3).","Ikke riktig. Markedet: konkurranse gir press på lønnsomheten og dermed risiko (19.3.3)."))</f>
        <v>Velg i nedtrekksmenyen.</v>
      </c>
      <c r="Z21" s="6" t="s">
        <v>64</v>
      </c>
    </row>
    <row r="22" customFormat="false" ht="39.75" hidden="false" customHeight="true" outlineLevel="0" collapsed="false">
      <c r="B22" s="15" t="s">
        <v>76</v>
      </c>
      <c r="C22" s="20"/>
      <c r="G22" s="18" t="str">
        <f aca="false">IF(C22="","Velg i nedtrekksmenyen.",IF(C22="Ledelsens kulturbygging","Riktig. Rekruttering: en vellykket sosialisering starter med en god rekrutteringsprosess (19.3.2).","Ikke riktig. Rekruttering: en vellykket sosialisering starter med en god rekrutteringsprosess (19.3.2)."))</f>
        <v>Velg i nedtrekksmenyen.</v>
      </c>
      <c r="Z22" s="6" t="s">
        <v>61</v>
      </c>
    </row>
    <row r="23" customFormat="false" ht="39.75" hidden="false" customHeight="true" outlineLevel="0" collapsed="false">
      <c r="B23" s="15" t="s">
        <v>77</v>
      </c>
      <c r="C23" s="20"/>
      <c r="G23" s="18" t="str">
        <f aca="false">IF(C23="","Velg i nedtrekksmenyen.",IF(C23="Nasjonal og lokal kultur","Riktig. Nasjonale verdier som likebehandling og toleranse tas med inn i bedriften (19.3.1).","Ikke riktig. Nasjonale verdier som likebehandling og toleranse tas med inn i bedriften (19.3.1)."))</f>
        <v>Velg i nedtrekksmenyen.</v>
      </c>
      <c r="Z23" s="6" t="s">
        <v>63</v>
      </c>
    </row>
    <row r="24" customFormat="false" ht="15" hidden="false" customHeight="false" outlineLevel="0" collapsed="false">
      <c r="Z24" s="0" t="s">
        <v>64</v>
      </c>
    </row>
    <row r="25" customFormat="false" ht="39.75" hidden="false" customHeight="true" outlineLevel="0" collapsed="false">
      <c r="B25" s="15" t="s">
        <v>78</v>
      </c>
      <c r="C25" s="20"/>
      <c r="G25" s="18" t="str">
        <f aca="false">IF(C25="","Velg i nedtrekksmenyen.",IF(C25="En daglig rite, som ledelsen kan utforme og bruke","Riktig. Boka (19.3.2): de daglige ritene, som hvordan starten på arbeidsdagen markeres og hvordan møter gjennomføres, er prosaiske, men kanskje enda viktigere enn jubileer. Bare ledelsen er i posisjon til å utforme og opprettholde dem.","Ikke riktig. Boka (19.3.2): de daglige ritene, som hvordan starten på arbeidsdagen markeres og hvordan møter gjennomføres, er prosaiske, men kanskje enda viktigere enn jubileer. Bare ledelsen er i posisjon til å utforme og opprettholde dem."))</f>
        <v>Velg i nedtrekksmenyen.</v>
      </c>
      <c r="Z25" s="6" t="s">
        <v>79</v>
      </c>
    </row>
    <row r="26" customFormat="false" ht="39.75" hidden="false" customHeight="true" outlineLevel="0" collapsed="false">
      <c r="B26" s="15" t="s">
        <v>80</v>
      </c>
      <c r="C26" s="20"/>
      <c r="G26" s="18" t="str">
        <f aca="false">IF(C26="","Velg i nedtrekksmenyen.",IF(C26="Et systematisk opplæringsprogram er også en introduksjon til verdigrunnlaget, ikke bare til oppgavene","Riktig. Boka (19.3.2): en varm velkomst og en skikkelig presentasjon gjør nytten av et innvielsesritual, men enda viktigere er et systematisk opplæringsprogram, som også er en introduksjon til bedriftens verdigrunnlag og kultur. Uten program lærer lærlingen det montørene gjør: sjekklista «når vi har tid».","Ikke riktig. Boka (19.3.2): en varm velkomst og en skikkelig presentasjon gjør nytten av et innvielsesritual, men enda viktigere er et systematisk opplæringsprogram, som også er en introduksjon til bedriftens verdigrunnlag og kultur. Uten program lærer lærlingen det montørene gjør: sjekklista «når vi har tid»."))</f>
        <v>Velg i nedtrekksmenyen.</v>
      </c>
      <c r="Z26" s="6" t="s">
        <v>81</v>
      </c>
    </row>
    <row r="27" customFormat="false" ht="15" hidden="false" customHeight="false" outlineLevel="0" collapsed="false">
      <c r="Z27" s="0" t="s">
        <v>82</v>
      </c>
    </row>
    <row r="28" customFormat="false" ht="43.5" hidden="false" customHeight="true" outlineLevel="0" collapsed="false">
      <c r="B28" s="15" t="s">
        <v>83</v>
      </c>
      <c r="C28" s="16"/>
      <c r="D28" s="17" t="s">
        <v>39</v>
      </c>
      <c r="G28" s="18" t="str">
        <f aca="false">IF(C28="","Skriv svaret i den gule cellen.",IF(ABS(C28-(ROUND(2/5*100,1)))&lt;=0.1,"Riktig.",IF(ABS(C28-(ROUND(2/3*100,1)))&lt;=0.1,"Du har delt på de tre som er der i dag. Etter sommeren er Fjell 3 + 2 = 5 personer.",IF(ABS(C28-(ROUND(3/5*100,1)))&lt;=0.1,"Det er andelen gamle. Oppgaven spør om de nye: 2 av 5.","Ikke riktig ennå. Se på regnestykket øverst på fanen, og sjekk at du har med alle leddene."))))</f>
        <v>Skriv svaret i den gule cellen.</v>
      </c>
      <c r="Z28" s="6" t="s">
        <v>84</v>
      </c>
    </row>
    <row r="29" customFormat="false" ht="43.5" hidden="false" customHeight="true" outlineLevel="0" collapsed="false">
      <c r="B29" s="15" t="s">
        <v>85</v>
      </c>
      <c r="C29" s="16"/>
      <c r="D29" s="17" t="s">
        <v>39</v>
      </c>
      <c r="G29" s="18" t="str">
        <f aca="false">IF(C29="","Skriv svaret i den gule cellen.",IF(ABS(C29-(ROUND(2/18*100,1)))&lt;=0.1,"Riktig.",IF(ABS(C29-(ROUND(2/20*100,1)))&lt;=0.1,"Du har lagt de to til de 18. Forutsetningen er 2 nye av 18 ansatte i alt.",IF(ABS(C29-(ROUND(2/12*100,1)))&lt;=0.1,"Du har delt på montørene. Nordlys har 18 ansatte.","Ikke riktig ennå. Se på regnestykket øverst på fanen, og sjekk at du har med alle leddene."))))</f>
        <v>Skriv svaret i den gule cellen.</v>
      </c>
      <c r="Z29" s="6" t="s">
        <v>86</v>
      </c>
    </row>
    <row r="30" customFormat="false" ht="15" hidden="false" customHeight="false" outlineLevel="0" collapsed="false">
      <c r="Z30" s="0" t="s">
        <v>87</v>
      </c>
    </row>
    <row r="31" customFormat="false" ht="30" hidden="false" customHeight="true" outlineLevel="0" collapsed="false">
      <c r="B31" s="9" t="s">
        <v>88</v>
      </c>
      <c r="C31" s="9"/>
      <c r="D31" s="9"/>
      <c r="E31" s="9"/>
      <c r="F31" s="9"/>
      <c r="G31" s="9"/>
    </row>
    <row r="32" customFormat="false" ht="21.75" hidden="false" customHeight="true" outlineLevel="0" collapsed="false">
      <c r="B32" s="21"/>
      <c r="C32" s="21"/>
      <c r="D32" s="21"/>
      <c r="E32" s="21"/>
      <c r="F32" s="21"/>
      <c r="G32" s="21"/>
    </row>
    <row r="33" customFormat="false" ht="21.75" hidden="false" customHeight="true" outlineLevel="0" collapsed="false">
      <c r="B33" s="21"/>
      <c r="C33" s="21"/>
      <c r="D33" s="21"/>
      <c r="E33" s="21"/>
      <c r="F33" s="21"/>
      <c r="G33" s="21"/>
    </row>
    <row r="34" customFormat="false" ht="21.75" hidden="false" customHeight="true" outlineLevel="0" collapsed="false">
      <c r="B34" s="21"/>
      <c r="C34" s="21"/>
      <c r="D34" s="21"/>
      <c r="E34" s="21"/>
      <c r="F34" s="21"/>
      <c r="G34" s="21"/>
    </row>
    <row r="35" customFormat="false" ht="39.75" hidden="false" customHeight="true" outlineLevel="0" collapsed="false">
      <c r="B35" s="22" t="str">
        <f aca="false">IF(LEN(B32)&lt;40,"",IF(AND(ISNUMBER(SEARCH("sjekklist",B32)),ISNUMBER(SEARCH("morgen",B32))),"Bra: du bruker både sjekklista og morgenmøtet. Sjekk at du også sier noe om den nye montøren: han er ingen tabula rasa, så spør hva de gjorde annerledes der han kom fra.",IF(OR(ISNUMBER(SEARCH("sjekklist",B32)),ISNUMBER(SEARCH("morgen",B32))),"Du er på sporet. Ta med både et opplæringsprogram med sjekklista først, og morgenkaffen som rite der lærlingen spørres først om hva som kan gå galt.","Tips: velkomst og et systematisk opplæringsprogram med sjekklista som det første lærlingen lærer. Bruk morgenkaffen som rite: spør lærlingen først hva som kan gå galt, og takk den som sier fra. Ta sjekklista selv, hver gang, også når det haster. Spør den nye montøren hva de gjorde annerledes der han kom fra.")))</f>
        <v/>
      </c>
      <c r="C35" s="22"/>
      <c r="D35" s="22"/>
      <c r="E35" s="22"/>
      <c r="F35" s="22"/>
      <c r="G35" s="22"/>
    </row>
    <row r="36" customFormat="false" ht="15" hidden="false" customHeight="false" outlineLevel="0" collapsed="false">
      <c r="B36" s="23" t="s">
        <v>59</v>
      </c>
      <c r="C36" s="20"/>
    </row>
    <row r="37" customFormat="false" ht="45" hidden="false" customHeight="true" outlineLevel="0" collapsed="false">
      <c r="B37" s="24" t="str">
        <f aca="false">IF(C36="JA","Hint: Tabula rasa, lønnsforskjeller og likebehandling er den nasjonale og lokale kulturen. Velkomsten, morgenkaffen og ansettelsen er ledelsens kulturbygging. Kundene som sier fra samme dag og prispresset er markedet. a: 2 / 5 × 100 = 40,0. b: 2 / 18 × 100 = 11,1.","")</f>
        <v/>
      </c>
      <c r="C37" s="24"/>
      <c r="D37" s="24"/>
      <c r="E37" s="24"/>
      <c r="F37" s="24"/>
      <c r="G37" s="24"/>
    </row>
    <row r="39" customFormat="false" ht="30" hidden="false" customHeight="true" outlineLevel="0" collapsed="false">
      <c r="B39" s="7" t="s">
        <v>60</v>
      </c>
      <c r="C39" s="7"/>
      <c r="D39" s="7"/>
      <c r="E39" s="7"/>
      <c r="F39" s="7"/>
      <c r="G39" s="7"/>
    </row>
  </sheetData>
  <mergeCells count="16">
    <mergeCell ref="B2:G2"/>
    <mergeCell ref="B3:G3"/>
    <mergeCell ref="B4:G4"/>
    <mergeCell ref="B5:G5"/>
    <mergeCell ref="B6:G6"/>
    <mergeCell ref="B7:G7"/>
    <mergeCell ref="B9:G9"/>
    <mergeCell ref="B10:G10"/>
    <mergeCell ref="B12:G12"/>
    <mergeCell ref="B13:G13"/>
    <mergeCell ref="B15:G15"/>
    <mergeCell ref="B31:G31"/>
    <mergeCell ref="B32:G34"/>
    <mergeCell ref="B35:G35"/>
    <mergeCell ref="B37:G37"/>
    <mergeCell ref="B39:G39"/>
  </mergeCells>
  <conditionalFormatting sqref="G16">
    <cfRule type="expression" priority="2" aboveAverage="0" equalAverage="0" bottom="0" percent="0" rank="0" text="" dxfId="0">
      <formula>LEFT(G16,6)="Riktig"</formula>
    </cfRule>
    <cfRule type="expression" priority="3" aboveAverage="0" equalAverage="0" bottom="0" percent="0" rank="0" text="" dxfId="1">
      <formula>LEFT(G16,4)="Ikke"</formula>
    </cfRule>
  </conditionalFormatting>
  <conditionalFormatting sqref="G17">
    <cfRule type="expression" priority="4" aboveAverage="0" equalAverage="0" bottom="0" percent="0" rank="0" text="" dxfId="0">
      <formula>LEFT(G17,6)="Riktig"</formula>
    </cfRule>
    <cfRule type="expression" priority="5" aboveAverage="0" equalAverage="0" bottom="0" percent="0" rank="0" text="" dxfId="1">
      <formula>LEFT(G17,4)="Ikke"</formula>
    </cfRule>
  </conditionalFormatting>
  <conditionalFormatting sqref="G18">
    <cfRule type="expression" priority="6" aboveAverage="0" equalAverage="0" bottom="0" percent="0" rank="0" text="" dxfId="0">
      <formula>LEFT(G18,6)="Riktig"</formula>
    </cfRule>
    <cfRule type="expression" priority="7" aboveAverage="0" equalAverage="0" bottom="0" percent="0" rank="0" text="" dxfId="1">
      <formula>LEFT(G18,4)="Ikke"</formula>
    </cfRule>
  </conditionalFormatting>
  <conditionalFormatting sqref="G19">
    <cfRule type="expression" priority="8" aboveAverage="0" equalAverage="0" bottom="0" percent="0" rank="0" text="" dxfId="0">
      <formula>LEFT(G19,6)="Riktig"</formula>
    </cfRule>
    <cfRule type="expression" priority="9" aboveAverage="0" equalAverage="0" bottom="0" percent="0" rank="0" text="" dxfId="1">
      <formula>LEFT(G19,4)="Ikke"</formula>
    </cfRule>
  </conditionalFormatting>
  <conditionalFormatting sqref="G20">
    <cfRule type="expression" priority="10" aboveAverage="0" equalAverage="0" bottom="0" percent="0" rank="0" text="" dxfId="0">
      <formula>LEFT(G20,6)="Riktig"</formula>
    </cfRule>
    <cfRule type="expression" priority="11" aboveAverage="0" equalAverage="0" bottom="0" percent="0" rank="0" text="" dxfId="1">
      <formula>LEFT(G20,4)="Ikke"</formula>
    </cfRule>
  </conditionalFormatting>
  <conditionalFormatting sqref="G21">
    <cfRule type="expression" priority="12" aboveAverage="0" equalAverage="0" bottom="0" percent="0" rank="0" text="" dxfId="0">
      <formula>LEFT(G21,6)="Riktig"</formula>
    </cfRule>
    <cfRule type="expression" priority="13" aboveAverage="0" equalAverage="0" bottom="0" percent="0" rank="0" text="" dxfId="1">
      <formula>LEFT(G21,4)="Ikke"</formula>
    </cfRule>
  </conditionalFormatting>
  <conditionalFormatting sqref="G22">
    <cfRule type="expression" priority="14" aboveAverage="0" equalAverage="0" bottom="0" percent="0" rank="0" text="" dxfId="0">
      <formula>LEFT(G22,6)="Riktig"</formula>
    </cfRule>
    <cfRule type="expression" priority="15" aboveAverage="0" equalAverage="0" bottom="0" percent="0" rank="0" text="" dxfId="1">
      <formula>LEFT(G22,4)="Ikke"</formula>
    </cfRule>
  </conditionalFormatting>
  <conditionalFormatting sqref="G23">
    <cfRule type="expression" priority="16" aboveAverage="0" equalAverage="0" bottom="0" percent="0" rank="0" text="" dxfId="0">
      <formula>LEFT(G23,6)="Riktig"</formula>
    </cfRule>
    <cfRule type="expression" priority="17" aboveAverage="0" equalAverage="0" bottom="0" percent="0" rank="0" text="" dxfId="1">
      <formula>LEFT(G23,4)="Ikke"</formula>
    </cfRule>
  </conditionalFormatting>
  <conditionalFormatting sqref="G25">
    <cfRule type="expression" priority="18" aboveAverage="0" equalAverage="0" bottom="0" percent="0" rank="0" text="" dxfId="0">
      <formula>LEFT(G25,6)="Riktig"</formula>
    </cfRule>
    <cfRule type="expression" priority="19" aboveAverage="0" equalAverage="0" bottom="0" percent="0" rank="0" text="" dxfId="1">
      <formula>LEFT(G25,4)="Ikke"</formula>
    </cfRule>
  </conditionalFormatting>
  <conditionalFormatting sqref="G26">
    <cfRule type="expression" priority="20" aboveAverage="0" equalAverage="0" bottom="0" percent="0" rank="0" text="" dxfId="0">
      <formula>LEFT(G26,6)="Riktig"</formula>
    </cfRule>
    <cfRule type="expression" priority="21" aboveAverage="0" equalAverage="0" bottom="0" percent="0" rank="0" text="" dxfId="1">
      <formula>LEFT(G26,4)="Ikke"</formula>
    </cfRule>
  </conditionalFormatting>
  <conditionalFormatting sqref="G28">
    <cfRule type="expression" priority="22" aboveAverage="0" equalAverage="0" bottom="0" percent="0" rank="0" text="" dxfId="0">
      <formula>LEFT(G28,6)="Riktig"</formula>
    </cfRule>
    <cfRule type="expression" priority="23" aboveAverage="0" equalAverage="0" bottom="0" percent="0" rank="0" text="" dxfId="1">
      <formula>AND(G28&lt;&gt;"",LEFT(G28,6)&lt;&gt;"Riktig",LEFT(G28,5)&lt;&gt;"Skriv")</formula>
    </cfRule>
  </conditionalFormatting>
  <conditionalFormatting sqref="G29">
    <cfRule type="expression" priority="24" aboveAverage="0" equalAverage="0" bottom="0" percent="0" rank="0" text="" dxfId="0">
      <formula>LEFT(G29,6)="Riktig"</formula>
    </cfRule>
    <cfRule type="expression" priority="25" aboveAverage="0" equalAverage="0" bottom="0" percent="0" rank="0" text="" dxfId="1">
      <formula>AND(G29&lt;&gt;"",LEFT(G29,6)&lt;&gt;"Riktig",LEFT(G29,5)&lt;&gt;"Skriv")</formula>
    </cfRule>
  </conditionalFormatting>
  <dataValidations count="11">
    <dataValidation allowBlank="true" errorStyle="stop" operator="between" showDropDown="false" showErrorMessage="false" showInputMessage="false" sqref="C16" type="list">
      <formula1>$Z$1:$Z$3</formula1>
      <formula2>0</formula2>
    </dataValidation>
    <dataValidation allowBlank="true" errorStyle="stop" operator="between" showDropDown="false" showErrorMessage="false" showInputMessage="false" sqref="C17" type="list">
      <formula1>$Z$4:$Z$6</formula1>
      <formula2>0</formula2>
    </dataValidation>
    <dataValidation allowBlank="true" errorStyle="stop" operator="between" showDropDown="false" showErrorMessage="false" showInputMessage="false" sqref="C18" type="list">
      <formula1>$Z$7:$Z$9</formula1>
      <formula2>0</formula2>
    </dataValidation>
    <dataValidation allowBlank="true" errorStyle="stop" operator="between" showDropDown="false" showErrorMessage="false" showInputMessage="false" sqref="C19" type="list">
      <formula1>$Z$10:$Z$12</formula1>
      <formula2>0</formula2>
    </dataValidation>
    <dataValidation allowBlank="true" errorStyle="stop" operator="between" showDropDown="false" showErrorMessage="false" showInputMessage="false" sqref="C20" type="list">
      <formula1>$Z$13:$Z$15</formula1>
      <formula2>0</formula2>
    </dataValidation>
    <dataValidation allowBlank="true" errorStyle="stop" operator="between" showDropDown="false" showErrorMessage="false" showInputMessage="false" sqref="C21" type="list">
      <formula1>$Z$16:$Z$18</formula1>
      <formula2>0</formula2>
    </dataValidation>
    <dataValidation allowBlank="true" errorStyle="stop" operator="between" showDropDown="false" showErrorMessage="false" showInputMessage="false" sqref="C22" type="list">
      <formula1>$Z$19:$Z$21</formula1>
      <formula2>0</formula2>
    </dataValidation>
    <dataValidation allowBlank="true" errorStyle="stop" operator="between" showDropDown="false" showErrorMessage="false" showInputMessage="false" sqref="C23" type="list">
      <formula1>$Z$22:$Z$24</formula1>
      <formula2>0</formula2>
    </dataValidation>
    <dataValidation allowBlank="true" errorStyle="stop" operator="between" showDropDown="false" showErrorMessage="false" showInputMessage="false" sqref="C25" type="list">
      <formula1>$Z$25:$Z$27</formula1>
      <formula2>0</formula2>
    </dataValidation>
    <dataValidation allowBlank="true" errorStyle="stop" operator="between" showDropDown="false" showErrorMessage="false" showInputMessage="false" sqref="C26" type="list">
      <formula1>$Z$28:$Z$30</formula1>
      <formula2>0</formula2>
    </dataValidation>
    <dataValidation allowBlank="true" errorStyle="stop" operator="between" showDropDown="false" showErrorMessage="false" showInputMessage="false" sqref="C36"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89</v>
      </c>
    </row>
    <row r="2" customFormat="false" ht="25.5" hidden="false" customHeight="true" outlineLevel="0" collapsed="false">
      <c r="B2" s="5" t="s">
        <v>90</v>
      </c>
      <c r="C2" s="5"/>
      <c r="D2" s="5"/>
      <c r="E2" s="5"/>
      <c r="F2" s="5"/>
      <c r="G2" s="5"/>
      <c r="Z2" s="6" t="s">
        <v>91</v>
      </c>
    </row>
    <row r="3" customFormat="false" ht="15" hidden="false" customHeight="true" outlineLevel="0" collapsed="false">
      <c r="B3" s="7" t="s">
        <v>16</v>
      </c>
      <c r="C3" s="7"/>
      <c r="D3" s="7"/>
      <c r="E3" s="7"/>
      <c r="F3" s="7"/>
      <c r="G3" s="7"/>
      <c r="Z3" s="6" t="s">
        <v>89</v>
      </c>
    </row>
    <row r="4" customFormat="false" ht="15.75" hidden="false" customHeight="true" outlineLevel="0" collapsed="false">
      <c r="B4" s="8" t="s">
        <v>18</v>
      </c>
      <c r="C4" s="8"/>
      <c r="D4" s="8"/>
      <c r="E4" s="8"/>
      <c r="F4" s="8"/>
      <c r="G4" s="8"/>
      <c r="Z4" s="6" t="s">
        <v>91</v>
      </c>
    </row>
    <row r="5" customFormat="false" ht="75" hidden="false" customHeight="true" outlineLevel="0" collapsed="false">
      <c r="B5" s="9" t="s">
        <v>92</v>
      </c>
      <c r="C5" s="9"/>
      <c r="D5" s="9"/>
      <c r="E5" s="9"/>
      <c r="F5" s="9"/>
      <c r="G5" s="9"/>
      <c r="Z5" s="6" t="s">
        <v>89</v>
      </c>
    </row>
    <row r="6" customFormat="false" ht="15.75" hidden="false" customHeight="true" outlineLevel="0" collapsed="false">
      <c r="B6" s="8" t="s">
        <v>22</v>
      </c>
      <c r="C6" s="8"/>
      <c r="D6" s="8"/>
      <c r="E6" s="8"/>
      <c r="F6" s="8"/>
      <c r="G6" s="8"/>
      <c r="Z6" s="6" t="s">
        <v>91</v>
      </c>
    </row>
    <row r="7" customFormat="false" ht="75" hidden="false" customHeight="true" outlineLevel="0" collapsed="false">
      <c r="B7" s="9" t="s">
        <v>93</v>
      </c>
      <c r="C7" s="9"/>
      <c r="D7" s="9"/>
      <c r="E7" s="9"/>
      <c r="F7" s="9"/>
      <c r="G7" s="9"/>
      <c r="Z7" s="6" t="s">
        <v>89</v>
      </c>
    </row>
    <row r="8" customFormat="false" ht="15" hidden="false" customHeight="false" outlineLevel="0" collapsed="false">
      <c r="Z8" s="0" t="s">
        <v>91</v>
      </c>
    </row>
    <row r="9" customFormat="false" ht="15.75" hidden="false" customHeight="true" outlineLevel="0" collapsed="false">
      <c r="B9" s="8" t="s">
        <v>27</v>
      </c>
      <c r="C9" s="8"/>
      <c r="D9" s="8"/>
      <c r="E9" s="8"/>
      <c r="F9" s="8"/>
      <c r="G9" s="8"/>
      <c r="Z9" s="6" t="s">
        <v>89</v>
      </c>
    </row>
    <row r="10" customFormat="false" ht="45" hidden="false" customHeight="true" outlineLevel="0" collapsed="false">
      <c r="B10" s="9" t="s">
        <v>94</v>
      </c>
      <c r="C10" s="9"/>
      <c r="D10" s="9"/>
      <c r="E10" s="9"/>
      <c r="F10" s="9"/>
      <c r="G10" s="9"/>
      <c r="Z10" s="6" t="s">
        <v>91</v>
      </c>
    </row>
    <row r="11" customFormat="false" ht="15" hidden="false" customHeight="false" outlineLevel="0" collapsed="false">
      <c r="B11" s="10" t="s">
        <v>95</v>
      </c>
      <c r="C11" s="11" t="s">
        <v>96</v>
      </c>
      <c r="D11" s="11" t="s">
        <v>30</v>
      </c>
      <c r="E11" s="11" t="s">
        <v>31</v>
      </c>
      <c r="Z11" s="6" t="s">
        <v>97</v>
      </c>
    </row>
    <row r="12" customFormat="false" ht="15" hidden="false" customHeight="false" outlineLevel="0" collapsed="false">
      <c r="B12" s="12" t="s">
        <v>98</v>
      </c>
      <c r="C12" s="13" t="n">
        <v>5</v>
      </c>
      <c r="D12" s="13" t="n">
        <v>17</v>
      </c>
      <c r="E12" s="13" t="n">
        <v>11</v>
      </c>
      <c r="Z12" s="6" t="s">
        <v>99</v>
      </c>
    </row>
    <row r="13" customFormat="false" ht="15" hidden="false" customHeight="false" outlineLevel="0" collapsed="false">
      <c r="B13" s="12" t="s">
        <v>100</v>
      </c>
      <c r="C13" s="13" t="n">
        <v>2</v>
      </c>
      <c r="D13" s="13" t="n">
        <v>6</v>
      </c>
      <c r="E13" s="13" t="n">
        <v>5</v>
      </c>
      <c r="Z13" s="6" t="s">
        <v>97</v>
      </c>
    </row>
    <row r="14" customFormat="false" ht="15" hidden="false" customHeight="false" outlineLevel="0" collapsed="false">
      <c r="B14" s="12" t="s">
        <v>101</v>
      </c>
      <c r="C14" s="14" t="n">
        <f aca="false">C12+C13</f>
        <v>7</v>
      </c>
      <c r="D14" s="14" t="n">
        <f aca="false">D12+D13</f>
        <v>23</v>
      </c>
      <c r="E14" s="14" t="n">
        <f aca="false">E12+E13</f>
        <v>16</v>
      </c>
      <c r="Z14" s="6" t="s">
        <v>99</v>
      </c>
    </row>
    <row r="15" customFormat="false" ht="15" hidden="false" customHeight="false" outlineLevel="0" collapsed="false">
      <c r="Z15" s="0" t="s">
        <v>97</v>
      </c>
    </row>
    <row r="16" customFormat="false" ht="15.75" hidden="false" customHeight="true" outlineLevel="0" collapsed="false">
      <c r="B16" s="8" t="s">
        <v>36</v>
      </c>
      <c r="C16" s="8"/>
      <c r="D16" s="8"/>
      <c r="E16" s="8"/>
      <c r="F16" s="8"/>
      <c r="G16" s="8"/>
      <c r="Z16" s="6" t="s">
        <v>99</v>
      </c>
    </row>
    <row r="17" customFormat="false" ht="60" hidden="false" customHeight="true" outlineLevel="0" collapsed="false">
      <c r="B17" s="9" t="s">
        <v>102</v>
      </c>
      <c r="C17" s="9"/>
      <c r="D17" s="9"/>
      <c r="E17" s="9"/>
      <c r="F17" s="9"/>
      <c r="G17" s="9"/>
      <c r="Z17" s="6" t="s">
        <v>97</v>
      </c>
    </row>
    <row r="18" customFormat="false" ht="15" hidden="false" customHeight="false" outlineLevel="0" collapsed="false">
      <c r="Z18" s="0" t="s">
        <v>99</v>
      </c>
    </row>
    <row r="19" customFormat="false" ht="43.5" hidden="false" customHeight="true" outlineLevel="0" collapsed="false">
      <c r="B19" s="15" t="s">
        <v>103</v>
      </c>
      <c r="C19" s="16"/>
      <c r="D19" s="17" t="s">
        <v>39</v>
      </c>
      <c r="G19" s="18" t="str">
        <f aca="false">IF(C19="","Skriv svaret i den gule cellen.",IF(ABS(C19-(ROUND(16/23*100,1)))&lt;=0.1,"Riktig.",IF(ABS(C19-(ROUND(11/17*100,1)))&lt;=0.1,"Det er service alene, 11 av 17. Legg til solcelle: 16 av 23.",IF(ABS(C19-(ROUND((11/17+5/6)/2*100,1)))&lt;=0.1,"Du har tatt snittet av de to andelene. Slå sammen tallene først: 16 av 23. Service har flere avvik og veier tyngre.",IF(ABS(C19-(16))&lt;=0.1,"Det er antallet egne. Oppgaven spør om prosent av 23.","Ikke riktig ennå. Se på regnestykket øverst på fanen, og sjekk at du har med alle leddene.")))))</f>
        <v>Skriv svaret i den gule cellen.</v>
      </c>
      <c r="Z19" s="6" t="s">
        <v>104</v>
      </c>
    </row>
    <row r="20" customFormat="false" ht="43.5" hidden="false" customHeight="true" outlineLevel="0" collapsed="false">
      <c r="B20" s="15" t="s">
        <v>105</v>
      </c>
      <c r="C20" s="16"/>
      <c r="D20" s="17" t="s">
        <v>39</v>
      </c>
      <c r="G20" s="18" t="str">
        <f aca="false">IF(C20="","Skriv svaret i den gule cellen.",IF(ABS(C20-(ROUND(2/7*100,1)))&lt;=0.1,"Riktig.",IF(ABS(C20-(ROUND(2/5*100,1)))&lt;=0.1,"Du har delt på de 5 i service. Den nye avdelingen er 5 + 2 = 7.",IF(ABS(C20-(ROUND(5/7*100,1)))&lt;=0.1,"Det er andelen fra service. Oppgaven spør om de to fra solcelle.","Ikke riktig ennå. Se på regnestykket øverst på fanen, og sjekk at du har med alle leddene."))))</f>
        <v>Skriv svaret i den gule cellen.</v>
      </c>
      <c r="Z20" s="6" t="s">
        <v>106</v>
      </c>
    </row>
    <row r="21" customFormat="false" ht="15" hidden="false" customHeight="false" outlineLevel="0" collapsed="false">
      <c r="Z21" s="0" t="s">
        <v>107</v>
      </c>
    </row>
    <row r="22" customFormat="false" ht="15" hidden="false" customHeight="true" outlineLevel="0" collapsed="false">
      <c r="B22" s="25" t="s">
        <v>108</v>
      </c>
      <c r="C22" s="25"/>
      <c r="D22" s="25"/>
      <c r="E22" s="25"/>
      <c r="F22" s="25"/>
      <c r="G22" s="25"/>
      <c r="Z22" s="6" t="s">
        <v>109</v>
      </c>
    </row>
    <row r="23" customFormat="false" ht="39.75" hidden="false" customHeight="true" outlineLevel="0" collapsed="false">
      <c r="B23" s="15" t="s">
        <v>110</v>
      </c>
      <c r="C23" s="20"/>
      <c r="G23" s="18" t="str">
        <f aca="false">IF(C23="","Velg i nedtrekksmenyen.",IF(C23="Ja, en av de tre","Riktig. Spesialisering: oppmerksomheten rettes mot egne oppgaver, og strukturen skjermer mot innsyn i andres arbeid (19.4).","Ikke riktig. Spesialisering: oppmerksomheten rettes mot egne oppgaver, og strukturen skjermer mot innsyn i andres arbeid (19.4)."))</f>
        <v>Velg i nedtrekksmenyen.</v>
      </c>
      <c r="Z23" s="6" t="s">
        <v>111</v>
      </c>
    </row>
    <row r="24" customFormat="false" ht="39.75" hidden="false" customHeight="true" outlineLevel="0" collapsed="false">
      <c r="B24" s="15" t="s">
        <v>112</v>
      </c>
      <c r="C24" s="20"/>
      <c r="G24" s="18" t="str">
        <f aca="false">IF(C24="","Velg i nedtrekksmenyen.",IF(C24="Ja, en av de tre","Riktig. Kommunikasjon: innholdet og formen er annerledes innad i avdelingen enn over grensene (19.4).","Ikke riktig. Kommunikasjon: innholdet og formen er annerledes innad i avdelingen enn over grensene (19.4)."))</f>
        <v>Velg i nedtrekksmenyen.</v>
      </c>
      <c r="Z24" s="6" t="s">
        <v>113</v>
      </c>
    </row>
    <row r="25" customFormat="false" ht="39.75" hidden="false" customHeight="true" outlineLevel="0" collapsed="false">
      <c r="B25" s="15" t="s">
        <v>114</v>
      </c>
      <c r="C25" s="20"/>
      <c r="G25" s="18" t="str">
        <f aca="false">IF(C25="","Velg i nedtrekksmenyen.",IF(C25="Ja, en av de tre","Riktig. Seleksjon av informasjon: styrker delmålene og forsterker subkulturen (19.4).","Ikke riktig. Seleksjon av informasjon: styrker delmålene og forsterker subkulturen (19.4)."))</f>
        <v>Velg i nedtrekksmenyen.</v>
      </c>
    </row>
    <row r="26" customFormat="false" ht="39.75" hidden="false" customHeight="true" outlineLevel="0" collapsed="false">
      <c r="B26" s="15" t="s">
        <v>115</v>
      </c>
      <c r="C26" s="20"/>
      <c r="G26" s="18" t="str">
        <f aca="false">IF(C26="","Velg i nedtrekksmenyen.",IF(C26="Nei","Riktig. Det er en felles formell norm, ikke noe som skiller avdelingene.","Ikke riktig. Det er en felles formell norm, ikke noe som skiller avdelingene."))</f>
        <v>Velg i nedtrekksmenyen.</v>
      </c>
    </row>
    <row r="27" customFormat="false" ht="39.75" hidden="false" customHeight="true" outlineLevel="0" collapsed="false">
      <c r="B27" s="15" t="s">
        <v>116</v>
      </c>
      <c r="C27" s="20"/>
      <c r="G27" s="18" t="str">
        <f aca="false">IF(C27="","Velg i nedtrekksmenyen.",IF(C27="Nei","Riktig. Et felles kulturelt symbol (19.2). Det trekker mot én kultur, ikke flere.","Ikke riktig. Et felles kulturelt symbol (19.2). Det trekker mot én kultur, ikke flere."))</f>
        <v>Velg i nedtrekksmenyen.</v>
      </c>
    </row>
    <row r="29" customFormat="false" ht="30" hidden="false" customHeight="true" outlineLevel="0" collapsed="false">
      <c r="B29" s="25" t="s">
        <v>117</v>
      </c>
      <c r="C29" s="25"/>
      <c r="D29" s="25"/>
      <c r="E29" s="25"/>
      <c r="F29" s="25"/>
      <c r="G29" s="25"/>
    </row>
    <row r="30" customFormat="false" ht="39.75" hidden="false" customHeight="true" outlineLevel="0" collapsed="false">
      <c r="B30" s="15" t="s">
        <v>118</v>
      </c>
      <c r="C30" s="20"/>
      <c r="G30" s="18" t="str">
        <f aca="false">IF(C30="","Velg i nedtrekksmenyen.",IF(C30="Kulturell styrke","Riktig. Styrke: kulturen har stor innflytelse på beslutninger og atferd (19.4).","Ikke riktig. Styrke: kulturen har stor innflytelse på beslutninger og atferd (19.4)."))</f>
        <v>Velg i nedtrekksmenyen.</v>
      </c>
    </row>
    <row r="31" customFormat="false" ht="39.75" hidden="false" customHeight="true" outlineLevel="0" collapsed="false">
      <c r="B31" s="15" t="s">
        <v>119</v>
      </c>
      <c r="C31" s="20"/>
      <c r="G31" s="18" t="str">
        <f aca="false">IF(C31="","Velg i nedtrekksmenyen.",IF(C31="Kulturell kongruens","Riktig. Kongruens, her lav: kulturen er ikke den samme overalt i bedriften (19.4).","Ikke riktig. Kongruens, her lav: kulturen er ikke den samme overalt i bedriften (19.4)."))</f>
        <v>Velg i nedtrekksmenyen.</v>
      </c>
    </row>
    <row r="32" customFormat="false" ht="39.75" hidden="false" customHeight="true" outlineLevel="0" collapsed="false">
      <c r="B32" s="15" t="s">
        <v>120</v>
      </c>
      <c r="C32" s="20"/>
      <c r="G32" s="18" t="str">
        <f aca="false">IF(C32="","Velg i nedtrekksmenyen.",IF(C32="Kulturell kongruens","Riktig. Kongruens, her høy: en enhetlig kultur (19.4).","Ikke riktig. Kongruens, her høy: en enhetlig kultur (19.4)."))</f>
        <v>Velg i nedtrekksmenyen.</v>
      </c>
    </row>
    <row r="33" customFormat="false" ht="39.75" hidden="false" customHeight="true" outlineLevel="0" collapsed="false">
      <c r="B33" s="15" t="s">
        <v>121</v>
      </c>
      <c r="C33" s="20"/>
      <c r="G33" s="18" t="str">
        <f aca="false">IF(C33="","Velg i nedtrekksmenyen.",IF(C33="Kulturell styrke","Riktig. Styrke: kulturen preger atferden i stor grad, selv om den bare gjelder to personer (19.4).","Ikke riktig. Styrke: kulturen preger atferden i stor grad, selv om den bare gjelder to personer (19.4)."))</f>
        <v>Velg i nedtrekksmenyen.</v>
      </c>
    </row>
    <row r="35" customFormat="false" ht="39.75" hidden="false" customHeight="true" outlineLevel="0" collapsed="false">
      <c r="B35" s="15" t="s">
        <v>122</v>
      </c>
      <c r="C35" s="20"/>
      <c r="G35" s="18" t="str">
        <f aca="false">IF(C35="","Velg i nedtrekksmenyen.",IF(C35="Nei: en subkultur blir motkultur først når den står for noe vesentlig annet på viktige områder","Riktig. Boka (19.4): fravær av enhetskultur er i utgangspunktet ikke et problem, og subkulturer kan forsterke verdiene ledelsen ønsker. De to melder 5 av 6 egne feil; de står for det Nordlys sier at det vil, bare tydeligere.","Ikke riktig. Boka (19.4): fravær av enhetskultur er i utgangspunktet ikke et problem, og subkulturer kan forsterke verdiene ledelsen ønsker. De to melder 5 av 6 egne feil; de står for det Nordlys sier at det vil, bare tydeligere."))</f>
        <v>Velg i nedtrekksmenyen.</v>
      </c>
    </row>
    <row r="36" customFormat="false" ht="39.75" hidden="false" customHeight="true" outlineLevel="0" collapsed="false">
      <c r="B36" s="15" t="s">
        <v>123</v>
      </c>
      <c r="C36" s="20"/>
      <c r="G36" s="18" t="str">
        <f aca="false">IF(C36="","Velg i nedtrekksmenyen.",IF(C36="Rask enighet og null avvik kan være gruppetenkning: konsensus framfor alt, og ingen tester ideene","Riktig. Boka (19.5): gruppetenkning setter konsensus framfor alt og unngår konflikt nesten for enhver pris, og den utvikler seg lettest i sterke kulturer. Deltagerne er sjelden klar over det mens det skjer. Null avvik på et elektroanlegg betyr ikke null feil.","Ikke riktig. Boka (19.5): gruppetenkning setter konsensus framfor alt og unngår konflikt nesten for enhver pris, og den utvikler seg lettest i sterke kulturer. Deltagerne er sjelden klar over det mens det skjer. Null avvik på et elektroanlegg betyr ikke null feil."))</f>
        <v>Velg i nedtrekksmenyen.</v>
      </c>
    </row>
    <row r="38" customFormat="false" ht="30" hidden="false" customHeight="true" outlineLevel="0" collapsed="false">
      <c r="B38" s="9" t="s">
        <v>124</v>
      </c>
      <c r="C38" s="9"/>
      <c r="D38" s="9"/>
      <c r="E38" s="9"/>
      <c r="F38" s="9"/>
      <c r="G38" s="9"/>
    </row>
    <row r="39" customFormat="false" ht="21.75" hidden="false" customHeight="true" outlineLevel="0" collapsed="false">
      <c r="B39" s="21"/>
      <c r="C39" s="21"/>
      <c r="D39" s="21"/>
      <c r="E39" s="21"/>
      <c r="F39" s="21"/>
      <c r="G39" s="21"/>
    </row>
    <row r="40" customFormat="false" ht="21.75" hidden="false" customHeight="true" outlineLevel="0" collapsed="false">
      <c r="B40" s="21"/>
      <c r="C40" s="21"/>
      <c r="D40" s="21"/>
      <c r="E40" s="21"/>
      <c r="F40" s="21"/>
      <c r="G40" s="21"/>
    </row>
    <row r="41" customFormat="false" ht="21.75" hidden="false" customHeight="true" outlineLevel="0" collapsed="false">
      <c r="B41" s="21"/>
      <c r="C41" s="21"/>
      <c r="D41" s="21"/>
      <c r="E41" s="21"/>
      <c r="F41" s="21"/>
      <c r="G41" s="21"/>
    </row>
    <row r="42" customFormat="false" ht="39.75" hidden="false" customHeight="true" outlineLevel="0" collapsed="false">
      <c r="B42" s="22" t="str">
        <f aca="false">IF(LEN(B39)&lt;40,"",IF(AND(ISNUMBER(SEARCH("morgenmøte",B39)),ISNUMBER(SEARCH("avvik",B39))),"Bra: du bruker morgenmøtet som rite og avvikene som tema der. Sjekk at tallet står: de to er 28,6 % av avdelingen, så uten bevisst ledelse lærer de servicenormen, ikke omvendt.",IF(OR(ISNUMBER(SEARCH("morgenmøte",B39)),ISNUMBER(SEARCH("avvik",B39))),"Du er på sporet. Ta med at Tom bruker morgenmøtet til å ta opp avvik, også egne, og takke den som melder, og at de to fra solcelle bare er 28,6 % av avdelingen.","Tips: de to blir 28,6 % av en avdeling med etablerte normer, og uten bevisst ledelse lærer mindretallet flertallets normer. Tom bruker morgenmøtet som daglig rite: avvik, også egne, tas opp der, og den som melder, takkes. La de to vise servicemontørene hvordan de går gjennom en feil sammen. Mål andelen egne avvik etter et år: 69,6 % er et rimelig mål, 64,7 % betyr at solcellekulturen er borte.")))</f>
        <v/>
      </c>
      <c r="C42" s="22"/>
      <c r="D42" s="22"/>
      <c r="E42" s="22"/>
      <c r="F42" s="22"/>
      <c r="G42" s="22"/>
    </row>
    <row r="43" customFormat="false" ht="15" hidden="false" customHeight="false" outlineLevel="0" collapsed="false">
      <c r="B43" s="23" t="s">
        <v>59</v>
      </c>
      <c r="C43" s="20"/>
    </row>
    <row r="44" customFormat="false" ht="45" hidden="false" customHeight="true" outlineLevel="0" collapsed="false">
      <c r="B44" s="24" t="str">
        <f aca="false">IF(C43="JA","Hint: a: (11 + 5) / (17 + 6) × 100 = 16 / 23 × 100 = 69,6. b: 2 / 7 × 100 = 28,6. c: spesialisering, kommunikasjon og seleksjon av informasjon er bokas tre; permen og logoen er felles. d: det som styrer atferden, er styrke; om det er likt overalt, er kongruens. e: subkultur, ikke motkultur. f: gruppetenkning.","")</f>
        <v/>
      </c>
      <c r="C44" s="24"/>
      <c r="D44" s="24"/>
      <c r="E44" s="24"/>
      <c r="F44" s="24"/>
      <c r="G44" s="24"/>
    </row>
    <row r="46" customFormat="false" ht="30" hidden="false" customHeight="true" outlineLevel="0" collapsed="false">
      <c r="B46" s="7" t="s">
        <v>60</v>
      </c>
      <c r="C46" s="7"/>
      <c r="D46" s="7"/>
      <c r="E46" s="7"/>
      <c r="F46" s="7"/>
      <c r="G46" s="7"/>
    </row>
  </sheetData>
  <mergeCells count="17">
    <mergeCell ref="B2:G2"/>
    <mergeCell ref="B3:G3"/>
    <mergeCell ref="B4:G4"/>
    <mergeCell ref="B5:G5"/>
    <mergeCell ref="B6:G6"/>
    <mergeCell ref="B7:G7"/>
    <mergeCell ref="B9:G9"/>
    <mergeCell ref="B10:G10"/>
    <mergeCell ref="B16:G16"/>
    <mergeCell ref="B17:G17"/>
    <mergeCell ref="B22:G22"/>
    <mergeCell ref="B29:G29"/>
    <mergeCell ref="B38:G38"/>
    <mergeCell ref="B39:G41"/>
    <mergeCell ref="B42:G42"/>
    <mergeCell ref="B44:G44"/>
    <mergeCell ref="B46:G46"/>
  </mergeCells>
  <conditionalFormatting sqref="G19">
    <cfRule type="expression" priority="2" aboveAverage="0" equalAverage="0" bottom="0" percent="0" rank="0" text="" dxfId="0">
      <formula>LEFT(G19,6)="Riktig"</formula>
    </cfRule>
    <cfRule type="expression" priority="3" aboveAverage="0" equalAverage="0" bottom="0" percent="0" rank="0" text="" dxfId="1">
      <formula>AND(G19&lt;&gt;"",LEFT(G19,6)&lt;&gt;"Riktig",LEFT(G19,5)&lt;&gt;"Skriv")</formula>
    </cfRule>
  </conditionalFormatting>
  <conditionalFormatting sqref="G20">
    <cfRule type="expression" priority="4" aboveAverage="0" equalAverage="0" bottom="0" percent="0" rank="0" text="" dxfId="0">
      <formula>LEFT(G20,6)="Riktig"</formula>
    </cfRule>
    <cfRule type="expression" priority="5" aboveAverage="0" equalAverage="0" bottom="0" percent="0" rank="0" text="" dxfId="1">
      <formula>AND(G20&lt;&gt;"",LEFT(G20,6)&lt;&gt;"Riktig",LEFT(G20,5)&lt;&gt;"Skriv")</formula>
    </cfRule>
  </conditionalFormatting>
  <conditionalFormatting sqref="G23">
    <cfRule type="expression" priority="6" aboveAverage="0" equalAverage="0" bottom="0" percent="0" rank="0" text="" dxfId="0">
      <formula>LEFT(G23,6)="Riktig"</formula>
    </cfRule>
    <cfRule type="expression" priority="7" aboveAverage="0" equalAverage="0" bottom="0" percent="0" rank="0" text="" dxfId="1">
      <formula>LEFT(G23,4)="Ikke"</formula>
    </cfRule>
  </conditionalFormatting>
  <conditionalFormatting sqref="G24">
    <cfRule type="expression" priority="8" aboveAverage="0" equalAverage="0" bottom="0" percent="0" rank="0" text="" dxfId="0">
      <formula>LEFT(G24,6)="Riktig"</formula>
    </cfRule>
    <cfRule type="expression" priority="9" aboveAverage="0" equalAverage="0" bottom="0" percent="0" rank="0" text="" dxfId="1">
      <formula>LEFT(G24,4)="Ikke"</formula>
    </cfRule>
  </conditionalFormatting>
  <conditionalFormatting sqref="G25">
    <cfRule type="expression" priority="10" aboveAverage="0" equalAverage="0" bottom="0" percent="0" rank="0" text="" dxfId="0">
      <formula>LEFT(G25,6)="Riktig"</formula>
    </cfRule>
    <cfRule type="expression" priority="11" aboveAverage="0" equalAverage="0" bottom="0" percent="0" rank="0" text="" dxfId="1">
      <formula>LEFT(G25,4)="Ikke"</formula>
    </cfRule>
  </conditionalFormatting>
  <conditionalFormatting sqref="G26">
    <cfRule type="expression" priority="12" aboveAverage="0" equalAverage="0" bottom="0" percent="0" rank="0" text="" dxfId="0">
      <formula>LEFT(G26,6)="Riktig"</formula>
    </cfRule>
    <cfRule type="expression" priority="13" aboveAverage="0" equalAverage="0" bottom="0" percent="0" rank="0" text="" dxfId="1">
      <formula>LEFT(G26,4)="Ikke"</formula>
    </cfRule>
  </conditionalFormatting>
  <conditionalFormatting sqref="G27">
    <cfRule type="expression" priority="14" aboveAverage="0" equalAverage="0" bottom="0" percent="0" rank="0" text="" dxfId="0">
      <formula>LEFT(G27,6)="Riktig"</formula>
    </cfRule>
    <cfRule type="expression" priority="15" aboveAverage="0" equalAverage="0" bottom="0" percent="0" rank="0" text="" dxfId="1">
      <formula>LEFT(G27,4)="Ikke"</formula>
    </cfRule>
  </conditionalFormatting>
  <conditionalFormatting sqref="G30">
    <cfRule type="expression" priority="16" aboveAverage="0" equalAverage="0" bottom="0" percent="0" rank="0" text="" dxfId="0">
      <formula>LEFT(G30,6)="Riktig"</formula>
    </cfRule>
    <cfRule type="expression" priority="17" aboveAverage="0" equalAverage="0" bottom="0" percent="0" rank="0" text="" dxfId="1">
      <formula>LEFT(G30,4)="Ikke"</formula>
    </cfRule>
  </conditionalFormatting>
  <conditionalFormatting sqref="G31">
    <cfRule type="expression" priority="18" aboveAverage="0" equalAverage="0" bottom="0" percent="0" rank="0" text="" dxfId="0">
      <formula>LEFT(G31,6)="Riktig"</formula>
    </cfRule>
    <cfRule type="expression" priority="19" aboveAverage="0" equalAverage="0" bottom="0" percent="0" rank="0" text="" dxfId="1">
      <formula>LEFT(G31,4)="Ikke"</formula>
    </cfRule>
  </conditionalFormatting>
  <conditionalFormatting sqref="G32">
    <cfRule type="expression" priority="20" aboveAverage="0" equalAverage="0" bottom="0" percent="0" rank="0" text="" dxfId="0">
      <formula>LEFT(G32,6)="Riktig"</formula>
    </cfRule>
    <cfRule type="expression" priority="21" aboveAverage="0" equalAverage="0" bottom="0" percent="0" rank="0" text="" dxfId="1">
      <formula>LEFT(G32,4)="Ikke"</formula>
    </cfRule>
  </conditionalFormatting>
  <conditionalFormatting sqref="G33">
    <cfRule type="expression" priority="22" aboveAverage="0" equalAverage="0" bottom="0" percent="0" rank="0" text="" dxfId="0">
      <formula>LEFT(G33,6)="Riktig"</formula>
    </cfRule>
    <cfRule type="expression" priority="23" aboveAverage="0" equalAverage="0" bottom="0" percent="0" rank="0" text="" dxfId="1">
      <formula>LEFT(G33,4)="Ikke"</formula>
    </cfRule>
  </conditionalFormatting>
  <conditionalFormatting sqref="G35">
    <cfRule type="expression" priority="24" aboveAverage="0" equalAverage="0" bottom="0" percent="0" rank="0" text="" dxfId="0">
      <formula>LEFT(G35,6)="Riktig"</formula>
    </cfRule>
    <cfRule type="expression" priority="25" aboveAverage="0" equalAverage="0" bottom="0" percent="0" rank="0" text="" dxfId="1">
      <formula>LEFT(G35,4)="Ikke"</formula>
    </cfRule>
  </conditionalFormatting>
  <conditionalFormatting sqref="G36">
    <cfRule type="expression" priority="26" aboveAverage="0" equalAverage="0" bottom="0" percent="0" rank="0" text="" dxfId="0">
      <formula>LEFT(G36,6)="Riktig"</formula>
    </cfRule>
    <cfRule type="expression" priority="27" aboveAverage="0" equalAverage="0" bottom="0" percent="0" rank="0" text="" dxfId="1">
      <formula>LEFT(G36,4)="Ikke"</formula>
    </cfRule>
  </conditionalFormatting>
  <dataValidations count="12">
    <dataValidation allowBlank="true" errorStyle="stop" operator="between" showDropDown="false" showErrorMessage="false" showInputMessage="false" sqref="C23" type="list">
      <formula1>$Z$1:$Z$2</formula1>
      <formula2>0</formula2>
    </dataValidation>
    <dataValidation allowBlank="true" errorStyle="stop" operator="between" showDropDown="false" showErrorMessage="false" showInputMessage="false" sqref="C24" type="list">
      <formula1>$Z$3:$Z$4</formula1>
      <formula2>0</formula2>
    </dataValidation>
    <dataValidation allowBlank="true" errorStyle="stop" operator="between" showDropDown="false" showErrorMessage="false" showInputMessage="false" sqref="C25" type="list">
      <formula1>$Z$5:$Z$6</formula1>
      <formula2>0</formula2>
    </dataValidation>
    <dataValidation allowBlank="true" errorStyle="stop" operator="between" showDropDown="false" showErrorMessage="false" showInputMessage="false" sqref="C26" type="list">
      <formula1>$Z$7:$Z$8</formula1>
      <formula2>0</formula2>
    </dataValidation>
    <dataValidation allowBlank="true" errorStyle="stop" operator="between" showDropDown="false" showErrorMessage="false" showInputMessage="false" sqref="C27" type="list">
      <formula1>$Z$9:$Z$10</formula1>
      <formula2>0</formula2>
    </dataValidation>
    <dataValidation allowBlank="true" errorStyle="stop" operator="between" showDropDown="false" showErrorMessage="false" showInputMessage="false" sqref="C30" type="list">
      <formula1>$Z$11:$Z$12</formula1>
      <formula2>0</formula2>
    </dataValidation>
    <dataValidation allowBlank="true" errorStyle="stop" operator="between" showDropDown="false" showErrorMessage="false" showInputMessage="false" sqref="C31" type="list">
      <formula1>$Z$13:$Z$14</formula1>
      <formula2>0</formula2>
    </dataValidation>
    <dataValidation allowBlank="true" errorStyle="stop" operator="between" showDropDown="false" showErrorMessage="false" showInputMessage="false" sqref="C32" type="list">
      <formula1>$Z$15:$Z$16</formula1>
      <formula2>0</formula2>
    </dataValidation>
    <dataValidation allowBlank="true" errorStyle="stop" operator="between" showDropDown="false" showErrorMessage="false" showInputMessage="false" sqref="C33" type="list">
      <formula1>$Z$17:$Z$18</formula1>
      <formula2>0</formula2>
    </dataValidation>
    <dataValidation allowBlank="true" errorStyle="stop" operator="between" showDropDown="false" showErrorMessage="false" showInputMessage="false" sqref="C35" type="list">
      <formula1>$Z$19:$Z$21</formula1>
      <formula2>0</formula2>
    </dataValidation>
    <dataValidation allowBlank="true" errorStyle="stop" operator="between" showDropDown="false" showErrorMessage="false" showInputMessage="false" sqref="C36" type="list">
      <formula1>$Z$22:$Z$24</formula1>
      <formula2>0</formula2>
    </dataValidation>
    <dataValidation allowBlank="true" errorStyle="stop" operator="between" showDropDown="false" showErrorMessage="false" showInputMessage="false" sqref="C43"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6" t="s">
        <v>125</v>
      </c>
    </row>
    <row r="3" customFormat="false" ht="30" hidden="false" customHeight="true" outlineLevel="0" collapsed="false">
      <c r="B3" s="7" t="s">
        <v>126</v>
      </c>
      <c r="C3" s="7"/>
      <c r="D3" s="7"/>
    </row>
    <row r="5" customFormat="false" ht="15" hidden="false" customHeight="false" outlineLevel="0" collapsed="false">
      <c r="B5" s="27" t="s">
        <v>127</v>
      </c>
      <c r="C5" s="27" t="s">
        <v>128</v>
      </c>
      <c r="D5" s="27" t="s">
        <v>129</v>
      </c>
    </row>
    <row r="6" customFormat="false" ht="30" hidden="false" customHeight="true" outlineLevel="0" collapsed="false">
      <c r="B6" s="28" t="s">
        <v>130</v>
      </c>
      <c r="C6" s="14"/>
      <c r="D6" s="28" t="s">
        <v>131</v>
      </c>
    </row>
    <row r="7" customFormat="false" ht="30" hidden="false" customHeight="true" outlineLevel="0" collapsed="false">
      <c r="B7" s="28" t="s">
        <v>132</v>
      </c>
      <c r="C7" s="14"/>
      <c r="D7" s="28" t="s">
        <v>133</v>
      </c>
    </row>
    <row r="8" customFormat="false" ht="30" hidden="false" customHeight="true" outlineLevel="0" collapsed="false">
      <c r="B8" s="28" t="s">
        <v>134</v>
      </c>
      <c r="C8" s="14" t="n">
        <v>26700</v>
      </c>
      <c r="D8" s="28" t="s">
        <v>135</v>
      </c>
    </row>
    <row r="9" customFormat="false" ht="30" hidden="false" customHeight="true" outlineLevel="0" collapsed="false">
      <c r="B9" s="28" t="s">
        <v>136</v>
      </c>
      <c r="C9" s="14"/>
      <c r="D9" s="28" t="s">
        <v>137</v>
      </c>
    </row>
    <row r="10" customFormat="false" ht="30" hidden="false" customHeight="true" outlineLevel="0" collapsed="false">
      <c r="B10" s="28" t="s">
        <v>138</v>
      </c>
      <c r="C10" s="14"/>
      <c r="D10" s="28" t="s">
        <v>139</v>
      </c>
    </row>
    <row r="11" customFormat="false" ht="60" hidden="false" customHeight="true" outlineLevel="0" collapsed="false">
      <c r="B11" s="28" t="s">
        <v>140</v>
      </c>
      <c r="C11" s="14"/>
      <c r="D11" s="28" t="s">
        <v>141</v>
      </c>
    </row>
    <row r="12" customFormat="false" ht="30" hidden="false" customHeight="true" outlineLevel="0" collapsed="false">
      <c r="B12" s="28" t="s">
        <v>142</v>
      </c>
      <c r="C12" s="14"/>
      <c r="D12" s="28" t="s">
        <v>143</v>
      </c>
    </row>
    <row r="13" customFormat="false" ht="30" hidden="false" customHeight="true" outlineLevel="0" collapsed="false">
      <c r="B13" s="28" t="s">
        <v>144</v>
      </c>
      <c r="C13" s="14"/>
      <c r="D13" s="28" t="s">
        <v>145</v>
      </c>
    </row>
    <row r="14" customFormat="false" ht="30" hidden="false" customHeight="true" outlineLevel="0" collapsed="false">
      <c r="B14" s="28" t="s">
        <v>146</v>
      </c>
      <c r="C14" s="14"/>
      <c r="D14" s="28" t="s">
        <v>147</v>
      </c>
    </row>
    <row r="15" customFormat="false" ht="30" hidden="false" customHeight="true" outlineLevel="0" collapsed="false">
      <c r="B15" s="28" t="s">
        <v>148</v>
      </c>
      <c r="C15" s="14"/>
      <c r="D15" s="28" t="s">
        <v>149</v>
      </c>
    </row>
    <row r="16" customFormat="false" ht="30" hidden="false" customHeight="true" outlineLevel="0" collapsed="false">
      <c r="B16" s="28" t="s">
        <v>150</v>
      </c>
      <c r="C16" s="14"/>
      <c r="D16" s="28" t="s">
        <v>151</v>
      </c>
    </row>
    <row r="17" customFormat="false" ht="45" hidden="false" customHeight="true" outlineLevel="0" collapsed="false">
      <c r="B17" s="28" t="s">
        <v>152</v>
      </c>
      <c r="C17" s="14"/>
      <c r="D17" s="28" t="s">
        <v>153</v>
      </c>
    </row>
    <row r="18" customFormat="false" ht="30" hidden="false" customHeight="true" outlineLevel="0" collapsed="false">
      <c r="B18" s="28" t="s">
        <v>154</v>
      </c>
      <c r="C18" s="14"/>
      <c r="D18" s="28" t="s">
        <v>155</v>
      </c>
    </row>
    <row r="19" customFormat="false" ht="30" hidden="false" customHeight="true" outlineLevel="0" collapsed="false">
      <c r="B19" s="28" t="s">
        <v>156</v>
      </c>
      <c r="C19" s="14"/>
      <c r="D19" s="28" t="s">
        <v>157</v>
      </c>
    </row>
    <row r="20" customFormat="false" ht="30" hidden="false" customHeight="true" outlineLevel="0" collapsed="false">
      <c r="B20" s="28" t="s">
        <v>158</v>
      </c>
      <c r="C20" s="14"/>
      <c r="D20" s="28" t="s">
        <v>159</v>
      </c>
    </row>
    <row r="21" customFormat="false" ht="30" hidden="false" customHeight="true" outlineLevel="0" collapsed="false">
      <c r="B21" s="28" t="s">
        <v>160</v>
      </c>
      <c r="C21" s="14"/>
      <c r="D21" s="28" t="s">
        <v>161</v>
      </c>
    </row>
    <row r="22" customFormat="false" ht="30" hidden="false" customHeight="true" outlineLevel="0" collapsed="false">
      <c r="B22" s="28" t="s">
        <v>162</v>
      </c>
      <c r="C22" s="14"/>
      <c r="D22" s="28" t="s">
        <v>163</v>
      </c>
    </row>
    <row r="23" customFormat="false" ht="30" hidden="false" customHeight="true" outlineLevel="0" collapsed="false">
      <c r="B23" s="28" t="s">
        <v>164</v>
      </c>
      <c r="C23" s="14"/>
      <c r="D23" s="28" t="s">
        <v>165</v>
      </c>
    </row>
    <row r="24" customFormat="false" ht="60" hidden="false" customHeight="true" outlineLevel="0" collapsed="false">
      <c r="B24" s="28" t="s">
        <v>166</v>
      </c>
      <c r="C24" s="14"/>
      <c r="D24" s="28" t="s">
        <v>167</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2026-10-22T17:51:56Z</dcterms:created>
  <dc:creator>openpyxl</dc:creator>
  <dc:description/>
  <dc:language>en-US</dc:language>
  <cp:lastModifiedBy/>
  <dcterms:modified xsi:type="dcterms:W3CDTF">2026-10-22T17:51:56Z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