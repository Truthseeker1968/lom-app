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Veiledning" sheetId="1" state="visible" r:id="rId3"/>
    <sheet name="A1" sheetId="2" state="visible" r:id="rId4"/>
    <sheet name="A2" sheetId="3" state="visible" r:id="rId5"/>
    <sheet name="B1" sheetId="4" state="visible" r:id="rId6"/>
    <sheet name="B2"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<sst xmlns="http://schemas.openxmlformats.org/spreadsheetml/2006/main" count="201" uniqueCount="154">
  <si>
    <t xml:space="preserve">Klasseoppgaver til Økonomistyring kapittel 3: Bedriftens regnskap (V5)</t>
  </si>
  <si>
    <t xml:space="preserve">LØM · Fagskolen Oslo, Avdeling Elkraft · versjon 5, oktober 2026</t>
  </si>
  <si>
    <t xml:space="preserve">Slik bruker du arbeidsboka</t>
  </si>
  <si>
    <t xml:space="preserve">Gule celler med blå skrift</t>
  </si>
  <si>
    <t xml:space="preserve">Her skriver du svaret ditt.</t>
  </si>
  <si>
    <t xml:space="preserve">Kolonnen «Sjekk»</t>
  </si>
  <si>
    <t xml:space="preserve">Viser «Riktig» eller «Prøv igjen» når du har svart. Løsningen får du i appen etter levering, eller i plenum.</t>
  </si>
  <si>
    <t xml:space="preserve">Arkene</t>
  </si>
  <si>
    <t xml:space="preserve">A1</t>
  </si>
  <si>
    <t xml:space="preserve">Nordlys 2026: sett opp resultatregnskapet (Nordlys)</t>
  </si>
  <si>
    <t xml:space="preserve">A2</t>
  </si>
  <si>
    <t xml:space="preserve">Din egen el-bedrift: resultatregnskapet for første driftsår (Egen el-bedrift)</t>
  </si>
  <si>
    <t xml:space="preserve">B1</t>
  </si>
  <si>
    <t xml:space="preserve">Nordlys 31.12.2026: grupper balansen og les den som banken (Nordlys)</t>
  </si>
  <si>
    <t xml:space="preserve">B2</t>
  </si>
  <si>
    <t xml:space="preserve">Din egen el-bedrift: fra åpningsbalanse til balansen etter første år (Egen el-bedrift)</t>
  </si>
  <si>
    <t xml:space="preserve">Læreboka</t>
  </si>
  <si>
    <t xml:space="preserve">Hjertnes, J. og Skorpen, K.: Økonomistyring for LØM-emnet, kapittel 3.</t>
  </si>
  <si>
    <t xml:space="preserve">Appen</t>
  </si>
  <si>
    <t xml:space="preserve">Økonomistyring kap. 3 → Øv → Klasseoppgaver gir fasit per deloppgave.</t>
  </si>
  <si>
    <t xml:space="preserve">A1 · Nordlys 2026: sett opp resultatregnskapet</t>
  </si>
  <si>
    <t xml:space="preserve">25 minutter · Helst alene. Sammen med sidemannen eller flere hvis du vil. Ark og blyant, appen (PC eller mobil) eller læreboka.</t>
  </si>
  <si>
    <t xml:space="preserve">Kort oppsummert: Resultatregnskapet viser inntekter og kostnader for en periode, i fast rekkefølge. Salgsinntekt minus varekostnad gir bruttofortjenesten. Trekk fra lønn, avskrivninger og andre driftskostnader, så har du driftsresultatet. Renteinntekter og rentekostnader kommer under driftsresultatet og gir resultat før skatt. Trekk fra skattekostnaden, så står årsresultatet igjen.</t>
  </si>
  <si>
    <t xml:space="preserve">Årsoppgjøret for 2026 er klart. Regnskapsføreren har sendt postene til Kari (daglig leder) i tilfeldig rekkefølge, og styremøtet er på torsdag. Sett postene opp som et resultatregnskap og regn ut delsummene. Gå fram slik: start med salgsinntekten, trekk fra begge varekostnadene (materiell og innleide montører), så lønn, avskrivninger og andre driftskostnader. Legg til renteinntektene og trekk fra rentekostnadene. Trekk til slutt fra skattekostnaden.</t>
  </si>
  <si>
    <t xml:space="preserve">Post 2026 (tilfeldig rekkefølge)</t>
  </si>
  <si>
    <t xml:space="preserve">Kr</t>
  </si>
  <si>
    <t xml:space="preserve">Lønnskostnad</t>
  </si>
  <si>
    <t xml:space="preserve">Salgsinntekt</t>
  </si>
  <si>
    <t xml:space="preserve">Rentekostnader</t>
  </si>
  <si>
    <t xml:space="preserve">Varekostnad, materiell</t>
  </si>
  <si>
    <t xml:space="preserve">Avskrivninger</t>
  </si>
  <si>
    <t xml:space="preserve">Renteinntekter</t>
  </si>
  <si>
    <t xml:space="preserve">Andre driftskostnader</t>
  </si>
  <si>
    <t xml:space="preserve">Skattekostnad</t>
  </si>
  <si>
    <t xml:space="preserve">Varekostnad, innleide montører</t>
  </si>
  <si>
    <t xml:space="preserve">Gule celler med spørsmålstegn kan du fylle inn selv mens du regner.</t>
  </si>
  <si>
    <t xml:space="preserve">Deloppgave</t>
  </si>
  <si>
    <t xml:space="preserve">Ditt svar</t>
  </si>
  <si>
    <t xml:space="preserve">Sjekk</t>
  </si>
  <si>
    <t xml:space="preserve">a)  Bruttofortjenesten i kroner: salgsinntekt minus varekostnaden for materiell og for innleide montører.</t>
  </si>
  <si>
    <t xml:space="preserve">Formel og begrep</t>
  </si>
  <si>
    <t xml:space="preserve">Bruttofortjeneste = salgsinntekt − varekostnad (Økonomistyring 2.4.2). Varekostnaden er kostnaden for det som er solgt eller satt i produksjon i perioden (3.3).</t>
  </si>
  <si>
    <t xml:space="preserve">b)  Driftsresultatet i kroner: bruttofortjenesten minus lønnskostnad, avskrivninger og andre driftskostnader. Rentene kommer etterpå.</t>
  </si>
  <si>
    <t xml:space="preserve">Driftsresultat = driftsinntekter − driftskostnader (Økonomistyring 3.3 og tabell 3.10). Driftsmargin = driftsresultat × 100 / salgsinntekt (kap. 4).</t>
  </si>
  <si>
    <t xml:space="preserve">c)  Årsresultatet i kroner: driftsresultatet pluss renteinntekter, minus rentekostnader og skattekostnad.</t>
  </si>
  <si>
    <t xml:space="preserve">Resultat før skatt = driftsresultat + finansinntekter − finanskostnader; årsresultat = resultat før skatt − skattekostnad (Økonomistyring 3.11, tabell 3.10). Selskapsskatt 22 % (1.4).</t>
  </si>
  <si>
    <t xml:space="preserve">d)  Et styremedlem foreslår å betale ned hele banklånet, slik at rentekostnadene forsvinner. Hva skjer med driftsresultatet?   A: Det øker med 232 500 kr   B: Det endres ikke   C: Det øker med 176 500 kr (rentekostnader minus renteinntekter)   (skriv bokstaven)</t>
  </si>
  <si>
    <t xml:space="preserve">e)  Styret spør Kari: hvilken resultatlinje sier mest om hvor godt Nordlys drives, og hvor bør hun lete for å løfte den? Svar med to setninger, og bruk tall.</t>
  </si>
  <si>
    <t xml:space="preserve">Ingen ny formel. Resultatlinjene i tabell 3.10 (Økonomistyring 3.11) og andel av salget (kap. 4).</t>
  </si>
  <si>
    <t xml:space="preserve">Hint, hvis du står fast</t>
  </si>
  <si>
    <t xml:space="preserve">Rekkefølgen</t>
  </si>
  <si>
    <t xml:space="preserve">Salgsinntekt først. Trekk fra begge varekostnadene: da har du bruttofortjenesten. Så lønn, avskrivninger og andre driftskostnader: driftsresultatet. Så renter, så skatt.</t>
  </si>
  <si>
    <t xml:space="preserve">Rentene</t>
  </si>
  <si>
    <t xml:space="preserve">Renter handler om hvordan bedriften er finansiert. De står under driftsresultatet. Endres lånet, endres ikke driftsresultatet med en krone.</t>
  </si>
  <si>
    <t xml:space="preserve">Kilde: Hjertnes, J. og Skorpen, K.: Økonomistyring for LØM-emnet, kap. 3, avsnitt 3.3 og 3.11 (tabell 3.10). Tallene er faktaarkets resultatregnskap for 2026. Nordlys Elektro AS er en konstruert casebedrift.</t>
  </si>
  <si>
    <t xml:space="preserve">Regnearket er øvingsstøtte. Det kan ikke siteres eller vises til i besvarelser, prosjektoppgaver eller eksamen; der gjelder læreboka og oppgitte primærkilder.</t>
  </si>
  <si>
    <t xml:space="preserve">A2 · Din egen el-bedrift: resultatregnskapet for første driftsår</t>
  </si>
  <si>
    <t xml:space="preserve">Kort oppsummert: Et kjøp av utstyr som koster 30 000 kr eller mer og skal brukes i minst tre år, aktiveres: det føres i balansen, og bare avskrivningen er kostnad i året. Lån, avdrag og aksjekapital er finansiering og står aldri i resultatregnskapet; bare rentene gjør det. Skattekostnaden i et AS er 22 % av resultat før skatt. Et driftsregnskap kan i tillegg trekke fra kalkulatoriske kostnader, som renter på eiernes egne penger.</t>
  </si>
  <si>
    <t xml:space="preserve">Fjell Elektro AS (samme bedrift som i kapittel 9) har levert regnskapet for første driftsår, og det ble nøyaktig som resultatbudsjettet. Tallene står under. Utstyret ble kjøpt 1. januar og skal brukes i fem år. Sett opp resultatregnskapet linje for linje ned til årsresultatet. Gå fram slik: salgsinntekter minus varekostnad gir bruttofortjenesten; trekk fra lønnskostnad, avskrivning og andre driftskostnader; trekk fra rentene; trekk fra 22 % skatt. Avgjør så hvilke poster som hører hjemme i resultatregnskapet i det hele tatt.</t>
  </si>
  <si>
    <t xml:space="preserve">Forutsetning</t>
  </si>
  <si>
    <t xml:space="preserve">Verdi</t>
  </si>
  <si>
    <t xml:space="preserve">Salgsinntekter</t>
  </si>
  <si>
    <t xml:space="preserve">4 795 000 (timer 3 115 000 + materiell 1 680 000)</t>
  </si>
  <si>
    <t xml:space="preserve">Varekostnad</t>
  </si>
  <si>
    <t xml:space="preserve">1 400 000 (materiellet, innkjøpspris)</t>
  </si>
  <si>
    <t xml:space="preserve">2 671 760 (lønn 1 820 000 + 46,8 %)</t>
  </si>
  <si>
    <t xml:space="preserve">Utstyr og verktøy</t>
  </si>
  <si>
    <t xml:space="preserve">Kjøpt 1. januar for 300 000, brukes i 5 år</t>
  </si>
  <si>
    <t xml:space="preserve">519 000 (leasing, lokaler, forsikring, IT)</t>
  </si>
  <si>
    <t xml:space="preserve">Banklån</t>
  </si>
  <si>
    <t xml:space="preserve">500 000 til 7,5 % rente, avdrag 100 000</t>
  </si>
  <si>
    <t xml:space="preserve">Aksjekapital</t>
  </si>
  <si>
    <t xml:space="preserve">300 000, skutt inn av eieren i januar</t>
  </si>
  <si>
    <t xml:space="preserve">Skatt</t>
  </si>
  <si>
    <t xml:space="preserve">22 % av resultat før skatt</t>
  </si>
  <si>
    <t xml:space="preserve">Eierens alternativ</t>
  </si>
  <si>
    <t xml:space="preserve">5 % avkastning på de 300 000 et annet sted</t>
  </si>
  <si>
    <t xml:space="preserve">a)  Bruttofortjenesten i kroner: salgsinntekter minus varekostnad.</t>
  </si>
  <si>
    <t xml:space="preserve">Bruttofortjeneste = salgsinntekt − varekostnad (Økonomistyring 2.4.2). Varekostnaden er innkjøpsprisen, ikke salgsprisen på materiellet (3.3).</t>
  </si>
  <si>
    <t xml:space="preserve">b)  Driftsresultatet i kroner. Utstyret til 300 000 aktiveres; bare årets lineære avskrivning er kostnad.</t>
  </si>
  <si>
    <t xml:space="preserve">Aktivering: kostpris 30 000 kr eller mer og levetid minst tre år (Økonomistyring 3.2 og 2.4.3; skatteloven § 14-40). Lineær avskrivning = anskaffelseskost / levetid.</t>
  </si>
  <si>
    <t xml:space="preserve">c)  Årsresultatet i kroner: driftsresultat minus renter (7,5 % av 500 000), minus 22 % skatt av resultat før skatt. Rund av til hele kroner.</t>
  </si>
  <si>
    <t xml:space="preserve">Resultat før skatt = driftsresultat − finanskostnader; årsresultat = resultat før skatt − skattekostnad (Økonomistyring 3.11, tabell 3.10). Skatt 22 % av resultat før skatt.</t>
  </si>
  <si>
    <t xml:space="preserve">d)  Hvilke av disse postene hører hjemme i Fjell Elektros resultatregnskap for første driftsår? Spør for hver post: er dette en inntekt eller kostnad i året, eller er det penger som flytter seg?</t>
  </si>
  <si>
    <t xml:space="preserve">      Kjøp av utstyr 300 000 kr   (Ja eller Nei)</t>
  </si>
  <si>
    <t xml:space="preserve">      Avskrivning 60 000 kr   (Ja eller Nei)</t>
  </si>
  <si>
    <t xml:space="preserve">      Avdrag på banklånet 100 000 kr   (Ja eller Nei)</t>
  </si>
  <si>
    <t xml:space="preserve">      Renter 37 500 kr   (Ja eller Nei)</t>
  </si>
  <si>
    <t xml:space="preserve">      Aksjekapital 300 000 kr   (Ja eller Nei)</t>
  </si>
  <si>
    <t xml:space="preserve">      Skattekostnad 23 483 kr   (Ja eller Nei)</t>
  </si>
  <si>
    <t xml:space="preserve">e)  Eieren sier: «Vi tjente 83 257 kr første året. Det er godt nok.» Hva ville et driftsregnskap (internregnskap) med kalkulatoriske kostnader vise? To–tre setninger.</t>
  </si>
  <si>
    <t xml:space="preserve">Kalkulatoriske kostnader: avskrivninger, renter på egenkapitalen, eierlønn og tap på fordringer (Økonomistyring 3.7, tabell 3.9).</t>
  </si>
  <si>
    <t xml:space="preserve">Utstyret</t>
  </si>
  <si>
    <t xml:space="preserve">Over 30 000 kr og fem års brukstid: aktiveres. Bare 300 000 / 5 = 60 000 er kostnad i år. Resten står i balansen.</t>
  </si>
  <si>
    <t xml:space="preserve">Renter og skatt</t>
  </si>
  <si>
    <t xml:space="preserve">Renter: 7,5 % av 500 000. Skatt: 22 % av resultat før skatt (106 740). Avdraget og aksjekapitalen er ikke med i det hele tatt.</t>
  </si>
  <si>
    <t xml:space="preserve">Kilde: Hjertnes, J. og Skorpen, K.: Økonomistyring for LØM-emnet, kap. 3, avsnitt 3.2 (aktivering), 3.3, 3.7 (kalkulatoriske kostnader) og 3.11. Avskrivning: kap. 2.4.3. Selskapsskatt 22 % (Skatteetaten).</t>
  </si>
  <si>
    <t xml:space="preserve">B1 · Nordlys 31.12.2026: grupper balansen og les den som banken</t>
  </si>
  <si>
    <t xml:space="preserve">Kort oppsummert: Balansen viser hva bedriften eier (eiendeler) og hvordan det er finansiert (egenkapital og gjeld) på ett tidspunkt. Omløpsmidler er varelager, kundefordringer og bank. Kortsiktig gjeld forfaller innen ett år. Lærebokas to tommelfingerregler: egenkapital og langsiktig gjeld skal være større enn anleggsmidlene, og kortsiktig gjeld skal ikke overstige omløpsmidlene. Egenkapitalandel = egenkapital / sum eiendeler.</t>
  </si>
  <si>
    <t xml:space="preserve">Kari (daglig leder) skal i banken om kassekreditten, og banken har bedt om balansen per 31.12.2026. Regnskapsføreren har sendt postene i tilfeldig rekkefølge. Grupper dem i anleggsmidler, omløpsmidler, egenkapital, langsiktig gjeld og kortsiktig gjeld. Gå fram slik: spør for hver post om Nordlys eier den eller skylder den; skyldes den, spør om den forfaller innen ett år. Summer gruppene, og sjekk at begge sidene blir 10 182 650.</t>
  </si>
  <si>
    <t xml:space="preserve">Post per 31.12.2026</t>
  </si>
  <si>
    <t xml:space="preserve">Kundefordringer</t>
  </si>
  <si>
    <t xml:space="preserve">Banklån, forfaller om over ett år</t>
  </si>
  <si>
    <t xml:space="preserve">Bankinnskudd</t>
  </si>
  <si>
    <t xml:space="preserve">Skyldige feriepenger</t>
  </si>
  <si>
    <t xml:space="preserve">Verktøy, instrumenter og biler</t>
  </si>
  <si>
    <t xml:space="preserve">Kassekreditt</t>
  </si>
  <si>
    <t xml:space="preserve">Varelager</t>
  </si>
  <si>
    <t xml:space="preserve">Leverandørgjeld</t>
  </si>
  <si>
    <t xml:space="preserve">Annen egenkapital</t>
  </si>
  <si>
    <t xml:space="preserve">Skyldige avgifter og skattetrekk</t>
  </si>
  <si>
    <t xml:space="preserve">a)  Summen av omløpsmidlene i kroner: det som er i bevegelse i varekretsløpet.</t>
  </si>
  <si>
    <t xml:space="preserve">Omløpsmidler: varelager, kundefordringer og kontanter/bankinnskudd (Økonomistyring 3.2). Anleggsmidler + omløpsmidler = aktiva.</t>
  </si>
  <si>
    <t xml:space="preserve">b)  Summen av den kortsiktige gjelden i kroner: alt som forfaller innen ett år.</t>
  </si>
  <si>
    <t xml:space="preserve">Kortsiktig gjeld forfaller innen ett år; typiske eksempler er leverandørgjeld, kassekreditt og skyldige offentlige avgifter (Økonomistyring 3.2).</t>
  </si>
  <si>
    <t xml:space="preserve">c)  Egenkapitalandelen i prosent: egenkapital (aksjekapital + annen egenkapital) delt på sum eiendeler. Svar med én desimal.</t>
  </si>
  <si>
    <t xml:space="preserve">Egenkapitalandel = egenkapital × 100 / totalkapital (Økonomistyring kap. 4). Egenkapital i AS = aksjekapital + annen egenkapital (3.2).</t>
  </si>
  <si>
    <t xml:space="preserve">d)  Er posten en eiendel, altså noe Nordlys eier eller har til gode? Svar ja eller nei for hver post.</t>
  </si>
  <si>
    <t xml:space="preserve">      Kassekreditt 300 000 kr   (Ja eller Nei)</t>
  </si>
  <si>
    <t xml:space="preserve">      Kundefordringer 4 200 000 kr   (Ja eller Nei)</t>
  </si>
  <si>
    <t xml:space="preserve">      Annen egenkapital 2 592 650 kr   (Ja eller Nei)</t>
  </si>
  <si>
    <t xml:space="preserve">      Varelager 1 400 000 kr   (Ja eller Nei)</t>
  </si>
  <si>
    <t xml:space="preserve">      Skyldige feriepenger 890 000 kr   (Ja eller Nei)</t>
  </si>
  <si>
    <t xml:space="preserve">      Bankinnskudd 982 650 kr   (Ja eller Nei)</t>
  </si>
  <si>
    <t xml:space="preserve">e)  Banken spør: tåler Nordlys et dårlig år, og hvor står pengene? Svar med to–tre setninger, og bruk lærebokas to tommelfingerregler.</t>
  </si>
  <si>
    <t xml:space="preserve">Tommelfingerreglene i Økonomistyring 3.2. Likviditetsgrad 1 = omløpsmidler × 100 / kortsiktig gjeld, normtall 200 % (kap. 4).</t>
  </si>
  <si>
    <t xml:space="preserve">Gruppene</t>
  </si>
  <si>
    <t xml:space="preserve">Omløpsmidler: varelager, kundefordringer og bank. Kortsiktig gjeld: alt som forfaller innen ett år, også feriepengene og kassekreditten. Banklånet er langsiktig.</t>
  </si>
  <si>
    <t xml:space="preserve">Eier vi den?</t>
  </si>
  <si>
    <t xml:space="preserve">Spør for hver post: eier vi dette, eller skylder vi det? Kassekreditten kan brukes som penger, men den er lånt. Egenkapitalen er finansiering, ikke en konto.</t>
  </si>
  <si>
    <t xml:space="preserve">Kilde: Hjertnes, J. og Skorpen, K.: Økonomistyring for LØM-emnet, kap. 3, avsnitt 3.2 (anleggs- og omløpsmidler, egenkapital, lang og kort gjeld, de to tommelfingerreglene). Tallene er faktaarkets balanse per 31.12.2026. Nordlys Elektro AS er en konstruert casebedrift.</t>
  </si>
  <si>
    <t xml:space="preserve">B2 · Din egen el-bedrift: fra åpningsbalanse til balansen etter første år</t>
  </si>
  <si>
    <t xml:space="preserve">Kort oppsummert: Åpningsbalansen viser eiendelene og finansieringen den dagen bedriften starter. Etter ett år er utstyret skrevet ned med avskrivningen, lånet er nedbetalt med avdraget, og årsresultatet er lagt til annen egenkapital hvis det ikke deles ut som utbytte. Egenkapital ved årets slutt = egenkapital ved start + årsresultat − utbytte. Den samme egenkapitalen får du som eiendeler minus gjeld.</t>
  </si>
  <si>
    <t xml:space="preserve">Fjell Elektro AS startet 1. januar. Eieren skjøt inn 300 000 i aksjekapital, banken lånte ut 500 000, og utstyret ble kjøpt for 300 000 (se bort fra merverdiavgift). Det er åpningsbalansen i kolonnen 1. januar. Etter første år er årsresultatet 83 257 kr (fra A2), det deles ikke ut utbytte, utstyret er avskrevet med 60 000, og avdraget på lånet var 100 000. Varelageret er materiell kjøpt i desember til jobbene i januar, så det er ikke med i varekostnaden i A2. Resten av balansen 31.12. står i tabellen. Fyll inn spørsmålstegnene, og sjekk at sidene blir like.</t>
  </si>
  <si>
    <t xml:space="preserve">Post</t>
  </si>
  <si>
    <t xml:space="preserve">1. januar</t>
  </si>
  <si>
    <t xml:space="preserve">31. desember</t>
  </si>
  <si>
    <t xml:space="preserve">= Sum eiendeler</t>
  </si>
  <si>
    <t xml:space="preserve">Leverandørgjeld, avgifter, skatt</t>
  </si>
  <si>
    <t xml:space="preserve">= Sum egenkapital og gjeld</t>
  </si>
  <si>
    <t xml:space="preserve">a)  Bokført verdi av utstyret ved utgangen av året, i kroner: anskaffelseskost minus årets avskrivning.</t>
  </si>
  <si>
    <t xml:space="preserve">Bokført verdi = anskaffelseskost − akkumulerte avskrivninger. Lineær avskrivning over fem år = 20 % per år (Økonomistyring 3.2 og 2.4.3).</t>
  </si>
  <si>
    <t xml:space="preserve">b)  Banklånet ved utgangen av året, i kroner.</t>
  </si>
  <si>
    <t xml:space="preserve">Avdrag er nedbetaling av gjeld og står ikke i resultatregnskapet; det reduserer banklånet og bankinnskuddet like mye (Økonomistyring 3.2 og 3.3).</t>
  </si>
  <si>
    <t xml:space="preserve">c)  Annen egenkapital ved utgangen av året, i kroner. Sjekk svaret på to måter: start + årsresultat − utbytte, og eiendeler minus gjeld minus aksjekapital.</t>
  </si>
  <si>
    <t xml:space="preserve">Egenkapital ved årets slutt = egenkapital ved start + årsresultat − utbytte (Økonomistyring 3.2 og 3.11). Eiendeler = egenkapital + gjeld.</t>
  </si>
  <si>
    <t xml:space="preserve">d)  Når balansen er ferdig, sier eieren: «Med så mye egenkapital kan vi betale en ny varebil til 350 000 kontant.» Hva er feil med resonnementet?   A: Egenkapitalen er ikke penger: den står i utstyr, lager, kundefordringer og bank   B: Egenkapital kan bare brukes til å betale ned lån   C: Et AS kan ikke kjøpe varebiler kontant   (skriv bokstaven)</t>
  </si>
  <si>
    <t xml:space="preserve">e)  Eieren vil ta ut 80 000 kr i utbytte. Hvordan kan årsresultatet disponeres, hva sier reglene, og hva råder du henne til? To–tre setninger.</t>
  </si>
  <si>
    <t xml:space="preserve">Disponering av årsresultatet: utbytte eller annen egenkapital (Økonomistyring 3.11). Utbytte: aksjeloven § 8-1 og § 3-4; bokas 10 %-regel er opphevet (avviksregisteret nr. 3).</t>
  </si>
  <si>
    <t xml:space="preserve">Utstyr og lån</t>
  </si>
  <si>
    <t xml:space="preserve">Utstyret: 300 000 minus årets avskrivning 60 000. Banklånet: 500 000 minus avdraget 100 000. Avdraget er ikke kostnad, men det endrer balansen.</t>
  </si>
  <si>
    <t xml:space="preserve">Egenkapitalen</t>
  </si>
  <si>
    <t xml:space="preserve">Annen egenkapital = start (0) + årsresultat (83 257) − utbytte (0). Sjekk: sum eiendeler minus all gjeld minus aksjekapitalen gir samme tall.</t>
  </si>
  <si>
    <t xml:space="preserve">Kilde: Hjertnes, J. og Skorpen, K.: Økonomistyring for LØM-emnet, kap. 3, avsnitt 3.2, 3.5 (åpningsbalanse, tabell 3.2 og 3.5) og 3.11 (disponering av årsresultatet). Utbytte: aksjeloven § 8-1 og § 3-4 (Lovdata).</t>
  </si>
</sst>
</file>

<file path=xl/styles.xml><?xml version="1.0" encoding="utf-8"?>
<styleSheet xmlns="http://schemas.openxmlformats.org/spreadsheetml/2006/main">
  <numFmts count="2">
    <numFmt numFmtId="164" formatCode="General"/>
    <numFmt numFmtId="165" formatCode="#,##0.##;\−#,##0.##;\0"/>
  </numFmts>
  <fonts count="13">
    <font>
      <sz val="11"/>
      <color theme="1"/>
      <name val="Calibri"/>
      <family val="2"/>
      <charset val="1"/>
    </font>
    <font>
      <sz val="10"/>
      <name val="Arial"/>
      <family val="0"/>
    </font>
    <font>
      <sz val="10"/>
      <name val="Arial"/>
      <family val="0"/>
    </font>
    <font>
      <sz val="10"/>
      <name val="Arial"/>
      <family val="0"/>
    </font>
    <font>
      <b val="true"/>
      <sz val="14"/>
      <color rgb="FF2F4A6D"/>
      <name val="Arial"/>
      <family val="0"/>
      <charset val="1"/>
    </font>
    <font>
      <i val="true"/>
      <sz val="10"/>
      <color rgb="FF5E6670"/>
      <name val="Arial"/>
      <family val="0"/>
      <charset val="1"/>
    </font>
    <font>
      <b val="true"/>
      <sz val="11"/>
      <name val="Arial"/>
      <family val="0"/>
      <charset val="1"/>
    </font>
    <font>
      <sz val="11"/>
      <name val="Arial"/>
      <family val="0"/>
      <charset val="1"/>
    </font>
    <font>
      <b val="true"/>
      <sz val="11"/>
      <color rgb="FFFFFFFF"/>
      <name val="Arial"/>
      <family val="0"/>
      <charset val="1"/>
    </font>
    <font>
      <sz val="11"/>
      <color rgb="FF0000FF"/>
      <name val="Arial"/>
      <family val="0"/>
      <charset val="1"/>
    </font>
    <font>
      <b val="true"/>
      <sz val="10"/>
      <color rgb="FF2F4A6D"/>
      <name val="Arial"/>
      <family val="0"/>
      <charset val="1"/>
    </font>
    <font>
      <sz val="10"/>
      <name val="Arial"/>
      <family val="0"/>
      <charset val="1"/>
    </font>
    <font>
      <b val="true"/>
      <sz val="10"/>
      <color rgb="FFFFFFFF"/>
      <name val="Arial"/>
      <family val="0"/>
      <charset val="1"/>
    </font>
  </fonts>
  <fills count="8">
    <fill>
      <patternFill patternType="none"/>
    </fill>
    <fill>
      <patternFill patternType="gray125"/>
    </fill>
    <fill>
      <patternFill patternType="solid">
        <fgColor rgb="FF2F4A6D"/>
        <bgColor rgb="FF333333"/>
      </patternFill>
    </fill>
    <fill>
      <patternFill patternType="solid">
        <fgColor rgb="FFF4F6FA"/>
        <bgColor rgb="FFEEF2F8"/>
      </patternFill>
    </fill>
    <fill>
      <patternFill patternType="solid">
        <fgColor rgb="FFFFFF00"/>
        <bgColor rgb="FFFFFF00"/>
      </patternFill>
    </fill>
    <fill>
      <patternFill patternType="solid">
        <fgColor rgb="FFEEF2F8"/>
        <bgColor rgb="FFF4F6FA"/>
      </patternFill>
    </fill>
    <fill>
      <patternFill patternType="solid">
        <fgColor rgb="FFB8954A"/>
        <bgColor rgb="FF808080"/>
      </patternFill>
    </fill>
    <fill>
      <patternFill patternType="solid">
        <fgColor rgb="FFFBF6EA"/>
        <bgColor rgb="FFF4F6FA"/>
      </patternFill>
    </fill>
  </fills>
  <borders count="2">
    <border diagonalUp="false" diagonalDown="false">
      <left/>
      <right/>
      <top/>
      <bottom/>
      <diagonal/>
    </border>
    <border diagonalUp="false" diagonalDown="false">
      <left style="thin">
        <color rgb="FFDDE3EA"/>
      </left>
      <right style="thin">
        <color rgb="FFDDE3EA"/>
      </right>
      <top style="thin">
        <color rgb="FFDDE3EA"/>
      </top>
      <bottom style="thin">
        <color rgb="FFDDE3EA"/>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8" fillId="2" borderId="1" xfId="0" applyFont="true" applyBorder="true" applyAlignment="true" applyProtection="false">
      <alignment horizontal="left" vertical="bottom" textRotation="0" wrapText="true" indent="0" shrinkToFit="false"/>
      <protection locked="true" hidden="false"/>
    </xf>
    <xf numFmtId="164" fontId="8" fillId="2" borderId="1" xfId="0" applyFont="true" applyBorder="true" applyAlignment="true" applyProtection="false">
      <alignment horizontal="right" vertical="bottom" textRotation="0" wrapText="true" indent="0" shrinkToFit="false"/>
      <protection locked="true" hidden="false"/>
    </xf>
    <xf numFmtId="164" fontId="7" fillId="0" borderId="1" xfId="0" applyFont="true" applyBorder="true" applyAlignment="true" applyProtection="false">
      <alignment horizontal="left" vertical="bottom" textRotation="0" wrapText="true" indent="0" shrinkToFit="false"/>
      <protection locked="true" hidden="false"/>
    </xf>
    <xf numFmtId="165" fontId="7" fillId="0" borderId="1" xfId="0" applyFont="true" applyBorder="true" applyAlignment="true" applyProtection="false">
      <alignment horizontal="right" vertical="bottom" textRotation="0" wrapText="false" indent="0" shrinkToFit="false"/>
      <protection locked="true" hidden="false"/>
    </xf>
    <xf numFmtId="164" fontId="7" fillId="3" borderId="1" xfId="0" applyFont="true" applyBorder="true" applyAlignment="true" applyProtection="false">
      <alignment horizontal="left" vertical="bottom" textRotation="0" wrapText="true" indent="0" shrinkToFit="false"/>
      <protection locked="true" hidden="false"/>
    </xf>
    <xf numFmtId="165" fontId="7" fillId="3" borderId="1" xfId="0" applyFont="true" applyBorder="true" applyAlignment="true" applyProtection="false">
      <alignment horizontal="right" vertical="bottom" textRotation="0" wrapText="false" indent="0" shrinkToFit="false"/>
      <protection locked="true" hidden="false"/>
    </xf>
    <xf numFmtId="164" fontId="8" fillId="2" borderId="1" xfId="0" applyFont="true" applyBorder="true" applyAlignment="false" applyProtection="false">
      <alignment horizontal="general" vertical="bottom" textRotation="0" wrapText="false" indent="0" shrinkToFit="false"/>
      <protection locked="true" hidden="false"/>
    </xf>
    <xf numFmtId="165" fontId="9" fillId="4" borderId="1" xfId="0" applyFont="tru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center" vertical="bottom" textRotation="0" wrapText="false" indent="0" shrinkToFit="false"/>
      <protection locked="true" hidden="false"/>
    </xf>
    <xf numFmtId="164" fontId="10" fillId="5" borderId="0" xfId="0" applyFont="true" applyBorder="false" applyAlignment="true" applyProtection="false">
      <alignment horizontal="general" vertical="top" textRotation="0" wrapText="true" indent="0" shrinkToFit="false"/>
      <protection locked="true" hidden="false"/>
    </xf>
    <xf numFmtId="164" fontId="11" fillId="5" borderId="0" xfId="0" applyFont="true" applyBorder="true" applyAlignment="true" applyProtection="false">
      <alignment horizontal="general" vertical="top" textRotation="0" wrapText="true" indent="0" shrinkToFit="false"/>
      <protection locked="true" hidden="false"/>
    </xf>
    <xf numFmtId="164" fontId="9" fillId="4" borderId="1" xfId="0" applyFont="true" applyBorder="true" applyAlignment="false" applyProtection="false">
      <alignment horizontal="general" vertical="bottom" textRotation="0" wrapText="false" indent="0" shrinkToFit="false"/>
      <protection locked="true" hidden="false"/>
    </xf>
    <xf numFmtId="164" fontId="9" fillId="4" borderId="1" xfId="0" applyFont="true" applyBorder="true" applyAlignment="true" applyProtection="false">
      <alignment horizontal="general" vertical="top" textRotation="0" wrapText="true" indent="0" shrinkToFit="false"/>
      <protection locked="true" hidden="false"/>
    </xf>
    <xf numFmtId="164" fontId="12" fillId="6" borderId="0" xfId="0" applyFont="true" applyBorder="true" applyAlignment="false" applyProtection="false">
      <alignment horizontal="general" vertical="bottom" textRotation="0" wrapText="false" indent="0" shrinkToFit="false"/>
      <protection locked="true" hidden="false"/>
    </xf>
    <xf numFmtId="164" fontId="10" fillId="7" borderId="0" xfId="0" applyFont="true" applyBorder="false" applyAlignment="true" applyProtection="false">
      <alignment horizontal="general" vertical="top" textRotation="0" wrapText="true" indent="0" shrinkToFit="false"/>
      <protection locked="true" hidden="false"/>
    </xf>
    <xf numFmtId="164" fontId="11" fillId="7" borderId="0"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left" vertical="bottom" textRotation="0" wrapText="true" indent="0" shrinkToFit="false"/>
      <protection locked="true" hidden="false"/>
    </xf>
    <xf numFmtId="165" fontId="6" fillId="0" borderId="1" xfId="0" applyFont="true" applyBorder="true" applyAlignment="true" applyProtection="false">
      <alignment horizontal="right"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BF6EA"/>
      <rgbColor rgb="FFEEF2F8"/>
      <rgbColor rgb="FF660066"/>
      <rgbColor rgb="FFFF8080"/>
      <rgbColor rgb="FF0066CC"/>
      <rgbColor rgb="FFDDE3EA"/>
      <rgbColor rgb="FF000080"/>
      <rgbColor rgb="FFFF00FF"/>
      <rgbColor rgb="FFFFFF00"/>
      <rgbColor rgb="FF00FFFF"/>
      <rgbColor rgb="FF800080"/>
      <rgbColor rgb="FF800000"/>
      <rgbColor rgb="FF008080"/>
      <rgbColor rgb="FF0000FF"/>
      <rgbColor rgb="FF00CCFF"/>
      <rgbColor rgb="FFF4F6FA"/>
      <rgbColor rgb="FFCCFFCC"/>
      <rgbColor rgb="FFFFFF99"/>
      <rgbColor rgb="FF99CCFF"/>
      <rgbColor rgb="FFFF99CC"/>
      <rgbColor rgb="FFCC99FF"/>
      <rgbColor rgb="FFFFCC99"/>
      <rgbColor rgb="FF3366FF"/>
      <rgbColor rgb="FF33CCCC"/>
      <rgbColor rgb="FF99CC00"/>
      <rgbColor rgb="FFFFCC00"/>
      <rgbColor rgb="FFFF9900"/>
      <rgbColor rgb="FFFF6600"/>
      <rgbColor rgb="FF5E6670"/>
      <rgbColor rgb="FFB8954A"/>
      <rgbColor rgb="FF003366"/>
      <rgbColor rgb="FF339966"/>
      <rgbColor rgb="FF003300"/>
      <rgbColor rgb="FF333300"/>
      <rgbColor rgb="FF993300"/>
      <rgbColor rgb="FF993366"/>
      <rgbColor rgb="FF2F4A6D"/>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1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100"/>
  </cols>
  <sheetData>
    <row r="1" customFormat="false" ht="17.3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c r="B4" s="4"/>
    </row>
    <row r="5" customFormat="false" ht="15" hidden="false" customHeight="false" outlineLevel="0" collapsed="false">
      <c r="A5" s="5" t="s">
        <v>3</v>
      </c>
      <c r="B5" s="4" t="s">
        <v>4</v>
      </c>
    </row>
    <row r="6" customFormat="false" ht="15" hidden="false" customHeight="false" outlineLevel="0" collapsed="false">
      <c r="A6" s="5" t="s">
        <v>5</v>
      </c>
      <c r="B6" s="4" t="s">
        <v>6</v>
      </c>
    </row>
    <row r="7" customFormat="false" ht="15" hidden="false" customHeight="false" outlineLevel="0" collapsed="false">
      <c r="A7" s="3" t="s">
        <v>7</v>
      </c>
      <c r="B7" s="4"/>
    </row>
    <row r="8" customFormat="false" ht="15" hidden="false" customHeight="false" outlineLevel="0" collapsed="false">
      <c r="A8" s="5" t="s">
        <v>8</v>
      </c>
      <c r="B8" s="4" t="s">
        <v>9</v>
      </c>
    </row>
    <row r="9" customFormat="false" ht="15" hidden="false" customHeight="false" outlineLevel="0" collapsed="false">
      <c r="A9" s="5" t="s">
        <v>10</v>
      </c>
      <c r="B9" s="4" t="s">
        <v>11</v>
      </c>
    </row>
    <row r="10" customFormat="false" ht="15" hidden="false" customHeight="false" outlineLevel="0" collapsed="false">
      <c r="A10" s="5" t="s">
        <v>12</v>
      </c>
      <c r="B10" s="4" t="s">
        <v>13</v>
      </c>
    </row>
    <row r="11" customFormat="false" ht="15" hidden="false" customHeight="false" outlineLevel="0" collapsed="false">
      <c r="A11" s="5" t="s">
        <v>14</v>
      </c>
      <c r="B11" s="4" t="s">
        <v>15</v>
      </c>
    </row>
    <row r="12" customFormat="false" ht="15" hidden="false" customHeight="false" outlineLevel="0" collapsed="false">
      <c r="A12" s="3" t="s">
        <v>16</v>
      </c>
      <c r="B12" s="4" t="s">
        <v>17</v>
      </c>
    </row>
    <row r="13" customFormat="false" ht="15" hidden="false" customHeight="false" outlineLevel="0" collapsed="false">
      <c r="A13" s="3" t="s">
        <v>18</v>
      </c>
      <c r="B13" s="4" t="s">
        <v>19</v>
      </c>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4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5" min="2" style="0" width="16"/>
    <col collapsed="false" customWidth="true" hidden="false" outlineLevel="0" max="6" min="6" style="0" width="18"/>
    <col collapsed="false" customWidth="true" hidden="false" outlineLevel="0" max="7" min="7" style="0" width="14"/>
  </cols>
  <sheetData>
    <row r="1" customFormat="false" ht="17.35" hidden="false" customHeight="false" outlineLevel="0" collapsed="false">
      <c r="A1" s="1" t="s">
        <v>20</v>
      </c>
    </row>
    <row r="2" customFormat="false" ht="15" hidden="false" customHeight="false" outlineLevel="0" collapsed="false">
      <c r="A2" s="2" t="s">
        <v>21</v>
      </c>
    </row>
    <row r="4" customFormat="false" ht="63.75" hidden="false" customHeight="true" outlineLevel="0" collapsed="false">
      <c r="A4" s="6" t="s">
        <v>22</v>
      </c>
      <c r="B4" s="6"/>
      <c r="C4" s="6"/>
      <c r="D4" s="6"/>
      <c r="E4" s="6"/>
      <c r="F4" s="6"/>
      <c r="G4" s="6"/>
    </row>
    <row r="5" customFormat="false" ht="78.75" hidden="false" customHeight="true" outlineLevel="0" collapsed="false">
      <c r="A5" s="7" t="s">
        <v>23</v>
      </c>
      <c r="B5" s="7"/>
      <c r="C5" s="7"/>
      <c r="D5" s="7"/>
      <c r="E5" s="7"/>
      <c r="F5" s="7"/>
      <c r="G5" s="7"/>
    </row>
    <row r="7" customFormat="false" ht="15" hidden="false" customHeight="false" outlineLevel="0" collapsed="false">
      <c r="A7" s="8" t="s">
        <v>24</v>
      </c>
      <c r="B7" s="9" t="s">
        <v>25</v>
      </c>
    </row>
    <row r="8" customFormat="false" ht="15" hidden="false" customHeight="false" outlineLevel="0" collapsed="false">
      <c r="A8" s="10" t="s">
        <v>26</v>
      </c>
      <c r="B8" s="11" t="n">
        <v>10660000</v>
      </c>
    </row>
    <row r="9" customFormat="false" ht="15" hidden="false" customHeight="false" outlineLevel="0" collapsed="false">
      <c r="A9" s="12" t="s">
        <v>27</v>
      </c>
      <c r="B9" s="13" t="n">
        <v>22400000</v>
      </c>
    </row>
    <row r="10" customFormat="false" ht="15" hidden="false" customHeight="false" outlineLevel="0" collapsed="false">
      <c r="A10" s="10" t="s">
        <v>28</v>
      </c>
      <c r="B10" s="11" t="n">
        <v>232500</v>
      </c>
    </row>
    <row r="11" customFormat="false" ht="15" hidden="false" customHeight="false" outlineLevel="0" collapsed="false">
      <c r="A11" s="12" t="s">
        <v>29</v>
      </c>
      <c r="B11" s="13" t="n">
        <v>7990000</v>
      </c>
    </row>
    <row r="12" customFormat="false" ht="15" hidden="false" customHeight="false" outlineLevel="0" collapsed="false">
      <c r="A12" s="10" t="s">
        <v>30</v>
      </c>
      <c r="B12" s="11" t="n">
        <v>620000</v>
      </c>
    </row>
    <row r="13" customFormat="false" ht="15" hidden="false" customHeight="false" outlineLevel="0" collapsed="false">
      <c r="A13" s="12" t="s">
        <v>31</v>
      </c>
      <c r="B13" s="13" t="n">
        <v>56000</v>
      </c>
    </row>
    <row r="14" customFormat="false" ht="15" hidden="false" customHeight="false" outlineLevel="0" collapsed="false">
      <c r="A14" s="10" t="s">
        <v>32</v>
      </c>
      <c r="B14" s="11" t="n">
        <v>1386000</v>
      </c>
    </row>
    <row r="15" customFormat="false" ht="15" hidden="false" customHeight="false" outlineLevel="0" collapsed="false">
      <c r="A15" s="12" t="s">
        <v>33</v>
      </c>
      <c r="B15" s="13" t="n">
        <v>256850</v>
      </c>
    </row>
    <row r="16" customFormat="false" ht="15" hidden="false" customHeight="false" outlineLevel="0" collapsed="false">
      <c r="A16" s="10" t="s">
        <v>34</v>
      </c>
      <c r="B16" s="11" t="n">
        <v>400000</v>
      </c>
    </row>
    <row r="17" customFormat="false" ht="15" hidden="false" customHeight="true" outlineLevel="0" collapsed="false">
      <c r="A17" s="6" t="s">
        <v>35</v>
      </c>
      <c r="B17" s="6"/>
      <c r="C17" s="6"/>
      <c r="D17" s="6"/>
      <c r="E17" s="6"/>
      <c r="F17" s="6"/>
      <c r="G17" s="6"/>
    </row>
    <row r="19" customFormat="false" ht="15" hidden="false" customHeight="false" outlineLevel="0" collapsed="false">
      <c r="A19" s="14" t="s">
        <v>36</v>
      </c>
      <c r="B19" s="14"/>
      <c r="C19" s="14"/>
      <c r="D19" s="14"/>
      <c r="E19" s="14"/>
      <c r="F19" s="14" t="s">
        <v>37</v>
      </c>
      <c r="G19" s="14" t="s">
        <v>38</v>
      </c>
    </row>
    <row r="20" customFormat="false" ht="33.75" hidden="false" customHeight="true" outlineLevel="0" collapsed="false">
      <c r="A20" s="7" t="s">
        <v>39</v>
      </c>
      <c r="B20" s="7"/>
      <c r="C20" s="7"/>
      <c r="D20" s="7"/>
      <c r="E20" s="7"/>
      <c r="F20" s="15"/>
      <c r="G20" s="16" t="str">
        <f aca="false">IF(F20="","",IF(ABS(F20-(14010000))&lt;=0.000000001,"Riktig","Prøv igjen"))</f>
        <v/>
      </c>
    </row>
    <row r="21" customFormat="false" ht="30" hidden="false" customHeight="true" outlineLevel="0" collapsed="false">
      <c r="A21" s="17" t="s">
        <v>40</v>
      </c>
      <c r="B21" s="18" t="s">
        <v>41</v>
      </c>
      <c r="C21" s="18"/>
      <c r="D21" s="18"/>
      <c r="E21" s="18"/>
      <c r="F21" s="18"/>
      <c r="G21" s="18"/>
    </row>
    <row r="23" customFormat="false" ht="33.75" hidden="false" customHeight="true" outlineLevel="0" collapsed="false">
      <c r="A23" s="7" t="s">
        <v>42</v>
      </c>
      <c r="B23" s="7"/>
      <c r="C23" s="7"/>
      <c r="D23" s="7"/>
      <c r="E23" s="7"/>
      <c r="F23" s="15"/>
      <c r="G23" s="16" t="str">
        <f aca="false">IF(F23="","",IF(ABS(F23-(1344000))&lt;=0.000000001,"Riktig","Prøv igjen"))</f>
        <v/>
      </c>
    </row>
    <row r="24" customFormat="false" ht="30" hidden="false" customHeight="true" outlineLevel="0" collapsed="false">
      <c r="A24" s="17" t="s">
        <v>40</v>
      </c>
      <c r="B24" s="18" t="s">
        <v>43</v>
      </c>
      <c r="C24" s="18"/>
      <c r="D24" s="18"/>
      <c r="E24" s="18"/>
      <c r="F24" s="18"/>
      <c r="G24" s="18"/>
    </row>
    <row r="26" customFormat="false" ht="33.75" hidden="false" customHeight="true" outlineLevel="0" collapsed="false">
      <c r="A26" s="7" t="s">
        <v>44</v>
      </c>
      <c r="B26" s="7"/>
      <c r="C26" s="7"/>
      <c r="D26" s="7"/>
      <c r="E26" s="7"/>
      <c r="F26" s="15"/>
      <c r="G26" s="16" t="str">
        <f aca="false">IF(F26="","",IF(ABS(F26-(910650))&lt;=0.000000001,"Riktig","Prøv igjen"))</f>
        <v/>
      </c>
    </row>
    <row r="27" customFormat="false" ht="30" hidden="false" customHeight="true" outlineLevel="0" collapsed="false">
      <c r="A27" s="17" t="s">
        <v>40</v>
      </c>
      <c r="B27" s="18" t="s">
        <v>45</v>
      </c>
      <c r="C27" s="18"/>
      <c r="D27" s="18"/>
      <c r="E27" s="18"/>
      <c r="F27" s="18"/>
      <c r="G27" s="18"/>
    </row>
    <row r="29" customFormat="false" ht="48.75" hidden="false" customHeight="true" outlineLevel="0" collapsed="false">
      <c r="A29" s="7" t="s">
        <v>46</v>
      </c>
      <c r="B29" s="7"/>
      <c r="C29" s="7"/>
      <c r="D29" s="7"/>
      <c r="E29" s="7"/>
      <c r="F29" s="19"/>
      <c r="G29" s="16" t="str">
        <f aca="false">IF(F29="","",IF(UPPER(TRIM(F29))="B","Riktig","Prøv igjen"))</f>
        <v/>
      </c>
    </row>
    <row r="30" customFormat="false" ht="33.75" hidden="false" customHeight="true" outlineLevel="0" collapsed="false">
      <c r="A30" s="7" t="s">
        <v>47</v>
      </c>
      <c r="B30" s="7"/>
      <c r="C30" s="7"/>
      <c r="D30" s="7"/>
      <c r="E30" s="7"/>
    </row>
    <row r="31" customFormat="false" ht="15" hidden="false" customHeight="false" outlineLevel="0" collapsed="false">
      <c r="A31" s="20"/>
      <c r="B31" s="20"/>
      <c r="C31" s="20"/>
      <c r="D31" s="20"/>
      <c r="E31" s="20"/>
      <c r="F31" s="20"/>
      <c r="G31" s="20"/>
    </row>
    <row r="32" customFormat="false" ht="15" hidden="false" customHeight="false" outlineLevel="0" collapsed="false">
      <c r="A32" s="20"/>
      <c r="B32" s="20"/>
      <c r="C32" s="20"/>
      <c r="D32" s="20"/>
      <c r="E32" s="20"/>
      <c r="F32" s="20"/>
      <c r="G32" s="20"/>
    </row>
    <row r="33" customFormat="false" ht="15" hidden="false" customHeight="false" outlineLevel="0" collapsed="false">
      <c r="A33" s="20"/>
      <c r="B33" s="20"/>
      <c r="C33" s="20"/>
      <c r="D33" s="20"/>
      <c r="E33" s="20"/>
      <c r="F33" s="20"/>
      <c r="G33" s="20"/>
    </row>
    <row r="34" customFormat="false" ht="30" hidden="false" customHeight="true" outlineLevel="0" collapsed="false">
      <c r="A34" s="17" t="s">
        <v>40</v>
      </c>
      <c r="B34" s="18" t="s">
        <v>48</v>
      </c>
      <c r="C34" s="18"/>
      <c r="D34" s="18"/>
      <c r="E34" s="18"/>
      <c r="F34" s="18"/>
      <c r="G34" s="18"/>
    </row>
    <row r="37" customFormat="false" ht="15" hidden="false" customHeight="false" outlineLevel="0" collapsed="false">
      <c r="A37" s="21" t="s">
        <v>49</v>
      </c>
      <c r="B37" s="21"/>
      <c r="C37" s="21"/>
      <c r="D37" s="21"/>
      <c r="E37" s="21"/>
      <c r="F37" s="21"/>
      <c r="G37" s="21"/>
    </row>
    <row r="38" customFormat="false" ht="30" hidden="false" customHeight="true" outlineLevel="0" collapsed="false">
      <c r="A38" s="22" t="s">
        <v>50</v>
      </c>
      <c r="B38" s="23" t="s">
        <v>51</v>
      </c>
      <c r="C38" s="23"/>
      <c r="D38" s="23"/>
      <c r="E38" s="23"/>
      <c r="F38" s="23"/>
      <c r="G38" s="23"/>
    </row>
    <row r="39" customFormat="false" ht="30" hidden="false" customHeight="true" outlineLevel="0" collapsed="false">
      <c r="A39" s="22" t="s">
        <v>52</v>
      </c>
      <c r="B39" s="23" t="s">
        <v>53</v>
      </c>
      <c r="C39" s="23"/>
      <c r="D39" s="23"/>
      <c r="E39" s="23"/>
      <c r="F39" s="23"/>
      <c r="G39" s="23"/>
    </row>
    <row r="41" customFormat="false" ht="33.75" hidden="false" customHeight="true" outlineLevel="0" collapsed="false">
      <c r="A41" s="6" t="s">
        <v>54</v>
      </c>
      <c r="B41" s="6"/>
      <c r="C41" s="6"/>
      <c r="D41" s="6"/>
      <c r="E41" s="6"/>
      <c r="F41" s="6"/>
      <c r="G41" s="6"/>
    </row>
    <row r="42" customFormat="false" ht="15" hidden="false" customHeight="true" outlineLevel="0" collapsed="false">
      <c r="A42" s="6" t="s">
        <v>55</v>
      </c>
      <c r="B42" s="6"/>
      <c r="C42" s="6"/>
      <c r="D42" s="6"/>
      <c r="E42" s="6"/>
      <c r="F42" s="6"/>
      <c r="G42" s="6"/>
    </row>
  </sheetData>
  <mergeCells count="19">
    <mergeCell ref="A4:G4"/>
    <mergeCell ref="A5:G5"/>
    <mergeCell ref="A17:G17"/>
    <mergeCell ref="A19:E19"/>
    <mergeCell ref="A20:E20"/>
    <mergeCell ref="B21:G21"/>
    <mergeCell ref="A23:E23"/>
    <mergeCell ref="B24:G24"/>
    <mergeCell ref="A26:E26"/>
    <mergeCell ref="B27:G27"/>
    <mergeCell ref="A29:E29"/>
    <mergeCell ref="A30:E30"/>
    <mergeCell ref="A31:G33"/>
    <mergeCell ref="B34:G34"/>
    <mergeCell ref="A37:G37"/>
    <mergeCell ref="B38:G38"/>
    <mergeCell ref="B39:G39"/>
    <mergeCell ref="A41:G41"/>
    <mergeCell ref="A42:G42"/>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4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5" min="2" style="0" width="16"/>
    <col collapsed="false" customWidth="true" hidden="false" outlineLevel="0" max="6" min="6" style="0" width="18"/>
    <col collapsed="false" customWidth="true" hidden="false" outlineLevel="0" max="7" min="7" style="0" width="14"/>
  </cols>
  <sheetData>
    <row r="1" customFormat="false" ht="17.35" hidden="false" customHeight="false" outlineLevel="0" collapsed="false">
      <c r="A1" s="1" t="s">
        <v>56</v>
      </c>
    </row>
    <row r="2" customFormat="false" ht="15" hidden="false" customHeight="false" outlineLevel="0" collapsed="false">
      <c r="A2" s="2" t="s">
        <v>21</v>
      </c>
    </row>
    <row r="4" customFormat="false" ht="63.75" hidden="false" customHeight="true" outlineLevel="0" collapsed="false">
      <c r="A4" s="6" t="s">
        <v>57</v>
      </c>
      <c r="B4" s="6"/>
      <c r="C4" s="6"/>
      <c r="D4" s="6"/>
      <c r="E4" s="6"/>
      <c r="F4" s="6"/>
      <c r="G4" s="6"/>
    </row>
    <row r="5" customFormat="false" ht="78.75" hidden="false" customHeight="true" outlineLevel="0" collapsed="false">
      <c r="A5" s="7" t="s">
        <v>58</v>
      </c>
      <c r="B5" s="7"/>
      <c r="C5" s="7"/>
      <c r="D5" s="7"/>
      <c r="E5" s="7"/>
      <c r="F5" s="7"/>
      <c r="G5" s="7"/>
    </row>
    <row r="7" customFormat="false" ht="15" hidden="false" customHeight="false" outlineLevel="0" collapsed="false">
      <c r="A7" s="14" t="s">
        <v>59</v>
      </c>
      <c r="B7" s="14" t="s">
        <v>60</v>
      </c>
      <c r="C7" s="14"/>
      <c r="D7" s="14"/>
      <c r="E7" s="14"/>
      <c r="F7" s="14"/>
      <c r="G7" s="14"/>
    </row>
    <row r="8" customFormat="false" ht="18.75" hidden="false" customHeight="true" outlineLevel="0" collapsed="false">
      <c r="A8" s="24" t="s">
        <v>61</v>
      </c>
      <c r="B8" s="7" t="s">
        <v>62</v>
      </c>
      <c r="C8" s="7"/>
      <c r="D8" s="7"/>
      <c r="E8" s="7"/>
      <c r="F8" s="7"/>
      <c r="G8" s="7"/>
    </row>
    <row r="9" customFormat="false" ht="18.75" hidden="false" customHeight="true" outlineLevel="0" collapsed="false">
      <c r="A9" s="24" t="s">
        <v>63</v>
      </c>
      <c r="B9" s="7" t="s">
        <v>64</v>
      </c>
      <c r="C9" s="7"/>
      <c r="D9" s="7"/>
      <c r="E9" s="7"/>
      <c r="F9" s="7"/>
      <c r="G9" s="7"/>
    </row>
    <row r="10" customFormat="false" ht="18.75" hidden="false" customHeight="true" outlineLevel="0" collapsed="false">
      <c r="A10" s="24" t="s">
        <v>26</v>
      </c>
      <c r="B10" s="7" t="s">
        <v>65</v>
      </c>
      <c r="C10" s="7"/>
      <c r="D10" s="7"/>
      <c r="E10" s="7"/>
      <c r="F10" s="7"/>
      <c r="G10" s="7"/>
    </row>
    <row r="11" customFormat="false" ht="18.75" hidden="false" customHeight="true" outlineLevel="0" collapsed="false">
      <c r="A11" s="24" t="s">
        <v>66</v>
      </c>
      <c r="B11" s="7" t="s">
        <v>67</v>
      </c>
      <c r="C11" s="7"/>
      <c r="D11" s="7"/>
      <c r="E11" s="7"/>
      <c r="F11" s="7"/>
      <c r="G11" s="7"/>
    </row>
    <row r="12" customFormat="false" ht="18.75" hidden="false" customHeight="true" outlineLevel="0" collapsed="false">
      <c r="A12" s="24" t="s">
        <v>32</v>
      </c>
      <c r="B12" s="7" t="s">
        <v>68</v>
      </c>
      <c r="C12" s="7"/>
      <c r="D12" s="7"/>
      <c r="E12" s="7"/>
      <c r="F12" s="7"/>
      <c r="G12" s="7"/>
    </row>
    <row r="13" customFormat="false" ht="18.75" hidden="false" customHeight="true" outlineLevel="0" collapsed="false">
      <c r="A13" s="24" t="s">
        <v>69</v>
      </c>
      <c r="B13" s="7" t="s">
        <v>70</v>
      </c>
      <c r="C13" s="7"/>
      <c r="D13" s="7"/>
      <c r="E13" s="7"/>
      <c r="F13" s="7"/>
      <c r="G13" s="7"/>
    </row>
    <row r="14" customFormat="false" ht="18.75" hidden="false" customHeight="true" outlineLevel="0" collapsed="false">
      <c r="A14" s="24" t="s">
        <v>71</v>
      </c>
      <c r="B14" s="7" t="s">
        <v>72</v>
      </c>
      <c r="C14" s="7"/>
      <c r="D14" s="7"/>
      <c r="E14" s="7"/>
      <c r="F14" s="7"/>
      <c r="G14" s="7"/>
    </row>
    <row r="15" customFormat="false" ht="18.75" hidden="false" customHeight="true" outlineLevel="0" collapsed="false">
      <c r="A15" s="24" t="s">
        <v>73</v>
      </c>
      <c r="B15" s="7" t="s">
        <v>74</v>
      </c>
      <c r="C15" s="7"/>
      <c r="D15" s="7"/>
      <c r="E15" s="7"/>
      <c r="F15" s="7"/>
      <c r="G15" s="7"/>
    </row>
    <row r="16" customFormat="false" ht="18.75" hidden="false" customHeight="true" outlineLevel="0" collapsed="false">
      <c r="A16" s="24" t="s">
        <v>75</v>
      </c>
      <c r="B16" s="7" t="s">
        <v>76</v>
      </c>
      <c r="C16" s="7"/>
      <c r="D16" s="7"/>
      <c r="E16" s="7"/>
      <c r="F16" s="7"/>
      <c r="G16" s="7"/>
    </row>
    <row r="18" customFormat="false" ht="15" hidden="false" customHeight="false" outlineLevel="0" collapsed="false">
      <c r="A18" s="14" t="s">
        <v>36</v>
      </c>
      <c r="B18" s="14"/>
      <c r="C18" s="14"/>
      <c r="D18" s="14"/>
      <c r="E18" s="14"/>
      <c r="F18" s="14" t="s">
        <v>37</v>
      </c>
      <c r="G18" s="14" t="s">
        <v>38</v>
      </c>
    </row>
    <row r="19" customFormat="false" ht="18.75" hidden="false" customHeight="true" outlineLevel="0" collapsed="false">
      <c r="A19" s="7" t="s">
        <v>77</v>
      </c>
      <c r="B19" s="7"/>
      <c r="C19" s="7"/>
      <c r="D19" s="7"/>
      <c r="E19" s="7"/>
      <c r="F19" s="15"/>
      <c r="G19" s="16" t="str">
        <f aca="false">IF(F19="","",IF(ABS(F19-(3395000))&lt;=0.000000001,"Riktig","Prøv igjen"))</f>
        <v/>
      </c>
    </row>
    <row r="20" customFormat="false" ht="30" hidden="false" customHeight="true" outlineLevel="0" collapsed="false">
      <c r="A20" s="17" t="s">
        <v>40</v>
      </c>
      <c r="B20" s="18" t="s">
        <v>78</v>
      </c>
      <c r="C20" s="18"/>
      <c r="D20" s="18"/>
      <c r="E20" s="18"/>
      <c r="F20" s="18"/>
      <c r="G20" s="18"/>
    </row>
    <row r="22" customFormat="false" ht="33.75" hidden="false" customHeight="true" outlineLevel="0" collapsed="false">
      <c r="A22" s="7" t="s">
        <v>79</v>
      </c>
      <c r="B22" s="7"/>
      <c r="C22" s="7"/>
      <c r="D22" s="7"/>
      <c r="E22" s="7"/>
      <c r="F22" s="15"/>
      <c r="G22" s="16" t="str">
        <f aca="false">IF(F22="","",IF(ABS(F22-(144240))&lt;=0.000000001,"Riktig","Prøv igjen"))</f>
        <v/>
      </c>
    </row>
    <row r="23" customFormat="false" ht="30" hidden="false" customHeight="true" outlineLevel="0" collapsed="false">
      <c r="A23" s="17" t="s">
        <v>40</v>
      </c>
      <c r="B23" s="18" t="s">
        <v>80</v>
      </c>
      <c r="C23" s="18"/>
      <c r="D23" s="18"/>
      <c r="E23" s="18"/>
      <c r="F23" s="18"/>
      <c r="G23" s="18"/>
    </row>
    <row r="25" customFormat="false" ht="33.75" hidden="false" customHeight="true" outlineLevel="0" collapsed="false">
      <c r="A25" s="7" t="s">
        <v>81</v>
      </c>
      <c r="B25" s="7"/>
      <c r="C25" s="7"/>
      <c r="D25" s="7"/>
      <c r="E25" s="7"/>
      <c r="F25" s="15"/>
      <c r="G25" s="16" t="str">
        <f aca="false">IF(F25="","",IF(ABS(F25-(83257))&lt;=1,"Riktig","Prøv igjen"))</f>
        <v/>
      </c>
    </row>
    <row r="26" customFormat="false" ht="30" hidden="false" customHeight="true" outlineLevel="0" collapsed="false">
      <c r="A26" s="17" t="s">
        <v>40</v>
      </c>
      <c r="B26" s="18" t="s">
        <v>82</v>
      </c>
      <c r="C26" s="18"/>
      <c r="D26" s="18"/>
      <c r="E26" s="18"/>
      <c r="F26" s="18"/>
      <c r="G26" s="18"/>
    </row>
    <row r="28" customFormat="false" ht="48.75" hidden="false" customHeight="true" outlineLevel="0" collapsed="false">
      <c r="A28" s="7" t="s">
        <v>83</v>
      </c>
      <c r="B28" s="7"/>
      <c r="C28" s="7"/>
      <c r="D28" s="7"/>
      <c r="E28" s="7"/>
    </row>
    <row r="29" customFormat="false" ht="15" hidden="false" customHeight="true" outlineLevel="0" collapsed="false">
      <c r="A29" s="7" t="s">
        <v>84</v>
      </c>
      <c r="B29" s="7"/>
      <c r="C29" s="7"/>
      <c r="D29" s="7"/>
      <c r="E29" s="7"/>
      <c r="F29" s="19"/>
      <c r="G29" s="16" t="str">
        <f aca="false">IF(F29="","",IF(UPPER(TRIM(F29))="NEI","Riktig","Prøv igjen"))</f>
        <v/>
      </c>
    </row>
    <row r="30" customFormat="false" ht="15" hidden="false" customHeight="true" outlineLevel="0" collapsed="false">
      <c r="A30" s="7" t="s">
        <v>85</v>
      </c>
      <c r="B30" s="7"/>
      <c r="C30" s="7"/>
      <c r="D30" s="7"/>
      <c r="E30" s="7"/>
      <c r="F30" s="19"/>
      <c r="G30" s="16" t="str">
        <f aca="false">IF(F30="","",IF(UPPER(TRIM(F30))="JA","Riktig","Prøv igjen"))</f>
        <v/>
      </c>
    </row>
    <row r="31" customFormat="false" ht="15" hidden="false" customHeight="true" outlineLevel="0" collapsed="false">
      <c r="A31" s="7" t="s">
        <v>86</v>
      </c>
      <c r="B31" s="7"/>
      <c r="C31" s="7"/>
      <c r="D31" s="7"/>
      <c r="E31" s="7"/>
      <c r="F31" s="19"/>
      <c r="G31" s="16" t="str">
        <f aca="false">IF(F31="","",IF(UPPER(TRIM(F31))="NEI","Riktig","Prøv igjen"))</f>
        <v/>
      </c>
    </row>
    <row r="32" customFormat="false" ht="15" hidden="false" customHeight="true" outlineLevel="0" collapsed="false">
      <c r="A32" s="7" t="s">
        <v>87</v>
      </c>
      <c r="B32" s="7"/>
      <c r="C32" s="7"/>
      <c r="D32" s="7"/>
      <c r="E32" s="7"/>
      <c r="F32" s="19"/>
      <c r="G32" s="16" t="str">
        <f aca="false">IF(F32="","",IF(UPPER(TRIM(F32))="JA","Riktig","Prøv igjen"))</f>
        <v/>
      </c>
    </row>
    <row r="33" customFormat="false" ht="15" hidden="false" customHeight="true" outlineLevel="0" collapsed="false">
      <c r="A33" s="7" t="s">
        <v>88</v>
      </c>
      <c r="B33" s="7"/>
      <c r="C33" s="7"/>
      <c r="D33" s="7"/>
      <c r="E33" s="7"/>
      <c r="F33" s="19"/>
      <c r="G33" s="16" t="str">
        <f aca="false">IF(F33="","",IF(UPPER(TRIM(F33))="NEI","Riktig","Prøv igjen"))</f>
        <v/>
      </c>
    </row>
    <row r="34" customFormat="false" ht="15" hidden="false" customHeight="true" outlineLevel="0" collapsed="false">
      <c r="A34" s="7" t="s">
        <v>89</v>
      </c>
      <c r="B34" s="7"/>
      <c r="C34" s="7"/>
      <c r="D34" s="7"/>
      <c r="E34" s="7"/>
      <c r="F34" s="19"/>
      <c r="G34" s="16" t="str">
        <f aca="false">IF(F34="","",IF(UPPER(TRIM(F34))="JA","Riktig","Prøv igjen"))</f>
        <v/>
      </c>
    </row>
    <row r="35" customFormat="false" ht="33.75" hidden="false" customHeight="true" outlineLevel="0" collapsed="false">
      <c r="A35" s="7" t="s">
        <v>90</v>
      </c>
      <c r="B35" s="7"/>
      <c r="C35" s="7"/>
      <c r="D35" s="7"/>
      <c r="E35" s="7"/>
    </row>
    <row r="36" customFormat="false" ht="15" hidden="false" customHeight="false" outlineLevel="0" collapsed="false">
      <c r="A36" s="20"/>
      <c r="B36" s="20"/>
      <c r="C36" s="20"/>
      <c r="D36" s="20"/>
      <c r="E36" s="20"/>
      <c r="F36" s="20"/>
      <c r="G36" s="20"/>
    </row>
    <row r="37" customFormat="false" ht="15" hidden="false" customHeight="false" outlineLevel="0" collapsed="false">
      <c r="A37" s="20"/>
      <c r="B37" s="20"/>
      <c r="C37" s="20"/>
      <c r="D37" s="20"/>
      <c r="E37" s="20"/>
      <c r="F37" s="20"/>
      <c r="G37" s="20"/>
    </row>
    <row r="38" customFormat="false" ht="15" hidden="false" customHeight="false" outlineLevel="0" collapsed="false">
      <c r="A38" s="20"/>
      <c r="B38" s="20"/>
      <c r="C38" s="20"/>
      <c r="D38" s="20"/>
      <c r="E38" s="20"/>
      <c r="F38" s="20"/>
      <c r="G38" s="20"/>
    </row>
    <row r="39" customFormat="false" ht="30" hidden="false" customHeight="true" outlineLevel="0" collapsed="false">
      <c r="A39" s="17" t="s">
        <v>40</v>
      </c>
      <c r="B39" s="18" t="s">
        <v>91</v>
      </c>
      <c r="C39" s="18"/>
      <c r="D39" s="18"/>
      <c r="E39" s="18"/>
      <c r="F39" s="18"/>
      <c r="G39" s="18"/>
    </row>
    <row r="42" customFormat="false" ht="15" hidden="false" customHeight="false" outlineLevel="0" collapsed="false">
      <c r="A42" s="21" t="s">
        <v>49</v>
      </c>
      <c r="B42" s="21"/>
      <c r="C42" s="21"/>
      <c r="D42" s="21"/>
      <c r="E42" s="21"/>
      <c r="F42" s="21"/>
      <c r="G42" s="21"/>
    </row>
    <row r="43" customFormat="false" ht="30" hidden="false" customHeight="true" outlineLevel="0" collapsed="false">
      <c r="A43" s="22" t="s">
        <v>92</v>
      </c>
      <c r="B43" s="23" t="s">
        <v>93</v>
      </c>
      <c r="C43" s="23"/>
      <c r="D43" s="23"/>
      <c r="E43" s="23"/>
      <c r="F43" s="23"/>
      <c r="G43" s="23"/>
    </row>
    <row r="44" customFormat="false" ht="30" hidden="false" customHeight="true" outlineLevel="0" collapsed="false">
      <c r="A44" s="22" t="s">
        <v>94</v>
      </c>
      <c r="B44" s="23" t="s">
        <v>95</v>
      </c>
      <c r="C44" s="23"/>
      <c r="D44" s="23"/>
      <c r="E44" s="23"/>
      <c r="F44" s="23"/>
      <c r="G44" s="23"/>
    </row>
    <row r="46" customFormat="false" ht="33.75" hidden="false" customHeight="true" outlineLevel="0" collapsed="false">
      <c r="A46" s="6" t="s">
        <v>96</v>
      </c>
      <c r="B46" s="6"/>
      <c r="C46" s="6"/>
      <c r="D46" s="6"/>
      <c r="E46" s="6"/>
      <c r="F46" s="6"/>
      <c r="G46" s="6"/>
    </row>
    <row r="47" customFormat="false" ht="15" hidden="false" customHeight="true" outlineLevel="0" collapsed="false">
      <c r="A47" s="6" t="s">
        <v>55</v>
      </c>
      <c r="B47" s="6"/>
      <c r="C47" s="6"/>
      <c r="D47" s="6"/>
      <c r="E47" s="6"/>
      <c r="F47" s="6"/>
      <c r="G47" s="6"/>
    </row>
  </sheetData>
  <mergeCells count="34">
    <mergeCell ref="A4:G4"/>
    <mergeCell ref="A5:G5"/>
    <mergeCell ref="B7:G7"/>
    <mergeCell ref="B8:G8"/>
    <mergeCell ref="B9:G9"/>
    <mergeCell ref="B10:G10"/>
    <mergeCell ref="B11:G11"/>
    <mergeCell ref="B12:G12"/>
    <mergeCell ref="B13:G13"/>
    <mergeCell ref="B14:G14"/>
    <mergeCell ref="B15:G15"/>
    <mergeCell ref="B16:G16"/>
    <mergeCell ref="A18:E18"/>
    <mergeCell ref="A19:E19"/>
    <mergeCell ref="B20:G20"/>
    <mergeCell ref="A22:E22"/>
    <mergeCell ref="B23:G23"/>
    <mergeCell ref="A25:E25"/>
    <mergeCell ref="B26:G26"/>
    <mergeCell ref="A28:E28"/>
    <mergeCell ref="A29:E29"/>
    <mergeCell ref="A30:E30"/>
    <mergeCell ref="A31:E31"/>
    <mergeCell ref="A32:E32"/>
    <mergeCell ref="A33:E33"/>
    <mergeCell ref="A34:E34"/>
    <mergeCell ref="A35:E35"/>
    <mergeCell ref="A36:G38"/>
    <mergeCell ref="B39:G39"/>
    <mergeCell ref="A42:G42"/>
    <mergeCell ref="B43:G43"/>
    <mergeCell ref="B44:G44"/>
    <mergeCell ref="A46:G46"/>
    <mergeCell ref="A47:G47"/>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5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5" min="2" style="0" width="16"/>
    <col collapsed="false" customWidth="true" hidden="false" outlineLevel="0" max="6" min="6" style="0" width="18"/>
    <col collapsed="false" customWidth="true" hidden="false" outlineLevel="0" max="7" min="7" style="0" width="14"/>
  </cols>
  <sheetData>
    <row r="1" customFormat="false" ht="17.35" hidden="false" customHeight="false" outlineLevel="0" collapsed="false">
      <c r="A1" s="1" t="s">
        <v>97</v>
      </c>
    </row>
    <row r="2" customFormat="false" ht="15" hidden="false" customHeight="false" outlineLevel="0" collapsed="false">
      <c r="A2" s="2" t="s">
        <v>21</v>
      </c>
    </row>
    <row r="4" customFormat="false" ht="63.75" hidden="false" customHeight="true" outlineLevel="0" collapsed="false">
      <c r="A4" s="6" t="s">
        <v>98</v>
      </c>
      <c r="B4" s="6"/>
      <c r="C4" s="6"/>
      <c r="D4" s="6"/>
      <c r="E4" s="6"/>
      <c r="F4" s="6"/>
      <c r="G4" s="6"/>
    </row>
    <row r="5" customFormat="false" ht="63.75" hidden="false" customHeight="true" outlineLevel="0" collapsed="false">
      <c r="A5" s="7" t="s">
        <v>99</v>
      </c>
      <c r="B5" s="7"/>
      <c r="C5" s="7"/>
      <c r="D5" s="7"/>
      <c r="E5" s="7"/>
      <c r="F5" s="7"/>
      <c r="G5" s="7"/>
    </row>
    <row r="7" customFormat="false" ht="15" hidden="false" customHeight="false" outlineLevel="0" collapsed="false">
      <c r="A7" s="8" t="s">
        <v>100</v>
      </c>
      <c r="B7" s="9" t="s">
        <v>25</v>
      </c>
    </row>
    <row r="8" customFormat="false" ht="15" hidden="false" customHeight="false" outlineLevel="0" collapsed="false">
      <c r="A8" s="10" t="s">
        <v>101</v>
      </c>
      <c r="B8" s="11" t="n">
        <v>4200000</v>
      </c>
    </row>
    <row r="9" customFormat="false" ht="15" hidden="false" customHeight="false" outlineLevel="0" collapsed="false">
      <c r="A9" s="12" t="s">
        <v>102</v>
      </c>
      <c r="B9" s="13" t="n">
        <v>2800000</v>
      </c>
    </row>
    <row r="10" customFormat="false" ht="15" hidden="false" customHeight="false" outlineLevel="0" collapsed="false">
      <c r="A10" s="10" t="s">
        <v>103</v>
      </c>
      <c r="B10" s="11" t="n">
        <v>982650</v>
      </c>
    </row>
    <row r="11" customFormat="false" ht="15" hidden="false" customHeight="false" outlineLevel="0" collapsed="false">
      <c r="A11" s="12" t="s">
        <v>104</v>
      </c>
      <c r="B11" s="13" t="n">
        <v>890000</v>
      </c>
    </row>
    <row r="12" customFormat="false" ht="15" hidden="false" customHeight="false" outlineLevel="0" collapsed="false">
      <c r="A12" s="10" t="s">
        <v>105</v>
      </c>
      <c r="B12" s="11" t="n">
        <v>3600000</v>
      </c>
    </row>
    <row r="13" customFormat="false" ht="15" hidden="false" customHeight="false" outlineLevel="0" collapsed="false">
      <c r="A13" s="12" t="s">
        <v>71</v>
      </c>
      <c r="B13" s="13" t="n">
        <v>300000</v>
      </c>
    </row>
    <row r="14" customFormat="false" ht="15" hidden="false" customHeight="false" outlineLevel="0" collapsed="false">
      <c r="A14" s="10" t="s">
        <v>106</v>
      </c>
      <c r="B14" s="11" t="n">
        <v>300000</v>
      </c>
    </row>
    <row r="15" customFormat="false" ht="15" hidden="false" customHeight="false" outlineLevel="0" collapsed="false">
      <c r="A15" s="12" t="s">
        <v>107</v>
      </c>
      <c r="B15" s="13" t="n">
        <v>1400000</v>
      </c>
    </row>
    <row r="16" customFormat="false" ht="15" hidden="false" customHeight="false" outlineLevel="0" collapsed="false">
      <c r="A16" s="10" t="s">
        <v>108</v>
      </c>
      <c r="B16" s="11" t="n">
        <v>2100000</v>
      </c>
    </row>
    <row r="17" customFormat="false" ht="15" hidden="false" customHeight="false" outlineLevel="0" collapsed="false">
      <c r="A17" s="12" t="s">
        <v>109</v>
      </c>
      <c r="B17" s="13" t="n">
        <v>2592650</v>
      </c>
    </row>
    <row r="18" customFormat="false" ht="15" hidden="false" customHeight="false" outlineLevel="0" collapsed="false">
      <c r="A18" s="10" t="s">
        <v>110</v>
      </c>
      <c r="B18" s="11" t="n">
        <v>1200000</v>
      </c>
    </row>
    <row r="19" customFormat="false" ht="15" hidden="false" customHeight="true" outlineLevel="0" collapsed="false">
      <c r="A19" s="6" t="s">
        <v>35</v>
      </c>
      <c r="B19" s="6"/>
      <c r="C19" s="6"/>
      <c r="D19" s="6"/>
      <c r="E19" s="6"/>
      <c r="F19" s="6"/>
      <c r="G19" s="6"/>
    </row>
    <row r="21" customFormat="false" ht="15" hidden="false" customHeight="false" outlineLevel="0" collapsed="false">
      <c r="A21" s="14" t="s">
        <v>36</v>
      </c>
      <c r="B21" s="14"/>
      <c r="C21" s="14"/>
      <c r="D21" s="14"/>
      <c r="E21" s="14"/>
      <c r="F21" s="14" t="s">
        <v>37</v>
      </c>
      <c r="G21" s="14" t="s">
        <v>38</v>
      </c>
    </row>
    <row r="22" customFormat="false" ht="18.75" hidden="false" customHeight="true" outlineLevel="0" collapsed="false">
      <c r="A22" s="7" t="s">
        <v>111</v>
      </c>
      <c r="B22" s="7"/>
      <c r="C22" s="7"/>
      <c r="D22" s="7"/>
      <c r="E22" s="7"/>
      <c r="F22" s="15"/>
      <c r="G22" s="16" t="str">
        <f aca="false">IF(F22="","",IF(ABS(F22-(6582650))&lt;=0.000000001,"Riktig","Prøv igjen"))</f>
        <v/>
      </c>
    </row>
    <row r="23" customFormat="false" ht="30" hidden="false" customHeight="true" outlineLevel="0" collapsed="false">
      <c r="A23" s="17" t="s">
        <v>40</v>
      </c>
      <c r="B23" s="18" t="s">
        <v>112</v>
      </c>
      <c r="C23" s="18"/>
      <c r="D23" s="18"/>
      <c r="E23" s="18"/>
      <c r="F23" s="18"/>
      <c r="G23" s="18"/>
    </row>
    <row r="25" customFormat="false" ht="18.75" hidden="false" customHeight="true" outlineLevel="0" collapsed="false">
      <c r="A25" s="7" t="s">
        <v>113</v>
      </c>
      <c r="B25" s="7"/>
      <c r="C25" s="7"/>
      <c r="D25" s="7"/>
      <c r="E25" s="7"/>
      <c r="F25" s="15"/>
      <c r="G25" s="16" t="str">
        <f aca="false">IF(F25="","",IF(ABS(F25-(4490000))&lt;=0.000000001,"Riktig","Prøv igjen"))</f>
        <v/>
      </c>
    </row>
    <row r="26" customFormat="false" ht="30" hidden="false" customHeight="true" outlineLevel="0" collapsed="false">
      <c r="A26" s="17" t="s">
        <v>40</v>
      </c>
      <c r="B26" s="18" t="s">
        <v>114</v>
      </c>
      <c r="C26" s="18"/>
      <c r="D26" s="18"/>
      <c r="E26" s="18"/>
      <c r="F26" s="18"/>
      <c r="G26" s="18"/>
    </row>
    <row r="28" customFormat="false" ht="33.75" hidden="false" customHeight="true" outlineLevel="0" collapsed="false">
      <c r="A28" s="7" t="s">
        <v>115</v>
      </c>
      <c r="B28" s="7"/>
      <c r="C28" s="7"/>
      <c r="D28" s="7"/>
      <c r="E28" s="7"/>
      <c r="F28" s="15"/>
      <c r="G28" s="16" t="str">
        <f aca="false">IF(F28="","",IF(ABS(F28-(28.4))&lt;=0.1,"Riktig","Prøv igjen"))</f>
        <v/>
      </c>
    </row>
    <row r="29" customFormat="false" ht="30" hidden="false" customHeight="true" outlineLevel="0" collapsed="false">
      <c r="A29" s="17" t="s">
        <v>40</v>
      </c>
      <c r="B29" s="18" t="s">
        <v>116</v>
      </c>
      <c r="C29" s="18"/>
      <c r="D29" s="18"/>
      <c r="E29" s="18"/>
      <c r="F29" s="18"/>
      <c r="G29" s="18"/>
    </row>
    <row r="31" customFormat="false" ht="33.75" hidden="false" customHeight="true" outlineLevel="0" collapsed="false">
      <c r="A31" s="7" t="s">
        <v>117</v>
      </c>
      <c r="B31" s="7"/>
      <c r="C31" s="7"/>
      <c r="D31" s="7"/>
      <c r="E31" s="7"/>
    </row>
    <row r="32" customFormat="false" ht="15" hidden="false" customHeight="true" outlineLevel="0" collapsed="false">
      <c r="A32" s="7" t="s">
        <v>118</v>
      </c>
      <c r="B32" s="7"/>
      <c r="C32" s="7"/>
      <c r="D32" s="7"/>
      <c r="E32" s="7"/>
      <c r="F32" s="19"/>
      <c r="G32" s="16" t="str">
        <f aca="false">IF(F32="","",IF(UPPER(TRIM(F32))="NEI","Riktig","Prøv igjen"))</f>
        <v/>
      </c>
    </row>
    <row r="33" customFormat="false" ht="15" hidden="false" customHeight="true" outlineLevel="0" collapsed="false">
      <c r="A33" s="7" t="s">
        <v>119</v>
      </c>
      <c r="B33" s="7"/>
      <c r="C33" s="7"/>
      <c r="D33" s="7"/>
      <c r="E33" s="7"/>
      <c r="F33" s="19"/>
      <c r="G33" s="16" t="str">
        <f aca="false">IF(F33="","",IF(UPPER(TRIM(F33))="JA","Riktig","Prøv igjen"))</f>
        <v/>
      </c>
    </row>
    <row r="34" customFormat="false" ht="15" hidden="false" customHeight="true" outlineLevel="0" collapsed="false">
      <c r="A34" s="7" t="s">
        <v>120</v>
      </c>
      <c r="B34" s="7"/>
      <c r="C34" s="7"/>
      <c r="D34" s="7"/>
      <c r="E34" s="7"/>
      <c r="F34" s="19"/>
      <c r="G34" s="16" t="str">
        <f aca="false">IF(F34="","",IF(UPPER(TRIM(F34))="NEI","Riktig","Prøv igjen"))</f>
        <v/>
      </c>
    </row>
    <row r="35" customFormat="false" ht="15" hidden="false" customHeight="true" outlineLevel="0" collapsed="false">
      <c r="A35" s="7" t="s">
        <v>121</v>
      </c>
      <c r="B35" s="7"/>
      <c r="C35" s="7"/>
      <c r="D35" s="7"/>
      <c r="E35" s="7"/>
      <c r="F35" s="19"/>
      <c r="G35" s="16" t="str">
        <f aca="false">IF(F35="","",IF(UPPER(TRIM(F35))="JA","Riktig","Prøv igjen"))</f>
        <v/>
      </c>
    </row>
    <row r="36" customFormat="false" ht="15" hidden="false" customHeight="true" outlineLevel="0" collapsed="false">
      <c r="A36" s="7" t="s">
        <v>122</v>
      </c>
      <c r="B36" s="7"/>
      <c r="C36" s="7"/>
      <c r="D36" s="7"/>
      <c r="E36" s="7"/>
      <c r="F36" s="19"/>
      <c r="G36" s="16" t="str">
        <f aca="false">IF(F36="","",IF(UPPER(TRIM(F36))="NEI","Riktig","Prøv igjen"))</f>
        <v/>
      </c>
    </row>
    <row r="37" customFormat="false" ht="15" hidden="false" customHeight="true" outlineLevel="0" collapsed="false">
      <c r="A37" s="7" t="s">
        <v>123</v>
      </c>
      <c r="B37" s="7"/>
      <c r="C37" s="7"/>
      <c r="D37" s="7"/>
      <c r="E37" s="7"/>
      <c r="F37" s="19"/>
      <c r="G37" s="16" t="str">
        <f aca="false">IF(F37="","",IF(UPPER(TRIM(F37))="JA","Riktig","Prøv igjen"))</f>
        <v/>
      </c>
    </row>
    <row r="38" customFormat="false" ht="33.75" hidden="false" customHeight="true" outlineLevel="0" collapsed="false">
      <c r="A38" s="7" t="s">
        <v>124</v>
      </c>
      <c r="B38" s="7"/>
      <c r="C38" s="7"/>
      <c r="D38" s="7"/>
      <c r="E38" s="7"/>
    </row>
    <row r="39" customFormat="false" ht="15" hidden="false" customHeight="false" outlineLevel="0" collapsed="false">
      <c r="A39" s="20"/>
      <c r="B39" s="20"/>
      <c r="C39" s="20"/>
      <c r="D39" s="20"/>
      <c r="E39" s="20"/>
      <c r="F39" s="20"/>
      <c r="G39" s="20"/>
    </row>
    <row r="40" customFormat="false" ht="15" hidden="false" customHeight="false" outlineLevel="0" collapsed="false">
      <c r="A40" s="20"/>
      <c r="B40" s="20"/>
      <c r="C40" s="20"/>
      <c r="D40" s="20"/>
      <c r="E40" s="20"/>
      <c r="F40" s="20"/>
      <c r="G40" s="20"/>
    </row>
    <row r="41" customFormat="false" ht="15" hidden="false" customHeight="false" outlineLevel="0" collapsed="false">
      <c r="A41" s="20"/>
      <c r="B41" s="20"/>
      <c r="C41" s="20"/>
      <c r="D41" s="20"/>
      <c r="E41" s="20"/>
      <c r="F41" s="20"/>
      <c r="G41" s="20"/>
    </row>
    <row r="42" customFormat="false" ht="30" hidden="false" customHeight="true" outlineLevel="0" collapsed="false">
      <c r="A42" s="17" t="s">
        <v>40</v>
      </c>
      <c r="B42" s="18" t="s">
        <v>125</v>
      </c>
      <c r="C42" s="18"/>
      <c r="D42" s="18"/>
      <c r="E42" s="18"/>
      <c r="F42" s="18"/>
      <c r="G42" s="18"/>
    </row>
    <row r="45" customFormat="false" ht="15" hidden="false" customHeight="false" outlineLevel="0" collapsed="false">
      <c r="A45" s="21" t="s">
        <v>49</v>
      </c>
      <c r="B45" s="21"/>
      <c r="C45" s="21"/>
      <c r="D45" s="21"/>
      <c r="E45" s="21"/>
      <c r="F45" s="21"/>
      <c r="G45" s="21"/>
    </row>
    <row r="46" customFormat="false" ht="30" hidden="false" customHeight="true" outlineLevel="0" collapsed="false">
      <c r="A46" s="22" t="s">
        <v>126</v>
      </c>
      <c r="B46" s="23" t="s">
        <v>127</v>
      </c>
      <c r="C46" s="23"/>
      <c r="D46" s="23"/>
      <c r="E46" s="23"/>
      <c r="F46" s="23"/>
      <c r="G46" s="23"/>
    </row>
    <row r="47" customFormat="false" ht="30" hidden="false" customHeight="true" outlineLevel="0" collapsed="false">
      <c r="A47" s="22" t="s">
        <v>128</v>
      </c>
      <c r="B47" s="23" t="s">
        <v>129</v>
      </c>
      <c r="C47" s="23"/>
      <c r="D47" s="23"/>
      <c r="E47" s="23"/>
      <c r="F47" s="23"/>
      <c r="G47" s="23"/>
    </row>
    <row r="49" customFormat="false" ht="48.75" hidden="false" customHeight="true" outlineLevel="0" collapsed="false">
      <c r="A49" s="6" t="s">
        <v>130</v>
      </c>
      <c r="B49" s="6"/>
      <c r="C49" s="6"/>
      <c r="D49" s="6"/>
      <c r="E49" s="6"/>
      <c r="F49" s="6"/>
      <c r="G49" s="6"/>
    </row>
    <row r="50" customFormat="false" ht="15" hidden="false" customHeight="true" outlineLevel="0" collapsed="false">
      <c r="A50" s="6" t="s">
        <v>55</v>
      </c>
      <c r="B50" s="6"/>
      <c r="C50" s="6"/>
      <c r="D50" s="6"/>
      <c r="E50" s="6"/>
      <c r="F50" s="6"/>
      <c r="G50" s="6"/>
    </row>
  </sheetData>
  <mergeCells count="25">
    <mergeCell ref="A4:G4"/>
    <mergeCell ref="A5:G5"/>
    <mergeCell ref="A19:G19"/>
    <mergeCell ref="A21:E21"/>
    <mergeCell ref="A22:E22"/>
    <mergeCell ref="B23:G23"/>
    <mergeCell ref="A25:E25"/>
    <mergeCell ref="B26:G26"/>
    <mergeCell ref="A28:E28"/>
    <mergeCell ref="B29:G29"/>
    <mergeCell ref="A31:E31"/>
    <mergeCell ref="A32:E32"/>
    <mergeCell ref="A33:E33"/>
    <mergeCell ref="A34:E34"/>
    <mergeCell ref="A35:E35"/>
    <mergeCell ref="A36:E36"/>
    <mergeCell ref="A37:E37"/>
    <mergeCell ref="A38:E38"/>
    <mergeCell ref="A39:G41"/>
    <mergeCell ref="B42:G42"/>
    <mergeCell ref="A45:G45"/>
    <mergeCell ref="B46:G46"/>
    <mergeCell ref="B47:G47"/>
    <mergeCell ref="A49:G49"/>
    <mergeCell ref="A50:G50"/>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4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5" min="2" style="0" width="16"/>
    <col collapsed="false" customWidth="true" hidden="false" outlineLevel="0" max="6" min="6" style="0" width="18"/>
    <col collapsed="false" customWidth="true" hidden="false" outlineLevel="0" max="7" min="7" style="0" width="14"/>
  </cols>
  <sheetData>
    <row r="1" customFormat="false" ht="17.35" hidden="false" customHeight="false" outlineLevel="0" collapsed="false">
      <c r="A1" s="1" t="s">
        <v>131</v>
      </c>
    </row>
    <row r="2" customFormat="false" ht="15" hidden="false" customHeight="false" outlineLevel="0" collapsed="false">
      <c r="A2" s="2" t="s">
        <v>21</v>
      </c>
    </row>
    <row r="4" customFormat="false" ht="63.75" hidden="false" customHeight="true" outlineLevel="0" collapsed="false">
      <c r="A4" s="6" t="s">
        <v>132</v>
      </c>
      <c r="B4" s="6"/>
      <c r="C4" s="6"/>
      <c r="D4" s="6"/>
      <c r="E4" s="6"/>
      <c r="F4" s="6"/>
      <c r="G4" s="6"/>
    </row>
    <row r="5" customFormat="false" ht="93.75" hidden="false" customHeight="true" outlineLevel="0" collapsed="false">
      <c r="A5" s="7" t="s">
        <v>133</v>
      </c>
      <c r="B5" s="7"/>
      <c r="C5" s="7"/>
      <c r="D5" s="7"/>
      <c r="E5" s="7"/>
      <c r="F5" s="7"/>
      <c r="G5" s="7"/>
    </row>
    <row r="7" customFormat="false" ht="15" hidden="false" customHeight="false" outlineLevel="0" collapsed="false">
      <c r="A7" s="8" t="s">
        <v>134</v>
      </c>
      <c r="B7" s="9" t="s">
        <v>135</v>
      </c>
      <c r="C7" s="9" t="s">
        <v>136</v>
      </c>
    </row>
    <row r="8" customFormat="false" ht="15" hidden="false" customHeight="false" outlineLevel="0" collapsed="false">
      <c r="A8" s="10" t="s">
        <v>66</v>
      </c>
      <c r="B8" s="11" t="n">
        <v>300000</v>
      </c>
      <c r="C8" s="15"/>
    </row>
    <row r="9" customFormat="false" ht="15" hidden="false" customHeight="false" outlineLevel="0" collapsed="false">
      <c r="A9" s="12" t="s">
        <v>107</v>
      </c>
      <c r="B9" s="13" t="n">
        <v>0</v>
      </c>
      <c r="C9" s="13" t="n">
        <v>80000</v>
      </c>
    </row>
    <row r="10" customFormat="false" ht="15" hidden="false" customHeight="false" outlineLevel="0" collapsed="false">
      <c r="A10" s="10" t="s">
        <v>101</v>
      </c>
      <c r="B10" s="11" t="n">
        <v>0</v>
      </c>
      <c r="C10" s="11" t="n">
        <v>500000</v>
      </c>
    </row>
    <row r="11" customFormat="false" ht="15" hidden="false" customHeight="false" outlineLevel="0" collapsed="false">
      <c r="A11" s="12" t="s">
        <v>103</v>
      </c>
      <c r="B11" s="13" t="n">
        <v>500000</v>
      </c>
      <c r="C11" s="13" t="n">
        <v>563257</v>
      </c>
    </row>
    <row r="12" customFormat="false" ht="15" hidden="false" customHeight="false" outlineLevel="0" collapsed="false">
      <c r="A12" s="25" t="s">
        <v>137</v>
      </c>
      <c r="B12" s="26" t="n">
        <v>800000</v>
      </c>
      <c r="C12" s="15"/>
    </row>
    <row r="13" customFormat="false" ht="15" hidden="false" customHeight="false" outlineLevel="0" collapsed="false">
      <c r="A13" s="12" t="s">
        <v>71</v>
      </c>
      <c r="B13" s="13" t="n">
        <v>300000</v>
      </c>
      <c r="C13" s="13" t="n">
        <v>300000</v>
      </c>
    </row>
    <row r="14" customFormat="false" ht="15" hidden="false" customHeight="false" outlineLevel="0" collapsed="false">
      <c r="A14" s="10" t="s">
        <v>109</v>
      </c>
      <c r="B14" s="11" t="n">
        <v>0</v>
      </c>
      <c r="C14" s="15"/>
    </row>
    <row r="15" customFormat="false" ht="15" hidden="false" customHeight="false" outlineLevel="0" collapsed="false">
      <c r="A15" s="12" t="s">
        <v>69</v>
      </c>
      <c r="B15" s="13" t="n">
        <v>500000</v>
      </c>
      <c r="C15" s="15"/>
    </row>
    <row r="16" customFormat="false" ht="15" hidden="false" customHeight="false" outlineLevel="0" collapsed="false">
      <c r="A16" s="10" t="s">
        <v>138</v>
      </c>
      <c r="B16" s="11" t="n">
        <v>0</v>
      </c>
      <c r="C16" s="11" t="n">
        <v>381600</v>
      </c>
    </row>
    <row r="17" customFormat="false" ht="15" hidden="false" customHeight="false" outlineLevel="0" collapsed="false">
      <c r="A17" s="12" t="s">
        <v>104</v>
      </c>
      <c r="B17" s="13" t="n">
        <v>0</v>
      </c>
      <c r="C17" s="13" t="n">
        <v>218400</v>
      </c>
    </row>
    <row r="18" customFormat="false" ht="15" hidden="false" customHeight="false" outlineLevel="0" collapsed="false">
      <c r="A18" s="25" t="s">
        <v>139</v>
      </c>
      <c r="B18" s="26" t="n">
        <v>800000</v>
      </c>
      <c r="C18" s="15"/>
    </row>
    <row r="19" customFormat="false" ht="15" hidden="false" customHeight="true" outlineLevel="0" collapsed="false">
      <c r="A19" s="6" t="s">
        <v>35</v>
      </c>
      <c r="B19" s="6"/>
      <c r="C19" s="6"/>
      <c r="D19" s="6"/>
      <c r="E19" s="6"/>
      <c r="F19" s="6"/>
      <c r="G19" s="6"/>
    </row>
    <row r="21" customFormat="false" ht="15" hidden="false" customHeight="false" outlineLevel="0" collapsed="false">
      <c r="A21" s="14" t="s">
        <v>36</v>
      </c>
      <c r="B21" s="14"/>
      <c r="C21" s="14"/>
      <c r="D21" s="14"/>
      <c r="E21" s="14"/>
      <c r="F21" s="14" t="s">
        <v>37</v>
      </c>
      <c r="G21" s="14" t="s">
        <v>38</v>
      </c>
    </row>
    <row r="22" customFormat="false" ht="33.75" hidden="false" customHeight="true" outlineLevel="0" collapsed="false">
      <c r="A22" s="7" t="s">
        <v>140</v>
      </c>
      <c r="B22" s="7"/>
      <c r="C22" s="7"/>
      <c r="D22" s="7"/>
      <c r="E22" s="7"/>
      <c r="F22" s="15"/>
      <c r="G22" s="16" t="str">
        <f aca="false">IF(F22="","",IF(ABS(F22-(240000))&lt;=0.000000001,"Riktig","Prøv igjen"))</f>
        <v/>
      </c>
    </row>
    <row r="23" customFormat="false" ht="30" hidden="false" customHeight="true" outlineLevel="0" collapsed="false">
      <c r="A23" s="17" t="s">
        <v>40</v>
      </c>
      <c r="B23" s="18" t="s">
        <v>141</v>
      </c>
      <c r="C23" s="18"/>
      <c r="D23" s="18"/>
      <c r="E23" s="18"/>
      <c r="F23" s="18"/>
      <c r="G23" s="18"/>
    </row>
    <row r="25" customFormat="false" ht="18.75" hidden="false" customHeight="true" outlineLevel="0" collapsed="false">
      <c r="A25" s="7" t="s">
        <v>142</v>
      </c>
      <c r="B25" s="7"/>
      <c r="C25" s="7"/>
      <c r="D25" s="7"/>
      <c r="E25" s="7"/>
      <c r="F25" s="15"/>
      <c r="G25" s="16" t="str">
        <f aca="false">IF(F25="","",IF(ABS(F25-(400000))&lt;=0.000000001,"Riktig","Prøv igjen"))</f>
        <v/>
      </c>
    </row>
    <row r="26" customFormat="false" ht="30" hidden="false" customHeight="true" outlineLevel="0" collapsed="false">
      <c r="A26" s="17" t="s">
        <v>40</v>
      </c>
      <c r="B26" s="18" t="s">
        <v>143</v>
      </c>
      <c r="C26" s="18"/>
      <c r="D26" s="18"/>
      <c r="E26" s="18"/>
      <c r="F26" s="18"/>
      <c r="G26" s="18"/>
    </row>
    <row r="28" customFormat="false" ht="33.75" hidden="false" customHeight="true" outlineLevel="0" collapsed="false">
      <c r="A28" s="7" t="s">
        <v>144</v>
      </c>
      <c r="B28" s="7"/>
      <c r="C28" s="7"/>
      <c r="D28" s="7"/>
      <c r="E28" s="7"/>
      <c r="F28" s="15"/>
      <c r="G28" s="16" t="str">
        <f aca="false">IF(F28="","",IF(ABS(F28-(83257))&lt;=1,"Riktig","Prøv igjen"))</f>
        <v/>
      </c>
    </row>
    <row r="29" customFormat="false" ht="30" hidden="false" customHeight="true" outlineLevel="0" collapsed="false">
      <c r="A29" s="17" t="s">
        <v>40</v>
      </c>
      <c r="B29" s="18" t="s">
        <v>145</v>
      </c>
      <c r="C29" s="18"/>
      <c r="D29" s="18"/>
      <c r="E29" s="18"/>
      <c r="F29" s="18"/>
      <c r="G29" s="18"/>
    </row>
    <row r="31" customFormat="false" ht="63.75" hidden="false" customHeight="true" outlineLevel="0" collapsed="false">
      <c r="A31" s="7" t="s">
        <v>146</v>
      </c>
      <c r="B31" s="7"/>
      <c r="C31" s="7"/>
      <c r="D31" s="7"/>
      <c r="E31" s="7"/>
      <c r="F31" s="19"/>
      <c r="G31" s="16" t="str">
        <f aca="false">IF(F31="","",IF(UPPER(TRIM(F31))="A","Riktig","Prøv igjen"))</f>
        <v/>
      </c>
    </row>
    <row r="32" customFormat="false" ht="33.75" hidden="false" customHeight="true" outlineLevel="0" collapsed="false">
      <c r="A32" s="7" t="s">
        <v>147</v>
      </c>
      <c r="B32" s="7"/>
      <c r="C32" s="7"/>
      <c r="D32" s="7"/>
      <c r="E32" s="7"/>
    </row>
    <row r="33" customFormat="false" ht="15" hidden="false" customHeight="false" outlineLevel="0" collapsed="false">
      <c r="A33" s="20"/>
      <c r="B33" s="20"/>
      <c r="C33" s="20"/>
      <c r="D33" s="20"/>
      <c r="E33" s="20"/>
      <c r="F33" s="20"/>
      <c r="G33" s="20"/>
    </row>
    <row r="34" customFormat="false" ht="15" hidden="false" customHeight="false" outlineLevel="0" collapsed="false">
      <c r="A34" s="20"/>
      <c r="B34" s="20"/>
      <c r="C34" s="20"/>
      <c r="D34" s="20"/>
      <c r="E34" s="20"/>
      <c r="F34" s="20"/>
      <c r="G34" s="20"/>
    </row>
    <row r="35" customFormat="false" ht="15" hidden="false" customHeight="false" outlineLevel="0" collapsed="false">
      <c r="A35" s="20"/>
      <c r="B35" s="20"/>
      <c r="C35" s="20"/>
      <c r="D35" s="20"/>
      <c r="E35" s="20"/>
      <c r="F35" s="20"/>
      <c r="G35" s="20"/>
    </row>
    <row r="36" customFormat="false" ht="30" hidden="false" customHeight="true" outlineLevel="0" collapsed="false">
      <c r="A36" s="17" t="s">
        <v>40</v>
      </c>
      <c r="B36" s="18" t="s">
        <v>148</v>
      </c>
      <c r="C36" s="18"/>
      <c r="D36" s="18"/>
      <c r="E36" s="18"/>
      <c r="F36" s="18"/>
      <c r="G36" s="18"/>
    </row>
    <row r="39" customFormat="false" ht="15" hidden="false" customHeight="false" outlineLevel="0" collapsed="false">
      <c r="A39" s="21" t="s">
        <v>49</v>
      </c>
      <c r="B39" s="21"/>
      <c r="C39" s="21"/>
      <c r="D39" s="21"/>
      <c r="E39" s="21"/>
      <c r="F39" s="21"/>
      <c r="G39" s="21"/>
    </row>
    <row r="40" customFormat="false" ht="30" hidden="false" customHeight="true" outlineLevel="0" collapsed="false">
      <c r="A40" s="22" t="s">
        <v>149</v>
      </c>
      <c r="B40" s="23" t="s">
        <v>150</v>
      </c>
      <c r="C40" s="23"/>
      <c r="D40" s="23"/>
      <c r="E40" s="23"/>
      <c r="F40" s="23"/>
      <c r="G40" s="23"/>
    </row>
    <row r="41" customFormat="false" ht="30" hidden="false" customHeight="true" outlineLevel="0" collapsed="false">
      <c r="A41" s="22" t="s">
        <v>151</v>
      </c>
      <c r="B41" s="23" t="s">
        <v>152</v>
      </c>
      <c r="C41" s="23"/>
      <c r="D41" s="23"/>
      <c r="E41" s="23"/>
      <c r="F41" s="23"/>
      <c r="G41" s="23"/>
    </row>
    <row r="43" customFormat="false" ht="33.75" hidden="false" customHeight="true" outlineLevel="0" collapsed="false">
      <c r="A43" s="6" t="s">
        <v>153</v>
      </c>
      <c r="B43" s="6"/>
      <c r="C43" s="6"/>
      <c r="D43" s="6"/>
      <c r="E43" s="6"/>
      <c r="F43" s="6"/>
      <c r="G43" s="6"/>
    </row>
    <row r="44" customFormat="false" ht="15" hidden="false" customHeight="true" outlineLevel="0" collapsed="false">
      <c r="A44" s="6" t="s">
        <v>55</v>
      </c>
      <c r="B44" s="6"/>
      <c r="C44" s="6"/>
      <c r="D44" s="6"/>
      <c r="E44" s="6"/>
      <c r="F44" s="6"/>
      <c r="G44" s="6"/>
    </row>
  </sheetData>
  <mergeCells count="19">
    <mergeCell ref="A4:G4"/>
    <mergeCell ref="A5:G5"/>
    <mergeCell ref="A19:G19"/>
    <mergeCell ref="A21:E21"/>
    <mergeCell ref="A22:E22"/>
    <mergeCell ref="B23:G23"/>
    <mergeCell ref="A25:E25"/>
    <mergeCell ref="B26:G26"/>
    <mergeCell ref="A28:E28"/>
    <mergeCell ref="B29:G29"/>
    <mergeCell ref="A31:E31"/>
    <mergeCell ref="A32:E32"/>
    <mergeCell ref="A33:G35"/>
    <mergeCell ref="B36:G36"/>
    <mergeCell ref="A39:G39"/>
    <mergeCell ref="B40:G40"/>
    <mergeCell ref="B41:G41"/>
    <mergeCell ref="A43:G43"/>
    <mergeCell ref="A44:G44"/>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2026-10-12T12:40:03Z</dcterms:created>
  <dc:creator>openpyxl</dc:creator>
  <dc:description/>
  <dc:language>en-US</dc:language>
  <cp:lastModifiedBy/>
  <dcterms:modified xsi:type="dcterms:W3CDTF">2026-10-12T12:40:04Z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