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iledning" sheetId="1" state="visible" r:id="rId1"/>
    <sheet xmlns:r="http://schemas.openxmlformats.org/officeDocument/2006/relationships" name="Resultat" sheetId="2" state="visible" r:id="rId2"/>
    <sheet xmlns:r="http://schemas.openxmlformats.org/officeDocument/2006/relationships" name="Balanse" sheetId="3" state="visible" r:id="rId3"/>
    <sheet xmlns:r="http://schemas.openxmlformats.org/officeDocument/2006/relationships" name="Aktivering" sheetId="4" state="visible" r:id="rId4"/>
    <sheet xmlns:r="http://schemas.openxmlformats.org/officeDocument/2006/relationships" name="Til kapittel 4" sheetId="5" state="visible" r:id="rId5"/>
    <sheet xmlns:r="http://schemas.openxmlformats.org/officeDocument/2006/relationships" name="Min bedrift" sheetId="6" state="visible" r:id="rId6"/>
    <sheet xmlns:r="http://schemas.openxmlformats.org/officeDocument/2006/relationships" name="Scenario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kr&quot;"/>
    <numFmt numFmtId="165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b val="1"/>
      <color rgb="001F3864"/>
      <sz val="10"/>
    </font>
    <font>
      <name val="Arial"/>
      <i val="1"/>
      <color rgb="00595959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CE6F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6" fillId="4" borderId="1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164" fontId="5" fillId="3" borderId="1" pivotButton="0" quotePrefix="0" xfId="0"/>
    <xf numFmtId="165" fontId="6" fillId="4" borderId="1" pivotButton="0" quotePrefix="0" xfId="0"/>
    <xf numFmtId="164" fontId="4" fillId="5" borderId="1" pivotButton="0" quotePrefix="0" xfId="0"/>
    <xf numFmtId="165" fontId="4" fillId="5" borderId="1" pivotButton="0" quotePrefix="0" xfId="0"/>
    <xf numFmtId="164" fontId="6" fillId="4" borderId="1" pivotButton="0" quotePrefix="0" xfId="0"/>
    <xf numFmtId="165" fontId="4" fillId="4" borderId="1" pivotButton="0" quotePrefix="0" xfId="0"/>
    <xf numFmtId="165" fontId="5" fillId="3" borderId="1" pivotButton="0" quotePrefix="0" xfId="0"/>
    <xf numFmtId="4" fontId="4" fillId="4" borderId="1" pivotButton="0" quotePrefix="0" xfId="0"/>
    <xf numFmtId="0" fontId="4" fillId="4" borderId="1" pivotButton="0" quotePrefix="0" xfId="0"/>
    <xf numFmtId="164" fontId="4" fillId="4" borderId="1" pivotButton="0" quotePrefix="0" xfId="0"/>
    <xf numFmtId="3" fontId="5" fillId="3" borderId="1" pivotButton="0" quotePrefix="0" xfId="0"/>
    <xf numFmtId="4" fontId="4" fillId="5" borderId="1" pivotButton="0" quotePrefix="0" xfId="0"/>
    <xf numFmtId="4" fontId="5" fillId="3" borderId="1" pivotButton="0" quotePrefix="0" xfId="0"/>
    <xf numFmtId="4" fontId="6" fillId="4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53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64" customWidth="1" min="3" max="3"/>
  </cols>
  <sheetData>
    <row r="1">
      <c r="A1" s="1" t="inlineStr">
        <is>
          <t>Resultat og balanse</t>
        </is>
      </c>
    </row>
    <row r="2">
      <c r="A2" s="2" t="inlineStr">
        <is>
          <t>LØM Økonomistyring kap. 3 · arbeidsregneark · Fagskolen Oslo, Avdeling Elkraft</t>
        </is>
      </c>
    </row>
    <row r="3">
      <c r="A3" s="3" t="inlineStr">
        <is>
          <t>Emne: Teknisk kommunikasjon og ledelse for 1ET-klassene · LØM for 2ET, 2EK, 3EK og 4EK</t>
        </is>
      </c>
    </row>
    <row r="4">
      <c r="A4" s="4" t="inlineStr">
        <is>
          <t>Fargekode</t>
        </is>
      </c>
    </row>
    <row r="5">
      <c r="A5" s="5" t="inlineStr">
        <is>
          <t>Gul celle med blå skrift</t>
        </is>
      </c>
      <c r="B5" s="6" t="inlineStr">
        <is>
          <t>Inndata — dette er tallene du endrer.</t>
        </is>
      </c>
    </row>
    <row r="6">
      <c r="A6" s="7" t="inlineStr">
        <is>
          <t>Grå eller lyseblå celle, svart skrift</t>
        </is>
      </c>
      <c r="B6" s="6" t="inlineStr">
        <is>
          <t>Formel — regner seg selv. Ikke skriv over den.</t>
        </is>
      </c>
    </row>
    <row r="7">
      <c r="A7" s="7" t="inlineStr">
        <is>
          <t>Mørkeblå rad med hvit skrift</t>
        </is>
      </c>
      <c r="B7" s="6" t="inlineStr">
        <is>
          <t>Kolonneoverskrift.</t>
        </is>
      </c>
    </row>
    <row r="8"/>
    <row r="9">
      <c r="A9" s="4" t="inlineStr">
        <is>
          <t>Ark i arbeidsboka</t>
        </is>
      </c>
    </row>
    <row r="10">
      <c r="A10" s="8" t="inlineStr">
        <is>
          <t>Resultat</t>
        </is>
      </c>
      <c r="B10" s="6" t="inlineStr">
        <is>
          <t>Resultatregnskapet til Nordlys Elektro AS for 2026, med alle delsummer som formler og hver post i prosent av salget.</t>
        </is>
      </c>
    </row>
    <row r="11">
      <c r="A11" s="8" t="inlineStr">
        <is>
          <t>Balanse</t>
        </is>
      </c>
      <c r="B11" s="6" t="inlineStr">
        <is>
          <t>Balansen per 31.12.2026. Kontrollraden viser om de to sidene går opp, og de to tommelfingerreglene står ferdig regnet.</t>
        </is>
      </c>
    </row>
    <row r="12">
      <c r="A12" s="8" t="inlineStr">
        <is>
          <t>Aktivering</t>
        </is>
      </c>
      <c r="B12" s="6" t="inlineStr">
        <is>
          <t>Skal innkjøpet i balansen eller rett i resultatet? Regelen med to vilkår, og avskrivningsplanen.</t>
        </is>
      </c>
    </row>
    <row r="13">
      <c r="A13" s="8" t="inlineStr">
        <is>
          <t>Til kapittel 4</t>
        </is>
      </c>
      <c r="B13" s="6" t="inlineStr">
        <is>
          <t>Broen: de fem tallene fra balansen som nøkkeltallene i kapittel 4 regnes av — og de fire nøkkeltallene som kan regnes av balansen alene.</t>
        </is>
      </c>
    </row>
    <row r="14">
      <c r="A14" s="8" t="inlineStr">
        <is>
          <t>Min bedrift</t>
        </is>
      </c>
      <c r="B14" s="6" t="inlineStr">
        <is>
          <t>Samme to oppstillinger, men tomme. Fyll inn tallene til din egen bedrift.</t>
        </is>
      </c>
    </row>
    <row r="15">
      <c r="A15" s="8" t="inlineStr">
        <is>
          <t>Scenario</t>
        </is>
      </c>
      <c r="B15" s="6" t="inlineStr">
        <is>
          <t>To spørsmål: hvor mye kapital du kan frigjøre uten å selge én time mer, og hva banken ser etter når den leser regnskapet.</t>
        </is>
      </c>
    </row>
    <row r="16"/>
    <row r="17">
      <c r="A17" s="3" t="inlineStr">
        <is>
          <t>Tallene som ligger inne er Nordlys Elektro AS sine egne tall for 2026.</t>
        </is>
      </c>
    </row>
    <row r="18">
      <c r="A18" s="3" t="inlineStr">
        <is>
          <t>Arket er laget for å brukes på jobben etterpå: bytt ut de gule cellene med dine egne tall.</t>
        </is>
      </c>
    </row>
    <row r="19">
      <c r="A19" s="3" t="inlineStr">
        <is>
          <t>Merk at Resultat-arket og Balanse-arket er to ulike rapporter. Endrer du et tall i det ene,</t>
        </is>
      </c>
    </row>
    <row r="20">
      <c r="A20" s="3" t="inlineStr">
        <is>
          <t>endrer det seg ikke automatisk i det andre — akkurat som i virkeligheten må du selv tenke</t>
        </is>
      </c>
    </row>
    <row r="21">
      <c r="A21" s="3" t="inlineStr">
        <is>
          <t>gjennom hva endringen gjør med den andre rapporten.</t>
        </is>
      </c>
    </row>
    <row r="22"/>
    <row r="23">
      <c r="A23" s="3" t="inlineStr">
        <is>
          <t>Tallene som ligger inne er et eksempel fra en elektrobedrift. Bytt dem ut med dine egne — alle formler følger med.</t>
        </is>
      </c>
    </row>
    <row r="24">
      <c r="A24" s="3" t="inlineStr">
        <is>
          <t>Arbeidsregneark til LØM · Fagskolen Oslo, Avdeling Elkraft. Regnearket er øvingsstøtte, ikke et regnskapssystem.</t>
        </is>
      </c>
    </row>
    <row r="25"/>
    <row r="26">
      <c r="A26" s="4" t="inlineStr">
        <is>
          <t>Koblingen til kapittel 4</t>
        </is>
      </c>
    </row>
    <row r="27">
      <c r="A27" s="6" t="inlineStr">
        <is>
          <t>Balanse!B20, E8, E18, B14 og B11</t>
        </is>
      </c>
      <c r="B27" s="6" t="inlineStr">
        <is>
          <t>De fem tallene som går videre</t>
        </is>
      </c>
      <c r="C27" s="6" t="inlineStr">
        <is>
          <t>Sum eiendeler, sum egenkapital, sum kortsiktig gjeld, sum omløpsmidler og varelageret. Arket «Til kapittel 4» henter dem og regner ut de fire nøkkeltallene som bare trenger balansen.</t>
        </is>
      </c>
    </row>
    <row r="28">
      <c r="A28" s="6" t="inlineStr">
        <is>
          <t>LOM_Ovingsark_Okonomistyring_kap04_Nokkeltall_NY.xlsx</t>
        </is>
      </c>
      <c r="B28" s="6" t="inlineStr">
        <is>
          <t>Regnearket til kapittel 4</t>
        </is>
      </c>
      <c r="C28" s="6" t="inlineStr">
        <is>
          <t>Bruker nøyaktig den samme balansen og det samme resultatet. Nøkkeltallene der er ikke nye tall — de er disse tallene, delt på hverandre.</t>
        </is>
      </c>
    </row>
    <row r="29"/>
    <row r="30">
      <c r="A30" s="4" t="inlineStr">
        <is>
          <t>Hvilken oppgave bruker hvilket ark</t>
        </is>
      </c>
    </row>
    <row r="31" ht="28" customHeight="1">
      <c r="A31" s="9" t="inlineStr">
        <is>
          <t>Oppgave i øvingsheftet</t>
        </is>
      </c>
      <c r="B31" s="9" t="inlineStr">
        <is>
          <t>Ark</t>
        </is>
      </c>
      <c r="C31" s="9" t="inlineStr">
        <is>
          <t>Celler du endrer og leser av</t>
        </is>
      </c>
    </row>
    <row r="32">
      <c r="A32" s="6" t="inlineStr">
        <is>
          <t>A1 · Overskudd på papiret — hvor ble pengene av?</t>
        </is>
      </c>
      <c r="B32" s="8" t="inlineStr">
        <is>
          <t>Balanse</t>
        </is>
      </c>
      <c r="C32" s="6" t="inlineStr">
        <is>
          <t>Les av B11, B12, B38, B39 og B40.</t>
        </is>
      </c>
    </row>
    <row r="33">
      <c r="A33" s="6" t="inlineStr">
        <is>
          <t>A2 · Tre spørsmål til balansen</t>
        </is>
      </c>
      <c r="B33" s="8" t="inlineStr">
        <is>
          <t>Balanse</t>
        </is>
      </c>
      <c r="C33" s="6" t="inlineStr">
        <is>
          <t>Les av radene 27 til 33 for de to tommelfingerreglene, og B38 for andelen faktiske penger.</t>
        </is>
      </c>
    </row>
    <row r="34">
      <c r="A34" s="6" t="inlineStr">
        <is>
          <t>A3 · Klasseoppgave: sett opp et regnskap og en balanse</t>
        </is>
      </c>
      <c r="B34" s="8" t="inlineStr">
        <is>
          <t>Min bedrift</t>
        </is>
      </c>
      <c r="C34" s="6" t="inlineStr">
        <is>
          <t>Legg hennes tall i de gule cellene i kolonne B og E. Kontrollen i B26 skal si OK.</t>
        </is>
      </c>
    </row>
    <row r="35">
      <c r="A35" s="6" t="inlineStr">
        <is>
          <t>1 · Sett opp resultatregnskapet</t>
        </is>
      </c>
      <c r="B35" s="8" t="inlineStr">
        <is>
          <t>Resultat</t>
        </is>
      </c>
      <c r="C35" s="6" t="inlineStr">
        <is>
          <t>Endre B5 til B17. Les av B8, B13, B16 og B18, og kolonne C for prosentene. Sett B15 til 0 for deloppgave e).</t>
        </is>
      </c>
    </row>
    <row r="36">
      <c r="A36" s="6" t="inlineStr">
        <is>
          <t>2 · Sett opp balansen, og finn den manglende posten</t>
        </is>
      </c>
      <c r="B36" s="8" t="inlineStr">
        <is>
          <t>Balanse, Til kapittel 4</t>
        </is>
      </c>
      <c r="C36" s="6" t="inlineStr">
        <is>
          <t>Endre kolonne B og E i «Balanse». Les av B8, B14, E8, E12, E18, B20, E20 og B23. Arbeidskapitalen står i B33. Deloppgave e) er arket «Til kapittel 4», radene 6 til 10.</t>
        </is>
      </c>
    </row>
    <row r="37">
      <c r="A37" s="6" t="inlineStr">
        <is>
          <t>3 · Aktivere eller utgiftsføre?</t>
        </is>
      </c>
      <c r="B37" s="8" t="inlineStr">
        <is>
          <t>Aktivering</t>
        </is>
      </c>
      <c r="C37" s="6" t="inlineStr">
        <is>
          <t>Endre B5, E5, og pris og levetid i radene 9 til 12. Les av kolonne D og E, og B15, B16 og B17. Avskrivningsplanen står i radene 25 til 31.</t>
        </is>
      </c>
    </row>
    <row r="38">
      <c r="A38" s="6" t="inlineStr">
        <is>
          <t>4 · Overskudd på papiret, tomt på konto</t>
        </is>
      </c>
      <c r="B38" s="8" t="inlineStr">
        <is>
          <t>Balanse, Scenario</t>
        </is>
      </c>
      <c r="C38" s="6" t="inlineStr">
        <is>
          <t>Les av B11, B12 og B38 i «Balanse». Scenario A i arket «Scenario»: endre B10 og B15, og les av B9, B12, B16, B17 og B24.</t>
        </is>
      </c>
    </row>
    <row r="39">
      <c r="A39" s="6" t="inlineStr">
        <is>
          <t>5 · Eksamensnær: banken vil se regnskapet</t>
        </is>
      </c>
      <c r="B39" s="8" t="inlineStr">
        <is>
          <t>Scenario</t>
        </is>
      </c>
      <c r="C39" s="6" t="inlineStr">
        <is>
          <t>Scenario B: endre B35, B36, B37 og B57. Les av B39, B40, B43 til B47, B50 til B53 og B58 til B62.</t>
        </is>
      </c>
    </row>
    <row r="40"/>
    <row r="41">
      <c r="A41" s="4" t="inlineStr">
        <is>
          <t>Kontrollradene</t>
        </is>
      </c>
    </row>
    <row r="42">
      <c r="A42" s="6" t="inlineStr">
        <is>
          <t>Hvert regneark har en kontrollblokk. Står det OK, henger tallene sammen. Står det AVVIK, farges cellen rød, og teksten sier hva som ikke går opp.</t>
        </is>
      </c>
    </row>
    <row r="43">
      <c r="A43" s="6" t="inlineStr">
        <is>
          <t>Tre unntak: kontrollen på driftsmarginen i arket «Resultat», og de to første i scenario A og B, skal vise AVVIK med tallene som ligger inne. Der er avviket selve svaret — Nordlys ligger under bransjens driftsmargin og under bransjens egenkapitalandel, og kundene bruker lengre kredittid enn avtalt.</t>
        </is>
      </c>
    </row>
    <row r="44">
      <c r="A44" s="3" t="inlineStr">
        <is>
          <t>Kontroller i arbeidsboka: Resultat B27, Resultat B28, Resultat B30, Balanse B24, Balanse B29, Balanse B32, Aktivering B20, Aktivering B21, Til kapittel 4 B28, Til kapittel 4 B29, Til kapittel 4 B30, Min bedrift B26, Min bedrift B27, Min bedrift B28, Scenario B27, Scenario B29, Scenario B65, Scenario B67, Scenario B68, Scenario B69</t>
        </is>
      </c>
    </row>
    <row r="45"/>
    <row r="46">
      <c r="A46" s="4" t="inlineStr">
        <is>
          <t>Slik henger kapitlet sammen med resten</t>
        </is>
      </c>
    </row>
    <row r="47">
      <c r="A47" s="6" t="inlineStr">
        <is>
          <t>Aksjekapitalen i balansen er den Kari og Tom skjøt inn i 2019, kapittel 1. Kostnadene i resultatregnskapet er de samme som deles i faste og variable i kapittel 2. Balansen er den nøkkeltallene i kapittel 4 regnes av. Og skillet mellom kostnad og utbetaling er grunnen til at kapittel 9 har både resultatbudsjett og likviditetsbudsjett.</t>
        </is>
      </c>
    </row>
    <row r="48"/>
    <row r="49">
      <c r="A49" s="4" t="inlineStr">
        <is>
          <t>Kilder</t>
        </is>
      </c>
    </row>
    <row r="50">
      <c r="A50" s="3" t="inlineStr">
        <is>
          <t>Hjertnes, J. og Skorpen, K.: Økonomistyring for LØM-emnet (ISBN 978-82-450-5544-3), kapittel 3 «Bedriftens regnskap», avsnitt 3.1 til 3.4.</t>
        </is>
      </c>
    </row>
    <row r="51">
      <c r="A51" s="3" t="inlineStr">
        <is>
          <t>Aktiveringsgrensene følger skatteloven § 14-40 (Lovdata): kostpris minst 30 000 kroner OG økonomisk levetid minst 3 år. Oppstillingsplanene følger regnskapsloven kapittel 6 (Lovdata).</t>
        </is>
      </c>
    </row>
    <row r="52">
      <c r="A52" s="3" t="inlineStr">
        <is>
          <t>Bransjetall: NHO Elektro, Lønnsomhetsrapport 2025, gjengitt i Elektro 24-7 19.08.2026 (hentet 10.09.2026). De 809 er bedriftene i datagrunnlaget, ikke bransjen. NHO Elektro oppgir ikke svarprosent.</t>
        </is>
      </c>
    </row>
    <row r="53">
      <c r="A53" s="3" t="inlineStr">
        <is>
          <t>Nordlys Elektro AS er en konstruert casebedrift. Tallene henger sammen på tvers av alle ti kapitlene i Økonomistyring for LØM-emnet.</t>
        </is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7" customWidth="1" min="2" max="2"/>
    <col width="12" customWidth="1" min="3" max="3"/>
    <col width="54" customWidth="1" min="4" max="4"/>
  </cols>
  <sheetData>
    <row r="1">
      <c r="A1" s="1" t="inlineStr">
        <is>
          <t>Resultatregnskap 2026 — Nordlys Elektro AS</t>
        </is>
      </c>
    </row>
    <row r="2">
      <c r="A2" s="2" t="inlineStr">
        <is>
          <t>Endre de gule cellene. Alle delsummer regner seg selv.</t>
        </is>
      </c>
    </row>
    <row r="3"/>
    <row r="4" ht="28" customHeight="1">
      <c r="A4" s="9" t="inlineStr">
        <is>
          <t>Post</t>
        </is>
      </c>
      <c r="B4" s="9" t="inlineStr">
        <is>
          <t>Kroner</t>
        </is>
      </c>
      <c r="C4" s="9" t="inlineStr">
        <is>
          <t>Av salget</t>
        </is>
      </c>
      <c r="D4" s="9" t="inlineStr">
        <is>
          <t>Hva står det egentlig?</t>
        </is>
      </c>
    </row>
    <row r="5">
      <c r="A5" s="8" t="inlineStr">
        <is>
          <t>Salgsinntekt</t>
        </is>
      </c>
      <c r="B5" s="10" t="n">
        <v>22400000</v>
      </c>
      <c r="C5" s="11">
        <f>B5/$B$5</f>
        <v/>
      </c>
      <c r="D5" s="6" t="inlineStr">
        <is>
          <t>Fakturert til kundene, uten merverdiavgift.</t>
        </is>
      </c>
    </row>
    <row r="6">
      <c r="A6" s="6" t="inlineStr">
        <is>
          <t>Varekostnad, materiell</t>
        </is>
      </c>
      <c r="B6" s="10" t="n">
        <v>7990000</v>
      </c>
      <c r="C6" s="11">
        <f>B6/$B$5</f>
        <v/>
      </c>
      <c r="D6" s="6" t="inlineStr">
        <is>
          <t>Kabel, skap og kursutstyr fra Polarlys Elektro Grossist AS.</t>
        </is>
      </c>
    </row>
    <row r="7">
      <c r="A7" s="6" t="inlineStr">
        <is>
          <t>Varekostnad, innleide montører</t>
        </is>
      </c>
      <c r="B7" s="10" t="n">
        <v>400000</v>
      </c>
      <c r="C7" s="11">
        <f>B7/$B$5</f>
        <v/>
      </c>
      <c r="D7" s="6" t="inlineStr">
        <is>
          <t>Innleid hjelp på de store prosjektene.</t>
        </is>
      </c>
    </row>
    <row r="8">
      <c r="A8" s="8" t="inlineStr">
        <is>
          <t>= Bruttofortjeneste</t>
        </is>
      </c>
      <c r="B8" s="12">
        <f>B5-B6-B7</f>
        <v/>
      </c>
      <c r="C8" s="13">
        <f>B8/$B$5</f>
        <v/>
      </c>
      <c r="D8" s="6" t="inlineStr">
        <is>
          <t>Igjen etter materiell og innleie. Her er ingenting annet betalt ennå.</t>
        </is>
      </c>
    </row>
    <row r="9">
      <c r="A9" s="6" t="inlineStr">
        <is>
          <t>Lønnskostnad</t>
        </is>
      </c>
      <c r="B9" s="10" t="n">
        <v>10660000</v>
      </c>
      <c r="C9" s="11">
        <f>B9/$B$5</f>
        <v/>
      </c>
      <c r="D9" s="6" t="inlineStr">
        <is>
          <t>Lønn, feriepenger, arbeidsgiveravgift og pensjon for 18 ansatte.</t>
        </is>
      </c>
    </row>
    <row r="10">
      <c r="A10" s="6" t="inlineStr">
        <is>
          <t>Avskrivninger</t>
        </is>
      </c>
      <c r="B10" s="10" t="n">
        <v>620000</v>
      </c>
      <c r="C10" s="11">
        <f>B10/$B$5</f>
        <v/>
      </c>
      <c r="D10" s="6" t="inlineStr">
        <is>
          <t>Verdifall på biler, verktøy og instrumenter. Ingen utbetaling.</t>
        </is>
      </c>
    </row>
    <row r="11">
      <c r="A11" s="6" t="inlineStr">
        <is>
          <t>Andre driftskostnader</t>
        </is>
      </c>
      <c r="B11" s="10" t="n">
        <v>1386000</v>
      </c>
      <c r="C11" s="11">
        <f>B11/$B$5</f>
        <v/>
      </c>
      <c r="D11" s="6" t="inlineStr">
        <is>
          <t>Husleie, strøm, forsikring, regnskapsfører, bilkostnader.</t>
        </is>
      </c>
    </row>
    <row r="12">
      <c r="A12" s="6" t="inlineStr">
        <is>
          <t>= Sum driftskostnader</t>
        </is>
      </c>
      <c r="B12" s="14">
        <f>B6+B7+B9+B10+B11</f>
        <v/>
      </c>
      <c r="C12" s="11">
        <f>B12/$B$5</f>
        <v/>
      </c>
      <c r="D12" s="6" t="inlineStr">
        <is>
          <t>Alle fire kostnadsgruppene lagt sammen.</t>
        </is>
      </c>
    </row>
    <row r="13">
      <c r="A13" s="8" t="inlineStr">
        <is>
          <t>= Driftsresultat</t>
        </is>
      </c>
      <c r="B13" s="12">
        <f>B5-B12</f>
        <v/>
      </c>
      <c r="C13" s="13">
        <f>B13/$B$5</f>
        <v/>
      </c>
      <c r="D13" s="6" t="inlineStr">
        <is>
          <t>Det driften selv tjente. Prosenten i kolonne C er driftsmarginen.</t>
        </is>
      </c>
    </row>
    <row r="14">
      <c r="A14" s="6" t="inlineStr">
        <is>
          <t>Renteinntekter</t>
        </is>
      </c>
      <c r="B14" s="10" t="n">
        <v>56000</v>
      </c>
      <c r="C14" s="11">
        <f>B14/$B$5</f>
        <v/>
      </c>
      <c r="D14" s="6" t="inlineStr">
        <is>
          <t>Renter på bankinnskuddet.</t>
        </is>
      </c>
    </row>
    <row r="15">
      <c r="A15" s="6" t="inlineStr">
        <is>
          <t>Rentekostnader</t>
        </is>
      </c>
      <c r="B15" s="10" t="n">
        <v>210000</v>
      </c>
      <c r="C15" s="11">
        <f>B15/$B$5</f>
        <v/>
      </c>
      <c r="D15" s="6" t="inlineStr">
        <is>
          <t>Renter på banklån og kassekreditt. Handler om finansiering, ikke om drift.</t>
        </is>
      </c>
    </row>
    <row r="16">
      <c r="A16" s="8" t="inlineStr">
        <is>
          <t>= Resultat før skattekostnad</t>
        </is>
      </c>
      <c r="B16" s="12">
        <f>B13+B14-B15</f>
        <v/>
      </c>
      <c r="C16" s="13">
        <f>B16/$B$5</f>
        <v/>
      </c>
      <c r="D16" s="6" t="inlineStr">
        <is>
          <t>Det Skatteetaten regner skatten av. Brukes i både TKR og EKR i kapittel 4.</t>
        </is>
      </c>
    </row>
    <row r="17">
      <c r="A17" s="6" t="inlineStr">
        <is>
          <t>Skattekostnad</t>
        </is>
      </c>
      <c r="B17" s="10" t="n">
        <v>262000</v>
      </c>
      <c r="C17" s="11">
        <f>B17/$B$5</f>
        <v/>
      </c>
      <c r="D17" s="6" t="inlineStr">
        <is>
          <t>Selskapsskatt.</t>
        </is>
      </c>
    </row>
    <row r="18">
      <c r="A18" s="8" t="inlineStr">
        <is>
          <t>= Årsresultat</t>
        </is>
      </c>
      <c r="B18" s="12">
        <f>B16-B17</f>
        <v/>
      </c>
      <c r="C18" s="13">
        <f>B18/$B$5</f>
        <v/>
      </c>
      <c r="D18" s="6" t="inlineStr">
        <is>
          <t>Det som blir igjen til eierne og til bedriften.</t>
        </is>
      </c>
    </row>
    <row r="19"/>
    <row r="20">
      <c r="A20" s="4" t="inlineStr">
        <is>
          <t>Målt mot bransjen</t>
        </is>
      </c>
    </row>
    <row r="21">
      <c r="A21" s="6" t="inlineStr">
        <is>
          <t>Driftsmargin, Nordlys</t>
        </is>
      </c>
      <c r="B21" s="15">
        <f>B13/B5</f>
        <v/>
      </c>
    </row>
    <row r="22">
      <c r="A22" s="6" t="inlineStr">
        <is>
          <t>Driftsmargin, bransjen</t>
        </is>
      </c>
      <c r="B22" s="16" t="n">
        <v>0.075</v>
      </c>
      <c r="D22" s="6" t="inlineStr">
        <is>
          <t>Kilde: NHO Elektro, Lønnsomhetsrapport 2025, gjengitt i Elektro 24-7 19.08.2026 (hentet 10.09.2026). De 809 er bedriftene i datagrunnlaget, ikke bransjen. NHO Elektro oppgir ikke svarprosent.</t>
        </is>
      </c>
    </row>
    <row r="23">
      <c r="A23" s="6" t="inlineStr">
        <is>
          <t>Differanse i prosentpoeng</t>
        </is>
      </c>
      <c r="B23" s="17">
        <f>(B21-B22)*100</f>
        <v/>
      </c>
    </row>
    <row r="24">
      <c r="A24" s="8" t="inlineStr">
        <is>
          <t>Varekostnad og lønn til sammen, av salget</t>
        </is>
      </c>
      <c r="B24" s="13">
        <f>(B6+B7+B9)/B5</f>
        <v/>
      </c>
      <c r="D24" s="6" t="inlineStr">
        <is>
          <t>To poster sluker mesteparten. Derfor slår små endringer hardt ut.</t>
        </is>
      </c>
    </row>
    <row r="25"/>
    <row r="26">
      <c r="A26" s="4" t="inlineStr">
        <is>
          <t>Kontroll</t>
        </is>
      </c>
    </row>
    <row r="27">
      <c r="A27" s="6" t="inlineStr">
        <is>
          <t>Går resultatoppstillingen opp?</t>
        </is>
      </c>
      <c r="B27" s="18">
        <f>IF(ABS(B5-B12-B13)&lt;1,"OK — salgsinntekt minus sum driftskostnader er driftsresultatet","AVVIK: delsummene henger ikke sammen")</f>
        <v/>
      </c>
    </row>
    <row r="28">
      <c r="A28" s="6" t="inlineStr">
        <is>
          <t>Ligger driftsmarginen over eller under bransjen?</t>
        </is>
      </c>
      <c r="B28" s="18">
        <f>IF(B21&gt;=B22,"OK — Nordlys ligger på eller over bransjens driftsmargin","AVVIK: Nordlys ligger under bransjens driftsmargin. Det er riktig med tallene som ligger inne, og det er styrets problem — ikke bankens")</f>
        <v/>
      </c>
    </row>
    <row r="29">
      <c r="A29" s="3" t="inlineStr">
        <is>
          <t>Her SKAL det stå AVVIK med tallene som ligger inne. Nordlys ligger under bransjen, og det er nettopp det kapittel 4 setter tall på.</t>
        </is>
      </c>
    </row>
    <row r="30">
      <c r="A30" s="6" t="inlineStr">
        <is>
          <t>Er avskrivningene en kostnad uten utbetaling?</t>
        </is>
      </c>
      <c r="B30" s="18">
        <f>IF(B10&gt;0,"OK — avskrivningene i B10 er en kostnad, men ingen penger gikk ut av kontoen i år. Legg dem tilbake når du vil anslå hvor mye penger driften ga","OK — ingen avskrivninger dette året")</f>
        <v/>
      </c>
    </row>
    <row r="31"/>
    <row r="32">
      <c r="A32" s="4" t="inlineStr">
        <is>
          <t>Prøv dette</t>
        </is>
      </c>
    </row>
    <row r="33">
      <c r="A33" s="6" t="inlineStr">
        <is>
          <t>1. Senk salgsinntekten i B5 med 1 000 000. Hvor mange linjer nedover endrer seg?</t>
        </is>
      </c>
    </row>
    <row r="34">
      <c r="A34" s="6" t="inlineStr">
        <is>
          <t>2. Sett den tilbake. Kutt så 200 000 i andre driftskostnader i B11. Hvor mye bedre blir årsresultatet — og hvorfor er det ikke 200 000?</t>
        </is>
      </c>
    </row>
    <row r="35">
      <c r="A35" s="6" t="inlineStr">
        <is>
          <t>3. Sett rentekostnaden i B15 til 0. Legg merke til at driftsresultatet ikke rører seg. Det er nettopp poenget med driftsresultatet.</t>
        </is>
      </c>
    </row>
    <row r="36">
      <c r="A36" s="3" t="inlineStr">
        <is>
          <t>Kilde: oppstillingen følger Økonomistyring for LØM-emnet, kap. 3.3. Tallene er Nordlys Elektro AS 2026.</t>
        </is>
      </c>
    </row>
  </sheetData>
  <conditionalFormatting sqref="B27">
    <cfRule type="expression" priority="1" dxfId="0" stopIfTrue="0">
      <formula>LEFT(B27,5)="AVVIK"</formula>
    </cfRule>
  </conditionalFormatting>
  <conditionalFormatting sqref="B28">
    <cfRule type="expression" priority="2" dxfId="0" stopIfTrue="0">
      <formula>LEFT(B28,5)="AVVIK"</formula>
    </cfRule>
  </conditionalFormatting>
  <conditionalFormatting sqref="B30">
    <cfRule type="expression" priority="3" dxfId="0" stopIfTrue="0">
      <formula>LEFT(B30,5)="AVVIK"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7" customWidth="1" min="2" max="2"/>
    <col width="3" customWidth="1" min="3" max="3"/>
    <col width="36" customWidth="1" min="4" max="4"/>
    <col width="17" customWidth="1" min="5" max="5"/>
    <col width="44" customWidth="1" min="6" max="6"/>
  </cols>
  <sheetData>
    <row r="1">
      <c r="A1" s="1" t="inlineStr">
        <is>
          <t>Balanse per 31.12.2026 — Nordlys Elektro AS</t>
        </is>
      </c>
    </row>
    <row r="2">
      <c r="A2" s="2" t="inlineStr">
        <is>
          <t>To sider som alltid er like store. Kontrollraden nederst sier fra hvis de ikke er det.</t>
        </is>
      </c>
    </row>
    <row r="3"/>
    <row r="4" ht="28" customHeight="1">
      <c r="A4" s="9" t="inlineStr">
        <is>
          <t>Eiendeler (aktiva)</t>
        </is>
      </c>
      <c r="B4" s="9" t="inlineStr">
        <is>
          <t>Kroner</t>
        </is>
      </c>
      <c r="D4" s="9" t="inlineStr">
        <is>
          <t>Egenkapital og gjeld (passiva)</t>
        </is>
      </c>
      <c r="E4" s="9" t="inlineStr">
        <is>
          <t>Kroner</t>
        </is>
      </c>
    </row>
    <row r="5">
      <c r="A5" s="4" t="inlineStr">
        <is>
          <t>ANLEGGSMIDLER</t>
        </is>
      </c>
      <c r="D5" s="4" t="inlineStr">
        <is>
          <t>EGENKAPITAL</t>
        </is>
      </c>
    </row>
    <row r="6">
      <c r="A6" s="6" t="inlineStr">
        <is>
          <t>Maskiner, verktøy og instrumenter</t>
        </is>
      </c>
      <c r="B6" s="10" t="n">
        <v>1200000</v>
      </c>
      <c r="D6" s="6" t="inlineStr">
        <is>
          <t>Aksjekapital</t>
        </is>
      </c>
      <c r="E6" s="10" t="n">
        <v>300000</v>
      </c>
    </row>
    <row r="7">
      <c r="A7" s="6" t="inlineStr">
        <is>
          <t>Biler</t>
        </is>
      </c>
      <c r="B7" s="10" t="n">
        <v>2400000</v>
      </c>
      <c r="D7" s="6" t="inlineStr">
        <is>
          <t>Annen egenkapital</t>
        </is>
      </c>
      <c r="E7" s="10" t="n">
        <v>2610000</v>
      </c>
    </row>
    <row r="8">
      <c r="A8" s="8" t="inlineStr">
        <is>
          <t>Sum anleggsmidler</t>
        </is>
      </c>
      <c r="B8" s="12">
        <f>SUM(B6:B7)</f>
        <v/>
      </c>
      <c r="D8" s="8" t="inlineStr">
        <is>
          <t>Sum egenkapital</t>
        </is>
      </c>
      <c r="E8" s="12">
        <f>SUM(E6:E7)</f>
        <v/>
      </c>
    </row>
    <row r="9"/>
    <row r="10">
      <c r="A10" s="4" t="inlineStr">
        <is>
          <t>OMLØPSMIDLER</t>
        </is>
      </c>
      <c r="D10" s="4" t="inlineStr">
        <is>
          <t>LANGSIKTIG GJELD</t>
        </is>
      </c>
    </row>
    <row r="11">
      <c r="A11" s="6" t="inlineStr">
        <is>
          <t>Varelager</t>
        </is>
      </c>
      <c r="B11" s="10" t="n">
        <v>1400000</v>
      </c>
      <c r="D11" s="6" t="inlineStr">
        <is>
          <t>Banklån</t>
        </is>
      </c>
      <c r="E11" s="10" t="n">
        <v>2800000</v>
      </c>
      <c r="F11" s="6" t="inlineStr">
        <is>
          <t>Det minst likvide omløpsmiddelet. Trekkes ut i likviditetsgrad 2.</t>
        </is>
      </c>
    </row>
    <row r="12">
      <c r="A12" s="6" t="inlineStr">
        <is>
          <t>Kundefordringer</t>
        </is>
      </c>
      <c r="B12" s="10" t="n">
        <v>4200000</v>
      </c>
      <c r="D12" s="8" t="inlineStr">
        <is>
          <t>Sum langsiktig gjeld</t>
        </is>
      </c>
      <c r="E12" s="12">
        <f>E11</f>
        <v/>
      </c>
      <c r="F12" s="6" t="inlineStr">
        <is>
          <t>Fakturert, men ikke betalt. Største enkeltpost i balansen.</t>
        </is>
      </c>
    </row>
    <row r="13">
      <c r="A13" s="6" t="inlineStr">
        <is>
          <t>Bankinnskudd og kontanter</t>
        </is>
      </c>
      <c r="B13" s="10" t="n">
        <v>1000000</v>
      </c>
      <c r="D13" s="4" t="inlineStr">
        <is>
          <t>KORTSIKTIG GJELD</t>
        </is>
      </c>
    </row>
    <row r="14">
      <c r="A14" s="8" t="inlineStr">
        <is>
          <t>Sum omløpsmidler</t>
        </is>
      </c>
      <c r="B14" s="12">
        <f>SUM(B11:B13)</f>
        <v/>
      </c>
      <c r="D14" s="6" t="inlineStr">
        <is>
          <t>Leverandørgjeld</t>
        </is>
      </c>
      <c r="E14" s="10" t="n">
        <v>2100000</v>
      </c>
    </row>
    <row r="15">
      <c r="D15" s="6" t="inlineStr">
        <is>
          <t>Skyldige offentlige avgifter</t>
        </is>
      </c>
      <c r="E15" s="10" t="n">
        <v>1200000</v>
      </c>
      <c r="F15" s="6" t="inlineStr">
        <is>
          <t>Merverdiavgift, forskuddstrekk og arbeidsgiveravgift. Faste forfallsdatoer.</t>
        </is>
      </c>
    </row>
    <row r="16">
      <c r="D16" s="6" t="inlineStr">
        <is>
          <t>Skyldige feriepenger</t>
        </is>
      </c>
      <c r="E16" s="10" t="n">
        <v>890000</v>
      </c>
    </row>
    <row r="17">
      <c r="D17" s="6" t="inlineStr">
        <is>
          <t>Kassekreditt</t>
        </is>
      </c>
      <c r="E17" s="10" t="n">
        <v>300000</v>
      </c>
      <c r="F17" s="6" t="inlineStr">
        <is>
          <t>Kortsiktig gjeld — banken kan i prinsippet trekke den tilbake.</t>
        </is>
      </c>
    </row>
    <row r="18">
      <c r="D18" s="8" t="inlineStr">
        <is>
          <t>Sum kortsiktig gjeld</t>
        </is>
      </c>
      <c r="E18" s="12">
        <f>SUM(E14:E17)</f>
        <v/>
      </c>
    </row>
    <row r="19"/>
    <row r="20">
      <c r="A20" s="4" t="inlineStr">
        <is>
          <t>SUM EIENDELER</t>
        </is>
      </c>
      <c r="B20" s="12">
        <f>B8+B14</f>
        <v/>
      </c>
      <c r="D20" s="4" t="inlineStr">
        <is>
          <t>SUM EGENKAPITAL OG GJELD</t>
        </is>
      </c>
      <c r="E20" s="12">
        <f>E8+E12+E18</f>
        <v/>
      </c>
    </row>
    <row r="21"/>
    <row r="22">
      <c r="A22" s="4" t="inlineStr">
        <is>
          <t>Kontroll</t>
        </is>
      </c>
    </row>
    <row r="23">
      <c r="A23" s="6" t="inlineStr">
        <is>
          <t>Differanse mellom de to sidene</t>
        </is>
      </c>
      <c r="B23" s="19">
        <f>B20-E20</f>
        <v/>
      </c>
    </row>
    <row r="24">
      <c r="A24" s="6" t="inlineStr">
        <is>
          <t>Balanserer den?</t>
        </is>
      </c>
      <c r="B24" s="18">
        <f>IF(B23=0,"OK — de to sidene er like store","AVVIK: differansen står i B23. Hver krone bedriften rår over, har kommet fra eierne eller fra noen den skylder penger")</f>
        <v/>
      </c>
    </row>
    <row r="25"/>
    <row r="26">
      <c r="A26" s="4" t="inlineStr">
        <is>
          <t>Lærebokas to tommelfingerregler</t>
        </is>
      </c>
    </row>
    <row r="27">
      <c r="A27" s="6" t="inlineStr">
        <is>
          <t>Egenkapital + langsiktig gjeld</t>
        </is>
      </c>
      <c r="B27" s="19">
        <f>E8+E12</f>
        <v/>
      </c>
    </row>
    <row r="28">
      <c r="A28" s="6" t="inlineStr">
        <is>
          <t>mot anleggsmidlene</t>
        </is>
      </c>
      <c r="B28" s="14">
        <f>B8</f>
        <v/>
      </c>
    </row>
    <row r="29">
      <c r="A29" s="6" t="inlineStr">
        <is>
          <t>Regel 1</t>
        </is>
      </c>
      <c r="B29" s="18">
        <f>IF(B27&gt;B28,"OK — den langsiktige finansieringen dekker anleggsmidlene, og det som er til overs finansierer en del av omløpsmidlene","AVVIK: anleggsmidlene er kortsiktig finansiert — bedriften låner kort og investerer langt")</f>
        <v/>
      </c>
    </row>
    <row r="30">
      <c r="A30" s="6" t="inlineStr">
        <is>
          <t>Kortsiktig gjeld</t>
        </is>
      </c>
      <c r="B30" s="14">
        <f>E18</f>
        <v/>
      </c>
    </row>
    <row r="31">
      <c r="A31" s="6" t="inlineStr">
        <is>
          <t>mot omløpsmidlene</t>
        </is>
      </c>
      <c r="B31" s="14">
        <f>B14</f>
        <v/>
      </c>
    </row>
    <row r="32">
      <c r="A32" s="6" t="inlineStr">
        <is>
          <t>Regel 2</t>
        </is>
      </c>
      <c r="B32" s="18">
        <f>IF(B30&lt;B31,"OK — omløpsmidlene dekker den kortsiktige gjelden","AVVIK: den kortsiktige gjelden er større enn omløpsmidlene — bedriften er ille ute")</f>
        <v/>
      </c>
    </row>
    <row r="33">
      <c r="A33" s="8" t="inlineStr">
        <is>
          <t>= Arbeidskapital</t>
        </is>
      </c>
      <c r="B33" s="12">
        <f>B14-E18</f>
        <v/>
      </c>
      <c r="F33" s="6" t="inlineStr">
        <is>
          <t>Omløpsmidler minus kortsiktig gjeld. Samme tall som marginen i regel 2.</t>
        </is>
      </c>
    </row>
    <row r="34"/>
    <row r="35">
      <c r="A35" s="4" t="inlineStr">
        <is>
          <t>Egenkapitalen som differanse</t>
        </is>
      </c>
    </row>
    <row r="36">
      <c r="A36" s="6" t="inlineStr">
        <is>
          <t>Sum eiendeler minus all gjeld</t>
        </is>
      </c>
      <c r="B36" s="12">
        <f>B20-(E12+E18)</f>
        <v/>
      </c>
      <c r="F36" s="6" t="inlineStr">
        <is>
          <t>Samme tall som sum egenkapital i E8. Egenkapital er ikke en konto — det er det som blir igjen.</t>
        </is>
      </c>
    </row>
    <row r="37"/>
    <row r="38">
      <c r="A38" s="4" t="inlineStr">
        <is>
          <t>Hvor mye av omløpsmidlene er faktiske penger?</t>
        </is>
      </c>
      <c r="B38" s="13">
        <f>B13/B14</f>
        <v/>
      </c>
      <c r="F38" s="6" t="inlineStr">
        <is>
          <t>Resten er materiell på lager og penger andre skylder deg.</t>
        </is>
      </c>
    </row>
    <row r="39">
      <c r="A39" s="6" t="inlineStr">
        <is>
          <t>Bundet i lager og kundefordringer</t>
        </is>
      </c>
      <c r="B39" s="19">
        <f>B11+B12</f>
        <v/>
      </c>
    </row>
    <row r="40">
      <c r="A40" s="6" t="inlineStr">
        <is>
          <t>Ganger bankinnskuddet</t>
        </is>
      </c>
      <c r="B40" s="17">
        <f>B39/B13</f>
        <v/>
      </c>
    </row>
    <row r="41"/>
    <row r="42">
      <c r="A42" s="8" t="inlineStr">
        <is>
          <t>Prøv dette: sett kundefordringene i B12 til halvparten, som om kundene hadde betalt. Balansen slutter å balansere — og det er riktig. Pengene måtte i så fall dukket opp et annet sted, for eksempel som økt bankinnskudd i B13.</t>
        </is>
      </c>
    </row>
    <row r="43">
      <c r="A43" s="3" t="inlineStr">
        <is>
          <t>Kilde: oppstillingen følger Økonomistyring for LØM-emnet, kap. 3.2. Tallene er Nordlys Elektro AS.</t>
        </is>
      </c>
    </row>
  </sheetData>
  <conditionalFormatting sqref="B24">
    <cfRule type="expression" priority="1" dxfId="0" stopIfTrue="0">
      <formula>LEFT(B24,5)="AVVIK"</formula>
    </cfRule>
  </conditionalFormatting>
  <conditionalFormatting sqref="B29">
    <cfRule type="expression" priority="2" dxfId="0" stopIfTrue="0">
      <formula>LEFT(B29,5)="AVVIK"</formula>
    </cfRule>
  </conditionalFormatting>
  <conditionalFormatting sqref="B32">
    <cfRule type="expression" priority="3" dxfId="0" stopIfTrue="0">
      <formula>LEFT(B32,5)="AVVIK"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3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3" customWidth="1" min="3" max="3"/>
    <col width="24" customWidth="1" min="4" max="4"/>
    <col width="18" customWidth="1" min="5" max="5"/>
    <col width="52" customWidth="1" min="6" max="6"/>
  </cols>
  <sheetData>
    <row r="1">
      <c r="A1" s="1" t="inlineStr">
        <is>
          <t>Skal innkjøpet i balansen eller rett i resultatet?</t>
        </is>
      </c>
    </row>
    <row r="2">
      <c r="A2" s="2" t="inlineStr">
        <is>
          <t>Endre pris og levetid i de gule cellene og se hva regelen svarer.</t>
        </is>
      </c>
    </row>
    <row r="3"/>
    <row r="4">
      <c r="A4" s="4" t="inlineStr">
        <is>
          <t>1 · Regelen</t>
        </is>
      </c>
    </row>
    <row r="5">
      <c r="A5" s="6" t="inlineStr">
        <is>
          <t>Beløpsgrense</t>
        </is>
      </c>
      <c r="B5" s="10" t="n">
        <v>30000</v>
      </c>
      <c r="D5" s="6" t="inlineStr">
        <is>
          <t>Levetidsgrense, år</t>
        </is>
      </c>
      <c r="E5" s="20" t="n">
        <v>3</v>
      </c>
      <c r="F5" s="6" t="inlineStr">
        <is>
          <t>BEGGE vilkårene må være oppfylt for aktiveringsplikt.</t>
        </is>
      </c>
    </row>
    <row r="6">
      <c r="A6" s="3" t="inlineStr">
        <is>
          <t>Kilde: skatteloven § 14-40 (Lovdata). Læreboka omtaler de samme to grensene i avsnitt 3.2.</t>
        </is>
      </c>
    </row>
    <row r="7"/>
    <row r="8" ht="28" customHeight="1">
      <c r="A8" s="9" t="inlineStr">
        <is>
          <t>Innkjøp</t>
        </is>
      </c>
      <c r="B8" s="9" t="inlineStr">
        <is>
          <t>Pris</t>
        </is>
      </c>
      <c r="C8" s="9" t="inlineStr">
        <is>
          <t>Levetid, år</t>
        </is>
      </c>
      <c r="D8" s="9" t="inlineStr">
        <is>
          <t>Aktiveres?</t>
        </is>
      </c>
      <c r="E8" s="9" t="inlineStr">
        <is>
          <t>Kostnad i år 1</t>
        </is>
      </c>
      <c r="F8" s="9" t="inlineStr">
        <is>
          <t>Hva skjer</t>
        </is>
      </c>
    </row>
    <row r="9">
      <c r="A9" s="6" t="inlineStr">
        <is>
          <t>Servicebil</t>
        </is>
      </c>
      <c r="B9" s="10" t="n">
        <v>450000</v>
      </c>
      <c r="C9" s="20" t="n">
        <v>5</v>
      </c>
      <c r="D9" s="7">
        <f>IF(AND(B9&gt;=$B$5,C9&gt;=$E$5),"JA — i balansen","NEI — rett i resultatet")</f>
        <v/>
      </c>
      <c r="E9" s="14">
        <f>IF(AND(B9&gt;=$B$5,C9&gt;=$E$5),B9/C9,B9)</f>
        <v/>
      </c>
      <c r="F9" s="6" t="inlineStr">
        <is>
          <t>Over beløpsgrensen og lang levetid. Aktiveres og avskrives lineært.</t>
        </is>
      </c>
    </row>
    <row r="10">
      <c r="A10" s="6" t="inlineStr">
        <is>
          <t>Varmekamera til feilsøking</t>
        </is>
      </c>
      <c r="B10" s="10" t="n">
        <v>42000</v>
      </c>
      <c r="C10" s="20" t="n">
        <v>6</v>
      </c>
      <c r="D10" s="7">
        <f>IF(AND(B10&gt;=$B$5,C10&gt;=$E$5),"JA — i balansen","NEI — rett i resultatet")</f>
        <v/>
      </c>
      <c r="E10" s="14">
        <f>IF(AND(B10&gt;=$B$5,C10&gt;=$E$5),B10/C10,B10)</f>
        <v/>
      </c>
      <c r="F10" s="6" t="inlineStr">
        <is>
          <t>Over beløpsgrensen og lang levetid. Samme behandling som bilen.</t>
        </is>
      </c>
    </row>
    <row r="11">
      <c r="A11" s="6" t="inlineStr">
        <is>
          <t>Boremaskin</t>
        </is>
      </c>
      <c r="B11" s="10" t="n">
        <v>3500</v>
      </c>
      <c r="C11" s="20" t="n">
        <v>3</v>
      </c>
      <c r="D11" s="7">
        <f>IF(AND(B11&gt;=$B$5,C11&gt;=$E$5),"JA — i balansen","NEI — rett i resultatet")</f>
        <v/>
      </c>
      <c r="E11" s="14">
        <f>IF(AND(B11&gt;=$B$5,C11&gt;=$E$5),B11/C11,B11)</f>
        <v/>
      </c>
      <c r="F11" s="6" t="inlineStr">
        <is>
          <t>Under beløpsgrensen. Hele beløpet utgiftsføres med én gang.</t>
        </is>
      </c>
    </row>
    <row r="12">
      <c r="A12" s="6" t="inlineStr">
        <is>
          <t>Kabel og sikringsmateriell montert hos kunde</t>
        </is>
      </c>
      <c r="B12" s="10" t="n">
        <v>38000</v>
      </c>
      <c r="C12" s="20" t="n">
        <v>0</v>
      </c>
      <c r="D12" s="7">
        <f>IF(AND(B12&gt;=$B$5,C12&gt;=$E$5),"JA — i balansen","NEI — rett i resultatet")</f>
        <v/>
      </c>
      <c r="E12" s="14">
        <f>IF(AND(B12&gt;=$B$5,C12&gt;=$E$5),B12/C12,B12)</f>
        <v/>
      </c>
      <c r="F12" s="6" t="inlineStr">
        <is>
          <t>Ikke et driftsmiddel i det hele tatt — brukt opp på en jobb. Varekostnad.</t>
        </is>
      </c>
    </row>
    <row r="13"/>
    <row r="14">
      <c r="A14" s="4" t="inlineStr">
        <is>
          <t>2 · Hva året faktisk koster</t>
        </is>
      </c>
    </row>
    <row r="15">
      <c r="A15" s="8" t="inlineStr">
        <is>
          <t>Sum belastet resultatet i år 1</t>
        </is>
      </c>
      <c r="B15" s="12">
        <f>SUM(E9:E12)</f>
        <v/>
      </c>
    </row>
    <row r="16">
      <c r="A16" s="8" t="inlineStr">
        <is>
          <t>Sum ut av bankkontoen i år 1</t>
        </is>
      </c>
      <c r="B16" s="12">
        <f>SUM(B9:B12)</f>
        <v/>
      </c>
    </row>
    <row r="17">
      <c r="A17" s="8" t="inlineStr">
        <is>
          <t>= Differanse</t>
        </is>
      </c>
      <c r="B17" s="12">
        <f>B16-B15</f>
        <v/>
      </c>
      <c r="F17" s="6" t="inlineStr">
        <is>
          <t>Penger brukt, men ennå ikke kostnadsført. Nettopp denne differansen er grunnen til at overskudd og penger på konto ikke er det samme.</t>
        </is>
      </c>
    </row>
    <row r="18"/>
    <row r="19">
      <c r="A19" s="4" t="inlineStr">
        <is>
          <t>Kontroll</t>
        </is>
      </c>
    </row>
    <row r="20">
      <c r="A20" s="6" t="inlineStr">
        <is>
          <t>Er det brukt mer penger enn det som er kostnadsført?</t>
        </is>
      </c>
      <c r="B20" s="18">
        <f>IF(B17&gt;0,"OK — differansen i B17 ligger i balansen som anleggsmidler og kostnadsføres over flere år","OK — alt som er kjøpt, er også kostnadsført i år")</f>
        <v/>
      </c>
    </row>
    <row r="21">
      <c r="A21" s="6" t="inlineStr">
        <is>
          <t>Skal kabelen aktiveres?</t>
        </is>
      </c>
      <c r="B21" s="18">
        <f>IF(D12="NEI — rett i resultatet","OK — kabelen er montert hos kunden og brukt opp. Den er ikke et driftsmiddel, uansett hvor mye den koster","AVVIK: kabelen er ikke et driftsmiddel og skal aldri aktiveres — sett levetiden i C12 til 0")</f>
        <v/>
      </c>
    </row>
    <row r="22"/>
    <row r="23">
      <c r="A23" s="4" t="inlineStr">
        <is>
          <t>3 · Avskrivningsplan for servicebilen</t>
        </is>
      </c>
    </row>
    <row r="24" ht="28" customHeight="1">
      <c r="A24" s="9" t="inlineStr">
        <is>
          <t>År</t>
        </is>
      </c>
      <c r="B24" s="9" t="inlineStr">
        <is>
          <t>Avskrivning</t>
        </is>
      </c>
      <c r="C24" s="9" t="inlineStr">
        <is>
          <t>Bokført verdi ved årets slutt</t>
        </is>
      </c>
    </row>
    <row r="25">
      <c r="A25" s="6" t="inlineStr">
        <is>
          <t>År 1</t>
        </is>
      </c>
      <c r="B25" s="14">
        <f>IF(1&lt;=$C$9,$E$9,0)</f>
        <v/>
      </c>
      <c r="C25" s="14">
        <f>MAX($B$9-$E$9*MIN(1,$C$9),0)</f>
        <v/>
      </c>
      <c r="E25" s="6" t="inlineStr">
        <is>
          <t>Lineær avskrivning: samme beløp hvert år, og bokført verdi null når levetiden er ute.</t>
        </is>
      </c>
    </row>
    <row r="26">
      <c r="A26" s="6" t="inlineStr">
        <is>
          <t>År 2</t>
        </is>
      </c>
      <c r="B26" s="14">
        <f>IF(2&lt;=$C$9,$E$9,0)</f>
        <v/>
      </c>
      <c r="C26" s="14">
        <f>MAX($B$9-$E$9*MIN(2,$C$9),0)</f>
        <v/>
      </c>
      <c r="E26" s="6" t="inlineStr">
        <is>
          <t>Endre levetiden i C9 og se hvordan planen forskyver seg.</t>
        </is>
      </c>
    </row>
    <row r="27">
      <c r="A27" s="6" t="inlineStr">
        <is>
          <t>År 3</t>
        </is>
      </c>
      <c r="B27" s="14">
        <f>IF(3&lt;=$C$9,$E$9,0)</f>
        <v/>
      </c>
      <c r="C27" s="14">
        <f>MAX($B$9-$E$9*MIN(3,$C$9),0)</f>
        <v/>
      </c>
    </row>
    <row r="28">
      <c r="A28" s="6" t="inlineStr">
        <is>
          <t>År 4</t>
        </is>
      </c>
      <c r="B28" s="14">
        <f>IF(4&lt;=$C$9,$E$9,0)</f>
        <v/>
      </c>
      <c r="C28" s="14">
        <f>MAX($B$9-$E$9*MIN(4,$C$9),0)</f>
        <v/>
      </c>
    </row>
    <row r="29">
      <c r="A29" s="6" t="inlineStr">
        <is>
          <t>År 5</t>
        </is>
      </c>
      <c r="B29" s="14">
        <f>IF(5&lt;=$C$9,$E$9,0)</f>
        <v/>
      </c>
      <c r="C29" s="14">
        <f>MAX($B$9-$E$9*MIN(5,$C$9),0)</f>
        <v/>
      </c>
    </row>
    <row r="30">
      <c r="A30" s="6" t="inlineStr">
        <is>
          <t>År 6</t>
        </is>
      </c>
      <c r="B30" s="14">
        <f>IF(6&lt;=$C$9,$E$9,0)</f>
        <v/>
      </c>
      <c r="C30" s="14">
        <f>MAX($B$9-$E$9*MIN(6,$C$9),0)</f>
        <v/>
      </c>
    </row>
    <row r="31">
      <c r="A31" s="6" t="inlineStr">
        <is>
          <t>År 7</t>
        </is>
      </c>
      <c r="B31" s="14">
        <f>IF(7&lt;=$C$9,$E$9,0)</f>
        <v/>
      </c>
      <c r="C31" s="14">
        <f>MAX($B$9-$E$9*MIN(7,$C$9),0)</f>
        <v/>
      </c>
    </row>
    <row r="32"/>
    <row r="33">
      <c r="A33" s="8" t="inlineStr">
        <is>
          <t>Merk: avskrivning er ikke en utbetaling. Pengene forsvant da bilen ble kjøpt — kolonne B fordeler bare kostnaden over årene bilen brukes.</t>
        </is>
      </c>
    </row>
    <row r="34">
      <c r="A34" s="3" t="inlineStr">
        <is>
          <t>Kilde: Økonomistyring for LØM-emnet, kap. 3.2. Aktiveringsgrensene følger skatteloven § 14-40 (Lovdata): kostpris minst 30 000 kroner OG økonomisk levetid minst 3 år. Oppstillingsplanene følger regnskapsloven kapittel 6 (Lovdata).</t>
        </is>
      </c>
    </row>
  </sheetData>
  <conditionalFormatting sqref="B20">
    <cfRule type="expression" priority="1" dxfId="0" stopIfTrue="0">
      <formula>LEFT(B20,5)="AVVIK"</formula>
    </cfRule>
  </conditionalFormatting>
  <conditionalFormatting sqref="B21">
    <cfRule type="expression" priority="2" dxfId="0" stopIfTrue="0">
      <formula>LEFT(B21,5)="AVVIK"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44" customWidth="1" min="3" max="3"/>
    <col width="18" customWidth="1" min="4" max="4"/>
    <col width="44" customWidth="1" min="5" max="5"/>
  </cols>
  <sheetData>
    <row r="1">
      <c r="A1" s="1" t="inlineStr">
        <is>
          <t>Fra balansen til nøkkeltallene</t>
        </is>
      </c>
    </row>
    <row r="2">
      <c r="A2" s="2" t="inlineStr">
        <is>
          <t>Nøkkeltallene i kapittel 4 er ikke nye tall. De er denne balansen, delt på hverandre.</t>
        </is>
      </c>
    </row>
    <row r="3"/>
    <row r="4">
      <c r="A4" s="4" t="inlineStr">
        <is>
          <t>1 · De fem tallene som går videre</t>
        </is>
      </c>
    </row>
    <row r="5" ht="28" customHeight="1">
      <c r="A5" s="9" t="inlineStr">
        <is>
          <t>Post</t>
        </is>
      </c>
      <c r="B5" s="9" t="inlineStr">
        <is>
          <t>Kroner</t>
        </is>
      </c>
      <c r="C5" s="9" t="inlineStr">
        <is>
          <t>Hva den brukes til i kapittel 4</t>
        </is>
      </c>
    </row>
    <row r="6">
      <c r="A6" s="6" t="inlineStr">
        <is>
          <t>Sum eiendeler (totalkapital)</t>
        </is>
      </c>
      <c r="B6" s="12">
        <f>Balanse!B20</f>
        <v/>
      </c>
      <c r="C6" s="6" t="inlineStr">
        <is>
          <t>Nevneren i totalkapitalrentabiliteten og i egenkapitalandelen.</t>
        </is>
      </c>
    </row>
    <row r="7">
      <c r="A7" s="6" t="inlineStr">
        <is>
          <t>Sum egenkapital</t>
        </is>
      </c>
      <c r="B7" s="12">
        <f>Balanse!E8</f>
        <v/>
      </c>
      <c r="C7" s="6" t="inlineStr">
        <is>
          <t>Nevneren i egenkapitalrentabiliteten, telleren i egenkapitalandelen.</t>
        </is>
      </c>
    </row>
    <row r="8">
      <c r="A8" s="6" t="inlineStr">
        <is>
          <t>Sum kortsiktig gjeld</t>
        </is>
      </c>
      <c r="B8" s="12">
        <f>Balanse!E18</f>
        <v/>
      </c>
      <c r="C8" s="6" t="inlineStr">
        <is>
          <t>Nevneren i begge likviditetsgradene.</t>
        </is>
      </c>
    </row>
    <row r="9">
      <c r="A9" s="6" t="inlineStr">
        <is>
          <t>Sum omløpsmidler</t>
        </is>
      </c>
      <c r="B9" s="12">
        <f>Balanse!B14</f>
        <v/>
      </c>
      <c r="C9" s="6" t="inlineStr">
        <is>
          <t>Telleren i likviditetsgrad 1.</t>
        </is>
      </c>
    </row>
    <row r="10">
      <c r="A10" s="6" t="inlineStr">
        <is>
          <t>Varelager</t>
        </is>
      </c>
      <c r="B10" s="12">
        <f>Balanse!B11</f>
        <v/>
      </c>
      <c r="C10" s="6" t="inlineStr">
        <is>
          <t>Trekkes ut av telleren i likviditetsgrad 2 — det er det minst likvide.</t>
        </is>
      </c>
    </row>
    <row r="11"/>
    <row r="12">
      <c r="A12" s="4" t="inlineStr">
        <is>
          <t>2 · De fire nøkkeltallene som regnes av balansen alene</t>
        </is>
      </c>
    </row>
    <row r="13" ht="28" customHeight="1">
      <c r="A13" s="9" t="inlineStr">
        <is>
          <t>Nøkkeltall</t>
        </is>
      </c>
      <c r="B13" s="9" t="inlineStr">
        <is>
          <t>Slik regnes det</t>
        </is>
      </c>
      <c r="C13" s="9" t="inlineStr">
        <is>
          <t>Verdi</t>
        </is>
      </c>
      <c r="D13" s="9" t="inlineStr">
        <is>
          <t>Normtall eller bransje</t>
        </is>
      </c>
      <c r="E13" s="9" t="inlineStr">
        <is>
          <t>Vurdering</t>
        </is>
      </c>
    </row>
    <row r="14">
      <c r="A14" s="6" t="inlineStr">
        <is>
          <t>Egenkapitalandel</t>
        </is>
      </c>
      <c r="B14" s="6" t="inlineStr">
        <is>
          <t>Egenkapital / totalkapital</t>
        </is>
      </c>
      <c r="C14" s="13">
        <f>B7/B6</f>
        <v/>
      </c>
      <c r="D14" s="16" t="n">
        <v>0.362</v>
      </c>
      <c r="E14" s="7">
        <f>IF(C14&gt;=D14,"På eller over bransjen","Under bransjen")</f>
        <v/>
      </c>
    </row>
    <row r="15">
      <c r="A15" s="6" t="inlineStr">
        <is>
          <t>Gjeldsgrad</t>
        </is>
      </c>
      <c r="B15" s="6" t="inlineStr">
        <is>
          <t>Sum gjeld / egenkapital</t>
        </is>
      </c>
      <c r="C15" s="21">
        <f>(B6-B7)/B7</f>
        <v/>
      </c>
      <c r="D15" s="22" t="n">
        <v>5</v>
      </c>
      <c r="E15" s="7">
        <f>IF(C15&lt;=D15,"Innenfor grensen","Over grensen")</f>
        <v/>
      </c>
    </row>
    <row r="16">
      <c r="A16" s="6" t="inlineStr">
        <is>
          <t>Likviditetsgrad 1</t>
        </is>
      </c>
      <c r="B16" s="6" t="inlineStr">
        <is>
          <t>Omløpsmidler / kortsiktig gjeld</t>
        </is>
      </c>
      <c r="C16" s="13">
        <f>B9/B8</f>
        <v/>
      </c>
      <c r="D16" s="16" t="n">
        <v>2</v>
      </c>
      <c r="E16" s="7">
        <f>IF(C16&gt;=D16,"Over normtallet","Under normtallet")</f>
        <v/>
      </c>
    </row>
    <row r="17">
      <c r="A17" s="6" t="inlineStr">
        <is>
          <t>Likviditetsgrad 2</t>
        </is>
      </c>
      <c r="B17" s="6" t="inlineStr">
        <is>
          <t>(Omløpsmidler − varelager) / kortsiktig gjeld</t>
        </is>
      </c>
      <c r="C17" s="13">
        <f>(B9-B10)/B8</f>
        <v/>
      </c>
      <c r="D17" s="16" t="n">
        <v>1</v>
      </c>
      <c r="E17" s="7">
        <f>IF(C17&gt;=D17,"Over normtallet","Under normtallet")</f>
        <v/>
      </c>
    </row>
    <row r="18"/>
    <row r="19">
      <c r="A19" s="4" t="inlineStr">
        <is>
          <t>3 · Gjennomsnittstallene rentabiliteten regnes av</t>
        </is>
      </c>
    </row>
    <row r="20">
      <c r="A20" s="6" t="inlineStr">
        <is>
          <t>Totalkapital 01.01.2026 (fra fjorårets balanse)</t>
        </is>
      </c>
      <c r="B20" s="10" t="n">
        <v>9400000</v>
      </c>
    </row>
    <row r="21">
      <c r="A21" s="6" t="inlineStr">
        <is>
          <t>Totalkapital 31.12.2026</t>
        </is>
      </c>
      <c r="B21" s="14">
        <f>B6</f>
        <v/>
      </c>
    </row>
    <row r="22">
      <c r="A22" s="8" t="inlineStr">
        <is>
          <t>= Gjennomsnittlig totalkapital</t>
        </is>
      </c>
      <c r="B22" s="12">
        <f>(B20+B21)/2</f>
        <v/>
      </c>
      <c r="C22" s="6" t="inlineStr">
        <is>
          <t>Nevneren i totalkapitalrentabiliteten.</t>
        </is>
      </c>
    </row>
    <row r="23">
      <c r="A23" s="6" t="inlineStr">
        <is>
          <t>Egenkapital 01.01.2026</t>
        </is>
      </c>
      <c r="B23" s="14">
        <f>B7-Resultat!B18</f>
        <v/>
      </c>
      <c r="C23" s="6" t="inlineStr">
        <is>
          <t>Årets overskudd er lagt til egenkapitalen, så vi trekker det fra igjen.</t>
        </is>
      </c>
    </row>
    <row r="24">
      <c r="A24" s="6" t="inlineStr">
        <is>
          <t>Egenkapital 31.12.2026</t>
        </is>
      </c>
      <c r="B24" s="14">
        <f>B7</f>
        <v/>
      </c>
    </row>
    <row r="25">
      <c r="A25" s="8" t="inlineStr">
        <is>
          <t>= Gjennomsnittlig egenkapital</t>
        </is>
      </c>
      <c r="B25" s="12">
        <f>(B23+B24)/2</f>
        <v/>
      </c>
      <c r="C25" s="6" t="inlineStr">
        <is>
          <t>Nevneren i egenkapitalrentabiliteten.</t>
        </is>
      </c>
    </row>
    <row r="26"/>
    <row r="27">
      <c r="A27" s="4" t="inlineStr">
        <is>
          <t>Kontroll</t>
        </is>
      </c>
    </row>
    <row r="28">
      <c r="A28" s="6" t="inlineStr">
        <is>
          <t>Er de fem tallene hentet fra balansen i dette regnearket?</t>
        </is>
      </c>
      <c r="B28" s="18">
        <f>IF(AND(B6=Balanse!B20,B7=Balanse!E8,B8=Balanse!E18,B9=Balanse!B14,B10=Balanse!B11),"OK — alle fem er formler mot arket Balanse. Endrer du en post der, endrer nøkkeltallet seg her","AVVIK: en av koblingene er brutt")</f>
        <v/>
      </c>
    </row>
    <row r="29">
      <c r="A29" s="6" t="inlineStr">
        <is>
          <t>Er egenkapitalandelen mellom null og hundre prosent?</t>
        </is>
      </c>
      <c r="B29" s="18">
        <f>IF(AND(C14&gt;0,C14&lt;1),"OK — egenkapitalandelen er en andel av totalkapitalen","AVVIK: egenkapitalen kan ikke være større enn totalkapitalen eller negativ")</f>
        <v/>
      </c>
    </row>
    <row r="30">
      <c r="A30" s="6" t="inlineStr">
        <is>
          <t>Er likviditetsgrad 2 lavere enn likviditetsgrad 1?</t>
        </is>
      </c>
      <c r="B30" s="18">
        <f>IF(C17&lt;=C16,"OK — grad 2 er alltid lavest, fordi varelageret er trukket ut","AVVIK: varelageret kan ikke være negativt")</f>
        <v/>
      </c>
    </row>
    <row r="31"/>
    <row r="32">
      <c r="A32" s="8" t="inlineStr">
        <is>
          <t>Dette er hele koblingen mellom kapittel 3 og kapittel 4: nøkkeltallene er ikke nye opplysninger. De er de samme tallene, satt opp mot hverandre, slik at de kan sammenliknes med i fjor og med bransjen.</t>
        </is>
      </c>
    </row>
    <row r="33">
      <c r="A33" s="6" t="inlineStr">
        <is>
          <t>De tre siste nøkkeltallene — driftsmargin, totalkapitalrentabilitet og egenkapitalrentabilitet — trenger også tall fra resultatregnskapet. De regnes i regnearket til kapittel 4, LOM_Ovingsark_Okonomistyring_kap04_Nokkeltall_NY.xlsx, av nøyaktig den samme balansen og det samme resultatet.</t>
        </is>
      </c>
    </row>
    <row r="34">
      <c r="A34" s="3" t="inlineStr">
        <is>
          <t>Kilde: Økonomistyring for LØM-emnet, kap. 3.2 og kap. 4.2. Bransjetall: NHO Elektro, Lønnsomhetsrapport 2025, gjengitt i Elektro 24-7 19.08.2026 (hentet 10.09.2026). De 809 er bedriftene i datagrunnlaget, ikke bransjen. NHO Elektro oppgir ikke svarprosent.</t>
        </is>
      </c>
    </row>
  </sheetData>
  <conditionalFormatting sqref="B28">
    <cfRule type="expression" priority="1" dxfId="0" stopIfTrue="0">
      <formula>LEFT(B28,5)="AVVIK"</formula>
    </cfRule>
  </conditionalFormatting>
  <conditionalFormatting sqref="B29">
    <cfRule type="expression" priority="2" dxfId="0" stopIfTrue="0">
      <formula>LEFT(B29,5)="AVVIK"</formula>
    </cfRule>
  </conditionalFormatting>
  <conditionalFormatting sqref="B30">
    <cfRule type="expression" priority="3" dxfId="0" stopIfTrue="0">
      <formula>LEFT(B30,5)="AVVIK"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3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12" customWidth="1" min="3" max="3"/>
    <col width="36" customWidth="1" min="4" max="4"/>
    <col width="17" customWidth="1" min="5" max="5"/>
    <col width="40" customWidth="1" min="6" max="6"/>
  </cols>
  <sheetData>
    <row r="1">
      <c r="A1" s="1" t="inlineStr">
        <is>
          <t>Din egen bedrift</t>
        </is>
      </c>
    </row>
    <row r="2">
      <c r="A2" s="2" t="inlineStr">
        <is>
          <t>Hent tallene fra proff.no eller Brønnøysundregistrenes regnskapsregister og fyll inn de gule cellene.</t>
        </is>
      </c>
    </row>
    <row r="3"/>
    <row r="4">
      <c r="A4" s="6" t="inlineStr">
        <is>
          <t>Bedrift</t>
        </is>
      </c>
      <c r="B4" s="5" t="inlineStr">
        <is>
          <t>Skriv inn navnet her</t>
        </is>
      </c>
      <c r="D4" s="6" t="inlineStr">
        <is>
          <t>Regnskapsår</t>
        </is>
      </c>
      <c r="E4" s="20" t="n">
        <v>2026</v>
      </c>
    </row>
    <row r="5"/>
    <row r="6" ht="28" customHeight="1">
      <c r="A6" s="9" t="inlineStr">
        <is>
          <t>Resultatregnskap</t>
        </is>
      </c>
      <c r="B6" s="9" t="inlineStr">
        <is>
          <t>Kroner</t>
        </is>
      </c>
      <c r="C6" s="9" t="inlineStr">
        <is>
          <t>Av salget</t>
        </is>
      </c>
      <c r="D6" s="9" t="inlineStr">
        <is>
          <t>Balanse</t>
        </is>
      </c>
      <c r="E6" s="9" t="inlineStr">
        <is>
          <t>Kroner</t>
        </is>
      </c>
    </row>
    <row r="7">
      <c r="A7" s="6" t="inlineStr">
        <is>
          <t>Driftsinntekter</t>
        </is>
      </c>
      <c r="B7" s="10" t="n">
        <v>0</v>
      </c>
      <c r="C7" s="11">
        <f>IF($B$7=0,"",B7/$B$7)</f>
        <v/>
      </c>
      <c r="D7" s="6" t="inlineStr">
        <is>
          <t>Sum anleggsmidler</t>
        </is>
      </c>
      <c r="E7" s="10" t="n">
        <v>0</v>
      </c>
    </row>
    <row r="8">
      <c r="A8" s="6" t="inlineStr">
        <is>
          <t>Varekostnad</t>
        </is>
      </c>
      <c r="B8" s="10" t="n">
        <v>0</v>
      </c>
      <c r="C8" s="11">
        <f>IF($B$7=0,"",B8/$B$7)</f>
        <v/>
      </c>
      <c r="D8" s="6" t="inlineStr">
        <is>
          <t>Varelager</t>
        </is>
      </c>
      <c r="E8" s="10" t="n">
        <v>0</v>
      </c>
    </row>
    <row r="9">
      <c r="A9" s="8" t="inlineStr">
        <is>
          <t>= Bruttofortjeneste</t>
        </is>
      </c>
      <c r="B9" s="12">
        <f>B7-B8</f>
        <v/>
      </c>
      <c r="C9" s="13">
        <f>IF($B$7=0,"",B9/$B$7)</f>
        <v/>
      </c>
      <c r="D9" s="6" t="inlineStr">
        <is>
          <t>Kundefordringer</t>
        </is>
      </c>
      <c r="E9" s="10" t="n">
        <v>0</v>
      </c>
    </row>
    <row r="10">
      <c r="A10" s="6" t="inlineStr">
        <is>
          <t>Lønnskostnad</t>
        </is>
      </c>
      <c r="B10" s="10" t="n">
        <v>0</v>
      </c>
      <c r="C10" s="11">
        <f>IF($B$7=0,"",B10/$B$7)</f>
        <v/>
      </c>
      <c r="D10" s="6" t="inlineStr">
        <is>
          <t>Bankinnskudd og kontanter</t>
        </is>
      </c>
      <c r="E10" s="10" t="n">
        <v>0</v>
      </c>
    </row>
    <row r="11">
      <c r="A11" s="6" t="inlineStr">
        <is>
          <t>Avskrivninger</t>
        </is>
      </c>
      <c r="B11" s="10" t="n">
        <v>0</v>
      </c>
      <c r="C11" s="11">
        <f>IF($B$7=0,"",B11/$B$7)</f>
        <v/>
      </c>
      <c r="D11" s="8" t="inlineStr">
        <is>
          <t>= Sum omløpsmidler</t>
        </is>
      </c>
      <c r="E11" s="12">
        <f>SUM(E8:E10)</f>
        <v/>
      </c>
    </row>
    <row r="12">
      <c r="A12" s="6" t="inlineStr">
        <is>
          <t>Andre driftskostnader</t>
        </is>
      </c>
      <c r="B12" s="10" t="n">
        <v>0</v>
      </c>
      <c r="C12" s="11">
        <f>IF($B$7=0,"",B12/$B$7)</f>
        <v/>
      </c>
      <c r="D12" s="8" t="inlineStr">
        <is>
          <t>= SUM EIENDELER</t>
        </is>
      </c>
      <c r="E12" s="12">
        <f>E7+E11</f>
        <v/>
      </c>
    </row>
    <row r="13">
      <c r="A13" s="8" t="inlineStr">
        <is>
          <t>= Driftsresultat</t>
        </is>
      </c>
      <c r="B13" s="12">
        <f>B9-B10-B11-B12</f>
        <v/>
      </c>
      <c r="C13" s="13">
        <f>IF($B$7=0,"",B13/$B$7)</f>
        <v/>
      </c>
      <c r="D13" s="6" t="inlineStr">
        <is>
          <t>Sum egenkapital</t>
        </is>
      </c>
      <c r="E13" s="10" t="n">
        <v>0</v>
      </c>
    </row>
    <row r="14">
      <c r="A14" s="6" t="inlineStr">
        <is>
          <t>Netto finansposter (renteinntekter minus rentekostnader)</t>
        </is>
      </c>
      <c r="B14" s="10" t="n">
        <v>0</v>
      </c>
      <c r="D14" s="6" t="inlineStr">
        <is>
          <t>Langsiktig gjeld</t>
        </is>
      </c>
      <c r="E14" s="10" t="n">
        <v>0</v>
      </c>
    </row>
    <row r="15">
      <c r="A15" s="8" t="inlineStr">
        <is>
          <t>= Resultat før skattekostnad</t>
        </is>
      </c>
      <c r="B15" s="12">
        <f>B13+B14</f>
        <v/>
      </c>
      <c r="D15" s="6" t="inlineStr">
        <is>
          <t>Kortsiktig gjeld</t>
        </is>
      </c>
      <c r="E15" s="10" t="n">
        <v>0</v>
      </c>
    </row>
    <row r="16">
      <c r="A16" s="6" t="inlineStr">
        <is>
          <t>Skattekostnad</t>
        </is>
      </c>
      <c r="B16" s="10" t="n">
        <v>0</v>
      </c>
      <c r="D16" s="8" t="inlineStr">
        <is>
          <t>= SUM EGENKAPITAL OG GJELD</t>
        </is>
      </c>
      <c r="E16" s="12">
        <f>E13+E14+E15</f>
        <v/>
      </c>
    </row>
    <row r="17">
      <c r="A17" s="8" t="inlineStr">
        <is>
          <t>= Årsresultat</t>
        </is>
      </c>
      <c r="B17" s="12">
        <f>B15-B16</f>
        <v/>
      </c>
      <c r="C17" s="13">
        <f>IF($B$7=0,"",B17/$B$7)</f>
        <v/>
      </c>
      <c r="D17" s="6" t="inlineStr">
        <is>
          <t>Differanse</t>
        </is>
      </c>
      <c r="E17" s="12">
        <f>E12-E16</f>
        <v/>
      </c>
      <c r="F17" s="6" t="inlineStr">
        <is>
          <t>Skal være 0. Er den ikke det, har du glemt en post.</t>
        </is>
      </c>
    </row>
    <row r="18"/>
    <row r="19">
      <c r="A19" s="4" t="inlineStr">
        <is>
          <t>Det du skal se etter</t>
        </is>
      </c>
    </row>
    <row r="20">
      <c r="A20" s="6" t="inlineStr">
        <is>
          <t>Driftsmargin</t>
        </is>
      </c>
      <c r="B20" s="15">
        <f>IF($B$7=0,"",B13/$B$7)</f>
        <v/>
      </c>
      <c r="D20" s="6" t="inlineStr">
        <is>
          <t>Bransjen ligger på</t>
        </is>
      </c>
      <c r="E20" s="16" t="n">
        <v>0.075</v>
      </c>
    </row>
    <row r="21">
      <c r="A21" s="6" t="inlineStr">
        <is>
          <t>Lønnsandel av omsetningen</t>
        </is>
      </c>
      <c r="B21" s="15">
        <f>IF($B$7=0,"",B10/$B$7)</f>
        <v/>
      </c>
      <c r="F21" s="6" t="inlineStr">
        <is>
          <t>Den største enkeltposten i de fleste installasjonsbedrifter.</t>
        </is>
      </c>
    </row>
    <row r="22">
      <c r="A22" s="6" t="inlineStr">
        <is>
          <t>Egenkapitalandel</t>
        </is>
      </c>
      <c r="B22" s="15">
        <f>IF(E12=0,"",E13/E12)</f>
        <v/>
      </c>
      <c r="D22" s="6" t="inlineStr">
        <is>
          <t>Bransjen ligger på</t>
        </is>
      </c>
      <c r="E22" s="16" t="n">
        <v>0.362</v>
      </c>
    </row>
    <row r="23">
      <c r="A23" s="6" t="inlineStr">
        <is>
          <t>Arbeidskapital</t>
        </is>
      </c>
      <c r="B23" s="19">
        <f>IF(E12=0,"",E11-E15)</f>
        <v/>
      </c>
      <c r="F23" s="6" t="inlineStr">
        <is>
          <t>Omløpsmidler minus kortsiktig gjeld. Må være positiv.</t>
        </is>
      </c>
    </row>
    <row r="24"/>
    <row r="25">
      <c r="A25" s="4" t="inlineStr">
        <is>
          <t>Kontroll</t>
        </is>
      </c>
    </row>
    <row r="26">
      <c r="A26" s="6" t="inlineStr">
        <is>
          <t>Balanserer din balanse?</t>
        </is>
      </c>
      <c r="B26" s="18">
        <f>IF(E12=0,"Ikke fylt ut ennå",IF(E17=0,"OK — de to sidene er like store","AVVIK: differansen står i E17 — du har glemt en post"))</f>
        <v/>
      </c>
    </row>
    <row r="27">
      <c r="A27" s="6" t="inlineStr">
        <is>
          <t>Er anleggsmidlene langsiktig finansiert?</t>
        </is>
      </c>
      <c r="B27" s="18">
        <f>IF(E12=0,"Ikke fylt ut ennå",IF(E13+E14&gt;E7,"OK — egenkapital og langsiktig gjeld dekker anleggsmidlene","AVVIK: anleggsmidlene er kortsiktig finansiert"))</f>
        <v/>
      </c>
    </row>
    <row r="28">
      <c r="A28" s="6" t="inlineStr">
        <is>
          <t>Dekker omløpsmidlene den kortsiktige gjelden?</t>
        </is>
      </c>
      <c r="B28" s="18">
        <f>IF(E12=0,"Ikke fylt ut ennå",IF(E11&gt;E15,"OK — arbeidskapitalen er positiv","AVVIK: den kortsiktige gjelden er større enn omløpsmidlene"))</f>
        <v/>
      </c>
    </row>
    <row r="29"/>
    <row r="30">
      <c r="A30" s="8" t="inlineStr">
        <is>
          <t>Får du ikke tak i alle postene, spør regnskapsføreren om «resultat og balanse for i fjor og året før». Det er alt du trenger — og to år er bedre enn ett, fordi retningen sier mer enn nivået.</t>
        </is>
      </c>
    </row>
  </sheetData>
  <conditionalFormatting sqref="B26">
    <cfRule type="expression" priority="1" dxfId="0" stopIfTrue="0">
      <formula>LEFT(B26,5)="AVVIK"</formula>
    </cfRule>
  </conditionalFormatting>
  <conditionalFormatting sqref="B27">
    <cfRule type="expression" priority="2" dxfId="0" stopIfTrue="0">
      <formula>LEFT(B27,5)="AVVIK"</formula>
    </cfRule>
  </conditionalFormatting>
  <conditionalFormatting sqref="B28">
    <cfRule type="expression" priority="3" dxfId="0" stopIfTrue="0">
      <formula>LEFT(B28,5)="AVVIK"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72"/>
  <sheetViews>
    <sheetView showGridLines="0"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18" customWidth="1" min="3" max="3"/>
    <col width="18" customWidth="1" min="4" max="4"/>
    <col width="54" customWidth="1" min="5" max="5"/>
  </cols>
  <sheetData>
    <row r="1">
      <c r="A1" s="1" t="inlineStr">
        <is>
          <t>To scenarioer</t>
        </is>
      </c>
    </row>
    <row r="2">
      <c r="A2" s="2" t="inlineStr">
        <is>
          <t>Endre de gule cellene og se hva som skjer. Alle tall hentes fra arkene Resultat og Balanse.</t>
        </is>
      </c>
    </row>
    <row r="3"/>
    <row r="4">
      <c r="A4" s="4" t="inlineStr">
        <is>
          <t>Scenario A · hvor mye kan du frigjøre uten å selge én time mer?</t>
        </is>
      </c>
    </row>
    <row r="5">
      <c r="A5" s="3" t="inlineStr">
        <is>
          <t>Oppgave 4 i øvingsheftet. Kapitalen ligger i kundefordringer og på lager — her ser du hva den er verdt i kroner.</t>
        </is>
      </c>
    </row>
    <row r="6"/>
    <row r="7">
      <c r="A7" s="6" t="inlineStr">
        <is>
          <t>Salgsinntekt</t>
        </is>
      </c>
      <c r="B7" s="14">
        <f>Resultat!B5</f>
        <v/>
      </c>
    </row>
    <row r="8">
      <c r="A8" s="6" t="inlineStr">
        <is>
          <t>Kundefordringer i dag</t>
        </is>
      </c>
      <c r="B8" s="14">
        <f>Balanse!B12</f>
        <v/>
      </c>
    </row>
    <row r="9">
      <c r="A9" s="6" t="inlineStr">
        <is>
          <t>Faktisk kredittid til kundene, dager</t>
        </is>
      </c>
      <c r="B9" s="21">
        <f>B8/B7*365</f>
        <v/>
      </c>
      <c r="E9" s="6" t="inlineStr">
        <is>
          <t>Kundefordringene omregnet til dager med omsetning.</t>
        </is>
      </c>
    </row>
    <row r="10">
      <c r="A10" s="6" t="inlineStr">
        <is>
          <t>Kredittid du sikter mot, dager</t>
        </is>
      </c>
      <c r="B10" s="20" t="n">
        <v>20</v>
      </c>
      <c r="E10" s="6" t="inlineStr">
        <is>
          <t>Endre denne og se hva som frigjøres.</t>
        </is>
      </c>
    </row>
    <row r="11">
      <c r="A11" s="6" t="inlineStr">
        <is>
          <t>= Kundefordringer ved den kredittiden</t>
        </is>
      </c>
      <c r="B11" s="14">
        <f>B7*B10/365</f>
        <v/>
      </c>
    </row>
    <row r="12">
      <c r="A12" s="8" t="inlineStr">
        <is>
          <t>= Frigjort kapital</t>
        </is>
      </c>
      <c r="B12" s="12">
        <f>B8-B11</f>
        <v/>
      </c>
      <c r="E12" s="6" t="inlineStr">
        <is>
          <t>Penger som kommer inn på konto, uten at én time til er solgt.</t>
        </is>
      </c>
    </row>
    <row r="13"/>
    <row r="14">
      <c r="A14" s="6" t="inlineStr">
        <is>
          <t>Varelager i dag</t>
        </is>
      </c>
      <c r="B14" s="14">
        <f>Balanse!B11</f>
        <v/>
      </c>
    </row>
    <row r="15">
      <c r="A15" s="6" t="inlineStr">
        <is>
          <t>Reduksjon i varelager du sikter mot</t>
        </is>
      </c>
      <c r="B15" s="16" t="n">
        <v>0.2</v>
      </c>
    </row>
    <row r="16">
      <c r="A16" s="8" t="inlineStr">
        <is>
          <t>= Frigjort kapital fra lageret</t>
        </is>
      </c>
      <c r="B16" s="12">
        <f>B14*B15</f>
        <v/>
      </c>
    </row>
    <row r="17">
      <c r="A17" s="8" t="inlineStr">
        <is>
          <t>= Sum frigjort</t>
        </is>
      </c>
      <c r="B17" s="12">
        <f>B12+B16</f>
        <v/>
      </c>
    </row>
    <row r="18">
      <c r="A18" s="6" t="inlineStr">
        <is>
          <t>Bankinnskudd i dag</t>
        </is>
      </c>
      <c r="B18" s="14">
        <f>Balanse!B13</f>
        <v/>
      </c>
    </row>
    <row r="19">
      <c r="A19" s="6" t="inlineStr">
        <is>
          <t>Bankinnskudd etterpå</t>
        </is>
      </c>
      <c r="B19" s="12">
        <f>B18+B17</f>
        <v/>
      </c>
    </row>
    <row r="20"/>
    <row r="21">
      <c r="A21" s="4" t="inlineStr">
        <is>
          <t>Grovt anslag på penger fra driften i året</t>
        </is>
      </c>
    </row>
    <row r="22">
      <c r="A22" s="6" t="inlineStr">
        <is>
          <t>Årsresultat</t>
        </is>
      </c>
      <c r="B22" s="14">
        <f>Resultat!B18</f>
        <v/>
      </c>
    </row>
    <row r="23">
      <c r="A23" s="6" t="inlineStr">
        <is>
          <t>+ Avskrivninger</t>
        </is>
      </c>
      <c r="B23" s="14">
        <f>Resultat!B10</f>
        <v/>
      </c>
    </row>
    <row r="24">
      <c r="A24" s="8" t="inlineStr">
        <is>
          <t>= Penger fra drift, grovt anslag</t>
        </is>
      </c>
      <c r="B24" s="12">
        <f>B22+B23</f>
        <v/>
      </c>
      <c r="E24" s="6" t="inlineStr">
        <is>
          <t>Avskrivninger er en kostnad uten utbetaling, og legges derfor tilbake.</t>
        </is>
      </c>
    </row>
    <row r="25"/>
    <row r="26">
      <c r="A26" s="4" t="inlineStr">
        <is>
          <t>Kontroll</t>
        </is>
      </c>
    </row>
    <row r="27">
      <c r="A27" s="6" t="inlineStr">
        <is>
          <t>Er faktisk kredittid lengre enn den du sikter mot?</t>
        </is>
      </c>
      <c r="B27" s="18">
        <f>IF(B9&gt;B10,"AVVIK: kundene bruker lengre tid enn avtalt. Differansen er penger Nordlys låner ut gratis","OK — kundene betaler innenfor den kredittiden du sikter mot")</f>
        <v/>
      </c>
    </row>
    <row r="28">
      <c r="A28" s="3" t="inlineStr">
        <is>
          <t>Her SKAL det stå AVVIK med tallene som ligger inne. Det er hele poenget i oppgave 4 og i oppgave 5.</t>
        </is>
      </c>
    </row>
    <row r="29">
      <c r="A29" s="6" t="inlineStr">
        <is>
          <t>Er det frigjorte beløpet større enn bankinnskuddet?</t>
        </is>
      </c>
      <c r="B29" s="18">
        <f>IF(B17&gt;B18,"OK — det ligger mer penger i kundefordringer og lager enn på konto. Det er der du henter likviditet først","OK — bankinnskuddet er større enn det du kan frigjøre")</f>
        <v/>
      </c>
    </row>
    <row r="30"/>
    <row r="31"/>
    <row r="32">
      <c r="A32" s="4" t="inlineStr">
        <is>
          <t>Scenario B · banken leser regnskapet</t>
        </is>
      </c>
    </row>
    <row r="33">
      <c r="A33" s="3" t="inlineStr">
        <is>
          <t>Oppgave 5 i øvingsheftet. Alle nøkkeltallene regnes av balansen i dette regnearket — de samme kapittel 4 bruker.</t>
        </is>
      </c>
    </row>
    <row r="34"/>
    <row r="35">
      <c r="A35" s="6" t="inlineStr">
        <is>
          <t>Kassekredittramme i dag</t>
        </is>
      </c>
      <c r="B35" s="10" t="n">
        <v>1000000</v>
      </c>
    </row>
    <row r="36">
      <c r="A36" s="6" t="inlineStr">
        <is>
          <t>Ny ramme det søkes om</t>
        </is>
      </c>
      <c r="B36" s="10" t="n">
        <v>2000000</v>
      </c>
    </row>
    <row r="37">
      <c r="A37" s="6" t="inlineStr">
        <is>
          <t>Avtalt kredittid til kundene, dager</t>
        </is>
      </c>
      <c r="B37" s="20" t="n">
        <v>20</v>
      </c>
    </row>
    <row r="38">
      <c r="A38" s="6" t="inlineStr">
        <is>
          <t>Trukket på kassekreditten ved årsskiftet</t>
        </is>
      </c>
      <c r="B38" s="14">
        <f>Balanse!E17</f>
        <v/>
      </c>
    </row>
    <row r="39">
      <c r="A39" s="6" t="inlineStr">
        <is>
          <t>Utnyttelse av rammen</t>
        </is>
      </c>
      <c r="B39" s="15">
        <f>B38/B35</f>
        <v/>
      </c>
    </row>
    <row r="40">
      <c r="A40" s="8" t="inlineStr">
        <is>
          <t>= Økning det søkes om</t>
        </is>
      </c>
      <c r="B40" s="12">
        <f>B36-B35</f>
        <v/>
      </c>
    </row>
    <row r="41"/>
    <row r="42">
      <c r="A42" s="4" t="inlineStr">
        <is>
          <t>Det banken ser på først</t>
        </is>
      </c>
    </row>
    <row r="43">
      <c r="A43" s="6" t="inlineStr">
        <is>
          <t>Egenkapitalandel</t>
        </is>
      </c>
      <c r="B43" s="13">
        <f>'Til kapittel 4'!C14</f>
        <v/>
      </c>
      <c r="C43" s="11">
        <f>'Til kapittel 4'!D14</f>
        <v/>
      </c>
      <c r="E43" s="6" t="inlineStr">
        <is>
          <t>Kolonne C: bransjen. Det er egenkapitalen som må tape før det blir bankens penger.</t>
        </is>
      </c>
    </row>
    <row r="44">
      <c r="A44" s="6" t="inlineStr">
        <is>
          <t>Likviditetsgrad 1</t>
        </is>
      </c>
      <c r="B44" s="13">
        <f>'Til kapittel 4'!C16</f>
        <v/>
      </c>
      <c r="C44" s="11">
        <f>'Til kapittel 4'!D16</f>
        <v/>
      </c>
    </row>
    <row r="45">
      <c r="A45" s="6" t="inlineStr">
        <is>
          <t>Likviditetsgrad 2</t>
        </is>
      </c>
      <c r="B45" s="13">
        <f>'Til kapittel 4'!C17</f>
        <v/>
      </c>
      <c r="C45" s="11">
        <f>'Til kapittel 4'!D17</f>
        <v/>
      </c>
    </row>
    <row r="46">
      <c r="A46" s="6" t="inlineStr">
        <is>
          <t>Gjeldsgrad</t>
        </is>
      </c>
      <c r="B46" s="21">
        <f>'Til kapittel 4'!C15</f>
        <v/>
      </c>
      <c r="C46" s="23">
        <f>'Til kapittel 4'!D15</f>
        <v/>
      </c>
    </row>
    <row r="47">
      <c r="A47" s="6" t="inlineStr">
        <is>
          <t>Arbeidskapital</t>
        </is>
      </c>
      <c r="B47" s="19">
        <f>Balanse!B33</f>
        <v/>
      </c>
    </row>
    <row r="48"/>
    <row r="49">
      <c r="A49" s="4" t="inlineStr">
        <is>
          <t>Spørsmålet banken kommer til å stille</t>
        </is>
      </c>
    </row>
    <row r="50">
      <c r="A50" s="6" t="inlineStr">
        <is>
          <t>Faktisk kredittid til kundene, dager</t>
        </is>
      </c>
      <c r="B50" s="17">
        <f>Balanse!B12/Resultat!B5*365</f>
        <v/>
      </c>
    </row>
    <row r="51">
      <c r="A51" s="6" t="inlineStr">
        <is>
          <t>Dager over avtalt</t>
        </is>
      </c>
      <c r="B51" s="23">
        <f>B50-B37</f>
        <v/>
      </c>
    </row>
    <row r="52">
      <c r="A52" s="8" t="inlineStr">
        <is>
          <t>= Kapital bundet ut over avtalt kredittid</t>
        </is>
      </c>
      <c r="B52" s="12">
        <f>B51/365*Resultat!B5</f>
        <v/>
      </c>
    </row>
    <row r="53">
      <c r="A53" s="6" t="inlineStr">
        <is>
          <t>Målt mot hele kassekredittrammen</t>
        </is>
      </c>
      <c r="B53" s="17">
        <f>B52/B35</f>
        <v/>
      </c>
      <c r="E53" s="6" t="inlineStr">
        <is>
          <t>Er dette tallet over 1, binder for lang kredittid mer enn hele rammen.</t>
        </is>
      </c>
    </row>
    <row r="54"/>
    <row r="55">
      <c r="A55" s="4" t="inlineStr">
        <is>
          <t>Hva veksten i 2027 vil binde</t>
        </is>
      </c>
    </row>
    <row r="56">
      <c r="A56" s="6" t="inlineStr">
        <is>
          <t>Omsetning 2026</t>
        </is>
      </c>
      <c r="B56" s="14">
        <f>Resultat!B5</f>
        <v/>
      </c>
    </row>
    <row r="57">
      <c r="A57" s="6" t="inlineStr">
        <is>
          <t>Budsjettert omsetning 2027</t>
        </is>
      </c>
      <c r="B57" s="10" t="n">
        <v>24000000</v>
      </c>
    </row>
    <row r="58">
      <c r="A58" s="6" t="inlineStr">
        <is>
          <t>= Vekst</t>
        </is>
      </c>
      <c r="B58" s="19">
        <f>B57-B56</f>
        <v/>
      </c>
    </row>
    <row r="59">
      <c r="A59" s="6" t="inlineStr">
        <is>
          <t>Netto kapitalbinding i dag (fordringer + lager − leverandørgjeld)</t>
        </is>
      </c>
      <c r="B59" s="14">
        <f>Balanse!B12+Balanse!B11-Balanse!E14</f>
        <v/>
      </c>
    </row>
    <row r="60">
      <c r="A60" s="6" t="inlineStr">
        <is>
          <t>Binding per omsetningskrone</t>
        </is>
      </c>
      <c r="B60" s="15">
        <f>B59/B56</f>
        <v/>
      </c>
    </row>
    <row r="61">
      <c r="A61" s="8" t="inlineStr">
        <is>
          <t>= Ekstra kapitalbinding av veksten</t>
        </is>
      </c>
      <c r="B61" s="12">
        <f>B58*B60</f>
        <v/>
      </c>
      <c r="E61" s="6" t="inlineStr">
        <is>
          <t>Dette er beløpet søknaden bør begrunnes med.</t>
        </is>
      </c>
    </row>
    <row r="62">
      <c r="A62" s="6" t="inlineStr">
        <is>
          <t>Målt mot økningen det søkes om</t>
        </is>
      </c>
      <c r="B62" s="15">
        <f>B61/B40</f>
        <v/>
      </c>
    </row>
    <row r="63"/>
    <row r="64">
      <c r="A64" s="4" t="inlineStr">
        <is>
          <t>Kontroll</t>
        </is>
      </c>
    </row>
    <row r="65">
      <c r="A65" s="6" t="inlineStr">
        <is>
          <t>Ligger egenkapitalandelen på bransjenivå?</t>
        </is>
      </c>
      <c r="B65" s="18">
        <f>IF(B43&gt;=C43,"OK — egenkapitalandelen er på eller over bransjens nivå","AVVIK: egenkapitalandelen ligger under bransjen. Det er det første banken ser")</f>
        <v/>
      </c>
    </row>
    <row r="66">
      <c r="A66" s="3" t="inlineStr">
        <is>
          <t>Her SKAL det stå AVVIK med tallene som ligger inne.</t>
        </is>
      </c>
    </row>
    <row r="67">
      <c r="A67" s="6" t="inlineStr">
        <is>
          <t>Er likviditetsgrad 2 over normtallet?</t>
        </is>
      </c>
      <c r="B67" s="18">
        <f>IF(B45&gt;=C45,"OK — likviditetsgrad 2 er over normtallet. Det er den strengeste av de to, og den regner ikke med varelageret","AVVIK: likviditetsgrad 2 er under normtallet — bedriften kan få problemer med regningene som forfaller i år")</f>
        <v/>
      </c>
    </row>
    <row r="68">
      <c r="A68" s="6" t="inlineStr">
        <is>
          <t>Er trukket beløp innenfor rammen?</t>
        </is>
      </c>
      <c r="B68" s="18">
        <f>IF(B38&lt;=B35,"OK — kassekreditten er trukket innenfor rammen","AVVIK: bedriften har trukket mer enn rammen tillater")</f>
        <v/>
      </c>
    </row>
    <row r="69">
      <c r="A69" s="6" t="inlineStr">
        <is>
          <t>Er den beregnede kapitalbindingen mindre enn økningen det søkes om?</t>
        </is>
      </c>
      <c r="B69" s="18">
        <f>IF(B61&lt;B40,"OK — søknaden er større enn den beregnede kapitalbindingen. En ramme skal ha luft, men differansen er det første banken spør om","AVVIK: veksten binder mer kapital enn økningen det søkes om — be om mer")</f>
        <v/>
      </c>
    </row>
    <row r="70"/>
    <row r="71">
      <c r="A71" s="3" t="inlineStr">
        <is>
          <t>Kilde: Økonomistyring for LØM-emnet, kap. 3.2 og 3.3, med støtte i kap. 4 om nøkkeltall og kap. 9 om likviditetsbudsjett. Normtallene for likviditetsgrad står i Økonomistyring for LØM-emnet, kap. 4.2.2. Rammen og søknadsbeløpet er konstruert for øvingen.</t>
        </is>
      </c>
    </row>
    <row r="72">
      <c r="A72" s="3" t="inlineStr">
        <is>
          <t>Bransjetall: NHO Elektro, Lønnsomhetsrapport 2025, gjengitt i Elektro 24-7 19.08.2026 (hentet 10.09.2026). De 809 er bedriftene i datagrunnlaget, ikke bransjen. NHO Elektro oppgir ikke svarprosent.</t>
        </is>
      </c>
    </row>
  </sheetData>
  <conditionalFormatting sqref="B27">
    <cfRule type="expression" priority="1" dxfId="0" stopIfTrue="0">
      <formula>LEFT(B27,5)="AVVIK"</formula>
    </cfRule>
  </conditionalFormatting>
  <conditionalFormatting sqref="B29">
    <cfRule type="expression" priority="2" dxfId="0" stopIfTrue="0">
      <formula>LEFT(B29,5)="AVVIK"</formula>
    </cfRule>
  </conditionalFormatting>
  <conditionalFormatting sqref="B65">
    <cfRule type="expression" priority="3" dxfId="0" stopIfTrue="0">
      <formula>LEFT(B65,5)="AVVIK"</formula>
    </cfRule>
  </conditionalFormatting>
  <conditionalFormatting sqref="B67">
    <cfRule type="expression" priority="4" dxfId="0" stopIfTrue="0">
      <formula>LEFT(B67,5)="AVVIK"</formula>
    </cfRule>
  </conditionalFormatting>
  <conditionalFormatting sqref="B68">
    <cfRule type="expression" priority="5" dxfId="0" stopIfTrue="0">
      <formula>LEFT(B68,5)="AVVIK"</formula>
    </cfRule>
  </conditionalFormatting>
  <conditionalFormatting sqref="B69">
    <cfRule type="expression" priority="6" dxfId="0" stopIfTrue="0">
      <formula>LEFT(B69,5)="AVVIK"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2026-09-11T09:29:30Z</dcterms:created>
  <dcterms:modified xmlns:dcterms="http://purl.org/dc/terms/" xmlns:xsi="http://www.w3.org/2001/XMLSchema-instance" xsi:type="dcterms:W3CDTF">2026-10-02T09:36:30Z</dcterms:modified>
</cp:coreProperties>
</file>