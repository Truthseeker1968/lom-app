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kelt" sheetId="1" state="visible" r:id="rId3"/>
    <sheet name="Veiledning" sheetId="2" state="visible" r:id="rId4"/>
    <sheet name="Resultat" sheetId="3" state="visible" r:id="rId5"/>
    <sheet name="Balanse" sheetId="4" state="visible" r:id="rId6"/>
    <sheet name="Aktivering" sheetId="5" state="visible" r:id="rId7"/>
    <sheet name="Til kapittel 4" sheetId="6" state="visible" r:id="rId8"/>
    <sheet name="Min bedrift" sheetId="7" state="visible" r:id="rId9"/>
    <sheet name="Scenario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<sst xmlns="http://schemas.openxmlformats.org/spreadsheetml/2006/main" count="418" uniqueCount="370">
  <si>
    <t xml:space="preserve">Overskudd, men lite i banken? Den enkle versjonen</t>
  </si>
  <si>
    <t xml:space="preserve">Fyll inn de fem gule cellene. Svaret står i den grønne. Alt annet regner seg selv. Vil du gå dypere, ligger hele modellen i arkene bak.</t>
  </si>
  <si>
    <t xml:space="preserve">Det du vet</t>
  </si>
  <si>
    <t xml:space="preserve">Hvor mye tjente bedriften i året (årsresultat)?</t>
  </si>
  <si>
    <t xml:space="preserve">Nederste linje i resultatregnskapet, etter renter og skatt.</t>
  </si>
  <si>
    <t xml:space="preserve">Hvor mye er trukket fra i avskrivninger?</t>
  </si>
  <si>
    <t xml:space="preserve">Verditapet på biler og verktøy. En kostnad, men ingen penger gikk ut i år.</t>
  </si>
  <si>
    <t xml:space="preserve">Hvor mye står i banken 31. desember?</t>
  </si>
  <si>
    <t xml:space="preserve">Bankinnskudd og kontanter i balansen.</t>
  </si>
  <si>
    <t xml:space="preserve">Hvor mye skylder kundene for fakturerte jobber?</t>
  </si>
  <si>
    <t xml:space="preserve">Kundefordringer. Jobben er gjort og fakturert, men ikke betalt.</t>
  </si>
  <si>
    <t xml:space="preserve">Hvor mye materiell ligger på lageret?</t>
  </si>
  <si>
    <t xml:space="preserve">Varelager. Materiellet er betalt, men ikke montert.</t>
  </si>
  <si>
    <t xml:space="preserve">Regnestykket</t>
  </si>
  <si>
    <t xml:space="preserve">Omløpsmidler i alt</t>
  </si>
  <si>
    <t xml:space="preserve">Bank, kundefordringer og varelager.</t>
  </si>
  <si>
    <t xml:space="preserve">Del av omløpsmidlene som er penger i banken</t>
  </si>
  <si>
    <t xml:space="preserve">Resten er materiell og penger andre skylder bedriften.</t>
  </si>
  <si>
    <t xml:space="preserve">Grovt anslag på penger driften skapte</t>
  </si>
  <si>
    <t xml:space="preserve">Avskrivningene legges tilbake fordi de ikke er utbetalinger. Den fulle beregningen er kontantstrømoppstillingen.</t>
  </si>
  <si>
    <t xml:space="preserve">PENGER UNDERVEIS HOS KUNDER OG PÅ LAGER</t>
  </si>
  <si>
    <t xml:space="preserve">Kundefordringer pluss varelager. Pengene er ikke borte, de er underveis.</t>
  </si>
  <si>
    <t xml:space="preserve">Underveis, ganger det som står i banken</t>
  </si>
  <si>
    <t xml:space="preserve">Hvor mange ganger mer som er underveis enn det som står på konto.</t>
  </si>
  <si>
    <t xml:space="preserve">Hva svaret betyr</t>
  </si>
  <si>
    <t xml:space="preserve">Prøv selv</t>
  </si>
  <si>
    <t xml:space="preserve">1. Kundene betaler halvparten: sett kundefordringene (B8) til 2 100 000 og banken (B7) til 3 100 000. Hva skjer med andelen penger?</t>
  </si>
  <si>
    <t xml:space="preserve">2. Endre årsresultatet (B5). Hva skjer med pengene underveis?</t>
  </si>
  <si>
    <t xml:space="preserve">3. Sett varelageret (B9) ned med 400 000 og legg beløpet til banken (B7). Hvor mange ganger banken er nå underveis?</t>
  </si>
  <si>
    <t xml:space="preserve">Tallene er Nordlys Elektro AS sine for 2026 (faktaarket). Kilde: Økonomistyring for LØM-emnet, kap. 3.2 og 3.3. Nordlys Elektro AS er en konstruert casebedrift.</t>
  </si>
  <si>
    <t xml:space="preserve">Resultat og balanse</t>
  </si>
  <si>
    <t xml:space="preserve">LØM Økonomistyring kap. 3 · arbeidsregneark · Fagskolen Oslo, Avdeling Elkraft</t>
  </si>
  <si>
    <t xml:space="preserve">Emne: Teknisk kommunikasjon og ledelse for 1ET-klassene · LØM for 2ET, 2EK, 3EK og 4EK</t>
  </si>
  <si>
    <t xml:space="preserve">Fargekode</t>
  </si>
  <si>
    <t xml:space="preserve">Gul celle med blå skrift</t>
  </si>
  <si>
    <t xml:space="preserve">Inndata — dette er tallene du endrer.</t>
  </si>
  <si>
    <t xml:space="preserve">Grå eller lyseblå celle, svart skrift</t>
  </si>
  <si>
    <t xml:space="preserve">Formel — regner seg selv. Ikke skriv over den.</t>
  </si>
  <si>
    <t xml:space="preserve">Mørkeblå rad med hvit skrift</t>
  </si>
  <si>
    <t xml:space="preserve">Kolonneoverskrift.</t>
  </si>
  <si>
    <t xml:space="preserve">Ark i arbeidsboka</t>
  </si>
  <si>
    <t xml:space="preserve">Enkelt</t>
  </si>
  <si>
    <t xml:space="preserve">Start her. Fem gule celler, ett svar. Hvorfor overskudd ikke er det samme som penger i banken.</t>
  </si>
  <si>
    <t xml:space="preserve">Resultat</t>
  </si>
  <si>
    <t xml:space="preserve">Resultatregnskapet til Nordlys Elektro AS for 2026, med alle delsummer som formler og hver post i prosent av salget.</t>
  </si>
  <si>
    <t xml:space="preserve">Balanse</t>
  </si>
  <si>
    <t xml:space="preserve">Balansen per 31.12.2026. Kontrollraden viser om de to sidene går opp, og de to tommelfingerreglene står ferdig regnet.</t>
  </si>
  <si>
    <t xml:space="preserve">Aktivering</t>
  </si>
  <si>
    <t xml:space="preserve">Skal innkjøpet i balansen eller rett i resultatet? Regelen med to vilkår, og avskrivningsplanen.</t>
  </si>
  <si>
    <t xml:space="preserve">Til kapittel 4</t>
  </si>
  <si>
    <t xml:space="preserve">Broen: de fem tallene fra balansen som nøkkeltallene i kapittel 4 regnes av — og de fire nøkkeltallene som kan regnes av balansen alene.</t>
  </si>
  <si>
    <t xml:space="preserve">Min bedrift</t>
  </si>
  <si>
    <t xml:space="preserve">Samme to oppstillinger, men tomme. Fyll inn tallene til din egen bedrift.</t>
  </si>
  <si>
    <t xml:space="preserve">Scenario</t>
  </si>
  <si>
    <t xml:space="preserve">To spørsmål: hvor mye kapital du kan frigjøre uten å selge én time mer, og hva banken ser etter når den leser regnskapet.</t>
  </si>
  <si>
    <t xml:space="preserve">Tallene som ligger inne er Nordlys Elektro AS sine egne tall for 2026.</t>
  </si>
  <si>
    <t xml:space="preserve">Arket er laget for å brukes på jobben etterpå: bytt ut de gule cellene med dine egne tall.</t>
  </si>
  <si>
    <t xml:space="preserve">Merk at Resultat-arket og Balanse-arket er to ulike rapporter. Endrer du et tall i det ene,</t>
  </si>
  <si>
    <t xml:space="preserve">endrer det seg ikke automatisk i det andre — akkurat som i virkeligheten må du selv tenke</t>
  </si>
  <si>
    <t xml:space="preserve">gjennom hva endringen gjør med den andre rapporten.</t>
  </si>
  <si>
    <t xml:space="preserve">Tallene som ligger inne er et eksempel fra en elektrobedrift. Bytt dem ut med dine egne — alle formler følger med.</t>
  </si>
  <si>
    <t xml:space="preserve">Arbeidsregneark til LØM · Fagskolen Oslo, Avdeling Elkraft. Regnearket er øvingsstøtte, ikke et regnskapssystem.</t>
  </si>
  <si>
    <t xml:space="preserve">Koblingen til kapittel 4</t>
  </si>
  <si>
    <t xml:space="preserve">Balanse!B20, E8, E18, B14 og B11</t>
  </si>
  <si>
    <t xml:space="preserve">De fem tallene som går videre</t>
  </si>
  <si>
    <t xml:space="preserve">Sum eiendeler, sum egenkapital, sum kortsiktig gjeld, sum omløpsmidler og varelageret. Arket «Til kapittel 4» henter dem og regner ut de fire nøkkeltallene som bare trenger balansen.</t>
  </si>
  <si>
    <t xml:space="preserve">LOM_Ovingsark_Okonomistyring_kap04_Nokkeltall_NY.xlsx</t>
  </si>
  <si>
    <t xml:space="preserve">Regnearket til kapittel 4</t>
  </si>
  <si>
    <t xml:space="preserve">Bruker nøyaktig den samme balansen og det samme resultatet. Nøkkeltallene der er ikke nye tall — de er disse tallene, delt på hverandre.</t>
  </si>
  <si>
    <t xml:space="preserve">Hvilken oppgave bruker hvilket ark</t>
  </si>
  <si>
    <t xml:space="preserve">Oppgave i øvingsheftet</t>
  </si>
  <si>
    <t xml:space="preserve">Ark</t>
  </si>
  <si>
    <t xml:space="preserve">Celler du endrer og leser av</t>
  </si>
  <si>
    <t xml:space="preserve">A1 · Overskudd på papiret — hvor ble pengene av?</t>
  </si>
  <si>
    <t xml:space="preserve">Les av B11, B12, B38, B39 og B40.</t>
  </si>
  <si>
    <t xml:space="preserve">A2 · Tre spørsmål til balansen</t>
  </si>
  <si>
    <t xml:space="preserve">Les av radene 27 til 33 for de to tommelfingerreglene, og B38 for andelen faktiske penger.</t>
  </si>
  <si>
    <t xml:space="preserve">A3 · Klasseoppgave: sett opp et regnskap og en balanse</t>
  </si>
  <si>
    <t xml:space="preserve">Legg hennes tall i de gule cellene i kolonne B og E. Kontrollen i B26 skal si OK.</t>
  </si>
  <si>
    <t xml:space="preserve">1 · Sett opp resultatregnskapet</t>
  </si>
  <si>
    <t xml:space="preserve">Endre B5 til B17. Les av B8, B13, B16 og B18, og kolonne C for prosentene. Sett B15 til 0 for deloppgave e).</t>
  </si>
  <si>
    <t xml:space="preserve">2 · Sett opp balansen, og finn den manglende posten</t>
  </si>
  <si>
    <t xml:space="preserve">Balanse, Til kapittel 4</t>
  </si>
  <si>
    <t xml:space="preserve">Endre kolonne B og E i «Balanse». Les av B8, B14, E8, E12, E18, B20, E20 og B23. Arbeidskapitalen står i B33. Deloppgave e) er arket «Til kapittel 4», radene 6 til 10.</t>
  </si>
  <si>
    <t xml:space="preserve">3 · Aktivere eller utgiftsføre?</t>
  </si>
  <si>
    <t xml:space="preserve">Endre B5, E5, og pris og levetid i radene 9 til 12. Les av kolonne D og E, og B15, B16 og B17. Avskrivningsplanen står i radene 25 til 31.</t>
  </si>
  <si>
    <t xml:space="preserve">4 · Overskudd på papiret, tomt på konto</t>
  </si>
  <si>
    <t xml:space="preserve">Balanse, Scenario</t>
  </si>
  <si>
    <t xml:space="preserve">Les av B11, B12 og B38 i «Balanse». Scenario A i arket «Scenario»: endre B10 og B15, og les av B9, B12, B16, B17 og B24.</t>
  </si>
  <si>
    <t xml:space="preserve">5 · Eksamensnær: banken vil se regnskapet</t>
  </si>
  <si>
    <t xml:space="preserve">Scenario B: endre B35, B36, B37 og B57. Les av B39, B40, B43 til B47, B50 til B53 og B58 til B62.</t>
  </si>
  <si>
    <t xml:space="preserve">Kontrollradene</t>
  </si>
  <si>
    <t xml:space="preserve">Hvert regneark har en kontrollblokk. Står det OK, henger tallene sammen. Står det AVVIK, farges cellen rød, og teksten sier hva som ikke går opp.</t>
  </si>
  <si>
    <t xml:space="preserve">Tre unntak: kontrollen på driftsmarginen i arket «Resultat», og de to første i scenario A og B, skal vise AVVIK med tallene som ligger inne. Der er avviket selve svaret — Nordlys ligger under bransjens driftsmargin og under bransjens egenkapitalandel, og kundene bruker lengre kredittid enn avtalt.</t>
  </si>
  <si>
    <t xml:space="preserve">Kontroller i arbeidsboka: Resultat B27, Resultat B28, Resultat B30, Balanse B24, Balanse B29, Balanse B32, Aktivering B20, Aktivering B21, Til kapittel 4 B28, Til kapittel 4 B29, Til kapittel 4 B30, Min bedrift B26, Min bedrift B27, Min bedrift B28, Scenario B27, Scenario B29, Scenario B65, Scenario B67, Scenario B68, Scenario B69</t>
  </si>
  <si>
    <t xml:space="preserve">Slik henger kapitlet sammen med resten</t>
  </si>
  <si>
    <t xml:space="preserve">Aksjekapitalen i balansen er den Kari og Tom skjøt inn i 2019, kapittel 1. Kostnadene i resultatregnskapet er de samme som deles i faste og variable i kapittel 2. Balansen er den nøkkeltallene i kapittel 4 regnes av. Og skillet mellom kostnad og utbetaling er grunnen til at kapittel 9 har både resultatbudsjett og likviditetsbudsjett.</t>
  </si>
  <si>
    <t xml:space="preserve">Kilder</t>
  </si>
  <si>
    <t xml:space="preserve">Hjertnes, J. og Skorpen, K.: Økonomistyring for LØM-emnet (ISBN 978-82-450-5544-3), kapittel 3 «Bedriftens regnskap», avsnitt 3.1 til 3.4.</t>
  </si>
  <si>
    <t xml:space="preserve">Aktiveringsgrensene følger skatteloven § 14-40 (Lovdata): kostpris minst 30 000 kroner OG økonomisk levetid minst 3 år. Oppstillingsplanene følger regnskapsloven kapittel 6 (Lovdata).</t>
  </si>
  <si>
    <t xml:space="preserve">Bransjetall: NHO Elektro, Lønnsomhetsrapport 2025, gjengitt i Elektro 24-7 19.08.2026 (hentet 10.09.2026). De 809 er bedriftene i datagrunnlaget, ikke bransjen. NHO Elektro oppgir ikke svarprosent.</t>
  </si>
  <si>
    <t xml:space="preserve">Nordlys Elektro AS er en konstruert casebedrift. Tallene henger sammen på tvers av alle ti kapitlene i Økonomistyring for LØM-emnet.</t>
  </si>
  <si>
    <t xml:space="preserve">Resultatregnskap 2026 — Nordlys Elektro AS</t>
  </si>
  <si>
    <t xml:space="preserve">Endre de gule cellene. Alle delsummer regner seg selv.</t>
  </si>
  <si>
    <t xml:space="preserve">Post</t>
  </si>
  <si>
    <t xml:space="preserve">Kroner</t>
  </si>
  <si>
    <t xml:space="preserve">Av salget</t>
  </si>
  <si>
    <t xml:space="preserve">Hva står det egentlig?</t>
  </si>
  <si>
    <t xml:space="preserve">Salgsinntekt</t>
  </si>
  <si>
    <t xml:space="preserve">Fakturert til kundene, uten merverdiavgift.</t>
  </si>
  <si>
    <t xml:space="preserve">Varekostnad, materiell</t>
  </si>
  <si>
    <t xml:space="preserve">Kabel, skap og kursutstyr fra Polarlys Elektro Grossist AS.</t>
  </si>
  <si>
    <t xml:space="preserve">Varekostnad, innleide montører</t>
  </si>
  <si>
    <t xml:space="preserve">Innleid hjelp på de store prosjektene.</t>
  </si>
  <si>
    <t xml:space="preserve">= Bruttofortjeneste</t>
  </si>
  <si>
    <t xml:space="preserve">Igjen etter materiell og innleie. Her er ingenting annet betalt ennå.</t>
  </si>
  <si>
    <t xml:space="preserve">Lønnskostnad</t>
  </si>
  <si>
    <t xml:space="preserve">Lønn, feriepenger, arbeidsgiveravgift og pensjon for 18 ansatte.</t>
  </si>
  <si>
    <t xml:space="preserve">Avskrivninger</t>
  </si>
  <si>
    <t xml:space="preserve">Verdifall på biler, verktøy og instrumenter. Ingen utbetaling.</t>
  </si>
  <si>
    <t xml:space="preserve">Andre driftskostnader</t>
  </si>
  <si>
    <t xml:space="preserve">Husleie, strøm, forsikring, regnskapsfører, bilkostnader.</t>
  </si>
  <si>
    <t xml:space="preserve">= Sum driftskostnader</t>
  </si>
  <si>
    <t xml:space="preserve">Alle fire kostnadsgruppene lagt sammen.</t>
  </si>
  <si>
    <t xml:space="preserve">= Driftsresultat</t>
  </si>
  <si>
    <t xml:space="preserve">Det driften selv tjente. Prosenten i kolonne C er driftsmarginen.</t>
  </si>
  <si>
    <t xml:space="preserve">Renteinntekter</t>
  </si>
  <si>
    <t xml:space="preserve">Renter på bankinnskuddet.</t>
  </si>
  <si>
    <t xml:space="preserve">Rentekostnader</t>
  </si>
  <si>
    <t xml:space="preserve">Renter på banklån og kassekreditt. Handler om finansiering, ikke om drift.</t>
  </si>
  <si>
    <t xml:space="preserve">= Resultat før skattekostnad</t>
  </si>
  <si>
    <t xml:space="preserve">Det Skatteetaten regner skatten av. Brukes i både TKR og EKR i kapittel 4.</t>
  </si>
  <si>
    <t xml:space="preserve">Skattekostnad</t>
  </si>
  <si>
    <t xml:space="preserve">Selskapsskatt.</t>
  </si>
  <si>
    <t xml:space="preserve">= Årsresultat</t>
  </si>
  <si>
    <t xml:space="preserve">Det som blir igjen til eierne og til bedriften.</t>
  </si>
  <si>
    <t xml:space="preserve">Målt mot bransjen</t>
  </si>
  <si>
    <t xml:space="preserve">Driftsmargin, Nordlys</t>
  </si>
  <si>
    <t xml:space="preserve">Driftsmargin, bransjen</t>
  </si>
  <si>
    <t xml:space="preserve">Kilde: NHO Elektro, Lønnsomhetsrapport 2025, gjengitt i Elektro 24-7 19.08.2026 (hentet 10.09.2026). De 809 er bedriftene i datagrunnlaget, ikke bransjen. NHO Elektro oppgir ikke svarprosent.</t>
  </si>
  <si>
    <t xml:space="preserve">Differanse i prosentpoeng</t>
  </si>
  <si>
    <t xml:space="preserve">Varekostnad og lønn til sammen, av salget</t>
  </si>
  <si>
    <t xml:space="preserve">To poster sluker mesteparten. Derfor slår små endringer hardt ut.</t>
  </si>
  <si>
    <t xml:space="preserve">Kontroll</t>
  </si>
  <si>
    <t xml:space="preserve">Går resultatoppstillingen opp?</t>
  </si>
  <si>
    <t xml:space="preserve">Ligger driftsmarginen over eller under bransjen?</t>
  </si>
  <si>
    <t xml:space="preserve">Her SKAL det stå AVVIK med tallene som ligger inne. Nordlys ligger under bransjen, og det er nettopp det kapittel 4 setter tall på.</t>
  </si>
  <si>
    <t xml:space="preserve">Er avskrivningene en kostnad uten utbetaling?</t>
  </si>
  <si>
    <t xml:space="preserve">Prøv dette</t>
  </si>
  <si>
    <t xml:space="preserve">1. Senk salgsinntekten i B5 med 1 000 000. Hvor mange linjer nedover endrer seg?</t>
  </si>
  <si>
    <t xml:space="preserve">2. Sett den tilbake. Kutt så 200 000 i andre driftskostnader i B11. Hvor mye bedre blir årsresultatet — og hvorfor er det ikke 200 000?</t>
  </si>
  <si>
    <t xml:space="preserve">3. Sett rentekostnaden i B15 til 0. Legg merke til at driftsresultatet ikke rører seg. Det er nettopp poenget med driftsresultatet.</t>
  </si>
  <si>
    <t xml:space="preserve">Kilde: oppstillingen følger Økonomistyring for LØM-emnet, kap. 3.3. Tallene er Nordlys Elektro AS 2026.</t>
  </si>
  <si>
    <t xml:space="preserve">Balanse per 31.12.2026 — Nordlys Elektro AS</t>
  </si>
  <si>
    <t xml:space="preserve">To sider som alltid er like store. Kontrollraden nederst sier fra hvis de ikke er det.</t>
  </si>
  <si>
    <t xml:space="preserve">Eiendeler (aktiva)</t>
  </si>
  <si>
    <t xml:space="preserve">Egenkapital og gjeld (passiva)</t>
  </si>
  <si>
    <t xml:space="preserve">ANLEGGSMIDLER</t>
  </si>
  <si>
    <t xml:space="preserve">EGENKAPITAL</t>
  </si>
  <si>
    <t xml:space="preserve">Maskiner, verktøy og instrumenter</t>
  </si>
  <si>
    <t xml:space="preserve">Aksjekapital</t>
  </si>
  <si>
    <t xml:space="preserve">Biler</t>
  </si>
  <si>
    <t xml:space="preserve">Annen egenkapital</t>
  </si>
  <si>
    <t xml:space="preserve">Sum anleggsmidler</t>
  </si>
  <si>
    <t xml:space="preserve">Sum egenkapital</t>
  </si>
  <si>
    <t xml:space="preserve">OMLØPSMIDLER</t>
  </si>
  <si>
    <t xml:space="preserve">LANGSIKTIG GJELD</t>
  </si>
  <si>
    <t xml:space="preserve">Varelager</t>
  </si>
  <si>
    <t xml:space="preserve">Banklån</t>
  </si>
  <si>
    <t xml:space="preserve">Det minst likvide omløpsmiddelet. Trekkes ut i likviditetsgrad 2.</t>
  </si>
  <si>
    <t xml:space="preserve">Kundefordringer</t>
  </si>
  <si>
    <t xml:space="preserve">Sum langsiktig gjeld</t>
  </si>
  <si>
    <t xml:space="preserve">Fakturert, men ikke betalt. Største enkeltpost i balansen.</t>
  </si>
  <si>
    <t xml:space="preserve">Bankinnskudd og kontanter</t>
  </si>
  <si>
    <t xml:space="preserve">KORTSIKTIG GJELD</t>
  </si>
  <si>
    <t xml:space="preserve">Sum omløpsmidler</t>
  </si>
  <si>
    <t xml:space="preserve">Leverandørgjeld</t>
  </si>
  <si>
    <t xml:space="preserve">Skyldige offentlige avgifter</t>
  </si>
  <si>
    <t xml:space="preserve">Merverdiavgift, forskuddstrekk og arbeidsgiveravgift. Faste forfallsdatoer.</t>
  </si>
  <si>
    <t xml:space="preserve">Skyldige feriepenger</t>
  </si>
  <si>
    <t xml:space="preserve">Kassekreditt</t>
  </si>
  <si>
    <t xml:space="preserve">Kortsiktig gjeld — banken kan i prinsippet trekke den tilbake.</t>
  </si>
  <si>
    <t xml:space="preserve">Sum kortsiktig gjeld</t>
  </si>
  <si>
    <t xml:space="preserve">SUM EIENDELER</t>
  </si>
  <si>
    <t xml:space="preserve">SUM EGENKAPITAL OG GJELD</t>
  </si>
  <si>
    <t xml:space="preserve">Differanse mellom de to sidene</t>
  </si>
  <si>
    <t xml:space="preserve">Balanserer den?</t>
  </si>
  <si>
    <t xml:space="preserve">Lærebokas to tommelfingerregler</t>
  </si>
  <si>
    <t xml:space="preserve">Egenkapital + langsiktig gjeld</t>
  </si>
  <si>
    <t xml:space="preserve">mot anleggsmidlene</t>
  </si>
  <si>
    <t xml:space="preserve">Regel 1</t>
  </si>
  <si>
    <t xml:space="preserve">Kortsiktig gjeld</t>
  </si>
  <si>
    <t xml:space="preserve">mot omløpsmidlene</t>
  </si>
  <si>
    <t xml:space="preserve">Regel 2</t>
  </si>
  <si>
    <t xml:space="preserve">= Arbeidskapital</t>
  </si>
  <si>
    <t xml:space="preserve">Omløpsmidler minus kortsiktig gjeld. Samme tall som marginen i regel 2.</t>
  </si>
  <si>
    <t xml:space="preserve">Egenkapitalen som differanse</t>
  </si>
  <si>
    <t xml:space="preserve">Sum eiendeler minus all gjeld</t>
  </si>
  <si>
    <t xml:space="preserve">Samme tall som sum egenkapital i E8. Egenkapital er ikke en konto — det er det som blir igjen.</t>
  </si>
  <si>
    <t xml:space="preserve">Hvor mye av omløpsmidlene er faktiske penger?</t>
  </si>
  <si>
    <t xml:space="preserve">Resten er materiell på lager og penger andre skylder deg.</t>
  </si>
  <si>
    <t xml:space="preserve">Bundet i lager og kundefordringer</t>
  </si>
  <si>
    <t xml:space="preserve">Ganger bankinnskuddet</t>
  </si>
  <si>
    <t xml:space="preserve">Prøv dette: sett kundefordringene i B12 til halvparten, som om kundene hadde betalt. Balansen slutter å balansere — og det er riktig. Pengene måtte i så fall dukket opp et annet sted, for eksempel som økt bankinnskudd i B13.</t>
  </si>
  <si>
    <t xml:space="preserve">Kilde: oppstillingen følger Økonomistyring for LØM-emnet, kap. 3.2. Tallene er Nordlys Elektro AS.</t>
  </si>
  <si>
    <t xml:space="preserve">Skal innkjøpet i balansen eller rett i resultatet?</t>
  </si>
  <si>
    <t xml:space="preserve">Endre pris og levetid i de gule cellene og se hva regelen svarer.</t>
  </si>
  <si>
    <t xml:space="preserve">1 · Regelen</t>
  </si>
  <si>
    <t xml:space="preserve">Beløpsgrense</t>
  </si>
  <si>
    <t xml:space="preserve">Levetidsgrense, år</t>
  </si>
  <si>
    <t xml:space="preserve">BEGGE vilkårene må være oppfylt for aktiveringsplikt.</t>
  </si>
  <si>
    <t xml:space="preserve">Kilde: skatteloven § 14-40 (Lovdata). Læreboka omtaler de samme to grensene i avsnitt 3.2.</t>
  </si>
  <si>
    <t xml:space="preserve">Innkjøp</t>
  </si>
  <si>
    <t xml:space="preserve">Pris</t>
  </si>
  <si>
    <t xml:space="preserve">Levetid, år</t>
  </si>
  <si>
    <t xml:space="preserve">Aktiveres?</t>
  </si>
  <si>
    <t xml:space="preserve">Kostnad i år 1</t>
  </si>
  <si>
    <t xml:space="preserve">Hva skjer</t>
  </si>
  <si>
    <t xml:space="preserve">Servicebil</t>
  </si>
  <si>
    <t xml:space="preserve">Over beløpsgrensen og lang levetid. Aktiveres og avskrives lineært.</t>
  </si>
  <si>
    <t xml:space="preserve">Varmekamera til feilsøking</t>
  </si>
  <si>
    <t xml:space="preserve">Over beløpsgrensen og lang levetid. Samme behandling som bilen.</t>
  </si>
  <si>
    <t xml:space="preserve">Boremaskin</t>
  </si>
  <si>
    <t xml:space="preserve">Under beløpsgrensen. Hele beløpet utgiftsføres med én gang.</t>
  </si>
  <si>
    <t xml:space="preserve">Kabel og sikringsmateriell montert hos kunde</t>
  </si>
  <si>
    <t xml:space="preserve">Ikke et driftsmiddel i det hele tatt — brukt opp på en jobb. Varekostnad.</t>
  </si>
  <si>
    <t xml:space="preserve">2 · Hva året faktisk koster</t>
  </si>
  <si>
    <t xml:space="preserve">Sum belastet resultatet i år 1</t>
  </si>
  <si>
    <t xml:space="preserve">Sum ut av bankkontoen i år 1</t>
  </si>
  <si>
    <t xml:space="preserve">= Differanse</t>
  </si>
  <si>
    <t xml:space="preserve">Penger brukt, men ennå ikke kostnadsført. Nettopp denne differansen er grunnen til at overskudd og penger på konto ikke er det samme.</t>
  </si>
  <si>
    <t xml:space="preserve">Er det brukt mer penger enn det som er kostnadsført?</t>
  </si>
  <si>
    <t xml:space="preserve">Skal kabelen aktiveres?</t>
  </si>
  <si>
    <t xml:space="preserve">3 · Avskrivningsplan for servicebilen</t>
  </si>
  <si>
    <t xml:space="preserve">År</t>
  </si>
  <si>
    <t xml:space="preserve">Avskrivning</t>
  </si>
  <si>
    <t xml:space="preserve">Bokført verdi ved årets slutt</t>
  </si>
  <si>
    <t xml:space="preserve">År 1</t>
  </si>
  <si>
    <t xml:space="preserve">Lineær avskrivning: samme beløp hvert år, og bokført verdi null når levetiden er ute.</t>
  </si>
  <si>
    <t xml:space="preserve">År 2</t>
  </si>
  <si>
    <t xml:space="preserve">Endre levetiden i C9 og se hvordan planen forskyver seg.</t>
  </si>
  <si>
    <t xml:space="preserve">År 3</t>
  </si>
  <si>
    <t xml:space="preserve">År 4</t>
  </si>
  <si>
    <t xml:space="preserve">År 5</t>
  </si>
  <si>
    <t xml:space="preserve">År 6</t>
  </si>
  <si>
    <t xml:space="preserve">År 7</t>
  </si>
  <si>
    <t xml:space="preserve">Merk: avskrivning er ikke en utbetaling. Pengene forsvant da bilen ble kjøpt — kolonne B fordeler bare kostnaden over årene bilen brukes.</t>
  </si>
  <si>
    <t xml:space="preserve">Kilde: Økonomistyring for LØM-emnet, kap. 3.2. Aktiveringsgrensene følger skatteloven § 14-40 (Lovdata): kostpris minst 30 000 kroner OG økonomisk levetid minst 3 år. Oppstillingsplanene følger regnskapsloven kapittel 6 (Lovdata).</t>
  </si>
  <si>
    <t xml:space="preserve">Fra balansen til nøkkeltallene</t>
  </si>
  <si>
    <t xml:space="preserve">Nøkkeltallene i kapittel 4 er ikke nye tall. De er denne balansen, delt på hverandre.</t>
  </si>
  <si>
    <t xml:space="preserve">1 · De fem tallene som går videre</t>
  </si>
  <si>
    <t xml:space="preserve">Hva den brukes til i kapittel 4</t>
  </si>
  <si>
    <t xml:space="preserve">Sum eiendeler (totalkapital)</t>
  </si>
  <si>
    <t xml:space="preserve">Nevneren i totalkapitalrentabiliteten og i egenkapitalandelen.</t>
  </si>
  <si>
    <t xml:space="preserve">Nevneren i egenkapitalrentabiliteten, telleren i egenkapitalandelen.</t>
  </si>
  <si>
    <t xml:space="preserve">Nevneren i begge likviditetsgradene.</t>
  </si>
  <si>
    <t xml:space="preserve">Telleren i likviditetsgrad 1.</t>
  </si>
  <si>
    <t xml:space="preserve">Trekkes ut av telleren i likviditetsgrad 2 — det er det minst likvide.</t>
  </si>
  <si>
    <t xml:space="preserve">2 · De fire nøkkeltallene som regnes av balansen alene</t>
  </si>
  <si>
    <t xml:space="preserve">Nøkkeltall</t>
  </si>
  <si>
    <t xml:space="preserve">Slik regnes det</t>
  </si>
  <si>
    <t xml:space="preserve">Verdi</t>
  </si>
  <si>
    <t xml:space="preserve">Normtall eller bransje</t>
  </si>
  <si>
    <t xml:space="preserve">Vurdering</t>
  </si>
  <si>
    <t xml:space="preserve">Egenkapitalandel</t>
  </si>
  <si>
    <t xml:space="preserve">Egenkapital / totalkapital</t>
  </si>
  <si>
    <t xml:space="preserve">Gjeldsgrad</t>
  </si>
  <si>
    <t xml:space="preserve">Sum gjeld / egenkapital</t>
  </si>
  <si>
    <t xml:space="preserve">Likviditetsgrad 1</t>
  </si>
  <si>
    <t xml:space="preserve">Omløpsmidler / kortsiktig gjeld</t>
  </si>
  <si>
    <t xml:space="preserve">Likviditetsgrad 2</t>
  </si>
  <si>
    <t xml:space="preserve">(Omløpsmidler − varelager) / kortsiktig gjeld</t>
  </si>
  <si>
    <t xml:space="preserve">3 · Gjennomsnittstallene rentabiliteten regnes av</t>
  </si>
  <si>
    <t xml:space="preserve">Totalkapital 01.01.2026 (fra fjorårets balanse)</t>
  </si>
  <si>
    <t xml:space="preserve">Totalkapital 31.12.2026</t>
  </si>
  <si>
    <t xml:space="preserve">= Gjennomsnittlig totalkapital</t>
  </si>
  <si>
    <t xml:space="preserve">Nevneren i totalkapitalrentabiliteten.</t>
  </si>
  <si>
    <t xml:space="preserve">Egenkapital 01.01.2026</t>
  </si>
  <si>
    <t xml:space="preserve">Årets overskudd er lagt til egenkapitalen, så vi trekker det fra igjen.</t>
  </si>
  <si>
    <t xml:space="preserve">Egenkapital 31.12.2026</t>
  </si>
  <si>
    <t xml:space="preserve">= Gjennomsnittlig egenkapital</t>
  </si>
  <si>
    <t xml:space="preserve">Nevneren i egenkapitalrentabiliteten.</t>
  </si>
  <si>
    <t xml:space="preserve">Er de fem tallene hentet fra balansen i dette regnearket?</t>
  </si>
  <si>
    <t xml:space="preserve">Er egenkapitalandelen mellom null og hundre prosent?</t>
  </si>
  <si>
    <t xml:space="preserve">Er likviditetsgrad 2 lavere enn likviditetsgrad 1?</t>
  </si>
  <si>
    <t xml:space="preserve">Dette er hele koblingen mellom kapittel 3 og kapittel 4: nøkkeltallene er ikke nye opplysninger. De er de samme tallene, satt opp mot hverandre, slik at de kan sammenliknes med i fjor og med bransjen.</t>
  </si>
  <si>
    <t xml:space="preserve">De tre siste nøkkeltallene — driftsmargin, totalkapitalrentabilitet og egenkapitalrentabilitet — trenger også tall fra resultatregnskapet. De regnes i regnearket til kapittel 4, LOM_Ovingsark_Okonomistyring_kap04_Nokkeltall_NY.xlsx, av nøyaktig den samme balansen og det samme resultatet.</t>
  </si>
  <si>
    <t xml:space="preserve">Kilde: Økonomistyring for LØM-emnet, kap. 3.2 og kap. 4.2. Bransjetall: NHO Elektro, Lønnsomhetsrapport 2025, gjengitt i Elektro 24-7 19.08.2026 (hentet 10.09.2026). De 809 er bedriftene i datagrunnlaget, ikke bransjen. NHO Elektro oppgir ikke svarprosent.</t>
  </si>
  <si>
    <t xml:space="preserve">Din egen bedrift</t>
  </si>
  <si>
    <t xml:space="preserve">Hent tallene fra proff.no eller Brønnøysundregistrenes regnskapsregister og fyll inn de gule cellene.</t>
  </si>
  <si>
    <t xml:space="preserve">Bedrift</t>
  </si>
  <si>
    <t xml:space="preserve">Skriv inn navnet her</t>
  </si>
  <si>
    <t xml:space="preserve">Regnskapsår</t>
  </si>
  <si>
    <t xml:space="preserve">Resultatregnskap</t>
  </si>
  <si>
    <t xml:space="preserve">Driftsinntekter</t>
  </si>
  <si>
    <t xml:space="preserve">Varekostnad</t>
  </si>
  <si>
    <t xml:space="preserve">= Sum omløpsmidler</t>
  </si>
  <si>
    <t xml:space="preserve">= SUM EIENDELER</t>
  </si>
  <si>
    <t xml:space="preserve">Netto finansposter (renteinntekter minus rentekostnader)</t>
  </si>
  <si>
    <t xml:space="preserve">Langsiktig gjeld</t>
  </si>
  <si>
    <t xml:space="preserve">= SUM EGENKAPITAL OG GJELD</t>
  </si>
  <si>
    <t xml:space="preserve">Differanse</t>
  </si>
  <si>
    <t xml:space="preserve">Skal være 0. Er den ikke det, har du glemt en post.</t>
  </si>
  <si>
    <t xml:space="preserve">Det du skal se etter</t>
  </si>
  <si>
    <t xml:space="preserve">Driftsmargin</t>
  </si>
  <si>
    <t xml:space="preserve">Bransjen ligger på</t>
  </si>
  <si>
    <t xml:space="preserve">Lønnsandel av omsetningen</t>
  </si>
  <si>
    <t xml:space="preserve">Den største enkeltposten i de fleste installasjonsbedrifter.</t>
  </si>
  <si>
    <t xml:space="preserve">Arbeidskapital</t>
  </si>
  <si>
    <t xml:space="preserve">Omløpsmidler minus kortsiktig gjeld. Må være positiv.</t>
  </si>
  <si>
    <t xml:space="preserve">Balanserer din balanse?</t>
  </si>
  <si>
    <t xml:space="preserve">Er anleggsmidlene langsiktig finansiert?</t>
  </si>
  <si>
    <t xml:space="preserve">Dekker omløpsmidlene den kortsiktige gjelden?</t>
  </si>
  <si>
    <t xml:space="preserve">Får du ikke tak i alle postene, spør regnskapsføreren om «resultat og balanse for i fjor og året før». Det er alt du trenger — og to år er bedre enn ett, fordi retningen sier mer enn nivået.</t>
  </si>
  <si>
    <t xml:space="preserve">To scenarioer</t>
  </si>
  <si>
    <t xml:space="preserve">Endre de gule cellene og se hva som skjer. Alle tall hentes fra arkene Resultat og Balanse.</t>
  </si>
  <si>
    <t xml:space="preserve">Scenario A · hvor mye kan du frigjøre uten å selge én time mer?</t>
  </si>
  <si>
    <t xml:space="preserve">Oppgave 4 i øvingsheftet. Kapitalen ligger i kundefordringer og på lager — her ser du hva den er verdt i kroner.</t>
  </si>
  <si>
    <t xml:space="preserve">Kundefordringer i dag</t>
  </si>
  <si>
    <t xml:space="preserve">Faktisk kredittid til kundene, dager</t>
  </si>
  <si>
    <t xml:space="preserve">Kundefordringene omregnet til dager med omsetning.</t>
  </si>
  <si>
    <t xml:space="preserve">Kredittid du sikter mot, dager</t>
  </si>
  <si>
    <t xml:space="preserve">Endre denne og se hva som frigjøres.</t>
  </si>
  <si>
    <t xml:space="preserve">= Kundefordringer ved den kredittiden</t>
  </si>
  <si>
    <t xml:space="preserve">= Frigjort kapital</t>
  </si>
  <si>
    <t xml:space="preserve">Penger som kommer inn på konto, uten at én time til er solgt.</t>
  </si>
  <si>
    <t xml:space="preserve">Varelager i dag</t>
  </si>
  <si>
    <t xml:space="preserve">Reduksjon i varelager du sikter mot</t>
  </si>
  <si>
    <t xml:space="preserve">= Frigjort kapital fra lageret</t>
  </si>
  <si>
    <t xml:space="preserve">= Sum frigjort</t>
  </si>
  <si>
    <t xml:space="preserve">Bankinnskudd i dag</t>
  </si>
  <si>
    <t xml:space="preserve">Bankinnskudd etterpå</t>
  </si>
  <si>
    <t xml:space="preserve">Grovt anslag på penger fra driften i året</t>
  </si>
  <si>
    <t xml:space="preserve">Årsresultat</t>
  </si>
  <si>
    <t xml:space="preserve">+ Avskrivninger</t>
  </si>
  <si>
    <t xml:space="preserve">= Penger fra drift, grovt anslag</t>
  </si>
  <si>
    <t xml:space="preserve">Avskrivninger er en kostnad uten utbetaling, og legges derfor tilbake.</t>
  </si>
  <si>
    <t xml:space="preserve">Er faktisk kredittid lengre enn den du sikter mot?</t>
  </si>
  <si>
    <t xml:space="preserve">Her SKAL det stå AVVIK med tallene som ligger inne. Det er hele poenget i oppgave 4 og i oppgave 5.</t>
  </si>
  <si>
    <t xml:space="preserve">Er det frigjorte beløpet større enn bankinnskuddet?</t>
  </si>
  <si>
    <t xml:space="preserve">Scenario B · banken leser regnskapet</t>
  </si>
  <si>
    <t xml:space="preserve">Oppgave 5 i øvingsheftet. Alle nøkkeltallene regnes av balansen i dette regnearket — de samme kapittel 4 bruker.</t>
  </si>
  <si>
    <t xml:space="preserve">Kassekredittramme i dag</t>
  </si>
  <si>
    <t xml:space="preserve">Ny ramme det søkes om</t>
  </si>
  <si>
    <t xml:space="preserve">Avtalt kredittid til kundene, dager</t>
  </si>
  <si>
    <t xml:space="preserve">Trukket på kassekreditten ved årsskiftet</t>
  </si>
  <si>
    <t xml:space="preserve">Utnyttelse av rammen</t>
  </si>
  <si>
    <t xml:space="preserve">= Økning det søkes om</t>
  </si>
  <si>
    <t xml:space="preserve">Det banken ser på først</t>
  </si>
  <si>
    <t xml:space="preserve">Kolonne C: bransjen. Det er egenkapitalen som må tape før det blir bankens penger.</t>
  </si>
  <si>
    <t xml:space="preserve">Spørsmålet banken kommer til å stille</t>
  </si>
  <si>
    <t xml:space="preserve">Dager over avtalt</t>
  </si>
  <si>
    <t xml:space="preserve">= Kapital bundet ut over avtalt kredittid</t>
  </si>
  <si>
    <t xml:space="preserve">Målt mot hele kassekredittrammen</t>
  </si>
  <si>
    <t xml:space="preserve">Er dette tallet over 1, binder for lang kredittid mer enn hele rammen.</t>
  </si>
  <si>
    <t xml:space="preserve">Hva veksten i 2027 vil binde</t>
  </si>
  <si>
    <t xml:space="preserve">Omsetning 2026</t>
  </si>
  <si>
    <t xml:space="preserve">Budsjettert omsetning 2027</t>
  </si>
  <si>
    <t xml:space="preserve">= Vekst</t>
  </si>
  <si>
    <t xml:space="preserve">Netto kapitalbinding i dag (fordringer + lager − leverandørgjeld)</t>
  </si>
  <si>
    <t xml:space="preserve">Binding per omsetningskrone</t>
  </si>
  <si>
    <t xml:space="preserve">= Ekstra kapitalbinding av veksten</t>
  </si>
  <si>
    <t xml:space="preserve">Dette er beløpet søknaden bør begrunnes med.</t>
  </si>
  <si>
    <t xml:space="preserve">Målt mot økningen det søkes om</t>
  </si>
  <si>
    <t xml:space="preserve">Ligger egenkapitalandelen på bransjenivå?</t>
  </si>
  <si>
    <t xml:space="preserve">Her SKAL det stå AVVIK med tallene som ligger inne.</t>
  </si>
  <si>
    <t xml:space="preserve">Er likviditetsgrad 2 over normtallet?</t>
  </si>
  <si>
    <t xml:space="preserve">Er trukket beløp innenfor rammen?</t>
  </si>
  <si>
    <t xml:space="preserve">Er den beregnede kapitalbindingen mindre enn økningen det søkes om?</t>
  </si>
  <si>
    <t xml:space="preserve">Kilde: Økonomistyring for LØM-emnet, kap. 3.2 og 3.3, med støtte i kap. 4 om nøkkeltall og kap. 9 om likviditetsbudsjett. Normtallene for likviditetsgrad står i Økonomistyring for LØM-emnet, kap. 4.2.2. Rammen og søknadsbeløpet er konstruert for øvingen.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</si>
</sst>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\ %"/>
    <numFmt numFmtId="167" formatCode="0.0"/>
    <numFmt numFmtId="168" formatCode="#,##0&quot; kr&quot;"/>
    <numFmt numFmtId="169" formatCode="0.0%"/>
    <numFmt numFmtId="170" formatCode="#,##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color rgb="FF1F8A3C"/>
      <name val="Arial"/>
      <family val="0"/>
      <charset val="1"/>
    </font>
    <font>
      <b val="true"/>
      <sz val="16"/>
      <color rgb="FF1F8A3C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DCE6F4"/>
        <bgColor rgb="FFE4F4E8"/>
      </patternFill>
    </fill>
    <fill>
      <patternFill patternType="solid">
        <fgColor rgb="FFE4F4E8"/>
        <bgColor rgb="FFF2F2F2"/>
      </patternFill>
    </fill>
    <fill>
      <patternFill patternType="solid">
        <fgColor rgb="FFF2F2F2"/>
        <bgColor rgb="FFE4F4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8D7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4F4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4"/>
      <rgbColor rgb="FFF2F2F2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1F8A3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7.25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</row>
    <row r="4" customFormat="false" ht="15" hidden="false" customHeight="true" outlineLevel="0" collapsed="false">
      <c r="A4" s="3" t="s">
        <v>2</v>
      </c>
      <c r="B4" s="4"/>
      <c r="C4" s="4"/>
    </row>
    <row r="5" customFormat="false" ht="15" hidden="false" customHeight="true" outlineLevel="0" collapsed="false">
      <c r="A5" s="5" t="s">
        <v>3</v>
      </c>
      <c r="B5" s="6" t="n">
        <v>928000</v>
      </c>
      <c r="C5" s="7" t="s">
        <v>4</v>
      </c>
    </row>
    <row r="6" customFormat="false" ht="15" hidden="false" customHeight="true" outlineLevel="0" collapsed="false">
      <c r="A6" s="5" t="s">
        <v>5</v>
      </c>
      <c r="B6" s="6" t="n">
        <v>620000</v>
      </c>
      <c r="C6" s="7" t="s">
        <v>6</v>
      </c>
    </row>
    <row r="7" customFormat="false" ht="15" hidden="false" customHeight="true" outlineLevel="0" collapsed="false">
      <c r="A7" s="5" t="s">
        <v>7</v>
      </c>
      <c r="B7" s="6" t="n">
        <v>1000000</v>
      </c>
      <c r="C7" s="7" t="s">
        <v>8</v>
      </c>
    </row>
    <row r="8" customFormat="false" ht="15" hidden="false" customHeight="true" outlineLevel="0" collapsed="false">
      <c r="A8" s="5" t="s">
        <v>9</v>
      </c>
      <c r="B8" s="6" t="n">
        <v>4200000</v>
      </c>
      <c r="C8" s="7" t="s">
        <v>10</v>
      </c>
    </row>
    <row r="9" customFormat="false" ht="15" hidden="false" customHeight="true" outlineLevel="0" collapsed="false">
      <c r="A9" s="5" t="s">
        <v>11</v>
      </c>
      <c r="B9" s="6" t="n">
        <v>1400000</v>
      </c>
      <c r="C9" s="7" t="s">
        <v>12</v>
      </c>
    </row>
    <row r="10" customFormat="false" ht="15" hidden="false" customHeight="true" outlineLevel="0" collapsed="false"/>
    <row r="11" customFormat="false" ht="15" hidden="false" customHeight="true" outlineLevel="0" collapsed="false">
      <c r="A11" s="3" t="s">
        <v>13</v>
      </c>
      <c r="B11" s="4"/>
      <c r="C11" s="4"/>
    </row>
    <row r="12" customFormat="false" ht="15" hidden="false" customHeight="true" outlineLevel="0" collapsed="false">
      <c r="A12" s="5" t="s">
        <v>14</v>
      </c>
      <c r="B12" s="8" t="n">
        <f aca="false">B7+B8+B9</f>
        <v>6600000</v>
      </c>
      <c r="C12" s="7" t="s">
        <v>15</v>
      </c>
    </row>
    <row r="13" customFormat="false" ht="15" hidden="false" customHeight="true" outlineLevel="0" collapsed="false">
      <c r="A13" s="5" t="s">
        <v>16</v>
      </c>
      <c r="B13" s="9" t="n">
        <f aca="false">B7/B12</f>
        <v>0.151515151515152</v>
      </c>
      <c r="C13" s="7" t="s">
        <v>17</v>
      </c>
    </row>
    <row r="14" customFormat="false" ht="15" hidden="false" customHeight="true" outlineLevel="0" collapsed="false">
      <c r="A14" s="5" t="s">
        <v>18</v>
      </c>
      <c r="B14" s="8" t="n">
        <f aca="false">B5+B6</f>
        <v>1548000</v>
      </c>
      <c r="C14" s="7" t="s">
        <v>19</v>
      </c>
    </row>
    <row r="15" customFormat="false" ht="15" hidden="false" customHeight="true" outlineLevel="0" collapsed="false"/>
    <row r="16" customFormat="false" ht="21" hidden="false" customHeight="true" outlineLevel="0" collapsed="false">
      <c r="A16" s="10" t="s">
        <v>20</v>
      </c>
      <c r="B16" s="11" t="n">
        <f aca="false">B8+B9</f>
        <v>5600000</v>
      </c>
      <c r="C16" s="7" t="s">
        <v>21</v>
      </c>
    </row>
    <row r="17" customFormat="false" ht="15" hidden="false" customHeight="true" outlineLevel="0" collapsed="false">
      <c r="A17" s="5" t="s">
        <v>22</v>
      </c>
      <c r="B17" s="12" t="n">
        <f aca="false">B16/B7</f>
        <v>5.6</v>
      </c>
      <c r="C17" s="7" t="s">
        <v>23</v>
      </c>
    </row>
    <row r="18" customFormat="false" ht="15" hidden="false" customHeight="true" outlineLevel="0" collapsed="false"/>
    <row r="19" customFormat="false" ht="15" hidden="false" customHeight="true" outlineLevel="0" collapsed="false">
      <c r="A19" s="3" t="s">
        <v>24</v>
      </c>
      <c r="B19" s="4"/>
      <c r="C19" s="4"/>
    </row>
    <row r="20" customFormat="false" ht="33.75" hidden="false" customHeight="true" outlineLevel="0" collapsed="false">
      <c r="A20" s="13" t="str">
        <f aca="false">"Bedriften tjente "&amp;TEXT(ROUND(B5,0),"#,##0")&amp;" kroner, men "&amp;TEXT(ROUND(B16,0),"#,##0")&amp;" kroner står hos kundene og på lageret. Pengene er ikke borte. De er underveis."</f>
        <v>Bedriften tjente 928,000 kroner, men 5,600,000 kroner står hos kundene og på lageret. Pengene er ikke borte. De er underveis.</v>
      </c>
      <c r="B20" s="13"/>
      <c r="C20" s="13"/>
    </row>
    <row r="21" customFormat="false" ht="15" hidden="false" customHeight="true" outlineLevel="0" collapsed="false"/>
    <row r="22" customFormat="false" ht="15" hidden="false" customHeight="true" outlineLevel="0" collapsed="false">
      <c r="A22" s="3" t="s">
        <v>25</v>
      </c>
      <c r="B22" s="4"/>
      <c r="C22" s="4"/>
    </row>
    <row r="23" customFormat="false" ht="27" hidden="false" customHeight="true" outlineLevel="0" collapsed="false">
      <c r="A23" s="14" t="s">
        <v>26</v>
      </c>
      <c r="B23" s="14"/>
      <c r="C23" s="14"/>
    </row>
    <row r="24" customFormat="false" ht="15" hidden="false" customHeight="true" outlineLevel="0" collapsed="false">
      <c r="A24" s="14" t="s">
        <v>27</v>
      </c>
      <c r="B24" s="14"/>
      <c r="C24" s="14"/>
    </row>
    <row r="25" customFormat="false" ht="27" hidden="false" customHeight="true" outlineLevel="0" collapsed="false">
      <c r="A25" s="14" t="s">
        <v>28</v>
      </c>
      <c r="B25" s="14"/>
      <c r="C25" s="14"/>
    </row>
    <row r="26" customFormat="false" ht="15" hidden="false" customHeight="true" outlineLevel="0" collapsed="false"/>
    <row r="27" customFormat="false" ht="27" hidden="false" customHeight="true" outlineLevel="0" collapsed="false">
      <c r="A27" s="2" t="s">
        <v>29</v>
      </c>
      <c r="B27" s="2"/>
      <c r="C27" s="2"/>
    </row>
  </sheetData>
  <mergeCells count="6">
    <mergeCell ref="A2:C2"/>
    <mergeCell ref="A20:C20"/>
    <mergeCell ref="A23:C23"/>
    <mergeCell ref="A24:C24"/>
    <mergeCell ref="A25:C25"/>
    <mergeCell ref="A27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0"/>
    <col collapsed="false" customWidth="true" hidden="false" outlineLevel="0" max="3" min="3" style="0" width="64"/>
  </cols>
  <sheetData>
    <row r="1" customFormat="false" ht="17.35" hidden="false" customHeight="false" outlineLevel="0" collapsed="false">
      <c r="A1" s="1" t="s">
        <v>30</v>
      </c>
    </row>
    <row r="2" customFormat="false" ht="15" hidden="false" customHeight="false" outlineLevel="0" collapsed="false">
      <c r="A2" s="15" t="s">
        <v>31</v>
      </c>
    </row>
    <row r="3" customFormat="false" ht="15" hidden="false" customHeight="false" outlineLevel="0" collapsed="false">
      <c r="A3" s="16" t="s">
        <v>32</v>
      </c>
    </row>
    <row r="4" customFormat="false" ht="15" hidden="false" customHeight="false" outlineLevel="0" collapsed="false">
      <c r="A4" s="17" t="s">
        <v>33</v>
      </c>
    </row>
    <row r="5" customFormat="false" ht="15" hidden="false" customHeight="false" outlineLevel="0" collapsed="false">
      <c r="A5" s="18" t="s">
        <v>34</v>
      </c>
      <c r="B5" s="19" t="s">
        <v>35</v>
      </c>
    </row>
    <row r="6" customFormat="false" ht="15" hidden="false" customHeight="false" outlineLevel="0" collapsed="false">
      <c r="A6" s="20" t="s">
        <v>36</v>
      </c>
      <c r="B6" s="19" t="s">
        <v>37</v>
      </c>
    </row>
    <row r="7" customFormat="false" ht="15" hidden="false" customHeight="false" outlineLevel="0" collapsed="false">
      <c r="A7" s="20" t="s">
        <v>38</v>
      </c>
      <c r="B7" s="19" t="s">
        <v>39</v>
      </c>
    </row>
    <row r="9" customFormat="false" ht="15" hidden="false" customHeight="false" outlineLevel="0" collapsed="false">
      <c r="A9" s="17" t="s">
        <v>40</v>
      </c>
    </row>
    <row r="10" customFormat="false" ht="15" hidden="false" customHeight="false" outlineLevel="0" collapsed="false">
      <c r="A10" s="21" t="s">
        <v>41</v>
      </c>
      <c r="B10" s="19" t="s">
        <v>42</v>
      </c>
    </row>
    <row r="11" customFormat="false" ht="15" hidden="false" customHeight="false" outlineLevel="0" collapsed="false">
      <c r="A11" s="21" t="s">
        <v>43</v>
      </c>
      <c r="B11" s="19" t="s">
        <v>44</v>
      </c>
    </row>
    <row r="12" customFormat="false" ht="15" hidden="false" customHeight="false" outlineLevel="0" collapsed="false">
      <c r="A12" s="21" t="s">
        <v>45</v>
      </c>
      <c r="B12" s="19" t="s">
        <v>46</v>
      </c>
    </row>
    <row r="13" customFormat="false" ht="15" hidden="false" customHeight="false" outlineLevel="0" collapsed="false">
      <c r="A13" s="21" t="s">
        <v>47</v>
      </c>
      <c r="B13" s="19" t="s">
        <v>48</v>
      </c>
    </row>
    <row r="14" customFormat="false" ht="15" hidden="false" customHeight="false" outlineLevel="0" collapsed="false">
      <c r="A14" s="21" t="s">
        <v>49</v>
      </c>
      <c r="B14" s="19" t="s">
        <v>50</v>
      </c>
    </row>
    <row r="15" customFormat="false" ht="15" hidden="false" customHeight="false" outlineLevel="0" collapsed="false">
      <c r="A15" s="21" t="s">
        <v>51</v>
      </c>
      <c r="B15" s="19" t="s">
        <v>52</v>
      </c>
    </row>
    <row r="16" customFormat="false" ht="15" hidden="false" customHeight="false" outlineLevel="0" collapsed="false">
      <c r="A16" s="21" t="s">
        <v>53</v>
      </c>
      <c r="B16" s="19" t="s">
        <v>54</v>
      </c>
    </row>
    <row r="18" customFormat="false" ht="15" hidden="false" customHeight="false" outlineLevel="0" collapsed="false">
      <c r="A18" s="16" t="s">
        <v>55</v>
      </c>
    </row>
    <row r="19" customFormat="false" ht="15" hidden="false" customHeight="false" outlineLevel="0" collapsed="false">
      <c r="A19" s="16" t="s">
        <v>56</v>
      </c>
    </row>
    <row r="20" customFormat="false" ht="15" hidden="false" customHeight="false" outlineLevel="0" collapsed="false">
      <c r="A20" s="16" t="s">
        <v>57</v>
      </c>
    </row>
    <row r="21" customFormat="false" ht="15" hidden="false" customHeight="false" outlineLevel="0" collapsed="false">
      <c r="A21" s="16" t="s">
        <v>58</v>
      </c>
    </row>
    <row r="22" customFormat="false" ht="15" hidden="false" customHeight="false" outlineLevel="0" collapsed="false">
      <c r="A22" s="16" t="s">
        <v>59</v>
      </c>
    </row>
    <row r="24" customFormat="false" ht="15" hidden="false" customHeight="false" outlineLevel="0" collapsed="false">
      <c r="A24" s="16" t="s">
        <v>60</v>
      </c>
    </row>
    <row r="25" customFormat="false" ht="15" hidden="false" customHeight="false" outlineLevel="0" collapsed="false">
      <c r="A25" s="16" t="s">
        <v>61</v>
      </c>
    </row>
    <row r="27" customFormat="false" ht="15" hidden="false" customHeight="false" outlineLevel="0" collapsed="false">
      <c r="A27" s="17" t="s">
        <v>62</v>
      </c>
    </row>
    <row r="28" customFormat="false" ht="15" hidden="false" customHeight="false" outlineLevel="0" collapsed="false">
      <c r="A28" s="19" t="s">
        <v>63</v>
      </c>
      <c r="B28" s="19" t="s">
        <v>64</v>
      </c>
      <c r="C28" s="19" t="s">
        <v>65</v>
      </c>
    </row>
    <row r="29" customFormat="false" ht="15" hidden="false" customHeight="false" outlineLevel="0" collapsed="false">
      <c r="A29" s="19" t="s">
        <v>66</v>
      </c>
      <c r="B29" s="19" t="s">
        <v>67</v>
      </c>
      <c r="C29" s="19" t="s">
        <v>68</v>
      </c>
    </row>
    <row r="31" customFormat="false" ht="15" hidden="false" customHeight="false" outlineLevel="0" collapsed="false">
      <c r="A31" s="17" t="s">
        <v>69</v>
      </c>
    </row>
    <row r="32" customFormat="false" ht="27.75" hidden="false" customHeight="true" outlineLevel="0" collapsed="false">
      <c r="A32" s="22" t="s">
        <v>70</v>
      </c>
      <c r="B32" s="22" t="s">
        <v>71</v>
      </c>
      <c r="C32" s="22" t="s">
        <v>72</v>
      </c>
    </row>
    <row r="33" customFormat="false" ht="15" hidden="false" customHeight="false" outlineLevel="0" collapsed="false">
      <c r="A33" s="19" t="s">
        <v>73</v>
      </c>
      <c r="B33" s="21" t="s">
        <v>45</v>
      </c>
      <c r="C33" s="19" t="s">
        <v>74</v>
      </c>
    </row>
    <row r="34" customFormat="false" ht="15" hidden="false" customHeight="false" outlineLevel="0" collapsed="false">
      <c r="A34" s="19" t="s">
        <v>75</v>
      </c>
      <c r="B34" s="21" t="s">
        <v>45</v>
      </c>
      <c r="C34" s="19" t="s">
        <v>76</v>
      </c>
    </row>
    <row r="35" customFormat="false" ht="15" hidden="false" customHeight="false" outlineLevel="0" collapsed="false">
      <c r="A35" s="19" t="s">
        <v>77</v>
      </c>
      <c r="B35" s="21" t="s">
        <v>51</v>
      </c>
      <c r="C35" s="19" t="s">
        <v>78</v>
      </c>
    </row>
    <row r="36" customFormat="false" ht="15" hidden="false" customHeight="false" outlineLevel="0" collapsed="false">
      <c r="A36" s="19" t="s">
        <v>79</v>
      </c>
      <c r="B36" s="21" t="s">
        <v>43</v>
      </c>
      <c r="C36" s="19" t="s">
        <v>80</v>
      </c>
    </row>
    <row r="37" customFormat="false" ht="15" hidden="false" customHeight="false" outlineLevel="0" collapsed="false">
      <c r="A37" s="19" t="s">
        <v>81</v>
      </c>
      <c r="B37" s="21" t="s">
        <v>82</v>
      </c>
      <c r="C37" s="19" t="s">
        <v>83</v>
      </c>
    </row>
    <row r="38" customFormat="false" ht="15" hidden="false" customHeight="false" outlineLevel="0" collapsed="false">
      <c r="A38" s="19" t="s">
        <v>84</v>
      </c>
      <c r="B38" s="21" t="s">
        <v>47</v>
      </c>
      <c r="C38" s="19" t="s">
        <v>85</v>
      </c>
    </row>
    <row r="39" customFormat="false" ht="15" hidden="false" customHeight="false" outlineLevel="0" collapsed="false">
      <c r="A39" s="19" t="s">
        <v>86</v>
      </c>
      <c r="B39" s="21" t="s">
        <v>87</v>
      </c>
      <c r="C39" s="19" t="s">
        <v>88</v>
      </c>
    </row>
    <row r="40" customFormat="false" ht="15" hidden="false" customHeight="false" outlineLevel="0" collapsed="false">
      <c r="A40" s="19" t="s">
        <v>89</v>
      </c>
      <c r="B40" s="21" t="s">
        <v>53</v>
      </c>
      <c r="C40" s="19" t="s">
        <v>90</v>
      </c>
    </row>
    <row r="42" customFormat="false" ht="15" hidden="false" customHeight="false" outlineLevel="0" collapsed="false">
      <c r="A42" s="17" t="s">
        <v>91</v>
      </c>
    </row>
    <row r="43" customFormat="false" ht="15" hidden="false" customHeight="false" outlineLevel="0" collapsed="false">
      <c r="A43" s="19" t="s">
        <v>92</v>
      </c>
    </row>
    <row r="44" customFormat="false" ht="15" hidden="false" customHeight="false" outlineLevel="0" collapsed="false">
      <c r="A44" s="19" t="s">
        <v>93</v>
      </c>
    </row>
    <row r="45" customFormat="false" ht="15" hidden="false" customHeight="false" outlineLevel="0" collapsed="false">
      <c r="A45" s="16" t="s">
        <v>94</v>
      </c>
    </row>
    <row r="47" customFormat="false" ht="15" hidden="false" customHeight="false" outlineLevel="0" collapsed="false">
      <c r="A47" s="17" t="s">
        <v>95</v>
      </c>
    </row>
    <row r="48" customFormat="false" ht="15" hidden="false" customHeight="false" outlineLevel="0" collapsed="false">
      <c r="A48" s="19" t="s">
        <v>96</v>
      </c>
    </row>
    <row r="50" customFormat="false" ht="15" hidden="false" customHeight="false" outlineLevel="0" collapsed="false">
      <c r="A50" s="17" t="s">
        <v>97</v>
      </c>
    </row>
    <row r="51" customFormat="false" ht="15" hidden="false" customHeight="false" outlineLevel="0" collapsed="false">
      <c r="A51" s="16" t="s">
        <v>98</v>
      </c>
    </row>
    <row r="52" customFormat="false" ht="15" hidden="false" customHeight="false" outlineLevel="0" collapsed="false">
      <c r="A52" s="16" t="s">
        <v>99</v>
      </c>
    </row>
    <row r="53" customFormat="false" ht="15" hidden="false" customHeight="false" outlineLevel="0" collapsed="false">
      <c r="A53" s="16" t="s">
        <v>100</v>
      </c>
    </row>
    <row r="54" customFormat="false" ht="15" hidden="false" customHeight="false" outlineLevel="0" collapsed="false">
      <c r="A54" s="16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7"/>
    <col collapsed="false" customWidth="true" hidden="false" outlineLevel="0" max="3" min="3" style="0" width="12"/>
    <col collapsed="false" customWidth="true" hidden="false" outlineLevel="0" max="4" min="4" style="0" width="54"/>
  </cols>
  <sheetData>
    <row r="1" customFormat="false" ht="17.35" hidden="false" customHeight="false" outlineLevel="0" collapsed="false">
      <c r="A1" s="1" t="s">
        <v>102</v>
      </c>
    </row>
    <row r="2" customFormat="false" ht="15" hidden="false" customHeight="false" outlineLevel="0" collapsed="false">
      <c r="A2" s="15" t="s">
        <v>103</v>
      </c>
    </row>
    <row r="4" customFormat="false" ht="27.75" hidden="false" customHeight="true" outlineLevel="0" collapsed="false">
      <c r="A4" s="22" t="s">
        <v>104</v>
      </c>
      <c r="B4" s="22" t="s">
        <v>105</v>
      </c>
      <c r="C4" s="22" t="s">
        <v>106</v>
      </c>
      <c r="D4" s="22" t="s">
        <v>107</v>
      </c>
    </row>
    <row r="5" customFormat="false" ht="15" hidden="false" customHeight="false" outlineLevel="0" collapsed="false">
      <c r="A5" s="21" t="s">
        <v>108</v>
      </c>
      <c r="B5" s="23" t="n">
        <v>22400000</v>
      </c>
      <c r="C5" s="24" t="n">
        <f aca="false">B5/$B$5</f>
        <v>1</v>
      </c>
      <c r="D5" s="19" t="s">
        <v>109</v>
      </c>
    </row>
    <row r="6" customFormat="false" ht="15" hidden="false" customHeight="false" outlineLevel="0" collapsed="false">
      <c r="A6" s="19" t="s">
        <v>110</v>
      </c>
      <c r="B6" s="23" t="n">
        <v>7990000</v>
      </c>
      <c r="C6" s="24" t="n">
        <f aca="false">B6/$B$5</f>
        <v>0.356696428571429</v>
      </c>
      <c r="D6" s="19" t="s">
        <v>111</v>
      </c>
    </row>
    <row r="7" customFormat="false" ht="15" hidden="false" customHeight="false" outlineLevel="0" collapsed="false">
      <c r="A7" s="19" t="s">
        <v>112</v>
      </c>
      <c r="B7" s="23" t="n">
        <v>400000</v>
      </c>
      <c r="C7" s="24" t="n">
        <f aca="false">B7/$B$5</f>
        <v>0.0178571428571429</v>
      </c>
      <c r="D7" s="19" t="s">
        <v>113</v>
      </c>
    </row>
    <row r="8" customFormat="false" ht="15" hidden="false" customHeight="false" outlineLevel="0" collapsed="false">
      <c r="A8" s="21" t="s">
        <v>114</v>
      </c>
      <c r="B8" s="25" t="n">
        <f aca="false">B5-B6-B7</f>
        <v>14010000</v>
      </c>
      <c r="C8" s="26" t="n">
        <f aca="false">B8/$B$5</f>
        <v>0.625446428571429</v>
      </c>
      <c r="D8" s="19" t="s">
        <v>115</v>
      </c>
    </row>
    <row r="9" customFormat="false" ht="15" hidden="false" customHeight="false" outlineLevel="0" collapsed="false">
      <c r="A9" s="19" t="s">
        <v>116</v>
      </c>
      <c r="B9" s="23" t="n">
        <v>10660000</v>
      </c>
      <c r="C9" s="24" t="n">
        <f aca="false">B9/$B$5</f>
        <v>0.475892857142857</v>
      </c>
      <c r="D9" s="19" t="s">
        <v>117</v>
      </c>
    </row>
    <row r="10" customFormat="false" ht="15" hidden="false" customHeight="false" outlineLevel="0" collapsed="false">
      <c r="A10" s="19" t="s">
        <v>118</v>
      </c>
      <c r="B10" s="23" t="n">
        <v>620000</v>
      </c>
      <c r="C10" s="24" t="n">
        <f aca="false">B10/$B$5</f>
        <v>0.0276785714285714</v>
      </c>
      <c r="D10" s="19" t="s">
        <v>119</v>
      </c>
    </row>
    <row r="11" customFormat="false" ht="15" hidden="false" customHeight="false" outlineLevel="0" collapsed="false">
      <c r="A11" s="19" t="s">
        <v>120</v>
      </c>
      <c r="B11" s="23" t="n">
        <v>1386000</v>
      </c>
      <c r="C11" s="24" t="n">
        <f aca="false">B11/$B$5</f>
        <v>0.061875</v>
      </c>
      <c r="D11" s="19" t="s">
        <v>121</v>
      </c>
    </row>
    <row r="12" customFormat="false" ht="15" hidden="false" customHeight="false" outlineLevel="0" collapsed="false">
      <c r="A12" s="19" t="s">
        <v>122</v>
      </c>
      <c r="B12" s="27" t="n">
        <f aca="false">B6+B7+B9+B10+B11</f>
        <v>21056000</v>
      </c>
      <c r="C12" s="24" t="n">
        <f aca="false">B12/$B$5</f>
        <v>0.94</v>
      </c>
      <c r="D12" s="19" t="s">
        <v>123</v>
      </c>
    </row>
    <row r="13" customFormat="false" ht="15" hidden="false" customHeight="false" outlineLevel="0" collapsed="false">
      <c r="A13" s="21" t="s">
        <v>124</v>
      </c>
      <c r="B13" s="25" t="n">
        <f aca="false">B5-B12</f>
        <v>1344000</v>
      </c>
      <c r="C13" s="26" t="n">
        <f aca="false">B13/$B$5</f>
        <v>0.06</v>
      </c>
      <c r="D13" s="19" t="s">
        <v>125</v>
      </c>
    </row>
    <row r="14" customFormat="false" ht="15" hidden="false" customHeight="false" outlineLevel="0" collapsed="false">
      <c r="A14" s="19" t="s">
        <v>126</v>
      </c>
      <c r="B14" s="23" t="n">
        <v>56000</v>
      </c>
      <c r="C14" s="24" t="n">
        <f aca="false">B14/$B$5</f>
        <v>0.0025</v>
      </c>
      <c r="D14" s="19" t="s">
        <v>127</v>
      </c>
    </row>
    <row r="15" customFormat="false" ht="15" hidden="false" customHeight="false" outlineLevel="0" collapsed="false">
      <c r="A15" s="19" t="s">
        <v>128</v>
      </c>
      <c r="B15" s="23" t="n">
        <v>210000</v>
      </c>
      <c r="C15" s="24" t="n">
        <f aca="false">B15/$B$5</f>
        <v>0.009375</v>
      </c>
      <c r="D15" s="19" t="s">
        <v>129</v>
      </c>
    </row>
    <row r="16" customFormat="false" ht="15" hidden="false" customHeight="false" outlineLevel="0" collapsed="false">
      <c r="A16" s="21" t="s">
        <v>130</v>
      </c>
      <c r="B16" s="25" t="n">
        <f aca="false">B13+B14-B15</f>
        <v>1190000</v>
      </c>
      <c r="C16" s="26" t="n">
        <f aca="false">B16/$B$5</f>
        <v>0.053125</v>
      </c>
      <c r="D16" s="19" t="s">
        <v>131</v>
      </c>
    </row>
    <row r="17" customFormat="false" ht="15" hidden="false" customHeight="false" outlineLevel="0" collapsed="false">
      <c r="A17" s="19" t="s">
        <v>132</v>
      </c>
      <c r="B17" s="23" t="n">
        <v>262000</v>
      </c>
      <c r="C17" s="24" t="n">
        <f aca="false">B17/$B$5</f>
        <v>0.0116964285714286</v>
      </c>
      <c r="D17" s="19" t="s">
        <v>133</v>
      </c>
    </row>
    <row r="18" customFormat="false" ht="15" hidden="false" customHeight="false" outlineLevel="0" collapsed="false">
      <c r="A18" s="21" t="s">
        <v>134</v>
      </c>
      <c r="B18" s="25" t="n">
        <f aca="false">B16-B17</f>
        <v>928000</v>
      </c>
      <c r="C18" s="26" t="n">
        <f aca="false">B18/$B$5</f>
        <v>0.0414285714285714</v>
      </c>
      <c r="D18" s="19" t="s">
        <v>135</v>
      </c>
    </row>
    <row r="20" customFormat="false" ht="15" hidden="false" customHeight="false" outlineLevel="0" collapsed="false">
      <c r="A20" s="17" t="s">
        <v>136</v>
      </c>
    </row>
    <row r="21" customFormat="false" ht="15" hidden="false" customHeight="false" outlineLevel="0" collapsed="false">
      <c r="A21" s="19" t="s">
        <v>137</v>
      </c>
      <c r="B21" s="28" t="n">
        <f aca="false">B13/B5</f>
        <v>0.06</v>
      </c>
    </row>
    <row r="22" customFormat="false" ht="15" hidden="false" customHeight="false" outlineLevel="0" collapsed="false">
      <c r="A22" s="19" t="s">
        <v>138</v>
      </c>
      <c r="B22" s="29" t="n">
        <v>0.075</v>
      </c>
      <c r="D22" s="19" t="s">
        <v>139</v>
      </c>
    </row>
    <row r="23" customFormat="false" ht="15" hidden="false" customHeight="false" outlineLevel="0" collapsed="false">
      <c r="A23" s="19" t="s">
        <v>140</v>
      </c>
      <c r="B23" s="30" t="n">
        <f aca="false">(B21-B22)*100</f>
        <v>-1.5</v>
      </c>
    </row>
    <row r="24" customFormat="false" ht="15" hidden="false" customHeight="false" outlineLevel="0" collapsed="false">
      <c r="A24" s="21" t="s">
        <v>141</v>
      </c>
      <c r="B24" s="26" t="n">
        <f aca="false">(B6+B7+B9)/B5</f>
        <v>0.850446428571429</v>
      </c>
      <c r="D24" s="19" t="s">
        <v>142</v>
      </c>
    </row>
    <row r="26" customFormat="false" ht="15" hidden="false" customHeight="false" outlineLevel="0" collapsed="false">
      <c r="A26" s="17" t="s">
        <v>143</v>
      </c>
    </row>
    <row r="27" customFormat="false" ht="15" hidden="false" customHeight="false" outlineLevel="0" collapsed="false">
      <c r="A27" s="19" t="s">
        <v>144</v>
      </c>
      <c r="B27" s="31" t="str">
        <f aca="false">IF(ABS(B5-B12-B13)&lt;1,"OK — salgsinntekt minus sum driftskostnader er driftsresultatet","AVVIK: delsummene henger ikke sammen")</f>
        <v>OK — salgsinntekt minus sum driftskostnader er driftsresultatet</v>
      </c>
    </row>
    <row r="28" customFormat="false" ht="15" hidden="false" customHeight="false" outlineLevel="0" collapsed="false">
      <c r="A28" s="19" t="s">
        <v>145</v>
      </c>
      <c r="B28" s="31" t="str">
        <f aca="false">IF(B21&gt;=B22,"OK — Nordlys ligger på eller over bransjens driftsmargin","AVVIK: Nordlys ligger under bransjens driftsmargin. Det er riktig med tallene som ligger inne, og det er styrets problem — ikke bankens")</f>
        <v>AVVIK: Nordlys ligger under bransjens driftsmargin. Det er riktig med tallene som ligger inne, og det er styrets problem — ikke bankens</v>
      </c>
    </row>
    <row r="29" customFormat="false" ht="15" hidden="false" customHeight="false" outlineLevel="0" collapsed="false">
      <c r="A29" s="16" t="s">
        <v>146</v>
      </c>
    </row>
    <row r="30" customFormat="false" ht="15" hidden="false" customHeight="false" outlineLevel="0" collapsed="false">
      <c r="A30" s="19" t="s">
        <v>147</v>
      </c>
      <c r="B30" s="31" t="str">
        <f aca="false">IF(B10&gt;0,"OK — avskrivningene i B10 er en kostnad, men ingen penger gikk ut av kontoen i år. Legg dem tilbake når du vil anslå hvor mye penger driften ga","OK — ingen avskrivninger dette året")</f>
        <v>OK — avskrivningene i B10 er en kostnad, men ingen penger gikk ut av kontoen i år. Legg dem tilbake når du vil anslå hvor mye penger driften ga</v>
      </c>
    </row>
    <row r="32" customFormat="false" ht="15" hidden="false" customHeight="false" outlineLevel="0" collapsed="false">
      <c r="A32" s="17" t="s">
        <v>148</v>
      </c>
    </row>
    <row r="33" customFormat="false" ht="15" hidden="false" customHeight="false" outlineLevel="0" collapsed="false">
      <c r="A33" s="19" t="s">
        <v>149</v>
      </c>
    </row>
    <row r="34" customFormat="false" ht="15" hidden="false" customHeight="false" outlineLevel="0" collapsed="false">
      <c r="A34" s="19" t="s">
        <v>150</v>
      </c>
    </row>
    <row r="35" customFormat="false" ht="15" hidden="false" customHeight="false" outlineLevel="0" collapsed="false">
      <c r="A35" s="19" t="s">
        <v>151</v>
      </c>
    </row>
    <row r="36" customFormat="false" ht="15" hidden="false" customHeight="false" outlineLevel="0" collapsed="false">
      <c r="A36" s="16" t="s">
        <v>152</v>
      </c>
    </row>
  </sheetData>
  <conditionalFormatting sqref="B27">
    <cfRule type="expression" priority="2" aboveAverage="0" equalAverage="0" bottom="0" percent="0" rank="0" text="" dxfId="0">
      <formula>LEFT(B27,5)="AVVIK"</formula>
    </cfRule>
  </conditionalFormatting>
  <conditionalFormatting sqref="B28">
    <cfRule type="expression" priority="3" aboveAverage="0" equalAverage="0" bottom="0" percent="0" rank="0" text="" dxfId="0">
      <formula>LEFT(B28,5)="AVVIK"</formula>
    </cfRule>
  </conditionalFormatting>
  <conditionalFormatting sqref="B30">
    <cfRule type="expression" priority="4" aboveAverage="0" equalAverage="0" bottom="0" percent="0" rank="0" text="" dxfId="0">
      <formula>LEFT(B30,5)="AVVIK"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7"/>
    <col collapsed="false" customWidth="true" hidden="false" outlineLevel="0" max="3" min="3" style="0" width="3"/>
    <col collapsed="false" customWidth="true" hidden="false" outlineLevel="0" max="4" min="4" style="0" width="36"/>
    <col collapsed="false" customWidth="true" hidden="false" outlineLevel="0" max="5" min="5" style="0" width="17"/>
    <col collapsed="false" customWidth="true" hidden="false" outlineLevel="0" max="6" min="6" style="0" width="44"/>
  </cols>
  <sheetData>
    <row r="1" customFormat="false" ht="17.35" hidden="false" customHeight="false" outlineLevel="0" collapsed="false">
      <c r="A1" s="1" t="s">
        <v>153</v>
      </c>
    </row>
    <row r="2" customFormat="false" ht="15" hidden="false" customHeight="false" outlineLevel="0" collapsed="false">
      <c r="A2" s="15" t="s">
        <v>154</v>
      </c>
    </row>
    <row r="4" customFormat="false" ht="27.75" hidden="false" customHeight="true" outlineLevel="0" collapsed="false">
      <c r="A4" s="22" t="s">
        <v>155</v>
      </c>
      <c r="B4" s="22" t="s">
        <v>105</v>
      </c>
      <c r="D4" s="22" t="s">
        <v>156</v>
      </c>
      <c r="E4" s="22" t="s">
        <v>105</v>
      </c>
    </row>
    <row r="5" customFormat="false" ht="15" hidden="false" customHeight="false" outlineLevel="0" collapsed="false">
      <c r="A5" s="17" t="s">
        <v>157</v>
      </c>
      <c r="D5" s="17" t="s">
        <v>158</v>
      </c>
    </row>
    <row r="6" customFormat="false" ht="15" hidden="false" customHeight="false" outlineLevel="0" collapsed="false">
      <c r="A6" s="19" t="s">
        <v>159</v>
      </c>
      <c r="B6" s="23" t="n">
        <v>1200000</v>
      </c>
      <c r="D6" s="19" t="s">
        <v>160</v>
      </c>
      <c r="E6" s="23" t="n">
        <v>300000</v>
      </c>
    </row>
    <row r="7" customFormat="false" ht="15" hidden="false" customHeight="false" outlineLevel="0" collapsed="false">
      <c r="A7" s="19" t="s">
        <v>161</v>
      </c>
      <c r="B7" s="23" t="n">
        <v>2400000</v>
      </c>
      <c r="D7" s="19" t="s">
        <v>162</v>
      </c>
      <c r="E7" s="23" t="n">
        <v>2610000</v>
      </c>
    </row>
    <row r="8" customFormat="false" ht="15" hidden="false" customHeight="false" outlineLevel="0" collapsed="false">
      <c r="A8" s="21" t="s">
        <v>163</v>
      </c>
      <c r="B8" s="25" t="n">
        <f aca="false">SUM(B6:B7)</f>
        <v>3600000</v>
      </c>
      <c r="D8" s="21" t="s">
        <v>164</v>
      </c>
      <c r="E8" s="25" t="n">
        <f aca="false">SUM(E6:E7)</f>
        <v>2910000</v>
      </c>
    </row>
    <row r="10" customFormat="false" ht="15" hidden="false" customHeight="false" outlineLevel="0" collapsed="false">
      <c r="A10" s="17" t="s">
        <v>165</v>
      </c>
      <c r="D10" s="17" t="s">
        <v>166</v>
      </c>
    </row>
    <row r="11" customFormat="false" ht="15" hidden="false" customHeight="false" outlineLevel="0" collapsed="false">
      <c r="A11" s="19" t="s">
        <v>167</v>
      </c>
      <c r="B11" s="23" t="n">
        <v>1400000</v>
      </c>
      <c r="D11" s="19" t="s">
        <v>168</v>
      </c>
      <c r="E11" s="23" t="n">
        <v>2800000</v>
      </c>
      <c r="F11" s="19" t="s">
        <v>169</v>
      </c>
    </row>
    <row r="12" customFormat="false" ht="15" hidden="false" customHeight="false" outlineLevel="0" collapsed="false">
      <c r="A12" s="19" t="s">
        <v>170</v>
      </c>
      <c r="B12" s="23" t="n">
        <v>4200000</v>
      </c>
      <c r="D12" s="21" t="s">
        <v>171</v>
      </c>
      <c r="E12" s="25" t="n">
        <f aca="false">E11</f>
        <v>2800000</v>
      </c>
      <c r="F12" s="19" t="s">
        <v>172</v>
      </c>
    </row>
    <row r="13" customFormat="false" ht="15" hidden="false" customHeight="false" outlineLevel="0" collapsed="false">
      <c r="A13" s="19" t="s">
        <v>173</v>
      </c>
      <c r="B13" s="23" t="n">
        <v>1000000</v>
      </c>
      <c r="D13" s="17" t="s">
        <v>174</v>
      </c>
    </row>
    <row r="14" customFormat="false" ht="15" hidden="false" customHeight="false" outlineLevel="0" collapsed="false">
      <c r="A14" s="21" t="s">
        <v>175</v>
      </c>
      <c r="B14" s="25" t="n">
        <f aca="false">SUM(B11:B13)</f>
        <v>6600000</v>
      </c>
      <c r="D14" s="19" t="s">
        <v>176</v>
      </c>
      <c r="E14" s="23" t="n">
        <v>2100000</v>
      </c>
    </row>
    <row r="15" customFormat="false" ht="15" hidden="false" customHeight="false" outlineLevel="0" collapsed="false">
      <c r="D15" s="19" t="s">
        <v>177</v>
      </c>
      <c r="E15" s="23" t="n">
        <v>1200000</v>
      </c>
      <c r="F15" s="19" t="s">
        <v>178</v>
      </c>
    </row>
    <row r="16" customFormat="false" ht="15" hidden="false" customHeight="false" outlineLevel="0" collapsed="false">
      <c r="D16" s="19" t="s">
        <v>179</v>
      </c>
      <c r="E16" s="23" t="n">
        <v>890000</v>
      </c>
    </row>
    <row r="17" customFormat="false" ht="15" hidden="false" customHeight="false" outlineLevel="0" collapsed="false">
      <c r="D17" s="19" t="s">
        <v>180</v>
      </c>
      <c r="E17" s="23" t="n">
        <v>300000</v>
      </c>
      <c r="F17" s="19" t="s">
        <v>181</v>
      </c>
    </row>
    <row r="18" customFormat="false" ht="15" hidden="false" customHeight="false" outlineLevel="0" collapsed="false">
      <c r="D18" s="21" t="s">
        <v>182</v>
      </c>
      <c r="E18" s="25" t="n">
        <f aca="false">SUM(E14:E17)</f>
        <v>4490000</v>
      </c>
    </row>
    <row r="20" customFormat="false" ht="15" hidden="false" customHeight="false" outlineLevel="0" collapsed="false">
      <c r="A20" s="17" t="s">
        <v>183</v>
      </c>
      <c r="B20" s="25" t="n">
        <f aca="false">B8+B14</f>
        <v>10200000</v>
      </c>
      <c r="D20" s="17" t="s">
        <v>184</v>
      </c>
      <c r="E20" s="25" t="n">
        <f aca="false">E8+E12+E18</f>
        <v>10200000</v>
      </c>
    </row>
    <row r="22" customFormat="false" ht="15" hidden="false" customHeight="false" outlineLevel="0" collapsed="false">
      <c r="A22" s="17" t="s">
        <v>143</v>
      </c>
    </row>
    <row r="23" customFormat="false" ht="15" hidden="false" customHeight="false" outlineLevel="0" collapsed="false">
      <c r="A23" s="19" t="s">
        <v>185</v>
      </c>
      <c r="B23" s="32" t="n">
        <f aca="false">B20-E20</f>
        <v>0</v>
      </c>
    </row>
    <row r="24" customFormat="false" ht="15" hidden="false" customHeight="false" outlineLevel="0" collapsed="false">
      <c r="A24" s="19" t="s">
        <v>186</v>
      </c>
      <c r="B24" s="31" t="str">
        <f aca="false">IF(B23=0,"OK — de to sidene er like store","AVVIK: differansen står i B23. Hver krone bedriften rår over, har kommet fra eierne eller fra noen den skylder penger")</f>
        <v>OK — de to sidene er like store</v>
      </c>
    </row>
    <row r="26" customFormat="false" ht="15" hidden="false" customHeight="false" outlineLevel="0" collapsed="false">
      <c r="A26" s="17" t="s">
        <v>187</v>
      </c>
    </row>
    <row r="27" customFormat="false" ht="15" hidden="false" customHeight="false" outlineLevel="0" collapsed="false">
      <c r="A27" s="19" t="s">
        <v>188</v>
      </c>
      <c r="B27" s="32" t="n">
        <f aca="false">E8+E12</f>
        <v>5710000</v>
      </c>
    </row>
    <row r="28" customFormat="false" ht="15" hidden="false" customHeight="false" outlineLevel="0" collapsed="false">
      <c r="A28" s="19" t="s">
        <v>189</v>
      </c>
      <c r="B28" s="27" t="n">
        <f aca="false">B8</f>
        <v>3600000</v>
      </c>
    </row>
    <row r="29" customFormat="false" ht="15" hidden="false" customHeight="false" outlineLevel="0" collapsed="false">
      <c r="A29" s="19" t="s">
        <v>190</v>
      </c>
      <c r="B29" s="31" t="str">
        <f aca="false">IF(B27&gt;B28,"OK — den langsiktige finansieringen dekker anleggsmidlene, og det som er til overs finansierer en del av omløpsmidlene","AVVIK: anleggsmidlene er kortsiktig finansiert — bedriften låner kort og investerer langt")</f>
        <v>OK — den langsiktige finansieringen dekker anleggsmidlene, og det som er til overs finansierer en del av omløpsmidlene</v>
      </c>
    </row>
    <row r="30" customFormat="false" ht="15" hidden="false" customHeight="false" outlineLevel="0" collapsed="false">
      <c r="A30" s="19" t="s">
        <v>191</v>
      </c>
      <c r="B30" s="27" t="n">
        <f aca="false">E18</f>
        <v>4490000</v>
      </c>
    </row>
    <row r="31" customFormat="false" ht="15" hidden="false" customHeight="false" outlineLevel="0" collapsed="false">
      <c r="A31" s="19" t="s">
        <v>192</v>
      </c>
      <c r="B31" s="27" t="n">
        <f aca="false">B14</f>
        <v>6600000</v>
      </c>
    </row>
    <row r="32" customFormat="false" ht="15" hidden="false" customHeight="false" outlineLevel="0" collapsed="false">
      <c r="A32" s="19" t="s">
        <v>193</v>
      </c>
      <c r="B32" s="31" t="str">
        <f aca="false">IF(B30&lt;B31,"OK — omløpsmidlene dekker den kortsiktige gjelden","AVVIK: den kortsiktige gjelden er større enn omløpsmidlene — bedriften er ille ute")</f>
        <v>OK — omløpsmidlene dekker den kortsiktige gjelden</v>
      </c>
    </row>
    <row r="33" customFormat="false" ht="15" hidden="false" customHeight="false" outlineLevel="0" collapsed="false">
      <c r="A33" s="21" t="s">
        <v>194</v>
      </c>
      <c r="B33" s="25" t="n">
        <f aca="false">B14-E18</f>
        <v>2110000</v>
      </c>
      <c r="F33" s="19" t="s">
        <v>195</v>
      </c>
    </row>
    <row r="35" customFormat="false" ht="15" hidden="false" customHeight="false" outlineLevel="0" collapsed="false">
      <c r="A35" s="17" t="s">
        <v>196</v>
      </c>
    </row>
    <row r="36" customFormat="false" ht="15" hidden="false" customHeight="false" outlineLevel="0" collapsed="false">
      <c r="A36" s="19" t="s">
        <v>197</v>
      </c>
      <c r="B36" s="25" t="n">
        <f aca="false">B20-(E12+E18)</f>
        <v>2910000</v>
      </c>
      <c r="F36" s="19" t="s">
        <v>198</v>
      </c>
    </row>
    <row r="38" customFormat="false" ht="15" hidden="false" customHeight="false" outlineLevel="0" collapsed="false">
      <c r="A38" s="17" t="s">
        <v>199</v>
      </c>
      <c r="B38" s="26" t="n">
        <f aca="false">B13/B14</f>
        <v>0.151515151515152</v>
      </c>
      <c r="F38" s="19" t="s">
        <v>200</v>
      </c>
    </row>
    <row r="39" customFormat="false" ht="15" hidden="false" customHeight="false" outlineLevel="0" collapsed="false">
      <c r="A39" s="19" t="s">
        <v>201</v>
      </c>
      <c r="B39" s="32" t="n">
        <f aca="false">B11+B12</f>
        <v>5600000</v>
      </c>
    </row>
    <row r="40" customFormat="false" ht="15" hidden="false" customHeight="false" outlineLevel="0" collapsed="false">
      <c r="A40" s="19" t="s">
        <v>202</v>
      </c>
      <c r="B40" s="30" t="n">
        <f aca="false">B39/B13</f>
        <v>5.6</v>
      </c>
    </row>
    <row r="42" customFormat="false" ht="15" hidden="false" customHeight="false" outlineLevel="0" collapsed="false">
      <c r="A42" s="21" t="s">
        <v>203</v>
      </c>
    </row>
    <row r="43" customFormat="false" ht="15" hidden="false" customHeight="false" outlineLevel="0" collapsed="false">
      <c r="A43" s="16" t="s">
        <v>204</v>
      </c>
    </row>
  </sheetData>
  <conditionalFormatting sqref="B24">
    <cfRule type="expression" priority="2" aboveAverage="0" equalAverage="0" bottom="0" percent="0" rank="0" text="" dxfId="0">
      <formula>LEFT(B24,5)="AVVIK"</formula>
    </cfRule>
  </conditionalFormatting>
  <conditionalFormatting sqref="B29">
    <cfRule type="expression" priority="3" aboveAverage="0" equalAverage="0" bottom="0" percent="0" rank="0" text="" dxfId="0">
      <formula>LEFT(B29,5)="AVVIK"</formula>
    </cfRule>
  </conditionalFormatting>
  <conditionalFormatting sqref="B32">
    <cfRule type="expression" priority="4" aboveAverage="0" equalAverage="0" bottom="0" percent="0" rank="0" text="" dxfId="0">
      <formula>LEFT(B32,5)="AVVIK"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5"/>
    <col collapsed="false" customWidth="true" hidden="false" outlineLevel="0" max="3" min="3" style="0" width="13"/>
    <col collapsed="false" customWidth="true" hidden="false" outlineLevel="0" max="4" min="4" style="0" width="24"/>
    <col collapsed="false" customWidth="true" hidden="false" outlineLevel="0" max="5" min="5" style="0" width="18"/>
    <col collapsed="false" customWidth="true" hidden="false" outlineLevel="0" max="6" min="6" style="0" width="52"/>
  </cols>
  <sheetData>
    <row r="1" customFormat="false" ht="17.35" hidden="false" customHeight="false" outlineLevel="0" collapsed="false">
      <c r="A1" s="1" t="s">
        <v>205</v>
      </c>
    </row>
    <row r="2" customFormat="false" ht="15" hidden="false" customHeight="false" outlineLevel="0" collapsed="false">
      <c r="A2" s="15" t="s">
        <v>206</v>
      </c>
    </row>
    <row r="4" customFormat="false" ht="15" hidden="false" customHeight="false" outlineLevel="0" collapsed="false">
      <c r="A4" s="17" t="s">
        <v>207</v>
      </c>
    </row>
    <row r="5" customFormat="false" ht="15" hidden="false" customHeight="false" outlineLevel="0" collapsed="false">
      <c r="A5" s="19" t="s">
        <v>208</v>
      </c>
      <c r="B5" s="23" t="n">
        <v>30000</v>
      </c>
      <c r="D5" s="19" t="s">
        <v>209</v>
      </c>
      <c r="E5" s="33" t="n">
        <v>3</v>
      </c>
      <c r="F5" s="19" t="s">
        <v>210</v>
      </c>
    </row>
    <row r="6" customFormat="false" ht="15" hidden="false" customHeight="false" outlineLevel="0" collapsed="false">
      <c r="A6" s="16" t="s">
        <v>211</v>
      </c>
    </row>
    <row r="8" customFormat="false" ht="27.75" hidden="false" customHeight="true" outlineLevel="0" collapsed="false">
      <c r="A8" s="22" t="s">
        <v>212</v>
      </c>
      <c r="B8" s="22" t="s">
        <v>213</v>
      </c>
      <c r="C8" s="22" t="s">
        <v>214</v>
      </c>
      <c r="D8" s="22" t="s">
        <v>215</v>
      </c>
      <c r="E8" s="22" t="s">
        <v>216</v>
      </c>
      <c r="F8" s="22" t="s">
        <v>217</v>
      </c>
    </row>
    <row r="9" customFormat="false" ht="15" hidden="false" customHeight="false" outlineLevel="0" collapsed="false">
      <c r="A9" s="19" t="s">
        <v>218</v>
      </c>
      <c r="B9" s="23" t="n">
        <v>450000</v>
      </c>
      <c r="C9" s="33" t="n">
        <v>5</v>
      </c>
      <c r="D9" s="20" t="str">
        <f aca="false">IF(AND(B9&gt;=$B$5,C9&gt;=$E$5),"JA — i balansen","NEI — rett i resultatet")</f>
        <v>JA — i balansen</v>
      </c>
      <c r="E9" s="27" t="n">
        <f aca="false">IF(AND(B9&gt;=$B$5,C9&gt;=$E$5),B9/C9,B9)</f>
        <v>90000</v>
      </c>
      <c r="F9" s="19" t="s">
        <v>219</v>
      </c>
    </row>
    <row r="10" customFormat="false" ht="15" hidden="false" customHeight="false" outlineLevel="0" collapsed="false">
      <c r="A10" s="19" t="s">
        <v>220</v>
      </c>
      <c r="B10" s="23" t="n">
        <v>42000</v>
      </c>
      <c r="C10" s="33" t="n">
        <v>6</v>
      </c>
      <c r="D10" s="20" t="str">
        <f aca="false">IF(AND(B10&gt;=$B$5,C10&gt;=$E$5),"JA — i balansen","NEI — rett i resultatet")</f>
        <v>JA — i balansen</v>
      </c>
      <c r="E10" s="27" t="n">
        <f aca="false">IF(AND(B10&gt;=$B$5,C10&gt;=$E$5),B10/C10,B10)</f>
        <v>7000</v>
      </c>
      <c r="F10" s="19" t="s">
        <v>221</v>
      </c>
    </row>
    <row r="11" customFormat="false" ht="15" hidden="false" customHeight="false" outlineLevel="0" collapsed="false">
      <c r="A11" s="19" t="s">
        <v>222</v>
      </c>
      <c r="B11" s="23" t="n">
        <v>3500</v>
      </c>
      <c r="C11" s="33" t="n">
        <v>3</v>
      </c>
      <c r="D11" s="20" t="str">
        <f aca="false">IF(AND(B11&gt;=$B$5,C11&gt;=$E$5),"JA — i balansen","NEI — rett i resultatet")</f>
        <v>NEI — rett i resultatet</v>
      </c>
      <c r="E11" s="27" t="n">
        <f aca="false">IF(AND(B11&gt;=$B$5,C11&gt;=$E$5),B11/C11,B11)</f>
        <v>3500</v>
      </c>
      <c r="F11" s="19" t="s">
        <v>223</v>
      </c>
    </row>
    <row r="12" customFormat="false" ht="15" hidden="false" customHeight="false" outlineLevel="0" collapsed="false">
      <c r="A12" s="19" t="s">
        <v>224</v>
      </c>
      <c r="B12" s="23" t="n">
        <v>38000</v>
      </c>
      <c r="C12" s="33" t="n">
        <v>0</v>
      </c>
      <c r="D12" s="20" t="str">
        <f aca="false">IF(AND(B12&gt;=$B$5,C12&gt;=$E$5),"JA — i balansen","NEI — rett i resultatet")</f>
        <v>NEI — rett i resultatet</v>
      </c>
      <c r="E12" s="27" t="n">
        <f aca="false">IF(AND(B12&gt;=$B$5,C12&gt;=$E$5),B12/C12,B12)</f>
        <v>38000</v>
      </c>
      <c r="F12" s="19" t="s">
        <v>225</v>
      </c>
    </row>
    <row r="14" customFormat="false" ht="15" hidden="false" customHeight="false" outlineLevel="0" collapsed="false">
      <c r="A14" s="17" t="s">
        <v>226</v>
      </c>
    </row>
    <row r="15" customFormat="false" ht="15" hidden="false" customHeight="false" outlineLevel="0" collapsed="false">
      <c r="A15" s="21" t="s">
        <v>227</v>
      </c>
      <c r="B15" s="25" t="n">
        <f aca="false">SUM(E9:E12)</f>
        <v>138500</v>
      </c>
    </row>
    <row r="16" customFormat="false" ht="15" hidden="false" customHeight="false" outlineLevel="0" collapsed="false">
      <c r="A16" s="21" t="s">
        <v>228</v>
      </c>
      <c r="B16" s="25" t="n">
        <f aca="false">SUM(B9:B12)</f>
        <v>533500</v>
      </c>
    </row>
    <row r="17" customFormat="false" ht="15" hidden="false" customHeight="false" outlineLevel="0" collapsed="false">
      <c r="A17" s="21" t="s">
        <v>229</v>
      </c>
      <c r="B17" s="25" t="n">
        <f aca="false">B16-B15</f>
        <v>395000</v>
      </c>
      <c r="F17" s="19" t="s">
        <v>230</v>
      </c>
    </row>
    <row r="19" customFormat="false" ht="15" hidden="false" customHeight="false" outlineLevel="0" collapsed="false">
      <c r="A19" s="17" t="s">
        <v>143</v>
      </c>
    </row>
    <row r="20" customFormat="false" ht="15" hidden="false" customHeight="false" outlineLevel="0" collapsed="false">
      <c r="A20" s="19" t="s">
        <v>231</v>
      </c>
      <c r="B20" s="31" t="str">
        <f aca="false">IF(B17&gt;0,"OK — differansen i B17 ligger i balansen som anleggsmidler og kostnadsføres over flere år","OK — alt som er kjøpt, er også kostnadsført i år")</f>
        <v>OK — differansen i B17 ligger i balansen som anleggsmidler og kostnadsføres over flere år</v>
      </c>
    </row>
    <row r="21" customFormat="false" ht="15" hidden="false" customHeight="false" outlineLevel="0" collapsed="false">
      <c r="A21" s="19" t="s">
        <v>232</v>
      </c>
      <c r="B21" s="31" t="str">
        <f aca="false">IF(D12="NEI — rett i resultatet","OK — kabelen er montert hos kunden og brukt opp. Den er ikke et driftsmiddel, uansett hvor mye den koster","AVVIK: kabelen er ikke et driftsmiddel og skal aldri aktiveres — sett levetiden i C12 til 0")</f>
        <v>OK — kabelen er montert hos kunden og brukt opp. Den er ikke et driftsmiddel, uansett hvor mye den koster</v>
      </c>
    </row>
    <row r="23" customFormat="false" ht="15" hidden="false" customHeight="false" outlineLevel="0" collapsed="false">
      <c r="A23" s="17" t="s">
        <v>233</v>
      </c>
    </row>
    <row r="24" customFormat="false" ht="27.75" hidden="false" customHeight="true" outlineLevel="0" collapsed="false">
      <c r="A24" s="22" t="s">
        <v>234</v>
      </c>
      <c r="B24" s="22" t="s">
        <v>235</v>
      </c>
      <c r="C24" s="22" t="s">
        <v>236</v>
      </c>
    </row>
    <row r="25" customFormat="false" ht="15" hidden="false" customHeight="false" outlineLevel="0" collapsed="false">
      <c r="A25" s="19" t="s">
        <v>237</v>
      </c>
      <c r="B25" s="27" t="n">
        <f aca="false">IF(1&lt;=$C$9,$E$9,0)</f>
        <v>90000</v>
      </c>
      <c r="C25" s="27" t="n">
        <f aca="false">MAX($B$9-$E$9*MIN(1,$C$9),0)</f>
        <v>360000</v>
      </c>
      <c r="E25" s="19" t="s">
        <v>238</v>
      </c>
    </row>
    <row r="26" customFormat="false" ht="15" hidden="false" customHeight="false" outlineLevel="0" collapsed="false">
      <c r="A26" s="19" t="s">
        <v>239</v>
      </c>
      <c r="B26" s="27" t="n">
        <f aca="false">IF(2&lt;=$C$9,$E$9,0)</f>
        <v>90000</v>
      </c>
      <c r="C26" s="27" t="n">
        <f aca="false">MAX($B$9-$E$9*MIN(2,$C$9),0)</f>
        <v>270000</v>
      </c>
      <c r="E26" s="19" t="s">
        <v>240</v>
      </c>
    </row>
    <row r="27" customFormat="false" ht="15" hidden="false" customHeight="false" outlineLevel="0" collapsed="false">
      <c r="A27" s="19" t="s">
        <v>241</v>
      </c>
      <c r="B27" s="27" t="n">
        <f aca="false">IF(3&lt;=$C$9,$E$9,0)</f>
        <v>90000</v>
      </c>
      <c r="C27" s="27" t="n">
        <f aca="false">MAX($B$9-$E$9*MIN(3,$C$9),0)</f>
        <v>180000</v>
      </c>
    </row>
    <row r="28" customFormat="false" ht="15" hidden="false" customHeight="false" outlineLevel="0" collapsed="false">
      <c r="A28" s="19" t="s">
        <v>242</v>
      </c>
      <c r="B28" s="27" t="n">
        <f aca="false">IF(4&lt;=$C$9,$E$9,0)</f>
        <v>90000</v>
      </c>
      <c r="C28" s="27" t="n">
        <f aca="false">MAX($B$9-$E$9*MIN(4,$C$9),0)</f>
        <v>90000</v>
      </c>
    </row>
    <row r="29" customFormat="false" ht="15" hidden="false" customHeight="false" outlineLevel="0" collapsed="false">
      <c r="A29" s="19" t="s">
        <v>243</v>
      </c>
      <c r="B29" s="27" t="n">
        <f aca="false">IF(5&lt;=$C$9,$E$9,0)</f>
        <v>90000</v>
      </c>
      <c r="C29" s="27" t="n">
        <f aca="false">MAX($B$9-$E$9*MIN(5,$C$9),0)</f>
        <v>0</v>
      </c>
    </row>
    <row r="30" customFormat="false" ht="15" hidden="false" customHeight="false" outlineLevel="0" collapsed="false">
      <c r="A30" s="19" t="s">
        <v>244</v>
      </c>
      <c r="B30" s="27" t="n">
        <f aca="false">IF(6&lt;=$C$9,$E$9,0)</f>
        <v>0</v>
      </c>
      <c r="C30" s="27" t="n">
        <f aca="false">MAX($B$9-$E$9*MIN(6,$C$9),0)</f>
        <v>0</v>
      </c>
    </row>
    <row r="31" customFormat="false" ht="15" hidden="false" customHeight="false" outlineLevel="0" collapsed="false">
      <c r="A31" s="19" t="s">
        <v>245</v>
      </c>
      <c r="B31" s="27" t="n">
        <f aca="false">IF(7&lt;=$C$9,$E$9,0)</f>
        <v>0</v>
      </c>
      <c r="C31" s="27" t="n">
        <f aca="false">MAX($B$9-$E$9*MIN(7,$C$9),0)</f>
        <v>0</v>
      </c>
    </row>
    <row r="33" customFormat="false" ht="15" hidden="false" customHeight="false" outlineLevel="0" collapsed="false">
      <c r="A33" s="21" t="s">
        <v>246</v>
      </c>
    </row>
    <row r="34" customFormat="false" ht="15" hidden="false" customHeight="false" outlineLevel="0" collapsed="false">
      <c r="A34" s="16" t="s">
        <v>247</v>
      </c>
    </row>
  </sheetData>
  <conditionalFormatting sqref="B20">
    <cfRule type="expression" priority="2" aboveAverage="0" equalAverage="0" bottom="0" percent="0" rank="0" text="" dxfId="0">
      <formula>LEFT(B20,5)="AVVIK"</formula>
    </cfRule>
  </conditionalFormatting>
  <conditionalFormatting sqref="B21">
    <cfRule type="expression" priority="3" aboveAverage="0" equalAverage="0" bottom="0" percent="0" rank="0" text="" dxfId="0">
      <formula>LEFT(B21,5)="AVVIK"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44"/>
    <col collapsed="false" customWidth="true" hidden="false" outlineLevel="0" max="4" min="4" style="0" width="18"/>
    <col collapsed="false" customWidth="true" hidden="false" outlineLevel="0" max="5" min="5" style="0" width="44"/>
  </cols>
  <sheetData>
    <row r="1" customFormat="false" ht="17.35" hidden="false" customHeight="false" outlineLevel="0" collapsed="false">
      <c r="A1" s="1" t="s">
        <v>248</v>
      </c>
    </row>
    <row r="2" customFormat="false" ht="15" hidden="false" customHeight="false" outlineLevel="0" collapsed="false">
      <c r="A2" s="15" t="s">
        <v>249</v>
      </c>
    </row>
    <row r="4" customFormat="false" ht="15" hidden="false" customHeight="false" outlineLevel="0" collapsed="false">
      <c r="A4" s="17" t="s">
        <v>250</v>
      </c>
    </row>
    <row r="5" customFormat="false" ht="27.75" hidden="false" customHeight="true" outlineLevel="0" collapsed="false">
      <c r="A5" s="22" t="s">
        <v>104</v>
      </c>
      <c r="B5" s="22" t="s">
        <v>105</v>
      </c>
      <c r="C5" s="22" t="s">
        <v>251</v>
      </c>
    </row>
    <row r="6" customFormat="false" ht="15" hidden="false" customHeight="false" outlineLevel="0" collapsed="false">
      <c r="A6" s="19" t="s">
        <v>252</v>
      </c>
      <c r="B6" s="25" t="n">
        <f aca="false">Balanse!B20</f>
        <v>10200000</v>
      </c>
      <c r="C6" s="19" t="s">
        <v>253</v>
      </c>
    </row>
    <row r="7" customFormat="false" ht="15" hidden="false" customHeight="false" outlineLevel="0" collapsed="false">
      <c r="A7" s="19" t="s">
        <v>164</v>
      </c>
      <c r="B7" s="25" t="n">
        <f aca="false">Balanse!E8</f>
        <v>2910000</v>
      </c>
      <c r="C7" s="19" t="s">
        <v>254</v>
      </c>
    </row>
    <row r="8" customFormat="false" ht="15" hidden="false" customHeight="false" outlineLevel="0" collapsed="false">
      <c r="A8" s="19" t="s">
        <v>182</v>
      </c>
      <c r="B8" s="25" t="n">
        <f aca="false">Balanse!E18</f>
        <v>4490000</v>
      </c>
      <c r="C8" s="19" t="s">
        <v>255</v>
      </c>
    </row>
    <row r="9" customFormat="false" ht="15" hidden="false" customHeight="false" outlineLevel="0" collapsed="false">
      <c r="A9" s="19" t="s">
        <v>175</v>
      </c>
      <c r="B9" s="25" t="n">
        <f aca="false">Balanse!B14</f>
        <v>6600000</v>
      </c>
      <c r="C9" s="19" t="s">
        <v>256</v>
      </c>
    </row>
    <row r="10" customFormat="false" ht="15" hidden="false" customHeight="false" outlineLevel="0" collapsed="false">
      <c r="A10" s="19" t="s">
        <v>167</v>
      </c>
      <c r="B10" s="25" t="n">
        <f aca="false">Balanse!B11</f>
        <v>1400000</v>
      </c>
      <c r="C10" s="19" t="s">
        <v>257</v>
      </c>
    </row>
    <row r="12" customFormat="false" ht="15" hidden="false" customHeight="false" outlineLevel="0" collapsed="false">
      <c r="A12" s="17" t="s">
        <v>258</v>
      </c>
    </row>
    <row r="13" customFormat="false" ht="27.75" hidden="false" customHeight="true" outlineLevel="0" collapsed="false">
      <c r="A13" s="22" t="s">
        <v>259</v>
      </c>
      <c r="B13" s="22" t="s">
        <v>260</v>
      </c>
      <c r="C13" s="22" t="s">
        <v>261</v>
      </c>
      <c r="D13" s="22" t="s">
        <v>262</v>
      </c>
      <c r="E13" s="22" t="s">
        <v>263</v>
      </c>
    </row>
    <row r="14" customFormat="false" ht="15" hidden="false" customHeight="false" outlineLevel="0" collapsed="false">
      <c r="A14" s="19" t="s">
        <v>264</v>
      </c>
      <c r="B14" s="19" t="s">
        <v>265</v>
      </c>
      <c r="C14" s="26" t="n">
        <f aca="false">B7/B6</f>
        <v>0.285294117647059</v>
      </c>
      <c r="D14" s="29" t="n">
        <v>0.362</v>
      </c>
      <c r="E14" s="20" t="str">
        <f aca="false">IF(C14&gt;=D14,"På eller over bransjen","Under bransjen")</f>
        <v>Under bransjen</v>
      </c>
    </row>
    <row r="15" customFormat="false" ht="15" hidden="false" customHeight="false" outlineLevel="0" collapsed="false">
      <c r="A15" s="19" t="s">
        <v>266</v>
      </c>
      <c r="B15" s="19" t="s">
        <v>267</v>
      </c>
      <c r="C15" s="34" t="n">
        <f aca="false">(B6-B7)/B7</f>
        <v>2.50515463917526</v>
      </c>
      <c r="D15" s="35" t="n">
        <v>5</v>
      </c>
      <c r="E15" s="20" t="str">
        <f aca="false">IF(C15&lt;=D15,"Innenfor grensen","Over grensen")</f>
        <v>Innenfor grensen</v>
      </c>
    </row>
    <row r="16" customFormat="false" ht="15" hidden="false" customHeight="false" outlineLevel="0" collapsed="false">
      <c r="A16" s="19" t="s">
        <v>268</v>
      </c>
      <c r="B16" s="19" t="s">
        <v>269</v>
      </c>
      <c r="C16" s="26" t="n">
        <f aca="false">B9/B8</f>
        <v>1.46993318485523</v>
      </c>
      <c r="D16" s="29" t="n">
        <v>2</v>
      </c>
      <c r="E16" s="20" t="str">
        <f aca="false">IF(C16&gt;=D16,"Over normtallet","Under normtallet")</f>
        <v>Under normtallet</v>
      </c>
    </row>
    <row r="17" customFormat="false" ht="15" hidden="false" customHeight="false" outlineLevel="0" collapsed="false">
      <c r="A17" s="19" t="s">
        <v>270</v>
      </c>
      <c r="B17" s="19" t="s">
        <v>271</v>
      </c>
      <c r="C17" s="26" t="n">
        <f aca="false">(B9-B10)/B8</f>
        <v>1.15812917594655</v>
      </c>
      <c r="D17" s="29" t="n">
        <v>1</v>
      </c>
      <c r="E17" s="20" t="str">
        <f aca="false">IF(C17&gt;=D17,"Over normtallet","Under normtallet")</f>
        <v>Over normtallet</v>
      </c>
    </row>
    <row r="19" customFormat="false" ht="15" hidden="false" customHeight="false" outlineLevel="0" collapsed="false">
      <c r="A19" s="17" t="s">
        <v>272</v>
      </c>
    </row>
    <row r="20" customFormat="false" ht="15" hidden="false" customHeight="false" outlineLevel="0" collapsed="false">
      <c r="A20" s="19" t="s">
        <v>273</v>
      </c>
      <c r="B20" s="23" t="n">
        <v>9400000</v>
      </c>
    </row>
    <row r="21" customFormat="false" ht="15" hidden="false" customHeight="false" outlineLevel="0" collapsed="false">
      <c r="A21" s="19" t="s">
        <v>274</v>
      </c>
      <c r="B21" s="27" t="n">
        <f aca="false">B6</f>
        <v>10200000</v>
      </c>
    </row>
    <row r="22" customFormat="false" ht="15" hidden="false" customHeight="false" outlineLevel="0" collapsed="false">
      <c r="A22" s="21" t="s">
        <v>275</v>
      </c>
      <c r="B22" s="25" t="n">
        <f aca="false">(B20+B21)/2</f>
        <v>9800000</v>
      </c>
      <c r="C22" s="19" t="s">
        <v>276</v>
      </c>
    </row>
    <row r="23" customFormat="false" ht="15" hidden="false" customHeight="false" outlineLevel="0" collapsed="false">
      <c r="A23" s="19" t="s">
        <v>277</v>
      </c>
      <c r="B23" s="27" t="n">
        <f aca="false">B7-Resultat!B18</f>
        <v>1982000</v>
      </c>
      <c r="C23" s="19" t="s">
        <v>278</v>
      </c>
    </row>
    <row r="24" customFormat="false" ht="15" hidden="false" customHeight="false" outlineLevel="0" collapsed="false">
      <c r="A24" s="19" t="s">
        <v>279</v>
      </c>
      <c r="B24" s="27" t="n">
        <f aca="false">B7</f>
        <v>2910000</v>
      </c>
    </row>
    <row r="25" customFormat="false" ht="15" hidden="false" customHeight="false" outlineLevel="0" collapsed="false">
      <c r="A25" s="21" t="s">
        <v>280</v>
      </c>
      <c r="B25" s="25" t="n">
        <f aca="false">(B23+B24)/2</f>
        <v>2446000</v>
      </c>
      <c r="C25" s="19" t="s">
        <v>281</v>
      </c>
    </row>
    <row r="27" customFormat="false" ht="15" hidden="false" customHeight="false" outlineLevel="0" collapsed="false">
      <c r="A27" s="17" t="s">
        <v>143</v>
      </c>
    </row>
    <row r="28" customFormat="false" ht="15" hidden="false" customHeight="false" outlineLevel="0" collapsed="false">
      <c r="A28" s="19" t="s">
        <v>282</v>
      </c>
      <c r="B28" s="31" t="str">
        <f aca="false">IF(AND(B6=Balanse!B20,B7=Balanse!E8,B8=Balanse!E18,B9=Balanse!B14,B10=Balanse!B11),"OK — alle fem er formler mot arket Balanse. Endrer du en post der, endrer nøkkeltallet seg her","AVVIK: en av koblingene er brutt")</f>
        <v>OK — alle fem er formler mot arket Balanse. Endrer du en post der, endrer nøkkeltallet seg her</v>
      </c>
    </row>
    <row r="29" customFormat="false" ht="15" hidden="false" customHeight="false" outlineLevel="0" collapsed="false">
      <c r="A29" s="19" t="s">
        <v>283</v>
      </c>
      <c r="B29" s="31" t="str">
        <f aca="false">IF(AND(C14&gt;0,C14&lt;1),"OK — egenkapitalandelen er en andel av totalkapitalen","AVVIK: egenkapitalen kan ikke være større enn totalkapitalen eller negativ")</f>
        <v>OK — egenkapitalandelen er en andel av totalkapitalen</v>
      </c>
    </row>
    <row r="30" customFormat="false" ht="15" hidden="false" customHeight="false" outlineLevel="0" collapsed="false">
      <c r="A30" s="19" t="s">
        <v>284</v>
      </c>
      <c r="B30" s="31" t="str">
        <f aca="false">IF(C17&lt;=C16,"OK — grad 2 er alltid lavest, fordi varelageret er trukket ut","AVVIK: varelageret kan ikke være negativt")</f>
        <v>OK — grad 2 er alltid lavest, fordi varelageret er trukket ut</v>
      </c>
    </row>
    <row r="32" customFormat="false" ht="15" hidden="false" customHeight="false" outlineLevel="0" collapsed="false">
      <c r="A32" s="21" t="s">
        <v>285</v>
      </c>
    </row>
    <row r="33" customFormat="false" ht="15" hidden="false" customHeight="false" outlineLevel="0" collapsed="false">
      <c r="A33" s="19" t="s">
        <v>286</v>
      </c>
    </row>
    <row r="34" customFormat="false" ht="15" hidden="false" customHeight="false" outlineLevel="0" collapsed="false">
      <c r="A34" s="16" t="s">
        <v>287</v>
      </c>
    </row>
  </sheetData>
  <conditionalFormatting sqref="B28">
    <cfRule type="expression" priority="2" aboveAverage="0" equalAverage="0" bottom="0" percent="0" rank="0" text="" dxfId="0">
      <formula>LEFT(B28,5)="AVVIK"</formula>
    </cfRule>
  </conditionalFormatting>
  <conditionalFormatting sqref="B29">
    <cfRule type="expression" priority="3" aboveAverage="0" equalAverage="0" bottom="0" percent="0" rank="0" text="" dxfId="0">
      <formula>LEFT(B29,5)="AVVIK"</formula>
    </cfRule>
  </conditionalFormatting>
  <conditionalFormatting sqref="B30">
    <cfRule type="expression" priority="4" aboveAverage="0" equalAverage="0" bottom="0" percent="0" rank="0" text="" dxfId="0">
      <formula>LEFT(B30,5)="AVVIK"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7"/>
    <col collapsed="false" customWidth="true" hidden="false" outlineLevel="0" max="3" min="3" style="0" width="12"/>
    <col collapsed="false" customWidth="true" hidden="false" outlineLevel="0" max="4" min="4" style="0" width="36"/>
    <col collapsed="false" customWidth="true" hidden="false" outlineLevel="0" max="5" min="5" style="0" width="17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1" t="s">
        <v>288</v>
      </c>
    </row>
    <row r="2" customFormat="false" ht="15" hidden="false" customHeight="false" outlineLevel="0" collapsed="false">
      <c r="A2" s="15" t="s">
        <v>289</v>
      </c>
    </row>
    <row r="4" customFormat="false" ht="15" hidden="false" customHeight="false" outlineLevel="0" collapsed="false">
      <c r="A4" s="19" t="s">
        <v>290</v>
      </c>
      <c r="B4" s="18" t="s">
        <v>291</v>
      </c>
      <c r="D4" s="19" t="s">
        <v>292</v>
      </c>
      <c r="E4" s="33" t="n">
        <v>2026</v>
      </c>
    </row>
    <row r="6" customFormat="false" ht="27.75" hidden="false" customHeight="true" outlineLevel="0" collapsed="false">
      <c r="A6" s="22" t="s">
        <v>293</v>
      </c>
      <c r="B6" s="22" t="s">
        <v>105</v>
      </c>
      <c r="C6" s="22" t="s">
        <v>106</v>
      </c>
      <c r="D6" s="22" t="s">
        <v>45</v>
      </c>
      <c r="E6" s="22" t="s">
        <v>105</v>
      </c>
    </row>
    <row r="7" customFormat="false" ht="15" hidden="false" customHeight="false" outlineLevel="0" collapsed="false">
      <c r="A7" s="19" t="s">
        <v>294</v>
      </c>
      <c r="B7" s="23" t="n">
        <v>0</v>
      </c>
      <c r="C7" s="24" t="str">
        <f aca="false">IF($B$7=0,"",B7/$B$7)</f>
        <v/>
      </c>
      <c r="D7" s="19" t="s">
        <v>163</v>
      </c>
      <c r="E7" s="23" t="n">
        <v>0</v>
      </c>
    </row>
    <row r="8" customFormat="false" ht="15" hidden="false" customHeight="false" outlineLevel="0" collapsed="false">
      <c r="A8" s="19" t="s">
        <v>295</v>
      </c>
      <c r="B8" s="23" t="n">
        <v>0</v>
      </c>
      <c r="C8" s="24" t="str">
        <f aca="false">IF($B$7=0,"",B8/$B$7)</f>
        <v/>
      </c>
      <c r="D8" s="19" t="s">
        <v>167</v>
      </c>
      <c r="E8" s="23" t="n">
        <v>0</v>
      </c>
    </row>
    <row r="9" customFormat="false" ht="15" hidden="false" customHeight="false" outlineLevel="0" collapsed="false">
      <c r="A9" s="21" t="s">
        <v>114</v>
      </c>
      <c r="B9" s="25" t="n">
        <f aca="false">B7-B8</f>
        <v>0</v>
      </c>
      <c r="C9" s="26" t="str">
        <f aca="false">IF($B$7=0,"",B9/$B$7)</f>
        <v/>
      </c>
      <c r="D9" s="19" t="s">
        <v>170</v>
      </c>
      <c r="E9" s="23" t="n">
        <v>0</v>
      </c>
    </row>
    <row r="10" customFormat="false" ht="15" hidden="false" customHeight="false" outlineLevel="0" collapsed="false">
      <c r="A10" s="19" t="s">
        <v>116</v>
      </c>
      <c r="B10" s="23" t="n">
        <v>0</v>
      </c>
      <c r="C10" s="24" t="str">
        <f aca="false">IF($B$7=0,"",B10/$B$7)</f>
        <v/>
      </c>
      <c r="D10" s="19" t="s">
        <v>173</v>
      </c>
      <c r="E10" s="23" t="n">
        <v>0</v>
      </c>
    </row>
    <row r="11" customFormat="false" ht="15" hidden="false" customHeight="false" outlineLevel="0" collapsed="false">
      <c r="A11" s="19" t="s">
        <v>118</v>
      </c>
      <c r="B11" s="23" t="n">
        <v>0</v>
      </c>
      <c r="C11" s="24" t="str">
        <f aca="false">IF($B$7=0,"",B11/$B$7)</f>
        <v/>
      </c>
      <c r="D11" s="21" t="s">
        <v>296</v>
      </c>
      <c r="E11" s="25" t="n">
        <f aca="false">SUM(E8:E10)</f>
        <v>0</v>
      </c>
    </row>
    <row r="12" customFormat="false" ht="15" hidden="false" customHeight="false" outlineLevel="0" collapsed="false">
      <c r="A12" s="19" t="s">
        <v>120</v>
      </c>
      <c r="B12" s="23" t="n">
        <v>0</v>
      </c>
      <c r="C12" s="24" t="str">
        <f aca="false">IF($B$7=0,"",B12/$B$7)</f>
        <v/>
      </c>
      <c r="D12" s="21" t="s">
        <v>297</v>
      </c>
      <c r="E12" s="25" t="n">
        <f aca="false">E7+E11</f>
        <v>0</v>
      </c>
    </row>
    <row r="13" customFormat="false" ht="15" hidden="false" customHeight="false" outlineLevel="0" collapsed="false">
      <c r="A13" s="21" t="s">
        <v>124</v>
      </c>
      <c r="B13" s="25" t="n">
        <f aca="false">B9-B10-B11-B12</f>
        <v>0</v>
      </c>
      <c r="C13" s="26" t="str">
        <f aca="false">IF($B$7=0,"",B13/$B$7)</f>
        <v/>
      </c>
      <c r="D13" s="19" t="s">
        <v>164</v>
      </c>
      <c r="E13" s="23" t="n">
        <v>0</v>
      </c>
    </row>
    <row r="14" customFormat="false" ht="15" hidden="false" customHeight="false" outlineLevel="0" collapsed="false">
      <c r="A14" s="19" t="s">
        <v>298</v>
      </c>
      <c r="B14" s="23" t="n">
        <v>0</v>
      </c>
      <c r="D14" s="19" t="s">
        <v>299</v>
      </c>
      <c r="E14" s="23" t="n">
        <v>0</v>
      </c>
    </row>
    <row r="15" customFormat="false" ht="15" hidden="false" customHeight="false" outlineLevel="0" collapsed="false">
      <c r="A15" s="21" t="s">
        <v>130</v>
      </c>
      <c r="B15" s="25" t="n">
        <f aca="false">B13+B14</f>
        <v>0</v>
      </c>
      <c r="D15" s="19" t="s">
        <v>191</v>
      </c>
      <c r="E15" s="23" t="n">
        <v>0</v>
      </c>
    </row>
    <row r="16" customFormat="false" ht="15" hidden="false" customHeight="false" outlineLevel="0" collapsed="false">
      <c r="A16" s="19" t="s">
        <v>132</v>
      </c>
      <c r="B16" s="23" t="n">
        <v>0</v>
      </c>
      <c r="D16" s="21" t="s">
        <v>300</v>
      </c>
      <c r="E16" s="25" t="n">
        <f aca="false">E13+E14+E15</f>
        <v>0</v>
      </c>
    </row>
    <row r="17" customFormat="false" ht="15" hidden="false" customHeight="false" outlineLevel="0" collapsed="false">
      <c r="A17" s="21" t="s">
        <v>134</v>
      </c>
      <c r="B17" s="25" t="n">
        <f aca="false">B15-B16</f>
        <v>0</v>
      </c>
      <c r="C17" s="26" t="str">
        <f aca="false">IF($B$7=0,"",B17/$B$7)</f>
        <v/>
      </c>
      <c r="D17" s="19" t="s">
        <v>301</v>
      </c>
      <c r="E17" s="25" t="n">
        <f aca="false">E12-E16</f>
        <v>0</v>
      </c>
      <c r="F17" s="19" t="s">
        <v>302</v>
      </c>
    </row>
    <row r="19" customFormat="false" ht="15" hidden="false" customHeight="false" outlineLevel="0" collapsed="false">
      <c r="A19" s="17" t="s">
        <v>303</v>
      </c>
    </row>
    <row r="20" customFormat="false" ht="15" hidden="false" customHeight="false" outlineLevel="0" collapsed="false">
      <c r="A20" s="19" t="s">
        <v>304</v>
      </c>
      <c r="B20" s="28" t="str">
        <f aca="false">IF($B$7=0,"",B13/$B$7)</f>
        <v/>
      </c>
      <c r="D20" s="19" t="s">
        <v>305</v>
      </c>
      <c r="E20" s="29" t="n">
        <v>0.075</v>
      </c>
    </row>
    <row r="21" customFormat="false" ht="15" hidden="false" customHeight="false" outlineLevel="0" collapsed="false">
      <c r="A21" s="19" t="s">
        <v>306</v>
      </c>
      <c r="B21" s="28" t="str">
        <f aca="false">IF($B$7=0,"",B10/$B$7)</f>
        <v/>
      </c>
      <c r="F21" s="19" t="s">
        <v>307</v>
      </c>
    </row>
    <row r="22" customFormat="false" ht="15" hidden="false" customHeight="false" outlineLevel="0" collapsed="false">
      <c r="A22" s="19" t="s">
        <v>264</v>
      </c>
      <c r="B22" s="28" t="str">
        <f aca="false">IF(E12=0,"",E13/E12)</f>
        <v/>
      </c>
      <c r="D22" s="19" t="s">
        <v>305</v>
      </c>
      <c r="E22" s="29" t="n">
        <v>0.362</v>
      </c>
    </row>
    <row r="23" customFormat="false" ht="15" hidden="false" customHeight="false" outlineLevel="0" collapsed="false">
      <c r="A23" s="19" t="s">
        <v>308</v>
      </c>
      <c r="B23" s="32" t="str">
        <f aca="false">IF(E12=0,"",E11-E15)</f>
        <v/>
      </c>
      <c r="F23" s="19" t="s">
        <v>309</v>
      </c>
    </row>
    <row r="25" customFormat="false" ht="15" hidden="false" customHeight="false" outlineLevel="0" collapsed="false">
      <c r="A25" s="17" t="s">
        <v>143</v>
      </c>
    </row>
    <row r="26" customFormat="false" ht="15" hidden="false" customHeight="false" outlineLevel="0" collapsed="false">
      <c r="A26" s="19" t="s">
        <v>310</v>
      </c>
      <c r="B26" s="31" t="str">
        <f aca="false">IF(E12=0,"Ikke fylt ut ennå",IF(E17=0,"OK — de to sidene er like store","AVVIK: differansen står i E17 — du har glemt en post"))</f>
        <v>Ikke fylt ut ennå</v>
      </c>
    </row>
    <row r="27" customFormat="false" ht="15" hidden="false" customHeight="false" outlineLevel="0" collapsed="false">
      <c r="A27" s="19" t="s">
        <v>311</v>
      </c>
      <c r="B27" s="31" t="str">
        <f aca="false">IF(E12=0,"Ikke fylt ut ennå",IF(E13+E14&gt;E7,"OK — egenkapital og langsiktig gjeld dekker anleggsmidlene","AVVIK: anleggsmidlene er kortsiktig finansiert"))</f>
        <v>Ikke fylt ut ennå</v>
      </c>
    </row>
    <row r="28" customFormat="false" ht="15" hidden="false" customHeight="false" outlineLevel="0" collapsed="false">
      <c r="A28" s="19" t="s">
        <v>312</v>
      </c>
      <c r="B28" s="31" t="str">
        <f aca="false">IF(E12=0,"Ikke fylt ut ennå",IF(E11&gt;E15,"OK — arbeidskapitalen er positiv","AVVIK: den kortsiktige gjelden er større enn omløpsmidlene"))</f>
        <v>Ikke fylt ut ennå</v>
      </c>
    </row>
    <row r="30" customFormat="false" ht="15" hidden="false" customHeight="false" outlineLevel="0" collapsed="false">
      <c r="A30" s="21" t="s">
        <v>313</v>
      </c>
    </row>
  </sheetData>
  <conditionalFormatting sqref="B26">
    <cfRule type="expression" priority="2" aboveAverage="0" equalAverage="0" bottom="0" percent="0" rank="0" text="" dxfId="0">
      <formula>LEFT(B26,5)="AVVIK"</formula>
    </cfRule>
  </conditionalFormatting>
  <conditionalFormatting sqref="B27">
    <cfRule type="expression" priority="3" aboveAverage="0" equalAverage="0" bottom="0" percent="0" rank="0" text="" dxfId="0">
      <formula>LEFT(B27,5)="AVVIK"</formula>
    </cfRule>
  </conditionalFormatting>
  <conditionalFormatting sqref="B28">
    <cfRule type="expression" priority="4" aboveAverage="0" equalAverage="0" bottom="0" percent="0" rank="0" text="" dxfId="0">
      <formula>LEFT(B28,5)="AVVIK"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4" min="2" style="0" width="18"/>
    <col collapsed="false" customWidth="true" hidden="false" outlineLevel="0" max="5" min="5" style="0" width="54"/>
  </cols>
  <sheetData>
    <row r="1" customFormat="false" ht="17.35" hidden="false" customHeight="false" outlineLevel="0" collapsed="false">
      <c r="A1" s="1" t="s">
        <v>314</v>
      </c>
    </row>
    <row r="2" customFormat="false" ht="15" hidden="false" customHeight="false" outlineLevel="0" collapsed="false">
      <c r="A2" s="15" t="s">
        <v>315</v>
      </c>
    </row>
    <row r="4" customFormat="false" ht="15" hidden="false" customHeight="false" outlineLevel="0" collapsed="false">
      <c r="A4" s="17" t="s">
        <v>316</v>
      </c>
    </row>
    <row r="5" customFormat="false" ht="15" hidden="false" customHeight="false" outlineLevel="0" collapsed="false">
      <c r="A5" s="16" t="s">
        <v>317</v>
      </c>
    </row>
    <row r="7" customFormat="false" ht="15" hidden="false" customHeight="false" outlineLevel="0" collapsed="false">
      <c r="A7" s="19" t="s">
        <v>108</v>
      </c>
      <c r="B7" s="27" t="n">
        <f aca="false">Resultat!B5</f>
        <v>22400000</v>
      </c>
    </row>
    <row r="8" customFormat="false" ht="15" hidden="false" customHeight="false" outlineLevel="0" collapsed="false">
      <c r="A8" s="19" t="s">
        <v>318</v>
      </c>
      <c r="B8" s="27" t="n">
        <f aca="false">Balanse!B12</f>
        <v>4200000</v>
      </c>
    </row>
    <row r="9" customFormat="false" ht="15" hidden="false" customHeight="false" outlineLevel="0" collapsed="false">
      <c r="A9" s="19" t="s">
        <v>319</v>
      </c>
      <c r="B9" s="34" t="n">
        <f aca="false">B8/B7*365</f>
        <v>68.4375</v>
      </c>
      <c r="E9" s="19" t="s">
        <v>320</v>
      </c>
    </row>
    <row r="10" customFormat="false" ht="15" hidden="false" customHeight="false" outlineLevel="0" collapsed="false">
      <c r="A10" s="19" t="s">
        <v>321</v>
      </c>
      <c r="B10" s="33" t="n">
        <v>20</v>
      </c>
      <c r="E10" s="19" t="s">
        <v>322</v>
      </c>
    </row>
    <row r="11" customFormat="false" ht="15" hidden="false" customHeight="false" outlineLevel="0" collapsed="false">
      <c r="A11" s="19" t="s">
        <v>323</v>
      </c>
      <c r="B11" s="27" t="n">
        <f aca="false">B7*B10/365</f>
        <v>1227397.26027397</v>
      </c>
    </row>
    <row r="12" customFormat="false" ht="15" hidden="false" customHeight="false" outlineLevel="0" collapsed="false">
      <c r="A12" s="21" t="s">
        <v>324</v>
      </c>
      <c r="B12" s="25" t="n">
        <f aca="false">B8-B11</f>
        <v>2972602.73972603</v>
      </c>
      <c r="E12" s="19" t="s">
        <v>325</v>
      </c>
    </row>
    <row r="14" customFormat="false" ht="15" hidden="false" customHeight="false" outlineLevel="0" collapsed="false">
      <c r="A14" s="19" t="s">
        <v>326</v>
      </c>
      <c r="B14" s="27" t="n">
        <f aca="false">Balanse!B11</f>
        <v>1400000</v>
      </c>
    </row>
    <row r="15" customFormat="false" ht="15" hidden="false" customHeight="false" outlineLevel="0" collapsed="false">
      <c r="A15" s="19" t="s">
        <v>327</v>
      </c>
      <c r="B15" s="29" t="n">
        <v>0.2</v>
      </c>
    </row>
    <row r="16" customFormat="false" ht="15" hidden="false" customHeight="false" outlineLevel="0" collapsed="false">
      <c r="A16" s="21" t="s">
        <v>328</v>
      </c>
      <c r="B16" s="25" t="n">
        <f aca="false">B14*B15</f>
        <v>280000</v>
      </c>
    </row>
    <row r="17" customFormat="false" ht="15" hidden="false" customHeight="false" outlineLevel="0" collapsed="false">
      <c r="A17" s="21" t="s">
        <v>329</v>
      </c>
      <c r="B17" s="25" t="n">
        <f aca="false">B12+B16</f>
        <v>3252602.73972603</v>
      </c>
    </row>
    <row r="18" customFormat="false" ht="15" hidden="false" customHeight="false" outlineLevel="0" collapsed="false">
      <c r="A18" s="19" t="s">
        <v>330</v>
      </c>
      <c r="B18" s="27" t="n">
        <f aca="false">Balanse!B13</f>
        <v>1000000</v>
      </c>
    </row>
    <row r="19" customFormat="false" ht="15" hidden="false" customHeight="false" outlineLevel="0" collapsed="false">
      <c r="A19" s="19" t="s">
        <v>331</v>
      </c>
      <c r="B19" s="25" t="n">
        <f aca="false">B18+B17</f>
        <v>4252602.73972603</v>
      </c>
    </row>
    <row r="21" customFormat="false" ht="15" hidden="false" customHeight="false" outlineLevel="0" collapsed="false">
      <c r="A21" s="17" t="s">
        <v>332</v>
      </c>
    </row>
    <row r="22" customFormat="false" ht="15" hidden="false" customHeight="false" outlineLevel="0" collapsed="false">
      <c r="A22" s="19" t="s">
        <v>333</v>
      </c>
      <c r="B22" s="27" t="n">
        <f aca="false">Resultat!B18</f>
        <v>928000</v>
      </c>
    </row>
    <row r="23" customFormat="false" ht="15" hidden="false" customHeight="false" outlineLevel="0" collapsed="false">
      <c r="A23" s="19" t="s">
        <v>334</v>
      </c>
      <c r="B23" s="27" t="n">
        <f aca="false">Resultat!B10</f>
        <v>620000</v>
      </c>
    </row>
    <row r="24" customFormat="false" ht="15" hidden="false" customHeight="false" outlineLevel="0" collapsed="false">
      <c r="A24" s="21" t="s">
        <v>335</v>
      </c>
      <c r="B24" s="25" t="n">
        <f aca="false">B22+B23</f>
        <v>1548000</v>
      </c>
      <c r="E24" s="19" t="s">
        <v>336</v>
      </c>
    </row>
    <row r="26" customFormat="false" ht="15" hidden="false" customHeight="false" outlineLevel="0" collapsed="false">
      <c r="A26" s="17" t="s">
        <v>143</v>
      </c>
    </row>
    <row r="27" customFormat="false" ht="15" hidden="false" customHeight="false" outlineLevel="0" collapsed="false">
      <c r="A27" s="19" t="s">
        <v>337</v>
      </c>
      <c r="B27" s="31" t="str">
        <f aca="false">IF(B9&gt;B10,"AVVIK: kundene bruker lengre tid enn avtalt. Differansen er penger Nordlys låner ut gratis","OK — kundene betaler innenfor den kredittiden du sikter mot")</f>
        <v>AVVIK: kundene bruker lengre tid enn avtalt. Differansen er penger Nordlys låner ut gratis</v>
      </c>
    </row>
    <row r="28" customFormat="false" ht="15" hidden="false" customHeight="false" outlineLevel="0" collapsed="false">
      <c r="A28" s="16" t="s">
        <v>338</v>
      </c>
    </row>
    <row r="29" customFormat="false" ht="15" hidden="false" customHeight="false" outlineLevel="0" collapsed="false">
      <c r="A29" s="19" t="s">
        <v>339</v>
      </c>
      <c r="B29" s="31" t="str">
        <f aca="false">IF(B17&gt;B18,"OK — det ligger mer penger i kundefordringer og lager enn på konto. Det er der du henter likviditet først","OK — bankinnskuddet er større enn det du kan frigjøre")</f>
        <v>OK — det ligger mer penger i kundefordringer og lager enn på konto. Det er der du henter likviditet først</v>
      </c>
    </row>
    <row r="32" customFormat="false" ht="15" hidden="false" customHeight="false" outlineLevel="0" collapsed="false">
      <c r="A32" s="17" t="s">
        <v>340</v>
      </c>
    </row>
    <row r="33" customFormat="false" ht="15" hidden="false" customHeight="false" outlineLevel="0" collapsed="false">
      <c r="A33" s="16" t="s">
        <v>341</v>
      </c>
    </row>
    <row r="35" customFormat="false" ht="15" hidden="false" customHeight="false" outlineLevel="0" collapsed="false">
      <c r="A35" s="19" t="s">
        <v>342</v>
      </c>
      <c r="B35" s="23" t="n">
        <v>1000000</v>
      </c>
    </row>
    <row r="36" customFormat="false" ht="15" hidden="false" customHeight="false" outlineLevel="0" collapsed="false">
      <c r="A36" s="19" t="s">
        <v>343</v>
      </c>
      <c r="B36" s="23" t="n">
        <v>2000000</v>
      </c>
    </row>
    <row r="37" customFormat="false" ht="15" hidden="false" customHeight="false" outlineLevel="0" collapsed="false">
      <c r="A37" s="19" t="s">
        <v>344</v>
      </c>
      <c r="B37" s="33" t="n">
        <v>20</v>
      </c>
    </row>
    <row r="38" customFormat="false" ht="15" hidden="false" customHeight="false" outlineLevel="0" collapsed="false">
      <c r="A38" s="19" t="s">
        <v>345</v>
      </c>
      <c r="B38" s="27" t="n">
        <f aca="false">Balanse!E17</f>
        <v>300000</v>
      </c>
    </row>
    <row r="39" customFormat="false" ht="15" hidden="false" customHeight="false" outlineLevel="0" collapsed="false">
      <c r="A39" s="19" t="s">
        <v>346</v>
      </c>
      <c r="B39" s="28" t="n">
        <f aca="false">B38/B35</f>
        <v>0.3</v>
      </c>
    </row>
    <row r="40" customFormat="false" ht="15" hidden="false" customHeight="false" outlineLevel="0" collapsed="false">
      <c r="A40" s="21" t="s">
        <v>347</v>
      </c>
      <c r="B40" s="25" t="n">
        <f aca="false">B36-B35</f>
        <v>1000000</v>
      </c>
    </row>
    <row r="42" customFormat="false" ht="15" hidden="false" customHeight="false" outlineLevel="0" collapsed="false">
      <c r="A42" s="17" t="s">
        <v>348</v>
      </c>
    </row>
    <row r="43" customFormat="false" ht="15" hidden="false" customHeight="false" outlineLevel="0" collapsed="false">
      <c r="A43" s="19" t="s">
        <v>264</v>
      </c>
      <c r="B43" s="26" t="n">
        <f aca="false">'Til kapittel 4'!C14</f>
        <v>0.285294117647059</v>
      </c>
      <c r="C43" s="24" t="n">
        <f aca="false">'Til kapittel 4'!D14</f>
        <v>0.362</v>
      </c>
      <c r="E43" s="19" t="s">
        <v>349</v>
      </c>
    </row>
    <row r="44" customFormat="false" ht="15" hidden="false" customHeight="false" outlineLevel="0" collapsed="false">
      <c r="A44" s="19" t="s">
        <v>268</v>
      </c>
      <c r="B44" s="26" t="n">
        <f aca="false">'Til kapittel 4'!C16</f>
        <v>1.46993318485523</v>
      </c>
      <c r="C44" s="24" t="n">
        <f aca="false">'Til kapittel 4'!D16</f>
        <v>2</v>
      </c>
    </row>
    <row r="45" customFormat="false" ht="15" hidden="false" customHeight="false" outlineLevel="0" collapsed="false">
      <c r="A45" s="19" t="s">
        <v>270</v>
      </c>
      <c r="B45" s="26" t="n">
        <f aca="false">'Til kapittel 4'!C17</f>
        <v>1.15812917594655</v>
      </c>
      <c r="C45" s="24" t="n">
        <f aca="false">'Til kapittel 4'!D17</f>
        <v>1</v>
      </c>
    </row>
    <row r="46" customFormat="false" ht="15" hidden="false" customHeight="false" outlineLevel="0" collapsed="false">
      <c r="A46" s="19" t="s">
        <v>266</v>
      </c>
      <c r="B46" s="34" t="n">
        <f aca="false">'Til kapittel 4'!C15</f>
        <v>2.50515463917526</v>
      </c>
      <c r="C46" s="36" t="n">
        <f aca="false">'Til kapittel 4'!D15</f>
        <v>5</v>
      </c>
    </row>
    <row r="47" customFormat="false" ht="15" hidden="false" customHeight="false" outlineLevel="0" collapsed="false">
      <c r="A47" s="19" t="s">
        <v>308</v>
      </c>
      <c r="B47" s="32" t="n">
        <f aca="false">Balanse!B33</f>
        <v>2110000</v>
      </c>
    </row>
    <row r="49" customFormat="false" ht="15" hidden="false" customHeight="false" outlineLevel="0" collapsed="false">
      <c r="A49" s="17" t="s">
        <v>350</v>
      </c>
    </row>
    <row r="50" customFormat="false" ht="15" hidden="false" customHeight="false" outlineLevel="0" collapsed="false">
      <c r="A50" s="19" t="s">
        <v>319</v>
      </c>
      <c r="B50" s="30" t="n">
        <f aca="false">Balanse!B12/Resultat!B5*365</f>
        <v>68.4375</v>
      </c>
    </row>
    <row r="51" customFormat="false" ht="15" hidden="false" customHeight="false" outlineLevel="0" collapsed="false">
      <c r="A51" s="19" t="s">
        <v>351</v>
      </c>
      <c r="B51" s="36" t="n">
        <f aca="false">B50-B37</f>
        <v>48.4375</v>
      </c>
    </row>
    <row r="52" customFormat="false" ht="15" hidden="false" customHeight="false" outlineLevel="0" collapsed="false">
      <c r="A52" s="21" t="s">
        <v>352</v>
      </c>
      <c r="B52" s="25" t="n">
        <f aca="false">B51/365*Resultat!B5</f>
        <v>2972602.73972603</v>
      </c>
    </row>
    <row r="53" customFormat="false" ht="15" hidden="false" customHeight="false" outlineLevel="0" collapsed="false">
      <c r="A53" s="19" t="s">
        <v>353</v>
      </c>
      <c r="B53" s="30" t="n">
        <f aca="false">B52/B35</f>
        <v>2.97260273972603</v>
      </c>
      <c r="E53" s="19" t="s">
        <v>354</v>
      </c>
    </row>
    <row r="55" customFormat="false" ht="15" hidden="false" customHeight="false" outlineLevel="0" collapsed="false">
      <c r="A55" s="17" t="s">
        <v>355</v>
      </c>
    </row>
    <row r="56" customFormat="false" ht="15" hidden="false" customHeight="false" outlineLevel="0" collapsed="false">
      <c r="A56" s="19" t="s">
        <v>356</v>
      </c>
      <c r="B56" s="27" t="n">
        <f aca="false">Resultat!B5</f>
        <v>22400000</v>
      </c>
    </row>
    <row r="57" customFormat="false" ht="15" hidden="false" customHeight="false" outlineLevel="0" collapsed="false">
      <c r="A57" s="19" t="s">
        <v>357</v>
      </c>
      <c r="B57" s="23" t="n">
        <v>24000000</v>
      </c>
    </row>
    <row r="58" customFormat="false" ht="15" hidden="false" customHeight="false" outlineLevel="0" collapsed="false">
      <c r="A58" s="19" t="s">
        <v>358</v>
      </c>
      <c r="B58" s="32" t="n">
        <f aca="false">B57-B56</f>
        <v>1600000</v>
      </c>
    </row>
    <row r="59" customFormat="false" ht="15" hidden="false" customHeight="false" outlineLevel="0" collapsed="false">
      <c r="A59" s="19" t="s">
        <v>359</v>
      </c>
      <c r="B59" s="27" t="n">
        <f aca="false">Balanse!B12+Balanse!B11-Balanse!E14</f>
        <v>3500000</v>
      </c>
    </row>
    <row r="60" customFormat="false" ht="15" hidden="false" customHeight="false" outlineLevel="0" collapsed="false">
      <c r="A60" s="19" t="s">
        <v>360</v>
      </c>
      <c r="B60" s="28" t="n">
        <f aca="false">B59/B56</f>
        <v>0.15625</v>
      </c>
    </row>
    <row r="61" customFormat="false" ht="15" hidden="false" customHeight="false" outlineLevel="0" collapsed="false">
      <c r="A61" s="21" t="s">
        <v>361</v>
      </c>
      <c r="B61" s="25" t="n">
        <f aca="false">B58*B60</f>
        <v>250000</v>
      </c>
      <c r="E61" s="19" t="s">
        <v>362</v>
      </c>
    </row>
    <row r="62" customFormat="false" ht="15" hidden="false" customHeight="false" outlineLevel="0" collapsed="false">
      <c r="A62" s="19" t="s">
        <v>363</v>
      </c>
      <c r="B62" s="28" t="n">
        <f aca="false">B61/B40</f>
        <v>0.25</v>
      </c>
    </row>
    <row r="64" customFormat="false" ht="15" hidden="false" customHeight="false" outlineLevel="0" collapsed="false">
      <c r="A64" s="17" t="s">
        <v>143</v>
      </c>
    </row>
    <row r="65" customFormat="false" ht="15" hidden="false" customHeight="false" outlineLevel="0" collapsed="false">
      <c r="A65" s="19" t="s">
        <v>364</v>
      </c>
      <c r="B65" s="31" t="str">
        <f aca="false">IF(B43&gt;=C43,"OK — egenkapitalandelen er på eller over bransjens nivå","AVVIK: egenkapitalandelen ligger under bransjen. Det er det første banken ser")</f>
        <v>AVVIK: egenkapitalandelen ligger under bransjen. Det er det første banken ser</v>
      </c>
    </row>
    <row r="66" customFormat="false" ht="15" hidden="false" customHeight="false" outlineLevel="0" collapsed="false">
      <c r="A66" s="16" t="s">
        <v>365</v>
      </c>
    </row>
    <row r="67" customFormat="false" ht="15" hidden="false" customHeight="false" outlineLevel="0" collapsed="false">
      <c r="A67" s="19" t="s">
        <v>366</v>
      </c>
      <c r="B67" s="31" t="str">
        <f aca="false">IF(B45&gt;=C45,"OK — likviditetsgrad 2 er over normtallet. Det er den strengeste av de to, og den regner ikke med varelageret","AVVIK: likviditetsgrad 2 er under normtallet — bedriften kan få problemer med regningene som forfaller i år")</f>
        <v>OK — likviditetsgrad 2 er over normtallet. Det er den strengeste av de to, og den regner ikke med varelageret</v>
      </c>
    </row>
    <row r="68" customFormat="false" ht="15" hidden="false" customHeight="false" outlineLevel="0" collapsed="false">
      <c r="A68" s="19" t="s">
        <v>367</v>
      </c>
      <c r="B68" s="31" t="str">
        <f aca="false">IF(B38&lt;=B35,"OK — kassekreditten er trukket innenfor rammen","AVVIK: bedriften har trukket mer enn rammen tillater")</f>
        <v>OK — kassekreditten er trukket innenfor rammen</v>
      </c>
    </row>
    <row r="69" customFormat="false" ht="15" hidden="false" customHeight="false" outlineLevel="0" collapsed="false">
      <c r="A69" s="19" t="s">
        <v>368</v>
      </c>
      <c r="B69" s="31" t="str">
        <f aca="false">IF(B61&lt;B40,"OK — søknaden er større enn den beregnede kapitalbindingen. En ramme skal ha luft, men differansen er det første banken spør om","AVVIK: veksten binder mer kapital enn økningen det søkes om — be om mer")</f>
        <v>OK — søknaden er større enn den beregnede kapitalbindingen. En ramme skal ha luft, men differansen er det første banken spør om</v>
      </c>
    </row>
    <row r="71" customFormat="false" ht="15" hidden="false" customHeight="false" outlineLevel="0" collapsed="false">
      <c r="A71" s="16" t="s">
        <v>369</v>
      </c>
    </row>
    <row r="72" customFormat="false" ht="15" hidden="false" customHeight="false" outlineLevel="0" collapsed="false">
      <c r="A72" s="16" t="s">
        <v>100</v>
      </c>
    </row>
  </sheetData>
  <conditionalFormatting sqref="B27">
    <cfRule type="expression" priority="2" aboveAverage="0" equalAverage="0" bottom="0" percent="0" rank="0" text="" dxfId="0">
      <formula>LEFT(B27,5)="AVVIK"</formula>
    </cfRule>
  </conditionalFormatting>
  <conditionalFormatting sqref="B29">
    <cfRule type="expression" priority="3" aboveAverage="0" equalAverage="0" bottom="0" percent="0" rank="0" text="" dxfId="0">
      <formula>LEFT(B29,5)="AVVIK"</formula>
    </cfRule>
  </conditionalFormatting>
  <conditionalFormatting sqref="B65">
    <cfRule type="expression" priority="4" aboveAverage="0" equalAverage="0" bottom="0" percent="0" rank="0" text="" dxfId="0">
      <formula>LEFT(B65,5)="AVVIK"</formula>
    </cfRule>
  </conditionalFormatting>
  <conditionalFormatting sqref="B67">
    <cfRule type="expression" priority="5" aboveAverage="0" equalAverage="0" bottom="0" percent="0" rank="0" text="" dxfId="0">
      <formula>LEFT(B67,5)="AVVIK"</formula>
    </cfRule>
  </conditionalFormatting>
  <conditionalFormatting sqref="B68">
    <cfRule type="expression" priority="6" aboveAverage="0" equalAverage="0" bottom="0" percent="0" rank="0" text="" dxfId="0">
      <formula>LEFT(B68,5)="AVVIK"</formula>
    </cfRule>
  </conditionalFormatting>
  <conditionalFormatting sqref="B69">
    <cfRule type="expression" priority="7" aboveAverage="0" equalAverage="0" bottom="0" percent="0" rank="0" text="" dxfId="0">
      <formula>LEFT(B69,5)="AVVIK"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2026-09-11T09:29:30Z</dcterms:created>
  <dc:creator>openpyxl</dc:creator>
  <dc:description/>
  <dc:language>en-US</dc:language>
  <cp:lastModifiedBy/>
  <dcterms:modified xsi:type="dcterms:W3CDTF">2026-10-07T06:02:45Z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