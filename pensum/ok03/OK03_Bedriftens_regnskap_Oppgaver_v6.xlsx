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2A" sheetId="5" state="visible" r:id="rId7"/>
    <sheet name="2B" sheetId="6" state="visible" r:id="rId8"/>
    <sheet name="2C" sheetId="7" state="visible" r:id="rId9"/>
    <sheet name="Fasit"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<sst xmlns="http://schemas.openxmlformats.org/spreadsheetml/2006/main" count="305" uniqueCount="255">
  <si>
    <t xml:space="preserve">Bedriftens regnskap: oppgaver til kapittel 3</t>
  </si>
  <si>
    <t xml:space="preserve">Økonomistyring for LØM-emnet (Hjertnes og Skorpen), kapittel 3. Versjon 6, oktober 2026. Nordlys Elektro AS og Fjell Elektro AS er konstruerte casebedrifter; tallene er faktaarkene.</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</si>
  <si>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</si>
  <si>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</si>
  <si>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</si>
  <si>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</si>
  <si>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</si>
  <si>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</si>
  <si>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Nordlys 2026: sett opp resultatregnskapet</t>
  </si>
  <si>
    <t xml:space="preserve">1B  Fire kjøp i januar: eiendel eller kostnad?</t>
  </si>
  <si>
    <t xml:space="preserve">1C  Fjell Elektro: resultatregnskapet for første driftsår</t>
  </si>
  <si>
    <t xml:space="preserve">2A  Nordlys' balanse: grupper postene før bankmøtet</t>
  </si>
  <si>
    <t xml:space="preserve">2B  Fjell Elektro: fra åpningsbalanse til balansen etter første år</t>
  </si>
  <si>
    <t xml:space="preserve">2C  Tre balanser som ikke går opp, og svaret til Tom</t>
  </si>
  <si>
    <t xml:space="preserve">Fasit  Alle svar med regnestykket skrevet ut</t>
  </si>
  <si>
    <t xml:space="preserve">Dette er øvingsmateriell til repetisjons- og øvingsstøtte. I besvarelser, caser, prosjektoppgaver og eksamen gjelder lærebøkene og oppgitte primærkilder.</t>
  </si>
  <si>
    <t xml:space="preserve">Oppgave 1A: Nordlys 2026: sett opp resultatregnskapet</t>
  </si>
  <si>
    <t xml:space="preserve">Alene, i par eller i gruppe, slik du vil.</t>
  </si>
  <si>
    <t xml:space="preserve">Situasjonen</t>
  </si>
  <si>
    <t xml:space="preserve">Årsoppgjøret for 2026 er klart. Regnskapsføreren har sendt postene til Kari (daglig leder) i tilfeldig rekkefølge, og styremøtet er på torsdag. Sett postene opp som et resultatregnskap, slik boka setter det opp, og regn ut delsummene.</t>
  </si>
  <si>
    <t xml:space="preserve">Begrepene du trenger</t>
  </si>
  <si>
    <t xml:space="preserve">Bruttofortjeneste = salgsinntekt − varekostnad. Driftsresultat = bruttofortjeneste − lønnskostnad − avskrivninger − andre driftskostnader. Resultat før skatt = driftsresultat + renteinntekter − rentekostnader. Årsresultat = resultat før skatt − skattekostnad. Varekostnad hos Nordlys er materiell og innleide montører.</t>
  </si>
  <si>
    <t xml:space="preserve">Postene fra regnskapsføreren, i tilfeldig rekkefølge (kroner)</t>
  </si>
  <si>
    <t xml:space="preserve">Alle ni postene gjelder 2026. Du skal ikke endre dem, bare sette dem opp i riktig rekkefølge i oppstillingen under og regne ut de fire delsummene.</t>
  </si>
  <si>
    <t xml:space="preserve">Post 2026</t>
  </si>
  <si>
    <t xml:space="preserve">Kroner</t>
  </si>
  <si>
    <t xml:space="preserve">Lønnskostnad</t>
  </si>
  <si>
    <t xml:space="preserve">Salgsinntekt</t>
  </si>
  <si>
    <t xml:space="preserve">Rentekostnader</t>
  </si>
  <si>
    <t xml:space="preserve">Varekostnad, materiell</t>
  </si>
  <si>
    <t xml:space="preserve">Avskrivninger</t>
  </si>
  <si>
    <t xml:space="preserve">Renteinntekter</t>
  </si>
  <si>
    <t xml:space="preserve">Andre driftskostnader</t>
  </si>
  <si>
    <t xml:space="preserve">Skattekostnad</t>
  </si>
  <si>
    <t xml:space="preserve">Varekostnad, innleide montører</t>
  </si>
  <si>
    <t xml:space="preserve">Resultatregnskapet 2026, slik boka setter det opp</t>
  </si>
  <si>
    <t xml:space="preserve">Hvite celler er fylt inn. Gule celler regner du ut: først varekostnaden samlet, så de fire resultatlinjene.</t>
  </si>
  <si>
    <t xml:space="preserve">Nordlys Elektro AS, 2026</t>
  </si>
  <si>
    <t xml:space="preserve">− Varekostnad (materiell og innleide montører, samlet)</t>
  </si>
  <si>
    <t xml:space="preserve">Bruttofortjeneste</t>
  </si>
  <si>
    <t xml:space="preserve">− Lønnskostnad</t>
  </si>
  <si>
    <t xml:space="preserve">− Avskrivninger</t>
  </si>
  <si>
    <t xml:space="preserve">− Andre driftskostnader</t>
  </si>
  <si>
    <t xml:space="preserve">Driftsresultat</t>
  </si>
  <si>
    <t xml:space="preserve">+ Renteinntekter</t>
  </si>
  <si>
    <t xml:space="preserve">− Rentekostnader</t>
  </si>
  <si>
    <t xml:space="preserve">Resultat før skatt</t>
  </si>
  <si>
    <t xml:space="preserve">− Skattekostnad (22 %)</t>
  </si>
  <si>
    <t xml:space="preserve">Årsresultat</t>
  </si>
  <si>
    <t xml:space="preserve">Oppgaven, trinn for trinn</t>
  </si>
  <si>
    <t xml:space="preserve">1. Legg sammen de to varekostnadene og skriv summen i den gule cellen for varekostnad.
2. Regn bruttofortjenesten: salgsinntekt minus varekostnad.
3. Regn driftsresultatet: bruttofortjeneste minus lønn, avskrivninger og andre driftskostnader.
4. Regn resultat før skatt: driftsresultat pluss renteinntekter minus rentekostnader.
5. Regn årsresultatet: resultat før skatt minus skattekostnaden.
6. Svar på e og f under.</t>
  </si>
  <si>
    <t xml:space="preserve">Sjekk av svarene dine</t>
  </si>
  <si>
    <t xml:space="preserve">a) Varekostnad samlet:</t>
  </si>
  <si>
    <t xml:space="preserve">b) Bruttofortjeneste:</t>
  </si>
  <si>
    <t xml:space="preserve">c) Driftsresultat:</t>
  </si>
  <si>
    <t xml:space="preserve">d) Resultat før skatt:</t>
  </si>
  <si>
    <t xml:space="preserve">e) Årsresultat:</t>
  </si>
  <si>
    <t xml:space="preserve">f) Kari vurderer å betale ned 1 000 000 kr av banklånet i 2027. Hva skjer med driftsresultatet?</t>
  </si>
  <si>
    <t xml:space="preserve">g) Kari skal legge fram regnskapet for styret. Hvilken linje forteller mest om hvordan Nordlys drives, og hvorfor står rentene under den? To–tre setninger.</t>
  </si>
  <si>
    <t xml:space="preserve">Står du fast? Skriv JA i den gule cellen:</t>
  </si>
  <si>
    <t xml:space="preserve">Gule celler fyller du inn. Grønne regnes ut av arket. Sjekken til høyre forteller om svaret stemmer, og hva du bør se på hvis ikke.</t>
  </si>
  <si>
    <t xml:space="preserve">Oppgave 1B: Fire kjøp i januar: eiendel eller kostnad?</t>
  </si>
  <si>
    <t xml:space="preserve">Tom (driftsleder) har handlet i januar 2027: en servicebil, et varmekamera, en boremaskin og kabel til en jobb. Han spør hvor mye av dette som er kostnad i år, og hvorfor regnskapsføreren sier at bilen nesten ikke koster noe i 2027.</t>
  </si>
  <si>
    <t xml:space="preserve">Aktivere: føre kjøpet i balansen som eiendel og fordele kostnaden over brukstiden gjennom avskrivning. Lineær avskrivning: samme beløp hvert år, kjøpesum delt på brukstid. Bokført verdi: kjøpesum minus avskrivningene til nå. Varekostnad: materiell som er brukt opp hos kunden.</t>
  </si>
  <si>
    <t xml:space="preserve">Regelen</t>
  </si>
  <si>
    <t xml:space="preserve">Et driftsmiddel som koster 30 000 kr eller mer og skal brukes i minst tre år, aktiveres: det føres i balansen som eiendel, og bare årets avskrivning er kostnad. Er kjøpet billigere eller kortvarigere, er hele beløpet kostnad i kjøpsåret. Materiell som monteres hos kunden, er brukt opp og er varekostnad, uansett beløp.</t>
  </si>
  <si>
    <t xml:space="preserve">Kjøp i januar 2027</t>
  </si>
  <si>
    <t xml:space="preserve">Brukstid, år</t>
  </si>
  <si>
    <t xml:space="preserve">Servicebil</t>
  </si>
  <si>
    <t xml:space="preserve">Varmekamera</t>
  </si>
  <si>
    <t xml:space="preserve">Boremaskin</t>
  </si>
  <si>
    <t xml:space="preserve">Kabel og sikringsmateriell, montert hos kunden i januar</t>
  </si>
  <si>
    <t xml:space="preserve">1. Velg for hvert kjøp hvordan det behandles i regnskapet (nedtrekksmenyen).
2. Regn hvor mye av de fire kjøpene som er kostnad i 2027. For det som aktiveres, er det bare avskrivningen: beløp delt på brukstid.
3. Regn hvor mye som gikk ut av bankkontoen i januar.
4. Regn hva servicebilen står med i balansen 31.12.2028, etter to års lineær avskrivning.</t>
  </si>
  <si>
    <t xml:space="preserve">Hvordan behandles kjøpet?</t>
  </si>
  <si>
    <t xml:space="preserve">Servicebil 450 000 kr, fem år</t>
  </si>
  <si>
    <t xml:space="preserve">Varmekamera 42 000 kr, seks år</t>
  </si>
  <si>
    <t xml:space="preserve">Boremaskin 3 500 kr, tre år</t>
  </si>
  <si>
    <t xml:space="preserve">Kabel og sikringsmateriell 38 000 kr</t>
  </si>
  <si>
    <t xml:space="preserve">a) Kostnad i 2027 for de fire kjøpene til sammen</t>
  </si>
  <si>
    <t xml:space="preserve">kr</t>
  </si>
  <si>
    <t xml:space="preserve">b) Ut av bankkontoen i januar 2027 (alt betales kontant)</t>
  </si>
  <si>
    <t xml:space="preserve">c) Bokført verdi på servicebilen 31.12.2028, etter to års avskrivning</t>
  </si>
  <si>
    <t xml:space="preserve">d) Forskjellen mellom a og b er penger som har gått ut, men ikke er kostnad ennå. Hvor i regnskapet finner du dem igjen, og hva skjer med dem de neste årene? To setninger.</t>
  </si>
  <si>
    <t xml:space="preserve">Oppgave 1C: Fjell Elektro: resultatregnskapet for første driftsår</t>
  </si>
  <si>
    <t xml:space="preserve">Fjell Elektro AS i Oslo har levert regnskapet for første driftsår, og det ble som budsjettert. Eieren vil vite hva bedriften tjente, og hva som egentlig hører hjemme i resultatregnskapet.</t>
  </si>
  <si>
    <t xml:space="preserve">Utstyr som koster 30 000 kr eller mer og brukes i minst tre år, aktiveres; bare avskrivningen er kostnad. Lån, avdrag og aksjekapital er finansiering og står i balansen, aldri i resultatregnskapet; bare rentene gjør det. Skattekostnaden i et aksjeselskap er 22 % av resultat før skatt. Driftsregnskapet (internregnskapet) kan i tillegg trekke fra kalkulatoriske kostnader, som rente på eierens egne penger.</t>
  </si>
  <si>
    <t xml:space="preserve">Tallene for første driftsår</t>
  </si>
  <si>
    <t xml:space="preserve">Salgsinntekter 4 795 000 kr (timer 3 115 000 og materiell 1 680 000). Varekostnad 1 400 000 kr (materiellet til innkjøpspris). Lønn 1 820 000 kr pluss 46,8 % sosiale kostnader = lønnskostnad 2 671 760 kr. Utstyr og verktøy kjøpt 1. januar for 300 000 kr, brukes i fem år. Andre driftskostnader 519 000 kr. Banklån 500 000 kr til 7,5 % rente, avdrag 100 000 kr i året. Aksjekapital 300 000 kr. Skatt 22 % av resultat før skatt. Eieren kunne fått 5 % avkastning på de 300 000 et annet sted.</t>
  </si>
  <si>
    <t xml:space="preserve">Post, år 1</t>
  </si>
  <si>
    <t xml:space="preserve">Salgsinntekter</t>
  </si>
  <si>
    <t xml:space="preserve">Varekostnad</t>
  </si>
  <si>
    <t xml:space="preserve">Lønnskostnad (1 820 000 × 1,468)</t>
  </si>
  <si>
    <t xml:space="preserve">Utstyr og verktøy, kjøpt 1. januar, fem års brukstid</t>
  </si>
  <si>
    <t xml:space="preserve">Banklån, 7,5 % rente</t>
  </si>
  <si>
    <t xml:space="preserve">Avdrag på banklånet</t>
  </si>
  <si>
    <t xml:space="preserve">Aksjekapital</t>
  </si>
  <si>
    <t xml:space="preserve">1. Regn bruttofortjenesten: salgsinntekter minus varekostnad.
2. Regn driftsresultatet. Utstyret aktiveres; bare årets lineære avskrivning (300 000 / 5) er kostnad.
3. Regn resultat før skatt: driftsresultat minus rentene (7,5 % av 500 000).
4. Regn årsresultatet: trekk fra 22 % skatt av resultat før skatt. Rund skatten av til hele kroner.
5. Avgjør i e hvilke poster som hører hjemme i resultatregnskapet, og svar på f.</t>
  </si>
  <si>
    <t xml:space="preserve">a) Bruttofortjeneste</t>
  </si>
  <si>
    <t xml:space="preserve">b) Driftsresultat</t>
  </si>
  <si>
    <t xml:space="preserve">c) Resultat før skatt</t>
  </si>
  <si>
    <t xml:space="preserve">d) Årsresultat (skatt 22 %, avrundet til hele kroner)</t>
  </si>
  <si>
    <t xml:space="preserve">e) Hører posten hjemme i resultatregnskapet for år 1?</t>
  </si>
  <si>
    <t xml:space="preserve">Kjøp av utstyr, 300 000 kr</t>
  </si>
  <si>
    <t xml:space="preserve">Avskrivning, 60 000 kr</t>
  </si>
  <si>
    <t xml:space="preserve">Avdrag på banklånet, 100 000 kr</t>
  </si>
  <si>
    <t xml:space="preserve">Renter, 37 500 kr</t>
  </si>
  <si>
    <t xml:space="preserve">Aksjekapital, 300 000 kr</t>
  </si>
  <si>
    <t xml:space="preserve">Skattekostnad, 23 483 kr</t>
  </si>
  <si>
    <t xml:space="preserve">f) Eieren sier: «Vi tjente 83 257 kr første året. Det er godt nok.» Hva ville et driftsregnskap (internregnskap) med kalkulatoriske kostnader vise? Regn med 5 % rente på egenkapitalen på 300 000. To–tre setninger.</t>
  </si>
  <si>
    <t xml:space="preserve">Oppgave 2A: Nordlys' balanse: grupper postene før bankmøtet</t>
  </si>
  <si>
    <t xml:space="preserve">Kari skal i banken om kassekreditten, og banken har bedt om balansen per 31.12.2026. Regnskapsføreren har sendt postene i tilfeldig rekkefølge. Grupper dem i anleggsmidler, omløpsmidler, egenkapital, langsiktig gjeld og kortsiktig gjeld, og regn summene banken spør etter.</t>
  </si>
  <si>
    <t xml:space="preserve">Eiendeler = egenkapital + gjeld. Anleggsmidler skal brukes i flere år; omløpsmidler er på vei til å bli penger i løpet av året. Egenkapital er aksjekapital pluss opptjent overskudd. Langsiktig gjeld forfaller om mer enn ett år, kortsiktig gjeld innen ett år.</t>
  </si>
  <si>
    <t xml:space="preserve">Testen</t>
  </si>
  <si>
    <t xml:space="preserve">Spør for hver post: eier Nordlys dette, eller skylder Nordlys det? Eier: anleggsmiddel hvis det skal brukes i flere år, omløpsmiddel hvis det er på vei til å bli penger i løpet av året. Skylder: egenkapital hvis det er eiernes penger, langsiktig gjeld hvis det forfaller om mer enn ett år, kortsiktig gjeld hvis det forfaller innen ett år.</t>
  </si>
  <si>
    <t xml:space="preserve">Grupper de elleve postene per 31.12.2026 (velg i nedtrekksmenyen)</t>
  </si>
  <si>
    <t xml:space="preserve">Kundefordringer 4 200 000 kr</t>
  </si>
  <si>
    <t xml:space="preserve">Banklån 2 800 000 kr, forfaller om over ett år</t>
  </si>
  <si>
    <t xml:space="preserve">Bankinnskudd 982 650 kr</t>
  </si>
  <si>
    <t xml:space="preserve">Skyldige feriepenger 890 000 kr</t>
  </si>
  <si>
    <t xml:space="preserve">Verktøy, instrumenter og biler 3 600 000 kr</t>
  </si>
  <si>
    <t xml:space="preserve">Aksjekapital 300 000 kr</t>
  </si>
  <si>
    <t xml:space="preserve">Kassekreditt 300 000 kr</t>
  </si>
  <si>
    <t xml:space="preserve">Varelager 1 400 000 kr</t>
  </si>
  <si>
    <t xml:space="preserve">Leverandørgjeld 2 100 000 kr</t>
  </si>
  <si>
    <t xml:space="preserve">Annen egenkapital 2 592 650 kr</t>
  </si>
  <si>
    <t xml:space="preserve">Skyldig merverdiavgift, skattetrekk og arbeidsgiveravgift 1 200 000 kr</t>
  </si>
  <si>
    <t xml:space="preserve">Summene banken spør etter</t>
  </si>
  <si>
    <t xml:space="preserve">Regn gruppesummene. Sum eiendeler skal bli det samme som sum egenkapital og gjeld; blir det ikke det, står en post i feil gruppe.</t>
  </si>
  <si>
    <t xml:space="preserve">a) Sum omløpsmidler</t>
  </si>
  <si>
    <t xml:space="preserve">b) Sum kortsiktig gjeld</t>
  </si>
  <si>
    <t xml:space="preserve">c) Sum eiendeler (skal være lik sum egenkapital og gjeld)</t>
  </si>
  <si>
    <t xml:space="preserve">d) Egenkapitalen i prosent av eiendelene (én desimal, skriv for eksempel 25,0)</t>
  </si>
  <si>
    <t xml:space="preserve">prosent</t>
  </si>
  <si>
    <t xml:space="preserve">e) Banken spør: tåler Nordlys et dårlig år? Bruk lærebokas to tommelfingerregler: egenkapital pluss langsiktig gjeld mot anleggsmidlene, og kortsiktig gjeld mot omløpsmidlene. To–tre setninger med tall.</t>
  </si>
  <si>
    <t xml:space="preserve">Oppgave 2B: Fjell Elektro: fra åpningsbalanse til balansen etter første år</t>
  </si>
  <si>
    <t xml:space="preserve">Fjell Elektro AS startet 1. januar med 300 000 kr i aksjekapital og 500 000 kr i banklån. Første driftsår ga 83 257 kr i årsresultat (oppgave 1C). Eieren vil vite hva balansen viser 31. desember, og om han kan ta ut utbytte.</t>
  </si>
  <si>
    <t xml:space="preserve">Egenkapital ved årets slutt = egenkapital ved årets start + årsresultat − utbytte. Bokført verdi på utstyr = kjøpesum − avskrivninger. Avdrag reduserer lånet i balansen og er ikke en kostnad. Utbytte krever forsvarlig egenkapital og likviditet etterpå (aksjeloven § 3-4).</t>
  </si>
  <si>
    <t xml:space="preserve">Tallene</t>
  </si>
  <si>
    <t xml:space="preserve">Fjell Elektro AS startet 1. januar. Eieren skjøt inn 300 000 kr i aksjekapital, banken lånte ut 500 000 kr, og utstyret ble kjøpt for 300 000 kr (se bort fra merverdiavgift). Det er åpningsbalansen i kolonnen 1. januar. Etter første år er årsresultatet 83 257 kr (oppgave 1C), det deles ikke ut utbytte, utstyret er avskrevet med 60 000 kr, og avdraget på lånet var 100 000 kr. Varelager, kundefordringer, bankinnskudd og den kortsiktige gjelden 31. desember står ferdig i tabellen.</t>
  </si>
  <si>
    <t xml:space="preserve">Post</t>
  </si>
  <si>
    <t xml:space="preserve">1. januar</t>
  </si>
  <si>
    <t xml:space="preserve">31. desember</t>
  </si>
  <si>
    <t xml:space="preserve">Utstyr og verktøy</t>
  </si>
  <si>
    <t xml:space="preserve">Varelager</t>
  </si>
  <si>
    <t xml:space="preserve">Kundefordringer</t>
  </si>
  <si>
    <t xml:space="preserve">Bankinnskudd</t>
  </si>
  <si>
    <t xml:space="preserve">Sum eiendeler</t>
  </si>
  <si>
    <t xml:space="preserve">Annen egenkapital</t>
  </si>
  <si>
    <t xml:space="preserve">Banklån</t>
  </si>
  <si>
    <t xml:space="preserve">Leverandørgjeld, skyldige avgifter og skatt</t>
  </si>
  <si>
    <t xml:space="preserve">Skyldige feriepenger</t>
  </si>
  <si>
    <t xml:space="preserve">Sum egenkapital og gjeld</t>
  </si>
  <si>
    <t xml:space="preserve">1. Utstyret 31. desember: det det kostet, minus årets avskrivning.
2. Annen egenkapital 31. desember: egenkapitalen ved starten (0) pluss årsresultatet minus utbytte.
3. Banklånet 31. desember: lånet ved starten minus avdraget.
4. Summer begge sidene. De skal bli like. Blir de ikke det, regn differansen og finn posten.
5. Svar på e og f.</t>
  </si>
  <si>
    <t xml:space="preserve">a) Utstyr og verktøy 31.12.:</t>
  </si>
  <si>
    <t xml:space="preserve">b) Annen egenkapital 31.12.:</t>
  </si>
  <si>
    <t xml:space="preserve">c) Banklån 31.12.:</t>
  </si>
  <si>
    <t xml:space="preserve">d) Sum eiendeler 31.12.:</t>
  </si>
  <si>
    <t xml:space="preserve">   Sum egenkapital og gjeld 31.12.:</t>
  </si>
  <si>
    <t xml:space="preserve">e) Avdraget på 100 000 kr: hvor i regnskapet synes det?</t>
  </si>
  <si>
    <t xml:space="preserve">f) Eieren sier: «Vi har 383 257 i egenkapital. Da tar jeg ut 80 000 i utbytte.» Hva sier du? Bruk bankinnskuddet 563 257, den kortsiktige gjelden 600 000 og kravet i aksjeloven om forsvarlig egenkapital og likviditet. To–tre setninger.</t>
  </si>
  <si>
    <t xml:space="preserve">Oppgave 2C: Tre balanser som ikke går opp, og svaret til Tom</t>
  </si>
  <si>
    <t xml:space="preserve">Tre studenter har satt opp Nordlys' balanse per 31.12.2026, og ingen av dem går opp. Samtidig sier Tom (driftsleder): «Vi har 2,9 millioner i egenkapital. Vi har råd til lastebilen.» Finn feilene, og forklar Tom hva egenkapitalen er.</t>
  </si>
  <si>
    <t xml:space="preserve">Balansen balanserer fordi egenkapitalen er definert som eiendeler minus gjeld, og fordi hver hendelse treffer to poster med samme beløp (dobbelt bokholderi). En balanse som ikke går opp, er alltid en feil i oppsettet. Differansen mellom sidene forteller som regel hvilken.</t>
  </si>
  <si>
    <t xml:space="preserve">Nordlys' riktige balanse per 31.12.2026 (kroner)</t>
  </si>
  <si>
    <t xml:space="preserve">Eiendeler: verktøy, instrumenter og biler 3 600 000, varelager 1 400 000, kundefordringer 4 200 000, bankinnskudd 982 650, sum 10 182 650. Egenkapital og gjeld: aksjekapital 300 000, annen egenkapital 2 592 650, banklån 2 800 000, leverandørgjeld 2 100 000, skyldige avgifter 1 200 000, skyldige feriepenger 890 000, kassekreditt 300 000, sum 10 182 650. Fra resultatregnskapet 2026: avskrivninger 620 000, årsresultat 910 650.</t>
  </si>
  <si>
    <t xml:space="preserve">De fem feilene</t>
  </si>
  <si>
    <t xml:space="preserve">Regn differansen mellom sidene først. Er den lik én post, er posten glemt eller telt to ganger. Er den det dobbelte av en post, står posten på feil side. Er den lik årsresultatet, er egenkapitalen ikke oppdatert. Er den lik avskrivningen, er anleggsmidlene ikke satt ned. Likner den ikke på noe, er det regnefeil.</t>
  </si>
  <si>
    <t xml:space="preserve">Student</t>
  </si>
  <si>
    <t xml:space="preserve">A</t>
  </si>
  <si>
    <t xml:space="preserve">B</t>
  </si>
  <si>
    <t xml:space="preserve">C</t>
  </si>
  <si>
    <t xml:space="preserve">1. Regn differansen for hver student (det største tallet minus det minste).
2. Velg hvilken av de fem feilene det er, og hvilken post som er feil.
3. Skriv svaret til Tom i d.</t>
  </si>
  <si>
    <t xml:space="preserve">a) Student A: differansen</t>
  </si>
  <si>
    <t xml:space="preserve">   Student A: hvilken feil?</t>
  </si>
  <si>
    <t xml:space="preserve">   Student A: hvilken post?</t>
  </si>
  <si>
    <t xml:space="preserve">b) Student B: differansen</t>
  </si>
  <si>
    <t xml:space="preserve">   Student B: hvilken feil?</t>
  </si>
  <si>
    <t xml:space="preserve">   Student B: hvilken post?</t>
  </si>
  <si>
    <t xml:space="preserve">c) Student C: differansen</t>
  </si>
  <si>
    <t xml:space="preserve">   Student C: hvilken feil?</t>
  </si>
  <si>
    <t xml:space="preserve">   Student C: hvilken post?</t>
  </si>
  <si>
    <t xml:space="preserve">d) Tom sier: «Vi har 2,9 millioner i egenkapital. Vi har råd til lastebilen.» Forklar Tom hva egenkapitalen er, og hvor pengene faktisk står. Bruk tallene fra balansen. To–tre setninger.</t>
  </si>
  <si>
    <t xml:space="preserve">Fasit, kapittel 3</t>
  </si>
  <si>
    <t xml:space="preserve">Prøv oppgaven selv før du leser her. Regnestykket står ved siden av hvert svar. Tallene hentes fra fasitformlene, så de stemmer alltid med oppgavefanene.</t>
  </si>
  <si>
    <t xml:space="preserve">Oppgave</t>
  </si>
  <si>
    <t xml:space="preserve">Svar</t>
  </si>
  <si>
    <t xml:space="preserve">Regnestykket</t>
  </si>
  <si>
    <t xml:space="preserve">1A a) Varekostnad samlet</t>
  </si>
  <si>
    <t xml:space="preserve">7 990 000 + 400 000 = 8 390 000 kr</t>
  </si>
  <si>
    <t xml:space="preserve">1A b) Bruttofortjeneste</t>
  </si>
  <si>
    <t xml:space="preserve">22 400 000 − 8 390 000 = 14 010 000 kr (62,5 % av salget)</t>
  </si>
  <si>
    <t xml:space="preserve">1A c) Driftsresultat</t>
  </si>
  <si>
    <t xml:space="preserve">14 010 000 − 10 660 000 − 620 000 − 1 386 000 = 1 344 000 kr (6,0 % av salget)</t>
  </si>
  <si>
    <t xml:space="preserve">1A d) Resultat før skatt</t>
  </si>
  <si>
    <t xml:space="preserve">1 344 000 + 56 000 − 232 500 = 1 167 500 kr</t>
  </si>
  <si>
    <t xml:space="preserve">1A e) Årsresultat</t>
  </si>
  <si>
    <t xml:space="preserve">1 167 500 − 256 850 = 910 650 kr</t>
  </si>
  <si>
    <t xml:space="preserve">1A f) Nedbetalt lån</t>
  </si>
  <si>
    <t xml:space="preserve">Driftsresultatet endres ikke. Avdrag er ikke kostnad, og rentene står under driftsresultatet</t>
  </si>
  <si>
    <t xml:space="preserve">1A g) Linja som sier mest</t>
  </si>
  <si>
    <t xml:space="preserve">Driftsresultatet. Rentene står under fordi de handler om finansieringen, ikke driften</t>
  </si>
  <si>
    <t xml:space="preserve">1B Sorteringen</t>
  </si>
  <si>
    <t xml:space="preserve">Aktiveres: servicebil og varmekamera. Kostnad med én gang: boremaskin. Varekostnad: kabel og sikringsmateriell</t>
  </si>
  <si>
    <t xml:space="preserve">1B a) Kostnad i 2027</t>
  </si>
  <si>
    <t xml:space="preserve">90 000 + 7 000 + 3 500 + 38 000 = 138 500 kr</t>
  </si>
  <si>
    <t xml:space="preserve">1B b) Ut av banken</t>
  </si>
  <si>
    <t xml:space="preserve">450 000 + 42 000 + 3 500 + 38 000 = 533 500 kr</t>
  </si>
  <si>
    <t xml:space="preserve">1B c) Bokført verdi bil 31.12.2028</t>
  </si>
  <si>
    <t xml:space="preserve">450 000 − 2 × 90 000 = 270 000 kr</t>
  </si>
  <si>
    <t xml:space="preserve">1B d) Forskjellen</t>
  </si>
  <si>
    <t xml:space="preserve">395 000 kr står i balansen som bil og kamera og blir kostnad gjennom avskrivningene, 97 000 kr i året</t>
  </si>
  <si>
    <t xml:space="preserve">1C a) Bruttofortjeneste</t>
  </si>
  <si>
    <t xml:space="preserve">4 795 000 − 1 400 000 = 3 395 000 kr</t>
  </si>
  <si>
    <t xml:space="preserve">1C b) Driftsresultat</t>
  </si>
  <si>
    <t xml:space="preserve">3 395 000 − 2 671 760 − 60 000 − 519 000 = 144 240 kr (3,0 % av salget)</t>
  </si>
  <si>
    <t xml:space="preserve">1C c) Resultat før skatt</t>
  </si>
  <si>
    <t xml:space="preserve">144 240 − 37 500 = 106 740 kr</t>
  </si>
  <si>
    <t xml:space="preserve">1C d) Årsresultat</t>
  </si>
  <si>
    <t xml:space="preserve">Skatt 106 740 × 0,22 = 23 483. 106 740 − 23 483 = 83 257 kr</t>
  </si>
  <si>
    <t xml:space="preserve">1C e) Sorteringen</t>
  </si>
  <si>
    <t xml:space="preserve">I resultatregnskapet: avskrivning, renter, skatt. I balansen: utstyrskjøpet, avdraget, aksjekapitalen</t>
  </si>
  <si>
    <t xml:space="preserve">1C f) Driftsregnskapet</t>
  </si>
  <si>
    <t xml:space="preserve">Kalkulatorisk rente 300 000 × 5 % = 15 000 kr. Resultat før skatt 106 740 blir 91 740. Eierlønnen er allerede kostnad i et aksjeselskap</t>
  </si>
  <si>
    <t xml:space="preserve">2A Grupperingen</t>
  </si>
  <si>
    <t xml:space="preserve">Anleggsmidler: verktøy, instrumenter og biler. Omløpsmidler: varelager, kundefordringer, bankinnskudd. Egenkapital: aksjekapital, annen egenkapital. Langsiktig gjeld: banklån. Kortsiktig gjeld: leverandørgjeld, skyldige avgifter, feriepenger, kassekreditt</t>
  </si>
  <si>
    <t xml:space="preserve">2A a) Omløpsmidler</t>
  </si>
  <si>
    <t xml:space="preserve">1 400 000 + 4 200 000 + 982 650 = 6 582 650 kr</t>
  </si>
  <si>
    <t xml:space="preserve">2A b) Kortsiktig gjeld</t>
  </si>
  <si>
    <t xml:space="preserve">2 100 000 + 1 200 000 + 890 000 + 300 000 = 4 490 000 kr</t>
  </si>
  <si>
    <t xml:space="preserve">2A c) Sum eiendeler</t>
  </si>
  <si>
    <t xml:space="preserve">3 600 000 + 6 582 650 = 10 182 650 kr, lik 2 892 650 + 2 800 000 + 4 490 000</t>
  </si>
  <si>
    <t xml:space="preserve">2A d) Egenkapital i prosent</t>
  </si>
  <si>
    <t xml:space="preserve">2 892 650 / 10 182 650 = 28,4 %</t>
  </si>
  <si>
    <t xml:space="preserve">2A e) Tommelfingerreglene</t>
  </si>
  <si>
    <t xml:space="preserve">5 692 650 i egenkapital og langsiktig gjeld mot 3 600 000 i anleggsmidler: oppfylt. 6 582 650 i omløpsmidler mot 4 490 000 i kortsiktig gjeld: oppfylt, men bare 982 650 er penger på konto</t>
  </si>
  <si>
    <t xml:space="preserve">2B a) Utstyr 31.12.</t>
  </si>
  <si>
    <t xml:space="preserve">300 000 − 60 000 = 240 000 kr</t>
  </si>
  <si>
    <t xml:space="preserve">2B b) Annen egenkapital 31.12.</t>
  </si>
  <si>
    <t xml:space="preserve">0 + 83 257 − 0 = 83 257 kr (årsresultatet fra 1C, ingen utbytte)</t>
  </si>
  <si>
    <t xml:space="preserve">2B c) Banklån 31.12.</t>
  </si>
  <si>
    <t xml:space="preserve">500 000 − 100 000 = 400 000 kr</t>
  </si>
  <si>
    <t xml:space="preserve">2B d) Begge sider</t>
  </si>
  <si>
    <t xml:space="preserve">240 000 + 80 000 + 500 000 + 563 257 = 1 383 257 = 300 000 + 83 257 + 400 000 + 381 600 + 218 400</t>
  </si>
  <si>
    <t xml:space="preserve">2B e) Avdraget</t>
  </si>
  <si>
    <t xml:space="preserve">I balansen: bankinnskudd ned og banklån ned. Ikke en kostnad</t>
  </si>
  <si>
    <t xml:space="preserve">2B f) Utbytte</t>
  </si>
  <si>
    <t xml:space="preserve">563 257 i banken dekker ikke 600 000 i kortsiktig gjeld. Egenkapital er ikke penger. La overskuddet stå (aksjeloven § 3-4)</t>
  </si>
  <si>
    <t xml:space="preserve">2C a) Student A</t>
  </si>
  <si>
    <t xml:space="preserve">10 482 650 − 9 882 650 = 600 000 = 2 × kassekreditten 300 000. Feil side: ført som bankinnskudd i stedet for kortsiktig gjeld</t>
  </si>
  <si>
    <t xml:space="preserve">2C b) Student B</t>
  </si>
  <si>
    <t xml:space="preserve">10 802 650 − 10 182 650 = 620 000 = årets avskrivning. Anleggsmidlene står med 4 220 000 i stedet for 3 600 000</t>
  </si>
  <si>
    <t xml:space="preserve">2C c) Student C</t>
  </si>
  <si>
    <t xml:space="preserve">10 182 650 − 9 272 000 = 910 650 = årsresultatet. Annen egenkapital står med 1 682 000 i stedet for 2 592 650</t>
  </si>
  <si>
    <t xml:space="preserve">2C d) Til Tom</t>
  </si>
  <si>
    <t xml:space="preserve">Egenkapitalen 2 892 650 er eiendeler minus gjeld, ikke penger. På konto står 982 650; 4 200 000 hos kundene og 1 400 000 på lageret</t>
  </si>
</sst>
</file>

<file path=xl/styles.xml><?xml version="1.0" encoding="utf-8"?>
<styleSheet xmlns="http://schemas.openxmlformats.org/spreadsheetml/2006/main">
  <numFmts count="3">
    <numFmt numFmtId="164" formatCode="General"/>
    <numFmt numFmtId="165" formatCode="#,##0"/>
    <numFmt numFmtId="166" formatCode="0.0"/>
  </numFmts>
  <fonts count="11">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b val="true"/>
      <sz val="11"/>
      <color rgb="FFFFFFFF"/>
      <name val="Calibri"/>
      <family val="0"/>
      <charset val="1"/>
    </font>
    <font>
      <sz val="10.5"/>
      <name val="Calibri"/>
      <family val="0"/>
      <charset val="1"/>
    </font>
    <font>
      <i val="true"/>
      <sz val="10.5"/>
      <color rgb="FF2F4A6D"/>
      <name val="Calibri"/>
      <family val="0"/>
      <charset val="1"/>
    </font>
  </fonts>
  <fills count="6">
    <fill>
      <patternFill patternType="none"/>
    </fill>
    <fill>
      <patternFill patternType="gray125"/>
    </fill>
    <fill>
      <patternFill patternType="solid">
        <fgColor rgb="FF2F4A6D"/>
        <bgColor rgb="FF333333"/>
      </patternFill>
    </fill>
    <fill>
      <patternFill patternType="solid">
        <fgColor rgb="FFFFF2CC"/>
        <bgColor rgb="FFE2EFDA"/>
      </patternFill>
    </fill>
    <fill>
      <patternFill patternType="solid">
        <fgColor rgb="FFDDEBF7"/>
        <bgColor rgb="FFE2EFDA"/>
      </patternFill>
    </fill>
    <fill>
      <patternFill patternType="solid">
        <fgColor rgb="FFE2EFDA"/>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right" vertical="center" textRotation="0" wrapText="false" indent="0" shrinkToFit="false"/>
      <protection locked="true" hidden="false"/>
    </xf>
    <xf numFmtId="165" fontId="0" fillId="3" borderId="1" xfId="0" applyFont="false" applyBorder="true" applyAlignment="true" applyProtection="false">
      <alignment horizontal="right"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0" fillId="3" borderId="2" xfId="0" applyFont="fals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0" fillId="4" borderId="0" xfId="0" applyFont="fals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0" fillId="3" borderId="1" xfId="0" applyFont="false" applyBorder="true" applyAlignment="true" applyProtection="false">
      <alignment horizontal="right"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5" fontId="0" fillId="5" borderId="1" xfId="0" applyFont="fals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30" hidden="false" customHeight="true" outlineLevel="0" collapsed="false">
      <c r="B3" s="2" t="s">
        <v>1</v>
      </c>
    </row>
    <row r="5" customFormat="false" ht="15" hidden="false" customHeight="tru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r="11" customFormat="false" ht="15" hidden="false" customHeight="true" outlineLevel="0" collapsed="false">
      <c r="B11" s="3" t="s">
        <v>7</v>
      </c>
    </row>
    <row r="12" customFormat="false" ht="15" hidden="false" customHeight="true" outlineLevel="0" collapsed="false">
      <c r="B12" s="2" t="s">
        <v>8</v>
      </c>
    </row>
    <row r="13" customFormat="false" ht="15" hidden="false" customHeight="true" outlineLevel="0" collapsed="false">
      <c r="B13" s="2" t="s">
        <v>9</v>
      </c>
    </row>
    <row r="14" customFormat="false" ht="15" hidden="false" customHeight="true" outlineLevel="0" collapsed="false">
      <c r="B14" s="2" t="s">
        <v>10</v>
      </c>
    </row>
    <row r="15" customFormat="false" ht="15" hidden="false" customHeight="true" outlineLevel="0" collapsed="false">
      <c r="B15" s="2" t="s">
        <v>11</v>
      </c>
    </row>
    <row r="16" customFormat="false" ht="15" hidden="false" customHeight="true" outlineLevel="0" collapsed="false">
      <c r="B16" s="2" t="s">
        <v>12</v>
      </c>
    </row>
    <row r="17" customFormat="false" ht="15" hidden="false" customHeight="true" outlineLevel="0" collapsed="false">
      <c r="B17" s="2" t="s">
        <v>13</v>
      </c>
    </row>
    <row r="18" customFormat="false" ht="15" hidden="false" customHeight="true" outlineLevel="0" collapsed="false">
      <c r="B18" s="2" t="s">
        <v>14</v>
      </c>
    </row>
    <row r="20" customFormat="false" ht="30" hidden="false" customHeight="true" outlineLevel="0" collapsed="false">
      <c r="B20" s="4" t="s">
        <v>15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16</v>
      </c>
      <c r="C2" s="5"/>
      <c r="D2" s="5"/>
      <c r="E2" s="5"/>
      <c r="F2" s="5"/>
      <c r="G2" s="5"/>
    </row>
    <row r="3" customFormat="false" ht="15" hidden="false" customHeight="true" outlineLevel="0" collapsed="false">
      <c r="B3" s="6" t="s">
        <v>17</v>
      </c>
      <c r="C3" s="6"/>
      <c r="D3" s="6"/>
      <c r="E3" s="6"/>
      <c r="F3" s="6"/>
      <c r="G3" s="6"/>
    </row>
    <row r="4" customFormat="false" ht="15.75" hidden="false" customHeight="true" outlineLevel="0" collapsed="false">
      <c r="B4" s="7" t="s">
        <v>18</v>
      </c>
      <c r="C4" s="7"/>
      <c r="D4" s="7"/>
      <c r="E4" s="7"/>
      <c r="F4" s="7"/>
      <c r="G4" s="7"/>
    </row>
    <row r="5" customFormat="false" ht="30" hidden="false" customHeight="true" outlineLevel="0" collapsed="false">
      <c r="B5" s="8" t="s">
        <v>19</v>
      </c>
      <c r="C5" s="8"/>
      <c r="D5" s="8"/>
      <c r="E5" s="8"/>
      <c r="F5" s="8"/>
      <c r="G5" s="8"/>
    </row>
    <row r="6" customFormat="false" ht="15.75" hidden="false" customHeight="true" outlineLevel="0" collapsed="false">
      <c r="B6" s="7" t="s">
        <v>20</v>
      </c>
      <c r="C6" s="7"/>
      <c r="D6" s="7"/>
      <c r="E6" s="7"/>
      <c r="F6" s="7"/>
      <c r="G6" s="7"/>
    </row>
    <row r="7" customFormat="false" ht="45" hidden="false" customHeight="true" outlineLevel="0" collapsed="false">
      <c r="B7" s="8" t="s">
        <v>21</v>
      </c>
      <c r="C7" s="8"/>
      <c r="D7" s="8"/>
      <c r="E7" s="8"/>
      <c r="F7" s="8"/>
      <c r="G7" s="8"/>
    </row>
    <row r="9" customFormat="false" ht="15.75" hidden="false" customHeight="true" outlineLevel="0" collapsed="false">
      <c r="B9" s="7" t="s">
        <v>22</v>
      </c>
      <c r="C9" s="7"/>
      <c r="D9" s="7"/>
      <c r="E9" s="7"/>
      <c r="F9" s="7"/>
      <c r="G9" s="7"/>
    </row>
    <row r="10" customFormat="false" ht="30" hidden="false" customHeight="true" outlineLevel="0" collapsed="false">
      <c r="B10" s="8" t="s">
        <v>23</v>
      </c>
      <c r="C10" s="8"/>
      <c r="D10" s="8"/>
      <c r="E10" s="8"/>
      <c r="F10" s="8"/>
      <c r="G10" s="8"/>
    </row>
    <row r="11" customFormat="false" ht="15" hidden="false" customHeight="false" outlineLevel="0" collapsed="false">
      <c r="B11" s="9" t="s">
        <v>24</v>
      </c>
      <c r="C11" s="10" t="s">
        <v>25</v>
      </c>
    </row>
    <row r="12" customFormat="false" ht="15" hidden="false" customHeight="false" outlineLevel="0" collapsed="false">
      <c r="B12" s="11" t="s">
        <v>26</v>
      </c>
      <c r="C12" s="12" t="n">
        <v>10660000</v>
      </c>
    </row>
    <row r="13" customFormat="false" ht="15" hidden="false" customHeight="false" outlineLevel="0" collapsed="false">
      <c r="B13" s="11" t="s">
        <v>27</v>
      </c>
      <c r="C13" s="12" t="n">
        <v>22400000</v>
      </c>
    </row>
    <row r="14" customFormat="false" ht="15" hidden="false" customHeight="false" outlineLevel="0" collapsed="false">
      <c r="B14" s="11" t="s">
        <v>28</v>
      </c>
      <c r="C14" s="12" t="n">
        <v>232500</v>
      </c>
    </row>
    <row r="15" customFormat="false" ht="15" hidden="false" customHeight="false" outlineLevel="0" collapsed="false">
      <c r="B15" s="11" t="s">
        <v>29</v>
      </c>
      <c r="C15" s="12" t="n">
        <v>7990000</v>
      </c>
    </row>
    <row r="16" customFormat="false" ht="15" hidden="false" customHeight="false" outlineLevel="0" collapsed="false">
      <c r="B16" s="11" t="s">
        <v>30</v>
      </c>
      <c r="C16" s="12" t="n">
        <v>620000</v>
      </c>
    </row>
    <row r="17" customFormat="false" ht="15" hidden="false" customHeight="false" outlineLevel="0" collapsed="false">
      <c r="B17" s="11" t="s">
        <v>31</v>
      </c>
      <c r="C17" s="12" t="n">
        <v>56000</v>
      </c>
    </row>
    <row r="18" customFormat="false" ht="15" hidden="false" customHeight="false" outlineLevel="0" collapsed="false">
      <c r="B18" s="11" t="s">
        <v>32</v>
      </c>
      <c r="C18" s="12" t="n">
        <v>1386000</v>
      </c>
    </row>
    <row r="19" customFormat="false" ht="15" hidden="false" customHeight="false" outlineLevel="0" collapsed="false">
      <c r="B19" s="11" t="s">
        <v>33</v>
      </c>
      <c r="C19" s="12" t="n">
        <v>256850</v>
      </c>
    </row>
    <row r="20" customFormat="false" ht="15" hidden="false" customHeight="false" outlineLevel="0" collapsed="false">
      <c r="B20" s="11" t="s">
        <v>34</v>
      </c>
      <c r="C20" s="12" t="n">
        <v>400000</v>
      </c>
    </row>
    <row r="22" customFormat="false" ht="15.75" hidden="false" customHeight="true" outlineLevel="0" collapsed="false">
      <c r="B22" s="7" t="s">
        <v>35</v>
      </c>
      <c r="C22" s="7"/>
      <c r="D22" s="7"/>
      <c r="E22" s="7"/>
      <c r="F22" s="7"/>
      <c r="G22" s="7"/>
    </row>
    <row r="23" customFormat="false" ht="15" hidden="false" customHeight="true" outlineLevel="0" collapsed="false">
      <c r="B23" s="8" t="s">
        <v>36</v>
      </c>
      <c r="C23" s="8"/>
      <c r="D23" s="8"/>
      <c r="E23" s="8"/>
      <c r="F23" s="8"/>
      <c r="G23" s="8"/>
    </row>
    <row r="24" customFormat="false" ht="15" hidden="false" customHeight="false" outlineLevel="0" collapsed="false">
      <c r="B24" s="9" t="s">
        <v>37</v>
      </c>
      <c r="C24" s="10" t="s">
        <v>25</v>
      </c>
    </row>
    <row r="25" customFormat="false" ht="15" hidden="false" customHeight="false" outlineLevel="0" collapsed="false">
      <c r="B25" s="11" t="s">
        <v>27</v>
      </c>
      <c r="C25" s="12" t="n">
        <v>22400000</v>
      </c>
    </row>
    <row r="26" customFormat="false" ht="15" hidden="false" customHeight="false" outlineLevel="0" collapsed="false">
      <c r="B26" s="11" t="s">
        <v>38</v>
      </c>
      <c r="C26" s="13"/>
    </row>
    <row r="27" customFormat="false" ht="15" hidden="false" customHeight="false" outlineLevel="0" collapsed="false">
      <c r="B27" s="11" t="s">
        <v>39</v>
      </c>
      <c r="C27" s="13"/>
    </row>
    <row r="28" customFormat="false" ht="15" hidden="false" customHeight="false" outlineLevel="0" collapsed="false">
      <c r="B28" s="11" t="s">
        <v>40</v>
      </c>
      <c r="C28" s="12" t="n">
        <v>10660000</v>
      </c>
    </row>
    <row r="29" customFormat="false" ht="15" hidden="false" customHeight="false" outlineLevel="0" collapsed="false">
      <c r="B29" s="11" t="s">
        <v>41</v>
      </c>
      <c r="C29" s="12" t="n">
        <v>620000</v>
      </c>
    </row>
    <row r="30" customFormat="false" ht="15" hidden="false" customHeight="false" outlineLevel="0" collapsed="false">
      <c r="B30" s="11" t="s">
        <v>42</v>
      </c>
      <c r="C30" s="12" t="n">
        <v>1386000</v>
      </c>
    </row>
    <row r="31" customFormat="false" ht="15" hidden="false" customHeight="false" outlineLevel="0" collapsed="false">
      <c r="B31" s="11" t="s">
        <v>43</v>
      </c>
      <c r="C31" s="13"/>
    </row>
    <row r="32" customFormat="false" ht="15" hidden="false" customHeight="false" outlineLevel="0" collapsed="false">
      <c r="B32" s="11" t="s">
        <v>44</v>
      </c>
      <c r="C32" s="12" t="n">
        <v>56000</v>
      </c>
    </row>
    <row r="33" customFormat="false" ht="15" hidden="false" customHeight="false" outlineLevel="0" collapsed="false">
      <c r="B33" s="11" t="s">
        <v>45</v>
      </c>
      <c r="C33" s="12" t="n">
        <v>232500</v>
      </c>
    </row>
    <row r="34" customFormat="false" ht="15" hidden="false" customHeight="false" outlineLevel="0" collapsed="false">
      <c r="B34" s="11" t="s">
        <v>46</v>
      </c>
      <c r="C34" s="13"/>
    </row>
    <row r="35" customFormat="false" ht="15" hidden="false" customHeight="false" outlineLevel="0" collapsed="false">
      <c r="B35" s="11" t="s">
        <v>47</v>
      </c>
      <c r="C35" s="12" t="n">
        <v>256850</v>
      </c>
    </row>
    <row r="36" customFormat="false" ht="15" hidden="false" customHeight="false" outlineLevel="0" collapsed="false">
      <c r="B36" s="11" t="s">
        <v>48</v>
      </c>
      <c r="C36" s="13"/>
    </row>
    <row r="38" customFormat="false" ht="15.75" hidden="false" customHeight="true" outlineLevel="0" collapsed="false">
      <c r="B38" s="7" t="s">
        <v>49</v>
      </c>
      <c r="C38" s="7"/>
      <c r="D38" s="7"/>
      <c r="E38" s="7"/>
      <c r="F38" s="7"/>
      <c r="G38" s="7"/>
    </row>
    <row r="39" customFormat="false" ht="60" hidden="false" customHeight="true" outlineLevel="0" collapsed="false">
      <c r="B39" s="8" t="s">
        <v>50</v>
      </c>
      <c r="C39" s="8"/>
      <c r="D39" s="8"/>
      <c r="E39" s="8"/>
      <c r="F39" s="8"/>
      <c r="G39" s="8"/>
    </row>
    <row r="41" customFormat="false" ht="15" hidden="false" customHeight="false" outlineLevel="0" collapsed="false">
      <c r="B41" s="14" t="s">
        <v>51</v>
      </c>
    </row>
    <row r="42" customFormat="false" ht="36" hidden="false" customHeight="true" outlineLevel="0" collapsed="false">
      <c r="B42" s="0" t="s">
        <v>52</v>
      </c>
      <c r="C42" s="15" t="str">
        <f aca="false">IF(C26="","Skriv svaret i cellen C26.",IF(C26=(7990000+400000),"Riktig.",IF(C26=(7990000),"Du har tatt bare materiellet. De innleide montørene, 400 000, er også varekostnad hos Nordlys.","Ikke riktig ennå. Varekostnaden er materiell 7 990 000 pluss innleide montører 400 000.")))</f>
        <v>Skriv svaret i cellen C26.</v>
      </c>
      <c r="D42" s="15"/>
      <c r="E42" s="15"/>
      <c r="F42" s="15"/>
      <c r="G42" s="15"/>
    </row>
    <row r="43" customFormat="false" ht="36" hidden="false" customHeight="true" outlineLevel="0" collapsed="false">
      <c r="B43" s="0" t="s">
        <v>53</v>
      </c>
      <c r="C43" s="15" t="str">
        <f aca="false">IF(C27="","Skriv svaret i cellen C27.",IF(C27=(C25-(C26)),"Riktig.",IF(C27=(C25-7990000),"Du har trukket fra bare materiellet. Begge varekostnadene skal fra, til sammen 8 390 000.",IF(C27=(C25-(C26)-C28),"Du har trukket fra lønna også. Bruttofortjenesten er salg minus varekostnad, før lønn.","Ikke riktig ennå. Bruttofortjeneste er salgsinntekt minus varekostnaden samlet."))))</f>
        <v>Skriv svaret i cellen C27.</v>
      </c>
      <c r="D43" s="15"/>
      <c r="E43" s="15"/>
      <c r="F43" s="15"/>
      <c r="G43" s="15"/>
    </row>
    <row r="44" customFormat="false" ht="36" hidden="false" customHeight="true" outlineLevel="0" collapsed="false">
      <c r="B44" s="0" t="s">
        <v>54</v>
      </c>
      <c r="C44" s="15" t="str">
        <f aca="false">IF(C31="","Skriv svaret i cellen C31.",IF(C31=(C25-(C26)-C28-C29-C30),"Riktig.",IF(C31=(C25-(C26)-C28-C30),"Du har glemt avskrivningene, 620 000. De er en driftskostnad.",IF(C31=(C25-(C26)-C28-C29-C30+C32-C33),"Du har tatt med rentene. De står under driftsresultatet; driftsresultatet er før renter.",IF(C31=(C25-C28-C29-C30),"Du har glemt varekostnaden. Driftsresultatet er etter alle driftskostnadene.","Ikke riktig ennå. Driftsresultat er bruttofortjenesten minus lønn, avskrivninger og andre driftskostnader.")))))</f>
        <v>Skriv svaret i cellen C31.</v>
      </c>
      <c r="D44" s="15"/>
      <c r="E44" s="15"/>
      <c r="F44" s="15"/>
      <c r="G44" s="15"/>
    </row>
    <row r="45" customFormat="false" ht="36" hidden="false" customHeight="true" outlineLevel="0" collapsed="false">
      <c r="B45" s="0" t="s">
        <v>55</v>
      </c>
      <c r="C45" s="15" t="str">
        <f aca="false">IF(C34="","Skriv svaret i cellen C34.",IF(C34=(C25-(C26)-C28-C29-C30+C32-C33),"Riktig.",IF(C34=(C25-(C26)-C28-C29-C30-C33),"Du har glemt renteinntektene, 56 000. De legges til.",IF(C34=(C25-(C26)-C28-C29-C30-C32-C33),"Du har trukket fra renteinntektene. De er en inntekt og legges til; bare rentekostnadene trekkes fra.","Ikke riktig ennå. Resultat før skatt er driftsresultat pluss renteinntekter minus rentekostnader."))))</f>
        <v>Skriv svaret i cellen C34.</v>
      </c>
      <c r="D45" s="15"/>
      <c r="E45" s="15"/>
      <c r="F45" s="15"/>
      <c r="G45" s="15"/>
    </row>
    <row r="46" customFormat="false" ht="36" hidden="false" customHeight="true" outlineLevel="0" collapsed="false">
      <c r="B46" s="0" t="s">
        <v>56</v>
      </c>
      <c r="C46" s="15" t="str">
        <f aca="false">IF(C36="","Skriv svaret i cellen C36.",IF(C36=(C25-(C26)-C28-C29-C30+C32-C33-C35),"Riktig.",IF(C36=(C25-(C26)-C28-C29-C30+C32-C33),"Det er resultat før skatt. Skattekostnaden på 256 850 skal trekkes fra.","Ikke riktig ennå. Årsresultat er resultat før skatt minus skattekostnaden.")))</f>
        <v>Skriv svaret i cellen C36.</v>
      </c>
      <c r="D46" s="15"/>
      <c r="E46" s="15"/>
      <c r="F46" s="15"/>
      <c r="G46" s="15"/>
    </row>
    <row r="48" customFormat="false" ht="39.75" hidden="false" customHeight="true" outlineLevel="0" collapsed="false">
      <c r="B48" s="16" t="s">
        <v>57</v>
      </c>
      <c r="C48" s="17"/>
      <c r="G48" s="18" t="str">
        <f aca="false">IF(C48="","Velg i nedtrekksmenyen.",IF(C48="Det endres ikke","Riktig. Avdrag er ikke en kostnad, og rentene står under driftsresultatet. Driftsresultatet viser driften, ikke finansieringen. Rentekostnadene blir lavere, så resultat før skatt stiger, men driftsresultatet er det samme.","Ikke riktig. Avdrag er ikke en kostnad, og rentene står under driftsresultatet. Driftsresultatet viser driften, ikke finansieringen. Rentekostnadene blir lavere, så resultat før skatt stiger, men driftsresultatet er det samme."))</f>
        <v>Velg i nedtrekksmenyen.</v>
      </c>
    </row>
    <row r="50" customFormat="false" ht="30" hidden="false" customHeight="true" outlineLevel="0" collapsed="false">
      <c r="B50" s="8" t="s">
        <v>58</v>
      </c>
      <c r="C50" s="8"/>
      <c r="D50" s="8"/>
      <c r="E50" s="8"/>
      <c r="F50" s="8"/>
      <c r="G50" s="8"/>
    </row>
    <row r="51" customFormat="false" ht="21.75" hidden="false" customHeight="true" outlineLevel="0" collapsed="false">
      <c r="B51" s="19"/>
      <c r="C51" s="19"/>
      <c r="D51" s="19"/>
      <c r="E51" s="19"/>
      <c r="F51" s="19"/>
      <c r="G51" s="19"/>
    </row>
    <row r="52" customFormat="false" ht="21.75" hidden="false" customHeight="true" outlineLevel="0" collapsed="false">
      <c r="B52" s="19"/>
      <c r="C52" s="19"/>
      <c r="D52" s="19"/>
      <c r="E52" s="19"/>
      <c r="F52" s="19"/>
      <c r="G52" s="19"/>
    </row>
    <row r="53" customFormat="false" ht="21.75" hidden="false" customHeight="true" outlineLevel="0" collapsed="false">
      <c r="B53" s="19"/>
      <c r="C53" s="19"/>
      <c r="D53" s="19"/>
      <c r="E53" s="19"/>
      <c r="F53" s="19"/>
      <c r="G53" s="19"/>
    </row>
    <row r="54" customFormat="false" ht="39.75" hidden="false" customHeight="true" outlineLevel="0" collapsed="false">
      <c r="B54" s="20" t="str">
        <f aca="false">IF(LEN(B51)&lt;40,"",IF(AND(ISNUMBER(SEARCH("drift",B51)),ISNUMBER(SEARCH("rente",B51))),"Bra: du peker på driftsresultatet og forklarer at rentene handler om finansieringen, ikke om driften.",IF(OR(ISNUMBER(SEARCH("drift",B51)),ISNUMBER(SEARCH("rente",B51))),"Du er på sporet. Si også hvorfor rentene står under driftsresultatet: de avhenger av hvor mye Nordlys har lånt, ikke av hvor godt jobben gjøres.","Tips: driftsresultatet, 1 344 000, er det ærligste svaret på om driften bærer seg. Rentene står under fordi de handler om hvordan bedriften er finansiert, ikke om hvor godt den drives.")))</f>
        <v/>
      </c>
      <c r="C54" s="20"/>
      <c r="D54" s="20"/>
      <c r="E54" s="20"/>
      <c r="F54" s="20"/>
      <c r="G54" s="20"/>
    </row>
    <row r="55" customFormat="false" ht="15" hidden="false" customHeight="false" outlineLevel="0" collapsed="false">
      <c r="B55" s="14" t="s">
        <v>59</v>
      </c>
      <c r="C55" s="17"/>
    </row>
    <row r="56" customFormat="false" ht="45" hidden="false" customHeight="true" outlineLevel="0" collapsed="false">
      <c r="B56" s="21" t="str">
        <f aca="false">IF(C55="JA","Hint: Varekostnad 7 990 000 + 400 000 = 8 390 000. Bruttofortjeneste 22 400 000 − 8 390 000 = 14 010 000. Driftsresultat 14 010 000 − 10 660 000 − 620 000 − 1 386 000 = 1 344 000. Resultat før skatt 1 344 000 + 56 000 − 232 500 = 1 167 500. Årsresultat 1 167 500 − 256 850 = 910 650.","")</f>
        <v/>
      </c>
      <c r="C56" s="21"/>
      <c r="D56" s="21"/>
      <c r="E56" s="21"/>
      <c r="F56" s="21"/>
      <c r="G56" s="21"/>
    </row>
    <row r="58" customFormat="false" ht="30" hidden="false" customHeight="true" outlineLevel="0" collapsed="false">
      <c r="B58" s="6" t="s">
        <v>60</v>
      </c>
      <c r="C58" s="6"/>
      <c r="D58" s="6"/>
      <c r="E58" s="6"/>
      <c r="F58" s="6"/>
      <c r="G58" s="6"/>
    </row>
  </sheetData>
  <mergeCells count="22">
    <mergeCell ref="B2:G2"/>
    <mergeCell ref="B3:G3"/>
    <mergeCell ref="B4:G4"/>
    <mergeCell ref="B5:G5"/>
    <mergeCell ref="B6:G6"/>
    <mergeCell ref="B7:G7"/>
    <mergeCell ref="B9:G9"/>
    <mergeCell ref="B10:G10"/>
    <mergeCell ref="B22:G22"/>
    <mergeCell ref="B23:G23"/>
    <mergeCell ref="B38:G38"/>
    <mergeCell ref="B39:G39"/>
    <mergeCell ref="C42:G42"/>
    <mergeCell ref="C43:G43"/>
    <mergeCell ref="C44:G44"/>
    <mergeCell ref="C45:G45"/>
    <mergeCell ref="C46:G46"/>
    <mergeCell ref="B50:G50"/>
    <mergeCell ref="B51:G53"/>
    <mergeCell ref="B54:G54"/>
    <mergeCell ref="B56:G56"/>
    <mergeCell ref="B58:G58"/>
  </mergeCells>
  <conditionalFormatting sqref="C42">
    <cfRule type="expression" priority="2" aboveAverage="0" equalAverage="0" bottom="0" percent="0" rank="0" text="" dxfId="0">
      <formula>LEFT(C42,6)="Riktig"</formula>
    </cfRule>
    <cfRule type="expression" priority="3" aboveAverage="0" equalAverage="0" bottom="0" percent="0" rank="0" text="" dxfId="1">
      <formula>AND(C42&lt;&gt;"",LEFT(C42,6)&lt;&gt;"Riktig",LEFT(C42,5)&lt;&gt;"Skriv")</formula>
    </cfRule>
  </conditionalFormatting>
  <conditionalFormatting sqref="C43">
    <cfRule type="expression" priority="4" aboveAverage="0" equalAverage="0" bottom="0" percent="0" rank="0" text="" dxfId="0">
      <formula>LEFT(C43,6)="Riktig"</formula>
    </cfRule>
    <cfRule type="expression" priority="5" aboveAverage="0" equalAverage="0" bottom="0" percent="0" rank="0" text="" dxfId="1">
      <formula>AND(C43&lt;&gt;"",LEFT(C43,6)&lt;&gt;"Riktig",LEFT(C43,5)&lt;&gt;"Skriv")</formula>
    </cfRule>
  </conditionalFormatting>
  <conditionalFormatting sqref="C44">
    <cfRule type="expression" priority="6" aboveAverage="0" equalAverage="0" bottom="0" percent="0" rank="0" text="" dxfId="0">
      <formula>LEFT(C44,6)="Riktig"</formula>
    </cfRule>
    <cfRule type="expression" priority="7" aboveAverage="0" equalAverage="0" bottom="0" percent="0" rank="0" text="" dxfId="1">
      <formula>AND(C44&lt;&gt;"",LEFT(C44,6)&lt;&gt;"Riktig",LEFT(C44,5)&lt;&gt;"Skriv")</formula>
    </cfRule>
  </conditionalFormatting>
  <conditionalFormatting sqref="C45">
    <cfRule type="expression" priority="8" aboveAverage="0" equalAverage="0" bottom="0" percent="0" rank="0" text="" dxfId="0">
      <formula>LEFT(C45,6)="Riktig"</formula>
    </cfRule>
    <cfRule type="expression" priority="9" aboveAverage="0" equalAverage="0" bottom="0" percent="0" rank="0" text="" dxfId="1">
      <formula>AND(C45&lt;&gt;"",LEFT(C45,6)&lt;&gt;"Riktig",LEFT(C45,5)&lt;&gt;"Skriv")</formula>
    </cfRule>
  </conditionalFormatting>
  <conditionalFormatting sqref="C46">
    <cfRule type="expression" priority="10" aboveAverage="0" equalAverage="0" bottom="0" percent="0" rank="0" text="" dxfId="0">
      <formula>LEFT(C46,6)="Riktig"</formula>
    </cfRule>
    <cfRule type="expression" priority="11" aboveAverage="0" equalAverage="0" bottom="0" percent="0" rank="0" text="" dxfId="1">
      <formula>AND(C46&lt;&gt;"",LEFT(C46,6)&lt;&gt;"Riktig",LEFT(C46,5)&lt;&gt;"Skriv")</formula>
    </cfRule>
  </conditionalFormatting>
  <conditionalFormatting sqref="G48">
    <cfRule type="expression" priority="12" aboveAverage="0" equalAverage="0" bottom="0" percent="0" rank="0" text="" dxfId="0">
      <formula>LEFT(G48,6)="Riktig"</formula>
    </cfRule>
    <cfRule type="expression" priority="13" aboveAverage="0" equalAverage="0" bottom="0" percent="0" rank="0" text="" dxfId="1">
      <formula>LEFT(G48,4)="Ikke"</formula>
    </cfRule>
  </conditionalFormatting>
  <dataValidations count="2">
    <dataValidation allowBlank="true" errorStyle="stop" operator="between" showDropDown="false" showErrorMessage="false" showInputMessage="false" sqref="C48" type="list">
      <formula1>"Det stiger,Det synker,Det endres ikke"</formula1>
      <formula2>0</formula2>
    </dataValidation>
    <dataValidation allowBlank="true" errorStyle="stop" operator="between" showDropDown="false" showErrorMessage="false" showInputMessage="false" sqref="C55"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61</v>
      </c>
      <c r="C2" s="5"/>
      <c r="D2" s="5"/>
      <c r="E2" s="5"/>
      <c r="F2" s="5"/>
      <c r="G2" s="5"/>
    </row>
    <row r="3" customFormat="false" ht="15" hidden="false" customHeight="true" outlineLevel="0" collapsed="false">
      <c r="B3" s="6" t="s">
        <v>17</v>
      </c>
      <c r="C3" s="6"/>
      <c r="D3" s="6"/>
      <c r="E3" s="6"/>
      <c r="F3" s="6"/>
      <c r="G3" s="6"/>
    </row>
    <row r="4" customFormat="false" ht="15.75" hidden="false" customHeight="true" outlineLevel="0" collapsed="false">
      <c r="B4" s="7" t="s">
        <v>18</v>
      </c>
      <c r="C4" s="7"/>
      <c r="D4" s="7"/>
      <c r="E4" s="7"/>
      <c r="F4" s="7"/>
      <c r="G4" s="7"/>
    </row>
    <row r="5" customFormat="false" ht="30" hidden="false" customHeight="true" outlineLevel="0" collapsed="false">
      <c r="B5" s="8" t="s">
        <v>62</v>
      </c>
      <c r="C5" s="8"/>
      <c r="D5" s="8"/>
      <c r="E5" s="8"/>
      <c r="F5" s="8"/>
      <c r="G5" s="8"/>
    </row>
    <row r="6" customFormat="false" ht="15.75" hidden="false" customHeight="true" outlineLevel="0" collapsed="false">
      <c r="B6" s="7" t="s">
        <v>20</v>
      </c>
      <c r="C6" s="7"/>
      <c r="D6" s="7"/>
      <c r="E6" s="7"/>
      <c r="F6" s="7"/>
      <c r="G6" s="7"/>
    </row>
    <row r="7" customFormat="false" ht="45" hidden="false" customHeight="true" outlineLevel="0" collapsed="false">
      <c r="B7" s="8" t="s">
        <v>63</v>
      </c>
      <c r="C7" s="8"/>
      <c r="D7" s="8"/>
      <c r="E7" s="8"/>
      <c r="F7" s="8"/>
      <c r="G7" s="8"/>
    </row>
    <row r="9" customFormat="false" ht="15.75" hidden="false" customHeight="true" outlineLevel="0" collapsed="false">
      <c r="B9" s="7" t="s">
        <v>64</v>
      </c>
      <c r="C9" s="7"/>
      <c r="D9" s="7"/>
      <c r="E9" s="7"/>
      <c r="F9" s="7"/>
      <c r="G9" s="7"/>
    </row>
    <row r="10" customFormat="false" ht="45" hidden="false" customHeight="true" outlineLevel="0" collapsed="false">
      <c r="B10" s="8" t="s">
        <v>65</v>
      </c>
      <c r="C10" s="8"/>
      <c r="D10" s="8"/>
      <c r="E10" s="8"/>
      <c r="F10" s="8"/>
      <c r="G10" s="8"/>
    </row>
    <row r="11" customFormat="false" ht="15" hidden="false" customHeight="false" outlineLevel="0" collapsed="false">
      <c r="B11" s="9" t="s">
        <v>66</v>
      </c>
      <c r="C11" s="10" t="s">
        <v>25</v>
      </c>
      <c r="D11" s="10" t="s">
        <v>67</v>
      </c>
    </row>
    <row r="12" customFormat="false" ht="15" hidden="false" customHeight="false" outlineLevel="0" collapsed="false">
      <c r="B12" s="11" t="s">
        <v>68</v>
      </c>
      <c r="C12" s="12" t="n">
        <v>450000</v>
      </c>
      <c r="D12" s="12" t="n">
        <v>5</v>
      </c>
    </row>
    <row r="13" customFormat="false" ht="15" hidden="false" customHeight="false" outlineLevel="0" collapsed="false">
      <c r="B13" s="11" t="s">
        <v>69</v>
      </c>
      <c r="C13" s="12" t="n">
        <v>42000</v>
      </c>
      <c r="D13" s="12" t="n">
        <v>6</v>
      </c>
    </row>
    <row r="14" customFormat="false" ht="15" hidden="false" customHeight="false" outlineLevel="0" collapsed="false">
      <c r="B14" s="11" t="s">
        <v>70</v>
      </c>
      <c r="C14" s="12" t="n">
        <v>3500</v>
      </c>
      <c r="D14" s="12" t="n">
        <v>3</v>
      </c>
    </row>
    <row r="15" customFormat="false" ht="15" hidden="false" customHeight="false" outlineLevel="0" collapsed="false">
      <c r="B15" s="11" t="s">
        <v>71</v>
      </c>
      <c r="C15" s="12" t="n">
        <v>38000</v>
      </c>
      <c r="D15" s="12" t="n">
        <v>0</v>
      </c>
    </row>
    <row r="17" customFormat="false" ht="15.75" hidden="false" customHeight="true" outlineLevel="0" collapsed="false">
      <c r="B17" s="7" t="s">
        <v>49</v>
      </c>
      <c r="C17" s="7"/>
      <c r="D17" s="7"/>
      <c r="E17" s="7"/>
      <c r="F17" s="7"/>
      <c r="G17" s="7"/>
    </row>
    <row r="18" customFormat="false" ht="45" hidden="false" customHeight="true" outlineLevel="0" collapsed="false">
      <c r="B18" s="8" t="s">
        <v>72</v>
      </c>
      <c r="C18" s="8"/>
      <c r="D18" s="8"/>
      <c r="E18" s="8"/>
      <c r="F18" s="8"/>
      <c r="G18" s="8"/>
    </row>
    <row r="20" customFormat="false" ht="15" hidden="false" customHeight="true" outlineLevel="0" collapsed="false">
      <c r="B20" s="7" t="s">
        <v>73</v>
      </c>
      <c r="C20" s="7"/>
      <c r="D20" s="7"/>
      <c r="E20" s="7"/>
      <c r="F20" s="7"/>
      <c r="G20" s="7"/>
    </row>
    <row r="21" customFormat="false" ht="39.75" hidden="false" customHeight="true" outlineLevel="0" collapsed="false">
      <c r="B21" s="16" t="s">
        <v>74</v>
      </c>
      <c r="C21" s="17"/>
      <c r="G21" s="18" t="str">
        <f aca="false">IF(C21="","Velg i nedtrekksmenyen.",IF(C21="Aktiveres og avskrives","Riktig. Over 30 000 kr og minst tre års brukstid: eiendel i balansen, 450 000 / 5 = 90 000 kr i avskrivning hvert år.","Ikke riktig. Over 30 000 kr og minst tre års brukstid: eiendel i balansen, 450 000 / 5 = 90 000 kr i avskrivning hvert år."))</f>
        <v>Velg i nedtrekksmenyen.</v>
      </c>
    </row>
    <row r="22" customFormat="false" ht="39.75" hidden="false" customHeight="true" outlineLevel="0" collapsed="false">
      <c r="B22" s="16" t="s">
        <v>75</v>
      </c>
      <c r="C22" s="17"/>
      <c r="G22" s="18" t="str">
        <f aca="false">IF(C22="","Velg i nedtrekksmenyen.",IF(C22="Aktiveres og avskrives","Riktig. Over 30 000 kr og minst tre års brukstid, selv om det er et lite instrument. 42 000 / 6 = 7 000 kr i året.","Ikke riktig. Over 30 000 kr og minst tre års brukstid, selv om det er et lite instrument. 42 000 / 6 = 7 000 kr i året."))</f>
        <v>Velg i nedtrekksmenyen.</v>
      </c>
    </row>
    <row r="23" customFormat="false" ht="39.75" hidden="false" customHeight="true" outlineLevel="0" collapsed="false">
      <c r="B23" s="16" t="s">
        <v>76</v>
      </c>
      <c r="C23" s="17"/>
      <c r="G23" s="18" t="str">
        <f aca="false">IF(C23="","Velg i nedtrekksmenyen.",IF(C23="Kostnad med én gang","Riktig. Under 30 000 kr: hele beløpet er kostnad i kjøpsåret, selv om den varer i tre år.","Ikke riktig. Under 30 000 kr: hele beløpet er kostnad i kjøpsåret, selv om den varer i tre år."))</f>
        <v>Velg i nedtrekksmenyen.</v>
      </c>
    </row>
    <row r="24" customFormat="false" ht="39.75" hidden="false" customHeight="true" outlineLevel="0" collapsed="false">
      <c r="B24" s="16" t="s">
        <v>77</v>
      </c>
      <c r="C24" s="17"/>
      <c r="G24" s="18" t="str">
        <f aca="false">IF(C24="","Velg i nedtrekksmenyen.",IF(C24="Varekostnad","Riktig. Over 30 000 kr, men det er ikke et driftsmiddel. Det er brukt opp hos kunden og er varekostnad.","Ikke riktig. Over 30 000 kr, men det er ikke et driftsmiddel. Det er brukt opp hos kunden og er varekostnad."))</f>
        <v>Velg i nedtrekksmenyen.</v>
      </c>
    </row>
    <row r="26" customFormat="false" ht="43.5" hidden="false" customHeight="true" outlineLevel="0" collapsed="false">
      <c r="B26" s="16" t="s">
        <v>78</v>
      </c>
      <c r="C26" s="13"/>
      <c r="D26" s="22" t="s">
        <v>79</v>
      </c>
      <c r="G26" s="18" t="str">
        <f aca="false">IF(C26="","Skriv svaret i den gule cellen.",IF(C26=(450000/5+42000/6+3500+38000),"Riktig.",IF(ABS(C26-(450000+42000+3500+38000))&lt;=0,"Du har tatt hele beløpene. Bilen og kameraet aktiveres; bare avskrivningen er kostnad i år.",IF(ABS(C26-(450000/5+42000/6))&lt;=0,"Du har tatt bare avskrivningene. Boremaskinen og kabelen er kostnad i år, med hele beløpet.",IF(ABS(C26-(450000/5+42000/6+3500))&lt;=0,"Du har glemt kabelen, 38 000. Den er varekostnad i år.","Ikke riktig ennå. Se på regnestykket øverst på fanen, og sjekk at du har med alle leddene.")))))</f>
        <v>Skriv svaret i den gule cellen.</v>
      </c>
    </row>
    <row r="27" customFormat="false" ht="43.5" hidden="false" customHeight="true" outlineLevel="0" collapsed="false">
      <c r="B27" s="16" t="s">
        <v>80</v>
      </c>
      <c r="C27" s="13"/>
      <c r="D27" s="22" t="s">
        <v>79</v>
      </c>
      <c r="G27" s="18" t="str">
        <f aca="false">IF(C27="","Skriv svaret i den gule cellen.",IF(C27=(450000+42000+3500+38000),"Riktig.",IF(ABS(C27-(450000/5+42000/6+3500+38000))&lt;=0,"Det er kostnaden i år. Pengene gikk ut med hele beløpet da det ble kjøpt; avskrivning er ikke en utbetaling.","Ikke riktig ennå. Se på regnestykket øverst på fanen, og sjekk at du har med alle leddene.")))</f>
        <v>Skriv svaret i den gule cellen.</v>
      </c>
    </row>
    <row r="28" customFormat="false" ht="43.5" hidden="false" customHeight="true" outlineLevel="0" collapsed="false">
      <c r="B28" s="16" t="s">
        <v>81</v>
      </c>
      <c r="C28" s="13"/>
      <c r="D28" s="22" t="s">
        <v>79</v>
      </c>
      <c r="G28" s="18" t="str">
        <f aca="false">IF(C28="","Skriv svaret i den gule cellen.",IF(C28=(450000-2*450000/5),"Riktig.",IF(ABS(C28-(450000-450000/5))&lt;=0,"Du har trukket fra ett års avskrivning. Ved utgangen av 2028 er det gått to år: 2 × 90 000.",IF(ABS(C28-(2*450000/5))&lt;=0,"Det er summen av de to avskrivningene, 180 000. Bokført verdi er det som er igjen: 450 000 minus 180 000.","Ikke riktig ennå. Se på regnestykket øverst på fanen, og sjekk at du har med alle leddene."))))</f>
        <v>Skriv svaret i den gule cellen.</v>
      </c>
    </row>
    <row r="30" customFormat="false" ht="30" hidden="false" customHeight="true" outlineLevel="0" collapsed="false">
      <c r="B30" s="8" t="s">
        <v>82</v>
      </c>
      <c r="C30" s="8"/>
      <c r="D30" s="8"/>
      <c r="E30" s="8"/>
      <c r="F30" s="8"/>
      <c r="G30" s="8"/>
    </row>
    <row r="31" customFormat="false" ht="21.75" hidden="false" customHeight="true" outlineLevel="0" collapsed="false">
      <c r="B31" s="19"/>
      <c r="C31" s="19"/>
      <c r="D31" s="19"/>
      <c r="E31" s="19"/>
      <c r="F31" s="19"/>
      <c r="G31" s="19"/>
    </row>
    <row r="32" customFormat="false" ht="21.75" hidden="false" customHeight="true" outlineLevel="0" collapsed="false">
      <c r="B32" s="19"/>
      <c r="C32" s="19"/>
      <c r="D32" s="19"/>
      <c r="E32" s="19"/>
      <c r="F32" s="19"/>
      <c r="G32" s="19"/>
    </row>
    <row r="33" customFormat="false" ht="21.75" hidden="false" customHeight="true" outlineLevel="0" collapsed="false">
      <c r="B33" s="19"/>
      <c r="C33" s="19"/>
      <c r="D33" s="19"/>
      <c r="E33" s="19"/>
      <c r="F33" s="19"/>
      <c r="G33" s="19"/>
    </row>
    <row r="34" customFormat="false" ht="39.75" hidden="false" customHeight="true" outlineLevel="0" collapsed="false">
      <c r="B34" s="20" t="str">
        <f aca="false">IF(LEN(B31)&lt;40,"",IF(AND(ISNUMBER(SEARCH("balanse",B31)),ISNUMBER(SEARCH("avskriv",B31))),"Bra: du sier at forskjellen står i balansen som eiendel, og at den blir kostnad gjennom avskrivningene de neste årene.",IF(OR(ISNUMBER(SEARCH("balanse",B31)),ISNUMBER(SEARCH("avskriv",B31))),"Du er på sporet. Si både hvor pengene står nå (i balansen, som bil og kamera) og hva som skjer med dem videre (avskrivningene).","Tips: 533 500 − 138 500 = 395 000 kr står i balansen som servicebil og varmekamera. De blir kostnad litt hvert år gjennom avskrivningene, 97 000 kr i året.")))</f>
        <v/>
      </c>
      <c r="C34" s="20"/>
      <c r="D34" s="20"/>
      <c r="E34" s="20"/>
      <c r="F34" s="20"/>
      <c r="G34" s="20"/>
    </row>
    <row r="35" customFormat="false" ht="15" hidden="false" customHeight="false" outlineLevel="0" collapsed="false">
      <c r="B35" s="14" t="s">
        <v>59</v>
      </c>
      <c r="C35" s="17"/>
    </row>
    <row r="36" customFormat="false" ht="31.5" hidden="false" customHeight="true" outlineLevel="0" collapsed="false">
      <c r="B36" s="21" t="str">
        <f aca="false">IF(C35="JA","Hint: Kostnad i år: 450 000 / 5 = 90 000, pluss 42 000 / 6 = 7 000, pluss 3 500, pluss 38 000 = 138 500. Ut av banken: 450 000 + 42 000 + 3 500 + 38 000 = 533 500. Bilen etter to år: 450 000 − 2 × 90 000 = 270 000.","")</f>
        <v/>
      </c>
      <c r="C36" s="21"/>
      <c r="D36" s="21"/>
      <c r="E36" s="21"/>
      <c r="F36" s="21"/>
      <c r="G36" s="21"/>
    </row>
    <row r="38" customFormat="false" ht="30" hidden="false" customHeight="true" outlineLevel="0" collapsed="false">
      <c r="B38" s="6" t="s">
        <v>60</v>
      </c>
      <c r="C38" s="6"/>
      <c r="D38" s="6"/>
      <c r="E38" s="6"/>
      <c r="F38" s="6"/>
      <c r="G38" s="6"/>
    </row>
  </sheetData>
  <mergeCells count="16">
    <mergeCell ref="B2:G2"/>
    <mergeCell ref="B3:G3"/>
    <mergeCell ref="B4:G4"/>
    <mergeCell ref="B5:G5"/>
    <mergeCell ref="B6:G6"/>
    <mergeCell ref="B7:G7"/>
    <mergeCell ref="B9:G9"/>
    <mergeCell ref="B10:G10"/>
    <mergeCell ref="B17:G17"/>
    <mergeCell ref="B18:G18"/>
    <mergeCell ref="B20:G20"/>
    <mergeCell ref="B30:G30"/>
    <mergeCell ref="B31:G33"/>
    <mergeCell ref="B34:G34"/>
    <mergeCell ref="B36:G36"/>
    <mergeCell ref="B38:G38"/>
  </mergeCells>
  <conditionalFormatting sqref="G21">
    <cfRule type="expression" priority="2" aboveAverage="0" equalAverage="0" bottom="0" percent="0" rank="0" text="" dxfId="0">
      <formula>LEFT(G21,6)="Riktig"</formula>
    </cfRule>
    <cfRule type="expression" priority="3" aboveAverage="0" equalAverage="0" bottom="0" percent="0" rank="0" text="" dxfId="1">
      <formula>LEFT(G21,4)="Ikke"</formula>
    </cfRule>
  </conditionalFormatting>
  <conditionalFormatting sqref="G22">
    <cfRule type="expression" priority="4" aboveAverage="0" equalAverage="0" bottom="0" percent="0" rank="0" text="" dxfId="0">
      <formula>LEFT(G22,6)="Riktig"</formula>
    </cfRule>
    <cfRule type="expression" priority="5" aboveAverage="0" equalAverage="0" bottom="0" percent="0" rank="0" text="" dxfId="1">
      <formula>LEFT(G22,4)="Ikke"</formula>
    </cfRule>
  </conditionalFormatting>
  <conditionalFormatting sqref="G23">
    <cfRule type="expression" priority="6" aboveAverage="0" equalAverage="0" bottom="0" percent="0" rank="0" text="" dxfId="0">
      <formula>LEFT(G23,6)="Riktig"</formula>
    </cfRule>
    <cfRule type="expression" priority="7" aboveAverage="0" equalAverage="0" bottom="0" percent="0" rank="0" text="" dxfId="1">
      <formula>LEFT(G23,4)="Ikke"</formula>
    </cfRule>
  </conditionalFormatting>
  <conditionalFormatting sqref="G24">
    <cfRule type="expression" priority="8" aboveAverage="0" equalAverage="0" bottom="0" percent="0" rank="0" text="" dxfId="0">
      <formula>LEFT(G24,6)="Riktig"</formula>
    </cfRule>
    <cfRule type="expression" priority="9" aboveAverage="0" equalAverage="0" bottom="0" percent="0" rank="0" text="" dxfId="1">
      <formula>LEFT(G24,4)="Ikke"</formula>
    </cfRule>
  </conditionalFormatting>
  <conditionalFormatting sqref="G26">
    <cfRule type="expression" priority="10" aboveAverage="0" equalAverage="0" bottom="0" percent="0" rank="0" text="" dxfId="0">
      <formula>LEFT(G26,6)="Riktig"</formula>
    </cfRule>
    <cfRule type="expression" priority="11" aboveAverage="0" equalAverage="0" bottom="0" percent="0" rank="0" text="" dxfId="1">
      <formula>AND(G26&lt;&gt;"",LEFT(G26,6)&lt;&gt;"Riktig",LEFT(G26,5)&lt;&gt;"Skriv")</formula>
    </cfRule>
  </conditionalFormatting>
  <conditionalFormatting sqref="G27">
    <cfRule type="expression" priority="12" aboveAverage="0" equalAverage="0" bottom="0" percent="0" rank="0" text="" dxfId="0">
      <formula>LEFT(G27,6)="Riktig"</formula>
    </cfRule>
    <cfRule type="expression" priority="13" aboveAverage="0" equalAverage="0" bottom="0" percent="0" rank="0" text="" dxfId="1">
      <formula>AND(G27&lt;&gt;"",LEFT(G27,6)&lt;&gt;"Riktig",LEFT(G27,5)&lt;&gt;"Skriv")</formula>
    </cfRule>
  </conditionalFormatting>
  <conditionalFormatting sqref="G28">
    <cfRule type="expression" priority="14" aboveAverage="0" equalAverage="0" bottom="0" percent="0" rank="0" text="" dxfId="0">
      <formula>LEFT(G28,6)="Riktig"</formula>
    </cfRule>
    <cfRule type="expression" priority="15" aboveAverage="0" equalAverage="0" bottom="0" percent="0" rank="0" text="" dxfId="1">
      <formula>AND(G28&lt;&gt;"",LEFT(G28,6)&lt;&gt;"Riktig",LEFT(G28,5)&lt;&gt;"Skriv")</formula>
    </cfRule>
  </conditionalFormatting>
  <dataValidations count="5">
    <dataValidation allowBlank="true" errorStyle="stop" operator="between" showDropDown="false" showErrorMessage="false" showInputMessage="false" sqref="C21" type="list">
      <formula1>"Aktiveres og avskrives,Kostnad med én gang,Varekostnad"</formula1>
      <formula2>0</formula2>
    </dataValidation>
    <dataValidation allowBlank="true" errorStyle="stop" operator="between" showDropDown="false" showErrorMessage="false" showInputMessage="false" sqref="C22" type="list">
      <formula1>"Aktiveres og avskrives,Kostnad med én gang,Varekostnad"</formula1>
      <formula2>0</formula2>
    </dataValidation>
    <dataValidation allowBlank="true" errorStyle="stop" operator="between" showDropDown="false" showErrorMessage="false" showInputMessage="false" sqref="C23" type="list">
      <formula1>"Aktiveres og avskrives,Kostnad med én gang,Varekostnad"</formula1>
      <formula2>0</formula2>
    </dataValidation>
    <dataValidation allowBlank="true" errorStyle="stop" operator="between" showDropDown="false" showErrorMessage="false" showInputMessage="false" sqref="C24" type="list">
      <formula1>"Aktiveres og avskrives,Kostnad med én gang,Varekostnad"</formula1>
      <formula2>0</formula2>
    </dataValidation>
    <dataValidation allowBlank="true" errorStyle="stop" operator="between" showDropDown="false" showErrorMessage="false" showInputMessage="false" sqref="C35"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83</v>
      </c>
      <c r="C2" s="5"/>
      <c r="D2" s="5"/>
      <c r="E2" s="5"/>
      <c r="F2" s="5"/>
      <c r="G2" s="5"/>
    </row>
    <row r="3" customFormat="false" ht="15" hidden="false" customHeight="true" outlineLevel="0" collapsed="false">
      <c r="B3" s="6" t="s">
        <v>17</v>
      </c>
      <c r="C3" s="6"/>
      <c r="D3" s="6"/>
      <c r="E3" s="6"/>
      <c r="F3" s="6"/>
      <c r="G3" s="6"/>
    </row>
    <row r="4" customFormat="false" ht="15.75" hidden="false" customHeight="true" outlineLevel="0" collapsed="false">
      <c r="B4" s="7" t="s">
        <v>18</v>
      </c>
      <c r="C4" s="7"/>
      <c r="D4" s="7"/>
      <c r="E4" s="7"/>
      <c r="F4" s="7"/>
      <c r="G4" s="7"/>
    </row>
    <row r="5" customFormat="false" ht="30" hidden="false" customHeight="true" outlineLevel="0" collapsed="false">
      <c r="B5" s="8" t="s">
        <v>84</v>
      </c>
      <c r="C5" s="8"/>
      <c r="D5" s="8"/>
      <c r="E5" s="8"/>
      <c r="F5" s="8"/>
      <c r="G5" s="8"/>
    </row>
    <row r="6" customFormat="false" ht="15.75" hidden="false" customHeight="true" outlineLevel="0" collapsed="false">
      <c r="B6" s="7" t="s">
        <v>20</v>
      </c>
      <c r="C6" s="7"/>
      <c r="D6" s="7"/>
      <c r="E6" s="7"/>
      <c r="F6" s="7"/>
      <c r="G6" s="7"/>
    </row>
    <row r="7" customFormat="false" ht="60" hidden="false" customHeight="true" outlineLevel="0" collapsed="false">
      <c r="B7" s="8" t="s">
        <v>85</v>
      </c>
      <c r="C7" s="8"/>
      <c r="D7" s="8"/>
      <c r="E7" s="8"/>
      <c r="F7" s="8"/>
      <c r="G7" s="8"/>
    </row>
    <row r="9" customFormat="false" ht="15.75" hidden="false" customHeight="true" outlineLevel="0" collapsed="false">
      <c r="B9" s="7" t="s">
        <v>86</v>
      </c>
      <c r="C9" s="7"/>
      <c r="D9" s="7"/>
      <c r="E9" s="7"/>
      <c r="F9" s="7"/>
      <c r="G9" s="7"/>
    </row>
    <row r="10" customFormat="false" ht="75" hidden="false" customHeight="true" outlineLevel="0" collapsed="false">
      <c r="B10" s="8" t="s">
        <v>87</v>
      </c>
      <c r="C10" s="8"/>
      <c r="D10" s="8"/>
      <c r="E10" s="8"/>
      <c r="F10" s="8"/>
      <c r="G10" s="8"/>
    </row>
    <row r="11" customFormat="false" ht="15" hidden="false" customHeight="false" outlineLevel="0" collapsed="false">
      <c r="B11" s="9" t="s">
        <v>88</v>
      </c>
      <c r="C11" s="10" t="s">
        <v>25</v>
      </c>
    </row>
    <row r="12" customFormat="false" ht="15" hidden="false" customHeight="false" outlineLevel="0" collapsed="false">
      <c r="B12" s="11" t="s">
        <v>89</v>
      </c>
      <c r="C12" s="12" t="n">
        <v>4795000</v>
      </c>
    </row>
    <row r="13" customFormat="false" ht="15" hidden="false" customHeight="false" outlineLevel="0" collapsed="false">
      <c r="B13" s="11" t="s">
        <v>90</v>
      </c>
      <c r="C13" s="12" t="n">
        <v>1400000</v>
      </c>
    </row>
    <row r="14" customFormat="false" ht="15" hidden="false" customHeight="false" outlineLevel="0" collapsed="false">
      <c r="B14" s="11" t="s">
        <v>91</v>
      </c>
      <c r="C14" s="12" t="n">
        <v>2671760</v>
      </c>
    </row>
    <row r="15" customFormat="false" ht="15" hidden="false" customHeight="false" outlineLevel="0" collapsed="false">
      <c r="B15" s="11" t="s">
        <v>92</v>
      </c>
      <c r="C15" s="12" t="n">
        <v>300000</v>
      </c>
    </row>
    <row r="16" customFormat="false" ht="15" hidden="false" customHeight="false" outlineLevel="0" collapsed="false">
      <c r="B16" s="11" t="s">
        <v>32</v>
      </c>
      <c r="C16" s="12" t="n">
        <v>519000</v>
      </c>
    </row>
    <row r="17" customFormat="false" ht="15" hidden="false" customHeight="false" outlineLevel="0" collapsed="false">
      <c r="B17" s="11" t="s">
        <v>93</v>
      </c>
      <c r="C17" s="12" t="n">
        <v>500000</v>
      </c>
    </row>
    <row r="18" customFormat="false" ht="15" hidden="false" customHeight="false" outlineLevel="0" collapsed="false">
      <c r="B18" s="11" t="s">
        <v>94</v>
      </c>
      <c r="C18" s="12" t="n">
        <v>100000</v>
      </c>
    </row>
    <row r="19" customFormat="false" ht="15" hidden="false" customHeight="false" outlineLevel="0" collapsed="false">
      <c r="B19" s="11" t="s">
        <v>95</v>
      </c>
      <c r="C19" s="12" t="n">
        <v>300000</v>
      </c>
    </row>
    <row r="21" customFormat="false" ht="15.75" hidden="false" customHeight="true" outlineLevel="0" collapsed="false">
      <c r="B21" s="7" t="s">
        <v>49</v>
      </c>
      <c r="C21" s="7"/>
      <c r="D21" s="7"/>
      <c r="E21" s="7"/>
      <c r="F21" s="7"/>
      <c r="G21" s="7"/>
    </row>
    <row r="22" customFormat="false" ht="60" hidden="false" customHeight="true" outlineLevel="0" collapsed="false">
      <c r="B22" s="8" t="s">
        <v>96</v>
      </c>
      <c r="C22" s="8"/>
      <c r="D22" s="8"/>
      <c r="E22" s="8"/>
      <c r="F22" s="8"/>
      <c r="G22" s="8"/>
    </row>
    <row r="24" customFormat="false" ht="43.5" hidden="false" customHeight="true" outlineLevel="0" collapsed="false">
      <c r="B24" s="16" t="s">
        <v>97</v>
      </c>
      <c r="C24" s="13"/>
      <c r="D24" s="22" t="s">
        <v>79</v>
      </c>
      <c r="G24" s="18" t="str">
        <f aca="false">IF(C24="","Skriv svaret i den gule cellen.",IF(C24=(4795000-1400000),"Riktig.",IF(ABS(C24-(4795000-1400000-2671760))&lt;=0,"Du har trukket fra lønna. Bruttofortjenesten er salg minus varekostnad, før lønn.","Ikke riktig ennå. Se på regnestykket øverst på fanen, og sjekk at du har med alle leddene.")))</f>
        <v>Skriv svaret i den gule cellen.</v>
      </c>
    </row>
    <row r="25" customFormat="false" ht="43.5" hidden="false" customHeight="true" outlineLevel="0" collapsed="false">
      <c r="B25" s="16" t="s">
        <v>98</v>
      </c>
      <c r="C25" s="13"/>
      <c r="D25" s="22" t="s">
        <v>79</v>
      </c>
      <c r="G25" s="18" t="str">
        <f aca="false">IF(C25="","Skriv svaret i den gule cellen.",IF(C25=(4795000-1400000-2671760-300000/5-519000),"Riktig.",IF(ABS(C25-(4795000-1400000-2671760-300000-519000))&lt;=0,"Du har ført hele utstyret på 300 000 som kostnad. Det aktiveres; bare avskrivningen, 60 000, er kostnad i år.",IF(ABS(C25-(4795000-1400000-2671760-519000))&lt;=0,"Du har glemt avskrivningen på utstyret, 300 000 / 5 = 60 000.",IF(ABS(C25-(4795000-1400000-1820000-300000/5-519000))&lt;=0,"Du har brukt lønna uten sosiale kostnader. Lønnskostnaden er 1 820 000 × 1,468 = 2 671 760.","Ikke riktig ennå. Se på regnestykket øverst på fanen, og sjekk at du har med alle leddene.")))))</f>
        <v>Skriv svaret i den gule cellen.</v>
      </c>
    </row>
    <row r="26" customFormat="false" ht="43.5" hidden="false" customHeight="true" outlineLevel="0" collapsed="false">
      <c r="B26" s="16" t="s">
        <v>99</v>
      </c>
      <c r="C26" s="13"/>
      <c r="D26" s="22" t="s">
        <v>79</v>
      </c>
      <c r="G26" s="18" t="str">
        <f aca="false">IF(C26="","Skriv svaret i den gule cellen.",IF(C26=(4795000-1400000-2671760-300000/5-519000-500000*0.075),"Riktig.",IF(ABS(C26-(4795000-1400000-2671760-300000/5-519000-500000*0.075-100000))&lt;=0,"Du har trukket fra avdraget på 100 000. Avdrag er ikke en kostnad; bare rentene står i resultatregnskapet.",IF(ABS(C26-(4795000-1400000-2671760-300000/5-519000))&lt;=0,"Du har glemt rentene: 500 000 × 7,5 % = 37 500.","Ikke riktig ennå. Se på regnestykket øverst på fanen, og sjekk at du har med alle leddene."))))</f>
        <v>Skriv svaret i den gule cellen.</v>
      </c>
    </row>
    <row r="27" customFormat="false" ht="43.5" hidden="false" customHeight="true" outlineLevel="0" collapsed="false">
      <c r="B27" s="16" t="s">
        <v>100</v>
      </c>
      <c r="C27" s="13"/>
      <c r="D27" s="22" t="s">
        <v>79</v>
      </c>
      <c r="G27" s="18" t="str">
        <f aca="false">IF(C27="","Skriv svaret i den gule cellen.",IF(ABS(C27-(106740-ROUND(106740*0.22,0)))&lt;=1,"Riktig.",IF(ABS(C27-(106740))&lt;=1,"Det er resultat før skatt. Trekk fra 22 % skatt.",IF(ABS(C27-(ROUND(106740*0.22,0)))&lt;=1,"Det er skatten, 23 483. Årsresultatet er det som er igjen etter skatten.","Ikke riktig ennå. Se på regnestykket øverst på fanen, og sjekk at du har med alle leddene."))))</f>
        <v>Skriv svaret i den gule cellen.</v>
      </c>
    </row>
    <row r="29" customFormat="false" ht="15" hidden="false" customHeight="true" outlineLevel="0" collapsed="false">
      <c r="B29" s="7" t="s">
        <v>101</v>
      </c>
      <c r="C29" s="7"/>
      <c r="D29" s="7"/>
      <c r="E29" s="7"/>
      <c r="F29" s="7"/>
      <c r="G29" s="7"/>
    </row>
    <row r="30" customFormat="false" ht="39.75" hidden="false" customHeight="true" outlineLevel="0" collapsed="false">
      <c r="B30" s="16" t="s">
        <v>102</v>
      </c>
      <c r="C30" s="17"/>
      <c r="G30" s="18" t="str">
        <f aca="false">IF(C30="","Velg i nedtrekksmenyen.",IF(C30="Nei, i balansen","Riktig. Utstyret aktiveres og står i balansen som eiendel. Bare avskrivningen er kostnad i år.","Ikke riktig. Utstyret aktiveres og står i balansen som eiendel. Bare avskrivningen er kostnad i år."))</f>
        <v>Velg i nedtrekksmenyen.</v>
      </c>
    </row>
    <row r="31" customFormat="false" ht="39.75" hidden="false" customHeight="true" outlineLevel="0" collapsed="false">
      <c r="B31" s="16" t="s">
        <v>103</v>
      </c>
      <c r="C31" s="17"/>
      <c r="G31" s="18" t="str">
        <f aca="false">IF(C31="","Velg i nedtrekksmenyen.",IF(C31="Ja, i resultatregnskapet","Riktig. Driftskostnad: årets del av utstyret.","Ikke riktig. Driftskostnad: årets del av utstyret."))</f>
        <v>Velg i nedtrekksmenyen.</v>
      </c>
    </row>
    <row r="32" customFormat="false" ht="39.75" hidden="false" customHeight="true" outlineLevel="0" collapsed="false">
      <c r="B32" s="16" t="s">
        <v>104</v>
      </c>
      <c r="C32" s="17"/>
      <c r="G32" s="18" t="str">
        <f aca="false">IF(C32="","Velg i nedtrekksmenyen.",IF(C32="Nei, i balansen","Riktig. Nedbetaling av gjeld. Banklånet i balansen går ned; resultatet merker ingenting.","Ikke riktig. Nedbetaling av gjeld. Banklånet i balansen går ned; resultatet merker ingenting."))</f>
        <v>Velg i nedtrekksmenyen.</v>
      </c>
    </row>
    <row r="33" customFormat="false" ht="39.75" hidden="false" customHeight="true" outlineLevel="0" collapsed="false">
      <c r="B33" s="16" t="s">
        <v>105</v>
      </c>
      <c r="C33" s="17"/>
      <c r="G33" s="18" t="str">
        <f aca="false">IF(C33="","Velg i nedtrekksmenyen.",IF(C33="Ja, i resultatregnskapet","Riktig. Finanskostnad, under driftsresultatet.","Ikke riktig. Finanskostnad, under driftsresultatet."))</f>
        <v>Velg i nedtrekksmenyen.</v>
      </c>
    </row>
    <row r="34" customFormat="false" ht="39.75" hidden="false" customHeight="true" outlineLevel="0" collapsed="false">
      <c r="B34" s="16" t="s">
        <v>106</v>
      </c>
      <c r="C34" s="17"/>
      <c r="G34" s="18" t="str">
        <f aca="false">IF(C34="","Velg i nedtrekksmenyen.",IF(C34="Nei, i balansen","Riktig. Eierens innskudd. Egenkapital i balansen, ikke inntekt.","Ikke riktig. Eierens innskudd. Egenkapital i balansen, ikke inntekt."))</f>
        <v>Velg i nedtrekksmenyen.</v>
      </c>
    </row>
    <row r="35" customFormat="false" ht="39.75" hidden="false" customHeight="true" outlineLevel="0" collapsed="false">
      <c r="B35" s="16" t="s">
        <v>107</v>
      </c>
      <c r="C35" s="17"/>
      <c r="G35" s="18" t="str">
        <f aca="false">IF(C35="","Velg i nedtrekksmenyen.",IF(C35="Ja, i resultatregnskapet","Riktig. Står mellom resultat før skatt og årsresultatet.","Ikke riktig. Står mellom resultat før skatt og årsresultatet."))</f>
        <v>Velg i nedtrekksmenyen.</v>
      </c>
    </row>
    <row r="37" customFormat="false" ht="30" hidden="false" customHeight="true" outlineLevel="0" collapsed="false">
      <c r="B37" s="8" t="s">
        <v>108</v>
      </c>
      <c r="C37" s="8"/>
      <c r="D37" s="8"/>
      <c r="E37" s="8"/>
      <c r="F37" s="8"/>
      <c r="G37" s="8"/>
    </row>
    <row r="38" customFormat="false" ht="21.75" hidden="false" customHeight="true" outlineLevel="0" collapsed="false">
      <c r="B38" s="19"/>
      <c r="C38" s="19"/>
      <c r="D38" s="19"/>
      <c r="E38" s="19"/>
      <c r="F38" s="19"/>
      <c r="G38" s="19"/>
    </row>
    <row r="39" customFormat="false" ht="21.75" hidden="false" customHeight="true" outlineLevel="0" collapsed="false">
      <c r="B39" s="19"/>
      <c r="C39" s="19"/>
      <c r="D39" s="19"/>
      <c r="E39" s="19"/>
      <c r="F39" s="19"/>
      <c r="G39" s="19"/>
    </row>
    <row r="40" customFormat="false" ht="21.75" hidden="false" customHeight="true" outlineLevel="0" collapsed="false">
      <c r="B40" s="19"/>
      <c r="C40" s="19"/>
      <c r="D40" s="19"/>
      <c r="E40" s="19"/>
      <c r="F40" s="19"/>
      <c r="G40" s="19"/>
    </row>
    <row r="41" customFormat="false" ht="39.75" hidden="false" customHeight="true" outlineLevel="0" collapsed="false">
      <c r="B41" s="20" t="str">
        <f aca="false">IF(LEN(B38)&lt;40,"",IF(AND(ISNUMBER(SEARCH("rente",B38)),ISNUMBER(SEARCH("egenkapital",B38))),"Bra: du tar med kalkulatorisk rente på egenkapitalen. 300 000 × 5 % = 15 000 kr er prisen for eierens egne penger, og den står ikke i finansregnskapet.",IF(OR(ISNUMBER(SEARCH("rente",B38)),ISNUMBER(SEARCH("egenkapital",B38))),"Du er på sporet. Regn ut den kalkulatoriske renten på egenkapitalen: 300 000 × 5 % = 15 000 kr, og si hva den gjør med resultatet.","Tips: egenkapitalen har også en pris. 300 000 × 5 % = 15 000 kr i kalkulatorisk rente. Resultat før skatt på 106 740 blir 91 740 i driftsregnskapet. Eierlønnen på 700 000 er allerede kostnad, fordi Fjell er et aksjeselskap.")))</f>
        <v/>
      </c>
      <c r="C41" s="20"/>
      <c r="D41" s="20"/>
      <c r="E41" s="20"/>
      <c r="F41" s="20"/>
      <c r="G41" s="20"/>
    </row>
    <row r="42" customFormat="false" ht="15" hidden="false" customHeight="false" outlineLevel="0" collapsed="false">
      <c r="B42" s="14" t="s">
        <v>59</v>
      </c>
      <c r="C42" s="17"/>
    </row>
    <row r="43" customFormat="false" ht="45" hidden="false" customHeight="true" outlineLevel="0" collapsed="false">
      <c r="B43" s="21" t="str">
        <f aca="false">IF(C42="JA","Hint: a: 4 795 000 − 1 400 000 = 3 395 000. b: 3 395 000 − 2 671 760 − 60 000 − 519 000 = 144 240. c: 144 240 − 37 500 = 106 740. d: skatt 106 740 × 0,22 = 23 483; 106 740 − 23 483 = 83 257. Avdraget og aksjekapitalen står ikke i resultatregnskapet.","")</f>
        <v/>
      </c>
      <c r="C43" s="21"/>
      <c r="D43" s="21"/>
      <c r="E43" s="21"/>
      <c r="F43" s="21"/>
      <c r="G43" s="21"/>
    </row>
    <row r="45" customFormat="false" ht="30" hidden="false" customHeight="true" outlineLevel="0" collapsed="false">
      <c r="B45" s="6" t="s">
        <v>60</v>
      </c>
      <c r="C45" s="6"/>
      <c r="D45" s="6"/>
      <c r="E45" s="6"/>
      <c r="F45" s="6"/>
      <c r="G45" s="6"/>
    </row>
  </sheetData>
  <mergeCells count="16">
    <mergeCell ref="B2:G2"/>
    <mergeCell ref="B3:G3"/>
    <mergeCell ref="B4:G4"/>
    <mergeCell ref="B5:G5"/>
    <mergeCell ref="B6:G6"/>
    <mergeCell ref="B7:G7"/>
    <mergeCell ref="B9:G9"/>
    <mergeCell ref="B10:G10"/>
    <mergeCell ref="B21:G21"/>
    <mergeCell ref="B22:G22"/>
    <mergeCell ref="B29:G29"/>
    <mergeCell ref="B37:G37"/>
    <mergeCell ref="B38:G40"/>
    <mergeCell ref="B41:G41"/>
    <mergeCell ref="B43:G43"/>
    <mergeCell ref="B45:G45"/>
  </mergeCells>
  <conditionalFormatting sqref="G24">
    <cfRule type="expression" priority="2" aboveAverage="0" equalAverage="0" bottom="0" percent="0" rank="0" text="" dxfId="0">
      <formula>LEFT(G24,6)="Riktig"</formula>
    </cfRule>
    <cfRule type="expression" priority="3" aboveAverage="0" equalAverage="0" bottom="0" percent="0" rank="0" text="" dxfId="1">
      <formula>AND(G24&lt;&gt;"",LEFT(G24,6)&lt;&gt;"Riktig",LEFT(G24,5)&lt;&gt;"Skriv")</formula>
    </cfRule>
  </conditionalFormatting>
  <conditionalFormatting sqref="G25">
    <cfRule type="expression" priority="4" aboveAverage="0" equalAverage="0" bottom="0" percent="0" rank="0" text="" dxfId="0">
      <formula>LEFT(G25,6)="Riktig"</formula>
    </cfRule>
    <cfRule type="expression" priority="5" aboveAverage="0" equalAverage="0" bottom="0" percent="0" rank="0" text="" dxfId="1">
      <formula>AND(G25&lt;&gt;"",LEFT(G25,6)&lt;&gt;"Riktig",LEFT(G25,5)&lt;&gt;"Skriv")</formula>
    </cfRule>
  </conditionalFormatting>
  <conditionalFormatting sqref="G26">
    <cfRule type="expression" priority="6" aboveAverage="0" equalAverage="0" bottom="0" percent="0" rank="0" text="" dxfId="0">
      <formula>LEFT(G26,6)="Riktig"</formula>
    </cfRule>
    <cfRule type="expression" priority="7" aboveAverage="0" equalAverage="0" bottom="0" percent="0" rank="0" text="" dxfId="1">
      <formula>AND(G26&lt;&gt;"",LEFT(G26,6)&lt;&gt;"Riktig",LEFT(G26,5)&lt;&gt;"Skriv")</formula>
    </cfRule>
  </conditionalFormatting>
  <conditionalFormatting sqref="G27">
    <cfRule type="expression" priority="8" aboveAverage="0" equalAverage="0" bottom="0" percent="0" rank="0" text="" dxfId="0">
      <formula>LEFT(G27,6)="Riktig"</formula>
    </cfRule>
    <cfRule type="expression" priority="9" aboveAverage="0" equalAverage="0" bottom="0" percent="0" rank="0" text="" dxfId="1">
      <formula>AND(G27&lt;&gt;"",LEFT(G27,6)&lt;&gt;"Riktig",LEFT(G27,5)&lt;&gt;"Skriv")</formula>
    </cfRule>
  </conditionalFormatting>
  <conditionalFormatting sqref="G30">
    <cfRule type="expression" priority="10" aboveAverage="0" equalAverage="0" bottom="0" percent="0" rank="0" text="" dxfId="0">
      <formula>LEFT(G30,6)="Riktig"</formula>
    </cfRule>
    <cfRule type="expression" priority="11" aboveAverage="0" equalAverage="0" bottom="0" percent="0" rank="0" text="" dxfId="1">
      <formula>LEFT(G30,4)="Ikke"</formula>
    </cfRule>
  </conditionalFormatting>
  <conditionalFormatting sqref="G31">
    <cfRule type="expression" priority="12" aboveAverage="0" equalAverage="0" bottom="0" percent="0" rank="0" text="" dxfId="0">
      <formula>LEFT(G31,6)="Riktig"</formula>
    </cfRule>
    <cfRule type="expression" priority="13" aboveAverage="0" equalAverage="0" bottom="0" percent="0" rank="0" text="" dxfId="1">
      <formula>LEFT(G31,4)="Ikke"</formula>
    </cfRule>
  </conditionalFormatting>
  <conditionalFormatting sqref="G32">
    <cfRule type="expression" priority="14" aboveAverage="0" equalAverage="0" bottom="0" percent="0" rank="0" text="" dxfId="0">
      <formula>LEFT(G32,6)="Riktig"</formula>
    </cfRule>
    <cfRule type="expression" priority="15" aboveAverage="0" equalAverage="0" bottom="0" percent="0" rank="0" text="" dxfId="1">
      <formula>LEFT(G32,4)="Ikke"</formula>
    </cfRule>
  </conditionalFormatting>
  <conditionalFormatting sqref="G33">
    <cfRule type="expression" priority="16" aboveAverage="0" equalAverage="0" bottom="0" percent="0" rank="0" text="" dxfId="0">
      <formula>LEFT(G33,6)="Riktig"</formula>
    </cfRule>
    <cfRule type="expression" priority="17" aboveAverage="0" equalAverage="0" bottom="0" percent="0" rank="0" text="" dxfId="1">
      <formula>LEFT(G33,4)="Ikke"</formula>
    </cfRule>
  </conditionalFormatting>
  <conditionalFormatting sqref="G34">
    <cfRule type="expression" priority="18" aboveAverage="0" equalAverage="0" bottom="0" percent="0" rank="0" text="" dxfId="0">
      <formula>LEFT(G34,6)="Riktig"</formula>
    </cfRule>
    <cfRule type="expression" priority="19" aboveAverage="0" equalAverage="0" bottom="0" percent="0" rank="0" text="" dxfId="1">
      <formula>LEFT(G34,4)="Ikke"</formula>
    </cfRule>
  </conditionalFormatting>
  <conditionalFormatting sqref="G35">
    <cfRule type="expression" priority="20" aboveAverage="0" equalAverage="0" bottom="0" percent="0" rank="0" text="" dxfId="0">
      <formula>LEFT(G35,6)="Riktig"</formula>
    </cfRule>
    <cfRule type="expression" priority="21" aboveAverage="0" equalAverage="0" bottom="0" percent="0" rank="0" text="" dxfId="1">
      <formula>LEFT(G35,4)="Ikke"</formula>
    </cfRule>
  </conditionalFormatting>
  <dataValidations count="7">
    <dataValidation allowBlank="true" errorStyle="stop" operator="between" showDropDown="false" showErrorMessage="false" showInputMessage="false" sqref="C30" type="list">
      <formula1>"Ja,i resultatregnskapet,Nei,i balansen"</formula1>
      <formula2>0</formula2>
    </dataValidation>
    <dataValidation allowBlank="true" errorStyle="stop" operator="between" showDropDown="false" showErrorMessage="false" showInputMessage="false" sqref="C31" type="list">
      <formula1>"Ja,i resultatregnskapet,Nei,i balansen"</formula1>
      <formula2>0</formula2>
    </dataValidation>
    <dataValidation allowBlank="true" errorStyle="stop" operator="between" showDropDown="false" showErrorMessage="false" showInputMessage="false" sqref="C32" type="list">
      <formula1>"Ja,i resultatregnskapet,Nei,i balansen"</formula1>
      <formula2>0</formula2>
    </dataValidation>
    <dataValidation allowBlank="true" errorStyle="stop" operator="between" showDropDown="false" showErrorMessage="false" showInputMessage="false" sqref="C33" type="list">
      <formula1>"Ja,i resultatregnskapet,Nei,i balansen"</formula1>
      <formula2>0</formula2>
    </dataValidation>
    <dataValidation allowBlank="true" errorStyle="stop" operator="between" showDropDown="false" showErrorMessage="false" showInputMessage="false" sqref="C34" type="list">
      <formula1>"Ja,i resultatregnskapet,Nei,i balansen"</formula1>
      <formula2>0</formula2>
    </dataValidation>
    <dataValidation allowBlank="true" errorStyle="stop" operator="between" showDropDown="false" showErrorMessage="false" showInputMessage="false" sqref="C35" type="list">
      <formula1>"Ja,i resultatregnskapet,Nei,i balansen"</formula1>
      <formula2>0</formula2>
    </dataValidation>
    <dataValidation allowBlank="true" errorStyle="stop" operator="between" showDropDown="false" showErrorMessage="false" showInputMessage="false" sqref="C42"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109</v>
      </c>
      <c r="C2" s="5"/>
      <c r="D2" s="5"/>
      <c r="E2" s="5"/>
      <c r="F2" s="5"/>
      <c r="G2" s="5"/>
    </row>
    <row r="3" customFormat="false" ht="15" hidden="false" customHeight="true" outlineLevel="0" collapsed="false">
      <c r="B3" s="6" t="s">
        <v>17</v>
      </c>
      <c r="C3" s="6"/>
      <c r="D3" s="6"/>
      <c r="E3" s="6"/>
      <c r="F3" s="6"/>
      <c r="G3" s="6"/>
    </row>
    <row r="4" customFormat="false" ht="15.75" hidden="false" customHeight="true" outlineLevel="0" collapsed="false">
      <c r="B4" s="7" t="s">
        <v>18</v>
      </c>
      <c r="C4" s="7"/>
      <c r="D4" s="7"/>
      <c r="E4" s="7"/>
      <c r="F4" s="7"/>
      <c r="G4" s="7"/>
    </row>
    <row r="5" customFormat="false" ht="45" hidden="false" customHeight="true" outlineLevel="0" collapsed="false">
      <c r="B5" s="8" t="s">
        <v>110</v>
      </c>
      <c r="C5" s="8"/>
      <c r="D5" s="8"/>
      <c r="E5" s="8"/>
      <c r="F5" s="8"/>
      <c r="G5" s="8"/>
    </row>
    <row r="6" customFormat="false" ht="15.75" hidden="false" customHeight="true" outlineLevel="0" collapsed="false">
      <c r="B6" s="7" t="s">
        <v>20</v>
      </c>
      <c r="C6" s="7"/>
      <c r="D6" s="7"/>
      <c r="E6" s="7"/>
      <c r="F6" s="7"/>
      <c r="G6" s="7"/>
    </row>
    <row r="7" customFormat="false" ht="45" hidden="false" customHeight="true" outlineLevel="0" collapsed="false">
      <c r="B7" s="8" t="s">
        <v>111</v>
      </c>
      <c r="C7" s="8"/>
      <c r="D7" s="8"/>
      <c r="E7" s="8"/>
      <c r="F7" s="8"/>
      <c r="G7" s="8"/>
    </row>
    <row r="9" customFormat="false" ht="15.75" hidden="false" customHeight="true" outlineLevel="0" collapsed="false">
      <c r="B9" s="7" t="s">
        <v>112</v>
      </c>
      <c r="C9" s="7"/>
      <c r="D9" s="7"/>
      <c r="E9" s="7"/>
      <c r="F9" s="7"/>
      <c r="G9" s="7"/>
    </row>
    <row r="10" customFormat="false" ht="45" hidden="false" customHeight="true" outlineLevel="0" collapsed="false">
      <c r="B10" s="8" t="s">
        <v>113</v>
      </c>
      <c r="C10" s="8"/>
      <c r="D10" s="8"/>
      <c r="E10" s="8"/>
      <c r="F10" s="8"/>
      <c r="G10" s="8"/>
    </row>
    <row r="12" customFormat="false" ht="15" hidden="false" customHeight="true" outlineLevel="0" collapsed="false">
      <c r="B12" s="7" t="s">
        <v>114</v>
      </c>
      <c r="C12" s="7"/>
      <c r="D12" s="7"/>
      <c r="E12" s="7"/>
      <c r="F12" s="7"/>
      <c r="G12" s="7"/>
    </row>
    <row r="13" customFormat="false" ht="39.75" hidden="false" customHeight="true" outlineLevel="0" collapsed="false">
      <c r="B13" s="16" t="s">
        <v>115</v>
      </c>
      <c r="C13" s="17"/>
      <c r="G13" s="18" t="str">
        <f aca="false">IF(C13="","Velg i nedtrekksmenyen.",IF(C13="Omløpsmidler","Riktig. Penger kundene skylder Nordlys. Blir til bankinnskudd når de betaler.","Ikke riktig. Penger kundene skylder Nordlys. Blir til bankinnskudd når de betaler."))</f>
        <v>Velg i nedtrekksmenyen.</v>
      </c>
    </row>
    <row r="14" customFormat="false" ht="39.75" hidden="false" customHeight="true" outlineLevel="0" collapsed="false">
      <c r="B14" s="16" t="s">
        <v>116</v>
      </c>
      <c r="C14" s="17"/>
      <c r="G14" s="18" t="str">
        <f aca="false">IF(C14="","Velg i nedtrekksmenyen.",IF(C14="Langsiktig gjeld","Riktig. Gjeld med forfall senere enn ett år fram i tid, med sikkerhet i bilene og utstyret.","Ikke riktig. Gjeld med forfall senere enn ett år fram i tid, med sikkerhet i bilene og utstyret."))</f>
        <v>Velg i nedtrekksmenyen.</v>
      </c>
    </row>
    <row r="15" customFormat="false" ht="39.75" hidden="false" customHeight="true" outlineLevel="0" collapsed="false">
      <c r="B15" s="16" t="s">
        <v>117</v>
      </c>
      <c r="C15" s="17"/>
      <c r="G15" s="18" t="str">
        <f aca="false">IF(C15="","Velg i nedtrekksmenyen.",IF(C15="Omløpsmidler","Riktig. Penger på konto er det mest kortsiktige av alt Nordlys eier.","Ikke riktig. Penger på konto er det mest kortsiktige av alt Nordlys eier."))</f>
        <v>Velg i nedtrekksmenyen.</v>
      </c>
    </row>
    <row r="16" customFormat="false" ht="39.75" hidden="false" customHeight="true" outlineLevel="0" collapsed="false">
      <c r="B16" s="16" t="s">
        <v>118</v>
      </c>
      <c r="C16" s="17"/>
      <c r="G16" s="18" t="str">
        <f aca="false">IF(C16="","Velg i nedtrekksmenyen.",IF(C16="Kortsiktig gjeld","Riktig. Opptjent i 2026, betales ut til de ansatte sommeren 2027: innen ett år.","Ikke riktig. Opptjent i 2026, betales ut til de ansatte sommeren 2027: innen ett år."))</f>
        <v>Velg i nedtrekksmenyen.</v>
      </c>
    </row>
    <row r="17" customFormat="false" ht="39.75" hidden="false" customHeight="true" outlineLevel="0" collapsed="false">
      <c r="B17" s="16" t="s">
        <v>119</v>
      </c>
      <c r="C17" s="17"/>
      <c r="G17" s="18" t="str">
        <f aca="false">IF(C17="","Velg i nedtrekksmenyen.",IF(C17="Anleggsmidler","Riktig. Skal brukes i flere år, og avskrives.","Ikke riktig. Skal brukes i flere år, og avskrives."))</f>
        <v>Velg i nedtrekksmenyen.</v>
      </c>
    </row>
    <row r="18" customFormat="false" ht="39.75" hidden="false" customHeight="true" outlineLevel="0" collapsed="false">
      <c r="B18" s="16" t="s">
        <v>120</v>
      </c>
      <c r="C18" s="17"/>
      <c r="G18" s="18" t="str">
        <f aca="false">IF(C18="","Velg i nedtrekksmenyen.",IF(C18="Egenkapital","Riktig. Det Kari og Tom skjøt inn i 2019.","Ikke riktig. Det Kari og Tom skjøt inn i 2019."))</f>
        <v>Velg i nedtrekksmenyen.</v>
      </c>
    </row>
    <row r="19" customFormat="false" ht="39.75" hidden="false" customHeight="true" outlineLevel="0" collapsed="false">
      <c r="B19" s="16" t="s">
        <v>121</v>
      </c>
      <c r="C19" s="17"/>
      <c r="G19" s="18" t="str">
        <f aca="false">IF(C19="","Velg i nedtrekksmenyen.",IF(C19="Kortsiktig gjeld","Riktig. Lånte penger fra banken, ikke bankinnskudd. Den vanligste feilen i hele kapitlet.","Ikke riktig. Lånte penger fra banken, ikke bankinnskudd. Den vanligste feilen i hele kapitlet."))</f>
        <v>Velg i nedtrekksmenyen.</v>
      </c>
    </row>
    <row r="20" customFormat="false" ht="39.75" hidden="false" customHeight="true" outlineLevel="0" collapsed="false">
      <c r="B20" s="16" t="s">
        <v>122</v>
      </c>
      <c r="C20" s="17"/>
      <c r="G20" s="18" t="str">
        <f aca="false">IF(C20="","Velg i nedtrekksmenyen.",IF(C20="Omløpsmidler","Riktig. Materiell som skal monteres og faktureres i løpet av året.","Ikke riktig. Materiell som skal monteres og faktureres i løpet av året."))</f>
        <v>Velg i nedtrekksmenyen.</v>
      </c>
    </row>
    <row r="21" customFormat="false" ht="39.75" hidden="false" customHeight="true" outlineLevel="0" collapsed="false">
      <c r="B21" s="16" t="s">
        <v>123</v>
      </c>
      <c r="C21" s="17"/>
      <c r="G21" s="18" t="str">
        <f aca="false">IF(C21="","Velg i nedtrekksmenyen.",IF(C21="Kortsiktig gjeld","Riktig. Ubetalte fakturaer til Polarlys, forfaller om 30 dager.","Ikke riktig. Ubetalte fakturaer til Polarlys, forfaller om 30 dager."))</f>
        <v>Velg i nedtrekksmenyen.</v>
      </c>
    </row>
    <row r="22" customFormat="false" ht="39.75" hidden="false" customHeight="true" outlineLevel="0" collapsed="false">
      <c r="B22" s="16" t="s">
        <v>124</v>
      </c>
      <c r="C22" s="17"/>
      <c r="G22" s="18" t="str">
        <f aca="false">IF(C22="","Velg i nedtrekksmenyen.",IF(C22="Egenkapital","Riktig. Overskudd fra tidligere år som er blitt stående i bedriften.","Ikke riktig. Overskudd fra tidligere år som er blitt stående i bedriften."))</f>
        <v>Velg i nedtrekksmenyen.</v>
      </c>
    </row>
    <row r="23" customFormat="false" ht="39.75" hidden="false" customHeight="true" outlineLevel="0" collapsed="false">
      <c r="B23" s="16" t="s">
        <v>125</v>
      </c>
      <c r="C23" s="17"/>
      <c r="G23" s="18" t="str">
        <f aca="false">IF(C23="","Velg i nedtrekksmenyen.",IF(C23="Kortsiktig gjeld","Riktig. Skyldes staten og forfaller innen få måneder.","Ikke riktig. Skyldes staten og forfaller innen få måneder."))</f>
        <v>Velg i nedtrekksmenyen.</v>
      </c>
    </row>
    <row r="25" customFormat="false" ht="15.75" hidden="false" customHeight="true" outlineLevel="0" collapsed="false">
      <c r="B25" s="7" t="s">
        <v>126</v>
      </c>
      <c r="C25" s="7"/>
      <c r="D25" s="7"/>
      <c r="E25" s="7"/>
      <c r="F25" s="7"/>
      <c r="G25" s="7"/>
    </row>
    <row r="26" customFormat="false" ht="30" hidden="false" customHeight="true" outlineLevel="0" collapsed="false">
      <c r="B26" s="8" t="s">
        <v>127</v>
      </c>
      <c r="C26" s="8"/>
      <c r="D26" s="8"/>
      <c r="E26" s="8"/>
      <c r="F26" s="8"/>
      <c r="G26" s="8"/>
    </row>
    <row r="27" customFormat="false" ht="43.5" hidden="false" customHeight="true" outlineLevel="0" collapsed="false">
      <c r="B27" s="16" t="s">
        <v>128</v>
      </c>
      <c r="C27" s="13"/>
      <c r="D27" s="22" t="s">
        <v>79</v>
      </c>
      <c r="G27" s="18" t="str">
        <f aca="false">IF(C27="","Skriv svaret i den gule cellen.",IF(C27=(1400000+4200000+982650),"Riktig.",IF(ABS(C27-(1400000+4200000+982650+300000))&lt;=0,"Du har tatt med kassekreditten. Den er lånte penger: kortsiktig gjeld, ikke bankinnskudd.",IF(ABS(C27-(4200000+982650))&lt;=0,"Du har glemt varelageret, 1 400 000.","Ikke riktig ennå. Se på regnestykket øverst på fanen, og sjekk at du har med alle leddene."))))</f>
        <v>Skriv svaret i den gule cellen.</v>
      </c>
    </row>
    <row r="28" customFormat="false" ht="43.5" hidden="false" customHeight="true" outlineLevel="0" collapsed="false">
      <c r="B28" s="16" t="s">
        <v>129</v>
      </c>
      <c r="C28" s="13"/>
      <c r="D28" s="22" t="s">
        <v>79</v>
      </c>
      <c r="G28" s="18" t="str">
        <f aca="false">IF(C28="","Skriv svaret i den gule cellen.",IF(C28=(2100000+1200000+890000+300000),"Riktig.",IF(ABS(C28-(2100000+1200000+890000))&lt;=0,"Du har glemt kassekreditten, 300 000. Den forfaller innen ett år.",IF(ABS(C28-(2100000+1200000+890000+300000+2800000))&lt;=0,"Du har tatt med banklånet. Det forfaller om over ett år og er langsiktig gjeld.","Ikke riktig ennå. Se på regnestykket øverst på fanen, og sjekk at du har med alle leddene."))))</f>
        <v>Skriv svaret i den gule cellen.</v>
      </c>
    </row>
    <row r="29" customFormat="false" ht="43.5" hidden="false" customHeight="true" outlineLevel="0" collapsed="false">
      <c r="B29" s="16" t="s">
        <v>130</v>
      </c>
      <c r="C29" s="13"/>
      <c r="D29" s="22" t="s">
        <v>79</v>
      </c>
      <c r="G29" s="18" t="str">
        <f aca="false">IF(C29="","Skriv svaret i den gule cellen.",IF(C29=(3600000+1400000+4200000+982650),"Riktig.",IF(ABS(C29-(3600000+1400000+4200000+982650+300000))&lt;=0,"600 000 for mye, det dobbelte av kassekreditten. Den er lagt til eiendelene i stedet for til gjelden.",IF(ABS(C29-(1400000+4200000+982650))&lt;=0,"Du har glemt anleggsmidlene, 3 600 000.","Ikke riktig ennå. Se på regnestykket øverst på fanen, og sjekk at du har med alle leddene."))))</f>
        <v>Skriv svaret i den gule cellen.</v>
      </c>
    </row>
    <row r="30" customFormat="false" ht="43.5" hidden="false" customHeight="true" outlineLevel="0" collapsed="false">
      <c r="B30" s="16" t="s">
        <v>131</v>
      </c>
      <c r="C30" s="23"/>
      <c r="D30" s="22" t="s">
        <v>132</v>
      </c>
      <c r="G30" s="18" t="str">
        <f aca="false">IF(C30="","Skriv svaret i den gule cellen.",IF(ABS(C30-(ROUND((300000+2592650)/(3600000+1400000+4200000+982650)*100,1)))&lt;=0.06,"Riktig.",IF(ABS(C30-(ROUND(300000/(3600000+1400000+4200000+982650)*100,1)))&lt;=0.06,"Du har tatt bare aksjekapitalen. Egenkapitalen er aksjekapital pluss annen egenkapital, 2 892 650.",IF(ABS(C30-(ROUND((300000+2592650)/(2800000+2100000+1200000+890000+300000)*100,1)))&lt;=0.06,"Du har delt på gjelden. Her skal egenkapitalen deles på eiendelene, 10 182 650.","Ikke riktig ennå. Se på regnestykket øverst på fanen, og sjekk at du har med alle leddene."))))</f>
        <v>Skriv svaret i den gule cellen.</v>
      </c>
    </row>
    <row r="32" customFormat="false" ht="30" hidden="false" customHeight="true" outlineLevel="0" collapsed="false">
      <c r="B32" s="8" t="s">
        <v>133</v>
      </c>
      <c r="C32" s="8"/>
      <c r="D32" s="8"/>
      <c r="E32" s="8"/>
      <c r="F32" s="8"/>
      <c r="G32" s="8"/>
    </row>
    <row r="33" customFormat="false" ht="21.75" hidden="false" customHeight="true" outlineLevel="0" collapsed="false">
      <c r="B33" s="19"/>
      <c r="C33" s="19"/>
      <c r="D33" s="19"/>
      <c r="E33" s="19"/>
      <c r="F33" s="19"/>
      <c r="G33" s="19"/>
    </row>
    <row r="34" customFormat="false" ht="21.75" hidden="false" customHeight="true" outlineLevel="0" collapsed="false">
      <c r="B34" s="19"/>
      <c r="C34" s="19"/>
      <c r="D34" s="19"/>
      <c r="E34" s="19"/>
      <c r="F34" s="19"/>
      <c r="G34" s="19"/>
    </row>
    <row r="35" customFormat="false" ht="21.75" hidden="false" customHeight="true" outlineLevel="0" collapsed="false">
      <c r="B35" s="19"/>
      <c r="C35" s="19"/>
      <c r="D35" s="19"/>
      <c r="E35" s="19"/>
      <c r="F35" s="19"/>
      <c r="G35" s="19"/>
    </row>
    <row r="36" customFormat="false" ht="39.75" hidden="false" customHeight="true" outlineLevel="0" collapsed="false">
      <c r="B36" s="20" t="str">
        <f aca="false">IF(LEN(B33)&lt;40,"",IF(AND(ISNUMBER(SEARCH("anleggsmidl",B33)),ISNUMBER(SEARCH("omløpsmidl",B33))),"Bra: du bruker begge reglene. Egenkapital og langsiktig gjeld, 5 692 650, dekker anleggsmidlene på 3 600 000 med god margin, og omløpsmidlene på 6 582 650 er større enn den kortsiktige gjelden på 4 490 000.",IF(OR(ISNUMBER(SEARCH("anleggsmidl",B33)),ISNUMBER(SEARCH("omløpsmidl",B33))),"Du har den ene regelen. Ta med den andre også: egenkapital pluss langsiktig gjeld mot anleggsmidlene, og kortsiktig gjeld mot omløpsmidlene.","Tips: 2 892 650 + 2 800 000 = 5 692 650 er mer enn anleggsmidlene på 3 600 000. Omløpsmidlene på 6 582 650 er mer enn den kortsiktige gjelden på 4 490 000. Begge reglene er oppfylt, men bare 982 650 av omløpsmidlene er penger på konto.")))</f>
        <v/>
      </c>
      <c r="C36" s="20"/>
      <c r="D36" s="20"/>
      <c r="E36" s="20"/>
      <c r="F36" s="20"/>
      <c r="G36" s="20"/>
    </row>
    <row r="37" customFormat="false" ht="15" hidden="false" customHeight="false" outlineLevel="0" collapsed="false">
      <c r="B37" s="14" t="s">
        <v>59</v>
      </c>
      <c r="C37" s="17"/>
    </row>
    <row r="38" customFormat="false" ht="45" hidden="false" customHeight="true" outlineLevel="0" collapsed="false">
      <c r="B38" s="21" t="str">
        <f aca="false">IF(C37="JA","Hint: Omløpsmidler: 1 400 000 + 4 200 000 + 982 650 = 6 582 650. Kortsiktig gjeld: 2 100 000 + 1 200 000 + 890 000 + 300 000 = 4 490 000. Eiendeler: 3 600 000 + 6 582 650 = 10 182 650. Egenkapital 2 892 650 / 10 182 650 = 28,4 %.","")</f>
        <v/>
      </c>
      <c r="C38" s="21"/>
      <c r="D38" s="21"/>
      <c r="E38" s="21"/>
      <c r="F38" s="21"/>
      <c r="G38" s="21"/>
    </row>
    <row r="40" customFormat="false" ht="30" hidden="false" customHeight="true" outlineLevel="0" collapsed="false">
      <c r="B40" s="6" t="s">
        <v>60</v>
      </c>
      <c r="C40" s="6"/>
      <c r="D40" s="6"/>
      <c r="E40" s="6"/>
      <c r="F40" s="6"/>
      <c r="G40" s="6"/>
    </row>
  </sheetData>
  <mergeCells count="16">
    <mergeCell ref="B2:G2"/>
    <mergeCell ref="B3:G3"/>
    <mergeCell ref="B4:G4"/>
    <mergeCell ref="B5:G5"/>
    <mergeCell ref="B6:G6"/>
    <mergeCell ref="B7:G7"/>
    <mergeCell ref="B9:G9"/>
    <mergeCell ref="B10:G10"/>
    <mergeCell ref="B12:G12"/>
    <mergeCell ref="B25:G25"/>
    <mergeCell ref="B26:G26"/>
    <mergeCell ref="B32:G32"/>
    <mergeCell ref="B33:G35"/>
    <mergeCell ref="B36:G36"/>
    <mergeCell ref="B38:G38"/>
    <mergeCell ref="B40:G40"/>
  </mergeCells>
  <conditionalFormatting sqref="G13">
    <cfRule type="expression" priority="2" aboveAverage="0" equalAverage="0" bottom="0" percent="0" rank="0" text="" dxfId="0">
      <formula>LEFT(G13,6)="Riktig"</formula>
    </cfRule>
    <cfRule type="expression" priority="3" aboveAverage="0" equalAverage="0" bottom="0" percent="0" rank="0" text="" dxfId="1">
      <formula>LEFT(G13,4)="Ikke"</formula>
    </cfRule>
  </conditionalFormatting>
  <conditionalFormatting sqref="G14">
    <cfRule type="expression" priority="4" aboveAverage="0" equalAverage="0" bottom="0" percent="0" rank="0" text="" dxfId="0">
      <formula>LEFT(G14,6)="Riktig"</formula>
    </cfRule>
    <cfRule type="expression" priority="5" aboveAverage="0" equalAverage="0" bottom="0" percent="0" rank="0" text="" dxfId="1">
      <formula>LEFT(G14,4)="Ikke"</formula>
    </cfRule>
  </conditionalFormatting>
  <conditionalFormatting sqref="G15">
    <cfRule type="expression" priority="6" aboveAverage="0" equalAverage="0" bottom="0" percent="0" rank="0" text="" dxfId="0">
      <formula>LEFT(G15,6)="Riktig"</formula>
    </cfRule>
    <cfRule type="expression" priority="7" aboveAverage="0" equalAverage="0" bottom="0" percent="0" rank="0" text="" dxfId="1">
      <formula>LEFT(G15,4)="Ikke"</formula>
    </cfRule>
  </conditionalFormatting>
  <conditionalFormatting sqref="G16">
    <cfRule type="expression" priority="8" aboveAverage="0" equalAverage="0" bottom="0" percent="0" rank="0" text="" dxfId="0">
      <formula>LEFT(G16,6)="Riktig"</formula>
    </cfRule>
    <cfRule type="expression" priority="9" aboveAverage="0" equalAverage="0" bottom="0" percent="0" rank="0" text="" dxfId="1">
      <formula>LEFT(G16,4)="Ikke"</formula>
    </cfRule>
  </conditionalFormatting>
  <conditionalFormatting sqref="G17">
    <cfRule type="expression" priority="10" aboveAverage="0" equalAverage="0" bottom="0" percent="0" rank="0" text="" dxfId="0">
      <formula>LEFT(G17,6)="Riktig"</formula>
    </cfRule>
    <cfRule type="expression" priority="11" aboveAverage="0" equalAverage="0" bottom="0" percent="0" rank="0" text="" dxfId="1">
      <formula>LEFT(G17,4)="Ikke"</formula>
    </cfRule>
  </conditionalFormatting>
  <conditionalFormatting sqref="G18">
    <cfRule type="expression" priority="12" aboveAverage="0" equalAverage="0" bottom="0" percent="0" rank="0" text="" dxfId="0">
      <formula>LEFT(G18,6)="Riktig"</formula>
    </cfRule>
    <cfRule type="expression" priority="13" aboveAverage="0" equalAverage="0" bottom="0" percent="0" rank="0" text="" dxfId="1">
      <formula>LEFT(G18,4)="Ikke"</formula>
    </cfRule>
  </conditionalFormatting>
  <conditionalFormatting sqref="G19">
    <cfRule type="expression" priority="14" aboveAverage="0" equalAverage="0" bottom="0" percent="0" rank="0" text="" dxfId="0">
      <formula>LEFT(G19,6)="Riktig"</formula>
    </cfRule>
    <cfRule type="expression" priority="15" aboveAverage="0" equalAverage="0" bottom="0" percent="0" rank="0" text="" dxfId="1">
      <formula>LEFT(G19,4)="Ikke"</formula>
    </cfRule>
  </conditionalFormatting>
  <conditionalFormatting sqref="G20">
    <cfRule type="expression" priority="16" aboveAverage="0" equalAverage="0" bottom="0" percent="0" rank="0" text="" dxfId="0">
      <formula>LEFT(G20,6)="Riktig"</formula>
    </cfRule>
    <cfRule type="expression" priority="17" aboveAverage="0" equalAverage="0" bottom="0" percent="0" rank="0" text="" dxfId="1">
      <formula>LEFT(G20,4)="Ikke"</formula>
    </cfRule>
  </conditionalFormatting>
  <conditionalFormatting sqref="G21">
    <cfRule type="expression" priority="18" aboveAverage="0" equalAverage="0" bottom="0" percent="0" rank="0" text="" dxfId="0">
      <formula>LEFT(G21,6)="Riktig"</formula>
    </cfRule>
    <cfRule type="expression" priority="19" aboveAverage="0" equalAverage="0" bottom="0" percent="0" rank="0" text="" dxfId="1">
      <formula>LEFT(G21,4)="Ikke"</formula>
    </cfRule>
  </conditionalFormatting>
  <conditionalFormatting sqref="G22">
    <cfRule type="expression" priority="20" aboveAverage="0" equalAverage="0" bottom="0" percent="0" rank="0" text="" dxfId="0">
      <formula>LEFT(G22,6)="Riktig"</formula>
    </cfRule>
    <cfRule type="expression" priority="21" aboveAverage="0" equalAverage="0" bottom="0" percent="0" rank="0" text="" dxfId="1">
      <formula>LEFT(G22,4)="Ikke"</formula>
    </cfRule>
  </conditionalFormatting>
  <conditionalFormatting sqref="G23">
    <cfRule type="expression" priority="22" aboveAverage="0" equalAverage="0" bottom="0" percent="0" rank="0" text="" dxfId="0">
      <formula>LEFT(G23,6)="Riktig"</formula>
    </cfRule>
    <cfRule type="expression" priority="23" aboveAverage="0" equalAverage="0" bottom="0" percent="0" rank="0" text="" dxfId="1">
      <formula>LEFT(G23,4)="Ikke"</formula>
    </cfRule>
  </conditionalFormatting>
  <conditionalFormatting sqref="G27">
    <cfRule type="expression" priority="24" aboveAverage="0" equalAverage="0" bottom="0" percent="0" rank="0" text="" dxfId="0">
      <formula>LEFT(G27,6)="Riktig"</formula>
    </cfRule>
    <cfRule type="expression" priority="25" aboveAverage="0" equalAverage="0" bottom="0" percent="0" rank="0" text="" dxfId="1">
      <formula>AND(G27&lt;&gt;"",LEFT(G27,6)&lt;&gt;"Riktig",LEFT(G27,5)&lt;&gt;"Skriv")</formula>
    </cfRule>
  </conditionalFormatting>
  <conditionalFormatting sqref="G28">
    <cfRule type="expression" priority="26" aboveAverage="0" equalAverage="0" bottom="0" percent="0" rank="0" text="" dxfId="0">
      <formula>LEFT(G28,6)="Riktig"</formula>
    </cfRule>
    <cfRule type="expression" priority="27" aboveAverage="0" equalAverage="0" bottom="0" percent="0" rank="0" text="" dxfId="1">
      <formula>AND(G28&lt;&gt;"",LEFT(G28,6)&lt;&gt;"Riktig",LEFT(G28,5)&lt;&gt;"Skriv")</formula>
    </cfRule>
  </conditionalFormatting>
  <conditionalFormatting sqref="G29">
    <cfRule type="expression" priority="28" aboveAverage="0" equalAverage="0" bottom="0" percent="0" rank="0" text="" dxfId="0">
      <formula>LEFT(G29,6)="Riktig"</formula>
    </cfRule>
    <cfRule type="expression" priority="29" aboveAverage="0" equalAverage="0" bottom="0" percent="0" rank="0" text="" dxfId="1">
      <formula>AND(G29&lt;&gt;"",LEFT(G29,6)&lt;&gt;"Riktig",LEFT(G29,5)&lt;&gt;"Skriv")</formula>
    </cfRule>
  </conditionalFormatting>
  <conditionalFormatting sqref="G30">
    <cfRule type="expression" priority="30" aboveAverage="0" equalAverage="0" bottom="0" percent="0" rank="0" text="" dxfId="0">
      <formula>LEFT(G30,6)="Riktig"</formula>
    </cfRule>
    <cfRule type="expression" priority="31" aboveAverage="0" equalAverage="0" bottom="0" percent="0" rank="0" text="" dxfId="1">
      <formula>AND(G30&lt;&gt;"",LEFT(G30,6)&lt;&gt;"Riktig",LEFT(G30,5)&lt;&gt;"Skriv")</formula>
    </cfRule>
  </conditionalFormatting>
  <dataValidations count="12">
    <dataValidation allowBlank="true" errorStyle="stop" operator="between" showDropDown="false" showErrorMessage="false" showInputMessage="false" sqref="C13" type="list">
      <formula1>"Anleggsmidler,Omløpsmidler,Egenkapital,Langsiktig gjeld,Kortsiktig gjeld"</formula1>
      <formula2>0</formula2>
    </dataValidation>
    <dataValidation allowBlank="true" errorStyle="stop" operator="between" showDropDown="false" showErrorMessage="false" showInputMessage="false" sqref="C14" type="list">
      <formula1>"Anleggsmidler,Omløpsmidler,Egenkapital,Langsiktig gjeld,Kortsiktig gjeld"</formula1>
      <formula2>0</formula2>
    </dataValidation>
    <dataValidation allowBlank="true" errorStyle="stop" operator="between" showDropDown="false" showErrorMessage="false" showInputMessage="false" sqref="C15" type="list">
      <formula1>"Anleggsmidler,Omløpsmidler,Egenkapital,Langsiktig gjeld,Kortsiktig gjeld"</formula1>
      <formula2>0</formula2>
    </dataValidation>
    <dataValidation allowBlank="true" errorStyle="stop" operator="between" showDropDown="false" showErrorMessage="false" showInputMessage="false" sqref="C16" type="list">
      <formula1>"Anleggsmidler,Omløpsmidler,Egenkapital,Langsiktig gjeld,Kortsiktig gjeld"</formula1>
      <formula2>0</formula2>
    </dataValidation>
    <dataValidation allowBlank="true" errorStyle="stop" operator="between" showDropDown="false" showErrorMessage="false" showInputMessage="false" sqref="C17" type="list">
      <formula1>"Anleggsmidler,Omløpsmidler,Egenkapital,Langsiktig gjeld,Kortsiktig gjeld"</formula1>
      <formula2>0</formula2>
    </dataValidation>
    <dataValidation allowBlank="true" errorStyle="stop" operator="between" showDropDown="false" showErrorMessage="false" showInputMessage="false" sqref="C18" type="list">
      <formula1>"Anleggsmidler,Omløpsmidler,Egenkapital,Langsiktig gjeld,Kortsiktig gjeld"</formula1>
      <formula2>0</formula2>
    </dataValidation>
    <dataValidation allowBlank="true" errorStyle="stop" operator="between" showDropDown="false" showErrorMessage="false" showInputMessage="false" sqref="C19" type="list">
      <formula1>"Anleggsmidler,Omløpsmidler,Egenkapital,Langsiktig gjeld,Kortsiktig gjeld"</formula1>
      <formula2>0</formula2>
    </dataValidation>
    <dataValidation allowBlank="true" errorStyle="stop" operator="between" showDropDown="false" showErrorMessage="false" showInputMessage="false" sqref="C20" type="list">
      <formula1>"Anleggsmidler,Omløpsmidler,Egenkapital,Langsiktig gjeld,Kortsiktig gjeld"</formula1>
      <formula2>0</formula2>
    </dataValidation>
    <dataValidation allowBlank="true" errorStyle="stop" operator="between" showDropDown="false" showErrorMessage="false" showInputMessage="false" sqref="C21" type="list">
      <formula1>"Anleggsmidler,Omløpsmidler,Egenkapital,Langsiktig gjeld,Kortsiktig gjeld"</formula1>
      <formula2>0</formula2>
    </dataValidation>
    <dataValidation allowBlank="true" errorStyle="stop" operator="between" showDropDown="false" showErrorMessage="false" showInputMessage="false" sqref="C22" type="list">
      <formula1>"Anleggsmidler,Omløpsmidler,Egenkapital,Langsiktig gjeld,Kortsiktig gjeld"</formula1>
      <formula2>0</formula2>
    </dataValidation>
    <dataValidation allowBlank="true" errorStyle="stop" operator="between" showDropDown="false" showErrorMessage="false" showInputMessage="false" sqref="C23" type="list">
      <formula1>"Anleggsmidler,Omløpsmidler,Egenkapital,Langsiktig gjeld,Kortsiktig gjeld"</formula1>
      <formula2>0</formula2>
    </dataValidation>
    <dataValidation allowBlank="true" errorStyle="stop" operator="between" showDropDown="false" showErrorMessage="false" showInputMessage="false" sqref="C37"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134</v>
      </c>
      <c r="C2" s="5"/>
      <c r="D2" s="5"/>
      <c r="E2" s="5"/>
      <c r="F2" s="5"/>
      <c r="G2" s="5"/>
    </row>
    <row r="3" customFormat="false" ht="15" hidden="false" customHeight="true" outlineLevel="0" collapsed="false">
      <c r="B3" s="6" t="s">
        <v>17</v>
      </c>
      <c r="C3" s="6"/>
      <c r="D3" s="6"/>
      <c r="E3" s="6"/>
      <c r="F3" s="6"/>
      <c r="G3" s="6"/>
    </row>
    <row r="4" customFormat="false" ht="15.75" hidden="false" customHeight="true" outlineLevel="0" collapsed="false">
      <c r="B4" s="7" t="s">
        <v>18</v>
      </c>
      <c r="C4" s="7"/>
      <c r="D4" s="7"/>
      <c r="E4" s="7"/>
      <c r="F4" s="7"/>
      <c r="G4" s="7"/>
    </row>
    <row r="5" customFormat="false" ht="30" hidden="false" customHeight="true" outlineLevel="0" collapsed="false">
      <c r="B5" s="8" t="s">
        <v>135</v>
      </c>
      <c r="C5" s="8"/>
      <c r="D5" s="8"/>
      <c r="E5" s="8"/>
      <c r="F5" s="8"/>
      <c r="G5" s="8"/>
    </row>
    <row r="6" customFormat="false" ht="15.75" hidden="false" customHeight="true" outlineLevel="0" collapsed="false">
      <c r="B6" s="7" t="s">
        <v>20</v>
      </c>
      <c r="C6" s="7"/>
      <c r="D6" s="7"/>
      <c r="E6" s="7"/>
      <c r="F6" s="7"/>
      <c r="G6" s="7"/>
    </row>
    <row r="7" customFormat="false" ht="45" hidden="false" customHeight="true" outlineLevel="0" collapsed="false">
      <c r="B7" s="8" t="s">
        <v>136</v>
      </c>
      <c r="C7" s="8"/>
      <c r="D7" s="8"/>
      <c r="E7" s="8"/>
      <c r="F7" s="8"/>
      <c r="G7" s="8"/>
    </row>
    <row r="9" customFormat="false" ht="15.75" hidden="false" customHeight="true" outlineLevel="0" collapsed="false">
      <c r="B9" s="7" t="s">
        <v>137</v>
      </c>
      <c r="C9" s="7"/>
      <c r="D9" s="7"/>
      <c r="E9" s="7"/>
      <c r="F9" s="7"/>
      <c r="G9" s="7"/>
    </row>
    <row r="10" customFormat="false" ht="75" hidden="false" customHeight="true" outlineLevel="0" collapsed="false">
      <c r="B10" s="8" t="s">
        <v>138</v>
      </c>
      <c r="C10" s="8"/>
      <c r="D10" s="8"/>
      <c r="E10" s="8"/>
      <c r="F10" s="8"/>
      <c r="G10" s="8"/>
    </row>
    <row r="11" customFormat="false" ht="15" hidden="false" customHeight="false" outlineLevel="0" collapsed="false">
      <c r="B11" s="9" t="s">
        <v>139</v>
      </c>
      <c r="C11" s="10" t="s">
        <v>140</v>
      </c>
      <c r="D11" s="10" t="s">
        <v>141</v>
      </c>
    </row>
    <row r="12" customFormat="false" ht="15" hidden="false" customHeight="false" outlineLevel="0" collapsed="false">
      <c r="B12" s="11" t="s">
        <v>142</v>
      </c>
      <c r="C12" s="12" t="n">
        <v>300000</v>
      </c>
      <c r="D12" s="13"/>
    </row>
    <row r="13" customFormat="false" ht="15" hidden="false" customHeight="false" outlineLevel="0" collapsed="false">
      <c r="B13" s="11" t="s">
        <v>143</v>
      </c>
      <c r="C13" s="12" t="n">
        <v>0</v>
      </c>
      <c r="D13" s="12" t="n">
        <v>80000</v>
      </c>
    </row>
    <row r="14" customFormat="false" ht="15" hidden="false" customHeight="false" outlineLevel="0" collapsed="false">
      <c r="B14" s="11" t="s">
        <v>144</v>
      </c>
      <c r="C14" s="12" t="n">
        <v>0</v>
      </c>
      <c r="D14" s="12" t="n">
        <v>500000</v>
      </c>
    </row>
    <row r="15" customFormat="false" ht="15" hidden="false" customHeight="false" outlineLevel="0" collapsed="false">
      <c r="B15" s="11" t="s">
        <v>145</v>
      </c>
      <c r="C15" s="12" t="n">
        <v>500000</v>
      </c>
      <c r="D15" s="12" t="n">
        <v>563257</v>
      </c>
    </row>
    <row r="16" customFormat="false" ht="15" hidden="false" customHeight="false" outlineLevel="0" collapsed="false">
      <c r="B16" s="11" t="s">
        <v>146</v>
      </c>
      <c r="C16" s="12" t="n">
        <v>800000</v>
      </c>
      <c r="D16" s="13"/>
    </row>
    <row r="17" customFormat="false" ht="15" hidden="false" customHeight="false" outlineLevel="0" collapsed="false">
      <c r="B17" s="11" t="s">
        <v>95</v>
      </c>
      <c r="C17" s="12" t="n">
        <v>300000</v>
      </c>
      <c r="D17" s="12" t="n">
        <v>300000</v>
      </c>
    </row>
    <row r="18" customFormat="false" ht="15" hidden="false" customHeight="false" outlineLevel="0" collapsed="false">
      <c r="B18" s="11" t="s">
        <v>147</v>
      </c>
      <c r="C18" s="12" t="n">
        <v>0</v>
      </c>
      <c r="D18" s="13"/>
    </row>
    <row r="19" customFormat="false" ht="15" hidden="false" customHeight="false" outlineLevel="0" collapsed="false">
      <c r="B19" s="11" t="s">
        <v>148</v>
      </c>
      <c r="C19" s="12" t="n">
        <v>500000</v>
      </c>
      <c r="D19" s="13"/>
    </row>
    <row r="20" customFormat="false" ht="15" hidden="false" customHeight="false" outlineLevel="0" collapsed="false">
      <c r="B20" s="11" t="s">
        <v>149</v>
      </c>
      <c r="C20" s="12" t="n">
        <v>0</v>
      </c>
      <c r="D20" s="12" t="n">
        <v>381600</v>
      </c>
    </row>
    <row r="21" customFormat="false" ht="15" hidden="false" customHeight="false" outlineLevel="0" collapsed="false">
      <c r="B21" s="11" t="s">
        <v>150</v>
      </c>
      <c r="C21" s="12" t="n">
        <v>0</v>
      </c>
      <c r="D21" s="12" t="n">
        <v>218400</v>
      </c>
    </row>
    <row r="22" customFormat="false" ht="15" hidden="false" customHeight="false" outlineLevel="0" collapsed="false">
      <c r="B22" s="11" t="s">
        <v>151</v>
      </c>
      <c r="C22" s="12" t="n">
        <v>800000</v>
      </c>
      <c r="D22" s="13"/>
    </row>
    <row r="24" customFormat="false" ht="15.75" hidden="false" customHeight="true" outlineLevel="0" collapsed="false">
      <c r="B24" s="7" t="s">
        <v>49</v>
      </c>
      <c r="C24" s="7"/>
      <c r="D24" s="7"/>
      <c r="E24" s="7"/>
      <c r="F24" s="7"/>
      <c r="G24" s="7"/>
    </row>
    <row r="25" customFormat="false" ht="45" hidden="false" customHeight="true" outlineLevel="0" collapsed="false">
      <c r="B25" s="8" t="s">
        <v>152</v>
      </c>
      <c r="C25" s="8"/>
      <c r="D25" s="8"/>
      <c r="E25" s="8"/>
      <c r="F25" s="8"/>
      <c r="G25" s="8"/>
    </row>
    <row r="27" customFormat="false" ht="15" hidden="false" customHeight="false" outlineLevel="0" collapsed="false">
      <c r="B27" s="14" t="s">
        <v>51</v>
      </c>
    </row>
    <row r="28" customFormat="false" ht="36" hidden="false" customHeight="true" outlineLevel="0" collapsed="false">
      <c r="B28" s="0" t="s">
        <v>153</v>
      </c>
      <c r="C28" s="15" t="str">
        <f aca="false">IF(D12="","Skriv svaret i cellen D12.",IF(D12=(300000-60000),"Riktig.",IF(D12=(300000),"Utstyret står med kjøpesummen. Årets avskrivning på 60 000 skal trekkes fra; det er den som var kostnad i 1C.",IF(D12=(60000),"Det er avskrivningen. Bokført verdi er det som er igjen: 300 000 minus 60 000.","Ikke riktig ennå. Bokført verdi er kjøpesum minus avskrivningene til nå."))))</f>
        <v>Skriv svaret i cellen D12.</v>
      </c>
      <c r="D28" s="15"/>
      <c r="E28" s="15"/>
      <c r="F28" s="15"/>
      <c r="G28" s="15"/>
    </row>
    <row r="29" customFormat="false" ht="36" hidden="false" customHeight="true" outlineLevel="0" collapsed="false">
      <c r="B29" s="0" t="s">
        <v>154</v>
      </c>
      <c r="C29" s="15" t="str">
        <f aca="false">IF(D18="","Skriv svaret i cellen D18.",IF(D18=(83257),"Riktig.",IF(D18=(106740),"Det er resultat før skatt. Det er årsresultatet etter skatt, 83 257, som legges til egenkapitalen.",IF(D18=(144240),"Det er driftsresultatet. Renter og skatt skal trekkes fra først; årsresultatet er 83 257.",IF(D18=(383257),"Du har lagt til aksjekapitalen. Den står på sin egen linje; annen egenkapital er bare det opptjente overskuddet.","Ikke riktig ennå. Annen egenkapital er egenkapitalen ved starten pluss årsresultatet minus utbytte.")))))</f>
        <v>Skriv svaret i cellen D18.</v>
      </c>
      <c r="D29" s="15"/>
      <c r="E29" s="15"/>
      <c r="F29" s="15"/>
      <c r="G29" s="15"/>
    </row>
    <row r="30" customFormat="false" ht="36" hidden="false" customHeight="true" outlineLevel="0" collapsed="false">
      <c r="B30" s="0" t="s">
        <v>155</v>
      </c>
      <c r="C30" s="15" t="str">
        <f aca="false">IF(D19="","Skriv svaret i cellen D19.",IF(D19=(500000-100000),"Riktig.",IF(D19=(500000),"Lånet står som ved starten. Avdraget på 100 000 har redusert det.",IF(D19=(500000-37500),"Du har trukket fra rentene. Rentene er en kostnad i resultatregnskapet; det er avdraget som reduserer lånet.","Ikke riktig ennå. Lånet ved slutten er lånet ved starten minus avdraget."))))</f>
        <v>Skriv svaret i cellen D19.</v>
      </c>
      <c r="D30" s="15"/>
      <c r="E30" s="15"/>
      <c r="F30" s="15"/>
      <c r="G30" s="15"/>
    </row>
    <row r="31" customFormat="false" ht="36" hidden="false" customHeight="true" outlineLevel="0" collapsed="false">
      <c r="B31" s="0" t="s">
        <v>156</v>
      </c>
      <c r="C31" s="15" t="str">
        <f aca="false">IF(D16="","Skriv svaret i cellen D16.",IF(D16=(240000+80000+500000+563257),"Riktig.",IF(D16=(300000+80000+500000+563257),"Utstyret står med kjøpesummen 300 000. Trekk fra avskrivningen først.","Ikke riktig ennå. Summer utstyr, varelager, kundefordringer og bankinnskudd.")))</f>
        <v>Skriv svaret i cellen D16.</v>
      </c>
      <c r="D31" s="15"/>
      <c r="E31" s="15"/>
      <c r="F31" s="15"/>
      <c r="G31" s="15"/>
    </row>
    <row r="32" customFormat="false" ht="36" hidden="false" customHeight="true" outlineLevel="0" collapsed="false">
      <c r="B32" s="0" t="s">
        <v>157</v>
      </c>
      <c r="C32" s="15" t="str">
        <f aca="false">IF(D22="","Skriv svaret i cellen D22.",IF(D22=(300000+83257+400000+381600+218400),"Riktig.",IF(D22=(300000+83257+500000+381600+218400),"Banklånet står med 500 000. Avdraget på 100 000 skal trekkes fra.","Ikke riktig ennå. Summer aksjekapital, annen egenkapital, banklån og den kortsiktige gjelden. Summen skal bli lik sum eiendeler, 1 383 257.")))</f>
        <v>Skriv svaret i cellen D22.</v>
      </c>
      <c r="D32" s="15"/>
      <c r="E32" s="15"/>
      <c r="F32" s="15"/>
      <c r="G32" s="15"/>
    </row>
    <row r="34" customFormat="false" ht="39.75" hidden="false" customHeight="true" outlineLevel="0" collapsed="false">
      <c r="B34" s="16" t="s">
        <v>158</v>
      </c>
      <c r="C34" s="17"/>
      <c r="G34" s="18" t="str">
        <f aca="false">IF(C34="","Velg i nedtrekksmenyen.",IF(C34="I balansen: bankinnskudd ned og banklån ned","Riktig. Et avdrag flytter penger fra bankinnskudd til nedbetalt gjeld inne i balansen, like mye på hver post. Det er ikke en kostnad, og det står ikke i resultatregnskapet. Bare rentene gjør det.","Ikke riktig. Et avdrag flytter penger fra bankinnskudd til nedbetalt gjeld inne i balansen, like mye på hver post. Det er ikke en kostnad, og det står ikke i resultatregnskapet. Bare rentene gjør det."))</f>
        <v>Velg i nedtrekksmenyen.</v>
      </c>
    </row>
    <row r="36" customFormat="false" ht="30" hidden="false" customHeight="true" outlineLevel="0" collapsed="false">
      <c r="B36" s="8" t="s">
        <v>159</v>
      </c>
      <c r="C36" s="8"/>
      <c r="D36" s="8"/>
      <c r="E36" s="8"/>
      <c r="F36" s="8"/>
      <c r="G36" s="8"/>
    </row>
    <row r="37" customFormat="false" ht="21.75" hidden="false" customHeight="true" outlineLevel="0" collapsed="false">
      <c r="B37" s="19"/>
      <c r="C37" s="19"/>
      <c r="D37" s="19"/>
      <c r="E37" s="19"/>
      <c r="F37" s="19"/>
      <c r="G37" s="19"/>
    </row>
    <row r="38" customFormat="false" ht="21.75" hidden="false" customHeight="true" outlineLevel="0" collapsed="false">
      <c r="B38" s="19"/>
      <c r="C38" s="19"/>
      <c r="D38" s="19"/>
      <c r="E38" s="19"/>
      <c r="F38" s="19"/>
      <c r="G38" s="19"/>
    </row>
    <row r="39" customFormat="false" ht="21.75" hidden="false" customHeight="true" outlineLevel="0" collapsed="false">
      <c r="B39" s="19"/>
      <c r="C39" s="19"/>
      <c r="D39" s="19"/>
      <c r="E39" s="19"/>
      <c r="F39" s="19"/>
      <c r="G39" s="19"/>
    </row>
    <row r="40" customFormat="false" ht="39.75" hidden="false" customHeight="true" outlineLevel="0" collapsed="false">
      <c r="B40" s="20" t="str">
        <f aca="false">IF(LEN(B37)&lt;40,"",IF(AND(ISNUMBER(SEARCH("gjeld",B37)),ISNUMBER(SEARCH("bank",B37))),"Bra: du holder bankinnskuddet opp mot den kortsiktige gjelden. 563 257 i banken dekker ikke 600 000 som forfaller i år, og utbytte på 80 000 gjør det verre. Egenkapitalen er ikke penger på konto.",IF(OR(ISNUMBER(SEARCH("gjeld",B37)),ISNUMBER(SEARCH("bank",B37))),"Du er på sporet. Hold bankinnskuddet 563 257 opp mot den kortsiktige gjelden 600 000, og si hva et utbytte på 80 000 gjør med den.","Tips: egenkapital er ikke penger. På konto står 563 257, og 600 000 forfaller i år. Tar eieren ut 80 000, synker kontoen til 483 257. Aksjeloven krever forsvarlig egenkapital og likviditet etter utbyttet. Rådet er å la overskuddet stå.")))</f>
        <v/>
      </c>
      <c r="C40" s="20"/>
      <c r="D40" s="20"/>
      <c r="E40" s="20"/>
      <c r="F40" s="20"/>
      <c r="G40" s="20"/>
    </row>
    <row r="41" customFormat="false" ht="15" hidden="false" customHeight="false" outlineLevel="0" collapsed="false">
      <c r="B41" s="14" t="s">
        <v>59</v>
      </c>
      <c r="C41" s="17"/>
    </row>
    <row r="42" customFormat="false" ht="45" hidden="false" customHeight="true" outlineLevel="0" collapsed="false">
      <c r="B42" s="21" t="str">
        <f aca="false">IF(C41="JA","Hint: Utstyr: 300 000 − 60 000 = 240 000. Annen egenkapital: 0 + 83 257 − 0 = 83 257. Banklån: 500 000 − 100 000 = 400 000. Eiendeler: 240 000 + 80 000 + 500 000 + 563 257 = 1 383 257. Egenkapital og gjeld: 300 000 + 83 257 + 400 000 + 381 600 + 218 400 = 1 383 257.","")</f>
        <v/>
      </c>
      <c r="C42" s="21"/>
      <c r="D42" s="21"/>
      <c r="E42" s="21"/>
      <c r="F42" s="21"/>
      <c r="G42" s="21"/>
    </row>
    <row r="44" customFormat="false" ht="30" hidden="false" customHeight="true" outlineLevel="0" collapsed="false">
      <c r="B44" s="6" t="s">
        <v>60</v>
      </c>
      <c r="C44" s="6"/>
      <c r="D44" s="6"/>
      <c r="E44" s="6"/>
      <c r="F44" s="6"/>
      <c r="G44" s="6"/>
    </row>
  </sheetData>
  <mergeCells count="20">
    <mergeCell ref="B2:G2"/>
    <mergeCell ref="B3:G3"/>
    <mergeCell ref="B4:G4"/>
    <mergeCell ref="B5:G5"/>
    <mergeCell ref="B6:G6"/>
    <mergeCell ref="B7:G7"/>
    <mergeCell ref="B9:G9"/>
    <mergeCell ref="B10:G10"/>
    <mergeCell ref="B24:G24"/>
    <mergeCell ref="B25:G25"/>
    <mergeCell ref="C28:G28"/>
    <mergeCell ref="C29:G29"/>
    <mergeCell ref="C30:G30"/>
    <mergeCell ref="C31:G31"/>
    <mergeCell ref="C32:G32"/>
    <mergeCell ref="B36:G36"/>
    <mergeCell ref="B37:G39"/>
    <mergeCell ref="B40:G40"/>
    <mergeCell ref="B42:G42"/>
    <mergeCell ref="B44:G44"/>
  </mergeCells>
  <conditionalFormatting sqref="C28">
    <cfRule type="expression" priority="2" aboveAverage="0" equalAverage="0" bottom="0" percent="0" rank="0" text="" dxfId="0">
      <formula>LEFT(C28,6)="Riktig"</formula>
    </cfRule>
    <cfRule type="expression" priority="3" aboveAverage="0" equalAverage="0" bottom="0" percent="0" rank="0" text="" dxfId="1">
      <formula>AND(C28&lt;&gt;"",LEFT(C28,6)&lt;&gt;"Riktig",LEFT(C28,5)&lt;&gt;"Skriv")</formula>
    </cfRule>
  </conditionalFormatting>
  <conditionalFormatting sqref="C29">
    <cfRule type="expression" priority="4" aboveAverage="0" equalAverage="0" bottom="0" percent="0" rank="0" text="" dxfId="0">
      <formula>LEFT(C29,6)="Riktig"</formula>
    </cfRule>
    <cfRule type="expression" priority="5" aboveAverage="0" equalAverage="0" bottom="0" percent="0" rank="0" text="" dxfId="1">
      <formula>AND(C29&lt;&gt;"",LEFT(C29,6)&lt;&gt;"Riktig",LEFT(C29,5)&lt;&gt;"Skriv")</formula>
    </cfRule>
  </conditionalFormatting>
  <conditionalFormatting sqref="C30">
    <cfRule type="expression" priority="6" aboveAverage="0" equalAverage="0" bottom="0" percent="0" rank="0" text="" dxfId="0">
      <formula>LEFT(C30,6)="Riktig"</formula>
    </cfRule>
    <cfRule type="expression" priority="7" aboveAverage="0" equalAverage="0" bottom="0" percent="0" rank="0" text="" dxfId="1">
      <formula>AND(C30&lt;&gt;"",LEFT(C30,6)&lt;&gt;"Riktig",LEFT(C30,5)&lt;&gt;"Skriv")</formula>
    </cfRule>
  </conditionalFormatting>
  <conditionalFormatting sqref="C31">
    <cfRule type="expression" priority="8" aboveAverage="0" equalAverage="0" bottom="0" percent="0" rank="0" text="" dxfId="0">
      <formula>LEFT(C31,6)="Riktig"</formula>
    </cfRule>
    <cfRule type="expression" priority="9" aboveAverage="0" equalAverage="0" bottom="0" percent="0" rank="0" text="" dxfId="1">
      <formula>AND(C31&lt;&gt;"",LEFT(C31,6)&lt;&gt;"Riktig",LEFT(C31,5)&lt;&gt;"Skriv")</formula>
    </cfRule>
  </conditionalFormatting>
  <conditionalFormatting sqref="C32">
    <cfRule type="expression" priority="10" aboveAverage="0" equalAverage="0" bottom="0" percent="0" rank="0" text="" dxfId="0">
      <formula>LEFT(C32,6)="Riktig"</formula>
    </cfRule>
    <cfRule type="expression" priority="11" aboveAverage="0" equalAverage="0" bottom="0" percent="0" rank="0" text="" dxfId="1">
      <formula>AND(C32&lt;&gt;"",LEFT(C32,6)&lt;&gt;"Riktig",LEFT(C32,5)&lt;&gt;"Skriv")</formula>
    </cfRule>
  </conditionalFormatting>
  <conditionalFormatting sqref="G34">
    <cfRule type="expression" priority="12" aboveAverage="0" equalAverage="0" bottom="0" percent="0" rank="0" text="" dxfId="0">
      <formula>LEFT(G34,6)="Riktig"</formula>
    </cfRule>
    <cfRule type="expression" priority="13" aboveAverage="0" equalAverage="0" bottom="0" percent="0" rank="0" text="" dxfId="1">
      <formula>LEFT(G34,4)="Ikke"</formula>
    </cfRule>
  </conditionalFormatting>
  <dataValidations count="2">
    <dataValidation allowBlank="true" errorStyle="stop" operator="between" showDropDown="false" showErrorMessage="false" showInputMessage="false" sqref="C34" type="list">
      <formula1>"I resultatregnskapet,som kostnad,I balansen: bankinnskudd ned og banklån ned,Begge steder"</formula1>
      <formula2>0</formula2>
    </dataValidation>
    <dataValidation allowBlank="true" errorStyle="stop" operator="between" showDropDown="false" showErrorMessage="false" showInputMessage="false" sqref="C41"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160</v>
      </c>
      <c r="C2" s="5"/>
      <c r="D2" s="5"/>
      <c r="E2" s="5"/>
      <c r="F2" s="5"/>
      <c r="G2" s="5"/>
    </row>
    <row r="3" customFormat="false" ht="15" hidden="false" customHeight="true" outlineLevel="0" collapsed="false">
      <c r="B3" s="6" t="s">
        <v>17</v>
      </c>
      <c r="C3" s="6"/>
      <c r="D3" s="6"/>
      <c r="E3" s="6"/>
      <c r="F3" s="6"/>
      <c r="G3" s="6"/>
    </row>
    <row r="4" customFormat="false" ht="15.75" hidden="false" customHeight="true" outlineLevel="0" collapsed="false">
      <c r="B4" s="7" t="s">
        <v>18</v>
      </c>
      <c r="C4" s="7"/>
      <c r="D4" s="7"/>
      <c r="E4" s="7"/>
      <c r="F4" s="7"/>
      <c r="G4" s="7"/>
    </row>
    <row r="5" customFormat="false" ht="30" hidden="false" customHeight="true" outlineLevel="0" collapsed="false">
      <c r="B5" s="8" t="s">
        <v>161</v>
      </c>
      <c r="C5" s="8"/>
      <c r="D5" s="8"/>
      <c r="E5" s="8"/>
      <c r="F5" s="8"/>
      <c r="G5" s="8"/>
    </row>
    <row r="6" customFormat="false" ht="15.75" hidden="false" customHeight="true" outlineLevel="0" collapsed="false">
      <c r="B6" s="7" t="s">
        <v>20</v>
      </c>
      <c r="C6" s="7"/>
      <c r="D6" s="7"/>
      <c r="E6" s="7"/>
      <c r="F6" s="7"/>
      <c r="G6" s="7"/>
    </row>
    <row r="7" customFormat="false" ht="45" hidden="false" customHeight="true" outlineLevel="0" collapsed="false">
      <c r="B7" s="8" t="s">
        <v>162</v>
      </c>
      <c r="C7" s="8"/>
      <c r="D7" s="8"/>
      <c r="E7" s="8"/>
      <c r="F7" s="8"/>
      <c r="G7" s="8"/>
    </row>
    <row r="9" customFormat="false" ht="15.75" hidden="false" customHeight="true" outlineLevel="0" collapsed="false">
      <c r="B9" s="7" t="s">
        <v>163</v>
      </c>
      <c r="C9" s="7"/>
      <c r="D9" s="7"/>
      <c r="E9" s="7"/>
      <c r="F9" s="7"/>
      <c r="G9" s="7"/>
    </row>
    <row r="10" customFormat="false" ht="60" hidden="false" customHeight="true" outlineLevel="0" collapsed="false">
      <c r="B10" s="8" t="s">
        <v>164</v>
      </c>
      <c r="C10" s="8"/>
      <c r="D10" s="8"/>
      <c r="E10" s="8"/>
      <c r="F10" s="8"/>
      <c r="G10" s="8"/>
    </row>
    <row r="11" customFormat="false" ht="15.75" hidden="false" customHeight="true" outlineLevel="0" collapsed="false">
      <c r="B11" s="7" t="s">
        <v>165</v>
      </c>
      <c r="C11" s="7"/>
      <c r="D11" s="7"/>
      <c r="E11" s="7"/>
      <c r="F11" s="7"/>
      <c r="G11" s="7"/>
    </row>
    <row r="12" customFormat="false" ht="45" hidden="false" customHeight="true" outlineLevel="0" collapsed="false">
      <c r="B12" s="8" t="s">
        <v>166</v>
      </c>
      <c r="C12" s="8"/>
      <c r="D12" s="8"/>
      <c r="E12" s="8"/>
      <c r="F12" s="8"/>
      <c r="G12" s="8"/>
    </row>
    <row r="13" customFormat="false" ht="15" hidden="false" customHeight="false" outlineLevel="0" collapsed="false">
      <c r="B13" s="9" t="s">
        <v>167</v>
      </c>
      <c r="C13" s="10" t="s">
        <v>146</v>
      </c>
      <c r="D13" s="10" t="s">
        <v>151</v>
      </c>
    </row>
    <row r="14" customFormat="false" ht="15" hidden="false" customHeight="false" outlineLevel="0" collapsed="false">
      <c r="B14" s="11" t="s">
        <v>168</v>
      </c>
      <c r="C14" s="12" t="n">
        <v>10482650</v>
      </c>
      <c r="D14" s="12" t="n">
        <v>9882650</v>
      </c>
    </row>
    <row r="15" customFormat="false" ht="15" hidden="false" customHeight="false" outlineLevel="0" collapsed="false">
      <c r="B15" s="11" t="s">
        <v>169</v>
      </c>
      <c r="C15" s="12" t="n">
        <v>10802650</v>
      </c>
      <c r="D15" s="12" t="n">
        <v>10182650</v>
      </c>
    </row>
    <row r="16" customFormat="false" ht="15" hidden="false" customHeight="false" outlineLevel="0" collapsed="false">
      <c r="B16" s="11" t="s">
        <v>170</v>
      </c>
      <c r="C16" s="12" t="n">
        <v>10182650</v>
      </c>
      <c r="D16" s="12" t="n">
        <v>9272000</v>
      </c>
    </row>
    <row r="18" customFormat="false" ht="15.75" hidden="false" customHeight="true" outlineLevel="0" collapsed="false">
      <c r="B18" s="7" t="s">
        <v>49</v>
      </c>
      <c r="C18" s="7"/>
      <c r="D18" s="7"/>
      <c r="E18" s="7"/>
      <c r="F18" s="7"/>
      <c r="G18" s="7"/>
    </row>
    <row r="19" customFormat="false" ht="30" hidden="false" customHeight="true" outlineLevel="0" collapsed="false">
      <c r="B19" s="8" t="s">
        <v>171</v>
      </c>
      <c r="C19" s="8"/>
      <c r="D19" s="8"/>
      <c r="E19" s="8"/>
      <c r="F19" s="8"/>
      <c r="G19" s="8"/>
    </row>
    <row r="21" customFormat="false" ht="43.5" hidden="false" customHeight="true" outlineLevel="0" collapsed="false">
      <c r="B21" s="16" t="s">
        <v>172</v>
      </c>
      <c r="C21" s="13"/>
      <c r="D21" s="22" t="s">
        <v>79</v>
      </c>
      <c r="G21" s="18" t="str">
        <f aca="false">IF(C21="","Skriv svaret i den gule cellen.",IF(C21=(10482650-9882650),"Riktig.",IF(ABS(C21-(10482650+9882650))&lt;=0,"Du har lagt sammen. Differansen er det største tallet minus det minste.","Ikke riktig ennå. Se på regnestykket øverst på fanen, og sjekk at du har med alle leddene.")))</f>
        <v>Skriv svaret i den gule cellen.</v>
      </c>
    </row>
    <row r="22" customFormat="false" ht="39.75" hidden="false" customHeight="true" outlineLevel="0" collapsed="false">
      <c r="B22" s="16" t="s">
        <v>173</v>
      </c>
      <c r="C22" s="17"/>
      <c r="G22" s="18" t="str">
        <f aca="false">IF(C22="","Velg i nedtrekksmenyen.",IF(C22="Står på feil side","Riktig. 600 000 er det dobbelte av kassekreditten på 300 000. For mye på den ene siden og for lite på den andre: derfor dobbelt.","Ikke riktig. 600 000 er det dobbelte av kassekreditten på 300 000. For mye på den ene siden og for lite på den andre: derfor dobbelt."))</f>
        <v>Velg i nedtrekksmenyen.</v>
      </c>
    </row>
    <row r="23" customFormat="false" ht="39.75" hidden="false" customHeight="true" outlineLevel="0" collapsed="false">
      <c r="B23" s="16" t="s">
        <v>174</v>
      </c>
      <c r="C23" s="17"/>
      <c r="G23" s="18" t="str">
        <f aca="false">IF(C23="","Velg i nedtrekksmenyen.",IF(C23="Kassekreditten","Riktig. Kassekreditten er lagt til bankinnskuddet (1 282 650 i stedet for 982 650) og mangler under kortsiktig gjeld. Den er lånte penger.","Ikke riktig. Kassekreditten er lagt til bankinnskuddet (1 282 650 i stedet for 982 650) og mangler under kortsiktig gjeld. Den er lånte penger."))</f>
        <v>Velg i nedtrekksmenyen.</v>
      </c>
    </row>
    <row r="24" customFormat="false" ht="43.5" hidden="false" customHeight="true" outlineLevel="0" collapsed="false">
      <c r="B24" s="16" t="s">
        <v>175</v>
      </c>
      <c r="C24" s="13"/>
      <c r="D24" s="22" t="s">
        <v>79</v>
      </c>
      <c r="G24" s="18" t="str">
        <f aca="false">IF(C24="","Skriv svaret i den gule cellen.",IF(C24=(10802650-10182650),"Riktig.","Ikke riktig ennå. Se på regnestykket øverst på fanen, og sjekk at du har med alle leddene."))</f>
        <v>Skriv svaret i den gule cellen.</v>
      </c>
    </row>
    <row r="25" customFormat="false" ht="39.75" hidden="false" customHeight="true" outlineLevel="0" collapsed="false">
      <c r="B25" s="16" t="s">
        <v>176</v>
      </c>
      <c r="C25" s="17"/>
      <c r="G25" s="18" t="str">
        <f aca="false">IF(C25="","Velg i nedtrekksmenyen.",IF(C25="Anleggsmidlene er ikke satt ned","Riktig. 620 000 er årets avskrivning. Den er trukket i resultatregnskapet, men bilene og verktøyet står med fjorårets verdi.","Ikke riktig. 620 000 er årets avskrivning. Den er trukket i resultatregnskapet, men bilene og verktøyet står med fjorårets verdi."))</f>
        <v>Velg i nedtrekksmenyen.</v>
      </c>
    </row>
    <row r="26" customFormat="false" ht="39.75" hidden="false" customHeight="true" outlineLevel="0" collapsed="false">
      <c r="B26" s="16" t="s">
        <v>177</v>
      </c>
      <c r="C26" s="17"/>
      <c r="G26" s="18" t="str">
        <f aca="false">IF(C26="","Velg i nedtrekksmenyen.",IF(C26="Anleggsmidlene","Riktig. Anleggsmidlene står med 4 220 000 i stedet for 3 600 000. Sett dem ned med avskrivningen.","Ikke riktig. Anleggsmidlene står med 4 220 000 i stedet for 3 600 000. Sett dem ned med avskrivningen."))</f>
        <v>Velg i nedtrekksmenyen.</v>
      </c>
    </row>
    <row r="27" customFormat="false" ht="43.5" hidden="false" customHeight="true" outlineLevel="0" collapsed="false">
      <c r="B27" s="16" t="s">
        <v>178</v>
      </c>
      <c r="C27" s="13"/>
      <c r="D27" s="22" t="s">
        <v>79</v>
      </c>
      <c r="G27" s="18" t="str">
        <f aca="false">IF(C27="","Skriv svaret i den gule cellen.",IF(C27=(10182650-9272000),"Riktig.","Ikke riktig ennå. Se på regnestykket øverst på fanen, og sjekk at du har med alle leddene."))</f>
        <v>Skriv svaret i den gule cellen.</v>
      </c>
    </row>
    <row r="28" customFormat="false" ht="39.75" hidden="false" customHeight="true" outlineLevel="0" collapsed="false">
      <c r="B28" s="16" t="s">
        <v>179</v>
      </c>
      <c r="C28" s="17"/>
      <c r="G28" s="18" t="str">
        <f aca="false">IF(C28="","Velg i nedtrekksmenyen.",IF(C28="Egenkapitalen er ikke oppdatert","Riktig. 910 650 er årsresultatet. Årets overskudd er ikke lagt til annen egenkapital.","Ikke riktig. 910 650 er årsresultatet. Årets overskudd er ikke lagt til annen egenkapital."))</f>
        <v>Velg i nedtrekksmenyen.</v>
      </c>
    </row>
    <row r="29" customFormat="false" ht="39.75" hidden="false" customHeight="true" outlineLevel="0" collapsed="false">
      <c r="B29" s="16" t="s">
        <v>180</v>
      </c>
      <c r="C29" s="17"/>
      <c r="G29" s="18" t="str">
        <f aca="false">IF(C29="","Velg i nedtrekksmenyen.",IF(C29="Annen egenkapital","Riktig. Annen egenkapital står med fjorårets 1 682 000. Riktig er 1 682 000 + 910 650 = 2 592 650.","Ikke riktig. Annen egenkapital står med fjorårets 1 682 000. Riktig er 1 682 000 + 910 650 = 2 592 650."))</f>
        <v>Velg i nedtrekksmenyen.</v>
      </c>
    </row>
    <row r="31" customFormat="false" ht="30" hidden="false" customHeight="true" outlineLevel="0" collapsed="false">
      <c r="B31" s="8" t="s">
        <v>181</v>
      </c>
      <c r="C31" s="8"/>
      <c r="D31" s="8"/>
      <c r="E31" s="8"/>
      <c r="F31" s="8"/>
      <c r="G31" s="8"/>
    </row>
    <row r="32" customFormat="false" ht="21.75" hidden="false" customHeight="true" outlineLevel="0" collapsed="false">
      <c r="B32" s="19"/>
      <c r="C32" s="19"/>
      <c r="D32" s="19"/>
      <c r="E32" s="19"/>
      <c r="F32" s="19"/>
      <c r="G32" s="19"/>
    </row>
    <row r="33" customFormat="false" ht="21.75" hidden="false" customHeight="true" outlineLevel="0" collapsed="false">
      <c r="B33" s="19"/>
      <c r="C33" s="19"/>
      <c r="D33" s="19"/>
      <c r="E33" s="19"/>
      <c r="F33" s="19"/>
      <c r="G33" s="19"/>
    </row>
    <row r="34" customFormat="false" ht="21.75" hidden="false" customHeight="true" outlineLevel="0" collapsed="false">
      <c r="B34" s="19"/>
      <c r="C34" s="19"/>
      <c r="D34" s="19"/>
      <c r="E34" s="19"/>
      <c r="F34" s="19"/>
      <c r="G34" s="19"/>
    </row>
    <row r="35" customFormat="false" ht="39.75" hidden="false" customHeight="true" outlineLevel="0" collapsed="false">
      <c r="B35" s="20" t="str">
        <f aca="false">IF(LEN(B32)&lt;40,"",IF(AND(ISNUMBER(SEARCH("bank",B32)),ISNUMBER(SEARCH("kundefordring",B32))),"Bra: du skiller egenkapitalen fra pengene på konto og peker på kundefordringene. Egenkapitalen sier hvem som har betalt for eiendelene, ikke hvor pengene er.",IF(OR(ISNUMBER(SEARCH("bank",B32)),ISNUMBER(SEARCH("kundefordring",B32))),"Du er på sporet. Si hvor pengene faktisk står: 982 650 i banken, 4 200 000 hos kundene og 1 400 000 på lageret.","Tips: egenkapitalen på 2 892 650 er eiendeler minus gjeld, ikke penger på konto. I banken står 982 650. Kundene skylder 4 200 000, og lageret binder 1 400 000. Pengene er ikke borte, de er underveis.")))</f>
        <v/>
      </c>
      <c r="C35" s="20"/>
      <c r="D35" s="20"/>
      <c r="E35" s="20"/>
      <c r="F35" s="20"/>
      <c r="G35" s="20"/>
    </row>
    <row r="36" customFormat="false" ht="15" hidden="false" customHeight="false" outlineLevel="0" collapsed="false">
      <c r="B36" s="14" t="s">
        <v>59</v>
      </c>
      <c r="C36" s="17"/>
    </row>
    <row r="37" customFormat="false" ht="45" hidden="false" customHeight="true" outlineLevel="0" collapsed="false">
      <c r="B37" s="21" t="str">
        <f aca="false">IF(C36="JA","Hint: A: 10 482 650 − 9 882 650 = 600 000 = 2 × 300 000, kassekreditten på feil side. B: 10 802 650 − 10 182 650 = 620 000 = avskrivningen, anleggsmidlene ikke satt ned. C: 10 182 650 − 9 272 000 = 910 650 = årsresultatet, annen egenkapital ikke oppdatert.","")</f>
        <v/>
      </c>
      <c r="C37" s="21"/>
      <c r="D37" s="21"/>
      <c r="E37" s="21"/>
      <c r="F37" s="21"/>
      <c r="G37" s="21"/>
    </row>
    <row r="39" customFormat="false" ht="30" hidden="false" customHeight="true" outlineLevel="0" collapsed="false">
      <c r="B39" s="6" t="s">
        <v>60</v>
      </c>
      <c r="C39" s="6"/>
      <c r="D39" s="6"/>
      <c r="E39" s="6"/>
      <c r="F39" s="6"/>
      <c r="G39" s="6"/>
    </row>
  </sheetData>
  <mergeCells count="17">
    <mergeCell ref="B2:G2"/>
    <mergeCell ref="B3:G3"/>
    <mergeCell ref="B4:G4"/>
    <mergeCell ref="B5:G5"/>
    <mergeCell ref="B6:G6"/>
    <mergeCell ref="B7:G7"/>
    <mergeCell ref="B9:G9"/>
    <mergeCell ref="B10:G10"/>
    <mergeCell ref="B11:G11"/>
    <mergeCell ref="B12:G12"/>
    <mergeCell ref="B18:G18"/>
    <mergeCell ref="B19:G19"/>
    <mergeCell ref="B31:G31"/>
    <mergeCell ref="B32:G34"/>
    <mergeCell ref="B35:G35"/>
    <mergeCell ref="B37:G37"/>
    <mergeCell ref="B39:G39"/>
  </mergeCells>
  <conditionalFormatting sqref="G21">
    <cfRule type="expression" priority="2" aboveAverage="0" equalAverage="0" bottom="0" percent="0" rank="0" text="" dxfId="0">
      <formula>LEFT(G21,6)="Riktig"</formula>
    </cfRule>
    <cfRule type="expression" priority="3" aboveAverage="0" equalAverage="0" bottom="0" percent="0" rank="0" text="" dxfId="1">
      <formula>AND(G21&lt;&gt;"",LEFT(G21,6)&lt;&gt;"Riktig",LEFT(G21,5)&lt;&gt;"Skriv")</formula>
    </cfRule>
  </conditionalFormatting>
  <conditionalFormatting sqref="G22">
    <cfRule type="expression" priority="4" aboveAverage="0" equalAverage="0" bottom="0" percent="0" rank="0" text="" dxfId="0">
      <formula>LEFT(G22,6)="Riktig"</formula>
    </cfRule>
    <cfRule type="expression" priority="5" aboveAverage="0" equalAverage="0" bottom="0" percent="0" rank="0" text="" dxfId="1">
      <formula>LEFT(G22,4)="Ikke"</formula>
    </cfRule>
  </conditionalFormatting>
  <conditionalFormatting sqref="G23">
    <cfRule type="expression" priority="6" aboveAverage="0" equalAverage="0" bottom="0" percent="0" rank="0" text="" dxfId="0">
      <formula>LEFT(G23,6)="Riktig"</formula>
    </cfRule>
    <cfRule type="expression" priority="7" aboveAverage="0" equalAverage="0" bottom="0" percent="0" rank="0" text="" dxfId="1">
      <formula>LEFT(G23,4)="Ikke"</formula>
    </cfRule>
  </conditionalFormatting>
  <conditionalFormatting sqref="G24">
    <cfRule type="expression" priority="8" aboveAverage="0" equalAverage="0" bottom="0" percent="0" rank="0" text="" dxfId="0">
      <formula>LEFT(G24,6)="Riktig"</formula>
    </cfRule>
    <cfRule type="expression" priority="9" aboveAverage="0" equalAverage="0" bottom="0" percent="0" rank="0" text="" dxfId="1">
      <formula>AND(G24&lt;&gt;"",LEFT(G24,6)&lt;&gt;"Riktig",LEFT(G24,5)&lt;&gt;"Skriv")</formula>
    </cfRule>
  </conditionalFormatting>
  <conditionalFormatting sqref="G25">
    <cfRule type="expression" priority="10" aboveAverage="0" equalAverage="0" bottom="0" percent="0" rank="0" text="" dxfId="0">
      <formula>LEFT(G25,6)="Riktig"</formula>
    </cfRule>
    <cfRule type="expression" priority="11" aboveAverage="0" equalAverage="0" bottom="0" percent="0" rank="0" text="" dxfId="1">
      <formula>LEFT(G25,4)="Ikke"</formula>
    </cfRule>
  </conditionalFormatting>
  <conditionalFormatting sqref="G26">
    <cfRule type="expression" priority="12" aboveAverage="0" equalAverage="0" bottom="0" percent="0" rank="0" text="" dxfId="0">
      <formula>LEFT(G26,6)="Riktig"</formula>
    </cfRule>
    <cfRule type="expression" priority="13" aboveAverage="0" equalAverage="0" bottom="0" percent="0" rank="0" text="" dxfId="1">
      <formula>LEFT(G26,4)="Ikke"</formula>
    </cfRule>
  </conditionalFormatting>
  <conditionalFormatting sqref="G27">
    <cfRule type="expression" priority="14" aboveAverage="0" equalAverage="0" bottom="0" percent="0" rank="0" text="" dxfId="0">
      <formula>LEFT(G27,6)="Riktig"</formula>
    </cfRule>
    <cfRule type="expression" priority="15" aboveAverage="0" equalAverage="0" bottom="0" percent="0" rank="0" text="" dxfId="1">
      <formula>AND(G27&lt;&gt;"",LEFT(G27,6)&lt;&gt;"Riktig",LEFT(G27,5)&lt;&gt;"Skriv")</formula>
    </cfRule>
  </conditionalFormatting>
  <conditionalFormatting sqref="G28">
    <cfRule type="expression" priority="16" aboveAverage="0" equalAverage="0" bottom="0" percent="0" rank="0" text="" dxfId="0">
      <formula>LEFT(G28,6)="Riktig"</formula>
    </cfRule>
    <cfRule type="expression" priority="17" aboveAverage="0" equalAverage="0" bottom="0" percent="0" rank="0" text="" dxfId="1">
      <formula>LEFT(G28,4)="Ikke"</formula>
    </cfRule>
  </conditionalFormatting>
  <conditionalFormatting sqref="G29">
    <cfRule type="expression" priority="18" aboveAverage="0" equalAverage="0" bottom="0" percent="0" rank="0" text="" dxfId="0">
      <formula>LEFT(G29,6)="Riktig"</formula>
    </cfRule>
    <cfRule type="expression" priority="19" aboveAverage="0" equalAverage="0" bottom="0" percent="0" rank="0" text="" dxfId="1">
      <formula>LEFT(G29,4)="Ikke"</formula>
    </cfRule>
  </conditionalFormatting>
  <dataValidations count="7">
    <dataValidation allowBlank="true" errorStyle="stop" operator="between" showDropDown="false" showErrorMessage="false" showInputMessage="false" sqref="C22" type="list">
      <formula1>"Glemt eller telt to ganger,Står på feil side,Egenkapitalen er ikke oppdatert,Anleggsmidlene er ikke satt ned,Regnefeil"</formula1>
      <formula2>0</formula2>
    </dataValidation>
    <dataValidation allowBlank="true" errorStyle="stop" operator="between" showDropDown="false" showErrorMessage="false" showInputMessage="false" sqref="C23" type="list">
      <formula1>"Kassekreditten,Bankinnskuddet,Anleggsmidlene,Annen egenkapital,Kundefordringene,Avskrivningene"</formula1>
      <formula2>0</formula2>
    </dataValidation>
    <dataValidation allowBlank="true" errorStyle="stop" operator="between" showDropDown="false" showErrorMessage="false" showInputMessage="false" sqref="C25" type="list">
      <formula1>"Glemt eller telt to ganger,Står på feil side,Egenkapitalen er ikke oppdatert,Anleggsmidlene er ikke satt ned,Regnefeil"</formula1>
      <formula2>0</formula2>
    </dataValidation>
    <dataValidation allowBlank="true" errorStyle="stop" operator="between" showDropDown="false" showErrorMessage="false" showInputMessage="false" sqref="C26" type="list">
      <formula1>"Kassekreditten,Bankinnskuddet,Anleggsmidlene,Annen egenkapital,Kundefordringene,Avskrivningene"</formula1>
      <formula2>0</formula2>
    </dataValidation>
    <dataValidation allowBlank="true" errorStyle="stop" operator="between" showDropDown="false" showErrorMessage="false" showInputMessage="false" sqref="C28" type="list">
      <formula1>"Glemt eller telt to ganger,Står på feil side,Egenkapitalen er ikke oppdatert,Anleggsmidlene er ikke satt ned,Regnefeil"</formula1>
      <formula2>0</formula2>
    </dataValidation>
    <dataValidation allowBlank="true" errorStyle="stop" operator="between" showDropDown="false" showErrorMessage="false" showInputMessage="false" sqref="C29" type="list">
      <formula1>"Kassekreditten,Bankinnskuddet,Anleggsmidlene,Annen egenkapital,Kundefordringene,Avskrivningene"</formula1>
      <formula2>0</formula2>
    </dataValidation>
    <dataValidation allowBlank="true" errorStyle="stop" operator="between" showDropDown="false" showErrorMessage="false" showInputMessage="false" sqref="C36"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24" t="s">
        <v>182</v>
      </c>
    </row>
    <row r="3" customFormat="false" ht="30" hidden="false" customHeight="true" outlineLevel="0" collapsed="false">
      <c r="B3" s="6" t="s">
        <v>183</v>
      </c>
      <c r="C3" s="6"/>
      <c r="D3" s="6"/>
    </row>
    <row r="5" customFormat="false" ht="15" hidden="false" customHeight="false" outlineLevel="0" collapsed="false">
      <c r="B5" s="25" t="s">
        <v>184</v>
      </c>
      <c r="C5" s="25" t="s">
        <v>185</v>
      </c>
      <c r="D5" s="25" t="s">
        <v>186</v>
      </c>
    </row>
    <row r="6" customFormat="false" ht="30" hidden="false" customHeight="true" outlineLevel="0" collapsed="false">
      <c r="B6" s="26" t="s">
        <v>187</v>
      </c>
      <c r="C6" s="27" t="n">
        <v>8390000</v>
      </c>
      <c r="D6" s="26" t="s">
        <v>188</v>
      </c>
    </row>
    <row r="7" customFormat="false" ht="30" hidden="false" customHeight="true" outlineLevel="0" collapsed="false">
      <c r="B7" s="26" t="s">
        <v>189</v>
      </c>
      <c r="C7" s="27" t="n">
        <v>14010000</v>
      </c>
      <c r="D7" s="26" t="s">
        <v>190</v>
      </c>
    </row>
    <row r="8" customFormat="false" ht="30" hidden="false" customHeight="true" outlineLevel="0" collapsed="false">
      <c r="B8" s="26" t="s">
        <v>191</v>
      </c>
      <c r="C8" s="27" t="n">
        <v>1344000</v>
      </c>
      <c r="D8" s="26" t="s">
        <v>192</v>
      </c>
    </row>
    <row r="9" customFormat="false" ht="30" hidden="false" customHeight="true" outlineLevel="0" collapsed="false">
      <c r="B9" s="26" t="s">
        <v>193</v>
      </c>
      <c r="C9" s="27" t="n">
        <v>1167500</v>
      </c>
      <c r="D9" s="26" t="s">
        <v>194</v>
      </c>
    </row>
    <row r="10" customFormat="false" ht="30" hidden="false" customHeight="true" outlineLevel="0" collapsed="false">
      <c r="B10" s="26" t="s">
        <v>195</v>
      </c>
      <c r="C10" s="27" t="n">
        <v>910650</v>
      </c>
      <c r="D10" s="26" t="s">
        <v>196</v>
      </c>
    </row>
    <row r="11" customFormat="false" ht="30" hidden="false" customHeight="true" outlineLevel="0" collapsed="false">
      <c r="B11" s="26" t="s">
        <v>197</v>
      </c>
      <c r="C11" s="27"/>
      <c r="D11" s="26" t="s">
        <v>198</v>
      </c>
    </row>
    <row r="12" customFormat="false" ht="30" hidden="false" customHeight="true" outlineLevel="0" collapsed="false">
      <c r="B12" s="26" t="s">
        <v>199</v>
      </c>
      <c r="C12" s="27"/>
      <c r="D12" s="26" t="s">
        <v>200</v>
      </c>
    </row>
    <row r="13" customFormat="false" ht="30" hidden="false" customHeight="true" outlineLevel="0" collapsed="false">
      <c r="B13" s="26" t="s">
        <v>201</v>
      </c>
      <c r="C13" s="27"/>
      <c r="D13" s="26" t="s">
        <v>202</v>
      </c>
    </row>
    <row r="14" customFormat="false" ht="30" hidden="false" customHeight="true" outlineLevel="0" collapsed="false">
      <c r="B14" s="26" t="s">
        <v>203</v>
      </c>
      <c r="C14" s="27" t="n">
        <v>138500</v>
      </c>
      <c r="D14" s="26" t="s">
        <v>204</v>
      </c>
    </row>
    <row r="15" customFormat="false" ht="30" hidden="false" customHeight="true" outlineLevel="0" collapsed="false">
      <c r="B15" s="26" t="s">
        <v>205</v>
      </c>
      <c r="C15" s="27" t="n">
        <v>533500</v>
      </c>
      <c r="D15" s="26" t="s">
        <v>206</v>
      </c>
    </row>
    <row r="16" customFormat="false" ht="30" hidden="false" customHeight="true" outlineLevel="0" collapsed="false">
      <c r="B16" s="26" t="s">
        <v>207</v>
      </c>
      <c r="C16" s="27" t="n">
        <v>270000</v>
      </c>
      <c r="D16" s="26" t="s">
        <v>208</v>
      </c>
    </row>
    <row r="17" customFormat="false" ht="30" hidden="false" customHeight="true" outlineLevel="0" collapsed="false">
      <c r="B17" s="26" t="s">
        <v>209</v>
      </c>
      <c r="C17" s="27"/>
      <c r="D17" s="26" t="s">
        <v>210</v>
      </c>
    </row>
    <row r="18" customFormat="false" ht="30" hidden="false" customHeight="true" outlineLevel="0" collapsed="false">
      <c r="B18" s="26" t="s">
        <v>211</v>
      </c>
      <c r="C18" s="27" t="n">
        <v>3395000</v>
      </c>
      <c r="D18" s="26" t="s">
        <v>212</v>
      </c>
    </row>
    <row r="19" customFormat="false" ht="30" hidden="false" customHeight="true" outlineLevel="0" collapsed="false">
      <c r="B19" s="26" t="s">
        <v>213</v>
      </c>
      <c r="C19" s="27" t="n">
        <v>144240</v>
      </c>
      <c r="D19" s="26" t="s">
        <v>214</v>
      </c>
    </row>
    <row r="20" customFormat="false" ht="30" hidden="false" customHeight="true" outlineLevel="0" collapsed="false">
      <c r="B20" s="26" t="s">
        <v>215</v>
      </c>
      <c r="C20" s="27" t="n">
        <v>106740</v>
      </c>
      <c r="D20" s="26" t="s">
        <v>216</v>
      </c>
    </row>
    <row r="21" customFormat="false" ht="30" hidden="false" customHeight="true" outlineLevel="0" collapsed="false">
      <c r="B21" s="26" t="s">
        <v>217</v>
      </c>
      <c r="C21" s="27" t="n">
        <v>83257</v>
      </c>
      <c r="D21" s="26" t="s">
        <v>218</v>
      </c>
    </row>
    <row r="22" customFormat="false" ht="30" hidden="false" customHeight="true" outlineLevel="0" collapsed="false">
      <c r="B22" s="26" t="s">
        <v>219</v>
      </c>
      <c r="C22" s="27"/>
      <c r="D22" s="26" t="s">
        <v>220</v>
      </c>
    </row>
    <row r="23" customFormat="false" ht="30" hidden="false" customHeight="true" outlineLevel="0" collapsed="false">
      <c r="B23" s="26" t="s">
        <v>221</v>
      </c>
      <c r="C23" s="27"/>
      <c r="D23" s="26" t="s">
        <v>222</v>
      </c>
    </row>
    <row r="24" customFormat="false" ht="60" hidden="false" customHeight="true" outlineLevel="0" collapsed="false">
      <c r="B24" s="26" t="s">
        <v>223</v>
      </c>
      <c r="C24" s="27"/>
      <c r="D24" s="26" t="s">
        <v>224</v>
      </c>
    </row>
    <row r="25" customFormat="false" ht="30" hidden="false" customHeight="true" outlineLevel="0" collapsed="false">
      <c r="B25" s="26" t="s">
        <v>225</v>
      </c>
      <c r="C25" s="27" t="n">
        <v>6582650</v>
      </c>
      <c r="D25" s="26" t="s">
        <v>226</v>
      </c>
    </row>
    <row r="26" customFormat="false" ht="30" hidden="false" customHeight="true" outlineLevel="0" collapsed="false">
      <c r="B26" s="26" t="s">
        <v>227</v>
      </c>
      <c r="C26" s="27" t="n">
        <v>4490000</v>
      </c>
      <c r="D26" s="26" t="s">
        <v>228</v>
      </c>
    </row>
    <row r="27" customFormat="false" ht="30" hidden="false" customHeight="true" outlineLevel="0" collapsed="false">
      <c r="B27" s="26" t="s">
        <v>229</v>
      </c>
      <c r="C27" s="27" t="n">
        <v>10182650</v>
      </c>
      <c r="D27" s="26" t="s">
        <v>230</v>
      </c>
    </row>
    <row r="28" customFormat="false" ht="30" hidden="false" customHeight="true" outlineLevel="0" collapsed="false">
      <c r="B28" s="26" t="s">
        <v>231</v>
      </c>
      <c r="C28" s="27" t="n">
        <v>28.4</v>
      </c>
      <c r="D28" s="26" t="s">
        <v>232</v>
      </c>
    </row>
    <row r="29" customFormat="false" ht="45" hidden="false" customHeight="true" outlineLevel="0" collapsed="false">
      <c r="B29" s="26" t="s">
        <v>233</v>
      </c>
      <c r="C29" s="27"/>
      <c r="D29" s="26" t="s">
        <v>234</v>
      </c>
    </row>
    <row r="30" customFormat="false" ht="30" hidden="false" customHeight="true" outlineLevel="0" collapsed="false">
      <c r="B30" s="26" t="s">
        <v>235</v>
      </c>
      <c r="C30" s="27" t="n">
        <v>240000</v>
      </c>
      <c r="D30" s="26" t="s">
        <v>236</v>
      </c>
    </row>
    <row r="31" customFormat="false" ht="30" hidden="false" customHeight="true" outlineLevel="0" collapsed="false">
      <c r="B31" s="26" t="s">
        <v>237</v>
      </c>
      <c r="C31" s="27" t="n">
        <v>83257</v>
      </c>
      <c r="D31" s="26" t="s">
        <v>238</v>
      </c>
    </row>
    <row r="32" customFormat="false" ht="30" hidden="false" customHeight="true" outlineLevel="0" collapsed="false">
      <c r="B32" s="26" t="s">
        <v>239</v>
      </c>
      <c r="C32" s="27" t="n">
        <v>400000</v>
      </c>
      <c r="D32" s="26" t="s">
        <v>240</v>
      </c>
    </row>
    <row r="33" customFormat="false" ht="30" hidden="false" customHeight="true" outlineLevel="0" collapsed="false">
      <c r="B33" s="26" t="s">
        <v>241</v>
      </c>
      <c r="C33" s="27" t="n">
        <v>1383257</v>
      </c>
      <c r="D33" s="26" t="s">
        <v>242</v>
      </c>
    </row>
    <row r="34" customFormat="false" ht="30" hidden="false" customHeight="true" outlineLevel="0" collapsed="false">
      <c r="B34" s="26" t="s">
        <v>243</v>
      </c>
      <c r="C34" s="27"/>
      <c r="D34" s="26" t="s">
        <v>244</v>
      </c>
    </row>
    <row r="35" customFormat="false" ht="30" hidden="false" customHeight="true" outlineLevel="0" collapsed="false">
      <c r="B35" s="26" t="s">
        <v>245</v>
      </c>
      <c r="C35" s="27"/>
      <c r="D35" s="26" t="s">
        <v>246</v>
      </c>
    </row>
    <row r="36" customFormat="false" ht="30" hidden="false" customHeight="true" outlineLevel="0" collapsed="false">
      <c r="B36" s="26" t="s">
        <v>247</v>
      </c>
      <c r="C36" s="27" t="n">
        <v>600000</v>
      </c>
      <c r="D36" s="26" t="s">
        <v>248</v>
      </c>
    </row>
    <row r="37" customFormat="false" ht="30" hidden="false" customHeight="true" outlineLevel="0" collapsed="false">
      <c r="B37" s="26" t="s">
        <v>249</v>
      </c>
      <c r="C37" s="27" t="n">
        <v>620000</v>
      </c>
      <c r="D37" s="26" t="s">
        <v>250</v>
      </c>
    </row>
    <row r="38" customFormat="false" ht="30" hidden="false" customHeight="true" outlineLevel="0" collapsed="false">
      <c r="B38" s="26" t="s">
        <v>251</v>
      </c>
      <c r="C38" s="27" t="n">
        <v>910650</v>
      </c>
      <c r="D38" s="26" t="s">
        <v>252</v>
      </c>
    </row>
    <row r="39" customFormat="false" ht="30" hidden="false" customHeight="true" outlineLevel="0" collapsed="false">
      <c r="B39" s="26" t="s">
        <v>253</v>
      </c>
      <c r="C39" s="27"/>
      <c r="D39" s="26" t="s">
        <v>254</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2026-10-14T08:21:56Z</dcterms:created>
  <dc:creator>openpyxl</dc:creator>
  <dc:description/>
  <dc:language>en-US</dc:language>
  <cp:lastModifiedBy/>
  <dcterms:modified xsi:type="dcterms:W3CDTF">2026-10-14T08:21:56Z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