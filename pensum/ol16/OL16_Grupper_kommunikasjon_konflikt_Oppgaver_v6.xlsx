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<sst xmlns="http://schemas.openxmlformats.org/spreadsheetml/2006/main" count="157" uniqueCount="141">
  <si>
    <t xml:space="preserve">Grupper, kommunikasjon og konflikt: oppgaver til kapittel 16</t>
  </si>
  <si>
    <t xml:space="preserve">Markedsføring, organisasjon og ledelse for LØM-emnet (Hjertnes), kapittel 16.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</si>
  <si>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</si>
  <si>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</si>
  <si>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</si>
  <si>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</si>
  <si>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</si>
  <si>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</si>
  <si>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Gruppene rundt Fjell Elektro: formell, uformell, primær eller referanse?</t>
  </si>
  <si>
    <t xml:space="preserve">1B  Beskjeden som ble borte på veien, og det Mona sier uten ord</t>
  </si>
  <si>
    <t xml:space="preserve">1C  Fem saker på Karis bord, og lønnskravet hos Fjell</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</si>
  <si>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</si>
  <si>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</si>
  <si>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Gruppene rundt Fjell Elektro: formell, uformell, primær eller referanse?</t>
  </si>
  <si>
    <t xml:space="preserve">Alene, i par eller i gruppe, slik du vil.</t>
  </si>
  <si>
    <t xml:space="preserve">Situasjonen</t>
  </si>
  <si>
    <t xml:space="preserve">Fjell Elektro AS har to montører og eieren Mona Fjell, som er daglig leder og faglig ansvarlig og jobber halve tiden ute på oppdrag. Jobbene fordeles over kaffen hver morgen, og hver mandag har de tre et møte. De to montørene spiller fotball sammen på fredager. Mona sammenlikner timeprisen sin med de andre installatørene i Oslo øst. I januar kommer en tredje montør.</t>
  </si>
  <si>
    <t xml:space="preserve">Begrepene du trenger</t>
  </si>
  <si>
    <t xml:space="preserve">Gruppe: to eller flere som kommuniserer eller gjør noe sammen, og som selv oppfatter seg som en gruppe. Formell gruppe: målrettet, med roller og krav til kvalifikasjoner. Uformell gruppe: trivsel og felles interesser. Primærgruppe: familie og venner, gruppen selv er målet. Referansegruppe: den man sammenlikner seg med uten å være medlem. Rolle: krav og forventninger i en situasjon. Norm: uskreven regel for skikk og bruk; en stillingsinstruks er en norm som er skrevet ned.</t>
  </si>
  <si>
    <t xml:space="preserve">Testen for gruppene</t>
  </si>
  <si>
    <t xml:space="preserve">En gruppe er to eller flere som kommuniserer eller gjør noe sammen, og som selv oppfatter seg som en gruppe. Spør så: er gruppen satt sammen for en bestemt oppgave, med roller og krav til kvalifikasjoner (formell)? Bygger den på trivsel og felles interesser (uformell)? Er det familien eller vennene, der gruppen selv er målet (primærgruppe)? Eller er det en gruppe Fjell måler seg mot uten å være medlem (referansegruppe)?</t>
  </si>
  <si>
    <t xml:space="preserve">Seks grupper rundt Fjell Elektro: hvilken type er hver av dem? (velg i nedtrekksmenyen)</t>
  </si>
  <si>
    <t xml:space="preserve">1 Mona og de to montørene på jobb</t>
  </si>
  <si>
    <t xml:space="preserve">2 Mandagsmøtet med alle tre</t>
  </si>
  <si>
    <t xml:space="preserve">3 De to montørene som spiller fotball på fredager</t>
  </si>
  <si>
    <t xml:space="preserve">4 Familien til Mona</t>
  </si>
  <si>
    <t xml:space="preserve">5 De andre installatørene i Oslo øst, som Mona sammenlikner timeprisen med</t>
  </si>
  <si>
    <t xml:space="preserve">6 Montørene og Mona som spiser lunsj i bilen når de er på samme jobb</t>
  </si>
  <si>
    <t xml:space="preserve">Rolle eller norm?</t>
  </si>
  <si>
    <t xml:space="preserve">En rolle er kravene og forventningene en person står overfor i en bestemt situasjon. En norm er en uskreven regel for skikk og bruk; brudd gir sanksjoner. En stillingsinstruks er en norm som er skrevet ned. Velg for hver.</t>
  </si>
  <si>
    <t xml:space="preserve">Mona er faglig ansvarlig og skal se til at alt arbeid er forskriftsmessig</t>
  </si>
  <si>
    <t xml:space="preserve">Arbeidsavtalen sier at montørene fører timer i appen hver dag</t>
  </si>
  <si>
    <t xml:space="preserve">Den som kommer sist om morgenen, setter over kaffen</t>
  </si>
  <si>
    <t xml:space="preserve">Ingen går hjem før begge montørene er ferdige for dagen</t>
  </si>
  <si>
    <t xml:space="preserve">Fjell ansetter en tredje montør i januar. Han gjør alt etter arbeidsavtalen, men får et skuldertrekk når han lar kaffen stå, og han spiser lunsj alene i bilen. Hva har skjedd, og hva bør Mona si til ham den første uka? Bruk ordene norm og uformell. To–tre setninger.</t>
  </si>
  <si>
    <t xml:space="preserve">Står du fast? Skriv JA i den gule cellen:</t>
  </si>
  <si>
    <t xml:space="preserve">Gule celler fyller du inn. Grønne regnes ut av arket. Sjekken til høyre forteller om svaret stemmer, og hva du bør se på hvis ikke.</t>
  </si>
  <si>
    <t xml:space="preserve">Oppgave 1B: Beskjeden som ble borte på veien, og det Mona sier uten ord</t>
  </si>
  <si>
    <t xml:space="preserve">Servicemontørene hos Nordlys kjører hjemmefra rett til første kunde. Kundene ringer Tom, og Tom sender oppdraget som tekstmelding til montøren kvelden før, for eksempel «Jordfeil, Haugveien 12, kl. 8». I vårhalvåret hadde serviceavdelingen 105 besøk. 9 av dem måtte gjøres på nytt fordi det kunden hadde sagt til Tom, ikke nådde montøren: feil del i bilen, kunden ikke hjemme, sikringsskapet et annet sted enn montøren trodde. Tom sier: «De leser ikke meldingene ordentlig.» Hos Fjell Elektro sier Mona på mandagsmøtet: «Si fra hvis noe er galt, døra mi er alltid åpen», mens hun leser på mobilen og reiser seg.</t>
  </si>
  <si>
    <t xml:space="preserve">Kommunikasjonsmodellen: avsenderen koder et budskap som går via et medium til mottakeren, som dekoder det (16.2). Budskap og medium må passe sammen. Direkte og indirekte, enveis og toveis, verbal og nonverbal, formell og uformell (16.2.1). Årsaker til brudd hos avsender og mottaker (16.3). Tiltak: blant annet systematisk tilbakemelding, kartlegging av informasjonsbehov, begrensning av informasjonsmengden, regelmessige møter (16.4). Ledelsen har et særlig ansvar for at informasjonen når fram.</t>
  </si>
  <si>
    <t xml:space="preserve">Tallene</t>
  </si>
  <si>
    <t xml:space="preserve">Nordlys har 210 serviceoppdrag planlagt i året (faktaarket); i vårhalvåret var det 105 besøk. 9 av dem måtte gjøres på nytt. Hvert nytt besøk tok 3 montørtimer som ikke kunne faktureres. Timeprisen Nordlys tar av kunden er 890 kr uten merverdiavgift. Hos Fjell Elektro tar mandagsmøtet 30 minutter for alle tre, i 46 arbeidsuker, og Fjells timepris er også 890 kr.</t>
  </si>
  <si>
    <t xml:space="preserve">Post</t>
  </si>
  <si>
    <t xml:space="preserve">Nordlys, vårhalvåret</t>
  </si>
  <si>
    <t xml:space="preserve">Fjell, året</t>
  </si>
  <si>
    <t xml:space="preserve">Servicebesøk / arbeidsuker</t>
  </si>
  <si>
    <t xml:space="preserve">Besøk gjort på nytt / personer i møtet</t>
  </si>
  <si>
    <t xml:space="preserve">Montørtimer per nytt besøk / timer per møte</t>
  </si>
  <si>
    <t xml:space="preserve">Timepris, kr uten merverdiavgift</t>
  </si>
  <si>
    <t xml:space="preserve">Oppgaven, trinn for trinn</t>
  </si>
  <si>
    <t xml:space="preserve">1. Regn andelen besøk som måtte gjøres på nytt (a), og hva de kostet i tapt fakturering (b).
2. Finn leddet i kommunikasjonsmodellen som sviktet (c), og sorter fem forslag til tiltak (d).
3. Gå til Fjell: hva skjer når Mona sier «si fra» mens hun leser på mobilen (e), og hva koster mandagsmøtet i fakturerbar tid (f)?
4. Skriv svaret til Tom i g.</t>
  </si>
  <si>
    <t xml:space="preserve">a) Andel av de 105 besøkene som måtte gjøres på nytt. Svar i prosent med én desimal (skriv 8,6 for 8,6 %)</t>
  </si>
  <si>
    <t xml:space="preserve">prosent</t>
  </si>
  <si>
    <t xml:space="preserve">b) Tapt fakturering i vårhalvåret: besøk × timer × timepris</t>
  </si>
  <si>
    <t xml:space="preserve">kr</t>
  </si>
  <si>
    <t xml:space="preserve">c) Hvor i kommunikasjonsmodellen sviktet det mest, etter bokas beskrivelse av modellen og kommunikasjonsformene?</t>
  </si>
  <si>
    <t xml:space="preserve">d) Ja eller nei: er dette et tiltak fra læreboka (16.4) som retter svikten i overleveringen?</t>
  </si>
  <si>
    <t xml:space="preserve">Montøren gjentar oppdraget til Tom før han kjører</t>
  </si>
  <si>
    <t xml:space="preserve">Tom og montørene avtaler hva en oppdragsmelding alltid skal inneholde</t>
  </si>
  <si>
    <t xml:space="preserve">Tom ringer kvelden før om oppdrag som ikke er rutine</t>
  </si>
  <si>
    <t xml:space="preserve">Tom sender hele samtaleloggen med kunden i tillegg</t>
  </si>
  <si>
    <t xml:space="preserve">Montørene får beskjed om å lese meldingene bedre</t>
  </si>
  <si>
    <t xml:space="preserve">e) Hos Fjell sier Mona på mandagsmøtet «Si fra hvis noe er galt, døra mi er alltid åpen», mens hun leser på mobilen og reiser seg. Hva skjer, ifølge boka?</t>
  </si>
  <si>
    <t xml:space="preserve">f) Hva koster mandagsmøtet hos Fjell i fakturerbar tid per år? Personer × timer × uker × timepris</t>
  </si>
  <si>
    <t xml:space="preserve">g) Tom sier: «De leser ikke meldingene ordentlig.» Vurder forklaringen hans med kommunikasjonsmodellen og årsakene til brudd, og foreslå ett tiltak med navn, handling og frist. Bruk minst ett tall fra a eller b. Tre–fire setninger.</t>
  </si>
  <si>
    <t xml:space="preserve">Oppgave 1C: Fem saker på Karis bord, og lønnskravet hos Fjell</t>
  </si>
  <si>
    <t xml:space="preserve">Fem saker har havnet hos Kari i samme kvartal (de står under). Samtidig har den erfarne montøren hos Fjell Elektro bedt Mona om 10 % høyere lønn etter et jobbtilbud fra en landsdekkende kjede. Du skal finne konflikttypen, velge strategi, lese av intensitetsnivået, regne hva kravet koster, og gi Mona et råd.</t>
  </si>
  <si>
    <t xml:space="preserve">Fire konflikttyper: verdi-, mål-, interesse- og virkemiddelkonflikt (16.6). Fire intensitetsnivåer: latent, uenighet, følelsesmessig, manifestert (16.5). Tre regler for makt og avhengighet: A har makt over B i den grad A kontrollerer et gode B ønsker; jo mer B ønsker det; jo vanskeligere B kan få det andre steder. Motmakt gjennom allianser eller kompetanse (16.5). Fem strategier etter egeninteresse og samarbeidsvilje: konfrontasjon, samarbeid, kompromiss, unnvikelse, imøtekommenhet (16.7). Lønnskostnad = lønn × (1 + sosiale kostnader).</t>
  </si>
  <si>
    <t xml:space="preserve">Fem saker hos Nordlys</t>
  </si>
  <si>
    <t xml:space="preserve">1 Dokumentasjonen: den eldste montøren mener samsvarserklæringer er papirarbeid som stjeler tid fra faget; den yngste mener det er en del av jobben. 2 Montørene på fredag: Tom vil holde to timers responstid i service, Ronny vil holde framdriften på nybygget, og de trenger de samme montørene. Etter tre uker sier Tom: «Ronny tar alltid folka mine.» 3 Servicebilen: den første nye elektriske varebilen kommer, og både service og prosjekt vil ha den. 4 Kalkylen: Ida og montørene på taket vil begge ha riktig pris på solcelleanleggene, men er uenige om hvem som skal kalkulere. 5 Fallsikringen: en montør nekter å bruke fallsikring på et tak.</t>
  </si>
  <si>
    <t xml:space="preserve">Lønnskravet hos Fjell</t>
  </si>
  <si>
    <t xml:space="preserve">Montørene hos Fjell tjener 560 000 kr i året, og Fjell regner 46,8 % sosiale kostnader på lønn (Økonomistyring for LØM-emnet, tabell 2.4). Driftsresultatet første år var 144 240 kr. Den erfarne montøren har fått tilbud om jobb i en landsdekkende kjede og ber om 10 % høyere lønn. Han er den eneste i Fjell med kurs i solcelleanlegg, bransjen mangler fagarbeidere, og ingen søkte sist Fjell lyste ut en stilling. Den andre montøren sier: «Får han, skal jeg også ha det.»</t>
  </si>
  <si>
    <t xml:space="preserve">Kroner</t>
  </si>
  <si>
    <t xml:space="preserve">Montørlønn per år</t>
  </si>
  <si>
    <t xml:space="preserve">Sosiale kostnader, prosent av lønn</t>
  </si>
  <si>
    <t xml:space="preserve">Driftsresultat Fjell, år 1</t>
  </si>
  <si>
    <t xml:space="preserve">Lønnskravet, prosent av lønn</t>
  </si>
  <si>
    <t xml:space="preserve">1. Gi hver av de fire første Nordlys-sakene en konflikttype (a). Spør: er de uenige om verdier, om hvilket mål som går først, om en ressurs bare én kan få, eller om veien til et felles mål?
2. Velg strategi for fallsikringen (b), og plasser to utsagn på konfliktens intensitetsnivåer (c).
3. Gå til Fjell: sorter hva som svekker Monas makt (d), regn hva kravet koster (e til g), og velg strategi (h).
4. Skriv rådet til Mona i i.</t>
  </si>
  <si>
    <t xml:space="preserve">a) Hvilken konflikttype er hver sak, etter bokas fire typer (16.6)? (velg i nedtrekksmenyen)</t>
  </si>
  <si>
    <t xml:space="preserve">Sak 1 Dokumentasjonen: papirarbeid eller en del av jobben?</t>
  </si>
  <si>
    <t xml:space="preserve">Sak 2 Montørene på fredag: responstid eller framdrift?</t>
  </si>
  <si>
    <t xml:space="preserve">Sak 3 Servicebilen: hvem får den første elbilen?</t>
  </si>
  <si>
    <t xml:space="preserve">Sak 4 Kalkylen: hvem skal regne på solcelleanleggene?</t>
  </si>
  <si>
    <t xml:space="preserve">b) Sak 5: en montør nekter å bruke fallsikring på taket. Hvilken strategi er riktig etter boka (16.7)?</t>
  </si>
  <si>
    <t xml:space="preserve">c) Hvilket intensitetsnivå (16.5) er hvert utsagn på?</t>
  </si>
  <si>
    <t xml:space="preserve">Uke 1, Tom i møtet: «Vi må bli enige om fredagene.»</t>
  </si>
  <si>
    <t xml:space="preserve">Uke 3, Tom til Kari: «Ronny tar alltid folka mine.»</t>
  </si>
  <si>
    <t xml:space="preserve">d) Ja eller nei: svekker dette Monas makt over montøren, etter bokas tre regler for makt og avhengighet (16.5)?</t>
  </si>
  <si>
    <t xml:space="preserve">Kjeden har tilbudt ham jobb</t>
  </si>
  <si>
    <t xml:space="preserve">Bransjen mangler fagarbeidere, og ingen søkte sist</t>
  </si>
  <si>
    <t xml:space="preserve">Han er den eneste i Fjell med solcellekurs</t>
  </si>
  <si>
    <t xml:space="preserve">Mona eier bedriften og er daglig leder</t>
  </si>
  <si>
    <t xml:space="preserve">Han bryr seg svært mye om lønna</t>
  </si>
  <si>
    <t xml:space="preserve">e) Hva koster lønnstillegget på 10 % per år, med 46,8 % sosiale kostnader? Lønn × 10 % × 1,468</t>
  </si>
  <si>
    <t xml:space="preserve">f) Hva koster det hvis begge montørene får 10 %?</t>
  </si>
  <si>
    <t xml:space="preserve">g) Tillegget for én montør i prosent av driftsresultatet første år (144 240 kr). Én desimal (skriv 57,0 for 57,0 %)</t>
  </si>
  <si>
    <t xml:space="preserve">h) Hvilken konflikthåndteringsstrategi passer best for Mona, etter bokas beskrivelse av når strategiene er naturlige (16.7)?</t>
  </si>
  <si>
    <t xml:space="preserve">i) Hva bør Mona gjøre med lønnskravet, og hvordan bør hun håndtere den andre montøren? Bruk tallene fra e til g og bokas begreper. Tre–fire setninger.</t>
  </si>
  <si>
    <t xml:space="preserve">Fasit, kapittel 16</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</si>
  <si>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</si>
  <si>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</si>
  <si>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</si>
  <si>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</si>
  <si>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Gruppene</t>
  </si>
  <si>
    <t xml:space="preserve">Formell: 1 Mona og montørene på jobb, 2 mandagsmøtet. Uformell: 3 fotballen, 6 lunsjen i bilen. Primærgruppe: 4 familien. Referansegruppe: 5 de andre installatørene i Oslo øst.</t>
  </si>
  <si>
    <t xml:space="preserve">1A Rolle eller norm</t>
  </si>
  <si>
    <t xml:space="preserve">Rolle: faglig ansvarlig. Skrevet norm: timeføringen i arbeidsavtalen. Uskreven norm: kaffen og at ingen går hjem før begge er ferdige.</t>
  </si>
  <si>
    <t xml:space="preserve">1A Den nye montøren</t>
  </si>
  <si>
    <t xml:space="preserve">Han har brutt en uskreven norm (kaffen) og er ikke tatt opp i den uformelle gruppen (lunsjen). Mona bør si normene høyt den første uka og la en montør ta ham med i bilen.</t>
  </si>
  <si>
    <t xml:space="preserve">1B a) Andel nye besøk</t>
  </si>
  <si>
    <t xml:space="preserve">9 / 105 × 100 = 8,6 %. Nesten ett av tolv besøk måtte gjøres to ganger</t>
  </si>
  <si>
    <t xml:space="preserve">1B b) Tapt fakturering</t>
  </si>
  <si>
    <t xml:space="preserve">9 × 3 × 890 = 24 030 kr i vårhalvåret. Hele året: 18 × 3 × 890 = 48 060 kr</t>
  </si>
  <si>
    <t xml:space="preserve">1B c) Leddet som sviktet</t>
  </si>
  <si>
    <t xml:space="preserve">Kodingen og mediet: Tom koder kort, og tekstmeldingen er enveis og indirekte (16.2)</t>
  </si>
  <si>
    <t xml:space="preserve">1B d) Tiltakene</t>
  </si>
  <si>
    <t xml:space="preserve">Ja på de tre første (systematisk tilbakemelding, kartlegging av informasjonsbehov, direkte kanal). Nei på samtaleloggen (begrens informasjonsmengden) og på «les bedre» (ledelsen har ansvaret)</t>
  </si>
  <si>
    <t xml:space="preserve">1B e) Mona på møtet</t>
  </si>
  <si>
    <t xml:space="preserve">Det nonverbale motsier det verbale, og det nonverbale trenger gjennom (16.2.1). Dobbeltkommunikasjon; hun mister troverdighet</t>
  </si>
  <si>
    <t xml:space="preserve">1B f) Mandagsmøtet</t>
  </si>
  <si>
    <t xml:space="preserve">3 × 0,5 × 46 × 890 = 61 410 kr i året (69 timer)</t>
  </si>
  <si>
    <t xml:space="preserve">1B g) Svaret til Tom</t>
  </si>
  <si>
    <t xml:space="preserve">Meldingen er enveis og indirekte, og Tom koder kort; feilen er like mye hos avsenderen og i mediet som hos mottakeren. Ledelsen har ansvaret (16.4). Tiltak: montøren bekrefter oppdraget før han kjører (systematisk tilbakemelding), innen fredag. 8,6 % av besøkene og 24 030 kr i halvåret</t>
  </si>
  <si>
    <t xml:space="preserve">1C a) Konflikttypene</t>
  </si>
  <si>
    <t xml:space="preserve">1 Dokumentasjonen: verdikonflikt (kan ha interessekonflikt om tid i bunnen). 2 Fredagene: målkonflikt. 3 Servicebilen: interessekonflikt. 4 Kalkylen: virkemiddelkonflikt</t>
  </si>
  <si>
    <t xml:space="preserve">1C b) Fallsikringen</t>
  </si>
  <si>
    <t xml:space="preserve">Konfrontasjon: saken er stor og viktig og må avgjøres raskt (16.7). En sikkerhetsregel deles ikke på halvveien</t>
  </si>
  <si>
    <t xml:space="preserve">1C c) Nivåene</t>
  </si>
  <si>
    <t xml:space="preserve">«Vi må bli enige om fredagene»: 2 uenighet. «Ronny tar alltid folka mine»: 3 følelsesmessig konflikt</t>
  </si>
  <si>
    <t xml:space="preserve">1C d) Monas makt</t>
  </si>
  <si>
    <t xml:space="preserve">Svekker: kjedens tilbud, mangelen på fagarbeidere, solcellekurset (regel 3 og motmakt). Svekker ikke: eierskapet (formell makt), at han ønsker godet sterkt (regel 2)</t>
  </si>
  <si>
    <t xml:space="preserve">1C e) Tillegget for én</t>
  </si>
  <si>
    <t xml:space="preserve">560 000 × 0,10 = 56 000. 56 000 × 1,468 = 82 208 kr per år</t>
  </si>
  <si>
    <t xml:space="preserve">1C f) Begge montørene</t>
  </si>
  <si>
    <t xml:space="preserve">2 × 82 208 = 164 416 kr, mer enn hele driftsresultatet på 144 240 kr</t>
  </si>
  <si>
    <t xml:space="preserve">1C g) Andel av driftsresultatet</t>
  </si>
  <si>
    <t xml:space="preserve">82 208 / 144 240 × 100 = 57,0 %</t>
  </si>
  <si>
    <t xml:space="preserve">1C h) Strategien</t>
  </si>
  <si>
    <t xml:space="preserve">Kompromiss: partene er noenlunde jevnbyrdige (16.7). Konfrontasjon er fellen; han kan gå</t>
  </si>
  <si>
    <t xml:space="preserve">1C i) Rådet til Mona</t>
  </si>
  <si>
    <t xml:space="preserve">Interessekonflikt med gjensidig avhengighet. Kompromiss: en del nå, resten knyttet til solcelleoppdragene. Et kriterium som er kjent for begge montørene (kompetanse, ansvar), sagt direkte til den andre. Begge 10 % er 164 416 kr, mer enn driftsresultatet</t>
  </si>
</sst>
</file>

<file path=xl/styles.xml><?xml version="1.0" encoding="utf-8"?>
<styleSheet xmlns="http://schemas.openxmlformats.org/spreadsheetml/2006/main">
  <numFmts count="3">
    <numFmt numFmtId="164" formatCode="General"/>
    <numFmt numFmtId="165" formatCode="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13</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60" hidden="false" customHeight="true" outlineLevel="0" collapsed="false">
      <c r="B5" s="8" t="s">
        <v>16</v>
      </c>
      <c r="C5" s="8"/>
      <c r="D5" s="8"/>
      <c r="E5" s="8"/>
      <c r="F5" s="8"/>
      <c r="G5" s="8"/>
    </row>
    <row r="6" customFormat="false" ht="15.75" hidden="false" customHeight="true" outlineLevel="0" collapsed="false">
      <c r="B6" s="7" t="s">
        <v>17</v>
      </c>
      <c r="C6" s="7"/>
      <c r="D6" s="7"/>
      <c r="E6" s="7"/>
      <c r="F6" s="7"/>
      <c r="G6" s="7"/>
    </row>
    <row r="7" customFormat="false" ht="60" hidden="false" customHeight="true" outlineLevel="0" collapsed="false">
      <c r="B7" s="8" t="s">
        <v>18</v>
      </c>
      <c r="C7" s="8"/>
      <c r="D7" s="8"/>
      <c r="E7" s="8"/>
      <c r="F7" s="8"/>
      <c r="G7" s="8"/>
    </row>
    <row r="9" customFormat="false" ht="15.75" hidden="false" customHeight="true" outlineLevel="0" collapsed="false">
      <c r="B9" s="7" t="s">
        <v>19</v>
      </c>
      <c r="C9" s="7"/>
      <c r="D9" s="7"/>
      <c r="E9" s="7"/>
      <c r="F9" s="7"/>
      <c r="G9" s="7"/>
    </row>
    <row r="10" customFormat="false" ht="60" hidden="false" customHeight="true" outlineLevel="0" collapsed="false">
      <c r="B10" s="8" t="s">
        <v>20</v>
      </c>
      <c r="C10" s="8"/>
      <c r="D10" s="8"/>
      <c r="E10" s="8"/>
      <c r="F10" s="8"/>
      <c r="G10" s="8"/>
    </row>
    <row r="12" customFormat="false" ht="15" hidden="false" customHeight="true" outlineLevel="0" collapsed="false">
      <c r="B12" s="9" t="s">
        <v>21</v>
      </c>
      <c r="C12" s="9"/>
      <c r="D12" s="9"/>
      <c r="E12" s="9"/>
      <c r="F12" s="9"/>
      <c r="G12" s="9"/>
    </row>
    <row r="13" customFormat="false" ht="39.75" hidden="false" customHeight="true" outlineLevel="0" collapsed="false">
      <c r="B13" s="10" t="s">
        <v>22</v>
      </c>
      <c r="C13" s="11"/>
      <c r="G13" s="12" t="str">
        <f aca="false">IF(C13="","Velg i nedtrekksmenyen.",IF(C13="Formell gruppe","Riktig. Målrettet, hver har en rolle, og det kreves fagbrev og faglig ansvarlig (16.1).","Ikke riktig. Målrettet, hver har en rolle, og det kreves fagbrev og faglig ansvarlig (16.1)."))</f>
        <v>Velg i nedtrekksmenyen.</v>
      </c>
    </row>
    <row r="14" customFormat="false" ht="39.75" hidden="false" customHeight="true" outlineLevel="0" collapsed="false">
      <c r="B14" s="10" t="s">
        <v>23</v>
      </c>
      <c r="C14" s="11"/>
      <c r="G14" s="12" t="str">
        <f aca="false">IF(C14="","Velg i nedtrekksmenyen.",IF(C14="Formell gruppe","Riktig. Satt sammen for en bestemt oppgave: planlegge uka (16.1).","Ikke riktig. Satt sammen for en bestemt oppgave: planlegge uka (16.1)."))</f>
        <v>Velg i nedtrekksmenyen.</v>
      </c>
    </row>
    <row r="15" customFormat="false" ht="39.75" hidden="false" customHeight="true" outlineLevel="0" collapsed="false">
      <c r="B15" s="10" t="s">
        <v>24</v>
      </c>
      <c r="C15" s="11"/>
      <c r="G15" s="12" t="str">
        <f aca="false">IF(C15="","Velg i nedtrekksmenyen.",IF(C15="Uformell gruppe","Riktig. Felles interesse og trivsel. Oppstår og oppløses uten videre (16.1).","Ikke riktig. Felles interesse og trivsel. Oppstår og oppløses uten videre (16.1)."))</f>
        <v>Velg i nedtrekksmenyen.</v>
      </c>
    </row>
    <row r="16" customFormat="false" ht="39.75" hidden="false" customHeight="true" outlineLevel="0" collapsed="false">
      <c r="B16" s="10" t="s">
        <v>25</v>
      </c>
      <c r="C16" s="11"/>
      <c r="G16" s="12" t="str">
        <f aca="false">IF(C16="","Velg i nedtrekksmenyen.",IF(C16="Primærgruppe","Riktig. Nære og personlige relasjoner, hyppig kontakt. Gruppen i seg selv er målet (16.1).","Ikke riktig. Nære og personlige relasjoner, hyppig kontakt. Gruppen i seg selv er målet (16.1)."))</f>
        <v>Velg i nedtrekksmenyen.</v>
      </c>
    </row>
    <row r="17" customFormat="false" ht="39.75" hidden="false" customHeight="true" outlineLevel="0" collapsed="false">
      <c r="B17" s="10" t="s">
        <v>26</v>
      </c>
      <c r="C17" s="11"/>
      <c r="G17" s="12" t="str">
        <f aca="false">IF(C17="","Velg i nedtrekksmenyen.",IF(C17="Referansegruppe","Riktig. En målestokk Fjell sammenlikner seg med uten å være medlem (16.1).","Ikke riktig. En målestokk Fjell sammenlikner seg med uten å være medlem (16.1)."))</f>
        <v>Velg i nedtrekksmenyen.</v>
      </c>
    </row>
    <row r="18" customFormat="false" ht="39.75" hidden="false" customHeight="true" outlineLevel="0" collapsed="false">
      <c r="B18" s="10" t="s">
        <v>27</v>
      </c>
      <c r="C18" s="11"/>
      <c r="G18" s="12" t="str">
        <f aca="false">IF(C18="","Velg i nedtrekksmenyen.",IF(C18="Uformell gruppe","Riktig. Ingen har bestemt hvem som er med; det er praktisk og sosialt (16.1). Slike grupper er ofte en rask informasjonskanal.","Ikke riktig. Ingen har bestemt hvem som er med; det er praktisk og sosialt (16.1). Slike grupper er ofte en rask informasjonskanal."))</f>
        <v>Velg i nedtrekksmenyen.</v>
      </c>
    </row>
    <row r="20" customFormat="false" ht="15.75" hidden="false" customHeight="true" outlineLevel="0" collapsed="false">
      <c r="B20" s="7" t="s">
        <v>28</v>
      </c>
      <c r="C20" s="7"/>
      <c r="D20" s="7"/>
      <c r="E20" s="7"/>
      <c r="F20" s="7"/>
      <c r="G20" s="7"/>
    </row>
    <row r="21" customFormat="false" ht="30" hidden="false" customHeight="true" outlineLevel="0" collapsed="false">
      <c r="B21" s="8" t="s">
        <v>29</v>
      </c>
      <c r="C21" s="8"/>
      <c r="D21" s="8"/>
      <c r="E21" s="8"/>
      <c r="F21" s="8"/>
      <c r="G21" s="8"/>
    </row>
    <row r="22" customFormat="false" ht="39.75" hidden="false" customHeight="true" outlineLevel="0" collapsed="false">
      <c r="B22" s="10" t="s">
        <v>30</v>
      </c>
      <c r="C22" s="11"/>
      <c r="G22" s="12" t="str">
        <f aca="false">IF(C22="","Velg i nedtrekksmenyen.",IF(C22="Rolle","Riktig. Krav og forventninger som følger stillingen: en rolle (16.1).","Ikke riktig. Krav og forventninger som følger stillingen: en rolle (16.1)."))</f>
        <v>Velg i nedtrekksmenyen.</v>
      </c>
    </row>
    <row r="23" customFormat="false" ht="39.75" hidden="false" customHeight="true" outlineLevel="0" collapsed="false">
      <c r="B23" s="10" t="s">
        <v>31</v>
      </c>
      <c r="C23" s="11"/>
      <c r="G23" s="12" t="str">
        <f aca="false">IF(C23="","Velg i nedtrekksmenyen.",IF(C23="Skrevet norm","Riktig. Nedskrevet og vedtatt: en skrevet norm, slik en stillingsinstruks er det (16.1).","Ikke riktig. Nedskrevet og vedtatt: en skrevet norm, slik en stillingsinstruks er det (16.1)."))</f>
        <v>Velg i nedtrekksmenyen.</v>
      </c>
    </row>
    <row r="24" customFormat="false" ht="39.75" hidden="false" customHeight="true" outlineLevel="0" collapsed="false">
      <c r="B24" s="10" t="s">
        <v>32</v>
      </c>
      <c r="C24" s="11"/>
      <c r="G24" s="12" t="str">
        <f aca="false">IF(C24="","Velg i nedtrekksmenyen.",IF(C24="Uskreven norm","Riktig. Står ingen steder, men alle følger den, og den nye får et skuldertrekk hvis han ikke gjør det (16.1).","Ikke riktig. Står ingen steder, men alle følger den, og den nye får et skuldertrekk hvis han ikke gjør det (16.1)."))</f>
        <v>Velg i nedtrekksmenyen.</v>
      </c>
    </row>
    <row r="25" customFormat="false" ht="39.75" hidden="false" customHeight="true" outlineLevel="0" collapsed="false">
      <c r="B25" s="10" t="s">
        <v>33</v>
      </c>
      <c r="C25" s="11"/>
      <c r="G25" s="12" t="str">
        <f aca="false">IF(C25="","Velg i nedtrekksmenyen.",IF(C25="Uskreven norm","Riktig. Uskreven regel for skikk og bruk. Brudd gir sanksjoner fra gruppen, ikke fra Mona (16.1).","Ikke riktig. Uskreven regel for skikk og bruk. Brudd gir sanksjoner fra gruppen, ikke fra Mona (16.1)."))</f>
        <v>Velg i nedtrekksmenyen.</v>
      </c>
    </row>
    <row r="27" customFormat="false" ht="45" hidden="false" customHeight="true" outlineLevel="0" collapsed="false">
      <c r="B27" s="8" t="s">
        <v>34</v>
      </c>
      <c r="C27" s="8"/>
      <c r="D27" s="8"/>
      <c r="E27" s="8"/>
      <c r="F27" s="8"/>
      <c r="G27" s="8"/>
    </row>
    <row r="28" customFormat="false" ht="21.75" hidden="false" customHeight="true" outlineLevel="0" collapsed="false">
      <c r="B28" s="13"/>
      <c r="C28" s="13"/>
      <c r="D28" s="13"/>
      <c r="E28" s="13"/>
      <c r="F28" s="13"/>
      <c r="G28" s="13"/>
    </row>
    <row r="29" customFormat="false" ht="21.75" hidden="false" customHeight="true" outlineLevel="0" collapsed="false">
      <c r="B29" s="13"/>
      <c r="C29" s="13"/>
      <c r="D29" s="13"/>
      <c r="E29" s="13"/>
      <c r="F29" s="13"/>
      <c r="G29" s="13"/>
    </row>
    <row r="30" customFormat="false" ht="21.75" hidden="false" customHeight="true" outlineLevel="0" collapsed="false">
      <c r="B30" s="13"/>
      <c r="C30" s="13"/>
      <c r="D30" s="13"/>
      <c r="E30" s="13"/>
      <c r="F30" s="13"/>
      <c r="G30" s="13"/>
    </row>
    <row r="31" customFormat="false" ht="39.75" hidden="false" customHeight="true" outlineLevel="0" collapsed="false">
      <c r="B31" s="14" t="str">
        <f aca="false">IF(LEN(B28)&lt;40,"",IF(AND(ISNUMBER(SEARCH("norm",B28)),ISNUMBER(SEARCH("uformell",B28))),"Bra: du bruker både norm og uformell gruppe. De uskrevne reglene styrer mye av arbeidsdagen, og ingen forteller dem til den nye fordi alle andre synes de er selvsagte. Mona bør si dem høyt.",IF(OR(ISNUMBER(SEARCH("norm",B28)),ISNUMBER(SEARCH("uformell",B28))),"Du er på sporet. Si også hva slags regel kaffen er (en uskreven norm), og hvilken gruppe lunsjen i bilen er (uformell).","Tips: kaffen er en uskreven norm; brudd gir sanksjoner (skuldertrekket). Lunsjen er en uformell gruppe han ikke er tatt opp i ennå. Mona bør si normene høyt den første uka, og la en av montørene ta ham med i bilen.")))</f>
        <v/>
      </c>
      <c r="C31" s="14"/>
      <c r="D31" s="14"/>
      <c r="E31" s="14"/>
      <c r="F31" s="14"/>
      <c r="G31" s="14"/>
    </row>
    <row r="32" customFormat="false" ht="15" hidden="false" customHeight="false" outlineLevel="0" collapsed="false">
      <c r="B32" s="15" t="s">
        <v>35</v>
      </c>
      <c r="C32" s="11"/>
    </row>
    <row r="33" customFormat="false" ht="45" hidden="false" customHeight="true" outlineLevel="0" collapsed="false">
      <c r="B33" s="16" t="str">
        <f aca="false">IF(C32="JA","Hint: Still bokas spørsmål: er gruppen satt sammen for en oppgave (formell), for trivsel (uformell), er det familien (primær), eller noen Fjell måler seg mot (referanse)? For reglene: følger kravet stillingen (rolle), er det skrevet ned (skrevet norm), eller er det bare noe alle vet (uskreven norm)?","")</f>
        <v/>
      </c>
      <c r="C33" s="16"/>
      <c r="D33" s="16"/>
      <c r="E33" s="16"/>
      <c r="F33" s="16"/>
      <c r="G33" s="16"/>
    </row>
    <row r="35" customFormat="false" ht="30" hidden="false" customHeight="true" outlineLevel="0" collapsed="false">
      <c r="B35" s="6" t="s">
        <v>36</v>
      </c>
      <c r="C35" s="6"/>
      <c r="D35" s="6"/>
      <c r="E35" s="6"/>
      <c r="F35" s="6"/>
      <c r="G35" s="6"/>
    </row>
  </sheetData>
  <mergeCells count="16">
    <mergeCell ref="B2:G2"/>
    <mergeCell ref="B3:G3"/>
    <mergeCell ref="B4:G4"/>
    <mergeCell ref="B5:G5"/>
    <mergeCell ref="B6:G6"/>
    <mergeCell ref="B7:G7"/>
    <mergeCell ref="B9:G9"/>
    <mergeCell ref="B10:G10"/>
    <mergeCell ref="B12:G12"/>
    <mergeCell ref="B20:G20"/>
    <mergeCell ref="B21:G21"/>
    <mergeCell ref="B27:G27"/>
    <mergeCell ref="B28:G30"/>
    <mergeCell ref="B31:G31"/>
    <mergeCell ref="B33:G33"/>
    <mergeCell ref="B35:G35"/>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LEFT(G23,4)="Ikke"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LEFT(G24,4)="Ikke"</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LEFT(G25,4)="Ikke"</formula>
    </cfRule>
  </conditionalFormatting>
  <dataValidations count="11">
    <dataValidation allowBlank="true" errorStyle="stop" operator="between" showDropDown="false" showErrorMessage="false" showInputMessage="false" sqref="C13" type="list">
      <formula1>"Formell gruppe,Uformell gruppe,Primærgruppe,Referansegruppe"</formula1>
      <formula2>0</formula2>
    </dataValidation>
    <dataValidation allowBlank="true" errorStyle="stop" operator="between" showDropDown="false" showErrorMessage="false" showInputMessage="false" sqref="C14" type="list">
      <formula1>"Formell gruppe,Uformell gruppe,Primærgruppe,Referansegruppe"</formula1>
      <formula2>0</formula2>
    </dataValidation>
    <dataValidation allowBlank="true" errorStyle="stop" operator="between" showDropDown="false" showErrorMessage="false" showInputMessage="false" sqref="C15" type="list">
      <formula1>"Formell gruppe,Uformell gruppe,Primærgruppe,Referansegruppe"</formula1>
      <formula2>0</formula2>
    </dataValidation>
    <dataValidation allowBlank="true" errorStyle="stop" operator="between" showDropDown="false" showErrorMessage="false" showInputMessage="false" sqref="C16" type="list">
      <formula1>"Formell gruppe,Uformell gruppe,Primærgruppe,Referansegruppe"</formula1>
      <formula2>0</formula2>
    </dataValidation>
    <dataValidation allowBlank="true" errorStyle="stop" operator="between" showDropDown="false" showErrorMessage="false" showInputMessage="false" sqref="C17" type="list">
      <formula1>"Formell gruppe,Uformell gruppe,Primærgruppe,Referansegruppe"</formula1>
      <formula2>0</formula2>
    </dataValidation>
    <dataValidation allowBlank="true" errorStyle="stop" operator="between" showDropDown="false" showErrorMessage="false" showInputMessage="false" sqref="C18" type="list">
      <formula1>"Formell gruppe,Uformell gruppe,Primærgruppe,Referansegruppe"</formula1>
      <formula2>0</formula2>
    </dataValidation>
    <dataValidation allowBlank="true" errorStyle="stop" operator="between" showDropDown="false" showErrorMessage="false" showInputMessage="false" sqref="C22" type="list">
      <formula1>"Rolle,Skrevet norm,Uskreven norm"</formula1>
      <formula2>0</formula2>
    </dataValidation>
    <dataValidation allowBlank="true" errorStyle="stop" operator="between" showDropDown="false" showErrorMessage="false" showInputMessage="false" sqref="C23" type="list">
      <formula1>"Rolle,Skrevet norm,Uskreven norm"</formula1>
      <formula2>0</formula2>
    </dataValidation>
    <dataValidation allowBlank="true" errorStyle="stop" operator="between" showDropDown="false" showErrorMessage="false" showInputMessage="false" sqref="C24" type="list">
      <formula1>"Rolle,Skrevet norm,Uskreven norm"</formula1>
      <formula2>0</formula2>
    </dataValidation>
    <dataValidation allowBlank="true" errorStyle="stop" operator="between" showDropDown="false" showErrorMessage="false" showInputMessage="false" sqref="C25" type="list">
      <formula1>"Rolle,Skrevet norm,Uskreven norm"</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37</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90" hidden="false" customHeight="true" outlineLevel="0" collapsed="false">
      <c r="B5" s="8" t="s">
        <v>38</v>
      </c>
      <c r="C5" s="8"/>
      <c r="D5" s="8"/>
      <c r="E5" s="8"/>
      <c r="F5" s="8"/>
      <c r="G5" s="8"/>
    </row>
    <row r="6" customFormat="false" ht="15.75" hidden="false" customHeight="true" outlineLevel="0" collapsed="false">
      <c r="B6" s="7" t="s">
        <v>17</v>
      </c>
      <c r="C6" s="7"/>
      <c r="D6" s="7"/>
      <c r="E6" s="7"/>
      <c r="F6" s="7"/>
      <c r="G6" s="7"/>
    </row>
    <row r="7" customFormat="false" ht="75" hidden="false" customHeight="true" outlineLevel="0" collapsed="false">
      <c r="B7" s="8" t="s">
        <v>39</v>
      </c>
      <c r="C7" s="8"/>
      <c r="D7" s="8"/>
      <c r="E7" s="8"/>
      <c r="F7" s="8"/>
      <c r="G7" s="8"/>
    </row>
    <row r="9" customFormat="false" ht="15.75" hidden="false" customHeight="true" outlineLevel="0" collapsed="false">
      <c r="B9" s="7" t="s">
        <v>40</v>
      </c>
      <c r="C9" s="7"/>
      <c r="D9" s="7"/>
      <c r="E9" s="7"/>
      <c r="F9" s="7"/>
      <c r="G9" s="7"/>
    </row>
    <row r="10" customFormat="false" ht="60" hidden="false" customHeight="true" outlineLevel="0" collapsed="false">
      <c r="B10" s="8" t="s">
        <v>41</v>
      </c>
      <c r="C10" s="8"/>
      <c r="D10" s="8"/>
      <c r="E10" s="8"/>
      <c r="F10" s="8"/>
      <c r="G10" s="8"/>
    </row>
    <row r="11" customFormat="false" ht="15" hidden="false" customHeight="false" outlineLevel="0" collapsed="false">
      <c r="B11" s="17" t="s">
        <v>42</v>
      </c>
      <c r="C11" s="18" t="s">
        <v>43</v>
      </c>
      <c r="D11" s="18" t="s">
        <v>44</v>
      </c>
    </row>
    <row r="12" customFormat="false" ht="15" hidden="false" customHeight="false" outlineLevel="0" collapsed="false">
      <c r="B12" s="19" t="s">
        <v>45</v>
      </c>
      <c r="C12" s="20" t="n">
        <v>105</v>
      </c>
      <c r="D12" s="20" t="n">
        <v>46</v>
      </c>
    </row>
    <row r="13" customFormat="false" ht="15" hidden="false" customHeight="false" outlineLevel="0" collapsed="false">
      <c r="B13" s="19" t="s">
        <v>46</v>
      </c>
      <c r="C13" s="20" t="n">
        <v>9</v>
      </c>
      <c r="D13" s="20" t="n">
        <v>3</v>
      </c>
    </row>
    <row r="14" customFormat="false" ht="15" hidden="false" customHeight="false" outlineLevel="0" collapsed="false">
      <c r="B14" s="19" t="s">
        <v>47</v>
      </c>
      <c r="C14" s="20" t="n">
        <v>3</v>
      </c>
      <c r="D14" s="20" t="n">
        <v>0.5</v>
      </c>
    </row>
    <row r="15" customFormat="false" ht="15" hidden="false" customHeight="false" outlineLevel="0" collapsed="false">
      <c r="B15" s="19" t="s">
        <v>48</v>
      </c>
      <c r="C15" s="20" t="n">
        <v>890</v>
      </c>
      <c r="D15" s="20" t="n">
        <v>890</v>
      </c>
    </row>
    <row r="17" customFormat="false" ht="15.75" hidden="false" customHeight="true" outlineLevel="0" collapsed="false">
      <c r="B17" s="7" t="s">
        <v>49</v>
      </c>
      <c r="C17" s="7"/>
      <c r="D17" s="7"/>
      <c r="E17" s="7"/>
      <c r="F17" s="7"/>
      <c r="G17" s="7"/>
    </row>
    <row r="18" customFormat="false" ht="45" hidden="false" customHeight="true" outlineLevel="0" collapsed="false">
      <c r="B18" s="8" t="s">
        <v>50</v>
      </c>
      <c r="C18" s="8"/>
      <c r="D18" s="8"/>
      <c r="E18" s="8"/>
      <c r="F18" s="8"/>
      <c r="G18" s="8"/>
    </row>
    <row r="20" customFormat="false" ht="43.5" hidden="false" customHeight="true" outlineLevel="0" collapsed="false">
      <c r="B20" s="10" t="s">
        <v>51</v>
      </c>
      <c r="C20" s="21"/>
      <c r="D20" s="22" t="s">
        <v>52</v>
      </c>
      <c r="G20" s="12" t="str">
        <f aca="false">IF(C20="","Skriv svaret i den gule cellen.",IF(ABS(C20-(ROUND(9/105*100,1)))&lt;=0.05,"Riktig.",IF(ABS(C20-(ROUND(9/96*100,1)))&lt;=0.05,"Du har delt på de 96 som gikk bra. Del på alle 105 besøkene.",IF(ABS(C20-(ROUND(9/105,3)))&lt;=0.05,"Du har brøken. Gang med 100 for å få prosent, og svar med én desimal.",IF(ABS(C20-(ROUND(105/9,1)))&lt;=0.05,"Du har delt feil vei. Det er 9 av 105, ikke 105 av 9.","Ikke riktig ennå. Se på regnestykket øverst på fanen, og sjekk at du har med alle leddene.")))))</f>
        <v>Skriv svaret i den gule cellen.</v>
      </c>
    </row>
    <row r="21" customFormat="false" ht="43.5" hidden="false" customHeight="true" outlineLevel="0" collapsed="false">
      <c r="B21" s="10" t="s">
        <v>53</v>
      </c>
      <c r="C21" s="23"/>
      <c r="D21" s="22" t="s">
        <v>54</v>
      </c>
      <c r="G21" s="12" t="str">
        <f aca="false">IF(C21="","Skriv svaret i den gule cellen.",IF(C21=(9*3*890),"Riktig.",IF(ABS(C21-(9*890))&lt;=0,"Du har glemt timene. Hvert nytt besøk tok 3 montørtimer.",IF(ABS(C21-(9*3*890*2))&lt;=0,"Det er for hele året (18 besøk). Oppgaven spør om vårhalvåret.",IF(ABS(C21-(105*3*890))&lt;=0,"Du har regnet alle 105 besøkene. Bare de 9 nye besøkene er tapt fakturering.","Ikke riktig ennå. Se på regnestykket øverst på fanen, og sjekk at du har med alle leddene.")))))</f>
        <v>Skriv svaret i den gule cellen.</v>
      </c>
    </row>
    <row r="23" customFormat="false" ht="39.75" hidden="false" customHeight="true" outlineLevel="0" collapsed="false">
      <c r="B23" s="10" t="s">
        <v>55</v>
      </c>
      <c r="C23" s="11"/>
      <c r="G23" s="12" t="str">
        <f aca="false">IF(C23="","Velg i nedtrekksmenyen.",IF(C23="Kodingen og mediet: Tom koder kort, og en tekstmelding er enveis og indirekte","Riktig. Tom koder det kunden sa om til noen få ord, og mediet er en enveis og indirekte tekstmelding (16.2). Direkte og toveis kommunikasjon gir mulighet til å utdype og oppklare; en melding kvelden før gir ingen av delene. Ingenting i saken tyder på støy eller antipatier.","Ikke riktig. Tom koder det kunden sa om til noen få ord, og mediet er en enveis og indirekte tekstmelding (16.2). Direkte og toveis kommunikasjon gir mulighet til å utdype og oppklare; en melding kvelden før gir ingen av delene. Ingenting i saken tyder på støy eller antipatier."))</f>
        <v>Velg i nedtrekksmenyen.</v>
      </c>
    </row>
    <row r="25" customFormat="false" ht="15" hidden="false" customHeight="true" outlineLevel="0" collapsed="false">
      <c r="B25" s="9" t="s">
        <v>56</v>
      </c>
      <c r="C25" s="9"/>
      <c r="D25" s="9"/>
      <c r="E25" s="9"/>
      <c r="F25" s="9"/>
      <c r="G25" s="9"/>
    </row>
    <row r="26" customFormat="false" ht="39.75" hidden="false" customHeight="true" outlineLevel="0" collapsed="false">
      <c r="B26" s="10" t="s">
        <v>57</v>
      </c>
      <c r="C26" s="11"/>
      <c r="G26" s="12" t="str">
        <f aca="false">IF(C26="","Velg i nedtrekksmenyen.",IF(C26="Ja","Riktig. Systematisk tilbakemelding: mottakeren bekrefter at budskapet er forstått (16.4).","Ikke riktig. Systematisk tilbakemelding: mottakeren bekrefter at budskapet er forstått (16.4)."))</f>
        <v>Velg i nedtrekksmenyen.</v>
      </c>
    </row>
    <row r="27" customFormat="false" ht="39.75" hidden="false" customHeight="true" outlineLevel="0" collapsed="false">
      <c r="B27" s="10" t="s">
        <v>58</v>
      </c>
      <c r="C27" s="11"/>
      <c r="G27" s="12" t="str">
        <f aca="false">IF(C27="","Velg i nedtrekksmenyen.",IF(C27="Ja","Riktig. Kartlegging av informasjonsbehovet: hvem trenger hva, og når (16.4).","Ikke riktig. Kartlegging av informasjonsbehovet: hvem trenger hva, og når (16.4)."))</f>
        <v>Velg i nedtrekksmenyen.</v>
      </c>
    </row>
    <row r="28" customFormat="false" ht="39.75" hidden="false" customHeight="true" outlineLevel="0" collapsed="false">
      <c r="B28" s="10" t="s">
        <v>59</v>
      </c>
      <c r="C28" s="11"/>
      <c r="G28" s="12" t="str">
        <f aca="false">IF(C28="","Velg i nedtrekksmenyen.",IF(C28="Ja","Riktig. Direkte og toveis kanal der det trengs; budskap og medium tilpasset hverandre (16.2).","Ikke riktig. Direkte og toveis kanal der det trengs; budskap og medium tilpasset hverandre (16.2)."))</f>
        <v>Velg i nedtrekksmenyen.</v>
      </c>
    </row>
    <row r="29" customFormat="false" ht="39.75" hidden="false" customHeight="true" outlineLevel="0" collapsed="false">
      <c r="B29" s="10" t="s">
        <v>60</v>
      </c>
      <c r="C29" s="11"/>
      <c r="G29" s="12" t="str">
        <f aca="false">IF(C29="","Velg i nedtrekksmenyen.",IF(C29="Nei","Riktig. Boka sier begrens informasjonsmengden; irrelevant informasjon gjør det viktige vanskeligere å se (16.4).","Ikke riktig. Boka sier begrens informasjonsmengden; irrelevant informasjon gjør det viktige vanskeligere å se (16.4)."))</f>
        <v>Velg i nedtrekksmenyen.</v>
      </c>
    </row>
    <row r="30" customFormat="false" ht="39.75" hidden="false" customHeight="true" outlineLevel="0" collapsed="false">
      <c r="B30" s="10" t="s">
        <v>61</v>
      </c>
      <c r="C30" s="11"/>
      <c r="G30" s="12" t="str">
        <f aca="false">IF(C30="","Velg i nedtrekksmenyen.",IF(C30="Nei","Riktig. Ledelsen har særlig ansvar for at informasjonen når fram (16.4). Tiltaket legger alt på mottakeren og retter ikke kanalen.","Ikke riktig. Ledelsen har særlig ansvar for at informasjonen når fram (16.4). Tiltaket legger alt på mottakeren og retter ikke kanalen."))</f>
        <v>Velg i nedtrekksmenyen.</v>
      </c>
    </row>
    <row r="32" customFormat="false" ht="39.75" hidden="false" customHeight="true" outlineLevel="0" collapsed="false">
      <c r="B32" s="10" t="s">
        <v>62</v>
      </c>
      <c r="C32" s="11"/>
      <c r="G32" s="12" t="str">
        <f aca="false">IF(C32="","Velg i nedtrekksmenyen.",IF(C32="Det nonverbale motsier det verbale, og det nonverbale trenger gjennom","Riktig. Det verbale og det nonverbale stemmer ikke, og da er det stor sannsynlighet for at det nonverbale trenger gjennom (16.2.1). Montørene hører «døra er åpen», men ser at hun ikke har tid. Avsenderen står i fare for å miste troverdighet; motsetningen er én form for dobbeltkommunikasjon.","Ikke riktig. Det verbale og det nonverbale stemmer ikke, og da er det stor sannsynlighet for at det nonverbale trenger gjennom (16.2.1). Montørene hører «døra er åpen», men ser at hun ikke har tid. Avsenderen står i fare for å miste troverdighet; motsetningen er én form for dobbeltkommunikasjon."))</f>
        <v>Velg i nedtrekksmenyen.</v>
      </c>
    </row>
    <row r="33" customFormat="false" ht="43.5" hidden="false" customHeight="true" outlineLevel="0" collapsed="false">
      <c r="B33" s="10" t="s">
        <v>63</v>
      </c>
      <c r="C33" s="23"/>
      <c r="D33" s="22" t="s">
        <v>54</v>
      </c>
      <c r="G33" s="12" t="str">
        <f aca="false">IF(C33="","Skriv svaret i den gule cellen.",IF(C33=(3*0.5*46*890),"Riktig.",IF(ABS(C33-(0.5*46*890))&lt;=0,"Du har regnet bare én person. Alle tre sitter i møtet.",IF(ABS(C33-(3*46*890))&lt;=0,"Du har regnet en hel time per møte. Møtet tar 30 minutter, altså 0,5 time.",IF(ABS(C33-(3*0.5*52*890))&lt;=0,"Du har brukt 52 uker. Fjell har 46 arbeidsuker i året.","Ikke riktig ennå. Se på regnestykket øverst på fanen, og sjekk at du har med alle leddene.")))))</f>
        <v>Skriv svaret i den gule cellen.</v>
      </c>
    </row>
    <row r="35" customFormat="false" ht="30" hidden="false" customHeight="true" outlineLevel="0" collapsed="false">
      <c r="B35" s="8" t="s">
        <v>64</v>
      </c>
      <c r="C35" s="8"/>
      <c r="D35" s="8"/>
      <c r="E35" s="8"/>
      <c r="F35" s="8"/>
      <c r="G35" s="8"/>
    </row>
    <row r="36" customFormat="false" ht="21.75" hidden="false" customHeight="true" outlineLevel="0" collapsed="false">
      <c r="B36" s="13"/>
      <c r="C36" s="13"/>
      <c r="D36" s="13"/>
      <c r="E36" s="13"/>
      <c r="F36" s="13"/>
      <c r="G36" s="13"/>
    </row>
    <row r="37" customFormat="false" ht="21.75" hidden="false" customHeight="true" outlineLevel="0" collapsed="false">
      <c r="B37" s="13"/>
      <c r="C37" s="13"/>
      <c r="D37" s="13"/>
      <c r="E37" s="13"/>
      <c r="F37" s="13"/>
      <c r="G37" s="13"/>
    </row>
    <row r="38" customFormat="false" ht="21.75" hidden="false" customHeight="true" outlineLevel="0" collapsed="false">
      <c r="B38" s="13"/>
      <c r="C38" s="13"/>
      <c r="D38" s="13"/>
      <c r="E38" s="13"/>
      <c r="F38" s="13"/>
      <c r="G38" s="13"/>
    </row>
    <row r="39" customFormat="false" ht="39.75" hidden="false" customHeight="true" outlineLevel="0" collapsed="false">
      <c r="B39" s="14" t="str">
        <f aca="false">IF(LEN(B36)&lt;40,"",IF(AND(ISNUMBER(SEARCH("enveis",B36)),ISNUMBER(SEARCH("tilbakemelding",B36))),"Bra: du peker på at meldingen er enveis, og foreslår systematisk tilbakemelding. Sjekk at tiltaket har navn, handling og frist, og at du har med et tall (8,6 % eller 24 030 kr).",IF(OR(ISNUMBER(SEARCH("enveis",B36)),ISNUMBER(SEARCH("tilbakemelding",B36))),"Du har med noe av det. Si også at en tekstmelding kvelden før er enveis og indirekte, og foreslå at montøren bekrefter oppdraget (systematisk tilbakemelding).","Tips: Tom peker på mottakeren (selektiv, dårlig lytter). Like sannsynlig er feilen hos avsenderen (kort og vagt) og i mediet: meldingen er enveis og indirekte. Ledelsen har ansvaret for at informasjonen når fram. Tiltak: montøren bekrefter oppdraget før han kjører (systematisk tilbakemelding), innført innen fredag. 24 030 kr i halvåret er prisen for å la være.")))</f>
        <v/>
      </c>
      <c r="C39" s="14"/>
      <c r="D39" s="14"/>
      <c r="E39" s="14"/>
      <c r="F39" s="14"/>
      <c r="G39" s="14"/>
    </row>
    <row r="40" customFormat="false" ht="15" hidden="false" customHeight="false" outlineLevel="0" collapsed="false">
      <c r="B40" s="15" t="s">
        <v>35</v>
      </c>
      <c r="C40" s="11"/>
    </row>
    <row r="41" customFormat="false" ht="45" hidden="false" customHeight="true" outlineLevel="0" collapsed="false">
      <c r="B41" s="16" t="str">
        <f aca="false">IF(C40="JA","Hint: a: 9 / 105 × 100 = 8,6 %. b: 9 × 3 × 890 = 24 030 kr. c: Tom koder, meldingen er mediet, montøren dekoder; kan montøren spørre kvelden før? f: 3 personer × 0,5 timer × 46 uker × 890 kr = 61 410 kr. For d: les tiltakene i 16.4; for e: hva sier Mona med ord, og hva sier hun med mobilen og ved å reise seg?","")</f>
        <v/>
      </c>
      <c r="C41" s="16"/>
      <c r="D41" s="16"/>
      <c r="E41" s="16"/>
      <c r="F41" s="16"/>
      <c r="G41" s="16"/>
    </row>
    <row r="43" customFormat="false" ht="30" hidden="false" customHeight="true" outlineLevel="0" collapsed="false">
      <c r="B43" s="6" t="s">
        <v>36</v>
      </c>
      <c r="C43" s="6"/>
      <c r="D43" s="6"/>
      <c r="E43" s="6"/>
      <c r="F43" s="6"/>
      <c r="G43" s="6"/>
    </row>
  </sheetData>
  <mergeCells count="16">
    <mergeCell ref="B2:G2"/>
    <mergeCell ref="B3:G3"/>
    <mergeCell ref="B4:G4"/>
    <mergeCell ref="B5:G5"/>
    <mergeCell ref="B6:G6"/>
    <mergeCell ref="B7:G7"/>
    <mergeCell ref="B9:G9"/>
    <mergeCell ref="B10:G10"/>
    <mergeCell ref="B17:G17"/>
    <mergeCell ref="B18:G18"/>
    <mergeCell ref="B25:G25"/>
    <mergeCell ref="B35:G35"/>
    <mergeCell ref="B36:G38"/>
    <mergeCell ref="B39:G39"/>
    <mergeCell ref="B41:G41"/>
    <mergeCell ref="B43:G43"/>
  </mergeCells>
  <conditionalFormatting sqref="G20">
    <cfRule type="expression" priority="2" aboveAverage="0" equalAverage="0" bottom="0" percent="0" rank="0" text="" dxfId="0">
      <formula>LEFT(G20,6)="Riktig"</formula>
    </cfRule>
    <cfRule type="expression" priority="3" aboveAverage="0" equalAverage="0" bottom="0" percent="0" rank="0" text="" dxfId="1">
      <formula>AND(G20&lt;&gt;"",LEFT(G20,6)&lt;&gt;"Riktig",LEFT(G20,5)&lt;&gt;"Skriv")</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AND(G21&lt;&gt;"",LEFT(G21,6)&lt;&gt;"Riktig",LEFT(G21,5)&lt;&gt;"Skriv")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LEFT(G26,4)="Ikke"</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LEFT(G27,4)="Ikke"</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LEFT(G28,4)="Ikke"</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LEFT(G29,4)="Ikke"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conditionalFormatting sqref="G33">
    <cfRule type="expression" priority="20" aboveAverage="0" equalAverage="0" bottom="0" percent="0" rank="0" text="" dxfId="0">
      <formula>LEFT(G33,6)="Riktig"</formula>
    </cfRule>
    <cfRule type="expression" priority="21" aboveAverage="0" equalAverage="0" bottom="0" percent="0" rank="0" text="" dxfId="1">
      <formula>AND(G33&lt;&gt;"",LEFT(G33,6)&lt;&gt;"Riktig",LEFT(G33,5)&lt;&gt;"Skriv")</formula>
    </cfRule>
  </conditionalFormatting>
  <dataValidations count="8">
    <dataValidation allowBlank="true" errorStyle="stop" operator="between" showDropDown="false" showErrorMessage="false" showInputMessage="false" sqref="C23" type="list">
      <formula1>"Fysisk støy: montøren leste meldingen i bilen,Kodingen og mediet: Tom koder kort,og en tekstmelding er enveis og indirekte,Mottakeren: montørene har antipatier mot Tom"</formula1>
      <formula2>0</formula2>
    </dataValidation>
    <dataValidation allowBlank="true" errorStyle="stop" operator="between" showDropDown="false" showErrorMessage="false" showInputMessage="false" sqref="C26" type="list">
      <formula1>"Ja,Nei"</formula1>
      <formula2>0</formula2>
    </dataValidation>
    <dataValidation allowBlank="true" errorStyle="stop" operator="between" showDropDown="false" showErrorMessage="false" showInputMessage="false" sqref="C27" type="list">
      <formula1>"Ja,Nei"</formula1>
      <formula2>0</formula2>
    </dataValidation>
    <dataValidation allowBlank="true" errorStyle="stop" operator="between" showDropDown="false" showErrorMessage="false" showInputMessage="false" sqref="C28" type="list">
      <formula1>"Ja,Nei"</formula1>
      <formula2>0</formula2>
    </dataValidation>
    <dataValidation allowBlank="true" errorStyle="stop" operator="between" showDropDown="false" showErrorMessage="false" showInputMessage="false" sqref="C29" type="list">
      <formula1>"Ja,Nei"</formula1>
      <formula2>0</formula2>
    </dataValidation>
    <dataValidation allowBlank="true" errorStyle="stop" operator="between" showDropDown="false" showErrorMessage="false" showInputMessage="false" sqref="C30" type="list">
      <formula1>"Ja,Nei"</formula1>
      <formula2>0</formula2>
    </dataValidation>
    <dataValidation allowBlank="true" errorStyle="stop" operator="between" showDropDown="false" showErrorMessage="false" showInputMessage="false" sqref="C32" type="list">
      <formula1>"Fysisk støy: mobilen forstyrrer budskapet,Det nonverbale motsier det verbale,og det nonverbale trenger gjennom,Formell kommunikasjon: møtet er saksorientert,så det er riktig"</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65</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45" hidden="false" customHeight="true" outlineLevel="0" collapsed="false">
      <c r="B5" s="8" t="s">
        <v>66</v>
      </c>
      <c r="C5" s="8"/>
      <c r="D5" s="8"/>
      <c r="E5" s="8"/>
      <c r="F5" s="8"/>
      <c r="G5" s="8"/>
    </row>
    <row r="6" customFormat="false" ht="15.75" hidden="false" customHeight="true" outlineLevel="0" collapsed="false">
      <c r="B6" s="7" t="s">
        <v>17</v>
      </c>
      <c r="C6" s="7"/>
      <c r="D6" s="7"/>
      <c r="E6" s="7"/>
      <c r="F6" s="7"/>
      <c r="G6" s="7"/>
    </row>
    <row r="7" customFormat="false" ht="75" hidden="false" customHeight="true" outlineLevel="0" collapsed="false">
      <c r="B7" s="8" t="s">
        <v>67</v>
      </c>
      <c r="C7" s="8"/>
      <c r="D7" s="8"/>
      <c r="E7" s="8"/>
      <c r="F7" s="8"/>
      <c r="G7" s="8"/>
    </row>
    <row r="9" customFormat="false" ht="15.75" hidden="false" customHeight="true" outlineLevel="0" collapsed="false">
      <c r="B9" s="7" t="s">
        <v>68</v>
      </c>
      <c r="C9" s="7"/>
      <c r="D9" s="7"/>
      <c r="E9" s="7"/>
      <c r="F9" s="7"/>
      <c r="G9" s="7"/>
    </row>
    <row r="10" customFormat="false" ht="90" hidden="false" customHeight="true" outlineLevel="0" collapsed="false">
      <c r="B10" s="8" t="s">
        <v>69</v>
      </c>
      <c r="C10" s="8"/>
      <c r="D10" s="8"/>
      <c r="E10" s="8"/>
      <c r="F10" s="8"/>
      <c r="G10" s="8"/>
    </row>
    <row r="11" customFormat="false" ht="15.75" hidden="false" customHeight="true" outlineLevel="0" collapsed="false">
      <c r="B11" s="7" t="s">
        <v>70</v>
      </c>
      <c r="C11" s="7"/>
      <c r="D11" s="7"/>
      <c r="E11" s="7"/>
      <c r="F11" s="7"/>
      <c r="G11" s="7"/>
    </row>
    <row r="12" customFormat="false" ht="60" hidden="false" customHeight="true" outlineLevel="0" collapsed="false">
      <c r="B12" s="8" t="s">
        <v>71</v>
      </c>
      <c r="C12" s="8"/>
      <c r="D12" s="8"/>
      <c r="E12" s="8"/>
      <c r="F12" s="8"/>
      <c r="G12" s="8"/>
    </row>
    <row r="13" customFormat="false" ht="15" hidden="false" customHeight="false" outlineLevel="0" collapsed="false">
      <c r="B13" s="17" t="s">
        <v>42</v>
      </c>
      <c r="C13" s="18" t="s">
        <v>72</v>
      </c>
    </row>
    <row r="14" customFormat="false" ht="15" hidden="false" customHeight="false" outlineLevel="0" collapsed="false">
      <c r="B14" s="19" t="s">
        <v>73</v>
      </c>
      <c r="C14" s="20" t="n">
        <v>560000</v>
      </c>
    </row>
    <row r="15" customFormat="false" ht="15" hidden="false" customHeight="false" outlineLevel="0" collapsed="false">
      <c r="B15" s="19" t="s">
        <v>74</v>
      </c>
      <c r="C15" s="20" t="n">
        <v>46.8</v>
      </c>
    </row>
    <row r="16" customFormat="false" ht="15" hidden="false" customHeight="false" outlineLevel="0" collapsed="false">
      <c r="B16" s="19" t="s">
        <v>75</v>
      </c>
      <c r="C16" s="20" t="n">
        <v>144240</v>
      </c>
    </row>
    <row r="17" customFormat="false" ht="15" hidden="false" customHeight="false" outlineLevel="0" collapsed="false">
      <c r="B17" s="19" t="s">
        <v>76</v>
      </c>
      <c r="C17" s="20" t="n">
        <v>10</v>
      </c>
    </row>
    <row r="19" customFormat="false" ht="15.75" hidden="false" customHeight="true" outlineLevel="0" collapsed="false">
      <c r="B19" s="7" t="s">
        <v>49</v>
      </c>
      <c r="C19" s="7"/>
      <c r="D19" s="7"/>
      <c r="E19" s="7"/>
      <c r="F19" s="7"/>
      <c r="G19" s="7"/>
    </row>
    <row r="20" customFormat="false" ht="60" hidden="false" customHeight="true" outlineLevel="0" collapsed="false">
      <c r="B20" s="8" t="s">
        <v>77</v>
      </c>
      <c r="C20" s="8"/>
      <c r="D20" s="8"/>
      <c r="E20" s="8"/>
      <c r="F20" s="8"/>
      <c r="G20" s="8"/>
    </row>
    <row r="22" customFormat="false" ht="15" hidden="false" customHeight="true" outlineLevel="0" collapsed="false">
      <c r="B22" s="9" t="s">
        <v>78</v>
      </c>
      <c r="C22" s="9"/>
      <c r="D22" s="9"/>
      <c r="E22" s="9"/>
      <c r="F22" s="9"/>
      <c r="G22" s="9"/>
    </row>
    <row r="23" customFormat="false" ht="39.75" hidden="false" customHeight="true" outlineLevel="0" collapsed="false">
      <c r="B23" s="10" t="s">
        <v>79</v>
      </c>
      <c r="C23" s="11"/>
      <c r="G23" s="12" t="str">
        <f aca="false">IF(C23="","Velg i nedtrekksmenyen.",IF(C23="Verdikonflikt","Riktig. Ulikt syn på hva skikkelig arbeid er; stikker dypt (16.6). Det kan ligge en interessekonflikt om tid i bunnen: den som skriver, taper akkord.","Ikke riktig. Ulikt syn på hva skikkelig arbeid er; stikker dypt (16.6). Det kan ligge en interessekonflikt om tid i bunnen: den som skriver, taper akkord."))</f>
        <v>Velg i nedtrekksmenyen.</v>
      </c>
    </row>
    <row r="24" customFormat="false" ht="39.75" hidden="false" customHeight="true" outlineLevel="0" collapsed="false">
      <c r="B24" s="10" t="s">
        <v>80</v>
      </c>
      <c r="C24" s="11"/>
      <c r="G24" s="12" t="str">
        <f aca="false">IF(C24="","Velg i nedtrekksmenyen.",IF(C24="Målkonflikt","Riktig. Uenighet om hvilket mål som skal prioriteres; begge målene er riktige (16.6). Et snev av interessekonflikt om de samme montørene.","Ikke riktig. Uenighet om hvilket mål som skal prioriteres; begge målene er riktige (16.6). Et snev av interessekonflikt om de samme montørene."))</f>
        <v>Velg i nedtrekksmenyen.</v>
      </c>
    </row>
    <row r="25" customFormat="false" ht="39.75" hidden="false" customHeight="true" outlineLevel="0" collapsed="false">
      <c r="B25" s="10" t="s">
        <v>81</v>
      </c>
      <c r="C25" s="11"/>
      <c r="G25" s="12" t="str">
        <f aca="false">IF(C25="","Velg i nedtrekksmenyen.",IF(C25="Interessekonflikt","Riktig. Kamp om en begrenset ressurs: det den ene vinner, taper den andre (16.6).","Ikke riktig. Kamp om en begrenset ressurs: det den ene vinner, taper den andre (16.6)."))</f>
        <v>Velg i nedtrekksmenyen.</v>
      </c>
    </row>
    <row r="26" customFormat="false" ht="39.75" hidden="false" customHeight="true" outlineLevel="0" collapsed="false">
      <c r="B26" s="10" t="s">
        <v>82</v>
      </c>
      <c r="C26" s="11"/>
      <c r="G26" s="12" t="str">
        <f aca="false">IF(C26="","Velg i nedtrekksmenyen.",IF(C26="Virkemiddelkonflikt","Riktig. Enige om målet (riktig pris), uenige om veien dit. Stikker normalt ikke så dypt (16.6).","Ikke riktig. Enige om målet (riktig pris), uenige om veien dit. Stikker normalt ikke så dypt (16.6)."))</f>
        <v>Velg i nedtrekksmenyen.</v>
      </c>
    </row>
    <row r="28" customFormat="false" ht="39.75" hidden="false" customHeight="true" outlineLevel="0" collapsed="false">
      <c r="B28" s="10" t="s">
        <v>83</v>
      </c>
      <c r="C28" s="11"/>
      <c r="G28" s="12" t="str">
        <f aca="false">IF(C28="","Velg i nedtrekksmenyen.",IF(C28="Konfrontasjon","Riktig. Konfrontasjon er nødvendig når beslutninger må tas raskt, og når saken er stor og viktig, også om den er upopulær (16.7). Kompromiss forutsetter jevnbyrdige parter og en sak der begge kan gi avkall på noe; en sikkerhetsregel kan ikke deles på halvveien.","Ikke riktig. Konfrontasjon er nødvendig når beslutninger må tas raskt, og når saken er stor og viktig, også om den er upopulær (16.7). Kompromiss forutsetter jevnbyrdige parter og en sak der begge kan gi avkall på noe; en sikkerhetsregel kan ikke deles på halvveien."))</f>
        <v>Velg i nedtrekksmenyen.</v>
      </c>
    </row>
    <row r="29" customFormat="false" ht="15" hidden="false" customHeight="true" outlineLevel="0" collapsed="false">
      <c r="B29" s="9" t="s">
        <v>84</v>
      </c>
      <c r="C29" s="9"/>
      <c r="D29" s="9"/>
      <c r="E29" s="9"/>
      <c r="F29" s="9"/>
      <c r="G29" s="9"/>
    </row>
    <row r="30" customFormat="false" ht="39.75" hidden="false" customHeight="true" outlineLevel="0" collapsed="false">
      <c r="B30" s="10" t="s">
        <v>85</v>
      </c>
      <c r="C30" s="11"/>
      <c r="G30" s="12" t="str">
        <f aca="false">IF(C30="","Velg i nedtrekksmenyen.",IF(C30="2 Uenighet","Riktig. Åpen diskusjon om hvordan et problem skal løses. Det handler om saken (16.5).","Ikke riktig. Åpen diskusjon om hvordan et problem skal løses. Det handler om saken (16.5)."))</f>
        <v>Velg i nedtrekksmenyen.</v>
      </c>
    </row>
    <row r="31" customFormat="false" ht="39.75" hidden="false" customHeight="true" outlineLevel="0" collapsed="false">
      <c r="B31" s="10" t="s">
        <v>86</v>
      </c>
      <c r="C31" s="11"/>
      <c r="G31" s="12" t="str">
        <f aca="false">IF(C31="","Velg i nedtrekksmenyen.",IF(C31="3 Følelsesmessig konflikt","Riktig. Setningen har fått en person og et «alltid». Rasjonaliteten svekkes, antipatier (16.5). Her må Kari inn.","Ikke riktig. Setningen har fått en person og et «alltid». Rasjonaliteten svekkes, antipatier (16.5). Her må Kari inn."))</f>
        <v>Velg i nedtrekksmenyen.</v>
      </c>
    </row>
    <row r="33" customFormat="false" ht="15" hidden="false" customHeight="true" outlineLevel="0" collapsed="false">
      <c r="B33" s="9" t="s">
        <v>87</v>
      </c>
      <c r="C33" s="9"/>
      <c r="D33" s="9"/>
      <c r="E33" s="9"/>
      <c r="F33" s="9"/>
      <c r="G33" s="9"/>
    </row>
    <row r="34" customFormat="false" ht="39.75" hidden="false" customHeight="true" outlineLevel="0" collapsed="false">
      <c r="B34" s="10" t="s">
        <v>88</v>
      </c>
      <c r="C34" s="11"/>
      <c r="G34" s="12" t="str">
        <f aca="false">IF(C34="","Velg i nedtrekksmenyen.",IF(C34="Ja","Riktig. Han kan få godet (lønn, jobb) fra en annen kilde: regel 3 (16.5).","Ikke riktig. Han kan få godet (lønn, jobb) fra en annen kilde: regel 3 (16.5)."))</f>
        <v>Velg i nedtrekksmenyen.</v>
      </c>
    </row>
    <row r="35" customFormat="false" ht="39.75" hidden="false" customHeight="true" outlineLevel="0" collapsed="false">
      <c r="B35" s="10" t="s">
        <v>89</v>
      </c>
      <c r="C35" s="11"/>
      <c r="G35" s="12" t="str">
        <f aca="false">IF(C35="","Velg i nedtrekksmenyen.",IF(C35="Ja","Riktig. Har den ansatte flust av jobber å velge mellom, svekkes arbeidsgiverens makt (16.5).","Ikke riktig. Har den ansatte flust av jobber å velge mellom, svekkes arbeidsgiverens makt (16.5)."))</f>
        <v>Velg i nedtrekksmenyen.</v>
      </c>
    </row>
    <row r="36" customFormat="false" ht="39.75" hidden="false" customHeight="true" outlineLevel="0" collapsed="false">
      <c r="B36" s="10" t="s">
        <v>90</v>
      </c>
      <c r="C36" s="11"/>
      <c r="G36" s="12" t="str">
        <f aca="false">IF(C36="","Velg i nedtrekksmenyen.",IF(C36="Ja","Riktig. Motmakt gjennom økt faglig kompetanse (16.5). Mona er også avhengig av ham.","Ikke riktig. Motmakt gjennom økt faglig kompetanse (16.5). Mona er også avhengig av ham."))</f>
        <v>Velg i nedtrekksmenyen.</v>
      </c>
    </row>
    <row r="37" customFormat="false" ht="39.75" hidden="false" customHeight="true" outlineLevel="0" collapsed="false">
      <c r="B37" s="10" t="s">
        <v>91</v>
      </c>
      <c r="C37" s="11"/>
      <c r="G37" s="12" t="str">
        <f aca="false">IF(C37="","Velg i nedtrekksmenyen.",IF(C37="Nei","Riktig. Formell makt knyttet til posisjonen (16.5). Den styrker henne.","Ikke riktig. Formell makt knyttet til posisjonen (16.5). Den styrker henne."))</f>
        <v>Velg i nedtrekksmenyen.</v>
      </c>
    </row>
    <row r="38" customFormat="false" ht="39.75" hidden="false" customHeight="true" outlineLevel="0" collapsed="false">
      <c r="B38" s="10" t="s">
        <v>92</v>
      </c>
      <c r="C38" s="11"/>
      <c r="G38" s="12" t="str">
        <f aca="false">IF(C38="","Velg i nedtrekksmenyen.",IF(C38="Nei","Riktig. Jo mer B ønsker godet A kontrollerer, desto mer makt får A: regel 2 (16.5).","Ikke riktig. Jo mer B ønsker godet A kontrollerer, desto mer makt får A: regel 2 (16.5)."))</f>
        <v>Velg i nedtrekksmenyen.</v>
      </c>
    </row>
    <row r="40" customFormat="false" ht="43.5" hidden="false" customHeight="true" outlineLevel="0" collapsed="false">
      <c r="B40" s="10" t="s">
        <v>93</v>
      </c>
      <c r="C40" s="23"/>
      <c r="D40" s="22" t="s">
        <v>54</v>
      </c>
      <c r="G40" s="12" t="str">
        <f aca="false">IF(C40="","Skriv svaret i den gule cellen.",IF(C40=(560000*0.1*1.468),"Riktig.",IF(ABS(C40-(560000*0.1))&lt;=0,"Du har glemt de sosiale kostnadene. Hver hundrelapp i lønn koster Fjell 146,80; gang med 1,468.",IF(ABS(C40-(560000*0.1*0.468))&lt;=0,"Du har regnet bare de sosiale kostnadene. Lønnskostnaden er tillegget pluss de sosiale: gang med 1,468.",IF(ABS(C40-(560000*1.468))&lt;=0,"Det er hele lønnskostnaden for montøren. Oppgaven spør om tillegget på 10 %.","Ikke riktig ennå. Se på regnestykket øverst på fanen, og sjekk at du har med alle leddene.")))))</f>
        <v>Skriv svaret i den gule cellen.</v>
      </c>
    </row>
    <row r="41" customFormat="false" ht="43.5" hidden="false" customHeight="true" outlineLevel="0" collapsed="false">
      <c r="B41" s="10" t="s">
        <v>94</v>
      </c>
      <c r="C41" s="23"/>
      <c r="D41" s="22" t="s">
        <v>54</v>
      </c>
      <c r="G41" s="12" t="str">
        <f aca="false">IF(C41="","Skriv svaret i den gule cellen.",IF(C41=(2*560000*0.1*1.468),"Riktig.",IF(ABS(C41-(560000*0.1*1.468))&lt;=0,"Det er for én montør. Den andre sier «får han, skal jeg også ha det»: gang med 2.",IF(ABS(C41-(2*560000*0.1))&lt;=0,"Du har glemt de sosiale kostnadene på begge: gang med 1,468.","Ikke riktig ennå. Se på regnestykket øverst på fanen, og sjekk at du har med alle leddene."))))</f>
        <v>Skriv svaret i den gule cellen.</v>
      </c>
    </row>
    <row r="42" customFormat="false" ht="43.5" hidden="false" customHeight="true" outlineLevel="0" collapsed="false">
      <c r="B42" s="10" t="s">
        <v>95</v>
      </c>
      <c r="C42" s="21"/>
      <c r="D42" s="22" t="s">
        <v>52</v>
      </c>
      <c r="G42" s="12" t="str">
        <f aca="false">IF(C42="","Skriv svaret i den gule cellen.",IF(ABS(C42-(ROUND(560000*0.1*1.468/144240*100,1)))&lt;=0.05,"Riktig.",IF(ABS(C42-(ROUND(560000*0.1/144240*100,1)))&lt;=0.05,"Du har brukt tillegget uten sosiale kostnader. Bruk svaret i e, 82 208 kr.",IF(ABS(C42-(ROUND(2*560000*0.1*1.468/144240*100,1)))&lt;=0.05,"Det er for begge montørene. Oppgaven spør om én.",IF(ABS(C42-(ROUND(144240/(560000*0.1*1.468)*100,1)))&lt;=0.05,"Du har delt feil vei. Tillegget skal deles på driftsresultatet.","Ikke riktig ennå. Se på regnestykket øverst på fanen, og sjekk at du har med alle leddene.")))))</f>
        <v>Skriv svaret i den gule cellen.</v>
      </c>
    </row>
    <row r="44" customFormat="false" ht="39.75" hidden="false" customHeight="true" outlineLevel="0" collapsed="false">
      <c r="B44" s="10" t="s">
        <v>96</v>
      </c>
      <c r="C44" s="11"/>
      <c r="G44" s="12" t="str">
        <f aca="false">IF(C44="","Velg i nedtrekksmenyen.",IF(C44="Kompromiss","Riktig. Kompromiss er naturlig når partene er noenlunde jevnbyrdige, og her er de det: Mona har den formelle makten, han har motmakt (16.7). Konfrontasjon er fellen for den som tror formell makt er nok; han kan gå. Unnvikelse passer når saken ikke er viktig, og denne er viktig for begge.","Ikke riktig. Kompromiss er naturlig når partene er noenlunde jevnbyrdige, og her er de det: Mona har den formelle makten, han har motmakt (16.7). Konfrontasjon er fellen for den som tror formell makt er nok; han kan gå. Unnvikelse passer når saken ikke er viktig, og denne er viktig for begge."))</f>
        <v>Velg i nedtrekksmenyen.</v>
      </c>
    </row>
    <row r="46" customFormat="false" ht="30" hidden="false" customHeight="true" outlineLevel="0" collapsed="false">
      <c r="B46" s="8" t="s">
        <v>97</v>
      </c>
      <c r="C46" s="8"/>
      <c r="D46" s="8"/>
      <c r="E46" s="8"/>
      <c r="F46" s="8"/>
      <c r="G46" s="8"/>
    </row>
    <row r="47" customFormat="false" ht="21.75" hidden="false" customHeight="true" outlineLevel="0" collapsed="false">
      <c r="B47" s="13"/>
      <c r="C47" s="13"/>
      <c r="D47" s="13"/>
      <c r="E47" s="13"/>
      <c r="F47" s="13"/>
      <c r="G47" s="13"/>
    </row>
    <row r="48" customFormat="false" ht="21.75" hidden="false" customHeight="true" outlineLevel="0" collapsed="false">
      <c r="B48" s="13"/>
      <c r="C48" s="13"/>
      <c r="D48" s="13"/>
      <c r="E48" s="13"/>
      <c r="F48" s="13"/>
      <c r="G48" s="13"/>
    </row>
    <row r="49" customFormat="false" ht="21.75" hidden="false" customHeight="true" outlineLevel="0" collapsed="false">
      <c r="B49" s="13"/>
      <c r="C49" s="13"/>
      <c r="D49" s="13"/>
      <c r="E49" s="13"/>
      <c r="F49" s="13"/>
      <c r="G49" s="13"/>
    </row>
    <row r="50" customFormat="false" ht="39.75" hidden="false" customHeight="true" outlineLevel="0" collapsed="false">
      <c r="B50" s="14" t="str">
        <f aca="false">IF(LEN(B47)&lt;40,"",IF(AND(ISNUMBER(SEARCH("kompromiss",B47)),ISNUMBER(SEARCH("kriteri",B47))),"Bra: du foreslår kompromiss og et kriterium som er kjent for begge. Sjekk at du har med tallene: 82 208 kr for én, 164 416 kr for begge, mer enn driftsresultatet på 144 240 kr.",IF(OR(ISNUMBER(SEARCH("kompromiss",B47)),ISNUMBER(SEARCH("kriteri",B47))),"Du har med noe av det. Si hvilken strategi (kompromiss, fordi partene er jevnbyrdige), og hva Mona sier til den andre montøren (et kriterium som er kjent for begge, for eksempel kompetanse og ansvar).","Tips: interessekonflikt med gjensidig avhengighet. Kompromiss: en del nå, resten knyttet til solcelleoppdragene. Til den andre montøren: et kriterium som er kjent for begge (kompetanse, ansvar), sagt direkte. Begge får 10 %: 164 416 kr, mer enn driftsresultatet på 144 240 kr.")))</f>
        <v/>
      </c>
      <c r="C50" s="14"/>
      <c r="D50" s="14"/>
      <c r="E50" s="14"/>
      <c r="F50" s="14"/>
      <c r="G50" s="14"/>
    </row>
    <row r="51" customFormat="false" ht="15" hidden="false" customHeight="false" outlineLevel="0" collapsed="false">
      <c r="B51" s="15" t="s">
        <v>35</v>
      </c>
      <c r="C51" s="11"/>
    </row>
    <row r="52" customFormat="false" ht="60" hidden="false" customHeight="true" outlineLevel="0" collapsed="false">
      <c r="B52" s="16" t="str">
        <f aca="false">IF(C51="JA","Hint: a: er de uenige om verdier (1), om hvilket mål som går først (2), om en ressurs bare én kan få (3), eller om veien til et felles mål (4)? b: saken er stor og må avgjøres raskt. c: har setningen fått en person og et «alltid»? d: bokas tre regler: A kontrollerer et gode B ønsker; jo mer B ønsker det; jo vanskeligere B kan få det andre steder. e: 560 000 × 0,10 × 1,468 = 82 208. f: 2 × 82 208 = 164 416. g: 82 208 / 144 240 × 100 = 57,0 %.","")</f>
        <v/>
      </c>
      <c r="C52" s="16"/>
      <c r="D52" s="16"/>
      <c r="E52" s="16"/>
      <c r="F52" s="16"/>
      <c r="G52" s="16"/>
    </row>
    <row r="54" customFormat="false" ht="30" hidden="false" customHeight="true" outlineLevel="0" collapsed="false">
      <c r="B54" s="6" t="s">
        <v>36</v>
      </c>
      <c r="C54" s="6"/>
      <c r="D54" s="6"/>
      <c r="E54" s="6"/>
      <c r="F54" s="6"/>
      <c r="G54" s="6"/>
    </row>
  </sheetData>
  <mergeCells count="20">
    <mergeCell ref="B2:G2"/>
    <mergeCell ref="B3:G3"/>
    <mergeCell ref="B4:G4"/>
    <mergeCell ref="B5:G5"/>
    <mergeCell ref="B6:G6"/>
    <mergeCell ref="B7:G7"/>
    <mergeCell ref="B9:G9"/>
    <mergeCell ref="B10:G10"/>
    <mergeCell ref="B11:G11"/>
    <mergeCell ref="B12:G12"/>
    <mergeCell ref="B19:G19"/>
    <mergeCell ref="B20:G20"/>
    <mergeCell ref="B22:G22"/>
    <mergeCell ref="B29:G29"/>
    <mergeCell ref="B33:G33"/>
    <mergeCell ref="B46:G46"/>
    <mergeCell ref="B47:G49"/>
    <mergeCell ref="B50:G50"/>
    <mergeCell ref="B52:G52"/>
    <mergeCell ref="B54:G54"/>
  </mergeCells>
  <conditionalFormatting sqref="G23">
    <cfRule type="expression" priority="2" aboveAverage="0" equalAverage="0" bottom="0" percent="0" rank="0" text="" dxfId="0">
      <formula>LEFT(G23,6)="Riktig"</formula>
    </cfRule>
    <cfRule type="expression" priority="3" aboveAverage="0" equalAverage="0" bottom="0" percent="0" rank="0" text="" dxfId="1">
      <formula>LEFT(G23,4)="Ikke"</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LEFT(G24,4)="Ikke"</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LEFT(G25,4)="Ikke"</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LEFT(G26,4)="Ikke"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LEFT(G30,4)="Ikke"</formula>
    </cfRule>
  </conditionalFormatting>
  <conditionalFormatting sqref="G31">
    <cfRule type="expression" priority="14" aboveAverage="0" equalAverage="0" bottom="0" percent="0" rank="0" text="" dxfId="0">
      <formula>LEFT(G31,6)="Riktig"</formula>
    </cfRule>
    <cfRule type="expression" priority="15" aboveAverage="0" equalAverage="0" bottom="0" percent="0" rank="0" text="" dxfId="1">
      <formula>LEFT(G31,4)="Ikke"</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LEFT(G34,4)="Ikke"</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LEFT(G35,4)="Ikke"</formula>
    </cfRule>
  </conditionalFormatting>
  <conditionalFormatting sqref="G36">
    <cfRule type="expression" priority="20" aboveAverage="0" equalAverage="0" bottom="0" percent="0" rank="0" text="" dxfId="0">
      <formula>LEFT(G36,6)="Riktig"</formula>
    </cfRule>
    <cfRule type="expression" priority="21" aboveAverage="0" equalAverage="0" bottom="0" percent="0" rank="0" text="" dxfId="1">
      <formula>LEFT(G36,4)="Ikke"</formula>
    </cfRule>
  </conditionalFormatting>
  <conditionalFormatting sqref="G37">
    <cfRule type="expression" priority="22" aboveAverage="0" equalAverage="0" bottom="0" percent="0" rank="0" text="" dxfId="0">
      <formula>LEFT(G37,6)="Riktig"</formula>
    </cfRule>
    <cfRule type="expression" priority="23" aboveAverage="0" equalAverage="0" bottom="0" percent="0" rank="0" text="" dxfId="1">
      <formula>LEFT(G37,4)="Ikke"</formula>
    </cfRule>
  </conditionalFormatting>
  <conditionalFormatting sqref="G38">
    <cfRule type="expression" priority="24" aboveAverage="0" equalAverage="0" bottom="0" percent="0" rank="0" text="" dxfId="0">
      <formula>LEFT(G38,6)="Riktig"</formula>
    </cfRule>
    <cfRule type="expression" priority="25" aboveAverage="0" equalAverage="0" bottom="0" percent="0" rank="0" text="" dxfId="1">
      <formula>LEFT(G38,4)="Ikke"</formula>
    </cfRule>
  </conditionalFormatting>
  <conditionalFormatting sqref="G40">
    <cfRule type="expression" priority="26" aboveAverage="0" equalAverage="0" bottom="0" percent="0" rank="0" text="" dxfId="0">
      <formula>LEFT(G40,6)="Riktig"</formula>
    </cfRule>
    <cfRule type="expression" priority="27" aboveAverage="0" equalAverage="0" bottom="0" percent="0" rank="0" text="" dxfId="1">
      <formula>AND(G40&lt;&gt;"",LEFT(G40,6)&lt;&gt;"Riktig",LEFT(G40,5)&lt;&gt;"Skriv")</formula>
    </cfRule>
  </conditionalFormatting>
  <conditionalFormatting sqref="G41">
    <cfRule type="expression" priority="28" aboveAverage="0" equalAverage="0" bottom="0" percent="0" rank="0" text="" dxfId="0">
      <formula>LEFT(G41,6)="Riktig"</formula>
    </cfRule>
    <cfRule type="expression" priority="29" aboveAverage="0" equalAverage="0" bottom="0" percent="0" rank="0" text="" dxfId="1">
      <formula>AND(G41&lt;&gt;"",LEFT(G41,6)&lt;&gt;"Riktig",LEFT(G41,5)&lt;&gt;"Skriv")</formula>
    </cfRule>
  </conditionalFormatting>
  <conditionalFormatting sqref="G42">
    <cfRule type="expression" priority="30" aboveAverage="0" equalAverage="0" bottom="0" percent="0" rank="0" text="" dxfId="0">
      <formula>LEFT(G42,6)="Riktig"</formula>
    </cfRule>
    <cfRule type="expression" priority="31" aboveAverage="0" equalAverage="0" bottom="0" percent="0" rank="0" text="" dxfId="1">
      <formula>AND(G42&lt;&gt;"",LEFT(G42,6)&lt;&gt;"Riktig",LEFT(G42,5)&lt;&gt;"Skriv")</formula>
    </cfRule>
  </conditionalFormatting>
  <conditionalFormatting sqref="G44">
    <cfRule type="expression" priority="32" aboveAverage="0" equalAverage="0" bottom="0" percent="0" rank="0" text="" dxfId="0">
      <formula>LEFT(G44,6)="Riktig"</formula>
    </cfRule>
    <cfRule type="expression" priority="33" aboveAverage="0" equalAverage="0" bottom="0" percent="0" rank="0" text="" dxfId="1">
      <formula>LEFT(G44,4)="Ikke"</formula>
    </cfRule>
  </conditionalFormatting>
  <dataValidations count="14">
    <dataValidation allowBlank="true" errorStyle="stop" operator="between" showDropDown="false" showErrorMessage="false" showInputMessage="false" sqref="C23" type="list">
      <formula1>"Verdikonflikt,Målkonflikt,Interessekonflikt,Virkemiddelkonflikt"</formula1>
      <formula2>0</formula2>
    </dataValidation>
    <dataValidation allowBlank="true" errorStyle="stop" operator="between" showDropDown="false" showErrorMessage="false" showInputMessage="false" sqref="C24" type="list">
      <formula1>"Verdikonflikt,Målkonflikt,Interessekonflikt,Virkemiddelkonflikt"</formula1>
      <formula2>0</formula2>
    </dataValidation>
    <dataValidation allowBlank="true" errorStyle="stop" operator="between" showDropDown="false" showErrorMessage="false" showInputMessage="false" sqref="C25" type="list">
      <formula1>"Verdikonflikt,Målkonflikt,Interessekonflikt,Virkemiddelkonflikt"</formula1>
      <formula2>0</formula2>
    </dataValidation>
    <dataValidation allowBlank="true" errorStyle="stop" operator="between" showDropDown="false" showErrorMessage="false" showInputMessage="false" sqref="C26" type="list">
      <formula1>"Verdikonflikt,Målkonflikt,Interessekonflikt,Virkemiddelkonflikt"</formula1>
      <formula2>0</formula2>
    </dataValidation>
    <dataValidation allowBlank="true" errorStyle="stop" operator="between" showDropDown="false" showErrorMessage="false" showInputMessage="false" sqref="C28" type="list">
      <formula1>"Konfrontasjon,Samarbeid,Kompromiss,Unnvikelse,Imøtekommenhet"</formula1>
      <formula2>0</formula2>
    </dataValidation>
    <dataValidation allowBlank="true" errorStyle="stop" operator="between" showDropDown="false" showErrorMessage="false" showInputMessage="false" sqref="C30" type="list">
      <formula1>"1 Latent konflikt,2 Uenighet,3 Følelsesmessig konflikt,4 Manifestert konflikt"</formula1>
      <formula2>0</formula2>
    </dataValidation>
    <dataValidation allowBlank="true" errorStyle="stop" operator="between" showDropDown="false" showErrorMessage="false" showInputMessage="false" sqref="C31" type="list">
      <formula1>"1 Latent konflikt,2 Uenighet,3 Følelsesmessig konflikt,4 Manifestert konflikt"</formula1>
      <formula2>0</formula2>
    </dataValidation>
    <dataValidation allowBlank="true" errorStyle="stop" operator="between" showDropDown="false" showErrorMessage="false" showInputMessage="false" sqref="C34" type="list">
      <formula1>"Ja,Nei"</formula1>
      <formula2>0</formula2>
    </dataValidation>
    <dataValidation allowBlank="true" errorStyle="stop" operator="between" showDropDown="false" showErrorMessage="false" showInputMessage="false" sqref="C35" type="list">
      <formula1>"Ja,Nei"</formula1>
      <formula2>0</formula2>
    </dataValidation>
    <dataValidation allowBlank="true" errorStyle="stop" operator="between" showDropDown="false" showErrorMessage="false" showInputMessage="false" sqref="C36" type="list">
      <formula1>"Ja,Nei"</formula1>
      <formula2>0</formula2>
    </dataValidation>
    <dataValidation allowBlank="true" errorStyle="stop" operator="between" showDropDown="false" showErrorMessage="false" showInputMessage="false" sqref="C37" type="list">
      <formula1>"Ja,Nei"</formula1>
      <formula2>0</formula2>
    </dataValidation>
    <dataValidation allowBlank="true" errorStyle="stop" operator="between" showDropDown="false" showErrorMessage="false" showInputMessage="false" sqref="C38" type="list">
      <formula1>"Ja,Nei"</formula1>
      <formula2>0</formula2>
    </dataValidation>
    <dataValidation allowBlank="true" errorStyle="stop" operator="between" showDropDown="false" showErrorMessage="false" showInputMessage="false" sqref="C44" type="list">
      <formula1>"Konfrontasjon,Samarbeid,Kompromiss,Unnvikelse,Imøtekommenhet"</formula1>
      <formula2>0</formula2>
    </dataValidation>
    <dataValidation allowBlank="true" errorStyle="stop" operator="between" showDropDown="false" showErrorMessage="false" showInputMessage="false" sqref="C5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4" t="s">
        <v>98</v>
      </c>
    </row>
    <row r="3" customFormat="false" ht="30" hidden="false" customHeight="true" outlineLevel="0" collapsed="false">
      <c r="B3" s="6" t="s">
        <v>99</v>
      </c>
      <c r="C3" s="6"/>
      <c r="D3" s="6"/>
    </row>
    <row r="5" customFormat="false" ht="15" hidden="false" customHeight="false" outlineLevel="0" collapsed="false">
      <c r="B5" s="25" t="s">
        <v>100</v>
      </c>
      <c r="C5" s="25" t="s">
        <v>101</v>
      </c>
      <c r="D5" s="25" t="s">
        <v>102</v>
      </c>
    </row>
    <row r="6" customFormat="false" ht="45" hidden="false" customHeight="true" outlineLevel="0" collapsed="false">
      <c r="B6" s="26" t="s">
        <v>103</v>
      </c>
      <c r="C6" s="27"/>
      <c r="D6" s="26" t="s">
        <v>104</v>
      </c>
    </row>
    <row r="7" customFormat="false" ht="30" hidden="false" customHeight="true" outlineLevel="0" collapsed="false">
      <c r="B7" s="26" t="s">
        <v>105</v>
      </c>
      <c r="C7" s="27"/>
      <c r="D7" s="26" t="s">
        <v>106</v>
      </c>
    </row>
    <row r="8" customFormat="false" ht="45" hidden="false" customHeight="true" outlineLevel="0" collapsed="false">
      <c r="B8" s="26" t="s">
        <v>107</v>
      </c>
      <c r="C8" s="27"/>
      <c r="D8" s="26" t="s">
        <v>108</v>
      </c>
    </row>
    <row r="9" customFormat="false" ht="30" hidden="false" customHeight="true" outlineLevel="0" collapsed="false">
      <c r="B9" s="26" t="s">
        <v>109</v>
      </c>
      <c r="C9" s="27"/>
      <c r="D9" s="26" t="s">
        <v>110</v>
      </c>
    </row>
    <row r="10" customFormat="false" ht="30" hidden="false" customHeight="true" outlineLevel="0" collapsed="false">
      <c r="B10" s="26" t="s">
        <v>111</v>
      </c>
      <c r="C10" s="27" t="n">
        <v>24030</v>
      </c>
      <c r="D10" s="26" t="s">
        <v>112</v>
      </c>
    </row>
    <row r="11" customFormat="false" ht="30" hidden="false" customHeight="true" outlineLevel="0" collapsed="false">
      <c r="B11" s="26" t="s">
        <v>113</v>
      </c>
      <c r="C11" s="27"/>
      <c r="D11" s="26" t="s">
        <v>114</v>
      </c>
    </row>
    <row r="12" customFormat="false" ht="45" hidden="false" customHeight="true" outlineLevel="0" collapsed="false">
      <c r="B12" s="26" t="s">
        <v>115</v>
      </c>
      <c r="C12" s="27"/>
      <c r="D12" s="26" t="s">
        <v>116</v>
      </c>
    </row>
    <row r="13" customFormat="false" ht="30" hidden="false" customHeight="true" outlineLevel="0" collapsed="false">
      <c r="B13" s="26" t="s">
        <v>117</v>
      </c>
      <c r="C13" s="27"/>
      <c r="D13" s="26" t="s">
        <v>118</v>
      </c>
    </row>
    <row r="14" customFormat="false" ht="30" hidden="false" customHeight="true" outlineLevel="0" collapsed="false">
      <c r="B14" s="26" t="s">
        <v>119</v>
      </c>
      <c r="C14" s="27" t="n">
        <v>61410</v>
      </c>
      <c r="D14" s="26" t="s">
        <v>120</v>
      </c>
    </row>
    <row r="15" customFormat="false" ht="60" hidden="false" customHeight="true" outlineLevel="0" collapsed="false">
      <c r="B15" s="26" t="s">
        <v>121</v>
      </c>
      <c r="C15" s="27"/>
      <c r="D15" s="26" t="s">
        <v>122</v>
      </c>
    </row>
    <row r="16" customFormat="false" ht="30" hidden="false" customHeight="true" outlineLevel="0" collapsed="false">
      <c r="B16" s="26" t="s">
        <v>123</v>
      </c>
      <c r="C16" s="27"/>
      <c r="D16" s="26" t="s">
        <v>124</v>
      </c>
    </row>
    <row r="17" customFormat="false" ht="30" hidden="false" customHeight="true" outlineLevel="0" collapsed="false">
      <c r="B17" s="26" t="s">
        <v>125</v>
      </c>
      <c r="C17" s="27"/>
      <c r="D17" s="26" t="s">
        <v>126</v>
      </c>
    </row>
    <row r="18" customFormat="false" ht="30" hidden="false" customHeight="true" outlineLevel="0" collapsed="false">
      <c r="B18" s="26" t="s">
        <v>127</v>
      </c>
      <c r="C18" s="27"/>
      <c r="D18" s="26" t="s">
        <v>128</v>
      </c>
    </row>
    <row r="19" customFormat="false" ht="30" hidden="false" customHeight="true" outlineLevel="0" collapsed="false">
      <c r="B19" s="26" t="s">
        <v>129</v>
      </c>
      <c r="C19" s="27"/>
      <c r="D19" s="26" t="s">
        <v>130</v>
      </c>
    </row>
    <row r="20" customFormat="false" ht="30" hidden="false" customHeight="true" outlineLevel="0" collapsed="false">
      <c r="B20" s="26" t="s">
        <v>131</v>
      </c>
      <c r="C20" s="27" t="n">
        <v>82208</v>
      </c>
      <c r="D20" s="26" t="s">
        <v>132</v>
      </c>
    </row>
    <row r="21" customFormat="false" ht="30" hidden="false" customHeight="true" outlineLevel="0" collapsed="false">
      <c r="B21" s="26" t="s">
        <v>133</v>
      </c>
      <c r="C21" s="27" t="n">
        <v>164416</v>
      </c>
      <c r="D21" s="26" t="s">
        <v>134</v>
      </c>
    </row>
    <row r="22" customFormat="false" ht="30" hidden="false" customHeight="true" outlineLevel="0" collapsed="false">
      <c r="B22" s="26" t="s">
        <v>135</v>
      </c>
      <c r="C22" s="27"/>
      <c r="D22" s="26" t="s">
        <v>136</v>
      </c>
    </row>
    <row r="23" customFormat="false" ht="30" hidden="false" customHeight="true" outlineLevel="0" collapsed="false">
      <c r="B23" s="26" t="s">
        <v>137</v>
      </c>
      <c r="C23" s="27"/>
      <c r="D23" s="26" t="s">
        <v>138</v>
      </c>
    </row>
    <row r="24" customFormat="false" ht="45" hidden="false" customHeight="true" outlineLevel="0" collapsed="false">
      <c r="B24" s="26" t="s">
        <v>139</v>
      </c>
      <c r="C24" s="27"/>
      <c r="D24" s="26" t="s">
        <v>140</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2026-10-14T09:23:29Z</dcterms:created>
  <dc:creator>openpyxl</dc:creator>
  <dc:description/>
  <dc:language>en-US</dc:language>
  <cp:lastModifiedBy/>
  <dcterms:modified xsi:type="dcterms:W3CDTF">2026-10-14T09:23:29Z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