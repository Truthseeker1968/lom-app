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<sst xmlns="http://schemas.openxmlformats.org/spreadsheetml/2006/main" count="192" uniqueCount="163">
  <si>
    <t xml:space="preserve">Klasseoppgaver til Organisasjon og ledelse kapittel 16: Grupper, kommunikasjon og konflikt (versjon 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</si>
  <si>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</si>
  <si>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</si>
  <si>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</si>
  <si>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</si>
  <si>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</si>
  <si>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</si>
  <si>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</si>
  <si>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</si>
  <si>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beskjeden fra kunden som ble borte på veien (Nordlys)</t>
  </si>
  <si>
    <t xml:space="preserve">A2</t>
  </si>
  <si>
    <t xml:space="preserve">Fjell Elektro: grupper, mandagsmøtet og det Mona sier uten ord (Egen el-bedrift)</t>
  </si>
  <si>
    <t xml:space="preserve">B1</t>
  </si>
  <si>
    <t xml:space="preserve">Nordlys: fem saker på Karis bord (Nordlys)</t>
  </si>
  <si>
    <t xml:space="preserve">B2</t>
  </si>
  <si>
    <t xml:space="preserve">Fjell Elektro: lønnskravet, makten og den andre montøren (Egen el-bedrift)</t>
  </si>
  <si>
    <t xml:space="preserve">Læreboka</t>
  </si>
  <si>
    <t xml:space="preserve">Hjertnes, F.: Markedsføring, organisasjon og ledelse for LØM-emnet, kapittel 16.</t>
  </si>
  <si>
    <t xml:space="preserve">Appen</t>
  </si>
  <si>
    <t xml:space="preserve">Organisasjon og ledelse kap. 16 → Øv → Klasseoppgaver gir fasit per deloppgave.</t>
  </si>
  <si>
    <t xml:space="preserve">A1 · Nordlys: beskjeden fra kunden som ble borte på veien</t>
  </si>
  <si>
    <t xml:space="preserve">25 minutter · Helst alene. Sammen med sidemannen eller flere hvis du vil. Ark og blyant, appen (PC eller mobil) eller læreboka.</t>
  </si>
  <si>
    <t xml:space="preserve">Kort oppsummert: Avsenderen koder et budskap som går via et medium til mottakeren, som dekoder det (16.2, figur 16.2). Budskapet må være presist, og budskap og medium må være tilpasset hverandre. Direkte kommunikasjon gir bedre muligheter til å utdype, oppklare tvetydigheter og rydde vekk misforståelser. Årsaker til brudd ligger hos avsenderen (egen fortolkning, vag og utydelig, vanskelig språk, dobbeltkommunikasjon) og hos mottakeren (selektiv, sympatier og antipatier, dårlig lytter) (16.3). Ledelsen har særlig ansvar for at relevant informasjon i tilstrekkelige mengder når dem som trenger den, når de trenger den (16.4).</t>
  </si>
  <si>
    <t xml:space="preserve">Casen er lagt til 2026/2027. Servicemontørene i Nordlys kjører hjemmefra rett til første kunde. Kundene ringer Tom, og Tom sender oppdraget på SMS til montøren kvelden før, for eksempel «Jordfeil, Haugveien 12, kl. 8». I vårhalvåret hadde serviceavdelingen 105 besøk. 9 av dem måtte gjøres på nytt fordi det kunden hadde sagt til Tom, ikke nådde montøren: montøren hadde ikke med riktig del, kunden var ikke hjemme, eller sikringsskapet sto et annet sted enn montøren trodde. Hvert nytt besøk tok 3 montørtimer som ikke kunne faktureres. Timeprisen er 890 kr uten merverdiavgift. Tom sier: «De leser ikke meldingene ordentlig.» Gå fram slik: regn andelen og hva det kostet, finn leddet i kommunikasjonsmodellen som sviktet, sorter tiltakene, og vurder til slutt Toms forklaring.</t>
  </si>
  <si>
    <t xml:space="preserve">Post</t>
  </si>
  <si>
    <t xml:space="preserve">Vårhalvåret</t>
  </si>
  <si>
    <t xml:space="preserve">Servicebesøk</t>
  </si>
  <si>
    <t xml:space="preserve">Besøk som måtte gjøres på nytt</t>
  </si>
  <si>
    <t xml:space="preserve">Montørtimer per nytt besøk</t>
  </si>
  <si>
    <t xml:space="preserve">Timepris, kr uten merverdiavgift</t>
  </si>
  <si>
    <t xml:space="preserve">Kanal fra Tom til montøren</t>
  </si>
  <si>
    <t xml:space="preserve">SMS kvelden før</t>
  </si>
  <si>
    <t xml:space="preserve">Andel nye besøk, %</t>
  </si>
  <si>
    <t xml:space="preserve">Tapt fakturering, kr</t>
  </si>
  <si>
    <t xml:space="preserve">Gule celler med spørsmålstegn kan du fylle inn selv mens du regner.</t>
  </si>
  <si>
    <t xml:space="preserve">Deloppgave</t>
  </si>
  <si>
    <t xml:space="preserve">Ditt svar</t>
  </si>
  <si>
    <t xml:space="preserve">Sjekk</t>
  </si>
  <si>
    <t xml:space="preserve">a)  Hvor mange prosent av de 105 servicebesøkene i vårhalvåret måtte gjøres på nytt? Én desimal.</t>
  </si>
  <si>
    <t xml:space="preserve">Formel og begrep</t>
  </si>
  <si>
    <t xml:space="preserve">Andel = del / helhet × 100. Ledelsen har ansvaret for at relevant informasjon når dem som trenger den, når de trenger den (Organisasjon og ledelse 16.4).</t>
  </si>
  <si>
    <t xml:space="preserve">b)  Hvor mange kroner i tapt fakturering kostet de nye besøkene i vårhalvåret? Antall besøk × timer × timepris.</t>
  </si>
  <si>
    <t xml:space="preserve">Tapt fakturering = antall besøk × timer × timepris.</t>
  </si>
  <si>
    <t xml:space="preserve">c)  Hvor i kommunikasjonsmodellen sviktet det mest, hvis vi bruker lærebokas beskrivelse av modellen og kommunikasjonsformene?   A: Fysisk støy: montøren leste meldingen i bilen   B: Kodingen og mediet: Tom koder kort, og en SMS er enveis og indirekte, så ingenting kan oppklares   C: Mottakeren: montørene har antipatier mot Tom   (skriv bokstaven)</t>
  </si>
  <si>
    <t xml:space="preserve">d)  Ja eller nei: er dette et tiltak fra læreboka (16.4) som retter svikten i overleveringen?</t>
  </si>
  <si>
    <t xml:space="preserve">      Montøren gjentar oppdraget til Tom før han kjører   (Ja eller Nei)</t>
  </si>
  <si>
    <t xml:space="preserve">      Tom og montørene avtaler hva en oppdrags-SMS alltid skal inneholde   (Ja eller Nei)</t>
  </si>
  <si>
    <t xml:space="preserve">      Tom ringer kvelden før om oppdrag som ikke er rutine   (Ja eller Nei)</t>
  </si>
  <si>
    <t xml:space="preserve">      Tom sender hele samtaleloggen med kunden i tillegg   (Ja eller Nei)</t>
  </si>
  <si>
    <t xml:space="preserve">      Montørene får beskjed om å lese meldingene bedre   (Ja eller Nei)</t>
  </si>
  <si>
    <t xml:space="preserve">e)  Tom sier: «De leser ikke meldingene ordentlig.» Vurder forklaringen hans med kommunikasjonsmodellen og årsakene til brudd, og foreslå tiltak med navn, handling og frist. Bruk minst ett tall. Tre–fire setninger.</t>
  </si>
  <si>
    <t xml:space="preserve">Kommunikasjonsmodellen (16.2), årsaker til brudd hos avsender og mottaker (16.3) og tiltak (Organisasjon og ledelse 16.4).</t>
  </si>
  <si>
    <t xml:space="preserve">Hint, hvis du står fast</t>
  </si>
  <si>
    <t xml:space="preserve">Tallene</t>
  </si>
  <si>
    <t xml:space="preserve">Andel: 9 / 105 × 100. Tapt fakturering: 9 besøk × 3 timer × 890 kr. Spør deg så: hvilket ledd i modellen er nytt hver gang?</t>
  </si>
  <si>
    <t xml:space="preserve">Modellen</t>
  </si>
  <si>
    <t xml:space="preserve">Tom koder, SMS-en er mediet, montøren dekoder. Kan montøren spørre om noe kvelden før? Boka skiller mellom enveis og toveis, direkte og indirekte.</t>
  </si>
  <si>
    <t xml:space="preserve">Kilde: Hjertnes, F.: Markedsføring, organisasjon og ledelse for LØM-emnet, kap. 16, avsnitt 16.2 (kommunikasjonsmodellen, direkte og indirekte, enveis og toveis), 16.3 (årsaker hos avsender og mottaker) og 16.4 (tiltak). Servicebesøkene: Markedsføring kap. 4 og faktaarket. Nordlys Elektro AS er en konstruert casebedrift.</t>
  </si>
  <si>
    <t xml:space="preserve">Regnearket er øvingsstøtte. Det kan ikke siteres eller vises til i besvarelser, prosjektoppgaver eller eksamen; der gjelder læreboka og oppgitte primærkilder.</t>
  </si>
  <si>
    <t xml:space="preserve">A2 · Fjell Elektro: grupper, mandagsmøtet og det Mona sier uten ord</t>
  </si>
  <si>
    <t xml:space="preserve">Kort oppsummert: En gruppe er to eller flere personer som kommuniserer eller gjør noe sammen, og som selv oppfatter seg som en gruppe (16.1). Formelle grupper er målrettede, hvert medlem har en rolle, og det kreves formelle kvalifikasjoner; uformelle grupper bygger på felles interesser og trivsel. Når det verbale og det nonverbale budskapet ikke stemmer, er det stor sannsynlighet for at det nonverbale trenger gjennom, og avsenderen mister troverdighet (16.2). Boka anbefaler blant annet regelmessige, godt forberedte møter, utnyttelse av uformelle kanaler, aktiv lytting og medarbeidersamtaler (16.4).</t>
  </si>
  <si>
    <t xml:space="preserve">Fjell Elektro AS har to montører og eieren Mona Fjell, som er daglig leder og faglig ansvarlig og jobber halve tiden ute på oppdrag. Jobbene fordeles over kaffen hver morgen, og hver mandag har de tre et møte på 30 minutter. Fjell har 46 arbeidsuker i året, og timeprisen er 890 kr. De to montørene spiller fotball sammen hver fredag. På mandagsmøtet sier Mona: «Si fra hvis noe er galt, døra mi er alltid åpen», mens hun leser på mobilen og reiser seg. Den ene montøren har sagt til den andre: «Mona spør aldri hvordan det går med oss.» Gå fram slik: sorter gruppene, gi det som skjer på møtet et navn, regn hva møtet koster i fakturerbar tid, og vurder til slutt hva Mona bør gjøre.</t>
  </si>
  <si>
    <t xml:space="preserve">Forutsetning</t>
  </si>
  <si>
    <t xml:space="preserve">Verdi</t>
  </si>
  <si>
    <t xml:space="preserve">Folk</t>
  </si>
  <si>
    <t xml:space="preserve">Mona (eier, daglig leder) og 2 montører</t>
  </si>
  <si>
    <t xml:space="preserve">Hver morgen</t>
  </si>
  <si>
    <t xml:space="preserve">Jobbene fordeles over kaffen</t>
  </si>
  <si>
    <t xml:space="preserve">Mandagsmøtet</t>
  </si>
  <si>
    <t xml:space="preserve">30 minutter, alle tre</t>
  </si>
  <si>
    <t xml:space="preserve">Arbeidsuker</t>
  </si>
  <si>
    <t xml:space="preserve">46 i året</t>
  </si>
  <si>
    <t xml:space="preserve">Timepris</t>
  </si>
  <si>
    <t xml:space="preserve">890 kr; møtetiden tas fra fakturerbar tid</t>
  </si>
  <si>
    <t xml:space="preserve">Fredag</t>
  </si>
  <si>
    <t xml:space="preserve">De to montørene spiller fotball sammen</t>
  </si>
  <si>
    <t xml:space="preserve">Mona i møtet</t>
  </si>
  <si>
    <t xml:space="preserve">«Si fra hvis noe er galt», mens hun leser på mobilen og reiser seg</t>
  </si>
  <si>
    <t xml:space="preserve">En montør</t>
  </si>
  <si>
    <t xml:space="preserve">«Mona spør aldri hvordan det går med oss»</t>
  </si>
  <si>
    <t xml:space="preserve">a)  Ja eller nei: er dette en formell gruppe slik boka beskriver det (målrettet, roller, formelle kvalifikasjoner)?</t>
  </si>
  <si>
    <t xml:space="preserve">      Mona og de to montørene på jobb   (Ja eller Nei)</t>
  </si>
  <si>
    <t xml:space="preserve">      Mandagsmøtet med alle tre   (Ja eller Nei)</t>
  </si>
  <si>
    <t xml:space="preserve">      De to montørene som spiller fotball på fredager   (Ja eller Nei)</t>
  </si>
  <si>
    <t xml:space="preserve">      Familien til Mona   (Ja eller Nei)</t>
  </si>
  <si>
    <t xml:space="preserve">      De andre installatørene i Oslo øst, som Mona sammenlikner timeprisen med   (Ja eller Nei)</t>
  </si>
  <si>
    <t xml:space="preserve">b)  Mona sier «Si fra hvis noe er galt, døra mi er alltid åpen», mens hun leser på mobilen og reiser seg. Hva skjer, ifølge læreboka?   A: Fysisk støy: mobilen forstyrrer budskapet   B: Det nonverbale motsier det verbale, og det nonverbale trenger som regel gjennom   C: Formell kommunikasjon: møtet er saksorientert, så det er riktig   (skriv bokstaven)</t>
  </si>
  <si>
    <t xml:space="preserve">c)  Hvor mange kroner i fakturerbar tid koster mandagsmøtet i året? Personer × timer × uker × timepris.</t>
  </si>
  <si>
    <t xml:space="preserve">Møtekostnad = personer × timer × uker × timepris. Regelmessige møter krever at de er godt forberedt (Organisasjon og ledelse 16.4).</t>
  </si>
  <si>
    <t xml:space="preserve">d)  En student sier: «Praten over kaffen og i bilen er bare sladder. Mona bør gi alle beskjeder skriftlig.» Hva sier boka?   A: Studenten har rett: formell kommunikasjon er alltid bedre   B: Uformelle kanaler kan brukes bevisst til å forberede, presisere og utdype; alt til sin tid   C: Uformell kommunikasjon hører ikke hjemme på jobb   (skriv bokstaven)</t>
  </si>
  <si>
    <t xml:space="preserve">e)  Den ene montøren sier: «Mona spør aldri hvordan det går med oss.» Hva sier det om kommunikasjonen i Fjell, og hva bør Mona gjøre? Bruk tallet fra c og minst to tiltak fra læreboka. Tre setninger.</t>
  </si>
  <si>
    <t xml:space="preserve">Verbal og nonverbal kommunikasjon og dobbeltkommunikasjon (16.2.1), og tiltakene regelmessige møter, aktiv lytting, uformelle kanaler og medarbeidersamtaler (Organisasjon og ledelse 16.4).</t>
  </si>
  <si>
    <t xml:space="preserve">Gruppene</t>
  </si>
  <si>
    <t xml:space="preserve">Formell: målrettet, roller, kvalifikasjoner. Uformell: felles interesse. Primærgruppe: familien. Referansegruppe: den du sammenlikner deg med.</t>
  </si>
  <si>
    <t xml:space="preserve">Ord og kropp</t>
  </si>
  <si>
    <t xml:space="preserve">Hva sier Mona med ord, og hva sier hun med mobilen og ved å reise seg? Møtet: 3 × 0,5 × 46 × 890. For d: les tiltaket om uformelle kanaler i 16.4.</t>
  </si>
  <si>
    <t xml:space="preserve">Kilde: Hjertnes, F.: Markedsføring, organisasjon og ledelse for LØM-emnet, kap. 16, avsnitt 16.1 (formelle og uformelle grupper, primær- og referansegrupper), 16.2 (verbal og nonverbal, dobbeltkommunikasjon, formell og uformell kommunikasjon) og 16.4 (uformelle kanaler, regelmessige møter, medarbeidersamtaler). Fjell Elektro AS er en konstruert casebedrift.</t>
  </si>
  <si>
    <t xml:space="preserve">B1 · Nordlys: fem saker på Karis bord</t>
  </si>
  <si>
    <t xml:space="preserve">Kort oppsummert: Boka skiller mellom verdikonflikter (ulikt syn på verdier, stikker dypt), målkonflikter (uenighet om hvilke mål som skal prioriteres), interessekonflikter (kamp om begrensede ressurser, det den ene vinner, taper den andre) og virkemiddelkonflikter (enige om målet, uenige om veien) (16.6). Strategiene plasseres etter egeninteresse og samarbeidsvilje: konfrontasjon, samarbeid, kompromiss, unnvikelse og imøtekommenhet (16.7). Konflikten kan gå fra latent via uenighet til følelsesmessig og manifestert (16.5). Strategiene må ikke brukes ukritisk.</t>
  </si>
  <si>
    <t xml:space="preserve">Fem saker har havnet hos Kari i samme kvartal. 1) Dokumentasjonen: den eldste montøren mener samsvarserklæringer og dokumentasjon er papirarbeid som stjeler tid fra faget; den yngste mener det er en del av jobben. 2) Montørene: Tom vil holde to timers responstid i service, Ronny vil holde framdriften på nybygget, og de trenger de samme montørene på fredag. Etter tre uker sier Tom: «Ronny tar alltid folka mine.» 3) Servicebilen: den første nye elektriske varebilen kommer, og både service og prosjekt vil ha den. 4) Kalkylen: Ida og montørene på taket vil begge ha riktig pris på solcelleanleggene, men er uenige om hvem som skal kalkulere. 5) Fallsikringen: en montør nekter å bruke fallsikring på et tak. Gå fram slik: finn typen i sak 2 og 4, sorter hvor samarbeid passer, velg strategi i sak 5, og legg til slutt en rekkefølge for Kari.</t>
  </si>
  <si>
    <t xml:space="preserve">1 Dokumentasjonen</t>
  </si>
  <si>
    <t xml:space="preserve">Den eldste: papirarbeid. Den yngste: en del av jobben</t>
  </si>
  <si>
    <t xml:space="preserve">2 Montørene</t>
  </si>
  <si>
    <t xml:space="preserve">Tom: responstid. Ronny: framdrift. Samme folk på fredag</t>
  </si>
  <si>
    <t xml:space="preserve">  … etter tre uker</t>
  </si>
  <si>
    <t xml:space="preserve">Tom: «Ronny tar alltid folka mine»</t>
  </si>
  <si>
    <t xml:space="preserve">3 Servicebilen</t>
  </si>
  <si>
    <t xml:space="preserve">Én ny elbil; service og prosjekt vil begge ha den</t>
  </si>
  <si>
    <t xml:space="preserve">4 Kalkylen</t>
  </si>
  <si>
    <t xml:space="preserve">Ida eller montørene? Begge vil ha riktig pris</t>
  </si>
  <si>
    <t xml:space="preserve">5 Fallsikringen</t>
  </si>
  <si>
    <t xml:space="preserve">En montør nekter å bruke fallsikring på taket</t>
  </si>
  <si>
    <t xml:space="preserve">a)  Sak 2: Tom vil holde to timers responstid, Ronny vil holde framdriften, og de trenger de samme montørene. Hvilken konflikttype er dette?   A: Verdikonflikt   B: Målkonflikt   C: Virkemiddelkonflikt   (skriv bokstaven)</t>
  </si>
  <si>
    <t xml:space="preserve">b)  Sak 4: Ida og montørene vil begge ha riktig pris på solcelleanleggene, men er uenige om hvem som skal kalkulere. Hvilken konflikttype er dette?   A: Interessekonflikt   B: Verdikonflikt   C: Virkemiddelkonflikt   (skriv bokstaven)</t>
  </si>
  <si>
    <t xml:space="preserve">c)  Ja eller nei: passer samarbeid (høy egeninteresse, stor samarbeidsvilje) som strategi i denne saken, etter bokas beskrivelse?</t>
  </si>
  <si>
    <t xml:space="preserve">      Sak 1 Dokumentasjonen   (Ja eller Nei)</t>
  </si>
  <si>
    <t xml:space="preserve">      Sak 4 Kalkylen   (Ja eller Nei)</t>
  </si>
  <si>
    <t xml:space="preserve">      Sak 3 Servicebilen   (Ja eller Nei)</t>
  </si>
  <si>
    <t xml:space="preserve">      Sak 5 Fallsikringen   (Ja eller Nei)</t>
  </si>
  <si>
    <t xml:space="preserve">d)  Sak 5: en montør nekter å bruke fallsikring på taket. Hvilken strategi er riktig etter boka?   A: Kompromiss: sele på taket, men ikke på stillaset   B: Konfrontasjon: saken er viktig og må avgjøres raskt; det gis en beskjed   C: Samarbeid: dere snakker til dere finner noe han er enig i   (skriv bokstaven)</t>
  </si>
  <si>
    <t xml:space="preserve">e)  Legg en rekkefølge for Kari: hvilken sak tar hun først, og hvorfor? Bruk konfliktens intensitetsnivåer og strategiene. Tre–fire setninger.</t>
  </si>
  <si>
    <t xml:space="preserve">Konfliktens intensitetsnivåer (16.5), konflikttypene (16.6) og konflikthåndteringsstrategiene (Organisasjon og ledelse 16.7).</t>
  </si>
  <si>
    <t xml:space="preserve">Typen</t>
  </si>
  <si>
    <t xml:space="preserve">Er de enige om målet? Da er det virkemiddel. Er de uenige om hva som skal gå først? Mål. Er det én ting bare én kan få? Interesse.</t>
  </si>
  <si>
    <t xml:space="preserve">Strategien</t>
  </si>
  <si>
    <t xml:space="preserve">Samarbeid når partene har noe å lære av hverandre. Konfrontasjon når saken er viktig og må avgjøres raskt. For e: hvilken sak har et «alltid» i seg?</t>
  </si>
  <si>
    <t xml:space="preserve">Kilde: Hjertnes, F.: Markedsføring, organisasjon og ledelse for LØM-emnet, kap. 16, avsnitt 16.5 (konfliktens intensitetsnivåer), 16.6 (fire konflikttyper) og 16.7 (fem konflikthåndteringsstrategier, figur 16.3). Sakene er fra versjon 4, sammendraget og appen til kap. 16. Nordlys Elektro AS er en konstruert casebedrift.</t>
  </si>
  <si>
    <t xml:space="preserve">B2 · Fjell Elektro: lønnskravet, makten og den andre montøren</t>
  </si>
  <si>
    <t xml:space="preserve">Kort oppsummert: A har makt over B i den grad A kontrollerer et gode B ønsker; jo mer B ønsker godet, og jo vanskeligere det er å få det andre steder, desto mer makt får A (16.5). Den avhengige parten kan bygge motmakt gjennom allianser eller økt faglig kompetanse. Avhengighet er nærmest en forutsetning for konflikt. Interessekonflikter handler om begrensede ressurser, og lønnskamp er bokas typiske eksempel (16.6). Kompromiss er naturlig når partene er noenlunde jevnbyrdige, eller når den sterke parten ser at det vil gjøre stor skade å kjøre over den svake (16.7).</t>
  </si>
  <si>
    <t xml:space="preserve">Fjell Elektro AS har to montører og eieren Mona Fjell. Montørene tjener 560 000 kr i året, og Fjell regner 46,8 % sosiale kostnader på lønn. Driftsresultatet første år var 144 240 kr. Den erfarne montøren har fått tilbud om jobb i en landsdekkende kjede og ber om 10 % høyere lønn. Han er den eneste i Fjell med kurs i solcelleanlegg, bransjen mangler fagarbeidere, og ingen søkte sist Fjell lyste ut en stilling. Den andre montøren har hørt om det og sier: «Får han, skal jeg også ha det.» Gå fram slik: gi konflikten en type, sorter hva som påvirker maktforholdet, regn hva kravet koster, velg strategi, og vurder til slutt hva Mona bør gjøre.</t>
  </si>
  <si>
    <t xml:space="preserve">Montørlønn</t>
  </si>
  <si>
    <t xml:space="preserve">560 000 kr i året</t>
  </si>
  <si>
    <t xml:space="preserve">Sosiale kostnader</t>
  </si>
  <si>
    <t xml:space="preserve">46,8 % av lønn</t>
  </si>
  <si>
    <t xml:space="preserve">Driftsresultat første år</t>
  </si>
  <si>
    <t xml:space="preserve">144 240 kr</t>
  </si>
  <si>
    <t xml:space="preserve">Kravet</t>
  </si>
  <si>
    <t xml:space="preserve">Den erfarne montøren vil ha 10 % mer</t>
  </si>
  <si>
    <t xml:space="preserve">Tilbudet</t>
  </si>
  <si>
    <t xml:space="preserve">En landsdekkende kjede vil ansette ham</t>
  </si>
  <si>
    <t xml:space="preserve">Kompetansen</t>
  </si>
  <si>
    <t xml:space="preserve">Eneste i Fjell med kurs i solcelleanlegg</t>
  </si>
  <si>
    <t xml:space="preserve">Arbeidsmarkedet</t>
  </si>
  <si>
    <t xml:space="preserve">Mangel på fagarbeidere; ingen søkte sist</t>
  </si>
  <si>
    <t xml:space="preserve">Den andre montøren</t>
  </si>
  <si>
    <t xml:space="preserve">«Får han, skal jeg også ha det»</t>
  </si>
  <si>
    <t xml:space="preserve">a)  Hvilken konflikttype er lønnskravet, slik boka beskriver typene?   A: Verdikonflikt   B: Interessekonflikt   C: Virkemiddelkonflikt   (skriv bokstaven)</t>
  </si>
  <si>
    <t xml:space="preserve">b)  Ja eller nei: svekker dette Monas makt over montøren, etter bokas tre regler for makt og avhengighet (16.5)?</t>
  </si>
  <si>
    <t xml:space="preserve">      Kjeden har tilbudt ham jobb   (Ja eller Nei)</t>
  </si>
  <si>
    <t xml:space="preserve">      Bransjen mangler fagarbeidere   (Ja eller Nei)</t>
  </si>
  <si>
    <t xml:space="preserve">      Han er den eneste i Fjell med solcellekurs   (Ja eller Nei)</t>
  </si>
  <si>
    <t xml:space="preserve">      Mona eier bedriften og er daglig leder   (Ja eller Nei)</t>
  </si>
  <si>
    <t xml:space="preserve">      Han bryr seg svært mye om lønna   (Ja eller Nei)</t>
  </si>
  <si>
    <t xml:space="preserve">c)  Hvor mange kroner i året koster lønnstillegget på 10 % for Fjell, med 46,8 % sosiale kostnader?</t>
  </si>
  <si>
    <t xml:space="preserve">Lønnskostnad = lønn × (1 + sats for sosiale kostnader); 46,8 % er Fjells sats (Økonomistyring tabell 2.4, ikke i kap. 16).</t>
  </si>
  <si>
    <t xml:space="preserve">d)  Hvilken konflikthåndteringsstrategi passer best for Mona, etter bokas beskrivelse av når strategiene er naturlige?   A: Konfrontasjon: Mona eier bedriften og bestemmer lønna   B: Kompromiss: partene er noenlunde jevnbyrdige, og begge kan gi avkall på noe   C: Unnvikelse: la saken ligge til neste år   (skriv bokstaven)</t>
  </si>
  <si>
    <t xml:space="preserve">e)  Hva bør Mona gjøre med lønnskravet, og hvordan bør hun håndtere den andre montøren? Bruk tallene fra c og bokas begreper. Tre–fire setninger.</t>
  </si>
  <si>
    <t xml:space="preserve">Makt og avhengighet (16.5), interessekonflikt (16.6) og kompromiss (Organisasjon og ledelse 16.7). Lønnskostnad med 46,8 % sosiale kostnader.</t>
  </si>
  <si>
    <t xml:space="preserve">Makten</t>
  </si>
  <si>
    <t xml:space="preserve">Tre regler: A kontrollerer et gode B ønsker; jo mer B ønsker det; jo vanskeligere B kan få det andre steder. Motmakt bygges med allianser eller kompetanse.</t>
  </si>
  <si>
    <t xml:space="preserve">Regningen</t>
  </si>
  <si>
    <t xml:space="preserve">560 000 × 0,10 × 1,468. Sammenlikn med driftsresultatet 144 240 kr. Og hva skjer hvis begge får det samme?</t>
  </si>
  <si>
    <t xml:space="preserve">Kilde: Hjertnes, F.: Markedsføring, organisasjon og ledelse for LØM-emnet, kap. 16, avsnitt 16.5 (makt- og avhengighetsrelasjoner, motmakt), 16.6 (interessekonflikter) og 16.7 (kompromiss). Lønn, sosiale kostnader og driftsresultat: Fjell-faktaarket.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</si>
</sst>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93.75" hidden="false" customHeight="true" outlineLevel="0" collapsed="false">
      <c r="A4" s="6" t="s">
        <v>22</v>
      </c>
      <c r="B4" s="6"/>
      <c r="C4" s="6"/>
      <c r="D4" s="6"/>
      <c r="E4" s="6"/>
      <c r="F4" s="6"/>
      <c r="G4" s="6"/>
    </row>
    <row r="5" customFormat="false" ht="123.75" hidden="false" customHeight="true" outlineLevel="0" collapsed="false">
      <c r="A5" s="7" t="s">
        <v>23</v>
      </c>
      <c r="B5" s="7"/>
      <c r="C5" s="7"/>
      <c r="D5" s="7"/>
      <c r="E5" s="7"/>
      <c r="F5" s="7"/>
      <c r="G5" s="7"/>
    </row>
    <row r="7" customFormat="false" ht="15" hidden="false" customHeight="false" outlineLevel="0" collapsed="false">
      <c r="A7" s="8" t="s">
        <v>24</v>
      </c>
      <c r="B7" s="9" t="s">
        <v>25</v>
      </c>
    </row>
    <row r="8" customFormat="false" ht="15" hidden="false" customHeight="false" outlineLevel="0" collapsed="false">
      <c r="A8" s="10" t="s">
        <v>26</v>
      </c>
      <c r="B8" s="11" t="n">
        <v>105</v>
      </c>
    </row>
    <row r="9" customFormat="false" ht="15" hidden="false" customHeight="false" outlineLevel="0" collapsed="false">
      <c r="A9" s="12" t="s">
        <v>27</v>
      </c>
      <c r="B9" s="13" t="n">
        <v>9</v>
      </c>
    </row>
    <row r="10" customFormat="false" ht="15" hidden="false" customHeight="false" outlineLevel="0" collapsed="false">
      <c r="A10" s="10" t="s">
        <v>28</v>
      </c>
      <c r="B10" s="11" t="n">
        <v>3</v>
      </c>
    </row>
    <row r="11" customFormat="false" ht="15" hidden="false" customHeight="false" outlineLevel="0" collapsed="false">
      <c r="A11" s="12" t="s">
        <v>29</v>
      </c>
      <c r="B11" s="13" t="n">
        <v>890</v>
      </c>
    </row>
    <row r="12" customFormat="false" ht="15" hidden="false" customHeight="false" outlineLevel="0" collapsed="false">
      <c r="A12" s="10" t="s">
        <v>30</v>
      </c>
      <c r="B12" s="14" t="s">
        <v>31</v>
      </c>
    </row>
    <row r="13" customFormat="false" ht="15" hidden="false" customHeight="false" outlineLevel="0" collapsed="false">
      <c r="A13" s="12" t="s">
        <v>32</v>
      </c>
      <c r="B13" s="15"/>
    </row>
    <row r="14" customFormat="false" ht="15" hidden="false" customHeight="false" outlineLevel="0" collapsed="false">
      <c r="A14" s="10" t="s">
        <v>33</v>
      </c>
      <c r="B14" s="15"/>
    </row>
    <row r="15" customFormat="false" ht="15" hidden="false" customHeight="true" outlineLevel="0" collapsed="false">
      <c r="A15" s="6" t="s">
        <v>34</v>
      </c>
      <c r="B15" s="6"/>
      <c r="C15" s="6"/>
      <c r="D15" s="6"/>
      <c r="E15" s="6"/>
      <c r="F15" s="6"/>
      <c r="G15" s="6"/>
    </row>
    <row r="17" customFormat="false" ht="15" hidden="false" customHeight="false" outlineLevel="0" collapsed="false">
      <c r="A17" s="16" t="s">
        <v>35</v>
      </c>
      <c r="B17" s="16"/>
      <c r="C17" s="16"/>
      <c r="D17" s="16"/>
      <c r="E17" s="16"/>
      <c r="F17" s="16" t="s">
        <v>36</v>
      </c>
      <c r="G17" s="16" t="s">
        <v>37</v>
      </c>
    </row>
    <row r="18" customFormat="false" ht="33.75" hidden="false" customHeight="true" outlineLevel="0" collapsed="false">
      <c r="A18" s="7" t="s">
        <v>38</v>
      </c>
      <c r="B18" s="7"/>
      <c r="C18" s="7"/>
      <c r="D18" s="7"/>
      <c r="E18" s="7"/>
      <c r="F18" s="15"/>
      <c r="G18" s="17" t="str">
        <f aca="false">IF(F18="","",IF(ABS(F18-(8.6))&lt;=0.1,"Riktig","Prøv igjen"))</f>
        <v/>
      </c>
    </row>
    <row r="19" customFormat="false" ht="30" hidden="false" customHeight="true" outlineLevel="0" collapsed="false">
      <c r="A19" s="18" t="s">
        <v>39</v>
      </c>
      <c r="B19" s="19" t="s">
        <v>40</v>
      </c>
      <c r="C19" s="19"/>
      <c r="D19" s="19"/>
      <c r="E19" s="19"/>
      <c r="F19" s="19"/>
      <c r="G19" s="19"/>
    </row>
    <row r="21" customFormat="false" ht="33.75" hidden="false" customHeight="true" outlineLevel="0" collapsed="false">
      <c r="A21" s="7" t="s">
        <v>41</v>
      </c>
      <c r="B21" s="7"/>
      <c r="C21" s="7"/>
      <c r="D21" s="7"/>
      <c r="E21" s="7"/>
      <c r="F21" s="15"/>
      <c r="G21" s="17" t="str">
        <f aca="false">IF(F21="","",IF(ABS(F21-(24030))&lt;=1,"Riktig","Prøv igjen"))</f>
        <v/>
      </c>
    </row>
    <row r="22" customFormat="false" ht="16.5" hidden="false" customHeight="true" outlineLevel="0" collapsed="false">
      <c r="A22" s="18" t="s">
        <v>39</v>
      </c>
      <c r="B22" s="19" t="s">
        <v>42</v>
      </c>
      <c r="C22" s="19"/>
      <c r="D22" s="19"/>
      <c r="E22" s="19"/>
      <c r="F22" s="19"/>
      <c r="G22" s="19"/>
    </row>
    <row r="24" customFormat="false" ht="63.75" hidden="false" customHeight="true" outlineLevel="0" collapsed="false">
      <c r="A24" s="7" t="s">
        <v>43</v>
      </c>
      <c r="B24" s="7"/>
      <c r="C24" s="7"/>
      <c r="D24" s="7"/>
      <c r="E24" s="7"/>
      <c r="F24" s="20"/>
      <c r="G24" s="17" t="str">
        <f aca="false">IF(F24="","",IF(UPPER(TRIM(F24))="B","Riktig","Prøv igjen"))</f>
        <v/>
      </c>
    </row>
    <row r="25" customFormat="false" ht="18.75" hidden="false" customHeight="true" outlineLevel="0" collapsed="false">
      <c r="A25" s="7" t="s">
        <v>44</v>
      </c>
      <c r="B25" s="7"/>
      <c r="C25" s="7"/>
      <c r="D25" s="7"/>
      <c r="E25" s="7"/>
    </row>
    <row r="26" customFormat="false" ht="15" hidden="false" customHeight="true" outlineLevel="0" collapsed="false">
      <c r="A26" s="7" t="s">
        <v>45</v>
      </c>
      <c r="B26" s="7"/>
      <c r="C26" s="7"/>
      <c r="D26" s="7"/>
      <c r="E26" s="7"/>
      <c r="F26" s="20"/>
      <c r="G26" s="17" t="str">
        <f aca="false">IF(F26="","",IF(UPPER(TRIM(F26))="JA","Riktig","Prøv igjen"))</f>
        <v/>
      </c>
    </row>
    <row r="27" customFormat="false" ht="15" hidden="false" customHeight="true" outlineLevel="0" collapsed="false">
      <c r="A27" s="7" t="s">
        <v>46</v>
      </c>
      <c r="B27" s="7"/>
      <c r="C27" s="7"/>
      <c r="D27" s="7"/>
      <c r="E27" s="7"/>
      <c r="F27" s="20"/>
      <c r="G27" s="17" t="str">
        <f aca="false">IF(F27="","",IF(UPPER(TRIM(F27))="JA","Riktig","Prøv igjen"))</f>
        <v/>
      </c>
    </row>
    <row r="28" customFormat="false" ht="15" hidden="false" customHeight="true" outlineLevel="0" collapsed="false">
      <c r="A28" s="7" t="s">
        <v>47</v>
      </c>
      <c r="B28" s="7"/>
      <c r="C28" s="7"/>
      <c r="D28" s="7"/>
      <c r="E28" s="7"/>
      <c r="F28" s="20"/>
      <c r="G28" s="17" t="str">
        <f aca="false">IF(F28="","",IF(UPPER(TRIM(F28))="JA","Riktig","Prøv igjen"))</f>
        <v/>
      </c>
    </row>
    <row r="29" customFormat="false" ht="15" hidden="false" customHeight="true" outlineLevel="0" collapsed="false">
      <c r="A29" s="7" t="s">
        <v>48</v>
      </c>
      <c r="B29" s="7"/>
      <c r="C29" s="7"/>
      <c r="D29" s="7"/>
      <c r="E29" s="7"/>
      <c r="F29" s="20"/>
      <c r="G29" s="17" t="str">
        <f aca="false">IF(F29="","",IF(UPPER(TRIM(F29))="NEI","Riktig","Prøv igjen"))</f>
        <v/>
      </c>
    </row>
    <row r="30" customFormat="false" ht="15" hidden="false" customHeight="true" outlineLevel="0" collapsed="false">
      <c r="A30" s="7" t="s">
        <v>49</v>
      </c>
      <c r="B30" s="7"/>
      <c r="C30" s="7"/>
      <c r="D30" s="7"/>
      <c r="E30" s="7"/>
      <c r="F30" s="20"/>
      <c r="G30" s="17" t="str">
        <f aca="false">IF(F30="","",IF(UPPER(TRIM(F30))="NEI","Riktig","Prøv igjen"))</f>
        <v/>
      </c>
    </row>
    <row r="31" customFormat="false" ht="48.75" hidden="false" customHeight="true" outlineLevel="0" collapsed="false">
      <c r="A31" s="7" t="s">
        <v>50</v>
      </c>
      <c r="B31" s="7"/>
      <c r="C31" s="7"/>
      <c r="D31" s="7"/>
      <c r="E31" s="7"/>
    </row>
    <row r="32" customFormat="false" ht="15" hidden="false" customHeight="false" outlineLevel="0" collapsed="false">
      <c r="A32" s="21"/>
      <c r="B32" s="21"/>
      <c r="C32" s="21"/>
      <c r="D32" s="21"/>
      <c r="E32" s="21"/>
      <c r="F32" s="21"/>
      <c r="G32" s="21"/>
    </row>
    <row r="33" customFormat="false" ht="15" hidden="false" customHeight="false" outlineLevel="0" collapsed="false">
      <c r="A33" s="21"/>
      <c r="B33" s="21"/>
      <c r="C33" s="21"/>
      <c r="D33" s="21"/>
      <c r="E33" s="21"/>
      <c r="F33" s="21"/>
      <c r="G33" s="21"/>
    </row>
    <row r="34" customFormat="false" ht="15" hidden="false" customHeight="false" outlineLevel="0" collapsed="false">
      <c r="A34" s="21"/>
      <c r="B34" s="21"/>
      <c r="C34" s="21"/>
      <c r="D34" s="21"/>
      <c r="E34" s="21"/>
      <c r="F34" s="21"/>
      <c r="G34" s="21"/>
    </row>
    <row r="35" customFormat="false" ht="30" hidden="false" customHeight="true" outlineLevel="0" collapsed="false">
      <c r="A35" s="18" t="s">
        <v>39</v>
      </c>
      <c r="B35" s="19" t="s">
        <v>51</v>
      </c>
      <c r="C35" s="19"/>
      <c r="D35" s="19"/>
      <c r="E35" s="19"/>
      <c r="F35" s="19"/>
      <c r="G35" s="19"/>
    </row>
    <row r="38" customFormat="false" ht="15" hidden="false" customHeight="false" outlineLevel="0" collapsed="false">
      <c r="A38" s="22" t="s">
        <v>52</v>
      </c>
      <c r="B38" s="22"/>
      <c r="C38" s="22"/>
      <c r="D38" s="22"/>
      <c r="E38" s="22"/>
      <c r="F38" s="22"/>
      <c r="G38" s="22"/>
    </row>
    <row r="39" customFormat="false" ht="30" hidden="false" customHeight="true" outlineLevel="0" collapsed="false">
      <c r="A39" s="23" t="s">
        <v>53</v>
      </c>
      <c r="B39" s="24" t="s">
        <v>54</v>
      </c>
      <c r="C39" s="24"/>
      <c r="D39" s="24"/>
      <c r="E39" s="24"/>
      <c r="F39" s="24"/>
      <c r="G39" s="24"/>
    </row>
    <row r="40" customFormat="false" ht="30" hidden="false" customHeight="true" outlineLevel="0" collapsed="false">
      <c r="A40" s="23" t="s">
        <v>55</v>
      </c>
      <c r="B40" s="24" t="s">
        <v>56</v>
      </c>
      <c r="C40" s="24"/>
      <c r="D40" s="24"/>
      <c r="E40" s="24"/>
      <c r="F40" s="24"/>
      <c r="G40" s="24"/>
    </row>
    <row r="42" customFormat="false" ht="48.75" hidden="false" customHeight="true" outlineLevel="0" collapsed="false">
      <c r="A42" s="6" t="s">
        <v>57</v>
      </c>
      <c r="B42" s="6"/>
      <c r="C42" s="6"/>
      <c r="D42" s="6"/>
      <c r="E42" s="6"/>
      <c r="F42" s="6"/>
      <c r="G42" s="6"/>
    </row>
    <row r="43" customFormat="false" ht="15" hidden="false" customHeight="true" outlineLevel="0" collapsed="false">
      <c r="A43" s="6" t="s">
        <v>58</v>
      </c>
      <c r="B43" s="6"/>
      <c r="C43" s="6"/>
      <c r="D43" s="6"/>
      <c r="E43" s="6"/>
      <c r="F43" s="6"/>
      <c r="G43" s="6"/>
    </row>
  </sheetData>
  <mergeCells count="23">
    <mergeCell ref="A4:G4"/>
    <mergeCell ref="A5:G5"/>
    <mergeCell ref="A15:G15"/>
    <mergeCell ref="A17:E17"/>
    <mergeCell ref="A18:E18"/>
    <mergeCell ref="B19:G19"/>
    <mergeCell ref="A21:E21"/>
    <mergeCell ref="B22:G22"/>
    <mergeCell ref="A24:E24"/>
    <mergeCell ref="A25:E25"/>
    <mergeCell ref="A26:E26"/>
    <mergeCell ref="A27:E27"/>
    <mergeCell ref="A28:E28"/>
    <mergeCell ref="A29:E29"/>
    <mergeCell ref="A30:E30"/>
    <mergeCell ref="A31:E31"/>
    <mergeCell ref="A32:G34"/>
    <mergeCell ref="B35:G35"/>
    <mergeCell ref="A38:G38"/>
    <mergeCell ref="B39:G39"/>
    <mergeCell ref="B40:G40"/>
    <mergeCell ref="A42:G42"/>
    <mergeCell ref="A43:G4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59</v>
      </c>
    </row>
    <row r="2" customFormat="false" ht="15" hidden="false" customHeight="false" outlineLevel="0" collapsed="false">
      <c r="A2" s="2" t="s">
        <v>21</v>
      </c>
    </row>
    <row r="4" customFormat="false" ht="93.75" hidden="false" customHeight="true" outlineLevel="0" collapsed="false">
      <c r="A4" s="6" t="s">
        <v>60</v>
      </c>
      <c r="B4" s="6"/>
      <c r="C4" s="6"/>
      <c r="D4" s="6"/>
      <c r="E4" s="6"/>
      <c r="F4" s="6"/>
      <c r="G4" s="6"/>
    </row>
    <row r="5" customFormat="false" ht="108.75" hidden="false" customHeight="true" outlineLevel="0" collapsed="false">
      <c r="A5" s="7" t="s">
        <v>61</v>
      </c>
      <c r="B5" s="7"/>
      <c r="C5" s="7"/>
      <c r="D5" s="7"/>
      <c r="E5" s="7"/>
      <c r="F5" s="7"/>
      <c r="G5" s="7"/>
    </row>
    <row r="7" customFormat="false" ht="15" hidden="false" customHeight="false" outlineLevel="0" collapsed="false">
      <c r="A7" s="16" t="s">
        <v>62</v>
      </c>
      <c r="B7" s="16" t="s">
        <v>63</v>
      </c>
      <c r="C7" s="16"/>
      <c r="D7" s="16"/>
      <c r="E7" s="16"/>
      <c r="F7" s="16"/>
      <c r="G7" s="16"/>
    </row>
    <row r="8" customFormat="false" ht="18.75" hidden="false" customHeight="true" outlineLevel="0" collapsed="false">
      <c r="A8" s="25" t="s">
        <v>64</v>
      </c>
      <c r="B8" s="7" t="s">
        <v>65</v>
      </c>
      <c r="C8" s="7"/>
      <c r="D8" s="7"/>
      <c r="E8" s="7"/>
      <c r="F8" s="7"/>
      <c r="G8" s="7"/>
    </row>
    <row r="9" customFormat="false" ht="18.75" hidden="false" customHeight="true" outlineLevel="0" collapsed="false">
      <c r="A9" s="25" t="s">
        <v>66</v>
      </c>
      <c r="B9" s="7" t="s">
        <v>67</v>
      </c>
      <c r="C9" s="7"/>
      <c r="D9" s="7"/>
      <c r="E9" s="7"/>
      <c r="F9" s="7"/>
      <c r="G9" s="7"/>
    </row>
    <row r="10" customFormat="false" ht="18.75" hidden="false" customHeight="true" outlineLevel="0" collapsed="false">
      <c r="A10" s="25" t="s">
        <v>68</v>
      </c>
      <c r="B10" s="7" t="s">
        <v>69</v>
      </c>
      <c r="C10" s="7"/>
      <c r="D10" s="7"/>
      <c r="E10" s="7"/>
      <c r="F10" s="7"/>
      <c r="G10" s="7"/>
    </row>
    <row r="11" customFormat="false" ht="18.75" hidden="false" customHeight="true" outlineLevel="0" collapsed="false">
      <c r="A11" s="25" t="s">
        <v>70</v>
      </c>
      <c r="B11" s="7" t="s">
        <v>71</v>
      </c>
      <c r="C11" s="7"/>
      <c r="D11" s="7"/>
      <c r="E11" s="7"/>
      <c r="F11" s="7"/>
      <c r="G11" s="7"/>
    </row>
    <row r="12" customFormat="false" ht="18.75" hidden="false" customHeight="true" outlineLevel="0" collapsed="false">
      <c r="A12" s="25" t="s">
        <v>72</v>
      </c>
      <c r="B12" s="7" t="s">
        <v>73</v>
      </c>
      <c r="C12" s="7"/>
      <c r="D12" s="7"/>
      <c r="E12" s="7"/>
      <c r="F12" s="7"/>
      <c r="G12" s="7"/>
    </row>
    <row r="13" customFormat="false" ht="18.75" hidden="false" customHeight="true" outlineLevel="0" collapsed="false">
      <c r="A13" s="25" t="s">
        <v>74</v>
      </c>
      <c r="B13" s="7" t="s">
        <v>75</v>
      </c>
      <c r="C13" s="7"/>
      <c r="D13" s="7"/>
      <c r="E13" s="7"/>
      <c r="F13" s="7"/>
      <c r="G13" s="7"/>
    </row>
    <row r="14" customFormat="false" ht="18.75" hidden="false" customHeight="true" outlineLevel="0" collapsed="false">
      <c r="A14" s="25" t="s">
        <v>76</v>
      </c>
      <c r="B14" s="7" t="s">
        <v>77</v>
      </c>
      <c r="C14" s="7"/>
      <c r="D14" s="7"/>
      <c r="E14" s="7"/>
      <c r="F14" s="7"/>
      <c r="G14" s="7"/>
    </row>
    <row r="15" customFormat="false" ht="18.75" hidden="false" customHeight="true" outlineLevel="0" collapsed="false">
      <c r="A15" s="25" t="s">
        <v>78</v>
      </c>
      <c r="B15" s="7" t="s">
        <v>79</v>
      </c>
      <c r="C15" s="7"/>
      <c r="D15" s="7"/>
      <c r="E15" s="7"/>
      <c r="F15" s="7"/>
      <c r="G15" s="7"/>
    </row>
    <row r="17" customFormat="false" ht="15" hidden="false" customHeight="false" outlineLevel="0" collapsed="false">
      <c r="A17" s="16" t="s">
        <v>35</v>
      </c>
      <c r="B17" s="16"/>
      <c r="C17" s="16"/>
      <c r="D17" s="16"/>
      <c r="E17" s="16"/>
      <c r="F17" s="16" t="s">
        <v>36</v>
      </c>
      <c r="G17" s="16" t="s">
        <v>37</v>
      </c>
    </row>
    <row r="18" customFormat="false" ht="33.75" hidden="false" customHeight="true" outlineLevel="0" collapsed="false">
      <c r="A18" s="7" t="s">
        <v>80</v>
      </c>
      <c r="B18" s="7"/>
      <c r="C18" s="7"/>
      <c r="D18" s="7"/>
      <c r="E18" s="7"/>
    </row>
    <row r="19" customFormat="false" ht="15" hidden="false" customHeight="true" outlineLevel="0" collapsed="false">
      <c r="A19" s="7" t="s">
        <v>81</v>
      </c>
      <c r="B19" s="7"/>
      <c r="C19" s="7"/>
      <c r="D19" s="7"/>
      <c r="E19" s="7"/>
      <c r="F19" s="20"/>
      <c r="G19" s="17" t="str">
        <f aca="false">IF(F19="","",IF(UPPER(TRIM(F19))="JA","Riktig","Prøv igjen"))</f>
        <v/>
      </c>
    </row>
    <row r="20" customFormat="false" ht="15" hidden="false" customHeight="true" outlineLevel="0" collapsed="false">
      <c r="A20" s="7" t="s">
        <v>82</v>
      </c>
      <c r="B20" s="7"/>
      <c r="C20" s="7"/>
      <c r="D20" s="7"/>
      <c r="E20" s="7"/>
      <c r="F20" s="20"/>
      <c r="G20" s="17" t="str">
        <f aca="false">IF(F20="","",IF(UPPER(TRIM(F20))="JA","Riktig","Prøv igjen"))</f>
        <v/>
      </c>
    </row>
    <row r="21" customFormat="false" ht="15" hidden="false" customHeight="true" outlineLevel="0" collapsed="false">
      <c r="A21" s="7" t="s">
        <v>83</v>
      </c>
      <c r="B21" s="7"/>
      <c r="C21" s="7"/>
      <c r="D21" s="7"/>
      <c r="E21" s="7"/>
      <c r="F21" s="20"/>
      <c r="G21" s="17" t="str">
        <f aca="false">IF(F21="","",IF(UPPER(TRIM(F21))="NEI","Riktig","Prøv igjen"))</f>
        <v/>
      </c>
    </row>
    <row r="22" customFormat="false" ht="15" hidden="false" customHeight="true" outlineLevel="0" collapsed="false">
      <c r="A22" s="7" t="s">
        <v>84</v>
      </c>
      <c r="B22" s="7"/>
      <c r="C22" s="7"/>
      <c r="D22" s="7"/>
      <c r="E22" s="7"/>
      <c r="F22" s="20"/>
      <c r="G22" s="17" t="str">
        <f aca="false">IF(F22="","",IF(UPPER(TRIM(F22))="NEI","Riktig","Prøv igjen"))</f>
        <v/>
      </c>
    </row>
    <row r="23" customFormat="false" ht="15" hidden="false" customHeight="true" outlineLevel="0" collapsed="false">
      <c r="A23" s="7" t="s">
        <v>85</v>
      </c>
      <c r="B23" s="7"/>
      <c r="C23" s="7"/>
      <c r="D23" s="7"/>
      <c r="E23" s="7"/>
      <c r="F23" s="20"/>
      <c r="G23" s="17" t="str">
        <f aca="false">IF(F23="","",IF(UPPER(TRIM(F23))="NEI","Riktig","Prøv igjen"))</f>
        <v/>
      </c>
    </row>
    <row r="24" customFormat="false" ht="63.75" hidden="false" customHeight="true" outlineLevel="0" collapsed="false">
      <c r="A24" s="7" t="s">
        <v>86</v>
      </c>
      <c r="B24" s="7"/>
      <c r="C24" s="7"/>
      <c r="D24" s="7"/>
      <c r="E24" s="7"/>
      <c r="F24" s="20"/>
      <c r="G24" s="17" t="str">
        <f aca="false">IF(F24="","",IF(UPPER(TRIM(F24))="B","Riktig","Prøv igjen"))</f>
        <v/>
      </c>
    </row>
    <row r="25" customFormat="false" ht="33.75" hidden="false" customHeight="true" outlineLevel="0" collapsed="false">
      <c r="A25" s="7" t="s">
        <v>87</v>
      </c>
      <c r="B25" s="7"/>
      <c r="C25" s="7"/>
      <c r="D25" s="7"/>
      <c r="E25" s="7"/>
      <c r="F25" s="15"/>
      <c r="G25" s="17" t="str">
        <f aca="false">IF(F25="","",IF(ABS(F25-(61410))&lt;=1,"Riktig","Prøv igjen"))</f>
        <v/>
      </c>
    </row>
    <row r="26" customFormat="false" ht="30" hidden="false" customHeight="true" outlineLevel="0" collapsed="false">
      <c r="A26" s="18" t="s">
        <v>39</v>
      </c>
      <c r="B26" s="19" t="s">
        <v>88</v>
      </c>
      <c r="C26" s="19"/>
      <c r="D26" s="19"/>
      <c r="E26" s="19"/>
      <c r="F26" s="19"/>
      <c r="G26" s="19"/>
    </row>
    <row r="28" customFormat="false" ht="63.75" hidden="false" customHeight="true" outlineLevel="0" collapsed="false">
      <c r="A28" s="7" t="s">
        <v>89</v>
      </c>
      <c r="B28" s="7"/>
      <c r="C28" s="7"/>
      <c r="D28" s="7"/>
      <c r="E28" s="7"/>
      <c r="F28" s="20"/>
      <c r="G28" s="17" t="str">
        <f aca="false">IF(F28="","",IF(UPPER(TRIM(F28))="B","Riktig","Prøv igjen"))</f>
        <v/>
      </c>
    </row>
    <row r="29" customFormat="false" ht="48.75" hidden="false" customHeight="true" outlineLevel="0" collapsed="false">
      <c r="A29" s="7" t="s">
        <v>90</v>
      </c>
      <c r="B29" s="7"/>
      <c r="C29" s="7"/>
      <c r="D29" s="7"/>
      <c r="E29" s="7"/>
    </row>
    <row r="30" customFormat="false" ht="15" hidden="false" customHeight="false" outlineLevel="0" collapsed="false">
      <c r="A30" s="21"/>
      <c r="B30" s="21"/>
      <c r="C30" s="21"/>
      <c r="D30" s="21"/>
      <c r="E30" s="21"/>
      <c r="F30" s="21"/>
      <c r="G30" s="21"/>
    </row>
    <row r="31" customFormat="false" ht="15" hidden="false" customHeight="false" outlineLevel="0" collapsed="false">
      <c r="A31" s="21"/>
      <c r="B31" s="21"/>
      <c r="C31" s="21"/>
      <c r="D31" s="21"/>
      <c r="E31" s="21"/>
      <c r="F31" s="21"/>
      <c r="G31" s="21"/>
    </row>
    <row r="32" customFormat="false" ht="15" hidden="false" customHeight="false" outlineLevel="0" collapsed="false">
      <c r="A32" s="21"/>
      <c r="B32" s="21"/>
      <c r="C32" s="21"/>
      <c r="D32" s="21"/>
      <c r="E32" s="21"/>
      <c r="F32" s="21"/>
      <c r="G32" s="21"/>
    </row>
    <row r="33" customFormat="false" ht="30" hidden="false" customHeight="true" outlineLevel="0" collapsed="false">
      <c r="A33" s="18" t="s">
        <v>39</v>
      </c>
      <c r="B33" s="19" t="s">
        <v>91</v>
      </c>
      <c r="C33" s="19"/>
      <c r="D33" s="19"/>
      <c r="E33" s="19"/>
      <c r="F33" s="19"/>
      <c r="G33" s="19"/>
    </row>
    <row r="36" customFormat="false" ht="15" hidden="false" customHeight="false" outlineLevel="0" collapsed="false">
      <c r="A36" s="22" t="s">
        <v>52</v>
      </c>
      <c r="B36" s="22"/>
      <c r="C36" s="22"/>
      <c r="D36" s="22"/>
      <c r="E36" s="22"/>
      <c r="F36" s="22"/>
      <c r="G36" s="22"/>
    </row>
    <row r="37" customFormat="false" ht="30" hidden="false" customHeight="true" outlineLevel="0" collapsed="false">
      <c r="A37" s="23" t="s">
        <v>92</v>
      </c>
      <c r="B37" s="24" t="s">
        <v>93</v>
      </c>
      <c r="C37" s="24"/>
      <c r="D37" s="24"/>
      <c r="E37" s="24"/>
      <c r="F37" s="24"/>
      <c r="G37" s="24"/>
    </row>
    <row r="38" customFormat="false" ht="30" hidden="false" customHeight="true" outlineLevel="0" collapsed="false">
      <c r="A38" s="23" t="s">
        <v>94</v>
      </c>
      <c r="B38" s="24" t="s">
        <v>95</v>
      </c>
      <c r="C38" s="24"/>
      <c r="D38" s="24"/>
      <c r="E38" s="24"/>
      <c r="F38" s="24"/>
      <c r="G38" s="24"/>
    </row>
    <row r="40" customFormat="false" ht="63.75" hidden="false" customHeight="true" outlineLevel="0" collapsed="false">
      <c r="A40" s="6" t="s">
        <v>96</v>
      </c>
      <c r="B40" s="6"/>
      <c r="C40" s="6"/>
      <c r="D40" s="6"/>
      <c r="E40" s="6"/>
      <c r="F40" s="6"/>
      <c r="G40" s="6"/>
    </row>
    <row r="41" customFormat="false" ht="15" hidden="false" customHeight="true" outlineLevel="0" collapsed="false">
      <c r="A41" s="6" t="s">
        <v>58</v>
      </c>
      <c r="B41" s="6"/>
      <c r="C41" s="6"/>
      <c r="D41" s="6"/>
      <c r="E41" s="6"/>
      <c r="F41" s="6"/>
      <c r="G41" s="6"/>
    </row>
  </sheetData>
  <mergeCells count="3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97</v>
      </c>
    </row>
    <row r="2" customFormat="false" ht="15" hidden="false" customHeight="false" outlineLevel="0" collapsed="false">
      <c r="A2" s="2" t="s">
        <v>21</v>
      </c>
    </row>
    <row r="4" customFormat="false" ht="78.75" hidden="false" customHeight="true" outlineLevel="0" collapsed="false">
      <c r="A4" s="6" t="s">
        <v>98</v>
      </c>
      <c r="B4" s="6"/>
      <c r="C4" s="6"/>
      <c r="D4" s="6"/>
      <c r="E4" s="6"/>
      <c r="F4" s="6"/>
      <c r="G4" s="6"/>
    </row>
    <row r="5" customFormat="false" ht="123.75" hidden="false" customHeight="true" outlineLevel="0" collapsed="false">
      <c r="A5" s="7" t="s">
        <v>99</v>
      </c>
      <c r="B5" s="7"/>
      <c r="C5" s="7"/>
      <c r="D5" s="7"/>
      <c r="E5" s="7"/>
      <c r="F5" s="7"/>
      <c r="G5" s="7"/>
    </row>
    <row r="7" customFormat="false" ht="15" hidden="false" customHeight="false" outlineLevel="0" collapsed="false">
      <c r="A7" s="16" t="s">
        <v>62</v>
      </c>
      <c r="B7" s="16" t="s">
        <v>63</v>
      </c>
      <c r="C7" s="16"/>
      <c r="D7" s="16"/>
      <c r="E7" s="16"/>
      <c r="F7" s="16"/>
      <c r="G7" s="16"/>
    </row>
    <row r="8" customFormat="false" ht="18.75" hidden="false" customHeight="true" outlineLevel="0" collapsed="false">
      <c r="A8" s="25" t="s">
        <v>100</v>
      </c>
      <c r="B8" s="7" t="s">
        <v>101</v>
      </c>
      <c r="C8" s="7"/>
      <c r="D8" s="7"/>
      <c r="E8" s="7"/>
      <c r="F8" s="7"/>
      <c r="G8" s="7"/>
    </row>
    <row r="9" customFormat="false" ht="18.75" hidden="false" customHeight="true" outlineLevel="0" collapsed="false">
      <c r="A9" s="25" t="s">
        <v>102</v>
      </c>
      <c r="B9" s="7" t="s">
        <v>103</v>
      </c>
      <c r="C9" s="7"/>
      <c r="D9" s="7"/>
      <c r="E9" s="7"/>
      <c r="F9" s="7"/>
      <c r="G9" s="7"/>
    </row>
    <row r="10" customFormat="false" ht="18.75" hidden="false" customHeight="true" outlineLevel="0" collapsed="false">
      <c r="A10" s="25" t="s">
        <v>104</v>
      </c>
      <c r="B10" s="7" t="s">
        <v>105</v>
      </c>
      <c r="C10" s="7"/>
      <c r="D10" s="7"/>
      <c r="E10" s="7"/>
      <c r="F10" s="7"/>
      <c r="G10" s="7"/>
    </row>
    <row r="11" customFormat="false" ht="18.75" hidden="false" customHeight="true" outlineLevel="0" collapsed="false">
      <c r="A11" s="25" t="s">
        <v>106</v>
      </c>
      <c r="B11" s="7" t="s">
        <v>107</v>
      </c>
      <c r="C11" s="7"/>
      <c r="D11" s="7"/>
      <c r="E11" s="7"/>
      <c r="F11" s="7"/>
      <c r="G11" s="7"/>
    </row>
    <row r="12" customFormat="false" ht="18.75" hidden="false" customHeight="true" outlineLevel="0" collapsed="false">
      <c r="A12" s="25" t="s">
        <v>108</v>
      </c>
      <c r="B12" s="7" t="s">
        <v>109</v>
      </c>
      <c r="C12" s="7"/>
      <c r="D12" s="7"/>
      <c r="E12" s="7"/>
      <c r="F12" s="7"/>
      <c r="G12" s="7"/>
    </row>
    <row r="13" customFormat="false" ht="18.75" hidden="false" customHeight="true" outlineLevel="0" collapsed="false">
      <c r="A13" s="25" t="s">
        <v>110</v>
      </c>
      <c r="B13" s="7" t="s">
        <v>111</v>
      </c>
      <c r="C13" s="7"/>
      <c r="D13" s="7"/>
      <c r="E13" s="7"/>
      <c r="F13" s="7"/>
      <c r="G13" s="7"/>
    </row>
    <row r="15" customFormat="false" ht="15" hidden="false" customHeight="false" outlineLevel="0" collapsed="false">
      <c r="A15" s="16" t="s">
        <v>35</v>
      </c>
      <c r="B15" s="16"/>
      <c r="C15" s="16"/>
      <c r="D15" s="16"/>
      <c r="E15" s="16"/>
      <c r="F15" s="16" t="s">
        <v>36</v>
      </c>
      <c r="G15" s="16" t="s">
        <v>37</v>
      </c>
    </row>
    <row r="16" customFormat="false" ht="48.75" hidden="false" customHeight="true" outlineLevel="0" collapsed="false">
      <c r="A16" s="7" t="s">
        <v>112</v>
      </c>
      <c r="B16" s="7"/>
      <c r="C16" s="7"/>
      <c r="D16" s="7"/>
      <c r="E16" s="7"/>
      <c r="F16" s="20"/>
      <c r="G16" s="17" t="str">
        <f aca="false">IF(F16="","",IF(UPPER(TRIM(F16))="B","Riktig","Prøv igjen"))</f>
        <v/>
      </c>
    </row>
    <row r="17" customFormat="false" ht="48.75" hidden="false" customHeight="true" outlineLevel="0" collapsed="false">
      <c r="A17" s="7" t="s">
        <v>113</v>
      </c>
      <c r="B17" s="7"/>
      <c r="C17" s="7"/>
      <c r="D17" s="7"/>
      <c r="E17" s="7"/>
      <c r="F17" s="20"/>
      <c r="G17" s="17" t="str">
        <f aca="false">IF(F17="","",IF(UPPER(TRIM(F17))="C","Riktig","Prøv igjen"))</f>
        <v/>
      </c>
    </row>
    <row r="18" customFormat="false" ht="33.75" hidden="false" customHeight="true" outlineLevel="0" collapsed="false">
      <c r="A18" s="7" t="s">
        <v>114</v>
      </c>
      <c r="B18" s="7"/>
      <c r="C18" s="7"/>
      <c r="D18" s="7"/>
      <c r="E18" s="7"/>
    </row>
    <row r="19" customFormat="false" ht="15" hidden="false" customHeight="true" outlineLevel="0" collapsed="false">
      <c r="A19" s="7" t="s">
        <v>115</v>
      </c>
      <c r="B19" s="7"/>
      <c r="C19" s="7"/>
      <c r="D19" s="7"/>
      <c r="E19" s="7"/>
      <c r="F19" s="20"/>
      <c r="G19" s="17" t="str">
        <f aca="false">IF(F19="","",IF(UPPER(TRIM(F19))="JA","Riktig","Prøv igjen"))</f>
        <v/>
      </c>
    </row>
    <row r="20" customFormat="false" ht="15" hidden="false" customHeight="true" outlineLevel="0" collapsed="false">
      <c r="A20" s="7" t="s">
        <v>116</v>
      </c>
      <c r="B20" s="7"/>
      <c r="C20" s="7"/>
      <c r="D20" s="7"/>
      <c r="E20" s="7"/>
      <c r="F20" s="20"/>
      <c r="G20" s="17" t="str">
        <f aca="false">IF(F20="","",IF(UPPER(TRIM(F20))="JA","Riktig","Prøv igjen"))</f>
        <v/>
      </c>
    </row>
    <row r="21" customFormat="false" ht="15" hidden="false" customHeight="true" outlineLevel="0" collapsed="false">
      <c r="A21" s="7" t="s">
        <v>117</v>
      </c>
      <c r="B21" s="7"/>
      <c r="C21" s="7"/>
      <c r="D21" s="7"/>
      <c r="E21" s="7"/>
      <c r="F21" s="20"/>
      <c r="G21" s="17" t="str">
        <f aca="false">IF(F21="","",IF(UPPER(TRIM(F21))="NEI","Riktig","Prøv igjen"))</f>
        <v/>
      </c>
    </row>
    <row r="22" customFormat="false" ht="15" hidden="false" customHeight="true" outlineLevel="0" collapsed="false">
      <c r="A22" s="7" t="s">
        <v>118</v>
      </c>
      <c r="B22" s="7"/>
      <c r="C22" s="7"/>
      <c r="D22" s="7"/>
      <c r="E22" s="7"/>
      <c r="F22" s="20"/>
      <c r="G22" s="17" t="str">
        <f aca="false">IF(F22="","",IF(UPPER(TRIM(F22))="NEI","Riktig","Prøv igjen"))</f>
        <v/>
      </c>
    </row>
    <row r="23" customFormat="false" ht="63.75" hidden="false" customHeight="true" outlineLevel="0" collapsed="false">
      <c r="A23" s="7" t="s">
        <v>119</v>
      </c>
      <c r="B23" s="7"/>
      <c r="C23" s="7"/>
      <c r="D23" s="7"/>
      <c r="E23" s="7"/>
      <c r="F23" s="20"/>
      <c r="G23" s="17" t="str">
        <f aca="false">IF(F23="","",IF(UPPER(TRIM(F23))="B","Riktig","Prøv igjen"))</f>
        <v/>
      </c>
    </row>
    <row r="24" customFormat="false" ht="33.75" hidden="false" customHeight="true" outlineLevel="0" collapsed="false">
      <c r="A24" s="7" t="s">
        <v>120</v>
      </c>
      <c r="B24" s="7"/>
      <c r="C24" s="7"/>
      <c r="D24" s="7"/>
      <c r="E24" s="7"/>
    </row>
    <row r="25" customFormat="false" ht="15" hidden="false" customHeight="false" outlineLevel="0" collapsed="false">
      <c r="A25" s="21"/>
      <c r="B25" s="21"/>
      <c r="C25" s="21"/>
      <c r="D25" s="21"/>
      <c r="E25" s="21"/>
      <c r="F25" s="21"/>
      <c r="G25" s="21"/>
    </row>
    <row r="26" customFormat="false" ht="15" hidden="false" customHeight="false" outlineLevel="0" collapsed="false">
      <c r="A26" s="21"/>
      <c r="B26" s="21"/>
      <c r="C26" s="21"/>
      <c r="D26" s="21"/>
      <c r="E26" s="21"/>
      <c r="F26" s="21"/>
      <c r="G26" s="21"/>
    </row>
    <row r="27" customFormat="false" ht="15" hidden="false" customHeight="false" outlineLevel="0" collapsed="false">
      <c r="A27" s="21"/>
      <c r="B27" s="21"/>
      <c r="C27" s="21"/>
      <c r="D27" s="21"/>
      <c r="E27" s="21"/>
      <c r="F27" s="21"/>
      <c r="G27" s="21"/>
    </row>
    <row r="28" customFormat="false" ht="30" hidden="false" customHeight="true" outlineLevel="0" collapsed="false">
      <c r="A28" s="18" t="s">
        <v>39</v>
      </c>
      <c r="B28" s="19" t="s">
        <v>121</v>
      </c>
      <c r="C28" s="19"/>
      <c r="D28" s="19"/>
      <c r="E28" s="19"/>
      <c r="F28" s="19"/>
      <c r="G28" s="19"/>
    </row>
    <row r="31" customFormat="false" ht="15" hidden="false" customHeight="false" outlineLevel="0" collapsed="false">
      <c r="A31" s="22" t="s">
        <v>52</v>
      </c>
      <c r="B31" s="22"/>
      <c r="C31" s="22"/>
      <c r="D31" s="22"/>
      <c r="E31" s="22"/>
      <c r="F31" s="22"/>
      <c r="G31" s="22"/>
    </row>
    <row r="32" customFormat="false" ht="30" hidden="false" customHeight="true" outlineLevel="0" collapsed="false">
      <c r="A32" s="23" t="s">
        <v>122</v>
      </c>
      <c r="B32" s="24" t="s">
        <v>123</v>
      </c>
      <c r="C32" s="24"/>
      <c r="D32" s="24"/>
      <c r="E32" s="24"/>
      <c r="F32" s="24"/>
      <c r="G32" s="24"/>
    </row>
    <row r="33" customFormat="false" ht="30" hidden="false" customHeight="true" outlineLevel="0" collapsed="false">
      <c r="A33" s="23" t="s">
        <v>124</v>
      </c>
      <c r="B33" s="24" t="s">
        <v>125</v>
      </c>
      <c r="C33" s="24"/>
      <c r="D33" s="24"/>
      <c r="E33" s="24"/>
      <c r="F33" s="24"/>
      <c r="G33" s="24"/>
    </row>
    <row r="35" customFormat="false" ht="48.75" hidden="false" customHeight="true" outlineLevel="0" collapsed="false">
      <c r="A35" s="6" t="s">
        <v>126</v>
      </c>
      <c r="B35" s="6"/>
      <c r="C35" s="6"/>
      <c r="D35" s="6"/>
      <c r="E35" s="6"/>
      <c r="F35" s="6"/>
      <c r="G35" s="6"/>
    </row>
    <row r="36" customFormat="false" ht="15" hidden="false" customHeight="true" outlineLevel="0" collapsed="false">
      <c r="A36" s="6" t="s">
        <v>58</v>
      </c>
      <c r="B36" s="6"/>
      <c r="C36" s="6"/>
      <c r="D36" s="6"/>
      <c r="E36" s="6"/>
      <c r="F36" s="6"/>
      <c r="G36" s="6"/>
    </row>
  </sheetData>
  <mergeCells count="26">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E21"/>
    <mergeCell ref="A22:E22"/>
    <mergeCell ref="A23:E23"/>
    <mergeCell ref="A24:E24"/>
    <mergeCell ref="A25:G27"/>
    <mergeCell ref="B28:G28"/>
    <mergeCell ref="A31:G31"/>
    <mergeCell ref="B32:G32"/>
    <mergeCell ref="B33:G33"/>
    <mergeCell ref="A35:G35"/>
    <mergeCell ref="A36:G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127</v>
      </c>
    </row>
    <row r="2" customFormat="false" ht="15" hidden="false" customHeight="false" outlineLevel="0" collapsed="false">
      <c r="A2" s="2" t="s">
        <v>21</v>
      </c>
    </row>
    <row r="4" customFormat="false" ht="93.75" hidden="false" customHeight="true" outlineLevel="0" collapsed="false">
      <c r="A4" s="6" t="s">
        <v>128</v>
      </c>
      <c r="B4" s="6"/>
      <c r="C4" s="6"/>
      <c r="D4" s="6"/>
      <c r="E4" s="6"/>
      <c r="F4" s="6"/>
      <c r="G4" s="6"/>
    </row>
    <row r="5" customFormat="false" ht="93.75" hidden="false" customHeight="true" outlineLevel="0" collapsed="false">
      <c r="A5" s="7" t="s">
        <v>129</v>
      </c>
      <c r="B5" s="7"/>
      <c r="C5" s="7"/>
      <c r="D5" s="7"/>
      <c r="E5" s="7"/>
      <c r="F5" s="7"/>
      <c r="G5" s="7"/>
    </row>
    <row r="7" customFormat="false" ht="15" hidden="false" customHeight="false" outlineLevel="0" collapsed="false">
      <c r="A7" s="16" t="s">
        <v>62</v>
      </c>
      <c r="B7" s="16" t="s">
        <v>63</v>
      </c>
      <c r="C7" s="16"/>
      <c r="D7" s="16"/>
      <c r="E7" s="16"/>
      <c r="F7" s="16"/>
      <c r="G7" s="16"/>
    </row>
    <row r="8" customFormat="false" ht="18.75" hidden="false" customHeight="true" outlineLevel="0" collapsed="false">
      <c r="A8" s="25" t="s">
        <v>130</v>
      </c>
      <c r="B8" s="7" t="s">
        <v>131</v>
      </c>
      <c r="C8" s="7"/>
      <c r="D8" s="7"/>
      <c r="E8" s="7"/>
      <c r="F8" s="7"/>
      <c r="G8" s="7"/>
    </row>
    <row r="9" customFormat="false" ht="18.75" hidden="false" customHeight="true" outlineLevel="0" collapsed="false">
      <c r="A9" s="25" t="s">
        <v>132</v>
      </c>
      <c r="B9" s="7" t="s">
        <v>133</v>
      </c>
      <c r="C9" s="7"/>
      <c r="D9" s="7"/>
      <c r="E9" s="7"/>
      <c r="F9" s="7"/>
      <c r="G9" s="7"/>
    </row>
    <row r="10" customFormat="false" ht="18.75" hidden="false" customHeight="true" outlineLevel="0" collapsed="false">
      <c r="A10" s="25" t="s">
        <v>134</v>
      </c>
      <c r="B10" s="7" t="s">
        <v>135</v>
      </c>
      <c r="C10" s="7"/>
      <c r="D10" s="7"/>
      <c r="E10" s="7"/>
      <c r="F10" s="7"/>
      <c r="G10" s="7"/>
    </row>
    <row r="11" customFormat="false" ht="18.75" hidden="false" customHeight="true" outlineLevel="0" collapsed="false">
      <c r="A11" s="25" t="s">
        <v>136</v>
      </c>
      <c r="B11" s="7" t="s">
        <v>137</v>
      </c>
      <c r="C11" s="7"/>
      <c r="D11" s="7"/>
      <c r="E11" s="7"/>
      <c r="F11" s="7"/>
      <c r="G11" s="7"/>
    </row>
    <row r="12" customFormat="false" ht="18.75" hidden="false" customHeight="true" outlineLevel="0" collapsed="false">
      <c r="A12" s="25" t="s">
        <v>138</v>
      </c>
      <c r="B12" s="7" t="s">
        <v>139</v>
      </c>
      <c r="C12" s="7"/>
      <c r="D12" s="7"/>
      <c r="E12" s="7"/>
      <c r="F12" s="7"/>
      <c r="G12" s="7"/>
    </row>
    <row r="13" customFormat="false" ht="18.75" hidden="false" customHeight="true" outlineLevel="0" collapsed="false">
      <c r="A13" s="25" t="s">
        <v>140</v>
      </c>
      <c r="B13" s="7" t="s">
        <v>141</v>
      </c>
      <c r="C13" s="7"/>
      <c r="D13" s="7"/>
      <c r="E13" s="7"/>
      <c r="F13" s="7"/>
      <c r="G13" s="7"/>
    </row>
    <row r="14" customFormat="false" ht="18.75" hidden="false" customHeight="true" outlineLevel="0" collapsed="false">
      <c r="A14" s="25" t="s">
        <v>142</v>
      </c>
      <c r="B14" s="7" t="s">
        <v>143</v>
      </c>
      <c r="C14" s="7"/>
      <c r="D14" s="7"/>
      <c r="E14" s="7"/>
      <c r="F14" s="7"/>
      <c r="G14" s="7"/>
    </row>
    <row r="15" customFormat="false" ht="18.75" hidden="false" customHeight="true" outlineLevel="0" collapsed="false">
      <c r="A15" s="25" t="s">
        <v>144</v>
      </c>
      <c r="B15" s="7" t="s">
        <v>145</v>
      </c>
      <c r="C15" s="7"/>
      <c r="D15" s="7"/>
      <c r="E15" s="7"/>
      <c r="F15" s="7"/>
      <c r="G15" s="7"/>
    </row>
    <row r="17" customFormat="false" ht="15" hidden="false" customHeight="false" outlineLevel="0" collapsed="false">
      <c r="A17" s="16" t="s">
        <v>35</v>
      </c>
      <c r="B17" s="16"/>
      <c r="C17" s="16"/>
      <c r="D17" s="16"/>
      <c r="E17" s="16"/>
      <c r="F17" s="16" t="s">
        <v>36</v>
      </c>
      <c r="G17" s="16" t="s">
        <v>37</v>
      </c>
    </row>
    <row r="18" customFormat="false" ht="33.75" hidden="false" customHeight="true" outlineLevel="0" collapsed="false">
      <c r="A18" s="7" t="s">
        <v>146</v>
      </c>
      <c r="B18" s="7"/>
      <c r="C18" s="7"/>
      <c r="D18" s="7"/>
      <c r="E18" s="7"/>
      <c r="F18" s="20"/>
      <c r="G18" s="17" t="str">
        <f aca="false">IF(F18="","",IF(UPPER(TRIM(F18))="B","Riktig","Prøv igjen"))</f>
        <v/>
      </c>
    </row>
    <row r="19" customFormat="false" ht="33.75" hidden="false" customHeight="true" outlineLevel="0" collapsed="false">
      <c r="A19" s="7" t="s">
        <v>147</v>
      </c>
      <c r="B19" s="7"/>
      <c r="C19" s="7"/>
      <c r="D19" s="7"/>
      <c r="E19" s="7"/>
    </row>
    <row r="20" customFormat="false" ht="15" hidden="false" customHeight="true" outlineLevel="0" collapsed="false">
      <c r="A20" s="7" t="s">
        <v>148</v>
      </c>
      <c r="B20" s="7"/>
      <c r="C20" s="7"/>
      <c r="D20" s="7"/>
      <c r="E20" s="7"/>
      <c r="F20" s="20"/>
      <c r="G20" s="17" t="str">
        <f aca="false">IF(F20="","",IF(UPPER(TRIM(F20))="JA","Riktig","Prøv igjen"))</f>
        <v/>
      </c>
    </row>
    <row r="21" customFormat="false" ht="15" hidden="false" customHeight="true" outlineLevel="0" collapsed="false">
      <c r="A21" s="7" t="s">
        <v>149</v>
      </c>
      <c r="B21" s="7"/>
      <c r="C21" s="7"/>
      <c r="D21" s="7"/>
      <c r="E21" s="7"/>
      <c r="F21" s="20"/>
      <c r="G21" s="17" t="str">
        <f aca="false">IF(F21="","",IF(UPPER(TRIM(F21))="JA","Riktig","Prøv igjen"))</f>
        <v/>
      </c>
    </row>
    <row r="22" customFormat="false" ht="15" hidden="false" customHeight="true" outlineLevel="0" collapsed="false">
      <c r="A22" s="7" t="s">
        <v>150</v>
      </c>
      <c r="B22" s="7"/>
      <c r="C22" s="7"/>
      <c r="D22" s="7"/>
      <c r="E22" s="7"/>
      <c r="F22" s="20"/>
      <c r="G22" s="17" t="str">
        <f aca="false">IF(F22="","",IF(UPPER(TRIM(F22))="JA","Riktig","Prøv igjen"))</f>
        <v/>
      </c>
    </row>
    <row r="23" customFormat="false" ht="15" hidden="false" customHeight="true" outlineLevel="0" collapsed="false">
      <c r="A23" s="7" t="s">
        <v>151</v>
      </c>
      <c r="B23" s="7"/>
      <c r="C23" s="7"/>
      <c r="D23" s="7"/>
      <c r="E23" s="7"/>
      <c r="F23" s="20"/>
      <c r="G23" s="17" t="str">
        <f aca="false">IF(F23="","",IF(UPPER(TRIM(F23))="NEI","Riktig","Prøv igjen"))</f>
        <v/>
      </c>
    </row>
    <row r="24" customFormat="false" ht="15" hidden="false" customHeight="true" outlineLevel="0" collapsed="false">
      <c r="A24" s="7" t="s">
        <v>152</v>
      </c>
      <c r="B24" s="7"/>
      <c r="C24" s="7"/>
      <c r="D24" s="7"/>
      <c r="E24" s="7"/>
      <c r="F24" s="20"/>
      <c r="G24" s="17" t="str">
        <f aca="false">IF(F24="","",IF(UPPER(TRIM(F24))="NEI","Riktig","Prøv igjen"))</f>
        <v/>
      </c>
    </row>
    <row r="25" customFormat="false" ht="33.75" hidden="false" customHeight="true" outlineLevel="0" collapsed="false">
      <c r="A25" s="7" t="s">
        <v>153</v>
      </c>
      <c r="B25" s="7"/>
      <c r="C25" s="7"/>
      <c r="D25" s="7"/>
      <c r="E25" s="7"/>
      <c r="F25" s="15"/>
      <c r="G25" s="17" t="str">
        <f aca="false">IF(F25="","",IF(ABS(F25-(82208))&lt;=1,"Riktig","Prøv igjen"))</f>
        <v/>
      </c>
    </row>
    <row r="26" customFormat="false" ht="30" hidden="false" customHeight="true" outlineLevel="0" collapsed="false">
      <c r="A26" s="18" t="s">
        <v>39</v>
      </c>
      <c r="B26" s="19" t="s">
        <v>154</v>
      </c>
      <c r="C26" s="19"/>
      <c r="D26" s="19"/>
      <c r="E26" s="19"/>
      <c r="F26" s="19"/>
      <c r="G26" s="19"/>
    </row>
    <row r="28" customFormat="false" ht="63.75" hidden="false" customHeight="true" outlineLevel="0" collapsed="false">
      <c r="A28" s="7" t="s">
        <v>155</v>
      </c>
      <c r="B28" s="7"/>
      <c r="C28" s="7"/>
      <c r="D28" s="7"/>
      <c r="E28" s="7"/>
      <c r="F28" s="20"/>
      <c r="G28" s="17" t="str">
        <f aca="false">IF(F28="","",IF(UPPER(TRIM(F28))="B","Riktig","Prøv igjen"))</f>
        <v/>
      </c>
    </row>
    <row r="29" customFormat="false" ht="33.75" hidden="false" customHeight="true" outlineLevel="0" collapsed="false">
      <c r="A29" s="7" t="s">
        <v>156</v>
      </c>
      <c r="B29" s="7"/>
      <c r="C29" s="7"/>
      <c r="D29" s="7"/>
      <c r="E29" s="7"/>
    </row>
    <row r="30" customFormat="false" ht="15" hidden="false" customHeight="false" outlineLevel="0" collapsed="false">
      <c r="A30" s="21"/>
      <c r="B30" s="21"/>
      <c r="C30" s="21"/>
      <c r="D30" s="21"/>
      <c r="E30" s="21"/>
      <c r="F30" s="21"/>
      <c r="G30" s="21"/>
    </row>
    <row r="31" customFormat="false" ht="15" hidden="false" customHeight="false" outlineLevel="0" collapsed="false">
      <c r="A31" s="21"/>
      <c r="B31" s="21"/>
      <c r="C31" s="21"/>
      <c r="D31" s="21"/>
      <c r="E31" s="21"/>
      <c r="F31" s="21"/>
      <c r="G31" s="21"/>
    </row>
    <row r="32" customFormat="false" ht="15" hidden="false" customHeight="false" outlineLevel="0" collapsed="false">
      <c r="A32" s="21"/>
      <c r="B32" s="21"/>
      <c r="C32" s="21"/>
      <c r="D32" s="21"/>
      <c r="E32" s="21"/>
      <c r="F32" s="21"/>
      <c r="G32" s="21"/>
    </row>
    <row r="33" customFormat="false" ht="30" hidden="false" customHeight="true" outlineLevel="0" collapsed="false">
      <c r="A33" s="18" t="s">
        <v>39</v>
      </c>
      <c r="B33" s="19" t="s">
        <v>157</v>
      </c>
      <c r="C33" s="19"/>
      <c r="D33" s="19"/>
      <c r="E33" s="19"/>
      <c r="F33" s="19"/>
      <c r="G33" s="19"/>
    </row>
    <row r="36" customFormat="false" ht="15" hidden="false" customHeight="false" outlineLevel="0" collapsed="false">
      <c r="A36" s="22" t="s">
        <v>52</v>
      </c>
      <c r="B36" s="22"/>
      <c r="C36" s="22"/>
      <c r="D36" s="22"/>
      <c r="E36" s="22"/>
      <c r="F36" s="22"/>
      <c r="G36" s="22"/>
    </row>
    <row r="37" customFormat="false" ht="30" hidden="false" customHeight="true" outlineLevel="0" collapsed="false">
      <c r="A37" s="23" t="s">
        <v>158</v>
      </c>
      <c r="B37" s="24" t="s">
        <v>159</v>
      </c>
      <c r="C37" s="24"/>
      <c r="D37" s="24"/>
      <c r="E37" s="24"/>
      <c r="F37" s="24"/>
      <c r="G37" s="24"/>
    </row>
    <row r="38" customFormat="false" ht="30" hidden="false" customHeight="true" outlineLevel="0" collapsed="false">
      <c r="A38" s="23" t="s">
        <v>160</v>
      </c>
      <c r="B38" s="24" t="s">
        <v>161</v>
      </c>
      <c r="C38" s="24"/>
      <c r="D38" s="24"/>
      <c r="E38" s="24"/>
      <c r="F38" s="24"/>
      <c r="G38" s="24"/>
    </row>
    <row r="40" customFormat="false" ht="48.75" hidden="false" customHeight="true" outlineLevel="0" collapsed="false">
      <c r="A40" s="6" t="s">
        <v>162</v>
      </c>
      <c r="B40" s="6"/>
      <c r="C40" s="6"/>
      <c r="D40" s="6"/>
      <c r="E40" s="6"/>
      <c r="F40" s="6"/>
      <c r="G40" s="6"/>
    </row>
    <row r="41" customFormat="false" ht="15" hidden="false" customHeight="true" outlineLevel="0" collapsed="false">
      <c r="A41" s="6" t="s">
        <v>58</v>
      </c>
      <c r="B41" s="6"/>
      <c r="C41" s="6"/>
      <c r="D41" s="6"/>
      <c r="E41" s="6"/>
      <c r="F41" s="6"/>
      <c r="G41" s="6"/>
    </row>
  </sheetData>
  <mergeCells count="30">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2026-10-12T16:57:51Z</dcterms:created>
  <dc:creator>openpyxl</dc:creator>
  <dc:description/>
  <dc:language>en-US</dc:language>
  <cp:lastModifiedBy/>
  <dcterms:modified xsi:type="dcterms:W3CDTF">2026-10-12T16:57:52Z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