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<sst xmlns="http://schemas.openxmlformats.org/spreadsheetml/2006/main" count="164" uniqueCount="142">
  <si>
    <t xml:space="preserve">Klasseoppgaver til Organisasjon og ledelse kapittel 13: Organisasjonens eksterne rammebetingelser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</si>
  <si>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</si>
  <si>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</si>
  <si>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</si>
  <si>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</si>
  <si>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</si>
  <si>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</si>
  <si>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</si>
  <si>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</si>
  <si>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seks saker på Karis pult. Hvem står i interessentmodellen, og hvem har makten? (Nordlys)</t>
  </si>
  <si>
    <t xml:space="preserve">A2</t>
  </si>
  <si>
    <t xml:space="preserve">Fjell Elektro: tariff, tilsyn og bank. Hva er eksternt, og hva bestemmer Mona selv? (Egen el-bedrift)</t>
  </si>
  <si>
    <t xml:space="preserve">B1</t>
  </si>
  <si>
    <t xml:space="preserve">Nordlys: hvilke prosesser presser hvilken avdeling? (Nordlys)</t>
  </si>
  <si>
    <t xml:space="preserve">B2</t>
  </si>
  <si>
    <t xml:space="preserve">Fjell Elektro: rente, ny norm og omdømme. Hva kan Mona gjøre? (Egen el-bedrift)</t>
  </si>
  <si>
    <t xml:space="preserve">Læreboka</t>
  </si>
  <si>
    <t xml:space="preserve">Hjertnes, F.: Markedsføring, organisasjon og ledelse for LØM-emnet, kapittel 13.</t>
  </si>
  <si>
    <t xml:space="preserve">Appen</t>
  </si>
  <si>
    <t xml:space="preserve">Organisasjon og ledelse kap. 13 → Øv → Klasseoppgaver gir fasit per deloppgave.</t>
  </si>
  <si>
    <t xml:space="preserve">A1 · Nordlys: seks saker på Karis pult. Hvem står i interessentmodellen, og hvem har makten?</t>
  </si>
  <si>
    <t xml:space="preserve">25 minutter · Helst alene. Sammen med sidemannen eller flere hvis du vil. Ark og blyant, appen (PC eller mobil) eller læreboka.</t>
  </si>
  <si>
    <t xml:space="preserve">Kort oppsummert: Eksterne arbeidsbetingelser er forhold utenfor organisasjonen som påvirker mulighetene til å nå målene. Interessentmodellen (figur 13.1) viser aktørene bedriften må ta hensyn til: kunder, leverandører, distributører, konkurrenter, myndigheter, bank og finans, organisasjonene i arbeidslivet og mediene. Styrkeforholdet avgjøres av hvem som har flest å velge mellom (13.1 og 13.2). Tilgangen på kapital og prisen på den bestemmer handlefriheten (13.6).</t>
  </si>
  <si>
    <t xml:space="preserve">Casen er lagt til høsten 2026. Kari Nordlund har seks saker på pulten samme uke. Polarlys sender nytt prisark på kabel fra 1. november. Banken hever renta på banklånet (2 800 000 kr) og kassekreditten (300 000 kr) fra 7,5 % til 7,75 %. Det lokale eltilsynet varsler virksomhetstilsyn i november. Ronny vil at montørene skal jobbe overtid i november. En totalentreprenør har Nordlys som én av fire likeverdige elektroentreprenører på lista, og ber om 5 % rabatt på en jobb til 1 800 000 kr uten mva; jobben har dekningsgrad 55,8 %. Og Kari vurderer selv å kjøpe et termograferingskamera. Gå fram slik: sorter sakene i ekstern aktør eller ikke, regn hva renteøkningen og rabatten koster, og avgjør hvem som har makten.</t>
  </si>
  <si>
    <t xml:space="preserve">Forutsetning</t>
  </si>
  <si>
    <t xml:space="preserve">Verdi</t>
  </si>
  <si>
    <t xml:space="preserve">1 Polarlys</t>
  </si>
  <si>
    <t xml:space="preserve">Nytt prisark på kabel fra 1. november</t>
  </si>
  <si>
    <t xml:space="preserve">2 Banken</t>
  </si>
  <si>
    <t xml:space="preserve">Renta opp fra 7,5 % til 7,75 %</t>
  </si>
  <si>
    <t xml:space="preserve">3 Eltilsynet (DLE)</t>
  </si>
  <si>
    <t xml:space="preserve">Varsler virksomhetstilsyn i november</t>
  </si>
  <si>
    <t xml:space="preserve">4 Ronny (formann)</t>
  </si>
  <si>
    <t xml:space="preserve">Vil ha overtid i november</t>
  </si>
  <si>
    <t xml:space="preserve">5 Totalentreprenør</t>
  </si>
  <si>
    <t xml:space="preserve">Én av fire på lista, ber om 5 % rabatt</t>
  </si>
  <si>
    <t xml:space="preserve">6 Kari selv</t>
  </si>
  <si>
    <t xml:space="preserve">Vil kjøpe termograferingskamera</t>
  </si>
  <si>
    <t xml:space="preserve">Rentebærende gjeld</t>
  </si>
  <si>
    <t xml:space="preserve">Banklån 2 800 000 + kassekreditt 300 000</t>
  </si>
  <si>
    <t xml:space="preserve">Entreprenørjobben</t>
  </si>
  <si>
    <t xml:space="preserve">1 800 000 kr, dekningsgrad 55,8 %</t>
  </si>
  <si>
    <t xml:space="preserve">Deloppgave</t>
  </si>
  <si>
    <t xml:space="preserve">Ditt svar</t>
  </si>
  <si>
    <t xml:space="preserve">Sjekk</t>
  </si>
  <si>
    <t xml:space="preserve">a)  Sorter de seks sakene. Kommer saken fra en ekstern aktør i interessentmodellen (figur 13.1)? Svar ja eller nei for hver.</t>
  </si>
  <si>
    <t xml:space="preserve">      1 Polarlys sender nytt prisark   (Ja eller Nei)</t>
  </si>
  <si>
    <t xml:space="preserve">      2 Banken hever renta   (Ja eller Nei)</t>
  </si>
  <si>
    <t xml:space="preserve">      3 Eltilsynet varsler tilsyn   (Ja eller Nei)</t>
  </si>
  <si>
    <t xml:space="preserve">      4 Ronny vil ha overtid   (Ja eller Nei)</t>
  </si>
  <si>
    <t xml:space="preserve">      5 Totalentreprenøren ber om rabatt   (Ja eller Nei)</t>
  </si>
  <si>
    <t xml:space="preserve">      6 Kari vil kjøpe kamera   (Ja eller Nei)</t>
  </si>
  <si>
    <t xml:space="preserve">b)  Hvor mange kroner mer i rentekostnad i året gir renteøkningen på banklånet og kassekreditten til sammen? Regn på hele beløpet for et helt år.</t>
  </si>
  <si>
    <t xml:space="preserve">c)  Jobben er 1 800 000 kr med dekningsgrad 55,8 %. Med hvor mange prosent faller dekningsbidraget hvis Nordlys gir 5 % rabatt? Én desimal.</t>
  </si>
  <si>
    <t xml:space="preserve">d)  Nesten alt materiellet til Nordlys kommer fra Polarlys, og nå kommer et nytt prisark. Hva anbefaler læreboka en bedrift som er så avhengig av én leverandør?   A: Samle enda mer av innkjøpet hos Polarlys for å få bedre rabatt   B: Bringe flere leverandører på banen, selv om det koster litt   C: Godta prisarket: en grossist er for stor til å forhandle med   (skriv bokstaven)</t>
  </si>
  <si>
    <t xml:space="preserve">e)  Kari har tid til å gå grundig inn i én av de fire eksterne sakene denne uka. Hvilken bør det være, og hva gjør hun? Bruk tallene fra b og c og bokas begrep markedsmakt.</t>
  </si>
  <si>
    <t xml:space="preserve">Kilde: Hjertnes, F.: Markedsføring, organisasjon og ledelse for LØM-emnet, kap. 13, innledningen (figur 13.1 interessentmodellen) og avsnitt 13.1, 13.2, 13.5 og 13.6. Dekningsgraden på entreprenørjobber: MA05. Rentetallene: faktaarket. Nordlys Elektro AS er en konstruert casebedrift.</t>
  </si>
  <si>
    <t xml:space="preserve">Regnearket er øvingsstøtte. Det kan ikke siteres eller vises til i besvarelser, prosjektoppgaver eller eksamen; der gjelder læreboka og oppgitte primærkilder.</t>
  </si>
  <si>
    <t xml:space="preserve">A2 · Fjell Elektro: tariff, tilsyn og bank. Hva er eksternt, og hva bestemmer Mona selv?</t>
  </si>
  <si>
    <t xml:space="preserve">Kort oppsummert: Organisasjonene i arbeidslivet påvirker bedriften gjennom tarifforhandlingene: hovedoppgjør annethvert år, mellomoppgjør i året mellom, og Hovedavtalen NHO–LO som gjelder fire år av gangen (13.7). Myndighetene legger rammer på nær sagt alle områder (13.5); for el-bedrifter gjelder kvalifikasjonskravet til faglig ansvarlig i FEK § 7. Det som kommer utenfra, er eksternt. Det bedriften bestemmer selv innenfor rammen, er internt (kap. 12).</t>
  </si>
  <si>
    <t xml:space="preserve">Fjell Elektro AS er i sitt andre driftsår. Bedriften er ikke medlem av NHO Elektro og har ingen egen tariffavtale. De to montørene har 560 000 kr i årslønn hver og 1 800 betalte timer i året (1 400 fakturerbare og 400 ikke-fakturerbare). Tariffens sats for fagarbeidere i Landsoverenskomsten for elektrofagene (LOK) er 282,95 kr per time fra 1. mai 2026. Mona er faglig ansvarlig etter FEK § 7. Banken krever kausjon fra Mona, og grossisten gir 30 dagers kreditt. Driftsmarginen første år var 3,0 %. Gå fram slik: sorter fakta i eksternt og internt, regn montørenes lønn per time, og sammenlikn med tariffsatsen.</t>
  </si>
  <si>
    <t xml:space="preserve">Montørlønn</t>
  </si>
  <si>
    <t xml:space="preserve">560 000 kr i året per montør</t>
  </si>
  <si>
    <t xml:space="preserve">Betalte timer</t>
  </si>
  <si>
    <t xml:space="preserve">1 800 per montør i året</t>
  </si>
  <si>
    <t xml:space="preserve">Tariffsats (LOK)</t>
  </si>
  <si>
    <t xml:space="preserve">282,95 kr/t, fagarbeider fra 1.5.2026</t>
  </si>
  <si>
    <t xml:space="preserve">NHO Elektro</t>
  </si>
  <si>
    <t xml:space="preserve">Fjell er ikke medlem</t>
  </si>
  <si>
    <t xml:space="preserve">Faglig ansvarlig</t>
  </si>
  <si>
    <t xml:space="preserve">Mona, installatørprøven 2023 (FEK § 7)</t>
  </si>
  <si>
    <t xml:space="preserve">Banken</t>
  </si>
  <si>
    <t xml:space="preserve">Krever kausjon fra Mona</t>
  </si>
  <si>
    <t xml:space="preserve">Grossisten</t>
  </si>
  <si>
    <t xml:space="preserve">30 dagers leverandørkreditt</t>
  </si>
  <si>
    <t xml:space="preserve">Driftsmargin</t>
  </si>
  <si>
    <t xml:space="preserve">3,0 % første år</t>
  </si>
  <si>
    <t xml:space="preserve">a)  Sorter faktaene. Er dette en ekstern arbeidsbetingelse, altså noe som kommer utenfra og som Fjell må forholde seg til? Svar ja eller nei for hver.</t>
  </si>
  <si>
    <t xml:space="preserve">      Kravet i FEK § 7 til faglig ansvarlig   (Ja eller Nei)</t>
  </si>
  <si>
    <t xml:space="preserve">      Mona har bestått installatørprøven   (Ja eller Nei)</t>
  </si>
  <si>
    <t xml:space="preserve">      Tariffens sats på 282,95 kr/t   (Ja eller Nei)</t>
  </si>
  <si>
    <t xml:space="preserve">      Fjell betaler 560 000 kr i året   (Ja eller Nei)</t>
  </si>
  <si>
    <t xml:space="preserve">      Banken krever kausjon   (Ja eller Nei)</t>
  </si>
  <si>
    <t xml:space="preserve">      Grossisten gir 30 dagers kreditt   (Ja eller Nei)</t>
  </si>
  <si>
    <t xml:space="preserve">b)  Hva er montørenes lønn per betalt time? Del årslønna på de betalte timene og svar med to desimaler.</t>
  </si>
  <si>
    <t xml:space="preserve">c)  Hvor mange prosent ligger Fjells timelønn over tariffens fagarbeidersats på 282,95 kr? Svar med én desimal.</t>
  </si>
  <si>
    <t xml:space="preserve">d)  Mona sier: «Vi er ikke med i NHO Elektro, så tariffen gjelder ikke oss.» Hvilket svar er riktig?   A: Riktig: en tariffavtale binder bare medlemmene   B: Feil: deler av LOK er allmenngjort, så minstelønna gjelder også Fjell   C: Feil: alle el-bedrifter må melde seg inn i NHO Elektro   (skriv bokstaven)</t>
  </si>
  <si>
    <t xml:space="preserve">e)  Fjell betaler om lag 10 % over tariffsatsen, og driftsmarginen var 3,0 % første år. Er det lurt? Bruk minst to eksterne arbeidsbetingelser i svaret.</t>
  </si>
  <si>
    <t xml:space="preserve">Kilde: Hjertnes, F.: Markedsføring, organisasjon og ledelse for LØM-emnet, kap. 13, avsnitt 13.2, 13.5, 13.6 og 13.7, og kap. 12. Tariffsatsen: protokoll nye lønnssatser LOK per 1. mai 2026. Allmenngjøringsloven § 5 og forskrift om delvis allmenngjøring av LOK (Arbeidstilsynet). FEK § 7 (DSB). Fjell Elektro AS er en konstruert casebedrift.</t>
  </si>
  <si>
    <t xml:space="preserve">B1 · Nordlys: hvilke prosesser presser hvilken avdeling?</t>
  </si>
  <si>
    <t xml:space="preserve">Kort oppsummert: De mer perifere arbeidsbetingelsene er prosesser som øver et konstant trykk og over tid avgjør hva bedriften lager og hvordan (13.9): politiske, samfunnsøkonomiske, teknologiske, kulturelle og miljømessige forhold. Figur 13.2 har i tillegg demografiske forhold. Rente og tilgang på kapital hører til de samfunnsøkonomiske forholdene (13.11.1). Teknologien gir nye produkter, men får også eksisterende produkter til å forsvinne (13.12). Klimakrisen er en trussel, men byr også på nye muligheter (13.14).</t>
  </si>
  <si>
    <t xml:space="preserve">Kari skal legge fram eksternanalysen på strategimøtet for de tre avdelingene: service, prosjekt og nybygg, og solceller og lading. Hun har samlet nyhetene under. Norges Bank satte styringsrenten til 4,50 % fra 25.09.2026. Prognosesenteret venter boligstart på rundt 20 000 i 2026, 22 000 i 2027 og 24 000 i 2028. Nordlys hadde 96 antenneoppdrag i 2022 og 22 i 2026. 95,9 % av nye personbiler i 2025 var elbiler. Gå fram slik: plasser renta i riktig prosess, regn endringen i boligstart og antenneoppdrag i prosent, og vurder hva boka sier om miljøkravene.</t>
  </si>
  <si>
    <t xml:space="preserve">Styringsrenten</t>
  </si>
  <si>
    <t xml:space="preserve">4,50 % fra 25.09.2026 (Norges Bank)</t>
  </si>
  <si>
    <t xml:space="preserve">Boligstart 2026</t>
  </si>
  <si>
    <t xml:space="preserve">Rundt 20 000 (prognose)</t>
  </si>
  <si>
    <t xml:space="preserve">Boligstart 2028</t>
  </si>
  <si>
    <t xml:space="preserve">Rundt 24 000 (prognose)</t>
  </si>
  <si>
    <t xml:space="preserve">Antenneoppdrag 2022</t>
  </si>
  <si>
    <t xml:space="preserve">96 (Nordlys)</t>
  </si>
  <si>
    <t xml:space="preserve">Antenneoppdrag 2026</t>
  </si>
  <si>
    <t xml:space="preserve">22 (Nordlys)</t>
  </si>
  <si>
    <t xml:space="preserve">Nye personbiler 2025</t>
  </si>
  <si>
    <t xml:space="preserve">95,9 % elbiler</t>
  </si>
  <si>
    <t xml:space="preserve">Avdelingene</t>
  </si>
  <si>
    <t xml:space="preserve">Service · prosjekt og nybygg · sol og lading</t>
  </si>
  <si>
    <t xml:space="preserve">a)  Norges Bank har hevet styringsrenten til 4,50 %. Hvilken av bokas mer perifere arbeidsbetingelser hører renteøkningen hjemme i?   A: Politiske forhold   B: Samfunnsøkonomiske forhold   C: Kulturelle forhold   (skriv bokstaven)</t>
  </si>
  <si>
    <t xml:space="preserve">b)  Prognosesenteret venter boligstart på rundt 20 000 i 2026 og 24 000 i 2028. Hvor mange prosent økning er det?</t>
  </si>
  <si>
    <t xml:space="preserve">c)  Nordlys hadde 96 antenneoppdrag i 2022 og 22 i 2026. Hvor mange prosent er endringen? Én desimal, med minus foran.</t>
  </si>
  <si>
    <t xml:space="preserve">d)  Ronny sier: «Strengere miljøkrav betyr bare mer papir og dyrere kabel for oss.» Hva sier læreboka om miljømessige forhold?   A: Strengere miljøkrav er en ren trussel som gir lavere aktivitet   B: Klimakrisen er en trussel, men gir også nye muligheter; vær i forkant av lovgivningen   C: Miljøkrav gjelder industrien, ikke installatører   (skriv bokstaven)</t>
  </si>
  <si>
    <t xml:space="preserve">e)  Hvilken av prosessene presser hver av de tre avdelingene mest? Foreslå ett tiltak per avdeling som ligger innenfor Nordlys' egen kontroll.</t>
  </si>
  <si>
    <t xml:space="preserve">Kilde: Hjertnes, F.: Markedsføring, organisasjon og ledelse for LØM-emnet, kap. 13, avsnitt 13.9–13.14. Boligstart: Prognosesenteret via Logistikkinside 08.09.2026. Styringsrenten: Norges Bank. Elbiler: Elbilforeningen, årsberetning 2025. Antenneoppdragene: MA06. Nordlys Elektro AS er en konstruert casebedrift.</t>
  </si>
  <si>
    <t xml:space="preserve">B2 · Fjell Elektro: rente, ny norm og omdømme. Hva kan Mona gjøre?</t>
  </si>
  <si>
    <t xml:space="preserve">Kort oppsummert: Prosessene kan ikke forhandles, men bedriften kan tilpasse seg dem og i noen grad påvirke dem. Kapitlets mål er å kunne gjøre rede for hvordan de eksterne arbeidsbetingelsene påvirker virksomheten. Bedrifter lever av omdømmet sitt: handler de mot allment aksepterte normer, får de først problemer med anseelsen og så med salget (13.13). Teknologien og regelverket flytter seg, og bedriften bør være i forkant av lovgivningen (13.12 og 13.14).</t>
  </si>
  <si>
    <t xml:space="preserve">Fjell Elektro AS går inn i sitt andre driftsår. Banklånet er 400 000 kr etter første avdrag, og banken hever renta fra 7,5 % til 7,75 % (regn forenklet på 400 000 kr for hele året). NEK 400:2026 gjelder fra 1. juli 2026, og PVC-isolert kabel kan ikke lenger brukes i nye anlegg. Anlegg prosjektert etter NEK 400:2022 ut 2026 må være ferdige innen utgangen av 2027. En kunde ventet tre dager og skrev om det i borettslagets Facebook-gruppe, der 12 beboere vurderer elbillader. 95,9 % av nye personbiler i 2025 var elbiler. Gå fram slik: regn rentekostnaden, plasser Facebook-saken i kapitlet, sjekk påstandene om normen, og vurder hva Mona kan gjøre.</t>
  </si>
  <si>
    <t xml:space="preserve">Banklån</t>
  </si>
  <si>
    <t xml:space="preserve">400 000 kr etter første avdrag</t>
  </si>
  <si>
    <t xml:space="preserve">Rente</t>
  </si>
  <si>
    <t xml:space="preserve">Fra 7,5 % til 7,75 %</t>
  </si>
  <si>
    <t xml:space="preserve">4,50 % fra 25.09.2026</t>
  </si>
  <si>
    <t xml:space="preserve">NEK 400:2026</t>
  </si>
  <si>
    <t xml:space="preserve">Gjelder fra 1.7.2026; ikke PVC-kabel</t>
  </si>
  <si>
    <t xml:space="preserve">NEK 400:2022</t>
  </si>
  <si>
    <t xml:space="preserve">Prosjektert ut 2026, ferdig innen 2027</t>
  </si>
  <si>
    <t xml:space="preserve">Facebook-gruppa</t>
  </si>
  <si>
    <t xml:space="preserve">Ventet tre dager; 12 vurderer lader</t>
  </si>
  <si>
    <t xml:space="preserve">Elbiler</t>
  </si>
  <si>
    <t xml:space="preserve">95,9 % av nye personbiler i 2025</t>
  </si>
  <si>
    <t xml:space="preserve">Marked</t>
  </si>
  <si>
    <t xml:space="preserve">Boliger og små næringskunder, Oslo øst</t>
  </si>
  <si>
    <t xml:space="preserve">a)  Hva blir rentekostnaden på banklånet i år med 7,75 % rente på 400 000 kr? Regn forenklet for hele året.</t>
  </si>
  <si>
    <t xml:space="preserve">b)  Hvilket avsnitt i kapitlet forklarer best hvorfor innlegget i Facebook-gruppa kan koste Fjell salg?   A: 13.8 Massemediene   B: 13.13 Kulturelle forhold: omdømme og opinion   C: 13.12 Teknologiske forhold   (skriv bokstaven)</t>
  </si>
  <si>
    <t xml:space="preserve">c)  Stemmer påstanden? Svar ja eller nei for hver.</t>
  </si>
  <si>
    <t xml:space="preserve">      NEK 400:2026 gjelder fra 1. juli 2026   (Ja eller Nei)</t>
  </si>
  <si>
    <t xml:space="preserve">      Anlegg prosjektert etter 2022-utgaven ut 2026 må være ferdige innen utgangen av 2027   (Ja eller Nei)</t>
  </si>
  <si>
    <t xml:space="preserve">      PVC-isolert kabel kan fortsatt brukes i nye anlegg   (Ja eller Nei)</t>
  </si>
  <si>
    <t xml:space="preserve">      Fjell kan forhandle om normen med DSB   (Ja eller Nei)</t>
  </si>
  <si>
    <t xml:space="preserve">      At gamle kabeltyper forsvinner, er et eksempel på at eksisterende produkter forsvinner   (Ja eller Nei)</t>
  </si>
  <si>
    <t xml:space="preserve">      Det holder å sette seg inn i normen når eltilsynet kommer   (Ja eller Nei)</t>
  </si>
  <si>
    <t xml:space="preserve">d)  Mona sier: «Rente, norm og opinion er eksterne forhold. Vi kan ikke gjøre noe med dem.» Hva er riktig etter læreboka?   A: Riktig: eksterne forhold ligger utenfor bedriftens kontroll   B: Delvis feil: rammen kan ikke endres, men bedriften må tilpasse seg og kan i noen grad påvirke   C: Feil: en liten bedrift merker ikke slike forhold   (skriv bokstaven)</t>
  </si>
  <si>
    <t xml:space="preserve">e)  Hvilken av de mer perifere arbeidsbetingelsene vil påvirke Fjell mest de neste to årene, og hva gjør Mona nå? Ett tiltak, begrunnet.</t>
  </si>
  <si>
    <t xml:space="preserve">Kilde: Hjertnes, F.: Markedsføring, organisasjon og ledelse for LØM-emnet, kap. 13, avsnitt 13.6, 13.11–13.14 og kap. 11.4. NEK 400: DSB, «Overgangsregler for NEK 400», og NHO Elektro 04.06.2026. Elbiler: Elbilforeningen, årsberetning 2025. Fjell Elektro AS er en konstruert casebedrift.</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</si>
</sst>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4">
    <fill>
      <patternFill patternType="none"/>
    </fill>
    <fill>
      <patternFill patternType="gray125"/>
    </fill>
    <fill>
      <patternFill patternType="solid">
        <fgColor rgb="FF2F4A6D"/>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4" customFormat="false" ht="18.75" hidden="false" customHeight="true" outlineLevel="0" collapsed="false">
      <c r="A14" s="9" t="s">
        <v>38</v>
      </c>
      <c r="B14" s="7" t="s">
        <v>39</v>
      </c>
      <c r="C14" s="7"/>
      <c r="D14" s="7"/>
      <c r="E14" s="7"/>
      <c r="F14" s="7"/>
      <c r="G14" s="7"/>
    </row>
    <row r="15" customFormat="false" ht="18.75" hidden="false" customHeight="true" outlineLevel="0" collapsed="false">
      <c r="A15" s="9" t="s">
        <v>40</v>
      </c>
      <c r="B15" s="7" t="s">
        <v>41</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33.75" hidden="false" customHeight="true" outlineLevel="0" collapsed="false">
      <c r="A18" s="7" t="s">
        <v>45</v>
      </c>
      <c r="B18" s="7"/>
      <c r="C18" s="7"/>
      <c r="D18" s="7"/>
      <c r="E18" s="7"/>
    </row>
    <row r="19" customFormat="false" ht="15" hidden="false" customHeight="true" outlineLevel="0" collapsed="false">
      <c r="A19" s="7" t="s">
        <v>46</v>
      </c>
      <c r="B19" s="7"/>
      <c r="C19" s="7"/>
      <c r="D19" s="7"/>
      <c r="E19" s="7"/>
      <c r="F19" s="10"/>
      <c r="G19" s="11" t="str">
        <f aca="false">IF(F19="","",IF(UPPER(TRIM(F19))="JA","Riktig","Prøv igjen"))</f>
        <v/>
      </c>
    </row>
    <row r="20" customFormat="false" ht="15" hidden="false" customHeight="true" outlineLevel="0" collapsed="false">
      <c r="A20" s="7" t="s">
        <v>47</v>
      </c>
      <c r="B20" s="7"/>
      <c r="C20" s="7"/>
      <c r="D20" s="7"/>
      <c r="E20" s="7"/>
      <c r="F20" s="10"/>
      <c r="G20" s="11" t="str">
        <f aca="false">IF(F20="","",IF(UPPER(TRIM(F20))="JA","Riktig","Prøv igjen"))</f>
        <v/>
      </c>
    </row>
    <row r="21" customFormat="false" ht="15" hidden="false" customHeight="true" outlineLevel="0" collapsed="false">
      <c r="A21" s="7" t="s">
        <v>48</v>
      </c>
      <c r="B21" s="7"/>
      <c r="C21" s="7"/>
      <c r="D21" s="7"/>
      <c r="E21" s="7"/>
      <c r="F21" s="10"/>
      <c r="G21" s="11" t="str">
        <f aca="false">IF(F21="","",IF(UPPER(TRIM(F21))="JA","Riktig","Prøv igjen"))</f>
        <v/>
      </c>
    </row>
    <row r="22" customFormat="false" ht="15" hidden="false" customHeight="true" outlineLevel="0" collapsed="false">
      <c r="A22" s="7" t="s">
        <v>49</v>
      </c>
      <c r="B22" s="7"/>
      <c r="C22" s="7"/>
      <c r="D22" s="7"/>
      <c r="E22" s="7"/>
      <c r="F22" s="10"/>
      <c r="G22" s="11" t="str">
        <f aca="false">IF(F22="","",IF(UPPER(TRIM(F22))="NEI","Riktig","Prøv igjen"))</f>
        <v/>
      </c>
    </row>
    <row r="23" customFormat="false" ht="15" hidden="false" customHeight="true" outlineLevel="0" collapsed="false">
      <c r="A23" s="7" t="s">
        <v>50</v>
      </c>
      <c r="B23" s="7"/>
      <c r="C23" s="7"/>
      <c r="D23" s="7"/>
      <c r="E23" s="7"/>
      <c r="F23" s="10"/>
      <c r="G23" s="11" t="str">
        <f aca="false">IF(F23="","",IF(UPPER(TRIM(F23))="JA","Riktig","Prøv igjen"))</f>
        <v/>
      </c>
    </row>
    <row r="24" customFormat="false" ht="15" hidden="false" customHeight="true" outlineLevel="0" collapsed="false">
      <c r="A24" s="7" t="s">
        <v>51</v>
      </c>
      <c r="B24" s="7"/>
      <c r="C24" s="7"/>
      <c r="D24" s="7"/>
      <c r="E24" s="7"/>
      <c r="F24" s="10"/>
      <c r="G24" s="11" t="str">
        <f aca="false">IF(F24="","",IF(UPPER(TRIM(F24))="NEI","Riktig","Prøv igjen"))</f>
        <v/>
      </c>
    </row>
    <row r="25" customFormat="false" ht="33.75" hidden="false" customHeight="true" outlineLevel="0" collapsed="false">
      <c r="A25" s="7" t="s">
        <v>52</v>
      </c>
      <c r="B25" s="7"/>
      <c r="C25" s="7"/>
      <c r="D25" s="7"/>
      <c r="E25" s="7"/>
      <c r="F25" s="12"/>
      <c r="G25" s="11" t="str">
        <f aca="false">IF(F25="","",IF(ABS(F25-(7750))&lt;=1,"Riktig","Prøv igjen"))</f>
        <v/>
      </c>
    </row>
    <row r="26" customFormat="false" ht="33.75" hidden="false" customHeight="true" outlineLevel="0" collapsed="false">
      <c r="A26" s="7" t="s">
        <v>53</v>
      </c>
      <c r="B26" s="7"/>
      <c r="C26" s="7"/>
      <c r="D26" s="7"/>
      <c r="E26" s="7"/>
      <c r="F26" s="12"/>
      <c r="G26" s="11" t="str">
        <f aca="false">IF(F26="","",IF(ABS(F26-(9))&lt;=0.1,"Riktig","Prøv igjen"))</f>
        <v/>
      </c>
    </row>
    <row r="27" customFormat="false" ht="63.75" hidden="false" customHeight="true" outlineLevel="0" collapsed="false">
      <c r="A27" s="7" t="s">
        <v>54</v>
      </c>
      <c r="B27" s="7"/>
      <c r="C27" s="7"/>
      <c r="D27" s="7"/>
      <c r="E27" s="7"/>
      <c r="F27" s="10"/>
      <c r="G27" s="11" t="str">
        <f aca="false">IF(F27="","",IF(UPPER(TRIM(F27))="B","Riktig","Prøv igjen"))</f>
        <v/>
      </c>
    </row>
    <row r="28" customFormat="false" ht="33.75" hidden="false" customHeight="true" outlineLevel="0" collapsed="false">
      <c r="A28" s="7" t="s">
        <v>55</v>
      </c>
      <c r="B28" s="7"/>
      <c r="C28" s="7"/>
      <c r="D28" s="7"/>
      <c r="E28" s="7"/>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1" customFormat="false" ht="15" hidden="false" customHeight="false" outlineLevel="0" collapsed="false">
      <c r="A31" s="13"/>
      <c r="B31" s="13"/>
      <c r="C31" s="13"/>
      <c r="D31" s="13"/>
      <c r="E31" s="13"/>
      <c r="F31" s="13"/>
      <c r="G31" s="13"/>
    </row>
    <row r="33" customFormat="false" ht="48.75" hidden="false" customHeight="true" outlineLevel="0" collapsed="false">
      <c r="A33" s="6" t="s">
        <v>56</v>
      </c>
      <c r="B33" s="6"/>
      <c r="C33" s="6"/>
      <c r="D33" s="6"/>
      <c r="E33" s="6"/>
      <c r="F33" s="6"/>
      <c r="G33" s="6"/>
    </row>
    <row r="34" customFormat="false" ht="15" hidden="false" customHeight="true" outlineLevel="0" collapsed="false">
      <c r="A34" s="6" t="s">
        <v>57</v>
      </c>
      <c r="B34" s="6"/>
      <c r="C34" s="6"/>
      <c r="D34" s="6"/>
      <c r="E34" s="6"/>
      <c r="F34" s="6"/>
      <c r="G34" s="6"/>
    </row>
  </sheetData>
  <mergeCells count="26">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58</v>
      </c>
    </row>
    <row r="2" customFormat="false" ht="15" hidden="false" customHeight="false" outlineLevel="0" collapsed="false">
      <c r="A2" s="2" t="s">
        <v>21</v>
      </c>
    </row>
    <row r="4" customFormat="false" ht="63.75" hidden="false" customHeight="true" outlineLevel="0" collapsed="false">
      <c r="A4" s="6" t="s">
        <v>59</v>
      </c>
      <c r="B4" s="6"/>
      <c r="C4" s="6"/>
      <c r="D4" s="6"/>
      <c r="E4" s="6"/>
      <c r="F4" s="6"/>
      <c r="G4" s="6"/>
    </row>
    <row r="5" customFormat="false" ht="93.75" hidden="false" customHeight="true" outlineLevel="0" collapsed="false">
      <c r="A5" s="7" t="s">
        <v>60</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61</v>
      </c>
      <c r="B8" s="7" t="s">
        <v>62</v>
      </c>
      <c r="C8" s="7"/>
      <c r="D8" s="7"/>
      <c r="E8" s="7"/>
      <c r="F8" s="7"/>
      <c r="G8" s="7"/>
    </row>
    <row r="9" customFormat="false" ht="18.75" hidden="false" customHeight="true" outlineLevel="0" collapsed="false">
      <c r="A9" s="9" t="s">
        <v>63</v>
      </c>
      <c r="B9" s="7" t="s">
        <v>64</v>
      </c>
      <c r="C9" s="7"/>
      <c r="D9" s="7"/>
      <c r="E9" s="7"/>
      <c r="F9" s="7"/>
      <c r="G9" s="7"/>
    </row>
    <row r="10" customFormat="false" ht="18.75" hidden="false" customHeight="true" outlineLevel="0" collapsed="false">
      <c r="A10" s="9" t="s">
        <v>65</v>
      </c>
      <c r="B10" s="7" t="s">
        <v>66</v>
      </c>
      <c r="C10" s="7"/>
      <c r="D10" s="7"/>
      <c r="E10" s="7"/>
      <c r="F10" s="7"/>
      <c r="G10" s="7"/>
    </row>
    <row r="11" customFormat="false" ht="18.75" hidden="false" customHeight="true" outlineLevel="0" collapsed="false">
      <c r="A11" s="9" t="s">
        <v>67</v>
      </c>
      <c r="B11" s="7" t="s">
        <v>68</v>
      </c>
      <c r="C11" s="7"/>
      <c r="D11" s="7"/>
      <c r="E11" s="7"/>
      <c r="F11" s="7"/>
      <c r="G11" s="7"/>
    </row>
    <row r="12" customFormat="false" ht="18.75" hidden="false" customHeight="true" outlineLevel="0" collapsed="false">
      <c r="A12" s="9" t="s">
        <v>69</v>
      </c>
      <c r="B12" s="7" t="s">
        <v>70</v>
      </c>
      <c r="C12" s="7"/>
      <c r="D12" s="7"/>
      <c r="E12" s="7"/>
      <c r="F12" s="7"/>
      <c r="G12" s="7"/>
    </row>
    <row r="13" customFormat="false" ht="18.75" hidden="false" customHeight="true" outlineLevel="0" collapsed="false">
      <c r="A13" s="9" t="s">
        <v>71</v>
      </c>
      <c r="B13" s="7" t="s">
        <v>72</v>
      </c>
      <c r="C13" s="7"/>
      <c r="D13" s="7"/>
      <c r="E13" s="7"/>
      <c r="F13" s="7"/>
      <c r="G13" s="7"/>
    </row>
    <row r="14" customFormat="false" ht="18.75" hidden="false" customHeight="true" outlineLevel="0" collapsed="false">
      <c r="A14" s="9" t="s">
        <v>73</v>
      </c>
      <c r="B14" s="7" t="s">
        <v>74</v>
      </c>
      <c r="C14" s="7"/>
      <c r="D14" s="7"/>
      <c r="E14" s="7"/>
      <c r="F14" s="7"/>
      <c r="G14" s="7"/>
    </row>
    <row r="15" customFormat="false" ht="18.75" hidden="false" customHeight="true" outlineLevel="0" collapsed="false">
      <c r="A15" s="9" t="s">
        <v>75</v>
      </c>
      <c r="B15" s="7" t="s">
        <v>76</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33.75" hidden="false" customHeight="true" outlineLevel="0" collapsed="false">
      <c r="A18" s="7" t="s">
        <v>77</v>
      </c>
      <c r="B18" s="7"/>
      <c r="C18" s="7"/>
      <c r="D18" s="7"/>
      <c r="E18" s="7"/>
    </row>
    <row r="19" customFormat="false" ht="15" hidden="false" customHeight="true" outlineLevel="0" collapsed="false">
      <c r="A19" s="7" t="s">
        <v>78</v>
      </c>
      <c r="B19" s="7"/>
      <c r="C19" s="7"/>
      <c r="D19" s="7"/>
      <c r="E19" s="7"/>
      <c r="F19" s="10"/>
      <c r="G19" s="11" t="str">
        <f aca="false">IF(F19="","",IF(UPPER(TRIM(F19))="JA","Riktig","Prøv igjen"))</f>
        <v/>
      </c>
    </row>
    <row r="20" customFormat="false" ht="15" hidden="false" customHeight="true" outlineLevel="0" collapsed="false">
      <c r="A20" s="7" t="s">
        <v>79</v>
      </c>
      <c r="B20" s="7"/>
      <c r="C20" s="7"/>
      <c r="D20" s="7"/>
      <c r="E20" s="7"/>
      <c r="F20" s="10"/>
      <c r="G20" s="11" t="str">
        <f aca="false">IF(F20="","",IF(UPPER(TRIM(F20))="NEI","Riktig","Prøv igjen"))</f>
        <v/>
      </c>
    </row>
    <row r="21" customFormat="false" ht="15" hidden="false" customHeight="true" outlineLevel="0" collapsed="false">
      <c r="A21" s="7" t="s">
        <v>80</v>
      </c>
      <c r="B21" s="7"/>
      <c r="C21" s="7"/>
      <c r="D21" s="7"/>
      <c r="E21" s="7"/>
      <c r="F21" s="10"/>
      <c r="G21" s="11" t="str">
        <f aca="false">IF(F21="","",IF(UPPER(TRIM(F21))="JA","Riktig","Prøv igjen"))</f>
        <v/>
      </c>
    </row>
    <row r="22" customFormat="false" ht="15" hidden="false" customHeight="true" outlineLevel="0" collapsed="false">
      <c r="A22" s="7" t="s">
        <v>81</v>
      </c>
      <c r="B22" s="7"/>
      <c r="C22" s="7"/>
      <c r="D22" s="7"/>
      <c r="E22" s="7"/>
      <c r="F22" s="10"/>
      <c r="G22" s="11" t="str">
        <f aca="false">IF(F22="","",IF(UPPER(TRIM(F22))="NEI","Riktig","Prøv igjen"))</f>
        <v/>
      </c>
    </row>
    <row r="23" customFormat="false" ht="15" hidden="false" customHeight="true" outlineLevel="0" collapsed="false">
      <c r="A23" s="7" t="s">
        <v>82</v>
      </c>
      <c r="B23" s="7"/>
      <c r="C23" s="7"/>
      <c r="D23" s="7"/>
      <c r="E23" s="7"/>
      <c r="F23" s="10"/>
      <c r="G23" s="11" t="str">
        <f aca="false">IF(F23="","",IF(UPPER(TRIM(F23))="JA","Riktig","Prøv igjen"))</f>
        <v/>
      </c>
    </row>
    <row r="24" customFormat="false" ht="15" hidden="false" customHeight="true" outlineLevel="0" collapsed="false">
      <c r="A24" s="7" t="s">
        <v>83</v>
      </c>
      <c r="B24" s="7"/>
      <c r="C24" s="7"/>
      <c r="D24" s="7"/>
      <c r="E24" s="7"/>
      <c r="F24" s="10"/>
      <c r="G24" s="11" t="str">
        <f aca="false">IF(F24="","",IF(UPPER(TRIM(F24))="JA","Riktig","Prøv igjen"))</f>
        <v/>
      </c>
    </row>
    <row r="25" customFormat="false" ht="33.75" hidden="false" customHeight="true" outlineLevel="0" collapsed="false">
      <c r="A25" s="7" t="s">
        <v>84</v>
      </c>
      <c r="B25" s="7"/>
      <c r="C25" s="7"/>
      <c r="D25" s="7"/>
      <c r="E25" s="7"/>
      <c r="F25" s="12"/>
      <c r="G25" s="11" t="str">
        <f aca="false">IF(F25="","",IF(ABS(F25-(311.11))&lt;=0.01,"Riktig","Prøv igjen"))</f>
        <v/>
      </c>
    </row>
    <row r="26" customFormat="false" ht="33.75" hidden="false" customHeight="true" outlineLevel="0" collapsed="false">
      <c r="A26" s="7" t="s">
        <v>85</v>
      </c>
      <c r="B26" s="7"/>
      <c r="C26" s="7"/>
      <c r="D26" s="7"/>
      <c r="E26" s="7"/>
      <c r="F26" s="12"/>
      <c r="G26" s="11" t="str">
        <f aca="false">IF(F26="","",IF(ABS(F26-(10))&lt;=0.1,"Riktig","Prøv igjen"))</f>
        <v/>
      </c>
    </row>
    <row r="27" customFormat="false" ht="63.75" hidden="false" customHeight="true" outlineLevel="0" collapsed="false">
      <c r="A27" s="7" t="s">
        <v>86</v>
      </c>
      <c r="B27" s="7"/>
      <c r="C27" s="7"/>
      <c r="D27" s="7"/>
      <c r="E27" s="7"/>
      <c r="F27" s="10"/>
      <c r="G27" s="11" t="str">
        <f aca="false">IF(F27="","",IF(UPPER(TRIM(F27))="B","Riktig","Prøv igjen"))</f>
        <v/>
      </c>
    </row>
    <row r="28" customFormat="false" ht="33.75" hidden="false" customHeight="true" outlineLevel="0" collapsed="false">
      <c r="A28" s="7" t="s">
        <v>87</v>
      </c>
      <c r="B28" s="7"/>
      <c r="C28" s="7"/>
      <c r="D28" s="7"/>
      <c r="E28" s="7"/>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1" customFormat="false" ht="15" hidden="false" customHeight="false" outlineLevel="0" collapsed="false">
      <c r="A31" s="13"/>
      <c r="B31" s="13"/>
      <c r="C31" s="13"/>
      <c r="D31" s="13"/>
      <c r="E31" s="13"/>
      <c r="F31" s="13"/>
      <c r="G31" s="13"/>
    </row>
    <row r="33" customFormat="false" ht="63.75" hidden="false" customHeight="true" outlineLevel="0" collapsed="false">
      <c r="A33" s="6" t="s">
        <v>88</v>
      </c>
      <c r="B33" s="6"/>
      <c r="C33" s="6"/>
      <c r="D33" s="6"/>
      <c r="E33" s="6"/>
      <c r="F33" s="6"/>
      <c r="G33" s="6"/>
    </row>
    <row r="34" customFormat="false" ht="15" hidden="false" customHeight="true" outlineLevel="0" collapsed="false">
      <c r="A34" s="6" t="s">
        <v>57</v>
      </c>
      <c r="B34" s="6"/>
      <c r="C34" s="6"/>
      <c r="D34" s="6"/>
      <c r="E34" s="6"/>
      <c r="F34" s="6"/>
      <c r="G34" s="6"/>
    </row>
  </sheetData>
  <mergeCells count="26">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89</v>
      </c>
    </row>
    <row r="2" customFormat="false" ht="15" hidden="false" customHeight="false" outlineLevel="0" collapsed="false">
      <c r="A2" s="2" t="s">
        <v>21</v>
      </c>
    </row>
    <row r="4" customFormat="false" ht="78.75" hidden="false" customHeight="true" outlineLevel="0" collapsed="false">
      <c r="A4" s="6" t="s">
        <v>90</v>
      </c>
      <c r="B4" s="6"/>
      <c r="C4" s="6"/>
      <c r="D4" s="6"/>
      <c r="E4" s="6"/>
      <c r="F4" s="6"/>
      <c r="G4" s="6"/>
    </row>
    <row r="5" customFormat="false" ht="93.75" hidden="false" customHeight="true" outlineLevel="0" collapsed="false">
      <c r="A5" s="7" t="s">
        <v>91</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92</v>
      </c>
      <c r="B8" s="7" t="s">
        <v>93</v>
      </c>
      <c r="C8" s="7"/>
      <c r="D8" s="7"/>
      <c r="E8" s="7"/>
      <c r="F8" s="7"/>
      <c r="G8" s="7"/>
    </row>
    <row r="9" customFormat="false" ht="18.75" hidden="false" customHeight="true" outlineLevel="0" collapsed="false">
      <c r="A9" s="9" t="s">
        <v>94</v>
      </c>
      <c r="B9" s="7" t="s">
        <v>95</v>
      </c>
      <c r="C9" s="7"/>
      <c r="D9" s="7"/>
      <c r="E9" s="7"/>
      <c r="F9" s="7"/>
      <c r="G9" s="7"/>
    </row>
    <row r="10" customFormat="false" ht="18.75" hidden="false" customHeight="true" outlineLevel="0" collapsed="false">
      <c r="A10" s="9" t="s">
        <v>96</v>
      </c>
      <c r="B10" s="7" t="s">
        <v>97</v>
      </c>
      <c r="C10" s="7"/>
      <c r="D10" s="7"/>
      <c r="E10" s="7"/>
      <c r="F10" s="7"/>
      <c r="G10" s="7"/>
    </row>
    <row r="11" customFormat="false" ht="18.75" hidden="false" customHeight="true" outlineLevel="0" collapsed="false">
      <c r="A11" s="9" t="s">
        <v>98</v>
      </c>
      <c r="B11" s="7" t="s">
        <v>99</v>
      </c>
      <c r="C11" s="7"/>
      <c r="D11" s="7"/>
      <c r="E11" s="7"/>
      <c r="F11" s="7"/>
      <c r="G11" s="7"/>
    </row>
    <row r="12" customFormat="false" ht="18.75" hidden="false" customHeight="true" outlineLevel="0" collapsed="false">
      <c r="A12" s="9" t="s">
        <v>100</v>
      </c>
      <c r="B12" s="7" t="s">
        <v>101</v>
      </c>
      <c r="C12" s="7"/>
      <c r="D12" s="7"/>
      <c r="E12" s="7"/>
      <c r="F12" s="7"/>
      <c r="G12" s="7"/>
    </row>
    <row r="13" customFormat="false" ht="18.75" hidden="false" customHeight="true" outlineLevel="0" collapsed="false">
      <c r="A13" s="9" t="s">
        <v>102</v>
      </c>
      <c r="B13" s="7" t="s">
        <v>103</v>
      </c>
      <c r="C13" s="7"/>
      <c r="D13" s="7"/>
      <c r="E13" s="7"/>
      <c r="F13" s="7"/>
      <c r="G13" s="7"/>
    </row>
    <row r="14" customFormat="false" ht="18.75" hidden="false" customHeight="true" outlineLevel="0" collapsed="false">
      <c r="A14" s="9" t="s">
        <v>104</v>
      </c>
      <c r="B14" s="7" t="s">
        <v>105</v>
      </c>
      <c r="C14" s="7"/>
      <c r="D14" s="7"/>
      <c r="E14" s="7"/>
      <c r="F14" s="7"/>
      <c r="G14" s="7"/>
    </row>
    <row r="16" customFormat="false" ht="15" hidden="false" customHeight="false" outlineLevel="0" collapsed="false">
      <c r="A16" s="8" t="s">
        <v>42</v>
      </c>
      <c r="B16" s="8"/>
      <c r="C16" s="8"/>
      <c r="D16" s="8"/>
      <c r="E16" s="8"/>
      <c r="F16" s="8" t="s">
        <v>43</v>
      </c>
      <c r="G16" s="8" t="s">
        <v>44</v>
      </c>
    </row>
    <row r="17" customFormat="false" ht="48.75" hidden="false" customHeight="true" outlineLevel="0" collapsed="false">
      <c r="A17" s="7" t="s">
        <v>106</v>
      </c>
      <c r="B17" s="7"/>
      <c r="C17" s="7"/>
      <c r="D17" s="7"/>
      <c r="E17" s="7"/>
      <c r="F17" s="10"/>
      <c r="G17" s="11" t="str">
        <f aca="false">IF(F17="","",IF(UPPER(TRIM(F17))="B","Riktig","Prøv igjen"))</f>
        <v/>
      </c>
    </row>
    <row r="18" customFormat="false" ht="33.75" hidden="false" customHeight="true" outlineLevel="0" collapsed="false">
      <c r="A18" s="7" t="s">
        <v>107</v>
      </c>
      <c r="B18" s="7"/>
      <c r="C18" s="7"/>
      <c r="D18" s="7"/>
      <c r="E18" s="7"/>
      <c r="F18" s="12"/>
      <c r="G18" s="11" t="str">
        <f aca="false">IF(F18="","",IF(ABS(F18-(20))&lt;=0.1,"Riktig","Prøv igjen"))</f>
        <v/>
      </c>
    </row>
    <row r="19" customFormat="false" ht="33.75" hidden="false" customHeight="true" outlineLevel="0" collapsed="false">
      <c r="A19" s="7" t="s">
        <v>108</v>
      </c>
      <c r="B19" s="7"/>
      <c r="C19" s="7"/>
      <c r="D19" s="7"/>
      <c r="E19" s="7"/>
      <c r="F19" s="12"/>
      <c r="G19" s="11" t="str">
        <f aca="false">IF(F19="","",IF(ABS(F19-(-77.1))&lt;=0.1,"Riktig","Prøv igjen"))</f>
        <v/>
      </c>
    </row>
    <row r="20" customFormat="false" ht="63.75" hidden="false" customHeight="true" outlineLevel="0" collapsed="false">
      <c r="A20" s="7" t="s">
        <v>109</v>
      </c>
      <c r="B20" s="7"/>
      <c r="C20" s="7"/>
      <c r="D20" s="7"/>
      <c r="E20" s="7"/>
      <c r="F20" s="10"/>
      <c r="G20" s="11" t="str">
        <f aca="false">IF(F20="","",IF(UPPER(TRIM(F20))="B","Riktig","Prøv igjen"))</f>
        <v/>
      </c>
    </row>
    <row r="21" customFormat="false" ht="33.75" hidden="false" customHeight="true" outlineLevel="0" collapsed="false">
      <c r="A21" s="7" t="s">
        <v>110</v>
      </c>
      <c r="B21" s="7"/>
      <c r="C21" s="7"/>
      <c r="D21" s="7"/>
      <c r="E21" s="7"/>
    </row>
    <row r="22" customFormat="false" ht="15" hidden="false" customHeight="false" outlineLevel="0" collapsed="false">
      <c r="A22" s="13"/>
      <c r="B22" s="13"/>
      <c r="C22" s="13"/>
      <c r="D22" s="13"/>
      <c r="E22" s="13"/>
      <c r="F22" s="13"/>
      <c r="G22" s="13"/>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6" customFormat="false" ht="48.75" hidden="false" customHeight="true" outlineLevel="0" collapsed="false">
      <c r="A26" s="6" t="s">
        <v>111</v>
      </c>
      <c r="B26" s="6"/>
      <c r="C26" s="6"/>
      <c r="D26" s="6"/>
      <c r="E26" s="6"/>
      <c r="F26" s="6"/>
      <c r="G26" s="6"/>
    </row>
    <row r="27" customFormat="false" ht="15" hidden="false" customHeight="true" outlineLevel="0" collapsed="false">
      <c r="A27" s="6" t="s">
        <v>57</v>
      </c>
      <c r="B27" s="6"/>
      <c r="C27" s="6"/>
      <c r="D27" s="6"/>
      <c r="E27" s="6"/>
      <c r="F27" s="6"/>
      <c r="G27" s="6"/>
    </row>
  </sheetData>
  <mergeCells count="19">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112</v>
      </c>
    </row>
    <row r="2" customFormat="false" ht="15" hidden="false" customHeight="false" outlineLevel="0" collapsed="false">
      <c r="A2" s="2" t="s">
        <v>21</v>
      </c>
    </row>
    <row r="4" customFormat="false" ht="78.75" hidden="false" customHeight="true" outlineLevel="0" collapsed="false">
      <c r="A4" s="6" t="s">
        <v>113</v>
      </c>
      <c r="B4" s="6"/>
      <c r="C4" s="6"/>
      <c r="D4" s="6"/>
      <c r="E4" s="6"/>
      <c r="F4" s="6"/>
      <c r="G4" s="6"/>
    </row>
    <row r="5" customFormat="false" ht="93.75" hidden="false" customHeight="true" outlineLevel="0" collapsed="false">
      <c r="A5" s="7" t="s">
        <v>114</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115</v>
      </c>
      <c r="B8" s="7" t="s">
        <v>116</v>
      </c>
      <c r="C8" s="7"/>
      <c r="D8" s="7"/>
      <c r="E8" s="7"/>
      <c r="F8" s="7"/>
      <c r="G8" s="7"/>
    </row>
    <row r="9" customFormat="false" ht="18.75" hidden="false" customHeight="true" outlineLevel="0" collapsed="false">
      <c r="A9" s="9" t="s">
        <v>117</v>
      </c>
      <c r="B9" s="7" t="s">
        <v>118</v>
      </c>
      <c r="C9" s="7"/>
      <c r="D9" s="7"/>
      <c r="E9" s="7"/>
      <c r="F9" s="7"/>
      <c r="G9" s="7"/>
    </row>
    <row r="10" customFormat="false" ht="18.75" hidden="false" customHeight="true" outlineLevel="0" collapsed="false">
      <c r="A10" s="9" t="s">
        <v>92</v>
      </c>
      <c r="B10" s="7" t="s">
        <v>119</v>
      </c>
      <c r="C10" s="7"/>
      <c r="D10" s="7"/>
      <c r="E10" s="7"/>
      <c r="F10" s="7"/>
      <c r="G10" s="7"/>
    </row>
    <row r="11" customFormat="false" ht="18.75" hidden="false" customHeight="true" outlineLevel="0" collapsed="false">
      <c r="A11" s="9" t="s">
        <v>120</v>
      </c>
      <c r="B11" s="7" t="s">
        <v>121</v>
      </c>
      <c r="C11" s="7"/>
      <c r="D11" s="7"/>
      <c r="E11" s="7"/>
      <c r="F11" s="7"/>
      <c r="G11" s="7"/>
    </row>
    <row r="12" customFormat="false" ht="18.75" hidden="false" customHeight="true" outlineLevel="0" collapsed="false">
      <c r="A12" s="9" t="s">
        <v>122</v>
      </c>
      <c r="B12" s="7" t="s">
        <v>123</v>
      </c>
      <c r="C12" s="7"/>
      <c r="D12" s="7"/>
      <c r="E12" s="7"/>
      <c r="F12" s="7"/>
      <c r="G12" s="7"/>
    </row>
    <row r="13" customFormat="false" ht="18.75" hidden="false" customHeight="true" outlineLevel="0" collapsed="false">
      <c r="A13" s="9" t="s">
        <v>124</v>
      </c>
      <c r="B13" s="7" t="s">
        <v>125</v>
      </c>
      <c r="C13" s="7"/>
      <c r="D13" s="7"/>
      <c r="E13" s="7"/>
      <c r="F13" s="7"/>
      <c r="G13" s="7"/>
    </row>
    <row r="14" customFormat="false" ht="18.75" hidden="false" customHeight="true" outlineLevel="0" collapsed="false">
      <c r="A14" s="9" t="s">
        <v>126</v>
      </c>
      <c r="B14" s="7" t="s">
        <v>127</v>
      </c>
      <c r="C14" s="7"/>
      <c r="D14" s="7"/>
      <c r="E14" s="7"/>
      <c r="F14" s="7"/>
      <c r="G14" s="7"/>
    </row>
    <row r="15" customFormat="false" ht="18.75" hidden="false" customHeight="true" outlineLevel="0" collapsed="false">
      <c r="A15" s="9" t="s">
        <v>128</v>
      </c>
      <c r="B15" s="7" t="s">
        <v>129</v>
      </c>
      <c r="C15" s="7"/>
      <c r="D15" s="7"/>
      <c r="E15" s="7"/>
      <c r="F15" s="7"/>
      <c r="G15" s="7"/>
    </row>
    <row r="17" customFormat="false" ht="15" hidden="false" customHeight="false" outlineLevel="0" collapsed="false">
      <c r="A17" s="8" t="s">
        <v>42</v>
      </c>
      <c r="B17" s="8"/>
      <c r="C17" s="8"/>
      <c r="D17" s="8"/>
      <c r="E17" s="8"/>
      <c r="F17" s="8" t="s">
        <v>43</v>
      </c>
      <c r="G17" s="8" t="s">
        <v>44</v>
      </c>
    </row>
    <row r="18" customFormat="false" ht="33.75" hidden="false" customHeight="true" outlineLevel="0" collapsed="false">
      <c r="A18" s="7" t="s">
        <v>130</v>
      </c>
      <c r="B18" s="7"/>
      <c r="C18" s="7"/>
      <c r="D18" s="7"/>
      <c r="E18" s="7"/>
      <c r="F18" s="12"/>
      <c r="G18" s="11" t="str">
        <f aca="false">IF(F18="","",IF(ABS(F18-(31000))&lt;=1,"Riktig","Prøv igjen"))</f>
        <v/>
      </c>
    </row>
    <row r="19" customFormat="false" ht="48.75" hidden="false" customHeight="true" outlineLevel="0" collapsed="false">
      <c r="A19" s="7" t="s">
        <v>131</v>
      </c>
      <c r="B19" s="7"/>
      <c r="C19" s="7"/>
      <c r="D19" s="7"/>
      <c r="E19" s="7"/>
      <c r="F19" s="10"/>
      <c r="G19" s="11" t="str">
        <f aca="false">IF(F19="","",IF(UPPER(TRIM(F19))="B","Riktig","Prøv igjen"))</f>
        <v/>
      </c>
    </row>
    <row r="20" customFormat="false" ht="18.75" hidden="false" customHeight="true" outlineLevel="0" collapsed="false">
      <c r="A20" s="7" t="s">
        <v>132</v>
      </c>
      <c r="B20" s="7"/>
      <c r="C20" s="7"/>
      <c r="D20" s="7"/>
      <c r="E20" s="7"/>
    </row>
    <row r="21" customFormat="false" ht="15" hidden="false" customHeight="true" outlineLevel="0" collapsed="false">
      <c r="A21" s="7" t="s">
        <v>133</v>
      </c>
      <c r="B21" s="7"/>
      <c r="C21" s="7"/>
      <c r="D21" s="7"/>
      <c r="E21" s="7"/>
      <c r="F21" s="10"/>
      <c r="G21" s="11" t="str">
        <f aca="false">IF(F21="","",IF(UPPER(TRIM(F21))="JA","Riktig","Prøv igjen"))</f>
        <v/>
      </c>
    </row>
    <row r="22" customFormat="false" ht="26.85" hidden="false" customHeight="true" outlineLevel="0" collapsed="false">
      <c r="A22" s="7" t="s">
        <v>134</v>
      </c>
      <c r="B22" s="7"/>
      <c r="C22" s="7"/>
      <c r="D22" s="7"/>
      <c r="E22" s="7"/>
      <c r="F22" s="10"/>
      <c r="G22" s="11" t="str">
        <f aca="false">IF(F22="","",IF(UPPER(TRIM(F22))="JA","Riktig","Prøv igjen"))</f>
        <v/>
      </c>
    </row>
    <row r="23" customFormat="false" ht="15" hidden="false" customHeight="true" outlineLevel="0" collapsed="false">
      <c r="A23" s="7" t="s">
        <v>135</v>
      </c>
      <c r="B23" s="7"/>
      <c r="C23" s="7"/>
      <c r="D23" s="7"/>
      <c r="E23" s="7"/>
      <c r="F23" s="10"/>
      <c r="G23" s="11" t="str">
        <f aca="false">IF(F23="","",IF(UPPER(TRIM(F23))="NEI","Riktig","Prøv igjen"))</f>
        <v/>
      </c>
    </row>
    <row r="24" customFormat="false" ht="15" hidden="false" customHeight="true" outlineLevel="0" collapsed="false">
      <c r="A24" s="7" t="s">
        <v>136</v>
      </c>
      <c r="B24" s="7"/>
      <c r="C24" s="7"/>
      <c r="D24" s="7"/>
      <c r="E24" s="7"/>
      <c r="F24" s="10"/>
      <c r="G24" s="11" t="str">
        <f aca="false">IF(F24="","",IF(UPPER(TRIM(F24))="NEI","Riktig","Prøv igjen"))</f>
        <v/>
      </c>
    </row>
    <row r="25" customFormat="false" ht="15" hidden="false" customHeight="true" outlineLevel="0" collapsed="false">
      <c r="A25" s="7" t="s">
        <v>137</v>
      </c>
      <c r="B25" s="7"/>
      <c r="C25" s="7"/>
      <c r="D25" s="7"/>
      <c r="E25" s="7"/>
      <c r="F25" s="10"/>
      <c r="G25" s="11" t="str">
        <f aca="false">IF(F25="","",IF(UPPER(TRIM(F25))="JA","Riktig","Prøv igjen"))</f>
        <v/>
      </c>
    </row>
    <row r="26" customFormat="false" ht="15" hidden="false" customHeight="true" outlineLevel="0" collapsed="false">
      <c r="A26" s="7" t="s">
        <v>138</v>
      </c>
      <c r="B26" s="7"/>
      <c r="C26" s="7"/>
      <c r="D26" s="7"/>
      <c r="E26" s="7"/>
      <c r="F26" s="10"/>
      <c r="G26" s="11" t="str">
        <f aca="false">IF(F26="","",IF(UPPER(TRIM(F26))="NEI","Riktig","Prøv igjen"))</f>
        <v/>
      </c>
    </row>
    <row r="27" customFormat="false" ht="63.75" hidden="false" customHeight="true" outlineLevel="0" collapsed="false">
      <c r="A27" s="7" t="s">
        <v>139</v>
      </c>
      <c r="B27" s="7"/>
      <c r="C27" s="7"/>
      <c r="D27" s="7"/>
      <c r="E27" s="7"/>
      <c r="F27" s="10"/>
      <c r="G27" s="11" t="str">
        <f aca="false">IF(F27="","",IF(UPPER(TRIM(F27))="B","Riktig","Prøv igjen"))</f>
        <v/>
      </c>
    </row>
    <row r="28" customFormat="false" ht="33.75" hidden="false" customHeight="true" outlineLevel="0" collapsed="false">
      <c r="A28" s="7" t="s">
        <v>140</v>
      </c>
      <c r="B28" s="7"/>
      <c r="C28" s="7"/>
      <c r="D28" s="7"/>
      <c r="E28" s="7"/>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1" customFormat="false" ht="15" hidden="false" customHeight="false" outlineLevel="0" collapsed="false">
      <c r="A31" s="13"/>
      <c r="B31" s="13"/>
      <c r="C31" s="13"/>
      <c r="D31" s="13"/>
      <c r="E31" s="13"/>
      <c r="F31" s="13"/>
      <c r="G31" s="13"/>
    </row>
    <row r="33" customFormat="false" ht="48.75" hidden="false" customHeight="true" outlineLevel="0" collapsed="false">
      <c r="A33" s="6" t="s">
        <v>141</v>
      </c>
      <c r="B33" s="6"/>
      <c r="C33" s="6"/>
      <c r="D33" s="6"/>
      <c r="E33" s="6"/>
      <c r="F33" s="6"/>
      <c r="G33" s="6"/>
    </row>
    <row r="34" customFormat="false" ht="15" hidden="false" customHeight="true" outlineLevel="0" collapsed="false">
      <c r="A34" s="6" t="s">
        <v>57</v>
      </c>
      <c r="B34" s="6"/>
      <c r="C34" s="6"/>
      <c r="D34" s="6"/>
      <c r="E34" s="6"/>
      <c r="F34" s="6"/>
      <c r="G34" s="6"/>
    </row>
  </sheetData>
  <mergeCells count="26">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2026-10-11T06:32:15Z</dcterms:created>
  <dc:creator>openpyxl</dc:creator>
  <dc:description/>
  <dc:language>en-US</dc:language>
  <cp:lastModifiedBy/>
  <dcterms:modified xsi:type="dcterms:W3CDTF">2026-10-11T06:32:15Z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