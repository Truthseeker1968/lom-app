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<sst xmlns="http://schemas.openxmlformats.org/spreadsheetml/2006/main" count="262" uniqueCount="153">
  <si>
    <t xml:space="preserve">Organisasjonens eksterne rammebetingelser: oppgaver til kapittel 13</t>
  </si>
  <si>
    <t xml:space="preserve">Markedsføring, organisasjon og ledelse for LØM-emnet (Hjertnes), kapittel 13. Versjon 6, oktober 2026. Nordlys Elektro AS og Fjell Elektro AS er konstruerte casebedrifter; tallene er faktaarkene og casefakta for kapittel 13.</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</si>
  <si>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</si>
  <si>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</si>
  <si>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</si>
  <si>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</si>
  <si>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</si>
  <si>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</si>
  <si>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Seks saker på Karis pult: hvem er utenfor, og hva koster de?</t>
  </si>
  <si>
    <t xml:space="preserve">1B  Fjell Elektro: tariff, tilsyn og bank. Hva er eksternt, og hva bestemmer eieren selv?</t>
  </si>
  <si>
    <t xml:space="preserve">1C  Strategimøtet hos Nordlys: hvilke prosesser presser hvilken avdeling?</t>
  </si>
  <si>
    <t xml:space="preserve">Fasit  Alle svar med regnestykket skrevet ut</t>
  </si>
  <si>
    <t xml:space="preserve">Dette er øvingsmateriell til repetisjons- og øvingsstøtte. I besvarelser, caser, prosjektoppgaver og eksamen gjelder lærebøkene og oppgitte primærkilder.</t>
  </si>
  <si>
    <t xml:space="preserve">Kunde</t>
  </si>
  <si>
    <t xml:space="preserve">Oppgave 1A: Seks saker på Karis pult: hvem er utenfor, og hva koster de?</t>
  </si>
  <si>
    <t xml:space="preserve">Leverandør</t>
  </si>
  <si>
    <t xml:space="preserve">Alene, i par eller i gruppe, slik du vil.</t>
  </si>
  <si>
    <t xml:space="preserve">Offentlig myndighet</t>
  </si>
  <si>
    <t xml:space="preserve">Situasjonen</t>
  </si>
  <si>
    <t xml:space="preserve">Bank og finans</t>
  </si>
  <si>
    <t xml:space="preserve">Kari Nordlund, daglig leder i Nordlys Elektro AS, har seks saker på pulten samme uke høsten 2026. Polarlys Elektro Grossist AS sender nytt prisark på kabel fra 1. november. Banken hever renta på banklånet (2 800 000 kr) og kassekreditten (300 000 kr) fra 7,5 % til 7,75 %. Det lokale eltilsynet varsler virksomhetstilsyn i november. Ronny, formann, vil at montørene skal jobbe overtid. En totalentreprenør, som har Nordlys som én av fire likeverdige elektrofirma på lista, ber om 5 % rabatt på en jobb til 1 800 000 kr uten merverdiavgift. Og Kari vil selv kjøpe et termograferingskamera til 42 000 kr.</t>
  </si>
  <si>
    <t xml:space="preserve">Intern: deltagerne</t>
  </si>
  <si>
    <t xml:space="preserve">Begrepene du trenger</t>
  </si>
  <si>
    <t xml:space="preserve">Intern: teknologien</t>
  </si>
  <si>
    <t xml:space="preserve">Eksterne arbeidsbetingelser er forhold utenfor bedriften som påvirker mulighetene til å nå målene. Interessentmodellen (figur 13.1) viser aktørene som har en interesse knyttet til bedriften: kunder, leverandører, distributører, konkurrenter, offentlige myndigheter, bank og finans, organisasjonene i arbeidslivet og massemediene. Markedsmakt: den som har flest alternativer å velge mellom, setter betingelsene (13.1 og 13.2). Interne arbeidsbetingelser (kapittel 12) er det bedriften selv bestemmer: deltagerne, teknologien, målene og strukturen.</t>
  </si>
  <si>
    <t xml:space="preserve">Testen</t>
  </si>
  <si>
    <t xml:space="preserve">Spør for hver sak: kommer den fra noen utenfor Nordlys som har en interesse knyttet til bedriften (figur 13.1)? Da er avsenderen en ekstern aktør, og du velger hvilken. Kommer saken fra en ansatt, eller er det noe Kari bestemmer selv, er det en intern arbeidsbetingelse (kapittel 12: deltagere, teknologi).</t>
  </si>
  <si>
    <t xml:space="preserve">Seks saker på Karis pult: hvem er avsenderen? (velg i nedtrekksmenyen)</t>
  </si>
  <si>
    <t xml:space="preserve">1 Polarlys Elektro Grossist AS sender nytt prisark på kabel fra 1. november</t>
  </si>
  <si>
    <t xml:space="preserve">2 Banken hever renta på banklånet og kassekreditten fra 7,5 % til 7,75 %</t>
  </si>
  <si>
    <t xml:space="preserve">3 Det lokale eltilsynet varsler virksomhetstilsyn i november</t>
  </si>
  <si>
    <t xml:space="preserve">4 Ronny, formann, vil at montørene skal jobbe overtid i november</t>
  </si>
  <si>
    <t xml:space="preserve">5 En totalentreprenør med fire elektrofirma på lista ber om 5 % rabatt på en jobb til 1 800 000 kr</t>
  </si>
  <si>
    <t xml:space="preserve">6 Kari vil kjøpe et termograferingskamera til 42 000 kr</t>
  </si>
  <si>
    <t xml:space="preserve">Regn hva to av sakene koster, i kroner</t>
  </si>
  <si>
    <t xml:space="preserve">Nordlys har banklån 2 800 000 kr og kassekreditt 300 000 kr (faktaarket), til sammen 3 100 000 kr rentebærende gjeld. Renta går fra 7,5 % til 7,75 %, altså opp 0,25 prosentpoeng. Totalentreprenørens jobb er 1 800 000 kr uten merverdiavgift, og han ber om 5 % rabatt. Rabatten går rett fra fortjenesten, fordi materiell og timer koster det samme uansett pris. Hele kroner.</t>
  </si>
  <si>
    <t xml:space="preserve">a) Hvor mange kroner mer i rentekostnad i året gir renteøkningen? (3 100 000 × 0,25 %)</t>
  </si>
  <si>
    <t xml:space="preserve">kr i året</t>
  </si>
  <si>
    <t xml:space="preserve">b) Hvor mange kroner koster rabatten på jobben? (1 800 000 × 5 %)</t>
  </si>
  <si>
    <t xml:space="preserve">kr</t>
  </si>
  <si>
    <t xml:space="preserve">c) Hvor mange ganger renteøkningen er rabatten? (svaret i b delt på svaret i a, én desimal)</t>
  </si>
  <si>
    <t xml:space="preserve">ganger</t>
  </si>
  <si>
    <t xml:space="preserve">d) Nesten alt materiellet til Nordlys kommer fra Polarlys. Hva anbefaler læreboka en bedrift som er så avhengig av én leverandør?</t>
  </si>
  <si>
    <t xml:space="preserve">e) Kari rekker å gå grundig inn i én av de fire eksterne sakene denne uka. Hvilken, og hvorfor? Bruk tallene fra a til c og ordet markedsmakt. To–tre setninger.</t>
  </si>
  <si>
    <t xml:space="preserve">Står du fast? Skriv JA i den gule cellen:</t>
  </si>
  <si>
    <t xml:space="preserve">Gule celler fyller du inn. Grønne regnes ut av arket. Sjekken til høyre forteller om svaret stemmer, og hva du bør se på hvis ikke.</t>
  </si>
  <si>
    <t xml:space="preserve">Samle enda mer av innkjøpet hos Polarlys for å få bedre rabatt</t>
  </si>
  <si>
    <t xml:space="preserve">Bringe flere leverandører på banen</t>
  </si>
  <si>
    <t xml:space="preserve">Godta prisarket; en grossist er for stor til å forhandle med</t>
  </si>
  <si>
    <t xml:space="preserve">Ekstern aktør</t>
  </si>
  <si>
    <t xml:space="preserve">Oppgave 1B: Fjell Elektro: tariff, tilsyn og bank. Hva er eksternt, og hva bestemmer eieren selv?</t>
  </si>
  <si>
    <t xml:space="preserve">Ekstern prosess</t>
  </si>
  <si>
    <t xml:space="preserve">Intern arbeidsbetingelse</t>
  </si>
  <si>
    <t xml:space="preserve">Fjell Elektro AS i Oslo er i sitt andre driftsår, med eieren som faglig ansvarlig og to montører. Bedriften er ikke medlem av NHO Elektro, bransjeforeningen for elektrobedriftene i Næringslivets Hovedorganisasjon, og har ingen egen tariffavtale. Montørene har 560 000 kr i årslønn og 1 800 betalte timer. Banken krever kausjon fra eieren, grossisten gir 30 dagers kreditt, og driftsmarginen første år var 3,0 %. Eieren lurer på hva som egentlig bestemmes utenfor bedriften.</t>
  </si>
  <si>
    <t xml:space="preserve">Ekstern aktør: en interessent med navn som bedriften kan snakke og forhandle med (13.1–13.8). Ekstern prosess: en langsom endring i samfunnet som ingen enkelt part står bak (13.9–13.14). Intern arbeidsbetingelse: det bedriften selv bestemmer (kapittel 12). Organisasjonene i arbeidslivet påvirker bedriften gjennom tarifforhandlingene: hovedoppgjør hvert annet år, mellomoppgjør i året imellom, og Hovedavtalen mellom Næringslivets Hovedorganisasjon og Landsorganisasjonen i Norge, som gjelder fire år av gangen (13.7).</t>
  </si>
  <si>
    <t xml:space="preserve">Spør for hvert faktum: kommer det utenfra, og har det et navn eieren kan ringe? Da er det en ekstern aktør (13.1–13.8). Kommer det utenfra uten at noen enkelt part står bak, er det en ekstern prosess (13.9–13.14). Bestemmer bedriften det selv, er det en intern arbeidsbetingelse (kapittel 12).</t>
  </si>
  <si>
    <t xml:space="preserve">Åtte fakta om Fjell Elektro: eksternt eller internt? (velg i nedtrekksmenyen)</t>
  </si>
  <si>
    <t xml:space="preserve">1 Forskrift om elektroforetak og kvalifikasjonskrav § 7 krever en kvalifisert faglig ansvarlig</t>
  </si>
  <si>
    <t xml:space="preserve">2 Eieren har bestått installatørprøven</t>
  </si>
  <si>
    <t xml:space="preserve">3 Den allmenngjorte minstelønna for faglærte i elektrofagene er 270,45 kr per time</t>
  </si>
  <si>
    <t xml:space="preserve">4 Fjell betaler montørene 560 000 kr i året</t>
  </si>
  <si>
    <t xml:space="preserve">5 Banken krever at eieren kausjonerer for lånet</t>
  </si>
  <si>
    <t xml:space="preserve">6 Grossisten gir 30 dagers kreditt på materiellet</t>
  </si>
  <si>
    <t xml:space="preserve">7 Nav anslår at det mangler 1 110 elektrikere i Norge i 2026</t>
  </si>
  <si>
    <t xml:space="preserve">8 Norges Bank satte styringsrenten til 4,50 % fra 25. september 2026</t>
  </si>
  <si>
    <t xml:space="preserve">Lønna mot tariffen</t>
  </si>
  <si>
    <t xml:space="preserve">Hver montør hos Fjell har 560 000 kr i årslønn og 1 800 betalte timer (1 400 fakturerbare og 400 til kjøring, opplæring og garantiarbeid). Fjell har ingen tariffavtale, så gulvet er den allmenngjorte minstelønna for faglærte: 270,45 kr per time (forskrift om delvis allmenngjøring av Landsoverenskomsten for elektrofagene, fra 15. juni 2025). Bedrifter som er bundet av Landsoverenskomsten, har fastlønn på minst 282,95 kr per time fra 1. mai 2026. Tariffen er et gulv, ikke et tak.</t>
  </si>
  <si>
    <t xml:space="preserve">a) Montørenes lønn per betalt time (560 000 / 1 800, to desimaler)</t>
  </si>
  <si>
    <t xml:space="preserve">kr per time</t>
  </si>
  <si>
    <t xml:space="preserve">b) Hvor mange prosent ligger Fjell over den allmenngjorte minstelønna? ((svaret i a − 270,45) / 270,45 × 100, én desimal)</t>
  </si>
  <si>
    <t xml:space="preserve">prosent</t>
  </si>
  <si>
    <t xml:space="preserve">Hovedoppgjør</t>
  </si>
  <si>
    <t xml:space="preserve">Mellomoppgjør</t>
  </si>
  <si>
    <t xml:space="preserve">c) 2026 var et hovedoppgjør, med nye satser fra 1. mai. Hva slags oppgjør kommer i 2027?</t>
  </si>
  <si>
    <t xml:space="preserve">Ingen forhandlinger; satsene står i to år</t>
  </si>
  <si>
    <t xml:space="preserve">d) Eieren sier: «Vi er ikke medlem av NHO Elektro, så tariffen angår ikke oss.» Hva er riktig?</t>
  </si>
  <si>
    <t xml:space="preserve">Riktig; en tariffavtale binder bare medlemmene</t>
  </si>
  <si>
    <t xml:space="preserve">Feil; minstelønna i Landsoverenskomsten er allmenngjort og gjelder alle som gjør elektroarbeid</t>
  </si>
  <si>
    <t xml:space="preserve">e) Fjell betaler om lag 15 % over den allmenngjorte minstelønna, og driftsmarginen første år var 3,0 %. Er det lurt? Bruk minst to eksterne arbeidsbetingelser, og ordene tariff og margin. To–tre setninger.</t>
  </si>
  <si>
    <t xml:space="preserve">Feil; alle elektrobedrifter må være medlem</t>
  </si>
  <si>
    <t xml:space="preserve">Politiske forhold</t>
  </si>
  <si>
    <t xml:space="preserve">Oppgave 1C: Strategimøtet hos Nordlys: hvilke prosesser presser hvilken avdeling?</t>
  </si>
  <si>
    <t xml:space="preserve">Samfunnsøkonomiske forhold</t>
  </si>
  <si>
    <t xml:space="preserve">Teknologiske forhold</t>
  </si>
  <si>
    <t xml:space="preserve">Kulturelle forhold</t>
  </si>
  <si>
    <t xml:space="preserve">Kari skal legge fram eksternanalysen på strategimøtet for de tre avdelingene: service, prosjekt og nybygg, og solceller og lading. Hun har samlet sju nyheter som ingen hos Nordlys kan ringe noen om. Oppgaven er å plassere dem i bokas prosesser, regne to av endringene, og si hva Nordlys kan gjøre innenfor egen kontroll.</t>
  </si>
  <si>
    <t xml:space="preserve">Miljømessige forhold</t>
  </si>
  <si>
    <t xml:space="preserve">Demografiske forhold</t>
  </si>
  <si>
    <t xml:space="preserve">De mer perifere eksterne arbeidsbetingelsene er prosesser som øver et konstant trykk og over tid avgjør hva bedriften lager og hvordan (13.9): politiske (13.10), samfunnsøkonomiske (13.11), teknologiske (13.12), kulturelle (13.13) og miljømessige forhold (13.14). Figur 13.2 og 13.3 har i tillegg demografiske forhold. Teknologisk utvikling gir økt produktivitet, lavere kostnad per enhet og nye produkter, og får eksisterende produkter til å forsvinne (13.12). Bedriften lever av omdømmet sitt (13.13). Rammen kan ikke endres, men bedriften kan tilpasse seg: vellykket tilpasning (11.4).</t>
  </si>
  <si>
    <t xml:space="preserve">Nyhetene Kari har samlet</t>
  </si>
  <si>
    <t xml:space="preserve">Norges Bank satte styringsrenten til 4,50 % fra 25. september 2026. Enova reduserte støtten til solcelleanlegg på boliger fra 1. oktober 2023 (Teknisk Ukeblad, 21.06.2023), og solkraft på tak falt om lag 70 % i første del av 2026 (NHO Elektro, april 2026). Nordlys hadde 96 antenneoppdrag i 2022 og 22 i 2026. Nav anslår at det mangler 1 110 elektrikere. En kunde som ventet tre dager på svar, skrev om det i borettslagets Facebook-gruppe. Byggherren på neste nybygg krever utslippsfri byggeplass med elektriske maskiner og elvarebiler. Bydelen får flere eldre, og flere spør om tilrettelagte anlegg. Bransjen: omsetningen i elektrisk installasjon steg til 73,5 milliarder kroner i 2024, men driftsmarginen falt fra 6,7 % i 2022 til 5,2 % (Statistisk sentralbyrå, hele næringen; NHO Elektros utvalg hadde 7,5 % i 2025, et annet grunnlag).</t>
  </si>
  <si>
    <t xml:space="preserve">Oppgaven, trinn for trinn</t>
  </si>
  <si>
    <t xml:space="preserve">1. Plasser hver nyhet i riktig prosess fra boka (13.9–13.14 og figur 13.2).
2. Regn endringen i antenneoppdrag og i bransjens driftsmargin (a til c).
3. Velg hvilken prosess som presser hver av de tre avdelingene mest (d).
4. Skriv til Kari: ett tiltak per avdeling som ligger innenfor Nordlys' egen kontroll (e).</t>
  </si>
  <si>
    <t xml:space="preserve">Sju nyheter: hvilken av bokas prosesser hører hver til? (velg i nedtrekksmenyen)</t>
  </si>
  <si>
    <t xml:space="preserve">1 Norges Bank satte styringsrenten til 4,50 %</t>
  </si>
  <si>
    <t xml:space="preserve">2 Enova reduserte støtten til solceller på boliger fra 1.10.2023, og solkraft på tak falt om lag 70 % i første del av 2026</t>
  </si>
  <si>
    <t xml:space="preserve">3 Antenneoppdragene hos Nordlys falt fra 96 til 22</t>
  </si>
  <si>
    <t xml:space="preserve">4 Nav anslår at det mangler 1 110 elektrikere</t>
  </si>
  <si>
    <t xml:space="preserve">5 Kunden som ventet tre dager, skrev om det i borettslagets Facebook-gruppe</t>
  </si>
  <si>
    <t xml:space="preserve">6 Byggherren krever utslippsfri byggeplass med elektriske maskiner og elvarebiler</t>
  </si>
  <si>
    <t xml:space="preserve">7 Bydelen får flere eldre, og flere spør om tilrettelagte anlegg</t>
  </si>
  <si>
    <t xml:space="preserve">Regn to av endringene</t>
  </si>
  <si>
    <t xml:space="preserve">Endring i prosent = (nytt tall − gammelt tall) / gammelt tall × 100. Faller tallet, blir svaret negativt. Forskjellen mellom to prosenttall måles i prosentpoeng.</t>
  </si>
  <si>
    <t xml:space="preserve">a) Antenneoppdrag: fra 96 i 2022 til 22 i 2026. Endring i prosent, én desimal, med minus foran</t>
  </si>
  <si>
    <t xml:space="preserve">b) Bransjens driftsmargin: fra 6,7 % til 5,2 %. Hvor mange prosentpoeng falt den? (med minus foran)</t>
  </si>
  <si>
    <t xml:space="preserve">prosentpoeng</t>
  </si>
  <si>
    <t xml:space="preserve">c) Hvor mange prosent lavere er marginen 5,2 % enn 6,7 %? ((5,2 − 6,7) / 6,7 × 100, én desimal, med minus)</t>
  </si>
  <si>
    <t xml:space="preserve">Tre avdelinger: hvilken prosess presser hver av dem mest akkurat nå? (velg i nedtrekksmenyen)</t>
  </si>
  <si>
    <t xml:space="preserve">Service (sikringsskap, feilsøking, småjobber)</t>
  </si>
  <si>
    <t xml:space="preserve">Prosjekt og nybygg</t>
  </si>
  <si>
    <t xml:space="preserve">Solceller og lading</t>
  </si>
  <si>
    <t xml:space="preserve">e) Skriv til Kari: hvilken prosess presser hver avdeling, og ett tiltak per avdeling som ligger innenfor Nordlys' egen kontroll. Bruk ordene prosess og tiltak. Tre–fire setninger.</t>
  </si>
  <si>
    <t xml:space="preserve">Fasit, kapittel 13</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</si>
  <si>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</si>
  <si>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</si>
  <si>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</si>
  <si>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</si>
  <si>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Sorteringen</t>
  </si>
  <si>
    <t xml:space="preserve">Leverandør: Polarlys. Bank og finans: banken. Offentlig myndighet: eltilsynet. Kunde: totalentreprenøren. Intern: Ronnys overtid (deltagerne) og kameraet (teknologien).</t>
  </si>
  <si>
    <t xml:space="preserve">1A a) Renteøkning</t>
  </si>
  <si>
    <t xml:space="preserve">3 100 000 × 0,25 % = 7 750 kr i året (232 500 blir 240 250)</t>
  </si>
  <si>
    <t xml:space="preserve">1A b) Rabatten</t>
  </si>
  <si>
    <t xml:space="preserve">1 800 000 × 5 % = 90 000 kr</t>
  </si>
  <si>
    <t xml:space="preserve">1A c) Ganger</t>
  </si>
  <si>
    <t xml:space="preserve">90 000 / 7 750 = 11,6 ganger</t>
  </si>
  <si>
    <t xml:space="preserve">1A d) Polarlys</t>
  </si>
  <si>
    <t xml:space="preserve">Bringe flere leverandører på banen (13.2)</t>
  </si>
  <si>
    <t xml:space="preserve">1A e) Karis uke</t>
  </si>
  <si>
    <t xml:space="preserve">Entreprenørsaken: 90 000 kr i tapt fortjeneste, 11,6 ganger renteøkningen. Kunden har markedsmakten (fire på lista). Renta og tilsynet kan ikke forhandles. Tiltak: regne jobben mot andre jobber, og be om noe igjen for rabatten.</t>
  </si>
  <si>
    <t xml:space="preserve">1B Sorteringen</t>
  </si>
  <si>
    <t xml:space="preserve">Ekstern aktør: forskriftskravet (1), tariffsatsen (3), kausjonen (5), kreditten (6). Ekstern prosess: mangelen på elektrikere (7), styringsrenten (8). Intern: installatørprøven (2), lønnsnivået (4).</t>
  </si>
  <si>
    <t xml:space="preserve">1B a) Lønn per time</t>
  </si>
  <si>
    <t xml:space="preserve">560 000 / 1 800 = 311,11 kr per time</t>
  </si>
  <si>
    <t xml:space="preserve">1B b) Over gulvet</t>
  </si>
  <si>
    <t xml:space="preserve">(311,11 − 270,45) / 270,45 × 100 = 15,0 % over den allmenngjorte minstelønna. Mot fastlønna i Landsoverenskomsten, 282,95 kr, er det 10,0 %</t>
  </si>
  <si>
    <t xml:space="preserve">1B c) 2027</t>
  </si>
  <si>
    <t xml:space="preserve">Mellomoppgjør; hovedoppgjør hvert annet år (13.7)</t>
  </si>
  <si>
    <t xml:space="preserve">1B d) Tariffen</t>
  </si>
  <si>
    <t xml:space="preserve">Feil: minstelønna er allmenngjort (allmenngjøringsloven § 5) og gjelder også Fjell</t>
  </si>
  <si>
    <t xml:space="preserve">1B e) Lurt?</t>
  </si>
  <si>
    <t xml:space="preserve">Tariffen er et gulv. Mangelen på elektrikere og konkurrentene gjør at 15 % over gulvet kan være riktig. Marginen på 3,0 % er lav, men svaret er flere fakturerbare timer eller høyere timepris, ikke lavere lønn.</t>
  </si>
  <si>
    <t xml:space="preserve">1C Prosessene</t>
  </si>
  <si>
    <t xml:space="preserve">Samfunnsøkonomiske: styringsrenten (1), elektrikermangelen (4). Politiske: støttekuttet (2). Teknologiske: antennene (3). Kulturelle: Facebook-gruppa (5). Miljømessige: utslippsfri byggeplass (6). Demografiske: flere eldre (7).</t>
  </si>
  <si>
    <t xml:space="preserve">1C a) Antenneoppdrag</t>
  </si>
  <si>
    <t xml:space="preserve">(22 − 96) / 96 × 100 = −77,1 %</t>
  </si>
  <si>
    <t xml:space="preserve">1C b) Margin, prosentpoeng</t>
  </si>
  <si>
    <t xml:space="preserve">5,2 − 6,7 = −1,5 prosentpoeng</t>
  </si>
  <si>
    <t xml:space="preserve">1C c) Margin, prosent</t>
  </si>
  <si>
    <t xml:space="preserve">(5,2 − 6,7) / 6,7 × 100 = −22,4 %</t>
  </si>
  <si>
    <t xml:space="preserve">1C d) Avdelingene</t>
  </si>
  <si>
    <t xml:space="preserve">Service: teknologiske forhold. Prosjekt og nybygg: samfunnsøkonomiske forhold. Solceller og lading: politiske forhold.</t>
  </si>
  <si>
    <t xml:space="preserve">1C e) Til Kari</t>
  </si>
  <si>
    <t xml:space="preserve">Service: teknologien tok antennene; tiltak termografering og laststyring. Nybygg: renta; tiltak rehabilitering og yrkesbygg. Sol og lading: støttekuttet; tiltak ladeanlegg i borettslag. Prosessen kan ikke endres, posisjonen mot den kan velges.</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</si>
</sst>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7"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90"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75" hidden="false" customHeight="true" outlineLevel="0" collapsed="false">
      <c r="B7" s="9" t="s">
        <v>24</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25</v>
      </c>
      <c r="C9" s="8"/>
      <c r="D9" s="8"/>
      <c r="E9" s="8"/>
      <c r="F9" s="8"/>
      <c r="G9" s="8"/>
      <c r="Z9" s="6" t="s">
        <v>17</v>
      </c>
    </row>
    <row r="10" customFormat="false" ht="45" hidden="false" customHeight="true" outlineLevel="0" collapsed="false">
      <c r="B10" s="9" t="s">
        <v>26</v>
      </c>
      <c r="C10" s="9"/>
      <c r="D10" s="9"/>
      <c r="E10" s="9"/>
      <c r="F10" s="9"/>
      <c r="G10" s="9"/>
      <c r="Z10" s="6" t="s">
        <v>19</v>
      </c>
    </row>
    <row r="11" customFormat="false" ht="15" hidden="false" customHeight="false" outlineLevel="0" collapsed="false">
      <c r="Z11" s="0" t="s">
        <v>21</v>
      </c>
    </row>
    <row r="12" customFormat="false" ht="15" hidden="false" customHeight="true" outlineLevel="0" collapsed="false">
      <c r="B12" s="10" t="s">
        <v>27</v>
      </c>
      <c r="C12" s="10"/>
      <c r="D12" s="10"/>
      <c r="E12" s="10"/>
      <c r="F12" s="10"/>
      <c r="G12" s="10"/>
      <c r="Z12" s="6" t="s">
        <v>23</v>
      </c>
    </row>
    <row r="13" customFormat="false" ht="39.75" hidden="false" customHeight="true" outlineLevel="0" collapsed="false">
      <c r="B13" s="11" t="s">
        <v>28</v>
      </c>
      <c r="C13" s="12"/>
      <c r="G13" s="13" t="str">
        <f aca="false">IF(C13="","Velg i nedtrekksmenyen.",IF(C13="Leverandør","Riktig. Leverandøren setter betingelsene for materiellet (13.2).","Ikke riktig. Leverandøren setter betingelsene for materiellet (13.2)."))</f>
        <v>Velg i nedtrekksmenyen.</v>
      </c>
      <c r="Z13" s="6" t="s">
        <v>13</v>
      </c>
    </row>
    <row r="14" customFormat="false" ht="39.75" hidden="false" customHeight="true" outlineLevel="0" collapsed="false">
      <c r="B14" s="11" t="s">
        <v>29</v>
      </c>
      <c r="C14" s="12"/>
      <c r="G14" s="13" t="str">
        <f aca="false">IF(C14="","Velg i nedtrekksmenyen.",IF(C14="Bank og finans","Riktig. Bank- og finansinstitusjonene gir kreditt og setter prisen på den, renta (13.6).","Ikke riktig. Bank- og finansinstitusjonene gir kreditt og setter prisen på den, renta (13.6)."))</f>
        <v>Velg i nedtrekksmenyen.</v>
      </c>
      <c r="Z14" s="6" t="s">
        <v>15</v>
      </c>
    </row>
    <row r="15" customFormat="false" ht="39.75" hidden="false" customHeight="true" outlineLevel="0" collapsed="false">
      <c r="B15" s="11" t="s">
        <v>30</v>
      </c>
      <c r="C15" s="12"/>
      <c r="G15" s="13" t="str">
        <f aca="false">IF(C15="","Velg i nedtrekksmenyen.",IF(C15="Offentlig myndighet","Riktig. Offentlige myndigheter legger rammer og fører tilsyn (13.5). Det lokale eltilsynet gjør det på vegne av Direktoratet for samfunnssikkerhet og beredskap.","Ikke riktig. Offentlige myndigheter legger rammer og fører tilsyn (13.5). Det lokale eltilsynet gjør det på vegne av Direktoratet for samfunnssikkerhet og beredskap."))</f>
        <v>Velg i nedtrekksmenyen.</v>
      </c>
      <c r="Z15" s="6" t="s">
        <v>17</v>
      </c>
    </row>
    <row r="16" customFormat="false" ht="39.75" hidden="false" customHeight="true" outlineLevel="0" collapsed="false">
      <c r="B16" s="11" t="s">
        <v>31</v>
      </c>
      <c r="C16" s="12"/>
      <c r="G16" s="13" t="str">
        <f aca="false">IF(C16="","Velg i nedtrekksmenyen.",IF(C16="Intern: deltagerne","Riktig. Ronny er ansatt. Deltagerne er en intern arbeidsbetingelse (12.2), og overtid er noe Kari bestemmer selv.","Ikke riktig. Ronny er ansatt. Deltagerne er en intern arbeidsbetingelse (12.2), og overtid er noe Kari bestemmer selv."))</f>
        <v>Velg i nedtrekksmenyen.</v>
      </c>
      <c r="Z16" s="6" t="s">
        <v>19</v>
      </c>
    </row>
    <row r="17" customFormat="false" ht="39.75" hidden="false" customHeight="true" outlineLevel="0" collapsed="false">
      <c r="B17" s="11" t="s">
        <v>32</v>
      </c>
      <c r="C17" s="12"/>
      <c r="G17" s="13" t="str">
        <f aca="false">IF(C17="","Velg i nedtrekksmenyen.",IF(C17="Kunde","Riktig. Kunden er en ekstern aktør (13.1), og med fire på lista ligger markedsmakten hos kjøperen.","Ikke riktig. Kunden er en ekstern aktør (13.1), og med fire på lista ligger markedsmakten hos kjøperen."))</f>
        <v>Velg i nedtrekksmenyen.</v>
      </c>
      <c r="Z17" s="6" t="s">
        <v>21</v>
      </c>
    </row>
    <row r="18" customFormat="false" ht="39.75" hidden="false" customHeight="true" outlineLevel="0" collapsed="false">
      <c r="B18" s="11" t="s">
        <v>33</v>
      </c>
      <c r="C18" s="12"/>
      <c r="G18" s="13" t="str">
        <f aca="false">IF(C18="","Velg i nedtrekksmenyen.",IF(C18="Intern: teknologien","Riktig. Utstyr bedriften selv velger, er teknologi, en intern arbeidsbetingelse (12.3). Ingen utenfor krever det.","Ikke riktig. Utstyr bedriften selv velger, er teknologi, en intern arbeidsbetingelse (12.3). Ingen utenfor krever det."))</f>
        <v>Velg i nedtrekksmenyen.</v>
      </c>
      <c r="Z18" s="6" t="s">
        <v>23</v>
      </c>
    </row>
    <row r="19" customFormat="false" ht="15" hidden="false" customHeight="false" outlineLevel="0" collapsed="false">
      <c r="Z19" s="0" t="s">
        <v>13</v>
      </c>
    </row>
    <row r="20" customFormat="false" ht="15.75" hidden="false" customHeight="true" outlineLevel="0" collapsed="false">
      <c r="B20" s="8" t="s">
        <v>34</v>
      </c>
      <c r="C20" s="8"/>
      <c r="D20" s="8"/>
      <c r="E20" s="8"/>
      <c r="F20" s="8"/>
      <c r="G20" s="8"/>
      <c r="Z20" s="6" t="s">
        <v>15</v>
      </c>
    </row>
    <row r="21" customFormat="false" ht="60" hidden="false" customHeight="true" outlineLevel="0" collapsed="false">
      <c r="B21" s="9" t="s">
        <v>35</v>
      </c>
      <c r="C21" s="9"/>
      <c r="D21" s="9"/>
      <c r="E21" s="9"/>
      <c r="F21" s="9"/>
      <c r="G21" s="9"/>
      <c r="Z21" s="6" t="s">
        <v>17</v>
      </c>
    </row>
    <row r="22" customFormat="false" ht="43.5" hidden="false" customHeight="true" outlineLevel="0" collapsed="false">
      <c r="B22" s="11" t="s">
        <v>36</v>
      </c>
      <c r="C22" s="14"/>
      <c r="D22" s="15" t="s">
        <v>37</v>
      </c>
      <c r="G22" s="13" t="str">
        <f aca="false">IF(C22="","Skriv svaret i den gule cellen.",IF(C22=(3100000*0.0025),"Riktig.",IF(ABS(C22-(2800000*0.0025))&lt;=0,"Du har regnet bare på banklånet. Kassekreditten på 300 000 får også høyere rente: regn på 3 100 000.",IF(ABS(C22-(3100000*0.25))&lt;=0,"Du har brukt 0,25 i stedet for 0,25 %. Et kvart prosentpoeng er 0,0025.",IF(ABS(C22-(3100000*0.0775))&lt;=0,"Det er hele rentekostnaden etter økningen, 240 250. Spørsmålet er hvor mye mer: 240 250 − 232 500.","Ikke riktig ennå. Se på regnestykket øverst på fanen, og sjekk at du har med alle leddene.")))))</f>
        <v>Skriv svaret i den gule cellen.</v>
      </c>
      <c r="Z22" s="6" t="s">
        <v>19</v>
      </c>
    </row>
    <row r="23" customFormat="false" ht="43.5" hidden="false" customHeight="true" outlineLevel="0" collapsed="false">
      <c r="B23" s="11" t="s">
        <v>38</v>
      </c>
      <c r="C23" s="14"/>
      <c r="D23" s="15" t="s">
        <v>39</v>
      </c>
      <c r="G23" s="13" t="str">
        <f aca="false">IF(C23="","Skriv svaret i den gule cellen.",IF(C23=(1800000*0.05),"Riktig.",IF(ABS(C23-(1800000*0.5))&lt;=0,"Du har brukt 50 %. Rabatten er 5 %, altså 0,05.",IF(ABS(C23-(1800000*0.95))&lt;=0,"Det er prisen etter rabatt, 1 710 000. Spørsmålet er hva rabatten koster: 1 800 000 − 1 710 000.","Ikke riktig ennå. Se på regnestykket øverst på fanen, og sjekk at du har med alle leddene."))))</f>
        <v>Skriv svaret i den gule cellen.</v>
      </c>
      <c r="Z23" s="6" t="s">
        <v>21</v>
      </c>
    </row>
    <row r="24" customFormat="false" ht="43.5" hidden="false" customHeight="true" outlineLevel="0" collapsed="false">
      <c r="B24" s="11" t="s">
        <v>40</v>
      </c>
      <c r="C24" s="16"/>
      <c r="D24" s="15" t="s">
        <v>41</v>
      </c>
      <c r="G24" s="13" t="str">
        <f aca="false">IF(C24="","Skriv svaret i den gule cellen.",IF(ABS(C24-(ROUND(1800000*0.05/(3100000*0.0025),1)))&lt;=0.1,"Riktig.",IF(ABS(C24-(ROUND(3100000*0.0025/(1800000*0.05),1)))&lt;=0.1,"Du har delt motsatt vei. Rabatten (90 000) skal deles på renteøkningen (7 750).",IF(ABS(C24-(ROUND(1800000*0.05/(2800000*0.0025),1)))&lt;=0.1,"Du har brukt renteøkningen uten kassekreditten (7 000). Riktig nevner er 7 750.","Ikke riktig ennå. Se på regnestykket øverst på fanen, og sjekk at du har med alle leddene."))))</f>
        <v>Skriv svaret i den gule cellen.</v>
      </c>
      <c r="Z24" s="6" t="s">
        <v>23</v>
      </c>
    </row>
    <row r="25" customFormat="false" ht="15" hidden="false" customHeight="false" outlineLevel="0" collapsed="false">
      <c r="Z25" s="0" t="s">
        <v>13</v>
      </c>
    </row>
    <row r="26" customFormat="false" ht="39.75" hidden="false" customHeight="true" outlineLevel="0" collapsed="false">
      <c r="B26" s="11" t="s">
        <v>42</v>
      </c>
      <c r="C26" s="12"/>
      <c r="G26" s="13" t="str">
        <f aca="false">IF(C26="","Velg i nedtrekksmenyen.",IF(C26="Bringe flere leverandører på banen","Riktig. Boka sier at det er en fordel å kunne velge mellom flere leverandører, og at bedriften aktivt kan prøve å bringe flere leverandører på banen (13.2). Å samle mer hos Polarlys binder Nordlys hardere. Størrelse er ikke makt; makten følger antallet alternativer.","Ikke riktig. Boka sier at det er en fordel å kunne velge mellom flere leverandører, og at bedriften aktivt kan prøve å bringe flere leverandører på banen (13.2). Å samle mer hos Polarlys binder Nordlys hardere. Størrelse er ikke makt; makten følger antallet alternativer."))</f>
        <v>Velg i nedtrekksmenyen.</v>
      </c>
      <c r="Z26" s="6" t="s">
        <v>15</v>
      </c>
    </row>
    <row r="27" customFormat="false" ht="15" hidden="false" customHeight="false" outlineLevel="0" collapsed="false">
      <c r="Z27" s="0" t="s">
        <v>17</v>
      </c>
    </row>
    <row r="28" customFormat="false" ht="30" hidden="false" customHeight="true" outlineLevel="0" collapsed="false">
      <c r="B28" s="9" t="s">
        <v>43</v>
      </c>
      <c r="C28" s="9"/>
      <c r="D28" s="9"/>
      <c r="E28" s="9"/>
      <c r="F28" s="9"/>
      <c r="G28" s="9"/>
      <c r="Z28" s="6" t="s">
        <v>19</v>
      </c>
    </row>
    <row r="29" customFormat="false" ht="21.75" hidden="false" customHeight="true" outlineLevel="0" collapsed="false">
      <c r="B29" s="17"/>
      <c r="C29" s="17"/>
      <c r="D29" s="17"/>
      <c r="E29" s="17"/>
      <c r="F29" s="17"/>
      <c r="G29" s="17"/>
      <c r="Z29" s="6" t="s">
        <v>21</v>
      </c>
    </row>
    <row r="30" customFormat="false" ht="21.75" hidden="false" customHeight="true" outlineLevel="0" collapsed="false">
      <c r="B30" s="17"/>
      <c r="C30" s="17"/>
      <c r="D30" s="17"/>
      <c r="E30" s="17"/>
      <c r="F30" s="17"/>
      <c r="G30" s="17"/>
      <c r="Z30" s="6" t="s">
        <v>23</v>
      </c>
    </row>
    <row r="31" customFormat="false" ht="21.75" hidden="false" customHeight="true" outlineLevel="0" collapsed="false">
      <c r="B31" s="17"/>
      <c r="C31" s="17"/>
      <c r="D31" s="17"/>
      <c r="E31" s="17"/>
      <c r="F31" s="17"/>
      <c r="G31" s="17"/>
      <c r="Z31" s="6" t="s">
        <v>13</v>
      </c>
    </row>
    <row r="32" customFormat="false" ht="39.75" hidden="false" customHeight="true" outlineLevel="0" collapsed="false">
      <c r="B32" s="18" t="str">
        <f aca="false">IF(LEN(B29)&lt;40,"",IF(AND(ISNUMBER(SEARCH("rabatt",B29)),ISNUMBER(SEARCH("makt",B29))),"Bra: du bruker tallene og markedsmakten. Sjekk at du også sier hva Kari kan gjøre: regne hva jobben gir mot andre jobber montørene kunne gjort, og ikke gi rabatt uten å få noe igjen.",IF(OR(ISNUMBER(SEARCH("rabatt",B29)),ISNUMBER(SEARCH("makt",B29))),"Du er på sporet. Si hvilken sak som koster mest i kroner (rabatten, 90 000, mot renteøkningen, 7 750), og hvem som har markedsmakten i den saken.","Tips: rabatten koster 90 000 kr, 11,6 ganger renteøkningen på 7 750. Kunden har markedsmakten, for fire likeverdige firma står på lista (13.1). Renta og tilsynet kan ikke forhandles. Kari bør bruke uka på entreprenørsaken: regne hva jobben gir mot andre jobber, og be om noe igjen for rabatten.")))</f>
        <v/>
      </c>
      <c r="C32" s="18"/>
      <c r="D32" s="18"/>
      <c r="E32" s="18"/>
      <c r="F32" s="18"/>
      <c r="G32" s="18"/>
      <c r="Z32" s="6" t="s">
        <v>15</v>
      </c>
    </row>
    <row r="33" customFormat="false" ht="15" hidden="false" customHeight="false" outlineLevel="0" collapsed="false">
      <c r="B33" s="19" t="s">
        <v>44</v>
      </c>
      <c r="C33" s="12"/>
      <c r="Z33" s="6" t="s">
        <v>17</v>
      </c>
    </row>
    <row r="34" customFormat="false" ht="45" hidden="false" customHeight="true" outlineLevel="0" collapsed="false">
      <c r="B34" s="20" t="str">
        <f aca="false">IF(C33="JA","Hint: Aktør eller ikke: Polarlys er leverandør, banken er bank og finans, eltilsynet er offentlig myndighet, totalentreprenøren er kunde. Ronny og kameraet er interne. Rente: 3 100 000 × 0,0025 = 7 750 kr. Rabatt: 1 800 000 × 0,05 = 90 000 kr. 90 000 / 7 750 = 11,6 ganger.","")</f>
        <v/>
      </c>
      <c r="C34" s="20"/>
      <c r="D34" s="20"/>
      <c r="E34" s="20"/>
      <c r="F34" s="20"/>
      <c r="G34" s="20"/>
      <c r="Z34" s="6" t="s">
        <v>19</v>
      </c>
    </row>
    <row r="35" customFormat="false" ht="15" hidden="false" customHeight="false" outlineLevel="0" collapsed="false">
      <c r="Z35" s="0" t="s">
        <v>21</v>
      </c>
    </row>
    <row r="36" customFormat="false" ht="30" hidden="false" customHeight="true" outlineLevel="0" collapsed="false">
      <c r="B36" s="7" t="s">
        <v>45</v>
      </c>
      <c r="C36" s="7"/>
      <c r="D36" s="7"/>
      <c r="E36" s="7"/>
      <c r="F36" s="7"/>
      <c r="G36" s="7"/>
      <c r="Z36" s="6" t="s">
        <v>23</v>
      </c>
    </row>
    <row r="37" customFormat="false" ht="15" hidden="false" customHeight="false" outlineLevel="0" collapsed="false">
      <c r="Z37" s="0" t="s">
        <v>46</v>
      </c>
    </row>
    <row r="38" customFormat="false" ht="15" hidden="false" customHeight="false" outlineLevel="0" collapsed="false">
      <c r="Z38" s="0" t="s">
        <v>47</v>
      </c>
    </row>
    <row r="39" customFormat="false" ht="15" hidden="false" customHeight="false" outlineLevel="0" collapsed="false">
      <c r="Z39" s="0" t="s">
        <v>48</v>
      </c>
    </row>
  </sheetData>
  <mergeCells count="16">
    <mergeCell ref="B2:G2"/>
    <mergeCell ref="B3:G3"/>
    <mergeCell ref="B4:G4"/>
    <mergeCell ref="B5:G5"/>
    <mergeCell ref="B6:G6"/>
    <mergeCell ref="B7:G7"/>
    <mergeCell ref="B9:G9"/>
    <mergeCell ref="B10:G10"/>
    <mergeCell ref="B12:G12"/>
    <mergeCell ref="B20:G20"/>
    <mergeCell ref="B21:G21"/>
    <mergeCell ref="B28:G28"/>
    <mergeCell ref="B29:G31"/>
    <mergeCell ref="B32:G32"/>
    <mergeCell ref="B34:G34"/>
    <mergeCell ref="B36:G36"/>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AND(G22&lt;&gt;"",LEFT(G22,6)&lt;&gt;"Riktig",LEFT(G22,5)&lt;&gt;"Skriv")</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AND(G23&lt;&gt;"",LEFT(G23,6)&lt;&gt;"Riktig",LEFT(G23,5)&lt;&gt;"Skriv")</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AND(G24&lt;&gt;"",LEFT(G24,6)&lt;&gt;"Riktig",LEFT(G24,5)&lt;&gt;"Skriv")</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LEFT(G26,4)="Ikke"</formula>
    </cfRule>
  </conditionalFormatting>
  <dataValidations count="8">
    <dataValidation allowBlank="true" errorStyle="stop" operator="between" showDropDown="false" showErrorMessage="false" showInputMessage="false" sqref="C13" type="list">
      <formula1>$Z$1:$Z$6</formula1>
      <formula2>0</formula2>
    </dataValidation>
    <dataValidation allowBlank="true" errorStyle="stop" operator="between" showDropDown="false" showErrorMessage="false" showInputMessage="false" sqref="C14" type="list">
      <formula1>$Z$7:$Z$12</formula1>
      <formula2>0</formula2>
    </dataValidation>
    <dataValidation allowBlank="true" errorStyle="stop" operator="between" showDropDown="false" showErrorMessage="false" showInputMessage="false" sqref="C15" type="list">
      <formula1>$Z$13:$Z$18</formula1>
      <formula2>0</formula2>
    </dataValidation>
    <dataValidation allowBlank="true" errorStyle="stop" operator="between" showDropDown="false" showErrorMessage="false" showInputMessage="false" sqref="C16" type="list">
      <formula1>$Z$19:$Z$24</formula1>
      <formula2>0</formula2>
    </dataValidation>
    <dataValidation allowBlank="true" errorStyle="stop" operator="between" showDropDown="false" showErrorMessage="false" showInputMessage="false" sqref="C17" type="list">
      <formula1>$Z$25:$Z$30</formula1>
      <formula2>0</formula2>
    </dataValidation>
    <dataValidation allowBlank="true" errorStyle="stop" operator="between" showDropDown="false" showErrorMessage="false" showInputMessage="false" sqref="C18" type="list">
      <formula1>$Z$31:$Z$36</formula1>
      <formula2>0</formula2>
    </dataValidation>
    <dataValidation allowBlank="true" errorStyle="stop" operator="between" showDropDown="false" showErrorMessage="false" showInputMessage="false" sqref="C26" type="list">
      <formula1>$Z$37:$Z$39</formula1>
      <formula2>0</formula2>
    </dataValidation>
    <dataValidation allowBlank="true" errorStyle="stop" operator="between" showDropDown="false" showErrorMessage="false" showInputMessage="false" sqref="C3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49</v>
      </c>
    </row>
    <row r="2" customFormat="false" ht="25.5" hidden="false" customHeight="true" outlineLevel="0" collapsed="false">
      <c r="B2" s="5" t="s">
        <v>50</v>
      </c>
      <c r="C2" s="5"/>
      <c r="D2" s="5"/>
      <c r="E2" s="5"/>
      <c r="F2" s="5"/>
      <c r="G2" s="5"/>
      <c r="Z2" s="6" t="s">
        <v>51</v>
      </c>
    </row>
    <row r="3" customFormat="false" ht="15" hidden="false" customHeight="true" outlineLevel="0" collapsed="false">
      <c r="B3" s="7" t="s">
        <v>16</v>
      </c>
      <c r="C3" s="7"/>
      <c r="D3" s="7"/>
      <c r="E3" s="7"/>
      <c r="F3" s="7"/>
      <c r="G3" s="7"/>
      <c r="Z3" s="6" t="s">
        <v>52</v>
      </c>
    </row>
    <row r="4" customFormat="false" ht="15.75" hidden="false" customHeight="true" outlineLevel="0" collapsed="false">
      <c r="B4" s="8" t="s">
        <v>18</v>
      </c>
      <c r="C4" s="8"/>
      <c r="D4" s="8"/>
      <c r="E4" s="8"/>
      <c r="F4" s="8"/>
      <c r="G4" s="8"/>
      <c r="Z4" s="6" t="s">
        <v>49</v>
      </c>
    </row>
    <row r="5" customFormat="false" ht="60" hidden="false" customHeight="true" outlineLevel="0" collapsed="false">
      <c r="B5" s="9" t="s">
        <v>53</v>
      </c>
      <c r="C5" s="9"/>
      <c r="D5" s="9"/>
      <c r="E5" s="9"/>
      <c r="F5" s="9"/>
      <c r="G5" s="9"/>
      <c r="Z5" s="6" t="s">
        <v>51</v>
      </c>
    </row>
    <row r="6" customFormat="false" ht="15.75" hidden="false" customHeight="true" outlineLevel="0" collapsed="false">
      <c r="B6" s="8" t="s">
        <v>22</v>
      </c>
      <c r="C6" s="8"/>
      <c r="D6" s="8"/>
      <c r="E6" s="8"/>
      <c r="F6" s="8"/>
      <c r="G6" s="8"/>
      <c r="Z6" s="6" t="s">
        <v>52</v>
      </c>
    </row>
    <row r="7" customFormat="false" ht="75" hidden="false" customHeight="true" outlineLevel="0" collapsed="false">
      <c r="B7" s="9" t="s">
        <v>54</v>
      </c>
      <c r="C7" s="9"/>
      <c r="D7" s="9"/>
      <c r="E7" s="9"/>
      <c r="F7" s="9"/>
      <c r="G7" s="9"/>
      <c r="Z7" s="6" t="s">
        <v>49</v>
      </c>
    </row>
    <row r="8" customFormat="false" ht="15" hidden="false" customHeight="false" outlineLevel="0" collapsed="false">
      <c r="Z8" s="0" t="s">
        <v>51</v>
      </c>
    </row>
    <row r="9" customFormat="false" ht="15.75" hidden="false" customHeight="true" outlineLevel="0" collapsed="false">
      <c r="B9" s="8" t="s">
        <v>25</v>
      </c>
      <c r="C9" s="8"/>
      <c r="D9" s="8"/>
      <c r="E9" s="8"/>
      <c r="F9" s="8"/>
      <c r="G9" s="8"/>
      <c r="Z9" s="6" t="s">
        <v>52</v>
      </c>
    </row>
    <row r="10" customFormat="false" ht="45" hidden="false" customHeight="true" outlineLevel="0" collapsed="false">
      <c r="B10" s="9" t="s">
        <v>55</v>
      </c>
      <c r="C10" s="9"/>
      <c r="D10" s="9"/>
      <c r="E10" s="9"/>
      <c r="F10" s="9"/>
      <c r="G10" s="9"/>
      <c r="Z10" s="6" t="s">
        <v>49</v>
      </c>
    </row>
    <row r="11" customFormat="false" ht="15" hidden="false" customHeight="false" outlineLevel="0" collapsed="false">
      <c r="Z11" s="0" t="s">
        <v>51</v>
      </c>
    </row>
    <row r="12" customFormat="false" ht="15" hidden="false" customHeight="true" outlineLevel="0" collapsed="false">
      <c r="B12" s="10" t="s">
        <v>56</v>
      </c>
      <c r="C12" s="10"/>
      <c r="D12" s="10"/>
      <c r="E12" s="10"/>
      <c r="F12" s="10"/>
      <c r="G12" s="10"/>
      <c r="Z12" s="6" t="s">
        <v>52</v>
      </c>
    </row>
    <row r="13" customFormat="false" ht="39.75" hidden="false" customHeight="true" outlineLevel="0" collapsed="false">
      <c r="B13" s="11" t="s">
        <v>57</v>
      </c>
      <c r="C13" s="12"/>
      <c r="G13" s="13" t="str">
        <f aca="false">IF(C13="","Velg i nedtrekksmenyen.",IF(C13="Ekstern aktør","Riktig. Et krav fra offentlige myndigheter, som legger rammer på nær sagt alle områder (13.5).","Ikke riktig. Et krav fra offentlige myndigheter, som legger rammer på nær sagt alle områder (13.5)."))</f>
        <v>Velg i nedtrekksmenyen.</v>
      </c>
      <c r="Z13" s="6" t="s">
        <v>49</v>
      </c>
    </row>
    <row r="14" customFormat="false" ht="39.75" hidden="false" customHeight="true" outlineLevel="0" collapsed="false">
      <c r="B14" s="11" t="s">
        <v>58</v>
      </c>
      <c r="C14" s="12"/>
      <c r="G14" s="13" t="str">
        <f aca="false">IF(C14="","Velg i nedtrekksmenyen.",IF(C14="Intern arbeidsbetingelse","Riktig. Kompetansen bedriften har, hører til deltagerne, en intern arbeidsbetingelse (12.2). Kravet er eksternt; at eieren fyller det, er internt.","Ikke riktig. Kompetansen bedriften har, hører til deltagerne, en intern arbeidsbetingelse (12.2). Kravet er eksternt; at eieren fyller det, er internt."))</f>
        <v>Velg i nedtrekksmenyen.</v>
      </c>
      <c r="Z14" s="6" t="s">
        <v>51</v>
      </c>
    </row>
    <row r="15" customFormat="false" ht="39.75" hidden="false" customHeight="true" outlineLevel="0" collapsed="false">
      <c r="B15" s="11" t="s">
        <v>59</v>
      </c>
      <c r="C15" s="12"/>
      <c r="G15" s="13" t="str">
        <f aca="false">IF(C15="","Velg i nedtrekksmenyen.",IF(C15="Ekstern aktør","Riktig. Satsen kommer fra tariffavtalen organisasjonene i arbeidslivet har forhandlet fram (13.7), og Tariffnemnda har gjort den til et minstekrav for alle. Bedriften forhandler den ikke selv; bare lønn over gulvet er bedriftens eget valg.","Ikke riktig. Satsen kommer fra tariffavtalen organisasjonene i arbeidslivet har forhandlet fram (13.7), og Tariffnemnda har gjort den til et minstekrav for alle. Bedriften forhandler den ikke selv; bare lønn over gulvet er bedriftens eget valg."))</f>
        <v>Velg i nedtrekksmenyen.</v>
      </c>
      <c r="Z15" s="6" t="s">
        <v>52</v>
      </c>
    </row>
    <row r="16" customFormat="false" ht="39.75" hidden="false" customHeight="true" outlineLevel="0" collapsed="false">
      <c r="B16" s="11" t="s">
        <v>60</v>
      </c>
      <c r="C16" s="12"/>
      <c r="G16" s="13" t="str">
        <f aca="false">IF(C16="","Velg i nedtrekksmenyen.",IF(C16="Intern arbeidsbetingelse","Riktig. Lønn over tariffens gulv er eierens egen beslutning innenfor rammen.","Ikke riktig. Lønn over tariffens gulv er eierens egen beslutning innenfor rammen."))</f>
        <v>Velg i nedtrekksmenyen.</v>
      </c>
      <c r="Z16" s="6" t="s">
        <v>49</v>
      </c>
    </row>
    <row r="17" customFormat="false" ht="39.75" hidden="false" customHeight="true" outlineLevel="0" collapsed="false">
      <c r="B17" s="11" t="s">
        <v>61</v>
      </c>
      <c r="C17" s="12"/>
      <c r="G17" s="13" t="str">
        <f aca="false">IF(C17="","Velg i nedtrekksmenyen.",IF(C17="Ekstern aktør","Riktig. Bank- og finansinstitusjonene setter betingelsene for kreditten (13.6).","Ikke riktig. Bank- og finansinstitusjonene setter betingelsene for kreditten (13.6)."))</f>
        <v>Velg i nedtrekksmenyen.</v>
      </c>
      <c r="Z17" s="6" t="s">
        <v>51</v>
      </c>
    </row>
    <row r="18" customFormat="false" ht="39.75" hidden="false" customHeight="true" outlineLevel="0" collapsed="false">
      <c r="B18" s="11" t="s">
        <v>62</v>
      </c>
      <c r="C18" s="12"/>
      <c r="G18" s="13" t="str">
        <f aca="false">IF(C18="","Velg i nedtrekksmenyen.",IF(C18="Ekstern aktør","Riktig. Leverandøren setter betalingsbetingelsene (13.2).","Ikke riktig. Leverandøren setter betalingsbetingelsene (13.2)."))</f>
        <v>Velg i nedtrekksmenyen.</v>
      </c>
      <c r="Z18" s="6" t="s">
        <v>52</v>
      </c>
    </row>
    <row r="19" customFormat="false" ht="39.75" hidden="false" customHeight="true" outlineLevel="0" collapsed="false">
      <c r="B19" s="11" t="s">
        <v>63</v>
      </c>
      <c r="C19" s="12"/>
      <c r="G19" s="13" t="str">
        <f aca="false">IF(C19="","Velg i nedtrekksmenyen.",IF(C19="Ekstern prosess","Riktig. Tilgangen på arbeidskraft er et samfunnsøkonomisk forhold (13.11.2). Ingen enkelt part står bak, og ingen kan ringes.","Ikke riktig. Tilgangen på arbeidskraft er et samfunnsøkonomisk forhold (13.11.2). Ingen enkelt part står bak, og ingen kan ringes."))</f>
        <v>Velg i nedtrekksmenyen.</v>
      </c>
      <c r="Z19" s="6" t="s">
        <v>49</v>
      </c>
    </row>
    <row r="20" customFormat="false" ht="39.75" hidden="false" customHeight="true" outlineLevel="0" collapsed="false">
      <c r="B20" s="11" t="s">
        <v>64</v>
      </c>
      <c r="C20" s="12"/>
      <c r="G20" s="13" t="str">
        <f aca="false">IF(C20="","Velg i nedtrekksmenyen.",IF(C20="Ekstern prosess","Riktig. Rentenivået hører til tilgangen på kapital, et samfunnsøkonomisk forhold (13.11.1). Banken Fjell låner i, er aktøren; renta i samfunnet er prosessen.","Ikke riktig. Rentenivået hører til tilgangen på kapital, et samfunnsøkonomisk forhold (13.11.1). Banken Fjell låner i, er aktøren; renta i samfunnet er prosessen."))</f>
        <v>Velg i nedtrekksmenyen.</v>
      </c>
      <c r="Z20" s="6" t="s">
        <v>51</v>
      </c>
    </row>
    <row r="21" customFormat="false" ht="15" hidden="false" customHeight="false" outlineLevel="0" collapsed="false">
      <c r="Z21" s="0" t="s">
        <v>52</v>
      </c>
    </row>
    <row r="22" customFormat="false" ht="15.75" hidden="false" customHeight="true" outlineLevel="0" collapsed="false">
      <c r="B22" s="8" t="s">
        <v>65</v>
      </c>
      <c r="C22" s="8"/>
      <c r="D22" s="8"/>
      <c r="E22" s="8"/>
      <c r="F22" s="8"/>
      <c r="G22" s="8"/>
      <c r="Z22" s="6" t="s">
        <v>49</v>
      </c>
    </row>
    <row r="23" customFormat="false" ht="75" hidden="false" customHeight="true" outlineLevel="0" collapsed="false">
      <c r="B23" s="9" t="s">
        <v>66</v>
      </c>
      <c r="C23" s="9"/>
      <c r="D23" s="9"/>
      <c r="E23" s="9"/>
      <c r="F23" s="9"/>
      <c r="G23" s="9"/>
      <c r="Z23" s="6" t="s">
        <v>51</v>
      </c>
    </row>
    <row r="24" customFormat="false" ht="43.5" hidden="false" customHeight="true" outlineLevel="0" collapsed="false">
      <c r="B24" s="11" t="s">
        <v>67</v>
      </c>
      <c r="C24" s="21"/>
      <c r="D24" s="15" t="s">
        <v>68</v>
      </c>
      <c r="G24" s="13" t="str">
        <f aca="false">IF(C24="","Skriv svaret i den gule cellen.",IF(ABS(C24-(ROUND(560000/1800,2)))&lt;=0.01,"Riktig.",IF(ABS(C24-(ROUND(560000/1400,2)))&lt;=0.01,"Du har delt på de fakturerbare timene. Lønna betales for alle 1 800 timer.",IF(ABS(C24-(ROUND(560000*1.468/1800,2)))&lt;=0.01,"Du har tatt med sosiale kostnader. Her spør vi om lønna montøren får, ikke hva han koster bedriften.","Ikke riktig ennå. Se på regnestykket øverst på fanen, og sjekk at du har med alle leddene."))))</f>
        <v>Skriv svaret i den gule cellen.</v>
      </c>
      <c r="Z24" s="6" t="s">
        <v>52</v>
      </c>
    </row>
    <row r="25" customFormat="false" ht="43.5" hidden="false" customHeight="true" outlineLevel="0" collapsed="false">
      <c r="B25" s="11" t="s">
        <v>69</v>
      </c>
      <c r="C25" s="16"/>
      <c r="D25" s="15" t="s">
        <v>70</v>
      </c>
      <c r="G25" s="13" t="str">
        <f aca="false">IF(C25="","Skriv svaret i den gule cellen.",IF(ABS(C25-(ROUND((560000/1800-270.45)/270.45*100,1)))&lt;=0.1,"Riktig.",IF(ABS(C25-(ROUND((560000/1800-282.95)/282.95*100,1)))&lt;=0.1,"Du har brukt fastlønna i Landsoverenskomsten, 282,95 kr. Den binder bedrifter med tariffavtale. Fjell har ingen, så gulvet er den allmenngjorte minstelønna, 270,45 kr.",IF(ABS(C25-(ROUND((560000/1800-270.45)/(560000/1800)*100,1)))&lt;=0.1,"Du har delt på Fjells egen timelønn. Spørsmålet er prosent over gulvet, så del på 270,45.",IF(ABS(C25-(ROUND(560000/1800-270.45,1)))&lt;=0.1,"Det er forskjellen i kroner, 40,66. Del den på 270,45 og gang med 100 for å få prosent.","Ikke riktig ennå. Se på regnestykket øverst på fanen, og sjekk at du har med alle leddene.")))))</f>
        <v>Skriv svaret i den gule cellen.</v>
      </c>
      <c r="Z25" s="6" t="s">
        <v>71</v>
      </c>
    </row>
    <row r="26" customFormat="false" ht="15" hidden="false" customHeight="false" outlineLevel="0" collapsed="false">
      <c r="Z26" s="0" t="s">
        <v>72</v>
      </c>
    </row>
    <row r="27" customFormat="false" ht="39.75" hidden="false" customHeight="true" outlineLevel="0" collapsed="false">
      <c r="B27" s="11" t="s">
        <v>73</v>
      </c>
      <c r="C27" s="12"/>
      <c r="G27" s="13" t="str">
        <f aca="false">IF(C27="","Velg i nedtrekksmenyen.",IF(C27="Mellomoppgjør","Riktig. Hovedtarifforhandlinger finner sted hvert annet år. I mellomåret justeres foregående hovedoppgjør ved mellomoppgjør (13.7). Hovedavtalen mellom Næringslivets Hovedorganisasjon og Landsorganisasjonen i Norge gjelder fire år av gangen.","Ikke riktig. Hovedtarifforhandlinger finner sted hvert annet år. I mellomåret justeres foregående hovedoppgjør ved mellomoppgjør (13.7). Hovedavtalen mellom Næringslivets Hovedorganisasjon og Landsorganisasjonen i Norge gjelder fire år av gangen."))</f>
        <v>Velg i nedtrekksmenyen.</v>
      </c>
      <c r="Z27" s="6" t="s">
        <v>74</v>
      </c>
    </row>
    <row r="28" customFormat="false" ht="39.75" hidden="false" customHeight="true" outlineLevel="0" collapsed="false">
      <c r="B28" s="11" t="s">
        <v>75</v>
      </c>
      <c r="C28" s="12"/>
      <c r="G28" s="13" t="str">
        <f aca="false">IF(C28="","Velg i nedtrekksmenyen.",IF(C28="Feil; minstelønna i Landsoverenskomsten er allmenngjort og gjelder alle som gjør elektroarbeid","Riktig. Tariffnemnda kan bestemme at en tariffavtale helt eller delvis skal gjelde alle som gjør den typen arbeid (allmenngjøringsloven § 5, Lovdata). Landsoverenskomsten for elektrofagene er delvis allmenngjort, så minstelønna gjelder også Fjell. Medlemskap er frivillig. Dette står ikke i læreboka, som behandler tarifforhandlingene i 13.7.","Ikke riktig. Tariffnemnda kan bestemme at en tariffavtale helt eller delvis skal gjelde alle som gjør den typen arbeid (allmenngjøringsloven § 5, Lovdata). Landsoverenskomsten for elektrofagene er delvis allmenngjort, så minstelønna gjelder også Fjell. Medlemskap er frivillig. Dette står ikke i læreboka, som behandler tarifforhandlingene i 13.7."))</f>
        <v>Velg i nedtrekksmenyen.</v>
      </c>
      <c r="Z28" s="6" t="s">
        <v>76</v>
      </c>
    </row>
    <row r="29" customFormat="false" ht="15" hidden="false" customHeight="false" outlineLevel="0" collapsed="false">
      <c r="Z29" s="0" t="s">
        <v>77</v>
      </c>
    </row>
    <row r="30" customFormat="false" ht="30" hidden="false" customHeight="true" outlineLevel="0" collapsed="false">
      <c r="B30" s="9" t="s">
        <v>78</v>
      </c>
      <c r="C30" s="9"/>
      <c r="D30" s="9"/>
      <c r="E30" s="9"/>
      <c r="F30" s="9"/>
      <c r="G30" s="9"/>
      <c r="Z30" s="6" t="s">
        <v>79</v>
      </c>
    </row>
    <row r="31" customFormat="false" ht="21.75" hidden="false" customHeight="true" outlineLevel="0" collapsed="false">
      <c r="B31" s="17"/>
      <c r="C31" s="17"/>
      <c r="D31" s="17"/>
      <c r="E31" s="17"/>
      <c r="F31" s="17"/>
      <c r="G31" s="17"/>
    </row>
    <row r="32" customFormat="false" ht="21.75" hidden="false" customHeight="true" outlineLevel="0" collapsed="false">
      <c r="B32" s="17"/>
      <c r="C32" s="17"/>
      <c r="D32" s="17"/>
      <c r="E32" s="17"/>
      <c r="F32" s="17"/>
      <c r="G32" s="17"/>
    </row>
    <row r="33" customFormat="false" ht="21.75" hidden="false" customHeight="true" outlineLevel="0" collapsed="false">
      <c r="B33" s="17"/>
      <c r="C33" s="17"/>
      <c r="D33" s="17"/>
      <c r="E33" s="17"/>
      <c r="F33" s="17"/>
      <c r="G33" s="17"/>
    </row>
    <row r="34" customFormat="false" ht="39.75" hidden="false" customHeight="true" outlineLevel="0" collapsed="false">
      <c r="B34" s="18" t="str">
        <f aca="false">IF(LEN(B31)&lt;40,"",IF(AND(ISNUMBER(SEARCH("tariff",B31)),ISNUMBER(SEARCH("margin",B31))),"Bra: du bruker både tariffen og marginen. Sjekk at du peker på to eksterne forhold, for eksempel mangelen på elektrikere og konkurrentene som kan by over, og sier hva eieren heller kan gjøre enn å kutte lønna.",IF(OR(ISNUMBER(SEARCH("tariff",B31)),ISNUMBER(SEARCH("margin",B31))),"Du er på sporet. Ta med at tariffen er et gulv, at Nav anslår 1 110 elektrikere for få (konkurransen om folk), og at 3,0 % margin gir lite å gå på. Svaret ligger heller i flere fakturerbare timer eller høyere pris enn i lavere lønn.","Tips: tariffen er et gulv, ikke et tak (13.7). Det mangler 1 110 elektrikere (13.11.2), og Nordlys og kjedene kan by over (13.4). Mister Fjell en montør, forsvinner 1 400 fakturerbare timer. Marginen på 3,0 % er lav, men svaret er flere fakturerbare timer eller høyere timepris, ikke lavere lønn.")))</f>
        <v/>
      </c>
      <c r="C34" s="18"/>
      <c r="D34" s="18"/>
      <c r="E34" s="18"/>
      <c r="F34" s="18"/>
      <c r="G34" s="18"/>
    </row>
    <row r="35" customFormat="false" ht="15" hidden="false" customHeight="false" outlineLevel="0" collapsed="false">
      <c r="B35" s="19" t="s">
        <v>44</v>
      </c>
      <c r="C35" s="12"/>
    </row>
    <row r="36" customFormat="false" ht="60" hidden="false" customHeight="true" outlineLevel="0" collapsed="false">
      <c r="B36" s="20" t="str">
        <f aca="false">IF(C35="JA","Hint: Krav, satser og betingelser kommer utenfra: forskriften, tariffsatsen, kausjonen og kreditten er eksterne aktører. Mangelen på elektrikere og styringsrenten er prosesser; ingen kan ringes. Installatørprøven og lønnsnivået er interne. 560 000 / 1 800 = 311,11 kr. (311,11 − 270,45) / 270,45 × 100 = 15,0 %. Hovedoppgjør annethvert år, mellomoppgjør i året imellom.","")</f>
        <v/>
      </c>
      <c r="C36" s="20"/>
      <c r="D36" s="20"/>
      <c r="E36" s="20"/>
      <c r="F36" s="20"/>
      <c r="G36" s="20"/>
    </row>
    <row r="38" customFormat="false" ht="30" hidden="false" customHeight="true" outlineLevel="0" collapsed="false">
      <c r="B38" s="7" t="s">
        <v>45</v>
      </c>
      <c r="C38" s="7"/>
      <c r="D38" s="7"/>
      <c r="E38" s="7"/>
      <c r="F38" s="7"/>
      <c r="G38" s="7"/>
    </row>
  </sheetData>
  <mergeCells count="16">
    <mergeCell ref="B2:G2"/>
    <mergeCell ref="B3:G3"/>
    <mergeCell ref="B4:G4"/>
    <mergeCell ref="B5:G5"/>
    <mergeCell ref="B6:G6"/>
    <mergeCell ref="B7:G7"/>
    <mergeCell ref="B9:G9"/>
    <mergeCell ref="B10:G10"/>
    <mergeCell ref="B12:G12"/>
    <mergeCell ref="B22:G22"/>
    <mergeCell ref="B23:G23"/>
    <mergeCell ref="B30:G30"/>
    <mergeCell ref="B31:G33"/>
    <mergeCell ref="B34:G34"/>
    <mergeCell ref="B36:G36"/>
    <mergeCell ref="B38:G38"/>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AND(G24&lt;&gt;"",LEFT(G24,6)&lt;&gt;"Riktig",LEFT(G24,5)&lt;&gt;"Skriv")</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AND(G25&lt;&gt;"",LEFT(G25,6)&lt;&gt;"Riktig",LEFT(G25,5)&lt;&gt;"Skriv")</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LEFT(G27,4)="Ikke"</formula>
    </cfRule>
  </conditionalFormatting>
  <conditionalFormatting sqref="G28">
    <cfRule type="expression" priority="24" aboveAverage="0" equalAverage="0" bottom="0" percent="0" rank="0" text="" dxfId="0">
      <formula>LEFT(G28,6)="Riktig"</formula>
    </cfRule>
    <cfRule type="expression" priority="25" aboveAverage="0" equalAverage="0" bottom="0" percent="0" rank="0" text="" dxfId="1">
      <formula>LEFT(G28,4)="Ikke"</formula>
    </cfRule>
  </conditionalFormatting>
  <dataValidations count="11">
    <dataValidation allowBlank="true" errorStyle="stop" operator="between" showDropDown="false" showErrorMessage="false" showInputMessage="false" sqref="C13" type="list">
      <formula1>$Z$1:$Z$3</formula1>
      <formula2>0</formula2>
    </dataValidation>
    <dataValidation allowBlank="true" errorStyle="stop" operator="between" showDropDown="false" showErrorMessage="false" showInputMessage="false" sqref="C14" type="list">
      <formula1>$Z$4:$Z$6</formula1>
      <formula2>0</formula2>
    </dataValidation>
    <dataValidation allowBlank="true" errorStyle="stop" operator="between" showDropDown="false" showErrorMessage="false" showInputMessage="false" sqref="C15" type="list">
      <formula1>$Z$7:$Z$9</formula1>
      <formula2>0</formula2>
    </dataValidation>
    <dataValidation allowBlank="true" errorStyle="stop" operator="between" showDropDown="false" showErrorMessage="false" showInputMessage="false" sqref="C16" type="list">
      <formula1>$Z$10:$Z$12</formula1>
      <formula2>0</formula2>
    </dataValidation>
    <dataValidation allowBlank="true" errorStyle="stop" operator="between" showDropDown="false" showErrorMessage="false" showInputMessage="false" sqref="C17" type="list">
      <formula1>$Z$13:$Z$15</formula1>
      <formula2>0</formula2>
    </dataValidation>
    <dataValidation allowBlank="true" errorStyle="stop" operator="between" showDropDown="false" showErrorMessage="false" showInputMessage="false" sqref="C18" type="list">
      <formula1>$Z$16:$Z$18</formula1>
      <formula2>0</formula2>
    </dataValidation>
    <dataValidation allowBlank="true" errorStyle="stop" operator="between" showDropDown="false" showErrorMessage="false" showInputMessage="false" sqref="C19" type="list">
      <formula1>$Z$19:$Z$21</formula1>
      <formula2>0</formula2>
    </dataValidation>
    <dataValidation allowBlank="true" errorStyle="stop" operator="between" showDropDown="false" showErrorMessage="false" showInputMessage="false" sqref="C20" type="list">
      <formula1>$Z$22:$Z$24</formula1>
      <formula2>0</formula2>
    </dataValidation>
    <dataValidation allowBlank="true" errorStyle="stop" operator="between" showDropDown="false" showErrorMessage="false" showInputMessage="false" sqref="C27" type="list">
      <formula1>$Z$25:$Z$27</formula1>
      <formula2>0</formula2>
    </dataValidation>
    <dataValidation allowBlank="true" errorStyle="stop" operator="between" showDropDown="false" showErrorMessage="false" showInputMessage="false" sqref="C28" type="list">
      <formula1>$Z$28:$Z$30</formula1>
      <formula2>0</formula2>
    </dataValidation>
    <dataValidation allowBlank="true" errorStyle="stop" operator="between" showDropDown="false" showErrorMessage="false" showInputMessage="false" sqref="C3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80</v>
      </c>
    </row>
    <row r="2" customFormat="false" ht="25.5" hidden="false" customHeight="true" outlineLevel="0" collapsed="false">
      <c r="B2" s="5" t="s">
        <v>81</v>
      </c>
      <c r="C2" s="5"/>
      <c r="D2" s="5"/>
      <c r="E2" s="5"/>
      <c r="F2" s="5"/>
      <c r="G2" s="5"/>
      <c r="Z2" s="6" t="s">
        <v>82</v>
      </c>
    </row>
    <row r="3" customFormat="false" ht="15" hidden="false" customHeight="true" outlineLevel="0" collapsed="false">
      <c r="B3" s="7" t="s">
        <v>16</v>
      </c>
      <c r="C3" s="7"/>
      <c r="D3" s="7"/>
      <c r="E3" s="7"/>
      <c r="F3" s="7"/>
      <c r="G3" s="7"/>
      <c r="Z3" s="6" t="s">
        <v>83</v>
      </c>
    </row>
    <row r="4" customFormat="false" ht="15.75" hidden="false" customHeight="true" outlineLevel="0" collapsed="false">
      <c r="B4" s="8" t="s">
        <v>18</v>
      </c>
      <c r="C4" s="8"/>
      <c r="D4" s="8"/>
      <c r="E4" s="8"/>
      <c r="F4" s="8"/>
      <c r="G4" s="8"/>
      <c r="Z4" s="6" t="s">
        <v>84</v>
      </c>
    </row>
    <row r="5" customFormat="false" ht="45" hidden="false" customHeight="true" outlineLevel="0" collapsed="false">
      <c r="B5" s="9" t="s">
        <v>85</v>
      </c>
      <c r="C5" s="9"/>
      <c r="D5" s="9"/>
      <c r="E5" s="9"/>
      <c r="F5" s="9"/>
      <c r="G5" s="9"/>
      <c r="Z5" s="6" t="s">
        <v>86</v>
      </c>
    </row>
    <row r="6" customFormat="false" ht="15.75" hidden="false" customHeight="true" outlineLevel="0" collapsed="false">
      <c r="B6" s="8" t="s">
        <v>22</v>
      </c>
      <c r="C6" s="8"/>
      <c r="D6" s="8"/>
      <c r="E6" s="8"/>
      <c r="F6" s="8"/>
      <c r="G6" s="8"/>
      <c r="Z6" s="6" t="s">
        <v>87</v>
      </c>
    </row>
    <row r="7" customFormat="false" ht="75" hidden="false" customHeight="true" outlineLevel="0" collapsed="false">
      <c r="B7" s="9" t="s">
        <v>88</v>
      </c>
      <c r="C7" s="9"/>
      <c r="D7" s="9"/>
      <c r="E7" s="9"/>
      <c r="F7" s="9"/>
      <c r="G7" s="9"/>
      <c r="Z7" s="6" t="s">
        <v>80</v>
      </c>
    </row>
    <row r="8" customFormat="false" ht="15" hidden="false" customHeight="false" outlineLevel="0" collapsed="false">
      <c r="Z8" s="0" t="s">
        <v>82</v>
      </c>
    </row>
    <row r="9" customFormat="false" ht="15.75" hidden="false" customHeight="true" outlineLevel="0" collapsed="false">
      <c r="B9" s="8" t="s">
        <v>89</v>
      </c>
      <c r="C9" s="8"/>
      <c r="D9" s="8"/>
      <c r="E9" s="8"/>
      <c r="F9" s="8"/>
      <c r="G9" s="8"/>
      <c r="Z9" s="6" t="s">
        <v>83</v>
      </c>
    </row>
    <row r="10" customFormat="false" ht="105" hidden="false" customHeight="true" outlineLevel="0" collapsed="false">
      <c r="B10" s="9" t="s">
        <v>90</v>
      </c>
      <c r="C10" s="9"/>
      <c r="D10" s="9"/>
      <c r="E10" s="9"/>
      <c r="F10" s="9"/>
      <c r="G10" s="9"/>
      <c r="Z10" s="6" t="s">
        <v>84</v>
      </c>
    </row>
    <row r="11" customFormat="false" ht="15" hidden="false" customHeight="false" outlineLevel="0" collapsed="false">
      <c r="Z11" s="0" t="s">
        <v>86</v>
      </c>
    </row>
    <row r="12" customFormat="false" ht="15.75" hidden="false" customHeight="true" outlineLevel="0" collapsed="false">
      <c r="B12" s="8" t="s">
        <v>91</v>
      </c>
      <c r="C12" s="8"/>
      <c r="D12" s="8"/>
      <c r="E12" s="8"/>
      <c r="F12" s="8"/>
      <c r="G12" s="8"/>
      <c r="Z12" s="6" t="s">
        <v>87</v>
      </c>
    </row>
    <row r="13" customFormat="false" ht="45" hidden="false" customHeight="true" outlineLevel="0" collapsed="false">
      <c r="B13" s="9" t="s">
        <v>92</v>
      </c>
      <c r="C13" s="9"/>
      <c r="D13" s="9"/>
      <c r="E13" s="9"/>
      <c r="F13" s="9"/>
      <c r="G13" s="9"/>
      <c r="Z13" s="6" t="s">
        <v>80</v>
      </c>
    </row>
    <row r="14" customFormat="false" ht="15" hidden="false" customHeight="false" outlineLevel="0" collapsed="false">
      <c r="Z14" s="0" t="s">
        <v>82</v>
      </c>
    </row>
    <row r="15" customFormat="false" ht="15" hidden="false" customHeight="true" outlineLevel="0" collapsed="false">
      <c r="B15" s="10" t="s">
        <v>93</v>
      </c>
      <c r="C15" s="10"/>
      <c r="D15" s="10"/>
      <c r="E15" s="10"/>
      <c r="F15" s="10"/>
      <c r="G15" s="10"/>
      <c r="Z15" s="6" t="s">
        <v>83</v>
      </c>
    </row>
    <row r="16" customFormat="false" ht="39.75" hidden="false" customHeight="true" outlineLevel="0" collapsed="false">
      <c r="B16" s="11" t="s">
        <v>94</v>
      </c>
      <c r="C16" s="12"/>
      <c r="G16" s="13" t="str">
        <f aca="false">IF(C16="","Velg i nedtrekksmenyen.",IF(C16="Samfunnsøkonomiske forhold","Riktig. Rentenivået følger tilgangen på kapital, et samfunnsøkonomisk forhold (13.11.1).","Ikke riktig. Rentenivået følger tilgangen på kapital, et samfunnsøkonomisk forhold (13.11.1)."))</f>
        <v>Velg i nedtrekksmenyen.</v>
      </c>
      <c r="Z16" s="6" t="s">
        <v>84</v>
      </c>
    </row>
    <row r="17" customFormat="false" ht="39.75" hidden="false" customHeight="true" outlineLevel="0" collapsed="false">
      <c r="B17" s="11" t="s">
        <v>95</v>
      </c>
      <c r="C17" s="12"/>
      <c r="G17" s="13" t="str">
        <f aca="false">IF(C17="","Velg i nedtrekksmenyen.",IF(C17="Politiske forhold","Riktig. Et politisk vedtak skapte markedet, og et nytt vedtak tok det bort. Politiske vedtak skaper rammebetingelsene (13.10).","Ikke riktig. Et politisk vedtak skapte markedet, og et nytt vedtak tok det bort. Politiske vedtak skaper rammebetingelsene (13.10)."))</f>
        <v>Velg i nedtrekksmenyen.</v>
      </c>
      <c r="Z17" s="6" t="s">
        <v>86</v>
      </c>
    </row>
    <row r="18" customFormat="false" ht="39.75" hidden="false" customHeight="true" outlineLevel="0" collapsed="false">
      <c r="B18" s="11" t="s">
        <v>96</v>
      </c>
      <c r="C18" s="12"/>
      <c r="G18" s="13" t="str">
        <f aca="false">IF(C18="","Velg i nedtrekksmenyen.",IF(C18="Teknologiske forhold","Riktig. Bokas fjerde konsekvens av teknologisk utvikling: eksisterende produkter forsvinner (13.12).","Ikke riktig. Bokas fjerde konsekvens av teknologisk utvikling: eksisterende produkter forsvinner (13.12)."))</f>
        <v>Velg i nedtrekksmenyen.</v>
      </c>
      <c r="Z18" s="6" t="s">
        <v>87</v>
      </c>
    </row>
    <row r="19" customFormat="false" ht="39.75" hidden="false" customHeight="true" outlineLevel="0" collapsed="false">
      <c r="B19" s="11" t="s">
        <v>97</v>
      </c>
      <c r="C19" s="12"/>
      <c r="G19" s="13" t="str">
        <f aca="false">IF(C19="","Velg i nedtrekksmenyen.",IF(C19="Samfunnsøkonomiske forhold","Riktig. Tilgangen på kvalifisert arbeidskraft er en flaskehals, et samfunnsøkonomisk forhold (13.11.2).","Ikke riktig. Tilgangen på kvalifisert arbeidskraft er en flaskehals, et samfunnsøkonomisk forhold (13.11.2)."))</f>
        <v>Velg i nedtrekksmenyen.</v>
      </c>
      <c r="Z19" s="6" t="s">
        <v>80</v>
      </c>
    </row>
    <row r="20" customFormat="false" ht="39.75" hidden="false" customHeight="true" outlineLevel="0" collapsed="false">
      <c r="B20" s="11" t="s">
        <v>98</v>
      </c>
      <c r="C20" s="12"/>
      <c r="G20" s="13" t="str">
        <f aca="false">IF(C20="","Velg i nedtrekksmenyen.",IF(C20="Kulturelle forhold","Riktig. Bedriften lever av omdømmet sitt; bryter den det folk forventer, taper den først anseelse og så salg (13.13). Ikke 13.8, som gjelder presse og kringkasting.","Ikke riktig. Bedriften lever av omdømmet sitt; bryter den det folk forventer, taper den først anseelse og så salg (13.13). Ikke 13.8, som gjelder presse og kringkasting."))</f>
        <v>Velg i nedtrekksmenyen.</v>
      </c>
      <c r="Z20" s="6" t="s">
        <v>82</v>
      </c>
    </row>
    <row r="21" customFormat="false" ht="39.75" hidden="false" customHeight="true" outlineLevel="0" collapsed="false">
      <c r="B21" s="11" t="s">
        <v>99</v>
      </c>
      <c r="C21" s="12"/>
      <c r="G21" s="13" t="str">
        <f aca="false">IF(C21="","Velg i nedtrekksmenyen.",IF(C21="Miljømessige forhold","Riktig. Framtidens miljøkrav blir minst like strenge som dagens; vær i forkant av lovgivningen (13.14).","Ikke riktig. Framtidens miljøkrav blir minst like strenge som dagens; vær i forkant av lovgivningen (13.14)."))</f>
        <v>Velg i nedtrekksmenyen.</v>
      </c>
      <c r="Z21" s="6" t="s">
        <v>83</v>
      </c>
    </row>
    <row r="22" customFormat="false" ht="39.75" hidden="false" customHeight="true" outlineLevel="0" collapsed="false">
      <c r="B22" s="11" t="s">
        <v>100</v>
      </c>
      <c r="C22" s="12"/>
      <c r="G22" s="13" t="str">
        <f aca="false">IF(C22="","Velg i nedtrekksmenyen.",IF(C22="Demografiske forhold","Riktig. Demografiske forhold står i figur 13.2 og 13.3 som en av prosessene, selv om teksten ikke behandler dem.","Ikke riktig. Demografiske forhold står i figur 13.2 og 13.3 som en av prosessene, selv om teksten ikke behandler dem."))</f>
        <v>Velg i nedtrekksmenyen.</v>
      </c>
      <c r="Z22" s="6" t="s">
        <v>84</v>
      </c>
    </row>
    <row r="23" customFormat="false" ht="15" hidden="false" customHeight="false" outlineLevel="0" collapsed="false">
      <c r="Z23" s="0" t="s">
        <v>86</v>
      </c>
    </row>
    <row r="24" customFormat="false" ht="15.75" hidden="false" customHeight="true" outlineLevel="0" collapsed="false">
      <c r="B24" s="8" t="s">
        <v>101</v>
      </c>
      <c r="C24" s="8"/>
      <c r="D24" s="8"/>
      <c r="E24" s="8"/>
      <c r="F24" s="8"/>
      <c r="G24" s="8"/>
      <c r="Z24" s="6" t="s">
        <v>87</v>
      </c>
    </row>
    <row r="25" customFormat="false" ht="30" hidden="false" customHeight="true" outlineLevel="0" collapsed="false">
      <c r="B25" s="9" t="s">
        <v>102</v>
      </c>
      <c r="C25" s="9"/>
      <c r="D25" s="9"/>
      <c r="E25" s="9"/>
      <c r="F25" s="9"/>
      <c r="G25" s="9"/>
      <c r="Z25" s="6" t="s">
        <v>80</v>
      </c>
    </row>
    <row r="26" customFormat="false" ht="43.5" hidden="false" customHeight="true" outlineLevel="0" collapsed="false">
      <c r="B26" s="11" t="s">
        <v>103</v>
      </c>
      <c r="C26" s="16"/>
      <c r="D26" s="15" t="s">
        <v>70</v>
      </c>
      <c r="G26" s="13" t="str">
        <f aca="false">IF(C26="","Skriv svaret i den gule cellen.",IF(ABS(C26-(ROUND((22-96)/96*100,1)))&lt;=0.1,"Riktig.",IF(ABS(C26-(ROUND((96-22)/96*100,1)))&lt;=0.1,"Fortegnet mangler. Tallet falt, så endringen er negativ: (22 − 96) / 96.",IF(ABS(C26-(ROUND((22-96)/22*100,1)))&lt;=0.1,"Du har delt på det nye tallet. Del på det gamle, 96.",IF(ABS(C26-(ROUND(22/96*100,1)))&lt;=0.1,"Det er hvor mange prosent som er igjen (22,9 %). Spørsmålet er endringen: (22 − 96) / 96.","Ikke riktig ennå. Se på regnestykket øverst på fanen, og sjekk at du har med alle leddene.")))))</f>
        <v>Skriv svaret i den gule cellen.</v>
      </c>
      <c r="Z26" s="6" t="s">
        <v>82</v>
      </c>
    </row>
    <row r="27" customFormat="false" ht="43.5" hidden="false" customHeight="true" outlineLevel="0" collapsed="false">
      <c r="B27" s="11" t="s">
        <v>104</v>
      </c>
      <c r="C27" s="16"/>
      <c r="D27" s="15" t="s">
        <v>105</v>
      </c>
      <c r="G27" s="13" t="str">
        <f aca="false">IF(C27="","Skriv svaret i den gule cellen.",IF(ABS(C27-(5.2-6.7))&lt;=0.01,"Riktig.",IF(ABS(C27-(6.7-5.2))&lt;=0.01,"Fortegnet mangler. Marginen falt, så svaret er negativt: 5,2 − 6,7.",IF(ABS(C27-(ROUND((5.2-6.7)/6.7*100,1)))&lt;=0.01,"Det er fallet i prosent av marginen (−22,4 %). Spørsmål b ber om prosentpoeng: 5,2 − 6,7.","Ikke riktig ennå. Se på regnestykket øverst på fanen, og sjekk at du har med alle leddene."))))</f>
        <v>Skriv svaret i den gule cellen.</v>
      </c>
      <c r="Z27" s="6" t="s">
        <v>83</v>
      </c>
    </row>
    <row r="28" customFormat="false" ht="43.5" hidden="false" customHeight="true" outlineLevel="0" collapsed="false">
      <c r="B28" s="11" t="s">
        <v>106</v>
      </c>
      <c r="C28" s="16"/>
      <c r="D28" s="15" t="s">
        <v>70</v>
      </c>
      <c r="G28" s="13" t="str">
        <f aca="false">IF(C28="","Skriv svaret i den gule cellen.",IF(ABS(C28-(ROUND((5.2-6.7)/6.7*100,1)))&lt;=0.1,"Riktig.",IF(ABS(C28-(ROUND(5.2-6.7,1)))&lt;=0.1,"Det er prosentpoengene fra b. Her skal du dele på det gamle tallet, 6,7, og gange med 100.",IF(ABS(C28-(ROUND((5.2-6.7)/5.2*100,1)))&lt;=0.1,"Du har delt på det nye tallet. Del på det gamle, 6,7.","Ikke riktig ennå. Se på regnestykket øverst på fanen, og sjekk at du har med alle leddene."))))</f>
        <v>Skriv svaret i den gule cellen.</v>
      </c>
      <c r="Z28" s="6" t="s">
        <v>84</v>
      </c>
    </row>
    <row r="29" customFormat="false" ht="15" hidden="false" customHeight="false" outlineLevel="0" collapsed="false">
      <c r="Z29" s="0" t="s">
        <v>86</v>
      </c>
    </row>
    <row r="30" customFormat="false" ht="15" hidden="false" customHeight="true" outlineLevel="0" collapsed="false">
      <c r="B30" s="10" t="s">
        <v>107</v>
      </c>
      <c r="C30" s="10"/>
      <c r="D30" s="10"/>
      <c r="E30" s="10"/>
      <c r="F30" s="10"/>
      <c r="G30" s="10"/>
      <c r="Z30" s="6" t="s">
        <v>87</v>
      </c>
    </row>
    <row r="31" customFormat="false" ht="39.75" hidden="false" customHeight="true" outlineLevel="0" collapsed="false">
      <c r="B31" s="11" t="s">
        <v>108</v>
      </c>
      <c r="C31" s="12"/>
      <c r="G31" s="13" t="str">
        <f aca="false">IF(C31="","Velg i nedtrekksmenyen.",IF(C31="Teknologiske forhold","Riktig. Antenneoppdragene er nesten borte (−77,1 %). Teknologien tok et produkt, og avdelingen må finne nye (13.12).","Ikke riktig. Antenneoppdragene er nesten borte (−77,1 %). Teknologien tok et produkt, og avdelingen må finne nye (13.12)."))</f>
        <v>Velg i nedtrekksmenyen.</v>
      </c>
      <c r="Z31" s="6" t="s">
        <v>80</v>
      </c>
    </row>
    <row r="32" customFormat="false" ht="39.75" hidden="false" customHeight="true" outlineLevel="0" collapsed="false">
      <c r="B32" s="11" t="s">
        <v>109</v>
      </c>
      <c r="C32" s="12"/>
      <c r="G32" s="13" t="str">
        <f aca="false">IF(C32="","Velg i nedtrekksmenyen.",IF(C32="Samfunnsøkonomiske forhold","Riktig. Renta gjør at byggherrer og boligkjøpere holder igjen. Tilgangen på kapital og prisen på den styrer etterspørselen (13.11).","Ikke riktig. Renta gjør at byggherrer og boligkjøpere holder igjen. Tilgangen på kapital og prisen på den styrer etterspørselen (13.11)."))</f>
        <v>Velg i nedtrekksmenyen.</v>
      </c>
      <c r="Z32" s="6" t="s">
        <v>82</v>
      </c>
    </row>
    <row r="33" customFormat="false" ht="39.75" hidden="false" customHeight="true" outlineLevel="0" collapsed="false">
      <c r="B33" s="11" t="s">
        <v>110</v>
      </c>
      <c r="C33" s="12"/>
      <c r="G33" s="13" t="str">
        <f aca="false">IF(C33="","Velg i nedtrekksmenyen.",IF(C33="Politiske forhold","Riktig. Støttekuttet er et politisk vedtak (13.10), og solkraft på tak falt om lag 70 % i første del av 2026. Ladepunkter lever videre på elbilene.","Ikke riktig. Støttekuttet er et politisk vedtak (13.10), og solkraft på tak falt om lag 70 % i første del av 2026. Ladepunkter lever videre på elbilene."))</f>
        <v>Velg i nedtrekksmenyen.</v>
      </c>
      <c r="Z33" s="6" t="s">
        <v>83</v>
      </c>
    </row>
    <row r="34" customFormat="false" ht="15" hidden="false" customHeight="false" outlineLevel="0" collapsed="false">
      <c r="Z34" s="0" t="s">
        <v>84</v>
      </c>
    </row>
    <row r="35" customFormat="false" ht="30" hidden="false" customHeight="true" outlineLevel="0" collapsed="false">
      <c r="B35" s="9" t="s">
        <v>111</v>
      </c>
      <c r="C35" s="9"/>
      <c r="D35" s="9"/>
      <c r="E35" s="9"/>
      <c r="F35" s="9"/>
      <c r="G35" s="9"/>
      <c r="Z35" s="6" t="s">
        <v>86</v>
      </c>
    </row>
    <row r="36" customFormat="false" ht="21.75" hidden="false" customHeight="true" outlineLevel="0" collapsed="false">
      <c r="B36" s="17"/>
      <c r="C36" s="17"/>
      <c r="D36" s="17"/>
      <c r="E36" s="17"/>
      <c r="F36" s="17"/>
      <c r="G36" s="17"/>
      <c r="Z36" s="6" t="s">
        <v>87</v>
      </c>
    </row>
    <row r="37" customFormat="false" ht="21.75" hidden="false" customHeight="true" outlineLevel="0" collapsed="false">
      <c r="B37" s="17"/>
      <c r="C37" s="17"/>
      <c r="D37" s="17"/>
      <c r="E37" s="17"/>
      <c r="F37" s="17"/>
      <c r="G37" s="17"/>
      <c r="Z37" s="6" t="s">
        <v>80</v>
      </c>
    </row>
    <row r="38" customFormat="false" ht="21.75" hidden="false" customHeight="true" outlineLevel="0" collapsed="false">
      <c r="B38" s="17"/>
      <c r="C38" s="17"/>
      <c r="D38" s="17"/>
      <c r="E38" s="17"/>
      <c r="F38" s="17"/>
      <c r="G38" s="17"/>
      <c r="Z38" s="6" t="s">
        <v>82</v>
      </c>
    </row>
    <row r="39" customFormat="false" ht="39.75" hidden="false" customHeight="true" outlineLevel="0" collapsed="false">
      <c r="B39" s="18" t="str">
        <f aca="false">IF(LEN(B36)&lt;40,"",IF(AND(ISNUMBER(SEARCH("prosess",B36)),ISNUMBER(SEARCH("tiltak",B36))),"Bra: du kobler prosess og tiltak. Sjekk at tiltakene er noe Nordlys selv bestemmer: flytte kapasitet fra antenner til termografering og laststyring, gå etter rehabilitering og yrkesbygg når boligbyggingen stopper, og satse på ladeanlegg i borettslag i stedet for solceller.",IF(OR(ISNUMBER(SEARCH("prosess",B36)),ISNUMBER(SEARCH("tiltak",B36))),"Du er på sporet. Si for hver avdeling hvilken prosess som presser (teknologi, samfunnsøkonomi, politikk) og ett tiltak Kari selv rår over. Prosessen kan hun ikke endre; posisjonen mot den kan hun velge.","Tips: service presses av teknologien (antennene borte); tiltak: termografering og laststyring. Prosjekt og nybygg presses av renta; tiltak: rehabilitering og yrkesbygg. Solceller og lading presses av støttekuttet; tiltak: ladeanlegg i borettslag. Rammen er ekstern, svaret er internt (11.4: vellykket tilpasning).")))</f>
        <v/>
      </c>
      <c r="C39" s="18"/>
      <c r="D39" s="18"/>
      <c r="E39" s="18"/>
      <c r="F39" s="18"/>
      <c r="G39" s="18"/>
      <c r="Z39" s="6" t="s">
        <v>83</v>
      </c>
    </row>
    <row r="40" customFormat="false" ht="15" hidden="false" customHeight="false" outlineLevel="0" collapsed="false">
      <c r="B40" s="19" t="s">
        <v>44</v>
      </c>
      <c r="C40" s="12"/>
      <c r="Z40" s="6" t="s">
        <v>84</v>
      </c>
    </row>
    <row r="41" customFormat="false" ht="45" hidden="false" customHeight="true" outlineLevel="0" collapsed="false">
      <c r="B41" s="20" t="str">
        <f aca="false">IF(C40="JA","Hint: Renta og mangelen på elektrikere er samfunnsøkonomi. Støttekuttet er politikk. Antennene er teknologi. Facebook-gruppa er kultur og omdømme. Byggplasskravet er miljø. Flere eldre er demografi. (22 − 96) / 96 × 100 = −77,1 %. 5,2 − 6,7 = −1,5 prosentpoeng. (5,2 − 6,7) / 6,7 × 100 = −22,4 %.","")</f>
        <v/>
      </c>
      <c r="C41" s="20"/>
      <c r="D41" s="20"/>
      <c r="E41" s="20"/>
      <c r="F41" s="20"/>
      <c r="G41" s="20"/>
      <c r="Z41" s="6" t="s">
        <v>86</v>
      </c>
    </row>
    <row r="42" customFormat="false" ht="15" hidden="false" customHeight="false" outlineLevel="0" collapsed="false">
      <c r="Z42" s="0" t="s">
        <v>87</v>
      </c>
    </row>
    <row r="43" customFormat="false" ht="30" hidden="false" customHeight="true" outlineLevel="0" collapsed="false">
      <c r="B43" s="7" t="s">
        <v>45</v>
      </c>
      <c r="C43" s="7"/>
      <c r="D43" s="7"/>
      <c r="E43" s="7"/>
      <c r="F43" s="7"/>
      <c r="G43" s="7"/>
      <c r="Z43" s="6" t="s">
        <v>80</v>
      </c>
    </row>
    <row r="44" customFormat="false" ht="15" hidden="false" customHeight="false" outlineLevel="0" collapsed="false">
      <c r="Z44" s="0" t="s">
        <v>82</v>
      </c>
    </row>
    <row r="45" customFormat="false" ht="15" hidden="false" customHeight="false" outlineLevel="0" collapsed="false">
      <c r="Z45" s="0" t="s">
        <v>83</v>
      </c>
    </row>
    <row r="46" customFormat="false" ht="15" hidden="false" customHeight="false" outlineLevel="0" collapsed="false">
      <c r="Z46" s="0" t="s">
        <v>80</v>
      </c>
    </row>
    <row r="47" customFormat="false" ht="15" hidden="false" customHeight="false" outlineLevel="0" collapsed="false">
      <c r="Z47" s="0" t="s">
        <v>82</v>
      </c>
    </row>
    <row r="48" customFormat="false" ht="15" hidden="false" customHeight="false" outlineLevel="0" collapsed="false">
      <c r="Z48" s="0" t="s">
        <v>83</v>
      </c>
    </row>
    <row r="49" customFormat="false" ht="15" hidden="false" customHeight="false" outlineLevel="0" collapsed="false">
      <c r="Z49" s="0" t="s">
        <v>80</v>
      </c>
    </row>
    <row r="50" customFormat="false" ht="15" hidden="false" customHeight="false" outlineLevel="0" collapsed="false">
      <c r="Z50" s="0" t="s">
        <v>82</v>
      </c>
    </row>
    <row r="51" customFormat="false" ht="15" hidden="false" customHeight="false" outlineLevel="0" collapsed="false">
      <c r="Z51" s="0" t="s">
        <v>83</v>
      </c>
    </row>
  </sheetData>
  <mergeCells count="19">
    <mergeCell ref="B2:G2"/>
    <mergeCell ref="B3:G3"/>
    <mergeCell ref="B4:G4"/>
    <mergeCell ref="B5:G5"/>
    <mergeCell ref="B6:G6"/>
    <mergeCell ref="B7:G7"/>
    <mergeCell ref="B9:G9"/>
    <mergeCell ref="B10:G10"/>
    <mergeCell ref="B12:G12"/>
    <mergeCell ref="B13:G13"/>
    <mergeCell ref="B15:G15"/>
    <mergeCell ref="B24:G24"/>
    <mergeCell ref="B25:G25"/>
    <mergeCell ref="B30:G30"/>
    <mergeCell ref="B35:G35"/>
    <mergeCell ref="B36:G38"/>
    <mergeCell ref="B39:G39"/>
    <mergeCell ref="B41:G41"/>
    <mergeCell ref="B43:G43"/>
  </mergeCells>
  <conditionalFormatting sqref="G16">
    <cfRule type="expression" priority="2" aboveAverage="0" equalAverage="0" bottom="0" percent="0" rank="0" text="" dxfId="0">
      <formula>LEFT(G16,6)="Riktig"</formula>
    </cfRule>
    <cfRule type="expression" priority="3" aboveAverage="0" equalAverage="0" bottom="0" percent="0" rank="0" text="" dxfId="1">
      <formula>LEFT(G16,4)="Ikke"</formula>
    </cfRule>
  </conditionalFormatting>
  <conditionalFormatting sqref="G17">
    <cfRule type="expression" priority="4" aboveAverage="0" equalAverage="0" bottom="0" percent="0" rank="0" text="" dxfId="0">
      <formula>LEFT(G17,6)="Riktig"</formula>
    </cfRule>
    <cfRule type="expression" priority="5" aboveAverage="0" equalAverage="0" bottom="0" percent="0" rank="0" text="" dxfId="1">
      <formula>LEFT(G17,4)="Ikke"</formula>
    </cfRule>
  </conditionalFormatting>
  <conditionalFormatting sqref="G18">
    <cfRule type="expression" priority="6" aboveAverage="0" equalAverage="0" bottom="0" percent="0" rank="0" text="" dxfId="0">
      <formula>LEFT(G18,6)="Riktig"</formula>
    </cfRule>
    <cfRule type="expression" priority="7" aboveAverage="0" equalAverage="0" bottom="0" percent="0" rank="0" text="" dxfId="1">
      <formula>LEFT(G18,4)="Ikke"</formula>
    </cfRule>
  </conditionalFormatting>
  <conditionalFormatting sqref="G19">
    <cfRule type="expression" priority="8" aboveAverage="0" equalAverage="0" bottom="0" percent="0" rank="0" text="" dxfId="0">
      <formula>LEFT(G19,6)="Riktig"</formula>
    </cfRule>
    <cfRule type="expression" priority="9" aboveAverage="0" equalAverage="0" bottom="0" percent="0" rank="0" text="" dxfId="1">
      <formula>LEFT(G19,4)="Ikke"</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LEFT(G20,4)="Ikke"</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6">
    <cfRule type="expression" priority="16" aboveAverage="0" equalAverage="0" bottom="0" percent="0" rank="0" text="" dxfId="0">
      <formula>LEFT(G26,6)="Riktig"</formula>
    </cfRule>
    <cfRule type="expression" priority="17" aboveAverage="0" equalAverage="0" bottom="0" percent="0" rank="0" text="" dxfId="1">
      <formula>AND(G26&lt;&gt;"",LEFT(G26,6)&lt;&gt;"Riktig",LEFT(G26,5)&lt;&gt;"Skriv")</formula>
    </cfRule>
  </conditionalFormatting>
  <conditionalFormatting sqref="G27">
    <cfRule type="expression" priority="18" aboveAverage="0" equalAverage="0" bottom="0" percent="0" rank="0" text="" dxfId="0">
      <formula>LEFT(G27,6)="Riktig"</formula>
    </cfRule>
    <cfRule type="expression" priority="19" aboveAverage="0" equalAverage="0" bottom="0" percent="0" rank="0" text="" dxfId="1">
      <formula>AND(G27&lt;&gt;"",LEFT(G27,6)&lt;&gt;"Riktig",LEFT(G27,5)&lt;&gt;"Skriv")</formula>
    </cfRule>
  </conditionalFormatting>
  <conditionalFormatting sqref="G28">
    <cfRule type="expression" priority="20" aboveAverage="0" equalAverage="0" bottom="0" percent="0" rank="0" text="" dxfId="0">
      <formula>LEFT(G28,6)="Riktig"</formula>
    </cfRule>
    <cfRule type="expression" priority="21" aboveAverage="0" equalAverage="0" bottom="0" percent="0" rank="0" text="" dxfId="1">
      <formula>AND(G28&lt;&gt;"",LEFT(G28,6)&lt;&gt;"Riktig",LEFT(G28,5)&lt;&gt;"Skriv")</formula>
    </cfRule>
  </conditionalFormatting>
  <conditionalFormatting sqref="G31">
    <cfRule type="expression" priority="22" aboveAverage="0" equalAverage="0" bottom="0" percent="0" rank="0" text="" dxfId="0">
      <formula>LEFT(G31,6)="Riktig"</formula>
    </cfRule>
    <cfRule type="expression" priority="23" aboveAverage="0" equalAverage="0" bottom="0" percent="0" rank="0" text="" dxfId="1">
      <formula>LEFT(G31,4)="Ikke"</formula>
    </cfRule>
  </conditionalFormatting>
  <conditionalFormatting sqref="G32">
    <cfRule type="expression" priority="24" aboveAverage="0" equalAverage="0" bottom="0" percent="0" rank="0" text="" dxfId="0">
      <formula>LEFT(G32,6)="Riktig"</formula>
    </cfRule>
    <cfRule type="expression" priority="25" aboveAverage="0" equalAverage="0" bottom="0" percent="0" rank="0" text="" dxfId="1">
      <formula>LEFT(G32,4)="Ikke"</formula>
    </cfRule>
  </conditionalFormatting>
  <conditionalFormatting sqref="G33">
    <cfRule type="expression" priority="26" aboveAverage="0" equalAverage="0" bottom="0" percent="0" rank="0" text="" dxfId="0">
      <formula>LEFT(G33,6)="Riktig"</formula>
    </cfRule>
    <cfRule type="expression" priority="27" aboveAverage="0" equalAverage="0" bottom="0" percent="0" rank="0" text="" dxfId="1">
      <formula>LEFT(G33,4)="Ikke"</formula>
    </cfRule>
  </conditionalFormatting>
  <dataValidations count="11">
    <dataValidation allowBlank="true" errorStyle="stop" operator="between" showDropDown="false" showErrorMessage="false" showInputMessage="false" sqref="C16" type="list">
      <formula1>$Z$1:$Z$6</formula1>
      <formula2>0</formula2>
    </dataValidation>
    <dataValidation allowBlank="true" errorStyle="stop" operator="between" showDropDown="false" showErrorMessage="false" showInputMessage="false" sqref="C17" type="list">
      <formula1>$Z$7:$Z$12</formula1>
      <formula2>0</formula2>
    </dataValidation>
    <dataValidation allowBlank="true" errorStyle="stop" operator="between" showDropDown="false" showErrorMessage="false" showInputMessage="false" sqref="C18" type="list">
      <formula1>$Z$13:$Z$18</formula1>
      <formula2>0</formula2>
    </dataValidation>
    <dataValidation allowBlank="true" errorStyle="stop" operator="between" showDropDown="false" showErrorMessage="false" showInputMessage="false" sqref="C19" type="list">
      <formula1>$Z$19:$Z$24</formula1>
      <formula2>0</formula2>
    </dataValidation>
    <dataValidation allowBlank="true" errorStyle="stop" operator="between" showDropDown="false" showErrorMessage="false" showInputMessage="false" sqref="C20" type="list">
      <formula1>$Z$25:$Z$30</formula1>
      <formula2>0</formula2>
    </dataValidation>
    <dataValidation allowBlank="true" errorStyle="stop" operator="between" showDropDown="false" showErrorMessage="false" showInputMessage="false" sqref="C21" type="list">
      <formula1>$Z$31:$Z$36</formula1>
      <formula2>0</formula2>
    </dataValidation>
    <dataValidation allowBlank="true" errorStyle="stop" operator="between" showDropDown="false" showErrorMessage="false" showInputMessage="false" sqref="C22" type="list">
      <formula1>$Z$37:$Z$42</formula1>
      <formula2>0</formula2>
    </dataValidation>
    <dataValidation allowBlank="true" errorStyle="stop" operator="between" showDropDown="false" showErrorMessage="false" showInputMessage="false" sqref="C31" type="list">
      <formula1>$Z$43:$Z$45</formula1>
      <formula2>0</formula2>
    </dataValidation>
    <dataValidation allowBlank="true" errorStyle="stop" operator="between" showDropDown="false" showErrorMessage="false" showInputMessage="false" sqref="C32" type="list">
      <formula1>$Z$46:$Z$48</formula1>
      <formula2>0</formula2>
    </dataValidation>
    <dataValidation allowBlank="true" errorStyle="stop" operator="between" showDropDown="false" showErrorMessage="false" showInputMessage="false" sqref="C33" type="list">
      <formula1>$Z$49:$Z$51</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2" t="s">
        <v>112</v>
      </c>
    </row>
    <row r="3" customFormat="false" ht="30" hidden="false" customHeight="true" outlineLevel="0" collapsed="false">
      <c r="B3" s="7" t="s">
        <v>113</v>
      </c>
      <c r="C3" s="7"/>
      <c r="D3" s="7"/>
    </row>
    <row r="5" customFormat="false" ht="15" hidden="false" customHeight="false" outlineLevel="0" collapsed="false">
      <c r="B5" s="23" t="s">
        <v>114</v>
      </c>
      <c r="C5" s="23" t="s">
        <v>115</v>
      </c>
      <c r="D5" s="23" t="s">
        <v>116</v>
      </c>
    </row>
    <row r="6" customFormat="false" ht="30" hidden="false" customHeight="true" outlineLevel="0" collapsed="false">
      <c r="B6" s="24" t="s">
        <v>117</v>
      </c>
      <c r="C6" s="25"/>
      <c r="D6" s="24" t="s">
        <v>118</v>
      </c>
    </row>
    <row r="7" customFormat="false" ht="30" hidden="false" customHeight="true" outlineLevel="0" collapsed="false">
      <c r="B7" s="24" t="s">
        <v>119</v>
      </c>
      <c r="C7" s="25" t="n">
        <v>7750</v>
      </c>
      <c r="D7" s="24" t="s">
        <v>120</v>
      </c>
    </row>
    <row r="8" customFormat="false" ht="30" hidden="false" customHeight="true" outlineLevel="0" collapsed="false">
      <c r="B8" s="24" t="s">
        <v>121</v>
      </c>
      <c r="C8" s="25" t="n">
        <v>90000</v>
      </c>
      <c r="D8" s="24" t="s">
        <v>122</v>
      </c>
    </row>
    <row r="9" customFormat="false" ht="30" hidden="false" customHeight="true" outlineLevel="0" collapsed="false">
      <c r="B9" s="24" t="s">
        <v>123</v>
      </c>
      <c r="C9" s="25" t="n">
        <v>11.6</v>
      </c>
      <c r="D9" s="24" t="s">
        <v>124</v>
      </c>
    </row>
    <row r="10" customFormat="false" ht="30" hidden="false" customHeight="true" outlineLevel="0" collapsed="false">
      <c r="B10" s="24" t="s">
        <v>125</v>
      </c>
      <c r="C10" s="25"/>
      <c r="D10" s="24" t="s">
        <v>126</v>
      </c>
    </row>
    <row r="11" customFormat="false" ht="45" hidden="false" customHeight="true" outlineLevel="0" collapsed="false">
      <c r="B11" s="24" t="s">
        <v>127</v>
      </c>
      <c r="C11" s="25"/>
      <c r="D11" s="24" t="s">
        <v>128</v>
      </c>
    </row>
    <row r="12" customFormat="false" ht="45" hidden="false" customHeight="true" outlineLevel="0" collapsed="false">
      <c r="B12" s="24" t="s">
        <v>129</v>
      </c>
      <c r="C12" s="25"/>
      <c r="D12" s="24" t="s">
        <v>130</v>
      </c>
    </row>
    <row r="13" customFormat="false" ht="30" hidden="false" customHeight="true" outlineLevel="0" collapsed="false">
      <c r="B13" s="24" t="s">
        <v>131</v>
      </c>
      <c r="C13" s="25" t="n">
        <v>311.11</v>
      </c>
      <c r="D13" s="24" t="s">
        <v>132</v>
      </c>
    </row>
    <row r="14" customFormat="false" ht="30" hidden="false" customHeight="true" outlineLevel="0" collapsed="false">
      <c r="B14" s="24" t="s">
        <v>133</v>
      </c>
      <c r="C14" s="25" t="n">
        <v>15</v>
      </c>
      <c r="D14" s="24" t="s">
        <v>134</v>
      </c>
    </row>
    <row r="15" customFormat="false" ht="30" hidden="false" customHeight="true" outlineLevel="0" collapsed="false">
      <c r="B15" s="24" t="s">
        <v>135</v>
      </c>
      <c r="C15" s="25"/>
      <c r="D15" s="24" t="s">
        <v>136</v>
      </c>
    </row>
    <row r="16" customFormat="false" ht="30" hidden="false" customHeight="true" outlineLevel="0" collapsed="false">
      <c r="B16" s="24" t="s">
        <v>137</v>
      </c>
      <c r="C16" s="25"/>
      <c r="D16" s="24" t="s">
        <v>138</v>
      </c>
    </row>
    <row r="17" customFormat="false" ht="45" hidden="false" customHeight="true" outlineLevel="0" collapsed="false">
      <c r="B17" s="24" t="s">
        <v>139</v>
      </c>
      <c r="C17" s="25"/>
      <c r="D17" s="24" t="s">
        <v>140</v>
      </c>
    </row>
    <row r="18" customFormat="false" ht="45" hidden="false" customHeight="true" outlineLevel="0" collapsed="false">
      <c r="B18" s="24" t="s">
        <v>141</v>
      </c>
      <c r="C18" s="25"/>
      <c r="D18" s="24" t="s">
        <v>142</v>
      </c>
    </row>
    <row r="19" customFormat="false" ht="30" hidden="false" customHeight="true" outlineLevel="0" collapsed="false">
      <c r="B19" s="24" t="s">
        <v>143</v>
      </c>
      <c r="C19" s="25" t="n">
        <v>-77.1</v>
      </c>
      <c r="D19" s="24" t="s">
        <v>144</v>
      </c>
    </row>
    <row r="20" customFormat="false" ht="30" hidden="false" customHeight="true" outlineLevel="0" collapsed="false">
      <c r="B20" s="24" t="s">
        <v>145</v>
      </c>
      <c r="C20" s="25" t="n">
        <v>-1.5</v>
      </c>
      <c r="D20" s="24" t="s">
        <v>146</v>
      </c>
    </row>
    <row r="21" customFormat="false" ht="30" hidden="false" customHeight="true" outlineLevel="0" collapsed="false">
      <c r="B21" s="24" t="s">
        <v>147</v>
      </c>
      <c r="C21" s="25" t="n">
        <v>-22.4</v>
      </c>
      <c r="D21" s="24" t="s">
        <v>148</v>
      </c>
    </row>
    <row r="22" customFormat="false" ht="30" hidden="false" customHeight="true" outlineLevel="0" collapsed="false">
      <c r="B22" s="24" t="s">
        <v>149</v>
      </c>
      <c r="C22" s="25"/>
      <c r="D22" s="24" t="s">
        <v>150</v>
      </c>
    </row>
    <row r="23" customFormat="false" ht="45" hidden="false" customHeight="true" outlineLevel="0" collapsed="false">
      <c r="B23" s="24" t="s">
        <v>151</v>
      </c>
      <c r="C23" s="25"/>
      <c r="D23" s="24" t="s">
        <v>152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2026-10-22T17:48:57Z</dcterms:created>
  <dc:creator>openpyxl</dc:creator>
  <dc:description/>
  <dc:language>en-US</dc:language>
  <cp:lastModifiedBy/>
  <dcterms:modified xsi:type="dcterms:W3CDTF">2026-10-22T17:48:57Z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