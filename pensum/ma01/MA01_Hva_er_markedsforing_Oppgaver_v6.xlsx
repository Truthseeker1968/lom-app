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Fasi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<sst xmlns="http://schemas.openxmlformats.org/spreadsheetml/2006/main" count="257" uniqueCount="147">
  <si>
    <t xml:space="preserve">Hva er markedsføring? Oppgaver til kapittel 1</t>
  </si>
  <si>
    <t xml:space="preserve">Markedsføring, organisasjon og ledelse for LØM-emnet (Hjertnes), kapittel 1. Versjon 6, oktober 2026. Nordlys Elektro AS og Fjell Elektro AS er konstruerte casebedrifter; tallene er faktaarkene og casetallene for nedslagsfeltet.</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</si>
  <si>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</si>
  <si>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</si>
  <si>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</si>
  <si>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</si>
  <si>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</si>
  <si>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</si>
  <si>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Ida har åtte forespørsler: hvem kjøper, og i hvilket marked?</t>
  </si>
  <si>
    <t xml:space="preserve">1B  Nordlys' markeder: hvor avhengig er Kari av byggherrene?</t>
  </si>
  <si>
    <t xml:space="preserve">1C  Mandagsmøtet hos Nordlys: fem forslag, og et slagord</t>
  </si>
  <si>
    <t xml:space="preserve">Fasit  Alle svar med regnestykket skrevet ut</t>
  </si>
  <si>
    <t xml:space="preserve">Dette er øvingsmateriell til repetisjons- og øvingsstøtte. I besvarelser, caser, prosjektoppgaver og eksamen gjelder lærebøkene og oppgitte primærkilder.</t>
  </si>
  <si>
    <t xml:space="preserve">Bedriftsmarkedet</t>
  </si>
  <si>
    <t xml:space="preserve">Oppgave 1A: Ida har åtte forespørsler: hvem kjøper, og i hvilket marked?</t>
  </si>
  <si>
    <t xml:space="preserve">Mellomhandlermarkedet</t>
  </si>
  <si>
    <t xml:space="preserve">Del 1, de åtte forespørslene, hører til økt 2 av 3 (hovedmarkedene). Del 2, fra «Marked betyr tre ting», hører til økt 1 av 3 (markedsføring og marked). Alene, i par eller i gruppe, slik du vil.</t>
  </si>
  <si>
    <t xml:space="preserve">Det offentlige markedet</t>
  </si>
  <si>
    <t xml:space="preserve">Situasjonen</t>
  </si>
  <si>
    <t xml:space="preserve">Organisasjonsmarkedet</t>
  </si>
  <si>
    <t xml:space="preserve">Det er mandag morgen hos Nordlys Elektro. Ida (kalkulatør) har åtte forespørsler på bordet og tid til å regne på to av dem denne uka. Kari (daglig leder) sier på morgenmøtet: «Vi trenger ikke markedsføring, vi har nok å gjøre.» Plasser hver forespørsel i riktig hovedmarked, finn hvilken betydning av «marked» som brukes, regn markedet for husstandene i kroner, og svar Kari.</t>
  </si>
  <si>
    <t xml:space="preserve">Forbrukermarkedet</t>
  </si>
  <si>
    <t xml:space="preserve">Begrepene du trenger</t>
  </si>
  <si>
    <t xml:space="preserve">Markedsføring er alle de aktivitetene bedriften utfører for å avdekke og imøtekomme markedets ønsker og behov for varer og tjenester på en lønnsom måte. Boka deler økonomien i fem hovedmarkeder: bedriftsmarkedet (alle bedrifters kjøp, også offentlig næringsdrift), mellomhandlermarkedet (grossister og detaljister som kjøper for å selge videre), det offentlige markedet (forvaltningen i stat, fylke og kommune), organisasjonsmarkedet (frivillige organisasjoner og interesseorganisasjoner) og forbrukermarkedet (enkeltpersoner og husholdninger). Bedriftsmarkedet og mellomhandlermarkedet er de profesjonelle markedene.</t>
  </si>
  <si>
    <t xml:space="preserve">Testen</t>
  </si>
  <si>
    <t xml:space="preserve">Spør for hver forespørsel: hvem kjøper, og hvorfor? Til eget bruk (forbrukermarkedet), i næring (bedriftsmarkedet), for å selge videre (mellomhandlermarkedet), som offentlig forvaltning (det offentlige markedet) eller som frivillig organisasjon eller interesseorganisasjon (organisasjonsmarkedet). Det er virksomheten som avgjør, ikke hvem som eier den.</t>
  </si>
  <si>
    <t xml:space="preserve">Sorter de åtte forespørslene i hovedmarked (velg i nedtrekksmenyen)</t>
  </si>
  <si>
    <t xml:space="preserve">1 Huseier: ladepunkt i egen garasje, til eget bruk</t>
  </si>
  <si>
    <t xml:space="preserve">2 Haugerud Bygg AS: elektro i et næringsbygg de bygger for en kunde</t>
  </si>
  <si>
    <t xml:space="preserve">3 Kommunen: elektro på ny skole, lyst ut som anbud</t>
  </si>
  <si>
    <t xml:space="preserve">4 Idrettslaget: lys på kunstgressbanen, betalt av laget</t>
  </si>
  <si>
    <t xml:space="preserve">5 Byggvarehus: kjøper montering av ladepunkt og selger den videre i pakke</t>
  </si>
  <si>
    <t xml:space="preserve">6 Fjellkraft Nett AS, aksjeselskap eid av kommunen: lavspenningsarbeid etter rammeavtale</t>
  </si>
  <si>
    <t xml:space="preserve">7 Kruttverket Utvikling AS, byggherre: elektro i nytt kontorbygg med lager</t>
  </si>
  <si>
    <t xml:space="preserve">8 Fylkeskommunen: ny belysning og nødlys i en videregående skole, kunngjort i Doffin</t>
  </si>
  <si>
    <t xml:space="preserve">Marked betyr tre ting</t>
  </si>
  <si>
    <t xml:space="preserve">Boka bruker ordet marked om kjøperne (alle som kjøper eller kan komme til å kjøpe), om omsetningen (alt som selges i løpet av et år, i enheter eller kroner) og om tilbudet (alt som er til salgs akkurat nå). Velg hvilken betydning som brukes i hvert utsagn.</t>
  </si>
  <si>
    <t xml:space="preserve">Kari: «Det er 9 200 husstander i nedslagsfeltet vårt, og alle kan få bruk for en elektriker.»</t>
  </si>
  <si>
    <t xml:space="preserve">Kari: «Markedet for elektrikertjenester til husstandene er 10,3 millioner kroner i året.»</t>
  </si>
  <si>
    <t xml:space="preserve">Tom: «Det er mange ledige montørtimer hos installatørene i byen denne uka.»</t>
  </si>
  <si>
    <t xml:space="preserve">Regn markedet i kroner</t>
  </si>
  <si>
    <t xml:space="preserve">Casetall for nedslagsfeltet: 9 200 husstander, 8 % av dem kjøper elektrikerarbeid i løpet av et år, og en snittjobb er 14 000 kr uten merverdiavgift. Hele tall.</t>
  </si>
  <si>
    <t xml:space="preserve">Hvor mange husstander kjøper i løpet av året? 9 200 × 8 %</t>
  </si>
  <si>
    <t xml:space="preserve">husstander</t>
  </si>
  <si>
    <t xml:space="preserve">Hvor stort er markedet i kroner? Husstandene som kjøper × 14 000 kr</t>
  </si>
  <si>
    <t xml:space="preserve">kr</t>
  </si>
  <si>
    <t xml:space="preserve">Kari sier: «Vi trenger ikke markedsføring, vi har nok å gjøre.» Svar henne i to setninger: én med bokas definisjon (hva markedsføring er, og målet), og én med et eksempel fra forespørslene over.</t>
  </si>
  <si>
    <t xml:space="preserve">Står du fast? Skriv JA i den gule cellen:</t>
  </si>
  <si>
    <t xml:space="preserve">Gule celler fyller du inn. Grønne regnes ut av arket. Sjekken til høyre forteller om svaret stemmer, og hva du bør se på hvis ikke.</t>
  </si>
  <si>
    <t xml:space="preserve">Kjøperne (betydning 1)</t>
  </si>
  <si>
    <t xml:space="preserve">Omsetningen i et år (betydning 2)</t>
  </si>
  <si>
    <t xml:space="preserve">Tilbudet akkurat nå (betydning 3)</t>
  </si>
  <si>
    <t xml:space="preserve">Oppgave 1B: Nordlys' markeder: hvor avhengig er Kari av byggherrene?</t>
  </si>
  <si>
    <t xml:space="preserve">Økt 2 av 3, de fem hovedmarkedene. Alene, i par eller i gruppe, slik du vil.</t>
  </si>
  <si>
    <t xml:space="preserve">Kari skal lage budsjett for 2027 og vil vite hvor pengene kommer fra. Ida har satt opp salgsinntekten for 2026, 22 400 000 kr, på seks kundegrupper. Plasser gruppene i hovedmarked, regn bedriftsmarkedet og byggherrenes andel, og sammenlikn med bransjen, der 59,6 % av omsetningen kom fra næringsbygg og nye boliger og 19,7 % fra service i 2025 (NHO Elektro, bransjeforeningen for elektrobedriftene i Næringslivets Hovedorganisasjon, lønnsomhetsrapport 2025).</t>
  </si>
  <si>
    <t xml:space="preserve">Hovedmarkedet avgjøres av hvem som kjøper og hvorfor, ikke av hvem som eier kunden: et aksjeselskap kommunen eier, er bedriftsmarkedet, mens kommunen selv er det offentlige markedet. Andel i prosent = kundegruppens kroner delt på hele salgsinntekten, ganger 100.</t>
  </si>
  <si>
    <t xml:space="preserve">Tallene, i kroner</t>
  </si>
  <si>
    <t xml:space="preserve">Salgsinntekten 22 400 000 kr er faktaarkets. Fordelingen på kundegrupper er satt opp for denne oppgaven. Hvite celler er gitt; den grønne summeres av arket.</t>
  </si>
  <si>
    <t xml:space="preserve">Kundegruppe 2026</t>
  </si>
  <si>
    <t xml:space="preserve">Kroner</t>
  </si>
  <si>
    <t xml:space="preserve">Byggherrer og entreprenører, nybygg og næringsbygg</t>
  </si>
  <si>
    <t xml:space="preserve">Næringskunder, service og prosjekt (butikker, verksteder, kontorer)</t>
  </si>
  <si>
    <t xml:space="preserve">Fjellkraft Nett AS, rammeavtale om lavspenningsarbeid</t>
  </si>
  <si>
    <t xml:space="preserve">Kommunen og fylkeskommunen, anbud (skoler, barnehager)</t>
  </si>
  <si>
    <t xml:space="preserve">Huseiere og husholdninger (ladepunkt, sikringsskap, service)</t>
  </si>
  <si>
    <t xml:space="preserve">Idrettslag og foreninger (lys på baner, klubbhus)</t>
  </si>
  <si>
    <t xml:space="preserve">Salgsinntekt 2026</t>
  </si>
  <si>
    <t xml:space="preserve">Oppgaven, trinn for trinn</t>
  </si>
  <si>
    <t xml:space="preserve">1. Velg hovedmarked for hver kundegruppe i nedtrekksmenyen. Spør: kjøper de i næring, som forvaltning, til eget bruk eller som organisasjon?
2. Regn bedriftsmarkedet til sammen i kroner (a), og i hele prosent av salgsinntekten (b).
3. Regn byggherrenes andel i hele prosent (c), og sammenlikn med bransjen: 59,6 % av omsetningen i elektrobransjen kom fra næringsbygg og nye boliger i 2025 (NHO Elektro, bransjeforeningen for elektrobedriftene).
4. Skriv svaret til Kari i d.</t>
  </si>
  <si>
    <t xml:space="preserve">Hovedmarked for hver kundegruppe (velg i nedtrekksmenyen)</t>
  </si>
  <si>
    <t xml:space="preserve">Byggherrer og entreprenører</t>
  </si>
  <si>
    <t xml:space="preserve">Næringskunder: butikker, verksteder, kontorer</t>
  </si>
  <si>
    <t xml:space="preserve">Fjellkraft Nett AS (eid av kommunen)</t>
  </si>
  <si>
    <t xml:space="preserve">Kommunen og fylkeskommunen</t>
  </si>
  <si>
    <t xml:space="preserve">Huseiere og husholdninger</t>
  </si>
  <si>
    <t xml:space="preserve">Idrettslag og foreninger</t>
  </si>
  <si>
    <t xml:space="preserve">a) Bedriftsmarkedet til sammen, kroner</t>
  </si>
  <si>
    <t xml:space="preserve">b) Bedriftsmarkedets andel av salgsinntekten, hele prosent</t>
  </si>
  <si>
    <t xml:space="preserve">prosent</t>
  </si>
  <si>
    <t xml:space="preserve">c) Byggherrenes andel av salgsinntekten, hele prosent</t>
  </si>
  <si>
    <t xml:space="preserve">d) Kari sier: «Vi lever av byggherrene.» Bruk tallene fra b og c: stemmer det, hva er risikoen, og hvilket hovedmarked ville du vokse i? To–tre setninger.</t>
  </si>
  <si>
    <t xml:space="preserve">Produksjonsorientering</t>
  </si>
  <si>
    <t xml:space="preserve">Oppgave 1C: Mandagsmøtet hos Nordlys: fem forslag, og et slagord</t>
  </si>
  <si>
    <t xml:space="preserve">Produktorientering</t>
  </si>
  <si>
    <t xml:space="preserve">Økt 3 av 3, grunnholdningene. Alene, i par eller i gruppe, slik du vil.</t>
  </si>
  <si>
    <t xml:space="preserve">Salgsorientering</t>
  </si>
  <si>
    <t xml:space="preserve">Markedsorientering</t>
  </si>
  <si>
    <t xml:space="preserve">I fjor leverte Ida tre anbud på ladeanlegg til borettslag og vant ingen av dem, selv om styret sa at anlegget var godt alle tre gangene. Det er 22 borettslag i nedslagsfeltet. På mandagsmøtet kommer fem forslag til hva Nordlys skal gjøre. Samtidig har Kari skrevet et løfte på nettsiden, Kystfiber vil samarbeide, og Fjell Elektro vurderer et slagord. Sett navn på grunnholdningene og kravene, og skriv spørsmålene Ida bør stille styret.</t>
  </si>
  <si>
    <t xml:space="preserve">Helhetlig markedsorientering</t>
  </si>
  <si>
    <t xml:space="preserve">Salgsorientering finner kjøpere til bedriftens produkter; markedsorientering finner de rette produktene til kjøperne. Helhetlig markedsorientering stiller tre krav samtidig: ekstern og intern markedsføring henger sammen, langsiktige relasjoner (relasjonsmarkedsføring, som gir synergi), og markedsføring innenfor lov, etikk og miljøhensyn. Kjøpers marked: stor konkurranse, bedriften lytter til kunden. Selgers marked: liten konkurranse, bedriften styrer. Lovgivningen er som regel bare en minimumsløsning.</t>
  </si>
  <si>
    <t xml:space="preserve">Spør for hvert forslag: starter det med det Nordlys har (anlegget, prisen, volumet), eller med det kunden trenger? Produksjonsorientering: billig og lett tilgjengelig. Produktorientering: det beste produktet, og markedet vil ha det. Salgsorientering: selge mer, til flere, oftere. Markedsorientering: de rette produktene til kjøperne. Helhetlig markedsorientering: som markedsorientering, pluss intern markedsføring, relasjoner og samfunnsansvar.</t>
  </si>
  <si>
    <t xml:space="preserve">Fem forslag på mandagsmøtet: hvilken grunnholdning ligger bak? (velg i nedtrekksmenyen)</t>
  </si>
  <si>
    <t xml:space="preserve">1 Ida, kalkulatør: «Vi sender tilbud til alle 22 borettslagene.»</t>
  </si>
  <si>
    <t xml:space="preserve">2 Ronny, formann: «Anlegget vårt er best. Det selger seg selv.»</t>
  </si>
  <si>
    <t xml:space="preserve">3 Tom, driftsleder: «Kjøp 60 ladebokser og ta lavest pris i byen.»</t>
  </si>
  <si>
    <t xml:space="preserve">4 Kari, daglig leder: «Spør styrene hva de er usikre på, først.»</t>
  </si>
  <si>
    <t xml:space="preserve">5 Kari, daglig leder: «Montørene må kunne stå for det vi lover.»</t>
  </si>
  <si>
    <t xml:space="preserve">Tre saker om helhetlig markedsorientering: hvilket av de tre kravene gjelder saken? (velg i nedtrekksmenyen)</t>
  </si>
  <si>
    <t xml:space="preserve">Kari har skrevet «utrykning innen to timer» på nettsiden, uten at Tom har en montør som kan rykke ut</t>
  </si>
  <si>
    <t xml:space="preserve">Nordlys og Kystfiber Entreprenør gir kundene ett felles tilbud på fiber og elektro</t>
  </si>
  <si>
    <t xml:space="preserve">Fjell Elektro vil skrive «Bærekraftig elektro i Oslo øst» på bilene, men gjør ikke mer enn å sortere kabelavfall</t>
  </si>
  <si>
    <t xml:space="preserve">Kjøpers eller selgers marked, og bærekraft (velg i nedtrekksmenyen)</t>
  </si>
  <si>
    <t xml:space="preserve">August hos Nordlys: tynn ordrebok, mange ledige montører i byen, kunden forhandler ned prisen</t>
  </si>
  <si>
    <t xml:space="preserve">Oktober hos Nordlys: alle vil ha ladepunkt før jul, og Nordlys setter leveringstiden</t>
  </si>
  <si>
    <t xml:space="preserve">Ekstern og intern markedsføring henger sammen</t>
  </si>
  <si>
    <t xml:space="preserve">Kari: «Vi følger loven, så vi kan kalle oss bærekraftige.» Hva sier boka?</t>
  </si>
  <si>
    <t xml:space="preserve">Relasjonsmarkedsføring</t>
  </si>
  <si>
    <t xml:space="preserve">Lov, etikk og miljø</t>
  </si>
  <si>
    <t xml:space="preserve">Skriv tre ting Ida bør spørre et borettslagsstyre om før hun skriver neste tilbud, og si hvilket av forslagene 1–5 du bygger på.</t>
  </si>
  <si>
    <t xml:space="preserve">Kjøpers marked</t>
  </si>
  <si>
    <t xml:space="preserve">Selgers marked</t>
  </si>
  <si>
    <t xml:space="preserve">Riktig: loven bestemmer hva som er bærekraftig</t>
  </si>
  <si>
    <t xml:space="preserve">Loven er som regel bare en minimumsløsning; over den skal bedriften også tenke på det allmenne vel</t>
  </si>
  <si>
    <t xml:space="preserve">Bærekraft gjelder bare store selskaper</t>
  </si>
  <si>
    <t xml:space="preserve">Fasit, kapittel 1</t>
  </si>
  <si>
    <t xml:space="preserve">Prøv oppgaven selv før du leser her. Regnestykket står ved siden av hvert svar. Tallene hentes fra fasitformlene, så de stemmer alltid med oppgavefanene.</t>
  </si>
  <si>
    <t xml:space="preserve">Oppgave</t>
  </si>
  <si>
    <t xml:space="preserve">Svar</t>
  </si>
  <si>
    <t xml:space="preserve">Regnestykket</t>
  </si>
  <si>
    <t xml:space="preserve">1A Hovedmarkedene</t>
  </si>
  <si>
    <t xml:space="preserve">Forbrukermarkedet: 1 huseier. Bedriftsmarkedet: 2 Haugerud, 6 Fjellkraft Nett (offentlig næringsdrift), 7 Kruttverket Utvikling. Det offentlige markedet: 3 kommunen, 8 fylkeskommunen. Organisasjonsmarkedet: 4 idrettslaget. Mellomhandlermarkedet: 5 byggvarehuset.</t>
  </si>
  <si>
    <t xml:space="preserve">1A Betydningene</t>
  </si>
  <si>
    <t xml:space="preserve">9 200 husstander: kjøperne (1). 10,3 millioner kr i året: omsetningen (2). Ledige montørtimer denne uka: tilbudet (3).</t>
  </si>
  <si>
    <t xml:space="preserve">1A Husstander som kjøper</t>
  </si>
  <si>
    <t xml:space="preserve">9 200 × 0,08 = 736</t>
  </si>
  <si>
    <t xml:space="preserve">1A Markedet i kroner</t>
  </si>
  <si>
    <t xml:space="preserve">736 × 14 000 = 10 304 000 kr</t>
  </si>
  <si>
    <t xml:space="preserve">1A Svaret til Kari</t>
  </si>
  <si>
    <t xml:space="preserve">Markedsføring er alle aktivitetene for å avdekke og imøtekomme markedets ønsker og behov på en lønnsom måte; reklame er bare én del. Når Ida velger hvilke to forespørsler hun regner på, velger Nordlys kunder. Det er markedsføring, og full ordrebok er ikke det samme som lønnsomme oppdrag.</t>
  </si>
  <si>
    <t xml:space="preserve">1B Hovedmarkedene</t>
  </si>
  <si>
    <t xml:space="preserve">Bedriftsmarkedet: byggherrer, næringskunder, Fjellkraft Nett. Det offentlige markedet: kommunen og fylkeskommunen. Forbrukermarkedet: huseiere og husholdninger. Organisasjonsmarkedet: idrettslag og foreninger.</t>
  </si>
  <si>
    <t xml:space="preserve">1B a) Bedriftsmarkedet</t>
  </si>
  <si>
    <t xml:space="preserve">10 500 000 + 4 400 000 + 1 650 000 = 16 550 000 kr</t>
  </si>
  <si>
    <t xml:space="preserve">1B b) Andel bedriftsmarkedet</t>
  </si>
  <si>
    <t xml:space="preserve">16 550 000 / 22 400 000 = 73,9 %, avrundet 74 %</t>
  </si>
  <si>
    <t xml:space="preserve">1B c) Andel byggherrer</t>
  </si>
  <si>
    <t xml:space="preserve">10 500 000 / 22 400 000 = 46,9 %, avrundet 47 %. Bransjen: 59,6 %</t>
  </si>
  <si>
    <t xml:space="preserve">1B d) Svaret til Kari</t>
  </si>
  <si>
    <t xml:space="preserve">Nesten halve omsetningen, 47 %, kommer fra byggherrer og entreprenører, én kundegruppe som stopper når byggeaktiviteten faller. Bransjen henter 59,6 % fra hele nybyggmarkedet; med kommunens nybygg er Nordlys oppe i 64 %. Vekst kan ligge i service hos husstander og næringskunder (bransjen: 19,7 %) eller i rammeavtaler om drift og vedlikehold i det offentlige markedet; de kjøper annerledes enn byggherrene og må få et annet tilbud.</t>
  </si>
  <si>
    <t xml:space="preserve">1C Forslagene</t>
  </si>
  <si>
    <t xml:space="preserve">1 salgsorientering, 2 produktorientering, 3 produksjonsorientering, 4 markedsorientering, 5 helhetlig markedsorientering. Forslag 4 og 5 starter hos kunden.</t>
  </si>
  <si>
    <t xml:space="preserve">1C Kravene</t>
  </si>
  <si>
    <t xml:space="preserve">Nettsiden uten at Tom vet det: ekstern og intern henger ikke sammen. Felles tilbud med Kystfiber: relasjonsmarkedsføring. Slagord uten tiltak bak: lov, etikk og miljø.</t>
  </si>
  <si>
    <t xml:space="preserve">1C Marked og bærekraft</t>
  </si>
  <si>
    <t xml:space="preserve">August: kjøpers marked. Oktober: selgers marked. Loven er som regel bare en minimumsløsning; over den skal bedriften også tenke på det allmenne vel.</t>
  </si>
  <si>
    <t xml:space="preserve">1C Spørsmålene til styret</t>
  </si>
  <si>
    <t xml:space="preserve">Bygd på forslag 4: hvordan fordeles kostnaden og strømregningen mellom beboerne, hvem drifter anlegget om fem år, og kan det bygges ut trinnvis? Forslag 5: montørene som møter beboerne, må kunne svare for det tilbudet lover.</t>
  </si>
</sst>
</file>

<file path=xl/styles.xml><?xml version="1.0" encoding="utf-8"?>
<styleSheet xmlns="http://schemas.openxmlformats.org/spreadsheetml/2006/main">
  <numFmts count="3">
    <numFmt numFmtId="164" formatCode="General"/>
    <numFmt numFmtId="165" formatCode="#,##0"/>
    <numFmt numFmtId="166" formatCode="0"/>
  </numFmts>
  <fonts count="12">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b val="true"/>
      <sz val="11"/>
      <color theme="1"/>
      <name val="Calibri"/>
      <family val="2"/>
      <charset val="1"/>
    </font>
    <font>
      <sz val="10.5"/>
      <name val="Calibri"/>
      <family val="0"/>
      <charset val="1"/>
    </font>
    <font>
      <i val="true"/>
      <sz val="10.5"/>
      <color rgb="FF2F4A6D"/>
      <name val="Calibri"/>
      <family val="0"/>
      <charset val="1"/>
    </font>
    <font>
      <b val="true"/>
      <sz val="11"/>
      <color rgb="FFFFFFFF"/>
      <name val="Calibri"/>
      <family val="0"/>
      <charset val="1"/>
    </font>
  </fonts>
  <fills count="6">
    <fill>
      <patternFill patternType="none"/>
    </fill>
    <fill>
      <patternFill patternType="gray125"/>
    </fill>
    <fill>
      <patternFill patternType="solid">
        <fgColor rgb="FFFFF2CC"/>
        <bgColor rgb="FFE2EFDA"/>
      </patternFill>
    </fill>
    <fill>
      <patternFill patternType="solid">
        <fgColor rgb="FFDDEBF7"/>
        <bgColor rgb="FFE2EFDA"/>
      </patternFill>
    </fill>
    <fill>
      <patternFill patternType="solid">
        <fgColor rgb="FF2F4A6D"/>
        <bgColor rgb="FF333333"/>
      </patternFill>
    </fill>
    <fill>
      <patternFill patternType="solid">
        <fgColor rgb="FFE2EFDA"/>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5" fontId="0" fillId="2" borderId="1" xfId="0" applyFont="fals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2" borderId="2" xfId="0" applyFont="fals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left" vertical="center" textRotation="0" wrapText="false" indent="0" shrinkToFit="false"/>
      <protection locked="true" hidden="false"/>
    </xf>
    <xf numFmtId="164" fontId="11" fillId="4"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right" vertical="center" textRotation="0" wrapText="false" indent="0" shrinkToFit="false"/>
      <protection locked="true" hidden="false"/>
    </xf>
    <xf numFmtId="165" fontId="0" fillId="5" borderId="1" xfId="0" applyFont="false" applyBorder="true" applyAlignment="true" applyProtection="false">
      <alignment horizontal="right" vertical="center" textRotation="0" wrapText="false" indent="0" shrinkToFit="false"/>
      <protection locked="true" hidden="false"/>
    </xf>
    <xf numFmtId="166" fontId="0" fillId="2" borderId="1" xfId="0" applyFont="false" applyBorder="true" applyAlignment="true" applyProtection="false">
      <alignment horizontal="right"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45" hidden="false" customHeight="true" outlineLevel="0" collapsed="false">
      <c r="B3" s="2" t="s">
        <v>1</v>
      </c>
    </row>
    <row r="5" customFormat="false" ht="15" hidden="false" customHeight="tru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r="11" customFormat="false" ht="15" hidden="false" customHeight="true" outlineLevel="0" collapsed="false">
      <c r="B11" s="3" t="s">
        <v>7</v>
      </c>
    </row>
    <row r="12" customFormat="false" ht="15" hidden="false" customHeight="true" outlineLevel="0" collapsed="false">
      <c r="B12" s="2" t="s">
        <v>8</v>
      </c>
    </row>
    <row r="13" customFormat="false" ht="15" hidden="false" customHeight="true" outlineLevel="0" collapsed="false">
      <c r="B13" s="2" t="s">
        <v>9</v>
      </c>
    </row>
    <row r="14" customFormat="false" ht="15" hidden="false" customHeight="true" outlineLevel="0" collapsed="false">
      <c r="B14" s="2" t="s">
        <v>10</v>
      </c>
    </row>
    <row r="15" customFormat="false" ht="15" hidden="false" customHeight="true" outlineLevel="0" collapsed="false">
      <c r="B15" s="2" t="s">
        <v>11</v>
      </c>
    </row>
    <row r="17" customFormat="false" ht="30" hidden="false" customHeight="true" outlineLevel="0" collapsed="false">
      <c r="B17" s="4" t="s">
        <v>12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13</v>
      </c>
    </row>
    <row r="2" customFormat="false" ht="25.5" hidden="false" customHeight="true" outlineLevel="0" collapsed="false">
      <c r="B2" s="5" t="s">
        <v>14</v>
      </c>
      <c r="C2" s="5"/>
      <c r="D2" s="5"/>
      <c r="E2" s="5"/>
      <c r="F2" s="5"/>
      <c r="G2" s="5"/>
      <c r="Z2" s="6" t="s">
        <v>15</v>
      </c>
    </row>
    <row r="3" customFormat="false" ht="30" hidden="false" customHeight="true" outlineLevel="0" collapsed="false">
      <c r="B3" s="7" t="s">
        <v>16</v>
      </c>
      <c r="C3" s="7"/>
      <c r="D3" s="7"/>
      <c r="E3" s="7"/>
      <c r="F3" s="7"/>
      <c r="G3" s="7"/>
      <c r="Z3" s="6" t="s">
        <v>17</v>
      </c>
    </row>
    <row r="4" customFormat="false" ht="15.75" hidden="false" customHeight="true" outlineLevel="0" collapsed="false">
      <c r="B4" s="8" t="s">
        <v>18</v>
      </c>
      <c r="C4" s="8"/>
      <c r="D4" s="8"/>
      <c r="E4" s="8"/>
      <c r="F4" s="8"/>
      <c r="G4" s="8"/>
      <c r="Z4" s="6" t="s">
        <v>19</v>
      </c>
    </row>
    <row r="5" customFormat="false" ht="60" hidden="false" customHeight="true" outlineLevel="0" collapsed="false">
      <c r="B5" s="9" t="s">
        <v>20</v>
      </c>
      <c r="C5" s="9"/>
      <c r="D5" s="9"/>
      <c r="E5" s="9"/>
      <c r="F5" s="9"/>
      <c r="G5" s="9"/>
      <c r="Z5" s="6" t="s">
        <v>21</v>
      </c>
    </row>
    <row r="6" customFormat="false" ht="15.75" hidden="false" customHeight="true" outlineLevel="0" collapsed="false">
      <c r="B6" s="8" t="s">
        <v>22</v>
      </c>
      <c r="C6" s="8"/>
      <c r="D6" s="8"/>
      <c r="E6" s="8"/>
      <c r="F6" s="8"/>
      <c r="G6" s="8"/>
      <c r="Z6" s="6" t="s">
        <v>13</v>
      </c>
    </row>
    <row r="7" customFormat="false" ht="90" hidden="false" customHeight="true" outlineLevel="0" collapsed="false">
      <c r="B7" s="9" t="s">
        <v>23</v>
      </c>
      <c r="C7" s="9"/>
      <c r="D7" s="9"/>
      <c r="E7" s="9"/>
      <c r="F7" s="9"/>
      <c r="G7" s="9"/>
      <c r="Z7" s="6" t="s">
        <v>15</v>
      </c>
    </row>
    <row r="8" customFormat="false" ht="15" hidden="false" customHeight="false" outlineLevel="0" collapsed="false">
      <c r="Z8" s="0" t="s">
        <v>17</v>
      </c>
    </row>
    <row r="9" customFormat="false" ht="15.75" hidden="false" customHeight="true" outlineLevel="0" collapsed="false">
      <c r="B9" s="8" t="s">
        <v>24</v>
      </c>
      <c r="C9" s="8"/>
      <c r="D9" s="8"/>
      <c r="E9" s="8"/>
      <c r="F9" s="8"/>
      <c r="G9" s="8"/>
      <c r="Z9" s="6" t="s">
        <v>19</v>
      </c>
    </row>
    <row r="10" customFormat="false" ht="45" hidden="false" customHeight="true" outlineLevel="0" collapsed="false">
      <c r="B10" s="9" t="s">
        <v>25</v>
      </c>
      <c r="C10" s="9"/>
      <c r="D10" s="9"/>
      <c r="E10" s="9"/>
      <c r="F10" s="9"/>
      <c r="G10" s="9"/>
      <c r="Z10" s="6" t="s">
        <v>21</v>
      </c>
    </row>
    <row r="11" customFormat="false" ht="15" hidden="false" customHeight="false" outlineLevel="0" collapsed="false">
      <c r="Z11" s="0" t="s">
        <v>13</v>
      </c>
    </row>
    <row r="12" customFormat="false" ht="15" hidden="false" customHeight="true" outlineLevel="0" collapsed="false">
      <c r="B12" s="10" t="s">
        <v>26</v>
      </c>
      <c r="C12" s="10"/>
      <c r="D12" s="10"/>
      <c r="E12" s="10"/>
      <c r="F12" s="10"/>
      <c r="G12" s="10"/>
      <c r="Z12" s="6" t="s">
        <v>15</v>
      </c>
    </row>
    <row r="13" customFormat="false" ht="39.75" hidden="false" customHeight="true" outlineLevel="0" collapsed="false">
      <c r="B13" s="11" t="s">
        <v>27</v>
      </c>
      <c r="C13" s="12"/>
      <c r="G13" s="13" t="str">
        <f aca="false">IF(C13="","Velg i nedtrekksmenyen.",IF(C13="Forbrukermarkedet","Riktig. En husholdning som kjøper til eget konsum, amatør i kjøpet (1.4.5).","Ikke riktig. En husholdning som kjøper til eget konsum, amatør i kjøpet (1.4.5)."))</f>
        <v>Velg i nedtrekksmenyen.</v>
      </c>
      <c r="Z13" s="6" t="s">
        <v>17</v>
      </c>
    </row>
    <row r="14" customFormat="false" ht="39.75" hidden="false" customHeight="true" outlineLevel="0" collapsed="false">
      <c r="B14" s="11" t="s">
        <v>28</v>
      </c>
      <c r="C14" s="12"/>
      <c r="G14" s="13" t="str">
        <f aca="false">IF(C14="","Velg i nedtrekksmenyen.",IF(C14="Bedriftsmarkedet","Riktig. Kjøper i næring, som del av egen leveranse (1.4.1).","Ikke riktig. Kjøper i næring, som del av egen leveranse (1.4.1)."))</f>
        <v>Velg i nedtrekksmenyen.</v>
      </c>
      <c r="Z14" s="6" t="s">
        <v>19</v>
      </c>
    </row>
    <row r="15" customFormat="false" ht="39.75" hidden="false" customHeight="true" outlineLevel="0" collapsed="false">
      <c r="B15" s="11" t="s">
        <v>29</v>
      </c>
      <c r="C15" s="12"/>
      <c r="G15" s="13" t="str">
        <f aca="false">IF(C15="","Velg i nedtrekksmenyen.",IF(C15="Det offentlige markedet","Riktig. Kommunal forvaltning. Boka plasserer forvaltningen i stat, fylke og kommune her (1.4.3).","Ikke riktig. Kommunal forvaltning. Boka plasserer forvaltningen i stat, fylke og kommune her (1.4.3)."))</f>
        <v>Velg i nedtrekksmenyen.</v>
      </c>
      <c r="Z15" s="6" t="s">
        <v>21</v>
      </c>
    </row>
    <row r="16" customFormat="false" ht="39.75" hidden="false" customHeight="true" outlineLevel="0" collapsed="false">
      <c r="B16" s="11" t="s">
        <v>30</v>
      </c>
      <c r="C16" s="12"/>
      <c r="G16" s="13" t="str">
        <f aca="false">IF(C16="","Velg i nedtrekksmenyen.",IF(C16="Organisasjonsmarkedet","Riktig. En frivillig organisasjon (1.4.4).","Ikke riktig. En frivillig organisasjon (1.4.4)."))</f>
        <v>Velg i nedtrekksmenyen.</v>
      </c>
      <c r="Z16" s="6" t="s">
        <v>13</v>
      </c>
    </row>
    <row r="17" customFormat="false" ht="39.75" hidden="false" customHeight="true" outlineLevel="0" collapsed="false">
      <c r="B17" s="11" t="s">
        <v>31</v>
      </c>
      <c r="C17" s="12"/>
      <c r="G17" s="13" t="str">
        <f aca="false">IF(C17="","Velg i nedtrekksmenyen.",IF(C17="Mellomhandlermarkedet","Riktig. Detaljisten er ikke sluttbruker; den kjøper for å selge videre (1.4.2). At sluttkunden er en huseier, gjør ikke byggvarehuset til forbruker.","Ikke riktig. Detaljisten er ikke sluttbruker; den kjøper for å selge videre (1.4.2). At sluttkunden er en huseier, gjør ikke byggvarehuset til forbruker."))</f>
        <v>Velg i nedtrekksmenyen.</v>
      </c>
      <c r="Z17" s="6" t="s">
        <v>15</v>
      </c>
    </row>
    <row r="18" customFormat="false" ht="39.75" hidden="false" customHeight="true" outlineLevel="0" collapsed="false">
      <c r="B18" s="11" t="s">
        <v>32</v>
      </c>
      <c r="C18" s="12"/>
      <c r="G18" s="13" t="str">
        <f aca="false">IF(C18="","Velg i nedtrekksmenyen.",IF(C18="Bedriftsmarkedet","Riktig. Offentlig næringsdrift hører til bedriftsmarkedet (1.4.1). Det offentlige markedet er forvaltningen, ikke selskapene det offentlige eier (1.4.3).","Ikke riktig. Offentlig næringsdrift hører til bedriftsmarkedet (1.4.1). Det offentlige markedet er forvaltningen, ikke selskapene det offentlige eier (1.4.3)."))</f>
        <v>Velg i nedtrekksmenyen.</v>
      </c>
      <c r="Z18" s="6" t="s">
        <v>17</v>
      </c>
    </row>
    <row r="19" customFormat="false" ht="39.75" hidden="false" customHeight="true" outlineLevel="0" collapsed="false">
      <c r="B19" s="11" t="s">
        <v>33</v>
      </c>
      <c r="C19" s="12"/>
      <c r="G19" s="13" t="str">
        <f aca="false">IF(C19="","Velg i nedtrekksmenyen.",IF(C19="Bedriftsmarkedet","Riktig. Byggherren kjøper i næring; bygget skal leies ut (1.4.1).","Ikke riktig. Byggherren kjøper i næring; bygget skal leies ut (1.4.1)."))</f>
        <v>Velg i nedtrekksmenyen.</v>
      </c>
      <c r="Z19" s="6" t="s">
        <v>19</v>
      </c>
    </row>
    <row r="20" customFormat="false" ht="39.75" hidden="false" customHeight="true" outlineLevel="0" collapsed="false">
      <c r="B20" s="11" t="s">
        <v>34</v>
      </c>
      <c r="C20" s="12"/>
      <c r="G20" s="13" t="str">
        <f aca="false">IF(C20="","Velg i nedtrekksmenyen.",IF(C20="Det offentlige markedet","Riktig. Offentlig forvaltning som kjøper etter anskaffelsesregelverket, med kunngjøring i Doffin (1.4.3).","Ikke riktig. Offentlig forvaltning som kjøper etter anskaffelsesregelverket, med kunngjøring i Doffin (1.4.3)."))</f>
        <v>Velg i nedtrekksmenyen.</v>
      </c>
      <c r="Z20" s="6" t="s">
        <v>21</v>
      </c>
    </row>
    <row r="21" customFormat="false" ht="15" hidden="false" customHeight="false" outlineLevel="0" collapsed="false">
      <c r="Z21" s="0" t="s">
        <v>13</v>
      </c>
    </row>
    <row r="22" customFormat="false" ht="15.75" hidden="false" customHeight="true" outlineLevel="0" collapsed="false">
      <c r="B22" s="8" t="s">
        <v>35</v>
      </c>
      <c r="C22" s="8"/>
      <c r="D22" s="8"/>
      <c r="E22" s="8"/>
      <c r="F22" s="8"/>
      <c r="G22" s="8"/>
      <c r="Z22" s="6" t="s">
        <v>15</v>
      </c>
    </row>
    <row r="23" customFormat="false" ht="45" hidden="false" customHeight="true" outlineLevel="0" collapsed="false">
      <c r="B23" s="9" t="s">
        <v>36</v>
      </c>
      <c r="C23" s="9"/>
      <c r="D23" s="9"/>
      <c r="E23" s="9"/>
      <c r="F23" s="9"/>
      <c r="G23" s="9"/>
      <c r="Z23" s="6" t="s">
        <v>17</v>
      </c>
    </row>
    <row r="24" customFormat="false" ht="39.75" hidden="false" customHeight="true" outlineLevel="0" collapsed="false">
      <c r="B24" s="11" t="s">
        <v>37</v>
      </c>
      <c r="C24" s="12"/>
      <c r="G24" s="13" t="str">
        <f aca="false">IF(C24="","Velg i nedtrekksmenyen.",IF(C24="Kjøperne (betydning 1)","Riktig. Antall kjøpere, både de som kjøper og de som kan komme til å kjøpe (1.1, betydning 1).","Ikke riktig. Antall kjøpere, både de som kjøper og de som kan komme til å kjøpe (1.1, betydning 1)."))</f>
        <v>Velg i nedtrekksmenyen.</v>
      </c>
      <c r="Z24" s="6" t="s">
        <v>19</v>
      </c>
    </row>
    <row r="25" customFormat="false" ht="39.75" hidden="false" customHeight="true" outlineLevel="0" collapsed="false">
      <c r="B25" s="11" t="s">
        <v>38</v>
      </c>
      <c r="C25" s="12"/>
      <c r="G25" s="13" t="str">
        <f aca="false">IF(C25="","Velg i nedtrekksmenyen.",IF(C25="Omsetningen i et år (betydning 2)","Riktig. Kroner per år er den samlede omsetningen i løpet av et år (1.1, betydning 2).","Ikke riktig. Kroner per år er den samlede omsetningen i løpet av et år (1.1, betydning 2)."))</f>
        <v>Velg i nedtrekksmenyen.</v>
      </c>
      <c r="Z25" s="6" t="s">
        <v>21</v>
      </c>
    </row>
    <row r="26" customFormat="false" ht="39.75" hidden="false" customHeight="true" outlineLevel="0" collapsed="false">
      <c r="B26" s="11" t="s">
        <v>39</v>
      </c>
      <c r="C26" s="12"/>
      <c r="G26" s="13" t="str">
        <f aca="false">IF(C26="","Velg i nedtrekksmenyen.",IF(C26="Tilbudet akkurat nå (betydning 3)","Riktig. Det samlede tilbudet på et bestemt tidspunkt (1.1, betydning 3).","Ikke riktig. Det samlede tilbudet på et bestemt tidspunkt (1.1, betydning 3)."))</f>
        <v>Velg i nedtrekksmenyen.</v>
      </c>
      <c r="Z26" s="6" t="s">
        <v>13</v>
      </c>
    </row>
    <row r="27" customFormat="false" ht="15" hidden="false" customHeight="false" outlineLevel="0" collapsed="false">
      <c r="Z27" s="0" t="s">
        <v>15</v>
      </c>
    </row>
    <row r="28" customFormat="false" ht="15.75" hidden="false" customHeight="true" outlineLevel="0" collapsed="false">
      <c r="B28" s="8" t="s">
        <v>40</v>
      </c>
      <c r="C28" s="8"/>
      <c r="D28" s="8"/>
      <c r="E28" s="8"/>
      <c r="F28" s="8"/>
      <c r="G28" s="8"/>
      <c r="Z28" s="6" t="s">
        <v>17</v>
      </c>
    </row>
    <row r="29" customFormat="false" ht="30" hidden="false" customHeight="true" outlineLevel="0" collapsed="false">
      <c r="B29" s="9" t="s">
        <v>41</v>
      </c>
      <c r="C29" s="9"/>
      <c r="D29" s="9"/>
      <c r="E29" s="9"/>
      <c r="F29" s="9"/>
      <c r="G29" s="9"/>
      <c r="Z29" s="6" t="s">
        <v>19</v>
      </c>
    </row>
    <row r="30" customFormat="false" ht="43.5" hidden="false" customHeight="true" outlineLevel="0" collapsed="false">
      <c r="B30" s="11" t="s">
        <v>42</v>
      </c>
      <c r="C30" s="14"/>
      <c r="D30" s="15" t="s">
        <v>43</v>
      </c>
      <c r="G30" s="13" t="str">
        <f aca="false">IF(C30="","Skriv svaret i den gule cellen.",IF(C30=(ROUND(9200*0.08,0)),"Riktig.",IF(ABS(C30-(ROUND(9200*0.8,0)))&lt;=0,"Du har brukt 80 %. Det er 8 %, altså 0,08.",IF(ABS(C30-(9200))&lt;=0,"Det er alle husstandene (betydning 1). Bare 8 % kjøper i året.","Ikke riktig ennå. Se på regnestykket øverst på fanen, og sjekk at du har med alle leddene."))))</f>
        <v>Skriv svaret i den gule cellen.</v>
      </c>
      <c r="Z30" s="6" t="s">
        <v>21</v>
      </c>
    </row>
    <row r="31" customFormat="false" ht="43.5" hidden="false" customHeight="true" outlineLevel="0" collapsed="false">
      <c r="B31" s="11" t="s">
        <v>44</v>
      </c>
      <c r="C31" s="14"/>
      <c r="D31" s="15" t="s">
        <v>45</v>
      </c>
      <c r="G31" s="13" t="str">
        <f aca="false">IF(C31="","Skriv svaret i den gule cellen.",IF(C31=(ROUND(9200*0.08*14000,0)),"Riktig.",IF(ABS(C31-(9200*14000))&lt;=0,"Du har ganget alle 9 200 med 14 000. Bare 736 kjøper i året.",IF(ABS(C31-(ROUND(9200*0.08,0)))&lt;=0,"Det er antall husstander som kjøper. Gang med snittjobben, 14 000 kr.","Ikke riktig ennå. Se på regnestykket øverst på fanen, og sjekk at du har med alle leddene."))))</f>
        <v>Skriv svaret i den gule cellen.</v>
      </c>
      <c r="Z31" s="6" t="s">
        <v>13</v>
      </c>
    </row>
    <row r="32" customFormat="false" ht="15" hidden="false" customHeight="false" outlineLevel="0" collapsed="false">
      <c r="Z32" s="0" t="s">
        <v>15</v>
      </c>
    </row>
    <row r="33" customFormat="false" ht="30" hidden="false" customHeight="true" outlineLevel="0" collapsed="false">
      <c r="B33" s="9" t="s">
        <v>46</v>
      </c>
      <c r="C33" s="9"/>
      <c r="D33" s="9"/>
      <c r="E33" s="9"/>
      <c r="F33" s="9"/>
      <c r="G33" s="9"/>
      <c r="Z33" s="6" t="s">
        <v>17</v>
      </c>
    </row>
    <row r="34" customFormat="false" ht="21.75" hidden="false" customHeight="true" outlineLevel="0" collapsed="false">
      <c r="B34" s="16"/>
      <c r="C34" s="16"/>
      <c r="D34" s="16"/>
      <c r="E34" s="16"/>
      <c r="F34" s="16"/>
      <c r="G34" s="16"/>
      <c r="Z34" s="6" t="s">
        <v>19</v>
      </c>
    </row>
    <row r="35" customFormat="false" ht="21.75" hidden="false" customHeight="true" outlineLevel="0" collapsed="false">
      <c r="B35" s="16"/>
      <c r="C35" s="16"/>
      <c r="D35" s="16"/>
      <c r="E35" s="16"/>
      <c r="F35" s="16"/>
      <c r="G35" s="16"/>
      <c r="Z35" s="6" t="s">
        <v>21</v>
      </c>
    </row>
    <row r="36" customFormat="false" ht="21.75" hidden="false" customHeight="true" outlineLevel="0" collapsed="false">
      <c r="B36" s="16"/>
      <c r="C36" s="16"/>
      <c r="D36" s="16"/>
      <c r="E36" s="16"/>
      <c r="F36" s="16"/>
      <c r="G36" s="16"/>
      <c r="Z36" s="6" t="s">
        <v>13</v>
      </c>
    </row>
    <row r="37" customFormat="false" ht="39.75" hidden="false" customHeight="true" outlineLevel="0" collapsed="false">
      <c r="B37" s="17" t="str">
        <f aca="false">IF(LEN(B34)&lt;40,"",IF(AND(ISNUMBER(SEARCH("behov",B34)),ISNUMBER(SEARCH("lønnsom",B34))),"Bra: du bruker definisjonen med behov og lønnsomhet. Sjekk at eksemplet ditt viser at Nordlys velger kunder når Ida velger hva hun regner på.",IF(OR(ISNUMBER(SEARCH("behov",B34)),ISNUMBER(SEARCH("lønnsom",B34))),"Du er på sporet. Definisjonen har to deler: avdekke og imøtekomme ønsker og behov, og gjøre det på en lønnsom måte. Ta med begge, og et eksempel fra forespørslene.","Tips: markedsføring er alle aktivitetene for å avdekke og imøtekomme markedets ønsker og behov på en lønnsom måte. Når Ida velger to av åtte forespørsler, velger Nordlys kunder. Det er markedsføring uten annonse.")))</f>
        <v/>
      </c>
      <c r="C37" s="17"/>
      <c r="D37" s="17"/>
      <c r="E37" s="17"/>
      <c r="F37" s="17"/>
      <c r="G37" s="17"/>
      <c r="Z37" s="6" t="s">
        <v>15</v>
      </c>
    </row>
    <row r="38" customFormat="false" ht="15" hidden="false" customHeight="false" outlineLevel="0" collapsed="false">
      <c r="B38" s="18" t="s">
        <v>47</v>
      </c>
      <c r="C38" s="12"/>
      <c r="Z38" s="6" t="s">
        <v>17</v>
      </c>
    </row>
    <row r="39" customFormat="false" ht="45" hidden="false" customHeight="true" outlineLevel="0" collapsed="false">
      <c r="B39" s="19" t="str">
        <f aca="false">IF(C38="JA","Hint: Spør for hver forespørsel: kjøper de til eget bruk, i næring, for å selge videre, som forvaltning eller som organisasjon? Fjellkraft Nett AS driver næring selv om kommunen eier det. Byggvarehuset kjøper for å selge videre. Markedet i kroner: 9 200 × 0,08 = 736 husstander, × 14 000 kr = 10 304 000 kr.","")</f>
        <v/>
      </c>
      <c r="C39" s="19"/>
      <c r="D39" s="19"/>
      <c r="E39" s="19"/>
      <c r="F39" s="19"/>
      <c r="G39" s="19"/>
      <c r="Z39" s="6" t="s">
        <v>19</v>
      </c>
    </row>
    <row r="40" customFormat="false" ht="15" hidden="false" customHeight="false" outlineLevel="0" collapsed="false">
      <c r="Z40" s="0" t="s">
        <v>21</v>
      </c>
    </row>
    <row r="41" customFormat="false" ht="30" hidden="false" customHeight="true" outlineLevel="0" collapsed="false">
      <c r="B41" s="7" t="s">
        <v>48</v>
      </c>
      <c r="C41" s="7"/>
      <c r="D41" s="7"/>
      <c r="E41" s="7"/>
      <c r="F41" s="7"/>
      <c r="G41" s="7"/>
      <c r="Z41" s="6" t="s">
        <v>49</v>
      </c>
    </row>
    <row r="42" customFormat="false" ht="15" hidden="false" customHeight="false" outlineLevel="0" collapsed="false">
      <c r="Z42" s="0" t="s">
        <v>50</v>
      </c>
    </row>
    <row r="43" customFormat="false" ht="15" hidden="false" customHeight="false" outlineLevel="0" collapsed="false">
      <c r="Z43" s="0" t="s">
        <v>51</v>
      </c>
    </row>
    <row r="44" customFormat="false" ht="15" hidden="false" customHeight="false" outlineLevel="0" collapsed="false">
      <c r="Z44" s="0" t="s">
        <v>49</v>
      </c>
    </row>
    <row r="45" customFormat="false" ht="15" hidden="false" customHeight="false" outlineLevel="0" collapsed="false">
      <c r="Z45" s="0" t="s">
        <v>50</v>
      </c>
    </row>
    <row r="46" customFormat="false" ht="15" hidden="false" customHeight="false" outlineLevel="0" collapsed="false">
      <c r="Z46" s="0" t="s">
        <v>51</v>
      </c>
    </row>
    <row r="47" customFormat="false" ht="15" hidden="false" customHeight="false" outlineLevel="0" collapsed="false">
      <c r="Z47" s="0" t="s">
        <v>49</v>
      </c>
    </row>
    <row r="48" customFormat="false" ht="15" hidden="false" customHeight="false" outlineLevel="0" collapsed="false">
      <c r="Z48" s="0" t="s">
        <v>50</v>
      </c>
    </row>
    <row r="49" customFormat="false" ht="15" hidden="false" customHeight="false" outlineLevel="0" collapsed="false">
      <c r="Z49" s="0" t="s">
        <v>51</v>
      </c>
    </row>
  </sheetData>
  <mergeCells count="18">
    <mergeCell ref="B2:G2"/>
    <mergeCell ref="B3:G3"/>
    <mergeCell ref="B4:G4"/>
    <mergeCell ref="B5:G5"/>
    <mergeCell ref="B6:G6"/>
    <mergeCell ref="B7:G7"/>
    <mergeCell ref="B9:G9"/>
    <mergeCell ref="B10:G10"/>
    <mergeCell ref="B12:G12"/>
    <mergeCell ref="B22:G22"/>
    <mergeCell ref="B23:G23"/>
    <mergeCell ref="B28:G28"/>
    <mergeCell ref="B29:G29"/>
    <mergeCell ref="B33:G33"/>
    <mergeCell ref="B34:G36"/>
    <mergeCell ref="B37:G37"/>
    <mergeCell ref="B39:G39"/>
    <mergeCell ref="B41:G41"/>
  </mergeCells>
  <conditionalFormatting sqref="G13">
    <cfRule type="expression" priority="2" aboveAverage="0" equalAverage="0" bottom="0" percent="0" rank="0" text="" dxfId="0">
      <formula>LEFT(G13,6)="Riktig"</formula>
    </cfRule>
    <cfRule type="expression" priority="3" aboveAverage="0" equalAverage="0" bottom="0" percent="0" rank="0" text="" dxfId="1">
      <formula>LEFT(G13,4)="Ikke"</formula>
    </cfRule>
  </conditionalFormatting>
  <conditionalFormatting sqref="G14">
    <cfRule type="expression" priority="4" aboveAverage="0" equalAverage="0" bottom="0" percent="0" rank="0" text="" dxfId="0">
      <formula>LEFT(G14,6)="Riktig"</formula>
    </cfRule>
    <cfRule type="expression" priority="5" aboveAverage="0" equalAverage="0" bottom="0" percent="0" rank="0" text="" dxfId="1">
      <formula>LEFT(G14,4)="Ikke"</formula>
    </cfRule>
  </conditionalFormatting>
  <conditionalFormatting sqref="G15">
    <cfRule type="expression" priority="6" aboveAverage="0" equalAverage="0" bottom="0" percent="0" rank="0" text="" dxfId="0">
      <formula>LEFT(G15,6)="Riktig"</formula>
    </cfRule>
    <cfRule type="expression" priority="7" aboveAverage="0" equalAverage="0" bottom="0" percent="0" rank="0" text="" dxfId="1">
      <formula>LEFT(G15,4)="Ikke"</formula>
    </cfRule>
  </conditionalFormatting>
  <conditionalFormatting sqref="G16">
    <cfRule type="expression" priority="8" aboveAverage="0" equalAverage="0" bottom="0" percent="0" rank="0" text="" dxfId="0">
      <formula>LEFT(G16,6)="Riktig"</formula>
    </cfRule>
    <cfRule type="expression" priority="9" aboveAverage="0" equalAverage="0" bottom="0" percent="0" rank="0" text="" dxfId="1">
      <formula>LEFT(G16,4)="Ikke"</formula>
    </cfRule>
  </conditionalFormatting>
  <conditionalFormatting sqref="G17">
    <cfRule type="expression" priority="10" aboveAverage="0" equalAverage="0" bottom="0" percent="0" rank="0" text="" dxfId="0">
      <formula>LEFT(G17,6)="Riktig"</formula>
    </cfRule>
    <cfRule type="expression" priority="11" aboveAverage="0" equalAverage="0" bottom="0" percent="0" rank="0" text="" dxfId="1">
      <formula>LEFT(G17,4)="Ikke"</formula>
    </cfRule>
  </conditionalFormatting>
  <conditionalFormatting sqref="G18">
    <cfRule type="expression" priority="12" aboveAverage="0" equalAverage="0" bottom="0" percent="0" rank="0" text="" dxfId="0">
      <formula>LEFT(G18,6)="Riktig"</formula>
    </cfRule>
    <cfRule type="expression" priority="13" aboveAverage="0" equalAverage="0" bottom="0" percent="0" rank="0" text="" dxfId="1">
      <formula>LEFT(G18,4)="Ikke"</formula>
    </cfRule>
  </conditionalFormatting>
  <conditionalFormatting sqref="G19">
    <cfRule type="expression" priority="14" aboveAverage="0" equalAverage="0" bottom="0" percent="0" rank="0" text="" dxfId="0">
      <formula>LEFT(G19,6)="Riktig"</formula>
    </cfRule>
    <cfRule type="expression" priority="15" aboveAverage="0" equalAverage="0" bottom="0" percent="0" rank="0" text="" dxfId="1">
      <formula>LEFT(G19,4)="Ikke"</formula>
    </cfRule>
  </conditionalFormatting>
  <conditionalFormatting sqref="G20">
    <cfRule type="expression" priority="16" aboveAverage="0" equalAverage="0" bottom="0" percent="0" rank="0" text="" dxfId="0">
      <formula>LEFT(G20,6)="Riktig"</formula>
    </cfRule>
    <cfRule type="expression" priority="17" aboveAverage="0" equalAverage="0" bottom="0" percent="0" rank="0" text="" dxfId="1">
      <formula>LEFT(G20,4)="Ikke"</formula>
    </cfRule>
  </conditionalFormatting>
  <conditionalFormatting sqref="G24">
    <cfRule type="expression" priority="18" aboveAverage="0" equalAverage="0" bottom="0" percent="0" rank="0" text="" dxfId="0">
      <formula>LEFT(G24,6)="Riktig"</formula>
    </cfRule>
    <cfRule type="expression" priority="19" aboveAverage="0" equalAverage="0" bottom="0" percent="0" rank="0" text="" dxfId="1">
      <formula>LEFT(G24,4)="Ikke"</formula>
    </cfRule>
  </conditionalFormatting>
  <conditionalFormatting sqref="G25">
    <cfRule type="expression" priority="20" aboveAverage="0" equalAverage="0" bottom="0" percent="0" rank="0" text="" dxfId="0">
      <formula>LEFT(G25,6)="Riktig"</formula>
    </cfRule>
    <cfRule type="expression" priority="21" aboveAverage="0" equalAverage="0" bottom="0" percent="0" rank="0" text="" dxfId="1">
      <formula>LEFT(G25,4)="Ikke"</formula>
    </cfRule>
  </conditionalFormatting>
  <conditionalFormatting sqref="G26">
    <cfRule type="expression" priority="22" aboveAverage="0" equalAverage="0" bottom="0" percent="0" rank="0" text="" dxfId="0">
      <formula>LEFT(G26,6)="Riktig"</formula>
    </cfRule>
    <cfRule type="expression" priority="23" aboveAverage="0" equalAverage="0" bottom="0" percent="0" rank="0" text="" dxfId="1">
      <formula>LEFT(G26,4)="Ikke"</formula>
    </cfRule>
  </conditionalFormatting>
  <conditionalFormatting sqref="G30">
    <cfRule type="expression" priority="24" aboveAverage="0" equalAverage="0" bottom="0" percent="0" rank="0" text="" dxfId="0">
      <formula>LEFT(G30,6)="Riktig"</formula>
    </cfRule>
    <cfRule type="expression" priority="25" aboveAverage="0" equalAverage="0" bottom="0" percent="0" rank="0" text="" dxfId="1">
      <formula>AND(G30&lt;&gt;"",LEFT(G30,6)&lt;&gt;"Riktig",LEFT(G30,5)&lt;&gt;"Skriv")</formula>
    </cfRule>
  </conditionalFormatting>
  <conditionalFormatting sqref="G31">
    <cfRule type="expression" priority="26" aboveAverage="0" equalAverage="0" bottom="0" percent="0" rank="0" text="" dxfId="0">
      <formula>LEFT(G31,6)="Riktig"</formula>
    </cfRule>
    <cfRule type="expression" priority="27" aboveAverage="0" equalAverage="0" bottom="0" percent="0" rank="0" text="" dxfId="1">
      <formula>AND(G31&lt;&gt;"",LEFT(G31,6)&lt;&gt;"Riktig",LEFT(G31,5)&lt;&gt;"Skriv")</formula>
    </cfRule>
  </conditionalFormatting>
  <dataValidations count="12">
    <dataValidation allowBlank="true" errorStyle="stop" operator="between" showDropDown="false" showErrorMessage="false" showInputMessage="false" sqref="C13" type="list">
      <formula1>$Z$1:$Z$5</formula1>
      <formula2>0</formula2>
    </dataValidation>
    <dataValidation allowBlank="true" errorStyle="stop" operator="between" showDropDown="false" showErrorMessage="false" showInputMessage="false" sqref="C14" type="list">
      <formula1>$Z$6:$Z$10</formula1>
      <formula2>0</formula2>
    </dataValidation>
    <dataValidation allowBlank="true" errorStyle="stop" operator="between" showDropDown="false" showErrorMessage="false" showInputMessage="false" sqref="C15" type="list">
      <formula1>$Z$11:$Z$15</formula1>
      <formula2>0</formula2>
    </dataValidation>
    <dataValidation allowBlank="true" errorStyle="stop" operator="between" showDropDown="false" showErrorMessage="false" showInputMessage="false" sqref="C16" type="list">
      <formula1>$Z$16:$Z$20</formula1>
      <formula2>0</formula2>
    </dataValidation>
    <dataValidation allowBlank="true" errorStyle="stop" operator="between" showDropDown="false" showErrorMessage="false" showInputMessage="false" sqref="C17" type="list">
      <formula1>$Z$21:$Z$25</formula1>
      <formula2>0</formula2>
    </dataValidation>
    <dataValidation allowBlank="true" errorStyle="stop" operator="between" showDropDown="false" showErrorMessage="false" showInputMessage="false" sqref="C18" type="list">
      <formula1>$Z$26:$Z$30</formula1>
      <formula2>0</formula2>
    </dataValidation>
    <dataValidation allowBlank="true" errorStyle="stop" operator="between" showDropDown="false" showErrorMessage="false" showInputMessage="false" sqref="C19" type="list">
      <formula1>$Z$31:$Z$35</formula1>
      <formula2>0</formula2>
    </dataValidation>
    <dataValidation allowBlank="true" errorStyle="stop" operator="between" showDropDown="false" showErrorMessage="false" showInputMessage="false" sqref="C20" type="list">
      <formula1>$Z$36:$Z$40</formula1>
      <formula2>0</formula2>
    </dataValidation>
    <dataValidation allowBlank="true" errorStyle="stop" operator="between" showDropDown="false" showErrorMessage="false" showInputMessage="false" sqref="C24" type="list">
      <formula1>$Z$41:$Z$43</formula1>
      <formula2>0</formula2>
    </dataValidation>
    <dataValidation allowBlank="true" errorStyle="stop" operator="between" showDropDown="false" showErrorMessage="false" showInputMessage="false" sqref="C25" type="list">
      <formula1>$Z$44:$Z$46</formula1>
      <formula2>0</formula2>
    </dataValidation>
    <dataValidation allowBlank="true" errorStyle="stop" operator="between" showDropDown="false" showErrorMessage="false" showInputMessage="false" sqref="C26" type="list">
      <formula1>$Z$47:$Z$49</formula1>
      <formula2>0</formula2>
    </dataValidation>
    <dataValidation allowBlank="true" errorStyle="stop" operator="between" showDropDown="false" showErrorMessage="false" showInputMessage="false" sqref="C38"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13</v>
      </c>
    </row>
    <row r="2" customFormat="false" ht="25.5" hidden="false" customHeight="true" outlineLevel="0" collapsed="false">
      <c r="B2" s="5" t="s">
        <v>52</v>
      </c>
      <c r="C2" s="5"/>
      <c r="D2" s="5"/>
      <c r="E2" s="5"/>
      <c r="F2" s="5"/>
      <c r="G2" s="5"/>
      <c r="Z2" s="6" t="s">
        <v>15</v>
      </c>
    </row>
    <row r="3" customFormat="false" ht="15" hidden="false" customHeight="true" outlineLevel="0" collapsed="false">
      <c r="B3" s="7" t="s">
        <v>53</v>
      </c>
      <c r="C3" s="7"/>
      <c r="D3" s="7"/>
      <c r="E3" s="7"/>
      <c r="F3" s="7"/>
      <c r="G3" s="7"/>
      <c r="Z3" s="6" t="s">
        <v>17</v>
      </c>
    </row>
    <row r="4" customFormat="false" ht="15.75" hidden="false" customHeight="true" outlineLevel="0" collapsed="false">
      <c r="B4" s="8" t="s">
        <v>18</v>
      </c>
      <c r="C4" s="8"/>
      <c r="D4" s="8"/>
      <c r="E4" s="8"/>
      <c r="F4" s="8"/>
      <c r="G4" s="8"/>
      <c r="Z4" s="6" t="s">
        <v>19</v>
      </c>
    </row>
    <row r="5" customFormat="false" ht="60" hidden="false" customHeight="true" outlineLevel="0" collapsed="false">
      <c r="B5" s="9" t="s">
        <v>54</v>
      </c>
      <c r="C5" s="9"/>
      <c r="D5" s="9"/>
      <c r="E5" s="9"/>
      <c r="F5" s="9"/>
      <c r="G5" s="9"/>
      <c r="Z5" s="6" t="s">
        <v>21</v>
      </c>
    </row>
    <row r="6" customFormat="false" ht="15.75" hidden="false" customHeight="true" outlineLevel="0" collapsed="false">
      <c r="B6" s="8" t="s">
        <v>22</v>
      </c>
      <c r="C6" s="8"/>
      <c r="D6" s="8"/>
      <c r="E6" s="8"/>
      <c r="F6" s="8"/>
      <c r="G6" s="8"/>
      <c r="Z6" s="6" t="s">
        <v>13</v>
      </c>
    </row>
    <row r="7" customFormat="false" ht="45" hidden="false" customHeight="true" outlineLevel="0" collapsed="false">
      <c r="B7" s="9" t="s">
        <v>55</v>
      </c>
      <c r="C7" s="9"/>
      <c r="D7" s="9"/>
      <c r="E7" s="9"/>
      <c r="F7" s="9"/>
      <c r="G7" s="9"/>
      <c r="Z7" s="6" t="s">
        <v>15</v>
      </c>
    </row>
    <row r="8" customFormat="false" ht="15" hidden="false" customHeight="false" outlineLevel="0" collapsed="false">
      <c r="Z8" s="0" t="s">
        <v>17</v>
      </c>
    </row>
    <row r="9" customFormat="false" ht="15.75" hidden="false" customHeight="true" outlineLevel="0" collapsed="false">
      <c r="B9" s="8" t="s">
        <v>56</v>
      </c>
      <c r="C9" s="8"/>
      <c r="D9" s="8"/>
      <c r="E9" s="8"/>
      <c r="F9" s="8"/>
      <c r="G9" s="8"/>
      <c r="Z9" s="6" t="s">
        <v>19</v>
      </c>
    </row>
    <row r="10" customFormat="false" ht="30" hidden="false" customHeight="true" outlineLevel="0" collapsed="false">
      <c r="B10" s="9" t="s">
        <v>57</v>
      </c>
      <c r="C10" s="9"/>
      <c r="D10" s="9"/>
      <c r="E10" s="9"/>
      <c r="F10" s="9"/>
      <c r="G10" s="9"/>
      <c r="Z10" s="6" t="s">
        <v>21</v>
      </c>
    </row>
    <row r="11" customFormat="false" ht="15" hidden="false" customHeight="false" outlineLevel="0" collapsed="false">
      <c r="B11" s="20" t="s">
        <v>58</v>
      </c>
      <c r="C11" s="21" t="s">
        <v>59</v>
      </c>
      <c r="Z11" s="6" t="s">
        <v>13</v>
      </c>
    </row>
    <row r="12" customFormat="false" ht="15" hidden="false" customHeight="false" outlineLevel="0" collapsed="false">
      <c r="B12" s="22" t="s">
        <v>60</v>
      </c>
      <c r="C12" s="23" t="n">
        <v>10500000</v>
      </c>
      <c r="Z12" s="6" t="s">
        <v>15</v>
      </c>
    </row>
    <row r="13" customFormat="false" ht="15" hidden="false" customHeight="false" outlineLevel="0" collapsed="false">
      <c r="B13" s="22" t="s">
        <v>61</v>
      </c>
      <c r="C13" s="23" t="n">
        <v>4400000</v>
      </c>
      <c r="Z13" s="6" t="s">
        <v>17</v>
      </c>
    </row>
    <row r="14" customFormat="false" ht="15" hidden="false" customHeight="false" outlineLevel="0" collapsed="false">
      <c r="B14" s="22" t="s">
        <v>62</v>
      </c>
      <c r="C14" s="23" t="n">
        <v>1650000</v>
      </c>
      <c r="Z14" s="6" t="s">
        <v>19</v>
      </c>
    </row>
    <row r="15" customFormat="false" ht="15" hidden="false" customHeight="false" outlineLevel="0" collapsed="false">
      <c r="B15" s="22" t="s">
        <v>63</v>
      </c>
      <c r="C15" s="23" t="n">
        <v>3800000</v>
      </c>
      <c r="Z15" s="6" t="s">
        <v>21</v>
      </c>
    </row>
    <row r="16" customFormat="false" ht="15" hidden="false" customHeight="false" outlineLevel="0" collapsed="false">
      <c r="B16" s="22" t="s">
        <v>64</v>
      </c>
      <c r="C16" s="23" t="n">
        <v>1450000</v>
      </c>
      <c r="Z16" s="6" t="s">
        <v>13</v>
      </c>
    </row>
    <row r="17" customFormat="false" ht="15" hidden="false" customHeight="false" outlineLevel="0" collapsed="false">
      <c r="B17" s="22" t="s">
        <v>65</v>
      </c>
      <c r="C17" s="23" t="n">
        <v>600000</v>
      </c>
      <c r="Z17" s="6" t="s">
        <v>15</v>
      </c>
    </row>
    <row r="18" customFormat="false" ht="15" hidden="false" customHeight="false" outlineLevel="0" collapsed="false">
      <c r="B18" s="22" t="s">
        <v>66</v>
      </c>
      <c r="C18" s="24" t="n">
        <f aca="false">SUM(C12:C17)</f>
        <v>22400000</v>
      </c>
      <c r="Z18" s="6" t="s">
        <v>17</v>
      </c>
    </row>
    <row r="19" customFormat="false" ht="15" hidden="false" customHeight="false" outlineLevel="0" collapsed="false">
      <c r="Z19" s="0" t="s">
        <v>19</v>
      </c>
    </row>
    <row r="20" customFormat="false" ht="15.75" hidden="false" customHeight="true" outlineLevel="0" collapsed="false">
      <c r="B20" s="8" t="s">
        <v>67</v>
      </c>
      <c r="C20" s="8"/>
      <c r="D20" s="8"/>
      <c r="E20" s="8"/>
      <c r="F20" s="8"/>
      <c r="G20" s="8"/>
      <c r="Z20" s="6" t="s">
        <v>21</v>
      </c>
    </row>
    <row r="21" customFormat="false" ht="60" hidden="false" customHeight="true" outlineLevel="0" collapsed="false">
      <c r="B21" s="9" t="s">
        <v>68</v>
      </c>
      <c r="C21" s="9"/>
      <c r="D21" s="9"/>
      <c r="E21" s="9"/>
      <c r="F21" s="9"/>
      <c r="G21" s="9"/>
      <c r="Z21" s="6" t="s">
        <v>13</v>
      </c>
    </row>
    <row r="22" customFormat="false" ht="15" hidden="false" customHeight="false" outlineLevel="0" collapsed="false">
      <c r="Z22" s="0" t="s">
        <v>15</v>
      </c>
    </row>
    <row r="23" customFormat="false" ht="15" hidden="false" customHeight="true" outlineLevel="0" collapsed="false">
      <c r="B23" s="10" t="s">
        <v>69</v>
      </c>
      <c r="C23" s="10"/>
      <c r="D23" s="10"/>
      <c r="E23" s="10"/>
      <c r="F23" s="10"/>
      <c r="G23" s="10"/>
      <c r="Z23" s="6" t="s">
        <v>17</v>
      </c>
    </row>
    <row r="24" customFormat="false" ht="39.75" hidden="false" customHeight="true" outlineLevel="0" collapsed="false">
      <c r="B24" s="11" t="s">
        <v>70</v>
      </c>
      <c r="C24" s="12"/>
      <c r="G24" s="13" t="str">
        <f aca="false">IF(C24="","Velg i nedtrekksmenyen.",IF(C24="Bedriftsmarkedet","Riktig. De kjøper i næring: bygget skal selges eller leies ut (1.4.1).","Ikke riktig. De kjøper i næring: bygget skal selges eller leies ut (1.4.1)."))</f>
        <v>Velg i nedtrekksmenyen.</v>
      </c>
      <c r="Z24" s="6" t="s">
        <v>19</v>
      </c>
    </row>
    <row r="25" customFormat="false" ht="39.75" hidden="false" customHeight="true" outlineLevel="0" collapsed="false">
      <c r="B25" s="11" t="s">
        <v>71</v>
      </c>
      <c r="C25" s="12"/>
      <c r="G25" s="13" t="str">
        <f aca="false">IF(C25="","Velg i nedtrekksmenyen.",IF(C25="Bedriftsmarkedet","Riktig. Bedrifter som kjøper til egen drift, institusjonsvarer (1.4.1).","Ikke riktig. Bedrifter som kjøper til egen drift, institusjonsvarer (1.4.1)."))</f>
        <v>Velg i nedtrekksmenyen.</v>
      </c>
      <c r="Z25" s="6" t="s">
        <v>21</v>
      </c>
    </row>
    <row r="26" customFormat="false" ht="39.75" hidden="false" customHeight="true" outlineLevel="0" collapsed="false">
      <c r="B26" s="11" t="s">
        <v>72</v>
      </c>
      <c r="C26" s="12"/>
      <c r="G26" s="13" t="str">
        <f aca="false">IF(C26="","Velg i nedtrekksmenyen.",IF(C26="Bedriftsmarkedet","Riktig. Offentlig næringsdrift er bedriftsmarkedet (1.4.1). Eieren avgjør ikke; virksomheten gjør det.","Ikke riktig. Offentlig næringsdrift er bedriftsmarkedet (1.4.1). Eieren avgjør ikke; virksomheten gjør det."))</f>
        <v>Velg i nedtrekksmenyen.</v>
      </c>
      <c r="Z26" s="6" t="s">
        <v>13</v>
      </c>
    </row>
    <row r="27" customFormat="false" ht="39.75" hidden="false" customHeight="true" outlineLevel="0" collapsed="false">
      <c r="B27" s="11" t="s">
        <v>73</v>
      </c>
      <c r="C27" s="12"/>
      <c r="G27" s="13" t="str">
        <f aca="false">IF(C27="","Velg i nedtrekksmenyen.",IF(C27="Det offentlige markedet","Riktig. Forvaltningen på kommunalt og fylkeskommunalt nivå (1.4.3).","Ikke riktig. Forvaltningen på kommunalt og fylkeskommunalt nivå (1.4.3)."))</f>
        <v>Velg i nedtrekksmenyen.</v>
      </c>
      <c r="Z27" s="6" t="s">
        <v>15</v>
      </c>
    </row>
    <row r="28" customFormat="false" ht="39.75" hidden="false" customHeight="true" outlineLevel="0" collapsed="false">
      <c r="B28" s="11" t="s">
        <v>74</v>
      </c>
      <c r="C28" s="12"/>
      <c r="G28" s="13" t="str">
        <f aca="false">IF(C28="","Velg i nedtrekksmenyen.",IF(C28="Forbrukermarkedet","Riktig. Enkeltpersoner og husholdninger som kjøper til eget konsum (1.4.5).","Ikke riktig. Enkeltpersoner og husholdninger som kjøper til eget konsum (1.4.5)."))</f>
        <v>Velg i nedtrekksmenyen.</v>
      </c>
      <c r="Z28" s="6" t="s">
        <v>17</v>
      </c>
    </row>
    <row r="29" customFormat="false" ht="39.75" hidden="false" customHeight="true" outlineLevel="0" collapsed="false">
      <c r="B29" s="11" t="s">
        <v>75</v>
      </c>
      <c r="C29" s="12"/>
      <c r="G29" s="13" t="str">
        <f aca="false">IF(C29="","Velg i nedtrekksmenyen.",IF(C29="Organisasjonsmarkedet","Riktig. Frivillige organisasjoner (1.4.4).","Ikke riktig. Frivillige organisasjoner (1.4.4)."))</f>
        <v>Velg i nedtrekksmenyen.</v>
      </c>
      <c r="Z29" s="6" t="s">
        <v>19</v>
      </c>
    </row>
    <row r="30" customFormat="false" ht="15" hidden="false" customHeight="false" outlineLevel="0" collapsed="false">
      <c r="Z30" s="0" t="s">
        <v>21</v>
      </c>
    </row>
    <row r="31" customFormat="false" ht="43.5" hidden="false" customHeight="true" outlineLevel="0" collapsed="false">
      <c r="B31" s="11" t="s">
        <v>76</v>
      </c>
      <c r="C31" s="14"/>
      <c r="D31" s="15" t="s">
        <v>45</v>
      </c>
      <c r="G31" s="13" t="str">
        <f aca="false">IF(C31="","Skriv svaret i den gule cellen.",IF(C31=(C12+C13+C14),"Riktig.",IF(ABS(C31-(C12+C13))&lt;=0,"Du har glemt Fjellkraft Nett AS. Nettselskapet er næringsdrift og hører til bedriftsmarkedet.",IF(ABS(C31-(C12+C13+C14+C15))&lt;=0,"Du har tatt med kommunen. Forvaltningen er det offentlige markedet, ikke bedriftsmarkedet.",IF(ABS(C31-(C12))&lt;=0,"Det er bare byggherrene. Bedriftsmarkedet har tre kundegrupper her.","Ikke riktig ennå. Se på regnestykket øverst på fanen, og sjekk at du har med alle leddene.")))))</f>
        <v>Skriv svaret i den gule cellen.</v>
      </c>
    </row>
    <row r="32" customFormat="false" ht="43.5" hidden="false" customHeight="true" outlineLevel="0" collapsed="false">
      <c r="B32" s="11" t="s">
        <v>77</v>
      </c>
      <c r="C32" s="25"/>
      <c r="D32" s="15" t="s">
        <v>78</v>
      </c>
      <c r="G32" s="13" t="str">
        <f aca="false">IF(C32="","Skriv svaret i den gule cellen.",IF(C32=(ROUND((C12+C13+C14)/C18*100,0)),"Riktig.",IF(ABS(C32-(ROUND(C12/C18*100,0)))&lt;=0,"Det er byggherrenes andel alene. Her skal hele bedriftsmarkedet (a) deles på salgsinntekten.",IF(ABS(C32-(ROUND((C12+C13+C14+C15)/C18*100,0)))&lt;=0,"Du har tatt med kommunen i bedriftsmarkedet. Kommunen er det offentlige markedet.","Ikke riktig ennå. Se på regnestykket øverst på fanen, og sjekk at du har med alle leddene."))))</f>
        <v>Skriv svaret i den gule cellen.</v>
      </c>
    </row>
    <row r="33" customFormat="false" ht="43.5" hidden="false" customHeight="true" outlineLevel="0" collapsed="false">
      <c r="B33" s="11" t="s">
        <v>79</v>
      </c>
      <c r="C33" s="25"/>
      <c r="D33" s="15" t="s">
        <v>78</v>
      </c>
      <c r="G33" s="13" t="str">
        <f aca="false">IF(C33="","Skriv svaret i den gule cellen.",IF(C33=(ROUND(C12/C18*100,0)),"Riktig.",IF(ABS(C33-(ROUND(C12/(C12+C13+C14)*100,0)))&lt;=0,"Du har delt på bedriftsmarkedet, 16 550 000. Andelen skal regnes av hele salgsinntekten, 22 400 000.",IF(ABS(C33-(60))&lt;=0,"Det er bransjens tall, 59,6 %. Her spør vi om Nordlys: 10 500 000 delt på 22 400 000.","Ikke riktig ennå. Se på regnestykket øverst på fanen, og sjekk at du har med alle leddene."))))</f>
        <v>Skriv svaret i den gule cellen.</v>
      </c>
    </row>
    <row r="35" customFormat="false" ht="30" hidden="false" customHeight="true" outlineLevel="0" collapsed="false">
      <c r="B35" s="9" t="s">
        <v>80</v>
      </c>
      <c r="C35" s="9"/>
      <c r="D35" s="9"/>
      <c r="E35" s="9"/>
      <c r="F35" s="9"/>
      <c r="G35" s="9"/>
    </row>
    <row r="36" customFormat="false" ht="21.75" hidden="false" customHeight="true" outlineLevel="0" collapsed="false">
      <c r="B36" s="16"/>
      <c r="C36" s="16"/>
      <c r="D36" s="16"/>
      <c r="E36" s="16"/>
      <c r="F36" s="16"/>
      <c r="G36" s="16"/>
    </row>
    <row r="37" customFormat="false" ht="21.75" hidden="false" customHeight="true" outlineLevel="0" collapsed="false">
      <c r="B37" s="16"/>
      <c r="C37" s="16"/>
      <c r="D37" s="16"/>
      <c r="E37" s="16"/>
      <c r="F37" s="16"/>
      <c r="G37" s="16"/>
    </row>
    <row r="38" customFormat="false" ht="21.75" hidden="false" customHeight="true" outlineLevel="0" collapsed="false">
      <c r="B38" s="16"/>
      <c r="C38" s="16"/>
      <c r="D38" s="16"/>
      <c r="E38" s="16"/>
      <c r="F38" s="16"/>
      <c r="G38" s="16"/>
    </row>
    <row r="39" customFormat="false" ht="39.75" hidden="false" customHeight="true" outlineLevel="0" collapsed="false">
      <c r="B39" s="17" t="str">
        <f aca="false">IF(LEN(B36)&lt;40,"",IF(AND(ISNUMBER(SEARCH("byggherre",B36)),ISNUMBER(SEARCH("47",B36))),"Bra: du bruker 47 % og peker på byggherrene. Sjekk at du også sier hvilket marked du ville vokse i, og hvorfor det kjøper annerledes.",IF(OR(ISNUMBER(SEARCH("byggherre",B36)),ISNUMBER(SEARCH("47",B36))),"Du er på sporet. Bruk tallet: byggherrene er 47 % av salgsinntekten, mot 59,6 % i bransjen. Si hva som skjer når byggeaktiviteten faller, og hvor du ville vokse.","Tips: 47 % av salgsinntekten kommer fra byggherrer og entreprenører, én kundegruppe som stopper når byggeaktiviteten faller. Bransjen henter 59,6 % fra næringsbygg og nye boliger, men det tallet omfatter hele nybyggmarkedet; med kommunens skoler og barnehager er Nordlys oppe i 64 %, så nesten to tredeler er i spill når byggeaktiviteten faller. Vekst kan ligge i service hos husstander og næringskunder, eller i rammeavtaler om drift og vedlikehold i det offentlige markedet.")))</f>
        <v/>
      </c>
      <c r="C39" s="17"/>
      <c r="D39" s="17"/>
      <c r="E39" s="17"/>
      <c r="F39" s="17"/>
      <c r="G39" s="17"/>
    </row>
    <row r="40" customFormat="false" ht="15" hidden="false" customHeight="false" outlineLevel="0" collapsed="false">
      <c r="B40" s="18" t="s">
        <v>47</v>
      </c>
      <c r="C40" s="12"/>
    </row>
    <row r="41" customFormat="false" ht="45" hidden="false" customHeight="true" outlineLevel="0" collapsed="false">
      <c r="B41" s="19" t="str">
        <f aca="false">IF(C40="JA","Hint: Bedriftsmarkedet er byggherrer, næringskunder og Fjellkraft Nett: 10 500 000 + 4 400 000 + 1 650 000 = 16 550 000 kr. Delt på 22 400 000 er det 73,9 %, avrundet 74. Byggherrene alene: 10 500 000 / 22 400 000 = 46,9 %, avrundet 47.","")</f>
        <v/>
      </c>
      <c r="C41" s="19"/>
      <c r="D41" s="19"/>
      <c r="E41" s="19"/>
      <c r="F41" s="19"/>
      <c r="G41" s="19"/>
    </row>
    <row r="43" customFormat="false" ht="30" hidden="false" customHeight="true" outlineLevel="0" collapsed="false">
      <c r="B43" s="7" t="s">
        <v>48</v>
      </c>
      <c r="C43" s="7"/>
      <c r="D43" s="7"/>
      <c r="E43" s="7"/>
      <c r="F43" s="7"/>
      <c r="G43" s="7"/>
    </row>
  </sheetData>
  <mergeCells count="16">
    <mergeCell ref="B2:G2"/>
    <mergeCell ref="B3:G3"/>
    <mergeCell ref="B4:G4"/>
    <mergeCell ref="B5:G5"/>
    <mergeCell ref="B6:G6"/>
    <mergeCell ref="B7:G7"/>
    <mergeCell ref="B9:G9"/>
    <mergeCell ref="B10:G10"/>
    <mergeCell ref="B20:G20"/>
    <mergeCell ref="B21:G21"/>
    <mergeCell ref="B23:G23"/>
    <mergeCell ref="B35:G35"/>
    <mergeCell ref="B36:G38"/>
    <mergeCell ref="B39:G39"/>
    <mergeCell ref="B41:G41"/>
    <mergeCell ref="B43:G43"/>
  </mergeCells>
  <conditionalFormatting sqref="G24">
    <cfRule type="expression" priority="2" aboveAverage="0" equalAverage="0" bottom="0" percent="0" rank="0" text="" dxfId="0">
      <formula>LEFT(G24,6)="Riktig"</formula>
    </cfRule>
    <cfRule type="expression" priority="3" aboveAverage="0" equalAverage="0" bottom="0" percent="0" rank="0" text="" dxfId="1">
      <formula>LEFT(G24,4)="Ikke"</formula>
    </cfRule>
  </conditionalFormatting>
  <conditionalFormatting sqref="G25">
    <cfRule type="expression" priority="4" aboveAverage="0" equalAverage="0" bottom="0" percent="0" rank="0" text="" dxfId="0">
      <formula>LEFT(G25,6)="Riktig"</formula>
    </cfRule>
    <cfRule type="expression" priority="5" aboveAverage="0" equalAverage="0" bottom="0" percent="0" rank="0" text="" dxfId="1">
      <formula>LEFT(G25,4)="Ikke"</formula>
    </cfRule>
  </conditionalFormatting>
  <conditionalFormatting sqref="G26">
    <cfRule type="expression" priority="6" aboveAverage="0" equalAverage="0" bottom="0" percent="0" rank="0" text="" dxfId="0">
      <formula>LEFT(G26,6)="Riktig"</formula>
    </cfRule>
    <cfRule type="expression" priority="7" aboveAverage="0" equalAverage="0" bottom="0" percent="0" rank="0" text="" dxfId="1">
      <formula>LEFT(G26,4)="Ikke"</formula>
    </cfRule>
  </conditionalFormatting>
  <conditionalFormatting sqref="G27">
    <cfRule type="expression" priority="8" aboveAverage="0" equalAverage="0" bottom="0" percent="0" rank="0" text="" dxfId="0">
      <formula>LEFT(G27,6)="Riktig"</formula>
    </cfRule>
    <cfRule type="expression" priority="9" aboveAverage="0" equalAverage="0" bottom="0" percent="0" rank="0" text="" dxfId="1">
      <formula>LEFT(G27,4)="Ikke"</formula>
    </cfRule>
  </conditionalFormatting>
  <conditionalFormatting sqref="G28">
    <cfRule type="expression" priority="10" aboveAverage="0" equalAverage="0" bottom="0" percent="0" rank="0" text="" dxfId="0">
      <formula>LEFT(G28,6)="Riktig"</formula>
    </cfRule>
    <cfRule type="expression" priority="11" aboveAverage="0" equalAverage="0" bottom="0" percent="0" rank="0" text="" dxfId="1">
      <formula>LEFT(G28,4)="Ikke"</formula>
    </cfRule>
  </conditionalFormatting>
  <conditionalFormatting sqref="G29">
    <cfRule type="expression" priority="12" aboveAverage="0" equalAverage="0" bottom="0" percent="0" rank="0" text="" dxfId="0">
      <formula>LEFT(G29,6)="Riktig"</formula>
    </cfRule>
    <cfRule type="expression" priority="13" aboveAverage="0" equalAverage="0" bottom="0" percent="0" rank="0" text="" dxfId="1">
      <formula>LEFT(G29,4)="Ikke"</formula>
    </cfRule>
  </conditionalFormatting>
  <conditionalFormatting sqref="G31">
    <cfRule type="expression" priority="14" aboveAverage="0" equalAverage="0" bottom="0" percent="0" rank="0" text="" dxfId="0">
      <formula>LEFT(G31,6)="Riktig"</formula>
    </cfRule>
    <cfRule type="expression" priority="15" aboveAverage="0" equalAverage="0" bottom="0" percent="0" rank="0" text="" dxfId="1">
      <formula>AND(G31&lt;&gt;"",LEFT(G31,6)&lt;&gt;"Riktig",LEFT(G31,5)&lt;&gt;"Skriv")</formula>
    </cfRule>
  </conditionalFormatting>
  <conditionalFormatting sqref="G32">
    <cfRule type="expression" priority="16" aboveAverage="0" equalAverage="0" bottom="0" percent="0" rank="0" text="" dxfId="0">
      <formula>LEFT(G32,6)="Riktig"</formula>
    </cfRule>
    <cfRule type="expression" priority="17" aboveAverage="0" equalAverage="0" bottom="0" percent="0" rank="0" text="" dxfId="1">
      <formula>AND(G32&lt;&gt;"",LEFT(G32,6)&lt;&gt;"Riktig",LEFT(G32,5)&lt;&gt;"Skriv")</formula>
    </cfRule>
  </conditionalFormatting>
  <conditionalFormatting sqref="G33">
    <cfRule type="expression" priority="18" aboveAverage="0" equalAverage="0" bottom="0" percent="0" rank="0" text="" dxfId="0">
      <formula>LEFT(G33,6)="Riktig"</formula>
    </cfRule>
    <cfRule type="expression" priority="19" aboveAverage="0" equalAverage="0" bottom="0" percent="0" rank="0" text="" dxfId="1">
      <formula>AND(G33&lt;&gt;"",LEFT(G33,6)&lt;&gt;"Riktig",LEFT(G33,5)&lt;&gt;"Skriv")</formula>
    </cfRule>
  </conditionalFormatting>
  <dataValidations count="7">
    <dataValidation allowBlank="true" errorStyle="stop" operator="between" showDropDown="false" showErrorMessage="false" showInputMessage="false" sqref="C24" type="list">
      <formula1>$Z$1:$Z$5</formula1>
      <formula2>0</formula2>
    </dataValidation>
    <dataValidation allowBlank="true" errorStyle="stop" operator="between" showDropDown="false" showErrorMessage="false" showInputMessage="false" sqref="C25" type="list">
      <formula1>$Z$6:$Z$10</formula1>
      <formula2>0</formula2>
    </dataValidation>
    <dataValidation allowBlank="true" errorStyle="stop" operator="between" showDropDown="false" showErrorMessage="false" showInputMessage="false" sqref="C26" type="list">
      <formula1>$Z$11:$Z$15</formula1>
      <formula2>0</formula2>
    </dataValidation>
    <dataValidation allowBlank="true" errorStyle="stop" operator="between" showDropDown="false" showErrorMessage="false" showInputMessage="false" sqref="C27" type="list">
      <formula1>$Z$16:$Z$20</formula1>
      <formula2>0</formula2>
    </dataValidation>
    <dataValidation allowBlank="true" errorStyle="stop" operator="between" showDropDown="false" showErrorMessage="false" showInputMessage="false" sqref="C28" type="list">
      <formula1>$Z$21:$Z$25</formula1>
      <formula2>0</formula2>
    </dataValidation>
    <dataValidation allowBlank="true" errorStyle="stop" operator="between" showDropDown="false" showErrorMessage="false" showInputMessage="false" sqref="C29" type="list">
      <formula1>$Z$26:$Z$30</formula1>
      <formula2>0</formula2>
    </dataValidation>
    <dataValidation allowBlank="true" errorStyle="stop" operator="between" showDropDown="false" showErrorMessage="false" showInputMessage="false" sqref="C40"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81</v>
      </c>
    </row>
    <row r="2" customFormat="false" ht="25.5" hidden="false" customHeight="true" outlineLevel="0" collapsed="false">
      <c r="B2" s="5" t="s">
        <v>82</v>
      </c>
      <c r="C2" s="5"/>
      <c r="D2" s="5"/>
      <c r="E2" s="5"/>
      <c r="F2" s="5"/>
      <c r="G2" s="5"/>
      <c r="Z2" s="6" t="s">
        <v>83</v>
      </c>
    </row>
    <row r="3" customFormat="false" ht="15" hidden="false" customHeight="true" outlineLevel="0" collapsed="false">
      <c r="B3" s="7" t="s">
        <v>84</v>
      </c>
      <c r="C3" s="7"/>
      <c r="D3" s="7"/>
      <c r="E3" s="7"/>
      <c r="F3" s="7"/>
      <c r="G3" s="7"/>
      <c r="Z3" s="6" t="s">
        <v>85</v>
      </c>
    </row>
    <row r="4" customFormat="false" ht="15.75" hidden="false" customHeight="true" outlineLevel="0" collapsed="false">
      <c r="B4" s="8" t="s">
        <v>18</v>
      </c>
      <c r="C4" s="8"/>
      <c r="D4" s="8"/>
      <c r="E4" s="8"/>
      <c r="F4" s="8"/>
      <c r="G4" s="8"/>
      <c r="Z4" s="6" t="s">
        <v>86</v>
      </c>
    </row>
    <row r="5" customFormat="false" ht="60" hidden="false" customHeight="true" outlineLevel="0" collapsed="false">
      <c r="B5" s="9" t="s">
        <v>87</v>
      </c>
      <c r="C5" s="9"/>
      <c r="D5" s="9"/>
      <c r="E5" s="9"/>
      <c r="F5" s="9"/>
      <c r="G5" s="9"/>
      <c r="Z5" s="6" t="s">
        <v>88</v>
      </c>
    </row>
    <row r="6" customFormat="false" ht="15.75" hidden="false" customHeight="true" outlineLevel="0" collapsed="false">
      <c r="B6" s="8" t="s">
        <v>22</v>
      </c>
      <c r="C6" s="8"/>
      <c r="D6" s="8"/>
      <c r="E6" s="8"/>
      <c r="F6" s="8"/>
      <c r="G6" s="8"/>
      <c r="Z6" s="6" t="s">
        <v>81</v>
      </c>
    </row>
    <row r="7" customFormat="false" ht="75" hidden="false" customHeight="true" outlineLevel="0" collapsed="false">
      <c r="B7" s="9" t="s">
        <v>89</v>
      </c>
      <c r="C7" s="9"/>
      <c r="D7" s="9"/>
      <c r="E7" s="9"/>
      <c r="F7" s="9"/>
      <c r="G7" s="9"/>
      <c r="Z7" s="6" t="s">
        <v>83</v>
      </c>
    </row>
    <row r="8" customFormat="false" ht="15" hidden="false" customHeight="false" outlineLevel="0" collapsed="false">
      <c r="Z8" s="0" t="s">
        <v>85</v>
      </c>
    </row>
    <row r="9" customFormat="false" ht="15.75" hidden="false" customHeight="true" outlineLevel="0" collapsed="false">
      <c r="B9" s="8" t="s">
        <v>24</v>
      </c>
      <c r="C9" s="8"/>
      <c r="D9" s="8"/>
      <c r="E9" s="8"/>
      <c r="F9" s="8"/>
      <c r="G9" s="8"/>
      <c r="Z9" s="6" t="s">
        <v>86</v>
      </c>
    </row>
    <row r="10" customFormat="false" ht="60" hidden="false" customHeight="true" outlineLevel="0" collapsed="false">
      <c r="B10" s="9" t="s">
        <v>90</v>
      </c>
      <c r="C10" s="9"/>
      <c r="D10" s="9"/>
      <c r="E10" s="9"/>
      <c r="F10" s="9"/>
      <c r="G10" s="9"/>
      <c r="Z10" s="6" t="s">
        <v>88</v>
      </c>
    </row>
    <row r="11" customFormat="false" ht="15" hidden="false" customHeight="false" outlineLevel="0" collapsed="false">
      <c r="Z11" s="0" t="s">
        <v>81</v>
      </c>
    </row>
    <row r="12" customFormat="false" ht="15" hidden="false" customHeight="true" outlineLevel="0" collapsed="false">
      <c r="B12" s="10" t="s">
        <v>91</v>
      </c>
      <c r="C12" s="10"/>
      <c r="D12" s="10"/>
      <c r="E12" s="10"/>
      <c r="F12" s="10"/>
      <c r="G12" s="10"/>
      <c r="Z12" s="6" t="s">
        <v>83</v>
      </c>
    </row>
    <row r="13" customFormat="false" ht="39.75" hidden="false" customHeight="true" outlineLevel="0" collapsed="false">
      <c r="B13" s="11" t="s">
        <v>92</v>
      </c>
      <c r="C13" s="12"/>
      <c r="G13" s="13" t="str">
        <f aca="false">IF(C13="","Velg i nedtrekksmenyen.",IF(C13="Salgsorientering","Riktig. Starter med anlegget Nordlys har og leter etter flere kjøpere (1.2.3).","Ikke riktig. Starter med anlegget Nordlys har og leter etter flere kjøpere (1.2.3)."))</f>
        <v>Velg i nedtrekksmenyen.</v>
      </c>
      <c r="Z13" s="6" t="s">
        <v>85</v>
      </c>
    </row>
    <row r="14" customFormat="false" ht="39.75" hidden="false" customHeight="true" outlineLevel="0" collapsed="false">
      <c r="B14" s="11" t="s">
        <v>93</v>
      </c>
      <c r="C14" s="12"/>
      <c r="G14" s="13" t="str">
        <f aca="false">IF(C14="","Velg i nedtrekksmenyen.",IF(C14="Produktorientering","Riktig. Tar for gitt at markedet vil ha det beste produktet (1.2.2).","Ikke riktig. Tar for gitt at markedet vil ha det beste produktet (1.2.2)."))</f>
        <v>Velg i nedtrekksmenyen.</v>
      </c>
      <c r="Z14" s="6" t="s">
        <v>86</v>
      </c>
    </row>
    <row r="15" customFormat="false" ht="39.75" hidden="false" customHeight="true" outlineLevel="0" collapsed="false">
      <c r="B15" s="11" t="s">
        <v>94</v>
      </c>
      <c r="C15" s="12"/>
      <c r="G15" s="13" t="str">
        <f aca="false">IF(C15="","Velg i nedtrekksmenyen.",IF(C15="Produksjonsorientering","Riktig. Lave enhetskostnader og volum; billig og lett tilgjengelig (1.2.1).","Ikke riktig. Lave enhetskostnader og volum; billig og lett tilgjengelig (1.2.1)."))</f>
        <v>Velg i nedtrekksmenyen.</v>
      </c>
      <c r="Z15" s="6" t="s">
        <v>88</v>
      </c>
    </row>
    <row r="16" customFormat="false" ht="39.75" hidden="false" customHeight="true" outlineLevel="0" collapsed="false">
      <c r="B16" s="11" t="s">
        <v>95</v>
      </c>
      <c r="C16" s="12"/>
      <c r="G16" s="13" t="str">
        <f aca="false">IF(C16="","Velg i nedtrekksmenyen.",IF(C16="Markedsorientering","Riktig. Finner de rette produktene til kjøperne; starter hos kunden (1.2.4).","Ikke riktig. Finner de rette produktene til kjøperne; starter hos kunden (1.2.4)."))</f>
        <v>Velg i nedtrekksmenyen.</v>
      </c>
      <c r="Z16" s="6" t="s">
        <v>81</v>
      </c>
    </row>
    <row r="17" customFormat="false" ht="39.75" hidden="false" customHeight="true" outlineLevel="0" collapsed="false">
      <c r="B17" s="11" t="s">
        <v>96</v>
      </c>
      <c r="C17" s="12"/>
      <c r="G17" s="13" t="str">
        <f aca="false">IF(C17="","Velg i nedtrekksmenyen.",IF(C17="Helhetlig markedsorientering","Riktig. Det eksterne løftet må henge sammen med det de ansatte kjenner seg igjen i (1.2.5).","Ikke riktig. Det eksterne løftet må henge sammen med det de ansatte kjenner seg igjen i (1.2.5)."))</f>
        <v>Velg i nedtrekksmenyen.</v>
      </c>
      <c r="Z17" s="6" t="s">
        <v>83</v>
      </c>
    </row>
    <row r="18" customFormat="false" ht="15" hidden="false" customHeight="false" outlineLevel="0" collapsed="false">
      <c r="Z18" s="0" t="s">
        <v>85</v>
      </c>
    </row>
    <row r="19" customFormat="false" ht="15" hidden="false" customHeight="true" outlineLevel="0" collapsed="false">
      <c r="B19" s="10" t="s">
        <v>97</v>
      </c>
      <c r="C19" s="10"/>
      <c r="D19" s="10"/>
      <c r="E19" s="10"/>
      <c r="F19" s="10"/>
      <c r="G19" s="10"/>
      <c r="Z19" s="6" t="s">
        <v>86</v>
      </c>
    </row>
    <row r="20" customFormat="false" ht="39.75" hidden="false" customHeight="true" outlineLevel="0" collapsed="false">
      <c r="B20" s="11" t="s">
        <v>98</v>
      </c>
      <c r="C20" s="12"/>
      <c r="G20" s="13" t="str">
        <f aca="false">IF(C20="","Velg i nedtrekksmenyen.",IF(C20="Ekstern og intern markedsføring henger sammen","Riktig. De ansatte skal kjenne seg igjen i det bedriften lover kundene (1.2.5).","Ikke riktig. De ansatte skal kjenne seg igjen i det bedriften lover kundene (1.2.5)."))</f>
        <v>Velg i nedtrekksmenyen.</v>
      </c>
      <c r="Z20" s="6" t="s">
        <v>88</v>
      </c>
    </row>
    <row r="21" customFormat="false" ht="39.75" hidden="false" customHeight="true" outlineLevel="0" collapsed="false">
      <c r="B21" s="11" t="s">
        <v>99</v>
      </c>
      <c r="C21" s="12"/>
      <c r="G21" s="13" t="str">
        <f aca="false">IF(C21="","Velg i nedtrekksmenyen.",IF(C21="Relasjonsmarkedsføring","Riktig. Langsiktig relasjon med en samarbeidspartner for å få mer ut av den samlede innsatsen; lykkes det, gir det synergi (1.2.5).","Ikke riktig. Langsiktig relasjon med en samarbeidspartner for å få mer ut av den samlede innsatsen; lykkes det, gir det synergi (1.2.5)."))</f>
        <v>Velg i nedtrekksmenyen.</v>
      </c>
      <c r="Z21" s="6" t="s">
        <v>81</v>
      </c>
    </row>
    <row r="22" customFormat="false" ht="39.75" hidden="false" customHeight="true" outlineLevel="0" collapsed="false">
      <c r="B22" s="11" t="s">
        <v>100</v>
      </c>
      <c r="C22" s="12"/>
      <c r="G22" s="13" t="str">
        <f aca="false">IF(C22="","Velg i nedtrekksmenyen.",IF(C22="Lov, etikk og miljø","Riktig. En påstand som ikke er dekket av tiltak, bryter med allment aksepterte etiske normer (1.2.5).","Ikke riktig. En påstand som ikke er dekket av tiltak, bryter med allment aksepterte etiske normer (1.2.5)."))</f>
        <v>Velg i nedtrekksmenyen.</v>
      </c>
      <c r="Z22" s="6" t="s">
        <v>83</v>
      </c>
    </row>
    <row r="23" customFormat="false" ht="15" hidden="false" customHeight="false" outlineLevel="0" collapsed="false">
      <c r="Z23" s="0" t="s">
        <v>85</v>
      </c>
    </row>
    <row r="24" customFormat="false" ht="15" hidden="false" customHeight="true" outlineLevel="0" collapsed="false">
      <c r="B24" s="10" t="s">
        <v>101</v>
      </c>
      <c r="C24" s="10"/>
      <c r="D24" s="10"/>
      <c r="E24" s="10"/>
      <c r="F24" s="10"/>
      <c r="G24" s="10"/>
      <c r="Z24" s="6" t="s">
        <v>86</v>
      </c>
    </row>
    <row r="25" customFormat="false" ht="39.75" hidden="false" customHeight="true" outlineLevel="0" collapsed="false">
      <c r="B25" s="11" t="s">
        <v>102</v>
      </c>
      <c r="C25" s="12"/>
      <c r="G25" s="13" t="str">
        <f aca="false">IF(C25="","Velg i nedtrekksmenyen.",IF(C25="Kjøpers marked","Riktig. Stor konkurranse: bedriftene må være lydhøre overfor kjøpernes ønsker (1.2).","Ikke riktig. Stor konkurranse: bedriftene må være lydhøre overfor kjøpernes ønsker (1.2)."))</f>
        <v>Velg i nedtrekksmenyen.</v>
      </c>
      <c r="Z25" s="6" t="s">
        <v>88</v>
      </c>
    </row>
    <row r="26" customFormat="false" ht="39.75" hidden="false" customHeight="true" outlineLevel="0" collapsed="false">
      <c r="B26" s="11" t="s">
        <v>103</v>
      </c>
      <c r="C26" s="12"/>
      <c r="G26" s="13" t="str">
        <f aca="false">IF(C26="","Velg i nedtrekksmenyen.",IF(C26="Selgers marked","Riktig. Liten konkurranse: bedriften tar først og fremst hensyn til egne interesser (1.2). Kunden husker det i august.","Ikke riktig. Liten konkurranse: bedriften tar først og fremst hensyn til egne interesser (1.2). Kunden husker det i august."))</f>
        <v>Velg i nedtrekksmenyen.</v>
      </c>
      <c r="Z26" s="6" t="s">
        <v>104</v>
      </c>
    </row>
    <row r="27" customFormat="false" ht="39.75" hidden="false" customHeight="true" outlineLevel="0" collapsed="false">
      <c r="B27" s="11" t="s">
        <v>105</v>
      </c>
      <c r="C27" s="12"/>
      <c r="G27" s="13" t="str">
        <f aca="false">IF(C27="","Velg i nedtrekksmenyen.",IF(C27="Loven er som regel bare en minimumsløsning; over den skal bedriften også tenke på det allmenne vel","Riktig. Lovgivningen representerer som regel bare minimumsløsninger; i handlingsrommet over må aktørene også tenke på det allmenne vel, ikke bare egen nytte (1.2.5.1). Lovlig er ikke det samme som bærekraftig.","Ikke riktig. Lovgivningen representerer som regel bare minimumsløsninger; i handlingsrommet over må aktørene også tenke på det allmenne vel, ikke bare egen nytte (1.2.5.1). Lovlig er ikke det samme som bærekraftig."))</f>
        <v>Velg i nedtrekksmenyen.</v>
      </c>
      <c r="Z27" s="6" t="s">
        <v>106</v>
      </c>
    </row>
    <row r="28" customFormat="false" ht="15" hidden="false" customHeight="false" outlineLevel="0" collapsed="false">
      <c r="Z28" s="0" t="s">
        <v>107</v>
      </c>
    </row>
    <row r="29" customFormat="false" ht="30" hidden="false" customHeight="true" outlineLevel="0" collapsed="false">
      <c r="B29" s="9" t="s">
        <v>108</v>
      </c>
      <c r="C29" s="9"/>
      <c r="D29" s="9"/>
      <c r="E29" s="9"/>
      <c r="F29" s="9"/>
      <c r="G29" s="9"/>
      <c r="Z29" s="6" t="s">
        <v>104</v>
      </c>
    </row>
    <row r="30" customFormat="false" ht="21.75" hidden="false" customHeight="true" outlineLevel="0" collapsed="false">
      <c r="B30" s="16"/>
      <c r="C30" s="16"/>
      <c r="D30" s="16"/>
      <c r="E30" s="16"/>
      <c r="F30" s="16"/>
      <c r="G30" s="16"/>
      <c r="Z30" s="6" t="s">
        <v>106</v>
      </c>
    </row>
    <row r="31" customFormat="false" ht="21.75" hidden="false" customHeight="true" outlineLevel="0" collapsed="false">
      <c r="B31" s="16"/>
      <c r="C31" s="16"/>
      <c r="D31" s="16"/>
      <c r="E31" s="16"/>
      <c r="F31" s="16"/>
      <c r="G31" s="16"/>
      <c r="Z31" s="6" t="s">
        <v>107</v>
      </c>
    </row>
    <row r="32" customFormat="false" ht="21.75" hidden="false" customHeight="true" outlineLevel="0" collapsed="false">
      <c r="B32" s="16"/>
      <c r="C32" s="16"/>
      <c r="D32" s="16"/>
      <c r="E32" s="16"/>
      <c r="F32" s="16"/>
      <c r="G32" s="16"/>
      <c r="Z32" s="6" t="s">
        <v>104</v>
      </c>
    </row>
    <row r="33" customFormat="false" ht="39.75" hidden="false" customHeight="true" outlineLevel="0" collapsed="false">
      <c r="B33" s="17" t="str">
        <f aca="false">IF(LEN(B30)&lt;40,"",IF(AND(ISNUMBER(SEARCH("4",B30)),ISNUMBER(SEARCH("styret",B30))),"Bra: du bygger på forslag 4 og spør styret. Gode spørsmål handler om fordeling av kostnad og strømregning, drift om fem år og trinnvis utbygging.",IF(OR(ISNUMBER(SEARCH("4",B30)),ISNUMBER(SEARCH("styret",B30))),"Du er på sporet. Si hvilket forslag du bygger på (det som starter hos kunden), og rett spørsmålene til styret, ikke til anlegget.","Tips: bygg på forslag 4, markedsorientering. Spør styret hvordan kostnaden og strømregningen fordeles mellom beboerne, hvem som drifter anlegget om fem år, og om det kan bygges ut trinnvis.")))</f>
        <v/>
      </c>
      <c r="C33" s="17"/>
      <c r="D33" s="17"/>
      <c r="E33" s="17"/>
      <c r="F33" s="17"/>
      <c r="G33" s="17"/>
      <c r="Z33" s="6" t="s">
        <v>106</v>
      </c>
    </row>
    <row r="34" customFormat="false" ht="15" hidden="false" customHeight="false" outlineLevel="0" collapsed="false">
      <c r="B34" s="18" t="s">
        <v>47</v>
      </c>
      <c r="C34" s="12"/>
      <c r="Z34" s="6" t="s">
        <v>107</v>
      </c>
    </row>
    <row r="35" customFormat="false" ht="60" hidden="false" customHeight="true" outlineLevel="0" collapsed="false">
      <c r="B35" s="19" t="str">
        <f aca="false">IF(C34="JA","Hint: Forslag 1 leter etter flere kjøpere til samme anlegg (salg). 2 tar for gitt at det beste produktet vinner (produkt). 3 handler om billig og volum (produksjon). 4 starter hos kunden (marked). 5 krever at de ansatte kan stå for løftet (helhetlig). Kravene: nettsiden mot montørene er ekstern og intern; Kystfiber er relasjon; slagordet er etikk og miljø.","")</f>
        <v/>
      </c>
      <c r="C35" s="19"/>
      <c r="D35" s="19"/>
      <c r="E35" s="19"/>
      <c r="F35" s="19"/>
      <c r="G35" s="19"/>
      <c r="Z35" s="6" t="s">
        <v>109</v>
      </c>
    </row>
    <row r="36" customFormat="false" ht="15" hidden="false" customHeight="false" outlineLevel="0" collapsed="false">
      <c r="Z36" s="0" t="s">
        <v>110</v>
      </c>
    </row>
    <row r="37" customFormat="false" ht="30" hidden="false" customHeight="true" outlineLevel="0" collapsed="false">
      <c r="B37" s="7" t="s">
        <v>48</v>
      </c>
      <c r="C37" s="7"/>
      <c r="D37" s="7"/>
      <c r="E37" s="7"/>
      <c r="F37" s="7"/>
      <c r="G37" s="7"/>
      <c r="Z37" s="6" t="s">
        <v>109</v>
      </c>
    </row>
    <row r="38" customFormat="false" ht="15" hidden="false" customHeight="false" outlineLevel="0" collapsed="false">
      <c r="Z38" s="0" t="s">
        <v>110</v>
      </c>
    </row>
    <row r="39" customFormat="false" ht="15" hidden="false" customHeight="false" outlineLevel="0" collapsed="false">
      <c r="Z39" s="0" t="s">
        <v>111</v>
      </c>
    </row>
    <row r="40" customFormat="false" ht="15" hidden="false" customHeight="false" outlineLevel="0" collapsed="false">
      <c r="Z40" s="0" t="s">
        <v>112</v>
      </c>
    </row>
    <row r="41" customFormat="false" ht="15" hidden="false" customHeight="false" outlineLevel="0" collapsed="false">
      <c r="Z41" s="0" t="s">
        <v>113</v>
      </c>
    </row>
  </sheetData>
  <mergeCells count="16">
    <mergeCell ref="B2:G2"/>
    <mergeCell ref="B3:G3"/>
    <mergeCell ref="B4:G4"/>
    <mergeCell ref="B5:G5"/>
    <mergeCell ref="B6:G6"/>
    <mergeCell ref="B7:G7"/>
    <mergeCell ref="B9:G9"/>
    <mergeCell ref="B10:G10"/>
    <mergeCell ref="B12:G12"/>
    <mergeCell ref="B19:G19"/>
    <mergeCell ref="B24:G24"/>
    <mergeCell ref="B29:G29"/>
    <mergeCell ref="B30:G32"/>
    <mergeCell ref="B33:G33"/>
    <mergeCell ref="B35:G35"/>
    <mergeCell ref="B37:G37"/>
  </mergeCells>
  <conditionalFormatting sqref="G13">
    <cfRule type="expression" priority="2" aboveAverage="0" equalAverage="0" bottom="0" percent="0" rank="0" text="" dxfId="0">
      <formula>LEFT(G13,6)="Riktig"</formula>
    </cfRule>
    <cfRule type="expression" priority="3" aboveAverage="0" equalAverage="0" bottom="0" percent="0" rank="0" text="" dxfId="1">
      <formula>LEFT(G13,4)="Ikke"</formula>
    </cfRule>
  </conditionalFormatting>
  <conditionalFormatting sqref="G14">
    <cfRule type="expression" priority="4" aboveAverage="0" equalAverage="0" bottom="0" percent="0" rank="0" text="" dxfId="0">
      <formula>LEFT(G14,6)="Riktig"</formula>
    </cfRule>
    <cfRule type="expression" priority="5" aboveAverage="0" equalAverage="0" bottom="0" percent="0" rank="0" text="" dxfId="1">
      <formula>LEFT(G14,4)="Ikke"</formula>
    </cfRule>
  </conditionalFormatting>
  <conditionalFormatting sqref="G15">
    <cfRule type="expression" priority="6" aboveAverage="0" equalAverage="0" bottom="0" percent="0" rank="0" text="" dxfId="0">
      <formula>LEFT(G15,6)="Riktig"</formula>
    </cfRule>
    <cfRule type="expression" priority="7" aboveAverage="0" equalAverage="0" bottom="0" percent="0" rank="0" text="" dxfId="1">
      <formula>LEFT(G15,4)="Ikke"</formula>
    </cfRule>
  </conditionalFormatting>
  <conditionalFormatting sqref="G16">
    <cfRule type="expression" priority="8" aboveAverage="0" equalAverage="0" bottom="0" percent="0" rank="0" text="" dxfId="0">
      <formula>LEFT(G16,6)="Riktig"</formula>
    </cfRule>
    <cfRule type="expression" priority="9" aboveAverage="0" equalAverage="0" bottom="0" percent="0" rank="0" text="" dxfId="1">
      <formula>LEFT(G16,4)="Ikke"</formula>
    </cfRule>
  </conditionalFormatting>
  <conditionalFormatting sqref="G17">
    <cfRule type="expression" priority="10" aboveAverage="0" equalAverage="0" bottom="0" percent="0" rank="0" text="" dxfId="0">
      <formula>LEFT(G17,6)="Riktig"</formula>
    </cfRule>
    <cfRule type="expression" priority="11" aboveAverage="0" equalAverage="0" bottom="0" percent="0" rank="0" text="" dxfId="1">
      <formula>LEFT(G17,4)="Ikke"</formula>
    </cfRule>
  </conditionalFormatting>
  <conditionalFormatting sqref="G20">
    <cfRule type="expression" priority="12" aboveAverage="0" equalAverage="0" bottom="0" percent="0" rank="0" text="" dxfId="0">
      <formula>LEFT(G20,6)="Riktig"</formula>
    </cfRule>
    <cfRule type="expression" priority="13" aboveAverage="0" equalAverage="0" bottom="0" percent="0" rank="0" text="" dxfId="1">
      <formula>LEFT(G20,4)="Ikke"</formula>
    </cfRule>
  </conditionalFormatting>
  <conditionalFormatting sqref="G21">
    <cfRule type="expression" priority="14" aboveAverage="0" equalAverage="0" bottom="0" percent="0" rank="0" text="" dxfId="0">
      <formula>LEFT(G21,6)="Riktig"</formula>
    </cfRule>
    <cfRule type="expression" priority="15" aboveAverage="0" equalAverage="0" bottom="0" percent="0" rank="0" text="" dxfId="1">
      <formula>LEFT(G21,4)="Ikke"</formula>
    </cfRule>
  </conditionalFormatting>
  <conditionalFormatting sqref="G22">
    <cfRule type="expression" priority="16" aboveAverage="0" equalAverage="0" bottom="0" percent="0" rank="0" text="" dxfId="0">
      <formula>LEFT(G22,6)="Riktig"</formula>
    </cfRule>
    <cfRule type="expression" priority="17" aboveAverage="0" equalAverage="0" bottom="0" percent="0" rank="0" text="" dxfId="1">
      <formula>LEFT(G22,4)="Ikke"</formula>
    </cfRule>
  </conditionalFormatting>
  <conditionalFormatting sqref="G25">
    <cfRule type="expression" priority="18" aboveAverage="0" equalAverage="0" bottom="0" percent="0" rank="0" text="" dxfId="0">
      <formula>LEFT(G25,6)="Riktig"</formula>
    </cfRule>
    <cfRule type="expression" priority="19" aboveAverage="0" equalAverage="0" bottom="0" percent="0" rank="0" text="" dxfId="1">
      <formula>LEFT(G25,4)="Ikke"</formula>
    </cfRule>
  </conditionalFormatting>
  <conditionalFormatting sqref="G26">
    <cfRule type="expression" priority="20" aboveAverage="0" equalAverage="0" bottom="0" percent="0" rank="0" text="" dxfId="0">
      <formula>LEFT(G26,6)="Riktig"</formula>
    </cfRule>
    <cfRule type="expression" priority="21" aboveAverage="0" equalAverage="0" bottom="0" percent="0" rank="0" text="" dxfId="1">
      <formula>LEFT(G26,4)="Ikke"</formula>
    </cfRule>
  </conditionalFormatting>
  <conditionalFormatting sqref="G27">
    <cfRule type="expression" priority="22" aboveAverage="0" equalAverage="0" bottom="0" percent="0" rank="0" text="" dxfId="0">
      <formula>LEFT(G27,6)="Riktig"</formula>
    </cfRule>
    <cfRule type="expression" priority="23" aboveAverage="0" equalAverage="0" bottom="0" percent="0" rank="0" text="" dxfId="1">
      <formula>LEFT(G27,4)="Ikke"</formula>
    </cfRule>
  </conditionalFormatting>
  <dataValidations count="12">
    <dataValidation allowBlank="true" errorStyle="stop" operator="between" showDropDown="false" showErrorMessage="false" showInputMessage="false" sqref="C13" type="list">
      <formula1>$Z$1:$Z$5</formula1>
      <formula2>0</formula2>
    </dataValidation>
    <dataValidation allowBlank="true" errorStyle="stop" operator="between" showDropDown="false" showErrorMessage="false" showInputMessage="false" sqref="C14" type="list">
      <formula1>$Z$6:$Z$10</formula1>
      <formula2>0</formula2>
    </dataValidation>
    <dataValidation allowBlank="true" errorStyle="stop" operator="between" showDropDown="false" showErrorMessage="false" showInputMessage="false" sqref="C15" type="list">
      <formula1>$Z$11:$Z$15</formula1>
      <formula2>0</formula2>
    </dataValidation>
    <dataValidation allowBlank="true" errorStyle="stop" operator="between" showDropDown="false" showErrorMessage="false" showInputMessage="false" sqref="C16" type="list">
      <formula1>$Z$16:$Z$20</formula1>
      <formula2>0</formula2>
    </dataValidation>
    <dataValidation allowBlank="true" errorStyle="stop" operator="between" showDropDown="false" showErrorMessage="false" showInputMessage="false" sqref="C17" type="list">
      <formula1>$Z$21:$Z$25</formula1>
      <formula2>0</formula2>
    </dataValidation>
    <dataValidation allowBlank="true" errorStyle="stop" operator="between" showDropDown="false" showErrorMessage="false" showInputMessage="false" sqref="C20" type="list">
      <formula1>$Z$26:$Z$28</formula1>
      <formula2>0</formula2>
    </dataValidation>
    <dataValidation allowBlank="true" errorStyle="stop" operator="between" showDropDown="false" showErrorMessage="false" showInputMessage="false" sqref="C21" type="list">
      <formula1>$Z$29:$Z$31</formula1>
      <formula2>0</formula2>
    </dataValidation>
    <dataValidation allowBlank="true" errorStyle="stop" operator="between" showDropDown="false" showErrorMessage="false" showInputMessage="false" sqref="C22" type="list">
      <formula1>$Z$32:$Z$34</formula1>
      <formula2>0</formula2>
    </dataValidation>
    <dataValidation allowBlank="true" errorStyle="stop" operator="between" showDropDown="false" showErrorMessage="false" showInputMessage="false" sqref="C25" type="list">
      <formula1>$Z$35:$Z$36</formula1>
      <formula2>0</formula2>
    </dataValidation>
    <dataValidation allowBlank="true" errorStyle="stop" operator="between" showDropDown="false" showErrorMessage="false" showInputMessage="false" sqref="C26" type="list">
      <formula1>$Z$37:$Z$38</formula1>
      <formula2>0</formula2>
    </dataValidation>
    <dataValidation allowBlank="true" errorStyle="stop" operator="between" showDropDown="false" showErrorMessage="false" showInputMessage="false" sqref="C27" type="list">
      <formula1>$Z$39:$Z$41</formula1>
      <formula2>0</formula2>
    </dataValidation>
    <dataValidation allowBlank="true" errorStyle="stop" operator="between" showDropDown="false" showErrorMessage="false" showInputMessage="false" sqref="C34"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26" t="s">
        <v>114</v>
      </c>
    </row>
    <row r="3" customFormat="false" ht="30" hidden="false" customHeight="true" outlineLevel="0" collapsed="false">
      <c r="B3" s="7" t="s">
        <v>115</v>
      </c>
      <c r="C3" s="7"/>
      <c r="D3" s="7"/>
    </row>
    <row r="5" customFormat="false" ht="15" hidden="false" customHeight="false" outlineLevel="0" collapsed="false">
      <c r="B5" s="27" t="s">
        <v>116</v>
      </c>
      <c r="C5" s="27" t="s">
        <v>117</v>
      </c>
      <c r="D5" s="27" t="s">
        <v>118</v>
      </c>
    </row>
    <row r="6" customFormat="false" ht="60" hidden="false" customHeight="true" outlineLevel="0" collapsed="false">
      <c r="B6" s="28" t="s">
        <v>119</v>
      </c>
      <c r="C6" s="24"/>
      <c r="D6" s="28" t="s">
        <v>120</v>
      </c>
    </row>
    <row r="7" customFormat="false" ht="30" hidden="false" customHeight="true" outlineLevel="0" collapsed="false">
      <c r="B7" s="28" t="s">
        <v>121</v>
      </c>
      <c r="C7" s="24"/>
      <c r="D7" s="28" t="s">
        <v>122</v>
      </c>
    </row>
    <row r="8" customFormat="false" ht="30" hidden="false" customHeight="true" outlineLevel="0" collapsed="false">
      <c r="B8" s="28" t="s">
        <v>123</v>
      </c>
      <c r="C8" s="24" t="n">
        <v>736</v>
      </c>
      <c r="D8" s="28" t="s">
        <v>124</v>
      </c>
    </row>
    <row r="9" customFormat="false" ht="30" hidden="false" customHeight="true" outlineLevel="0" collapsed="false">
      <c r="B9" s="28" t="s">
        <v>125</v>
      </c>
      <c r="C9" s="24" t="n">
        <v>10304000</v>
      </c>
      <c r="D9" s="28" t="s">
        <v>126</v>
      </c>
    </row>
    <row r="10" customFormat="false" ht="60" hidden="false" customHeight="true" outlineLevel="0" collapsed="false">
      <c r="B10" s="28" t="s">
        <v>127</v>
      </c>
      <c r="C10" s="24"/>
      <c r="D10" s="28" t="s">
        <v>128</v>
      </c>
    </row>
    <row r="11" customFormat="false" ht="45" hidden="false" customHeight="true" outlineLevel="0" collapsed="false">
      <c r="B11" s="28" t="s">
        <v>129</v>
      </c>
      <c r="C11" s="24"/>
      <c r="D11" s="28" t="s">
        <v>130</v>
      </c>
    </row>
    <row r="12" customFormat="false" ht="30" hidden="false" customHeight="true" outlineLevel="0" collapsed="false">
      <c r="B12" s="28" t="s">
        <v>131</v>
      </c>
      <c r="C12" s="24" t="n">
        <v>16550000</v>
      </c>
      <c r="D12" s="28" t="s">
        <v>132</v>
      </c>
    </row>
    <row r="13" customFormat="false" ht="30" hidden="false" customHeight="true" outlineLevel="0" collapsed="false">
      <c r="B13" s="28" t="s">
        <v>133</v>
      </c>
      <c r="C13" s="24" t="n">
        <v>74</v>
      </c>
      <c r="D13" s="28" t="s">
        <v>134</v>
      </c>
    </row>
    <row r="14" customFormat="false" ht="30" hidden="false" customHeight="true" outlineLevel="0" collapsed="false">
      <c r="B14" s="28" t="s">
        <v>135</v>
      </c>
      <c r="C14" s="24" t="n">
        <v>47</v>
      </c>
      <c r="D14" s="28" t="s">
        <v>136</v>
      </c>
    </row>
    <row r="15" customFormat="false" ht="90" hidden="false" customHeight="true" outlineLevel="0" collapsed="false">
      <c r="B15" s="28" t="s">
        <v>137</v>
      </c>
      <c r="C15" s="24"/>
      <c r="D15" s="28" t="s">
        <v>138</v>
      </c>
    </row>
    <row r="16" customFormat="false" ht="30" hidden="false" customHeight="true" outlineLevel="0" collapsed="false">
      <c r="B16" s="28" t="s">
        <v>139</v>
      </c>
      <c r="C16" s="24"/>
      <c r="D16" s="28" t="s">
        <v>140</v>
      </c>
    </row>
    <row r="17" customFormat="false" ht="30" hidden="false" customHeight="true" outlineLevel="0" collapsed="false">
      <c r="B17" s="28" t="s">
        <v>141</v>
      </c>
      <c r="C17" s="24"/>
      <c r="D17" s="28" t="s">
        <v>142</v>
      </c>
    </row>
    <row r="18" customFormat="false" ht="30" hidden="false" customHeight="true" outlineLevel="0" collapsed="false">
      <c r="B18" s="28" t="s">
        <v>143</v>
      </c>
      <c r="C18" s="24"/>
      <c r="D18" s="28" t="s">
        <v>144</v>
      </c>
    </row>
    <row r="19" customFormat="false" ht="45" hidden="false" customHeight="true" outlineLevel="0" collapsed="false">
      <c r="B19" s="28" t="s">
        <v>145</v>
      </c>
      <c r="C19" s="24"/>
      <c r="D19" s="28" t="s">
        <v>146</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2026-10-22T17:51:29Z</dcterms:created>
  <dc:creator>openpyxl</dc:creator>
  <dc:description/>
  <dc:language>en-US</dc:language>
  <cp:lastModifiedBy/>
  <dcterms:modified xsi:type="dcterms:W3CDTF">2026-10-22T17:51:29Z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