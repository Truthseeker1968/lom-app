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<sst xmlns="http://schemas.openxmlformats.org/spreadsheetml/2006/main" count="177" uniqueCount="153">
  <si>
    <t xml:space="preserve">Klasseoppgaver til Markedsføring kapittel 1: Hva er markedsføring?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</si>
  <si>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</si>
  <si>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</si>
  <si>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</si>
  <si>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</si>
  <si>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</si>
  <si>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</si>
  <si>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</si>
  <si>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</si>
  <si>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en mandag: seks forespørsler, fem hovedmarkeder (Nordlys)</t>
  </si>
  <si>
    <t xml:space="preserve">A2</t>
  </si>
  <si>
    <t xml:space="preserve">Fjell Elektro: er markedsføringen de 40 000 kronene? (Fjell Elektro)</t>
  </si>
  <si>
    <t xml:space="preserve">B1</t>
  </si>
  <si>
    <t xml:space="preserve">Nordlys: hvorfor taper Ida borettslagene? (Nordlys)</t>
  </si>
  <si>
    <t xml:space="preserve">B2</t>
  </si>
  <si>
    <t xml:space="preserve">Fjell Elektro: relasjoner, løfter og bærekraft (Fjell Elektro)</t>
  </si>
  <si>
    <t xml:space="preserve">Læreboka</t>
  </si>
  <si>
    <t xml:space="preserve">Hjertnes, F.: Markedsføring, organisasjon og ledelse for LØM-emnet, kapittel 1.</t>
  </si>
  <si>
    <t xml:space="preserve">Appen</t>
  </si>
  <si>
    <t xml:space="preserve">Markedsføring kap. 1 → Øv → Klasseoppgaver gir fasit per deloppgave.</t>
  </si>
  <si>
    <t xml:space="preserve">A1 · Nordlys en mandag: seks forespørsler, fem hovedmarkeder</t>
  </si>
  <si>
    <t xml:space="preserve">25 minutter · Helst alene. Sammen med sidemannen eller flere hvis du vil. Ark og blyant, appen (PC eller mobil) eller læreboka.</t>
  </si>
  <si>
    <t xml:space="preserve">Kort oppsummert: Markedsføring er alle de aktivitetene bedriften utfører for å avdekke og imøtekomme markedets ønsker og behov for varer og tjenester på en lønnsom måte. Boka deler økonomien i fem hovedmarkeder: bedriftsmarkedet, mellomhandlermarkedet, det offentlige markedet, organisasjonsmarkedet og forbrukermarkedet. Bedriftsmarkedet og mellomhandlermarkedet er de profesjonelle markedene. Det er hva kunden er og hvorfor den kjøper som avgjør hovedmarkedet, ikke hvem som eier den.</t>
  </si>
  <si>
    <t xml:space="preserve">Det er mandag morgen hos Nordlys. Ida (kalkulatør) har seks forespørsler på bordet og tid til å regne på to av dem denne uken. Kari (daglig leder) sier på morgenmøtet: «Vi trenger ikke markedsføring, vi har nok å gjøre.» Forespørslene står i tabellen. Gå fram slik: spør for hver kunde hvem som kjøper og hvorfor (til eget bruk, i næring, for å selge videre, som offentlig forvaltning eller som frivillig organisasjon). Plasser kunden i hovedmarkedet. Svar så Kari med bokas definisjon.</t>
  </si>
  <si>
    <t xml:space="preserve">Forespørsel</t>
  </si>
  <si>
    <t xml:space="preserve">Hvem kjøper, og til hva</t>
  </si>
  <si>
    <t xml:space="preserve">1 Huseier</t>
  </si>
  <si>
    <t xml:space="preserve">Ladepunkt i egen garasje, til eget bruk</t>
  </si>
  <si>
    <t xml:space="preserve">2 Kystfiber Entreprenør AS</t>
  </si>
  <si>
    <t xml:space="preserve">Elektro i et næringsbygg de bygger for en kunde</t>
  </si>
  <si>
    <t xml:space="preserve">3 Kommunen</t>
  </si>
  <si>
    <t xml:space="preserve">Elektro på ny skole, lyst ut som anbud</t>
  </si>
  <si>
    <t xml:space="preserve">4 Idrettslaget</t>
  </si>
  <si>
    <t xml:space="preserve">Lys på kunstgressbanen, betalt av laget</t>
  </si>
  <si>
    <t xml:space="preserve">5 Byggvarehus (detaljist)</t>
  </si>
  <si>
    <t xml:space="preserve">Kjøper montering, selger den videre i pakke</t>
  </si>
  <si>
    <t xml:space="preserve">6 Fjellkraft Nett AS</t>
  </si>
  <si>
    <t xml:space="preserve">Kommuneeid AS: målerbytte etter rammeavtale</t>
  </si>
  <si>
    <t xml:space="preserve">Gule celler med spørsmålstegn kan du fylle inn selv mens du regner.</t>
  </si>
  <si>
    <t xml:space="preserve">Deloppgave</t>
  </si>
  <si>
    <t xml:space="preserve">Ditt svar</t>
  </si>
  <si>
    <t xml:space="preserve">Sjekk</t>
  </si>
  <si>
    <t xml:space="preserve">a)  Hvilke av forespørsel 1–5 hører til de profesjonelle markedene? Svar ja eller nei for hver, og begrunn med hvem som kjøper og hvorfor.</t>
  </si>
  <si>
    <t xml:space="preserve">      1 Huseier, ladepunkt   (Ja eller Nei)</t>
  </si>
  <si>
    <t xml:space="preserve">      2 Kystfiber Entreprenør AS   (Ja eller Nei)</t>
  </si>
  <si>
    <t xml:space="preserve">      3 Kommunen, skoleanbud   (Ja eller Nei)</t>
  </si>
  <si>
    <t xml:space="preserve">      4 Idrettslaget   (Ja eller Nei)</t>
  </si>
  <si>
    <t xml:space="preserve">      5 Byggvarehus   (Ja eller Nei)</t>
  </si>
  <si>
    <t xml:space="preserve">b)  Byggvarehuset kjøper montering av ladepunkt fra Nordlys og selger den videre til sine kunder som en pakke. Hvilket hovedmarked hører byggvarehuset til?   A: Forbrukermarkedet, fordi sluttkunden er en huseier   B: Mellomhandlermarkedet, fordi det kjøper for å selge videre   C: Bedriftsmarkedet, fordi det bruker monteringen selv   (skriv bokstaven)</t>
  </si>
  <si>
    <t xml:space="preserve">c)  Kari sier: «Markedet for ladepunkt i området vårt er 10,3 millioner kroner i året.» Hvilken av bokas tre betydninger av marked bruker hun?   A: Det totale antallet kjøpere   B: Den samlede omsetningen i løpet av et år   C: Det samlede tilbudet på et bestemt tidspunkt   (skriv bokstaven)</t>
  </si>
  <si>
    <t xml:space="preserve">d)  Fjellkraft Nett AS er et aksjeselskap eid av kommunen. Hvilket hovedmarked hører det til?   A: Det offentlige markedet, fordi kommunen eier selskapet   B: Bedriftsmarkedet, fordi det er offentlig næringsvirksomhet   C: Organisasjonsmarkedet, fordi innbyggerne er eiere   (skriv bokstaven)</t>
  </si>
  <si>
    <t xml:space="preserve">e)  Kari sier: «Vi trenger ikke markedsføring, vi har nok å gjøre.» Svar henne i to setninger: én med bokas definisjon, og én med et konkret eksempel fra de seks forespørslene.</t>
  </si>
  <si>
    <t xml:space="preserve">Formel og begrep</t>
  </si>
  <si>
    <t xml:space="preserve">Definisjonen av markedsføring, med lønnsomhet som endelig mål (kap. 1, innledningen). Markedsføringsledelse er det overordnede ansvaret for planlegging, iverksetting og evaluering (innledningen).</t>
  </si>
  <si>
    <t xml:space="preserve">Hint, hvis du står fast</t>
  </si>
  <si>
    <t xml:space="preserve">Hvem kjøper, og hvorfor?</t>
  </si>
  <si>
    <t xml:space="preserve">Spør for hver kunde: kjøper de til eget bruk, i næring, for å selge videre, som offentlig forvaltning eller som frivillig organisasjon? Det avgjør hovedmarkedet (slide 10).</t>
  </si>
  <si>
    <t xml:space="preserve">Virksomheten, ikke eieren</t>
  </si>
  <si>
    <t xml:space="preserve">Boka plasserer offentlig næringsdrift, også selskaper kommunen eier, i bedriftsmarkedet. Det offentlige markedet er forvaltningen (slide 10).</t>
  </si>
  <si>
    <t xml:space="preserve">Kilde: Hjertnes, F.: Markedsføring, organisasjon og ledelse for LØM-emnet, kap. 1, innledningen, 1.1 og 1.4.1–1.4.5. Nordlys Elektro AS er en konstruert casebedrift.</t>
  </si>
  <si>
    <t xml:space="preserve">Regnearket er øvingsstøtte. Det kan ikke siteres eller vises til i besvarelser, prosjektoppgaver eller eksamen; der gjelder læreboka og oppgitte primærkilder.</t>
  </si>
  <si>
    <t xml:space="preserve">A2 · Fjell Elektro: er markedsføringen de 40 000 kronene?</t>
  </si>
  <si>
    <t xml:space="preserve">Kort oppsummert: Reklame er bare én del av markedsføringen. Boka regner også produktutvikling, emballasje, frakt og distribusjon, veiledende pris og kampanjepris som markedsføring. Kapittel 3.5 samler virkemidlene i de fem P-ene: produkt, pris, plass, påvirkning og personal. Markedsføringsledelse er det overordnede ansvaret for å planlegge, iverksette og evaluere markedsarbeidet; i små bedrifter ligger det hos daglig leder.</t>
  </si>
  <si>
    <t xml:space="preserve">Fjell Elektro AS har startet: Mona Fjell er daglig leder og faglig ansvarlig, og har to montører. I budsjettet står 40 000 kr til markedsføring under andre driftskostnader, og Mona har tenkt å bruke dem på annonser i lokalavisa og i sosiale medier. «Da er markedsføringen ordnet», sier hun. Bedriften har ingen rammeavtaler ennå og 3 500 fakturerbare timer i året. Gå fram slik: plasser kundene i hovedmarked, finn hvilken P et tiltak hører til, og vurder Monas påstand mot bokas definisjon.</t>
  </si>
  <si>
    <t xml:space="preserve">Forutsetning</t>
  </si>
  <si>
    <t xml:space="preserve">Verdi</t>
  </si>
  <si>
    <t xml:space="preserve">Folk</t>
  </si>
  <si>
    <t xml:space="preserve">Mona (daglig leder, faglig ansvarlig) og to montører</t>
  </si>
  <si>
    <t xml:space="preserve">Marked</t>
  </si>
  <si>
    <t xml:space="preserve">Bolig, service og små næringskunder i Oslo øst</t>
  </si>
  <si>
    <t xml:space="preserve">Rammeavtaler</t>
  </si>
  <si>
    <t xml:space="preserve">Ingen ennå</t>
  </si>
  <si>
    <t xml:space="preserve">Markedsføring i budsjettet</t>
  </si>
  <si>
    <t xml:space="preserve">40 000 kr til annonser i lokalavis og sosiale medier</t>
  </si>
  <si>
    <t xml:space="preserve">Timepris</t>
  </si>
  <si>
    <t xml:space="preserve">890 kr per time uten merverdiavgift</t>
  </si>
  <si>
    <t xml:space="preserve">Kapasitet</t>
  </si>
  <si>
    <t xml:space="preserve">3 500 fakturerbare timer i året</t>
  </si>
  <si>
    <t xml:space="preserve">a)  Fem kunder har ringt Fjell første måned. Hvilke av dem hører til forbrukermarkedet? Svar ja eller nei for hver, og si hvilket hovedmarked de andre hører til.</t>
  </si>
  <si>
    <t xml:space="preserve">      Familie i enebolig, nytt sikringsskap   (Ja eller Nei)</t>
  </si>
  <si>
    <t xml:space="preserve">      Frisørsalong, ny belysning i salongen   (Ja eller Nei)</t>
  </si>
  <si>
    <t xml:space="preserve">      Pensjonist i leilighet, flere stikkontakter   (Ja eller Nei)</t>
  </si>
  <si>
    <t xml:space="preserve">      Kommunal barnehage, utelys   (Ja eller Nei)</t>
  </si>
  <si>
    <t xml:space="preserve">      Skolekorpset, lys i øvingslokalet   (Ja eller Nei)</t>
  </si>
  <si>
    <t xml:space="preserve">b)  Fjell lager en fast pakke for boligkunder: nytt sikringsskap med jordfeilvern og samsvarserklæring. Hvilken av de fem P-ene er det først og fremst?   A: Produkt   B: Plass (distribusjon)   C: Personal   (skriv bokstaven)</t>
  </si>
  <si>
    <t xml:space="preserve">c)  Hvem har markedsføringsledelsen, altså det overordnede ansvaret for å planlegge, iverksette og evaluere markedsarbeidet, i Fjell Elektro?   A: Ingen: bedriften er for liten til det   B: Mona, som daglig leder   C: Regnskapsføreren, som fører de 40 000 kronene   (skriv bokstaven)</t>
  </si>
  <si>
    <t xml:space="preserve">d)  Mona sier: «Markedsføringen vår er de 40 000 kronene til annonser.» Hva sier boka om det?   A: Det stemmer: markedsføring er reklame og annonser   B: Annonsene er bare én del: også pakker, pris og hvordan montøren møter kunden er markedsføring   C: Markedsføring gjelder først når bedriften har en markedssjef   (skriv bokstaven)</t>
  </si>
  <si>
    <t xml:space="preserve">e)  Fjell har 3 500 fakturerbare timer og ingen rammeavtaler. Bør Mona satse først på boligkunder (forbrukermarkedet) eller små næringskunder (bedriftsmarkedet)? Begrunn, og si hva tilbudet da må ha med.</t>
  </si>
  <si>
    <t xml:space="preserve">Forbrukere er amatører og mer styrt av følelser; bedriftene kjøper mer rasjonelt (Markedsføring 1.4.5 og 1.4.1). Markedsføringsledelse er Monas ansvar (innledningen).</t>
  </si>
  <si>
    <t xml:space="preserve">Hvem kjøper til eget bruk?</t>
  </si>
  <si>
    <t xml:space="preserve">Forbrukermarkedet er enkeltpersoner og husholdninger som kjøper til eget konsum. Bedrifter, kommunen og foreninger hører til andre hovedmarkeder (slide 10).</t>
  </si>
  <si>
    <t xml:space="preserve">Fem P-er, ikke én</t>
  </si>
  <si>
    <t xml:space="preserve">Annonser er påvirkning. Produkt, pris, plass og personal er også markedsføring (slide 7). Og noen må eie oppgaven, også med tre ansatte (slide 8).</t>
  </si>
  <si>
    <t xml:space="preserve">Kilde: Hjertnes, F.: Markedsføring, organisasjon og ledelse for LØM-emnet, kap. 1, innledningen og 1.4; de fem P-ene i kap. 3.5. Fjell Elektro AS er en konstruert casebedrift.</t>
  </si>
  <si>
    <t xml:space="preserve">B1 · Nordlys: hvorfor taper Ida borettslagene?</t>
  </si>
  <si>
    <t xml:space="preserve">Kort oppsummert: Boka beskriver fem grunnholdninger til markedet: produksjonsorientering (billig og lett tilgjengelig), produktorientering (et overlegent produkt), salgsorientering (selge mer til flere), markedsorientering (de rette produktene til kjøperne) og helhetlig markedsorientering (markedsorientering pluss intern markedsføring, relasjoner og samfunnsansvar). Skillet som må sitte: salgsorientering finner kjøpere til bedriftens produkter, markedsorientering finner de rette produktene til kjøperne.</t>
  </si>
  <si>
    <t xml:space="preserve">I fjor leverte Ida tre anbud på ladeanlegg til borettslag og vant ingen, selv om Nordlys' anlegg ble vurdert som teknisk best alle tre gangene. Det er 22 borettslag i nedslagsfeltet. På mandagsmøtet kommer fem forslag til hva Nordlys skal gjøre. Gå fram slik: spør for hvert forslag om det starter med det Nordlys har (anlegget, prisen, volumet) eller med det kunden trenger. Sett så navn på grunnholdningen.</t>
  </si>
  <si>
    <t xml:space="preserve">Hvem</t>
  </si>
  <si>
    <t xml:space="preserve">Forslaget på mandagsmøtet</t>
  </si>
  <si>
    <t xml:space="preserve">1 Ida, kalkulatør</t>
  </si>
  <si>
    <t xml:space="preserve">«Vi sender tilbud til alle 22 borettslagene.»</t>
  </si>
  <si>
    <t xml:space="preserve">2 Ronny, formann</t>
  </si>
  <si>
    <t xml:space="preserve">«Anlegget vårt er best. Det selger seg selv.»</t>
  </si>
  <si>
    <t xml:space="preserve">3 Tom, driftsleder</t>
  </si>
  <si>
    <t xml:space="preserve">«Kjøp 60 ladebokser og ta lavest pris i byen.»</t>
  </si>
  <si>
    <t xml:space="preserve">4 Kari, daglig leder</t>
  </si>
  <si>
    <t xml:space="preserve">«Spør styrene hva de er usikre på, først.»</t>
  </si>
  <si>
    <t xml:space="preserve">5 Kari, daglig leder</t>
  </si>
  <si>
    <t xml:space="preserve">«Montørene må kunne stå for det vi lover.»</t>
  </si>
  <si>
    <t xml:space="preserve">Fakta</t>
  </si>
  <si>
    <t xml:space="preserve">3 anbud i fjor, 0 vunnet, teknisk best alle</t>
  </si>
  <si>
    <t xml:space="preserve">a)  Hvilke av de fem forslagene starter hos kunden, og ikke hos det Nordlys allerede har? Svar ja eller nei for hver.</t>
  </si>
  <si>
    <t xml:space="preserve">      1 Tilbud til alle 22   (Ja eller Nei)</t>
  </si>
  <si>
    <t xml:space="preserve">      2 Anlegget selger seg selv   (Ja eller Nei)</t>
  </si>
  <si>
    <t xml:space="preserve">      3 Kjøp 60 bokser, lavest pris   (Ja eller Nei)</t>
  </si>
  <si>
    <t xml:space="preserve">      4 Spør styrene først   (Ja eller Nei)</t>
  </si>
  <si>
    <t xml:space="preserve">      5 Montørene må stå for løftet   (Ja eller Nei)</t>
  </si>
  <si>
    <t xml:space="preserve">b)  Hvilken grunnholdning ligger bak Idas forslag om å sende tilbud til alle 22 borettslagene?   A: Produktorientering   B: Salgsorientering   C: Markedsorientering   (skriv bokstaven)</t>
  </si>
  <si>
    <t xml:space="preserve">c)  Hvilken grunnholdning ligger bak Toms forslag om å kjøpe inn 60 ladebokser på en gang og ta den laveste prisen i byen?   A: Produksjonsorientering   B: Produktorientering   C: Salgsorientering   (skriv bokstaven)</t>
  </si>
  <si>
    <t xml:space="preserve">d)  Ronny sier: «Blir vi markedsorienterte, betyr ikke kvaliteten på anlegget noe lenger.» Stemmer det?   A: Ja: markedsorientering handler om å selge, ikke om kvalitet   B: Nei: anlegget må fortsatt være godt, men tilbudet bygges på det kunden trenger   C: Ja: produktorientering er alltid feil   (skriv bokstaven)</t>
  </si>
  <si>
    <t xml:space="preserve">e)  Skriv tre ting Ida bør spørre et borettslagsstyre om før hun skriver neste tilbud, og si hvilket av forslagene (1–5) du bygger på.</t>
  </si>
  <si>
    <t xml:space="preserve">Markedsorientering (1.2.4). Relasjonsmarkedsføring og intern markedsføring i helhetlig markedsorientering (1.2.5).</t>
  </si>
  <si>
    <t xml:space="preserve">Hvor starter forslaget?</t>
  </si>
  <si>
    <t xml:space="preserve">Starter det med det Nordlys har (anlegget, prisen, volumet), eller med det kunden trenger? Det er skillet mellom trinn 3 og 4 i trappa (slide 26–27).</t>
  </si>
  <si>
    <t xml:space="preserve">Fem stikkord</t>
  </si>
  <si>
    <t xml:space="preserve">Billig og effektivt: produksjon. Best mulig produkt: produkt. Mer volum, flere kjøpere: salg. Kundens behov: marked. Ansatte, relasjoner og samfunn i tillegg: helhetlig.</t>
  </si>
  <si>
    <t xml:space="preserve">Kilde: Hjertnes, F.: Markedsføring, organisasjon og ledelse for LØM-emnet, kap. 1, 1.2 og 1.2.1–1.2.5. Nordlys Elektro AS er en konstruert casebedrift.</t>
  </si>
  <si>
    <t xml:space="preserve">B2 · Fjell Elektro: relasjoner, løfter og bærekraft</t>
  </si>
  <si>
    <t xml:space="preserve">Kort oppsummert: Helhetlig markedsorientering stiller tre krav samtidig: den eksterne markedsføringen må henge sammen med den interne (de ansatte skal kjenne seg igjen), bedriften bygger langsiktige relasjoner som gir synergieffekter, og markedsføringen skjer innenfor lovens grenser, etter allment aksepterte etiske normer og med miljøhensyn. Lovgivningen er som regel bare en minimumsløsning; i handlingsrommet over den skal bedriften også tenke på det allmenne vel.</t>
  </si>
  <si>
    <t xml:space="preserve">Fjell Elektro har gått et halvt år. Et rørleggerfirma i Oslo øst foreslår at de to gir kundene ett felles tilbud på baderom, el og rør sammen. På nettsiden har Mona skrevet «svar samme dag», men montørene har ikke hørt om det. Fjell sorterer kabelavfall og returnerer emballasjen til grossisten, og kjører to servicebiler på leasing. Nå vil Mona skrive «Bærekraftig elektro i Oslo øst» på bilene. Gå fram slik: finn hvilket av de tre kravene i helhetlig markedsorientering hver sak handler om, og prøv slagordet mot det boka sier om bærekraft.</t>
  </si>
  <si>
    <t xml:space="preserve">Samarbeid</t>
  </si>
  <si>
    <t xml:space="preserve">Rørlegger i Oslo øst: ett felles tilbud på bad</t>
  </si>
  <si>
    <t xml:space="preserve">Leverandør</t>
  </si>
  <si>
    <t xml:space="preserve">Grossisten gir 30 dagers kreditt</t>
  </si>
  <si>
    <t xml:space="preserve">Løfte på nettsiden</t>
  </si>
  <si>
    <t xml:space="preserve">«Svar samme dag» (montørene vet ikke om det)</t>
  </si>
  <si>
    <t xml:space="preserve">Miljøtiltak i dag</t>
  </si>
  <si>
    <t xml:space="preserve">Sorterer kabelavfall, returnerer emballasje</t>
  </si>
  <si>
    <t xml:space="preserve">Biler</t>
  </si>
  <si>
    <t xml:space="preserve">To servicebiler på leasing</t>
  </si>
  <si>
    <t xml:space="preserve">Ønsket slagord</t>
  </si>
  <si>
    <t xml:space="preserve">«Bærekraftig elektro i Oslo øst»</t>
  </si>
  <si>
    <t xml:space="preserve">a)  Fjell og rørleggerfirmaet gir kundene ett felles tilbud på baderom. Hva kaller boka denne måten å jobbe på?   A: Intern markedsføring   B: Relasjonsmarkedsføring   C: Salgsorientering   (skriv bokstaven)</t>
  </si>
  <si>
    <t xml:space="preserve">b)  Nettsiden lover «svar samme dag», men montørene har ikke hørt om det. Hvilket krav i helhetlig markedsorientering brytes?   A: Sammenhengen mellom ekstern og intern markedsføring   B: Kravet om selgers marked   C: Kravet om lave enhetskostnader   (skriv bokstaven)</t>
  </si>
  <si>
    <t xml:space="preserve">c)  Boka sier at vellykket relasjonsmarkedsføring gir synergieffekter. Hva er synergieffekten i baderomssamarbeidet?   A: Begge kan ta lavere timepris   B: Samlet, koordinert innsats gir mer enn hver for seg: kunden får ett tilbud på hele badet   C: Rørleggeren overtar Fjells kunder   (skriv bokstaven)</t>
  </si>
  <si>
    <t xml:space="preserve">d)  Mona sier: «Vi følger loven, så vi kan kalle oss bærekraftige.» Hva sier boka?   A: Riktig: loven bestemmer hva som er bærekraftig   B: Loven er som regel bare en minimumsløsning; over den skal bedriften også tenke på det allmenne vel   C: Bærekraft gjelder bare store selskaper og oljefondet   (skriv bokstaven)</t>
  </si>
  <si>
    <t xml:space="preserve">e)  Kan slagordet «Bærekraftig elektro i Oslo øst» stå? Begrunn, og skriv én setning Mona kan bruke i stedet, som er dekket av det Fjell faktisk gjør.</t>
  </si>
  <si>
    <t xml:space="preserve">Helhetlig markedsorientering: etiske normer og miljøhensyn (1.2.5). Bærekraftig utvikling og lov som minimum (1.2.5.1).</t>
  </si>
  <si>
    <t xml:space="preserve">Tre krav samtidig</t>
  </si>
  <si>
    <t xml:space="preserve">Det som loves eksternt, må stemme internt. Relasjoner bygges over tid og gir synergi. Alt skjer innenfor lov, etikk og miljøhensyn (slide 28).</t>
  </si>
  <si>
    <t xml:space="preserve">Loven er gulvet</t>
  </si>
  <si>
    <t xml:space="preserve">Lovgivningen er som regel bare minimumsløsninger. Spør: hvilket av Fjells tiltak gjelder det Fjell selger og kjøringen, ikke bare avfallet (slide 29)?</t>
  </si>
  <si>
    <t xml:space="preserve">Kilde: Hjertnes, F.: Markedsføring, organisasjon og ledelse for LØM-emnet, kap. 1, 1.2.5 og 1.2.5.1. Fjell Elektro AS er en konstruert casebedrift.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</si>
</sst>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78.75" hidden="false" customHeight="true" outlineLevel="0" collapsed="false">
      <c r="A5" s="7" t="s">
        <v>23</v>
      </c>
      <c r="B5" s="7"/>
      <c r="C5" s="7"/>
      <c r="D5" s="7"/>
      <c r="E5" s="7"/>
      <c r="F5" s="7"/>
      <c r="G5" s="7"/>
    </row>
    <row r="7" customFormat="false" ht="26.85" hidden="false" customHeight="false" outlineLevel="0" collapsed="false">
      <c r="A7" s="8" t="s">
        <v>24</v>
      </c>
      <c r="B7" s="9" t="s">
        <v>25</v>
      </c>
    </row>
    <row r="8" customFormat="false" ht="39.55" hidden="false" customHeight="false" outlineLevel="0" collapsed="false">
      <c r="A8" s="10" t="s">
        <v>26</v>
      </c>
      <c r="B8" s="11" t="s">
        <v>27</v>
      </c>
    </row>
    <row r="9" customFormat="false" ht="52.2" hidden="false" customHeight="false" outlineLevel="0" collapsed="false">
      <c r="A9" s="12" t="s">
        <v>28</v>
      </c>
      <c r="B9" s="13" t="s">
        <v>29</v>
      </c>
    </row>
    <row r="10" customFormat="false" ht="39.55" hidden="false" customHeight="false" outlineLevel="0" collapsed="false">
      <c r="A10" s="10" t="s">
        <v>30</v>
      </c>
      <c r="B10" s="11" t="s">
        <v>31</v>
      </c>
    </row>
    <row r="11" customFormat="false" ht="39.55" hidden="false" customHeight="false" outlineLevel="0" collapsed="false">
      <c r="A11" s="12" t="s">
        <v>32</v>
      </c>
      <c r="B11" s="13" t="s">
        <v>33</v>
      </c>
    </row>
    <row r="12" customFormat="false" ht="52.2" hidden="false" customHeight="false" outlineLevel="0" collapsed="false">
      <c r="A12" s="10" t="s">
        <v>34</v>
      </c>
      <c r="B12" s="11" t="s">
        <v>35</v>
      </c>
    </row>
    <row r="13" customFormat="false" ht="52.2" hidden="false" customHeight="false" outlineLevel="0" collapsed="false">
      <c r="A13" s="12" t="s">
        <v>36</v>
      </c>
      <c r="B13" s="13" t="s">
        <v>37</v>
      </c>
    </row>
    <row r="14" customFormat="false" ht="15" hidden="false" customHeight="true" outlineLevel="0" collapsed="false">
      <c r="A14" s="6" t="s">
        <v>38</v>
      </c>
      <c r="B14" s="6"/>
      <c r="C14" s="6"/>
      <c r="D14" s="6"/>
      <c r="E14" s="6"/>
      <c r="F14" s="6"/>
      <c r="G14" s="6"/>
    </row>
    <row r="16" customFormat="false" ht="15" hidden="false" customHeight="false" outlineLevel="0" collapsed="false">
      <c r="A16" s="14" t="s">
        <v>39</v>
      </c>
      <c r="B16" s="14"/>
      <c r="C16" s="14"/>
      <c r="D16" s="14"/>
      <c r="E16" s="14"/>
      <c r="F16" s="14" t="s">
        <v>40</v>
      </c>
      <c r="G16" s="14" t="s">
        <v>41</v>
      </c>
    </row>
    <row r="17" customFormat="false" ht="33.75" hidden="false" customHeight="true" outlineLevel="0" collapsed="false">
      <c r="A17" s="7" t="s">
        <v>42</v>
      </c>
      <c r="B17" s="7"/>
      <c r="C17" s="7"/>
      <c r="D17" s="7"/>
      <c r="E17" s="7"/>
    </row>
    <row r="18" customFormat="false" ht="15" hidden="false" customHeight="true" outlineLevel="0" collapsed="false">
      <c r="A18" s="7" t="s">
        <v>43</v>
      </c>
      <c r="B18" s="7"/>
      <c r="C18" s="7"/>
      <c r="D18" s="7"/>
      <c r="E18" s="7"/>
      <c r="F18" s="15"/>
      <c r="G18" s="16" t="str">
        <f aca="false">IF(F18="","",IF(UPPER(TRIM(F18))="NEI","Riktig","Prøv igjen"))</f>
        <v/>
      </c>
    </row>
    <row r="19" customFormat="false" ht="15" hidden="false" customHeight="true" outlineLevel="0" collapsed="false">
      <c r="A19" s="7" t="s">
        <v>44</v>
      </c>
      <c r="B19" s="7"/>
      <c r="C19" s="7"/>
      <c r="D19" s="7"/>
      <c r="E19" s="7"/>
      <c r="F19" s="15"/>
      <c r="G19" s="16" t="str">
        <f aca="false">IF(F19="","",IF(UPPER(TRIM(F19))="JA","Riktig","Prøv igjen"))</f>
        <v/>
      </c>
    </row>
    <row r="20" customFormat="false" ht="15" hidden="false" customHeight="true" outlineLevel="0" collapsed="false">
      <c r="A20" s="7" t="s">
        <v>45</v>
      </c>
      <c r="B20" s="7"/>
      <c r="C20" s="7"/>
      <c r="D20" s="7"/>
      <c r="E20" s="7"/>
      <c r="F20" s="15"/>
      <c r="G20" s="16" t="str">
        <f aca="false">IF(F20="","",IF(UPPER(TRIM(F20))="NEI","Riktig","Prøv igjen"))</f>
        <v/>
      </c>
    </row>
    <row r="21" customFormat="false" ht="15" hidden="false" customHeight="true" outlineLevel="0" collapsed="false">
      <c r="A21" s="7" t="s">
        <v>46</v>
      </c>
      <c r="B21" s="7"/>
      <c r="C21" s="7"/>
      <c r="D21" s="7"/>
      <c r="E21" s="7"/>
      <c r="F21" s="15"/>
      <c r="G21" s="16" t="str">
        <f aca="false">IF(F21="","",IF(UPPER(TRIM(F21))="NEI","Riktig","Prøv igjen"))</f>
        <v/>
      </c>
    </row>
    <row r="22" customFormat="false" ht="15" hidden="false" customHeight="true" outlineLevel="0" collapsed="false">
      <c r="A22" s="7" t="s">
        <v>47</v>
      </c>
      <c r="B22" s="7"/>
      <c r="C22" s="7"/>
      <c r="D22" s="7"/>
      <c r="E22" s="7"/>
      <c r="F22" s="15"/>
      <c r="G22" s="16" t="str">
        <f aca="false">IF(F22="","",IF(UPPER(TRIM(F22))="JA","Riktig","Prøv igjen"))</f>
        <v/>
      </c>
    </row>
    <row r="23" customFormat="false" ht="63.75" hidden="false" customHeight="true" outlineLevel="0" collapsed="false">
      <c r="A23" s="7" t="s">
        <v>48</v>
      </c>
      <c r="B23" s="7"/>
      <c r="C23" s="7"/>
      <c r="D23" s="7"/>
      <c r="E23" s="7"/>
      <c r="F23" s="15"/>
      <c r="G23" s="16" t="str">
        <f aca="false">IF(F23="","",IF(UPPER(TRIM(F23))="B","Riktig","Prøv igjen"))</f>
        <v/>
      </c>
    </row>
    <row r="24" customFormat="false" ht="63.75" hidden="false" customHeight="true" outlineLevel="0" collapsed="false">
      <c r="A24" s="7" t="s">
        <v>49</v>
      </c>
      <c r="B24" s="7"/>
      <c r="C24" s="7"/>
      <c r="D24" s="7"/>
      <c r="E24" s="7"/>
      <c r="F24" s="15"/>
      <c r="G24" s="16" t="str">
        <f aca="false">IF(F24="","",IF(UPPER(TRIM(F24))="B","Riktig","Prøv igjen"))</f>
        <v/>
      </c>
    </row>
    <row r="25" customFormat="false" ht="63.75" hidden="false" customHeight="true" outlineLevel="0" collapsed="false">
      <c r="A25" s="7" t="s">
        <v>50</v>
      </c>
      <c r="B25" s="7"/>
      <c r="C25" s="7"/>
      <c r="D25" s="7"/>
      <c r="E25" s="7"/>
      <c r="F25" s="15"/>
      <c r="G25" s="16" t="str">
        <f aca="false">IF(F25="","",IF(UPPER(TRIM(F25))="B","Riktig","Prøv igjen"))</f>
        <v/>
      </c>
    </row>
    <row r="26" customFormat="false" ht="33.75" hidden="false" customHeight="true" outlineLevel="0" collapsed="false">
      <c r="A26" s="7" t="s">
        <v>51</v>
      </c>
      <c r="B26" s="7"/>
      <c r="C26" s="7"/>
      <c r="D26" s="7"/>
      <c r="E26" s="7"/>
    </row>
    <row r="27" customFormat="false" ht="15" hidden="false" customHeight="false" outlineLevel="0" collapsed="false">
      <c r="A27" s="17"/>
      <c r="B27" s="17"/>
      <c r="C27" s="17"/>
      <c r="D27" s="17"/>
      <c r="E27" s="17"/>
      <c r="F27" s="17"/>
      <c r="G27" s="17"/>
    </row>
    <row r="28" customFormat="false" ht="15" hidden="false" customHeight="false" outlineLevel="0" collapsed="false">
      <c r="A28" s="17"/>
      <c r="B28" s="17"/>
      <c r="C28" s="17"/>
      <c r="D28" s="17"/>
      <c r="E28" s="17"/>
      <c r="F28" s="17"/>
      <c r="G28" s="17"/>
    </row>
    <row r="29" customFormat="false" ht="15" hidden="false" customHeight="false" outlineLevel="0" collapsed="false">
      <c r="A29" s="17"/>
      <c r="B29" s="17"/>
      <c r="C29" s="17"/>
      <c r="D29" s="17"/>
      <c r="E29" s="17"/>
      <c r="F29" s="17"/>
      <c r="G29" s="17"/>
    </row>
    <row r="30" customFormat="false" ht="42.75" hidden="false" customHeight="true" outlineLevel="0" collapsed="false">
      <c r="A30" s="18" t="s">
        <v>52</v>
      </c>
      <c r="B30" s="19" t="s">
        <v>53</v>
      </c>
      <c r="C30" s="19"/>
      <c r="D30" s="19"/>
      <c r="E30" s="19"/>
      <c r="F30" s="19"/>
      <c r="G30" s="19"/>
    </row>
    <row r="33" customFormat="false" ht="15" hidden="false" customHeight="false" outlineLevel="0" collapsed="false">
      <c r="A33" s="20" t="s">
        <v>54</v>
      </c>
      <c r="B33" s="20"/>
      <c r="C33" s="20"/>
      <c r="D33" s="20"/>
      <c r="E33" s="20"/>
      <c r="F33" s="20"/>
      <c r="G33" s="20"/>
    </row>
    <row r="34" customFormat="false" ht="30" hidden="false" customHeight="true" outlineLevel="0" collapsed="false">
      <c r="A34" s="21" t="s">
        <v>55</v>
      </c>
      <c r="B34" s="22" t="s">
        <v>56</v>
      </c>
      <c r="C34" s="22"/>
      <c r="D34" s="22"/>
      <c r="E34" s="22"/>
      <c r="F34" s="22"/>
      <c r="G34" s="22"/>
    </row>
    <row r="35" customFormat="false" ht="30" hidden="false" customHeight="true" outlineLevel="0" collapsed="false">
      <c r="A35" s="21" t="s">
        <v>57</v>
      </c>
      <c r="B35" s="22" t="s">
        <v>58</v>
      </c>
      <c r="C35" s="22"/>
      <c r="D35" s="22"/>
      <c r="E35" s="22"/>
      <c r="F35" s="22"/>
      <c r="G35" s="22"/>
    </row>
    <row r="37" customFormat="false" ht="33.75" hidden="false" customHeight="true" outlineLevel="0" collapsed="false">
      <c r="A37" s="6" t="s">
        <v>59</v>
      </c>
      <c r="B37" s="6"/>
      <c r="C37" s="6"/>
      <c r="D37" s="6"/>
      <c r="E37" s="6"/>
      <c r="F37" s="6"/>
      <c r="G37" s="6"/>
    </row>
    <row r="38" customFormat="false" ht="15" hidden="false" customHeight="true" outlineLevel="0" collapsed="false">
      <c r="A38" s="6" t="s">
        <v>60</v>
      </c>
      <c r="B38" s="6"/>
      <c r="C38" s="6"/>
      <c r="D38" s="6"/>
      <c r="E38" s="6"/>
      <c r="F38" s="6"/>
      <c r="G38" s="6"/>
    </row>
  </sheetData>
  <mergeCells count="21">
    <mergeCell ref="A4:G4"/>
    <mergeCell ref="A5:G5"/>
    <mergeCell ref="A14:G14"/>
    <mergeCell ref="A16:E16"/>
    <mergeCell ref="A17:E17"/>
    <mergeCell ref="A18:E18"/>
    <mergeCell ref="A19:E19"/>
    <mergeCell ref="A20:E20"/>
    <mergeCell ref="A21:E21"/>
    <mergeCell ref="A22:E22"/>
    <mergeCell ref="A23:E23"/>
    <mergeCell ref="A24:E24"/>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61</v>
      </c>
    </row>
    <row r="2" customFormat="false" ht="15" hidden="false" customHeight="false" outlineLevel="0" collapsed="false">
      <c r="A2" s="2" t="s">
        <v>21</v>
      </c>
    </row>
    <row r="4" customFormat="false" ht="63.75" hidden="false" customHeight="true" outlineLevel="0" collapsed="false">
      <c r="A4" s="6" t="s">
        <v>62</v>
      </c>
      <c r="B4" s="6"/>
      <c r="C4" s="6"/>
      <c r="D4" s="6"/>
      <c r="E4" s="6"/>
      <c r="F4" s="6"/>
      <c r="G4" s="6"/>
    </row>
    <row r="5" customFormat="false" ht="78.75" hidden="false" customHeight="true" outlineLevel="0" collapsed="false">
      <c r="A5" s="7" t="s">
        <v>63</v>
      </c>
      <c r="B5" s="7"/>
      <c r="C5" s="7"/>
      <c r="D5" s="7"/>
      <c r="E5" s="7"/>
      <c r="F5" s="7"/>
      <c r="G5" s="7"/>
    </row>
    <row r="7" customFormat="false" ht="15" hidden="false" customHeight="false" outlineLevel="0" collapsed="false">
      <c r="A7" s="14" t="s">
        <v>64</v>
      </c>
      <c r="B7" s="14" t="s">
        <v>65</v>
      </c>
      <c r="C7" s="14"/>
      <c r="D7" s="14"/>
      <c r="E7" s="14"/>
      <c r="F7" s="14"/>
      <c r="G7" s="14"/>
    </row>
    <row r="8" customFormat="false" ht="18.75" hidden="false" customHeight="true" outlineLevel="0" collapsed="false">
      <c r="A8" s="23" t="s">
        <v>66</v>
      </c>
      <c r="B8" s="7" t="s">
        <v>67</v>
      </c>
      <c r="C8" s="7"/>
      <c r="D8" s="7"/>
      <c r="E8" s="7"/>
      <c r="F8" s="7"/>
      <c r="G8" s="7"/>
    </row>
    <row r="9" customFormat="false" ht="18.75" hidden="false" customHeight="true" outlineLevel="0" collapsed="false">
      <c r="A9" s="23" t="s">
        <v>68</v>
      </c>
      <c r="B9" s="7" t="s">
        <v>69</v>
      </c>
      <c r="C9" s="7"/>
      <c r="D9" s="7"/>
      <c r="E9" s="7"/>
      <c r="F9" s="7"/>
      <c r="G9" s="7"/>
    </row>
    <row r="10" customFormat="false" ht="18.75" hidden="false" customHeight="true" outlineLevel="0" collapsed="false">
      <c r="A10" s="23" t="s">
        <v>70</v>
      </c>
      <c r="B10" s="7" t="s">
        <v>71</v>
      </c>
      <c r="C10" s="7"/>
      <c r="D10" s="7"/>
      <c r="E10" s="7"/>
      <c r="F10" s="7"/>
      <c r="G10" s="7"/>
    </row>
    <row r="11" customFormat="false" ht="18.75" hidden="false" customHeight="true" outlineLevel="0" collapsed="false">
      <c r="A11" s="23" t="s">
        <v>72</v>
      </c>
      <c r="B11" s="7" t="s">
        <v>73</v>
      </c>
      <c r="C11" s="7"/>
      <c r="D11" s="7"/>
      <c r="E11" s="7"/>
      <c r="F11" s="7"/>
      <c r="G11" s="7"/>
    </row>
    <row r="12" customFormat="false" ht="18.75" hidden="false" customHeight="true" outlineLevel="0" collapsed="false">
      <c r="A12" s="23" t="s">
        <v>74</v>
      </c>
      <c r="B12" s="7" t="s">
        <v>75</v>
      </c>
      <c r="C12" s="7"/>
      <c r="D12" s="7"/>
      <c r="E12" s="7"/>
      <c r="F12" s="7"/>
      <c r="G12" s="7"/>
    </row>
    <row r="13" customFormat="false" ht="18.75" hidden="false" customHeight="true" outlineLevel="0" collapsed="false">
      <c r="A13" s="23" t="s">
        <v>76</v>
      </c>
      <c r="B13" s="7" t="s">
        <v>77</v>
      </c>
      <c r="C13" s="7"/>
      <c r="D13" s="7"/>
      <c r="E13" s="7"/>
      <c r="F13" s="7"/>
      <c r="G13" s="7"/>
    </row>
    <row r="15" customFormat="false" ht="15" hidden="false" customHeight="false" outlineLevel="0" collapsed="false">
      <c r="A15" s="14" t="s">
        <v>39</v>
      </c>
      <c r="B15" s="14"/>
      <c r="C15" s="14"/>
      <c r="D15" s="14"/>
      <c r="E15" s="14"/>
      <c r="F15" s="14" t="s">
        <v>40</v>
      </c>
      <c r="G15" s="14" t="s">
        <v>41</v>
      </c>
    </row>
    <row r="16" customFormat="false" ht="33.75" hidden="false" customHeight="true" outlineLevel="0" collapsed="false">
      <c r="A16" s="7" t="s">
        <v>78</v>
      </c>
      <c r="B16" s="7"/>
      <c r="C16" s="7"/>
      <c r="D16" s="7"/>
      <c r="E16" s="7"/>
    </row>
    <row r="17" customFormat="false" ht="15" hidden="false" customHeight="true" outlineLevel="0" collapsed="false">
      <c r="A17" s="7" t="s">
        <v>79</v>
      </c>
      <c r="B17" s="7"/>
      <c r="C17" s="7"/>
      <c r="D17" s="7"/>
      <c r="E17" s="7"/>
      <c r="F17" s="15"/>
      <c r="G17" s="16" t="str">
        <f aca="false">IF(F17="","",IF(UPPER(TRIM(F17))="JA","Riktig","Prøv igjen"))</f>
        <v/>
      </c>
    </row>
    <row r="18" customFormat="false" ht="15" hidden="false" customHeight="true" outlineLevel="0" collapsed="false">
      <c r="A18" s="7" t="s">
        <v>80</v>
      </c>
      <c r="B18" s="7"/>
      <c r="C18" s="7"/>
      <c r="D18" s="7"/>
      <c r="E18" s="7"/>
      <c r="F18" s="15"/>
      <c r="G18" s="16" t="str">
        <f aca="false">IF(F18="","",IF(UPPER(TRIM(F18))="NEI","Riktig","Prøv igjen"))</f>
        <v/>
      </c>
    </row>
    <row r="19" customFormat="false" ht="15" hidden="false" customHeight="true" outlineLevel="0" collapsed="false">
      <c r="A19" s="7" t="s">
        <v>81</v>
      </c>
      <c r="B19" s="7"/>
      <c r="C19" s="7"/>
      <c r="D19" s="7"/>
      <c r="E19" s="7"/>
      <c r="F19" s="15"/>
      <c r="G19" s="16" t="str">
        <f aca="false">IF(F19="","",IF(UPPER(TRIM(F19))="JA","Riktig","Prøv igjen"))</f>
        <v/>
      </c>
    </row>
    <row r="20" customFormat="false" ht="15" hidden="false" customHeight="true" outlineLevel="0" collapsed="false">
      <c r="A20" s="7" t="s">
        <v>82</v>
      </c>
      <c r="B20" s="7"/>
      <c r="C20" s="7"/>
      <c r="D20" s="7"/>
      <c r="E20" s="7"/>
      <c r="F20" s="15"/>
      <c r="G20" s="16" t="str">
        <f aca="false">IF(F20="","",IF(UPPER(TRIM(F20))="NEI","Riktig","Prøv igjen"))</f>
        <v/>
      </c>
    </row>
    <row r="21" customFormat="false" ht="15" hidden="false" customHeight="true" outlineLevel="0" collapsed="false">
      <c r="A21" s="7" t="s">
        <v>83</v>
      </c>
      <c r="B21" s="7"/>
      <c r="C21" s="7"/>
      <c r="D21" s="7"/>
      <c r="E21" s="7"/>
      <c r="F21" s="15"/>
      <c r="G21" s="16" t="str">
        <f aca="false">IF(F21="","",IF(UPPER(TRIM(F21))="NEI","Riktig","Prøv igjen"))</f>
        <v/>
      </c>
    </row>
    <row r="22" customFormat="false" ht="48.75" hidden="false" customHeight="true" outlineLevel="0" collapsed="false">
      <c r="A22" s="7" t="s">
        <v>84</v>
      </c>
      <c r="B22" s="7"/>
      <c r="C22" s="7"/>
      <c r="D22" s="7"/>
      <c r="E22" s="7"/>
      <c r="F22" s="15"/>
      <c r="G22" s="16" t="str">
        <f aca="false">IF(F22="","",IF(UPPER(TRIM(F22))="A","Riktig","Prøv igjen"))</f>
        <v/>
      </c>
    </row>
    <row r="23" customFormat="false" ht="48.75" hidden="false" customHeight="true" outlineLevel="0" collapsed="false">
      <c r="A23" s="7" t="s">
        <v>85</v>
      </c>
      <c r="B23" s="7"/>
      <c r="C23" s="7"/>
      <c r="D23" s="7"/>
      <c r="E23" s="7"/>
      <c r="F23" s="15"/>
      <c r="G23" s="16" t="str">
        <f aca="false">IF(F23="","",IF(UPPER(TRIM(F23))="B","Riktig","Prøv igjen"))</f>
        <v/>
      </c>
    </row>
    <row r="24" customFormat="false" ht="63.75" hidden="false" customHeight="true" outlineLevel="0" collapsed="false">
      <c r="A24" s="7" t="s">
        <v>86</v>
      </c>
      <c r="B24" s="7"/>
      <c r="C24" s="7"/>
      <c r="D24" s="7"/>
      <c r="E24" s="7"/>
      <c r="F24" s="15"/>
      <c r="G24" s="16" t="str">
        <f aca="false">IF(F24="","",IF(UPPER(TRIM(F24))="B","Riktig","Prøv igjen"))</f>
        <v/>
      </c>
    </row>
    <row r="25" customFormat="false" ht="48.75" hidden="false" customHeight="true" outlineLevel="0" collapsed="false">
      <c r="A25" s="7" t="s">
        <v>87</v>
      </c>
      <c r="B25" s="7"/>
      <c r="C25" s="7"/>
      <c r="D25" s="7"/>
      <c r="E25" s="7"/>
    </row>
    <row r="26" customFormat="false" ht="15" hidden="false" customHeight="false" outlineLevel="0" collapsed="false">
      <c r="A26" s="17"/>
      <c r="B26" s="17"/>
      <c r="C26" s="17"/>
      <c r="D26" s="17"/>
      <c r="E26" s="17"/>
      <c r="F26" s="17"/>
      <c r="G26" s="17"/>
    </row>
    <row r="27" customFormat="false" ht="15" hidden="false" customHeight="false" outlineLevel="0" collapsed="false">
      <c r="A27" s="17"/>
      <c r="B27" s="17"/>
      <c r="C27" s="17"/>
      <c r="D27" s="17"/>
      <c r="E27" s="17"/>
      <c r="F27" s="17"/>
      <c r="G27" s="17"/>
    </row>
    <row r="28" customFormat="false" ht="15" hidden="false" customHeight="false" outlineLevel="0" collapsed="false">
      <c r="A28" s="17"/>
      <c r="B28" s="17"/>
      <c r="C28" s="17"/>
      <c r="D28" s="17"/>
      <c r="E28" s="17"/>
      <c r="F28" s="17"/>
      <c r="G28" s="17"/>
    </row>
    <row r="29" customFormat="false" ht="30" hidden="false" customHeight="true" outlineLevel="0" collapsed="false">
      <c r="A29" s="18" t="s">
        <v>52</v>
      </c>
      <c r="B29" s="19" t="s">
        <v>88</v>
      </c>
      <c r="C29" s="19"/>
      <c r="D29" s="19"/>
      <c r="E29" s="19"/>
      <c r="F29" s="19"/>
      <c r="G29" s="19"/>
    </row>
    <row r="32" customFormat="false" ht="15" hidden="false" customHeight="false" outlineLevel="0" collapsed="false">
      <c r="A32" s="20" t="s">
        <v>54</v>
      </c>
      <c r="B32" s="20"/>
      <c r="C32" s="20"/>
      <c r="D32" s="20"/>
      <c r="E32" s="20"/>
      <c r="F32" s="20"/>
      <c r="G32" s="20"/>
    </row>
    <row r="33" customFormat="false" ht="30" hidden="false" customHeight="true" outlineLevel="0" collapsed="false">
      <c r="A33" s="21" t="s">
        <v>89</v>
      </c>
      <c r="B33" s="22" t="s">
        <v>90</v>
      </c>
      <c r="C33" s="22"/>
      <c r="D33" s="22"/>
      <c r="E33" s="22"/>
      <c r="F33" s="22"/>
      <c r="G33" s="22"/>
    </row>
    <row r="34" customFormat="false" ht="30" hidden="false" customHeight="true" outlineLevel="0" collapsed="false">
      <c r="A34" s="21" t="s">
        <v>91</v>
      </c>
      <c r="B34" s="22" t="s">
        <v>92</v>
      </c>
      <c r="C34" s="22"/>
      <c r="D34" s="22"/>
      <c r="E34" s="22"/>
      <c r="F34" s="22"/>
      <c r="G34" s="22"/>
    </row>
    <row r="36" customFormat="false" ht="33.75" hidden="false" customHeight="true" outlineLevel="0" collapsed="false">
      <c r="A36" s="6" t="s">
        <v>93</v>
      </c>
      <c r="B36" s="6"/>
      <c r="C36" s="6"/>
      <c r="D36" s="6"/>
      <c r="E36" s="6"/>
      <c r="F36" s="6"/>
      <c r="G36" s="6"/>
    </row>
    <row r="37" customFormat="false" ht="15" hidden="false" customHeight="true" outlineLevel="0" collapsed="false">
      <c r="A37" s="6" t="s">
        <v>60</v>
      </c>
      <c r="B37" s="6"/>
      <c r="C37" s="6"/>
      <c r="D37" s="6"/>
      <c r="E37" s="6"/>
      <c r="F37" s="6"/>
      <c r="G37" s="6"/>
    </row>
  </sheetData>
  <mergeCells count="27">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E21"/>
    <mergeCell ref="A22:E22"/>
    <mergeCell ref="A23:E23"/>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94</v>
      </c>
    </row>
    <row r="2" customFormat="false" ht="15" hidden="false" customHeight="false" outlineLevel="0" collapsed="false">
      <c r="A2" s="2" t="s">
        <v>21</v>
      </c>
    </row>
    <row r="4" customFormat="false" ht="78.75" hidden="false" customHeight="true" outlineLevel="0" collapsed="false">
      <c r="A4" s="6" t="s">
        <v>95</v>
      </c>
      <c r="B4" s="6"/>
      <c r="C4" s="6"/>
      <c r="D4" s="6"/>
      <c r="E4" s="6"/>
      <c r="F4" s="6"/>
      <c r="G4" s="6"/>
    </row>
    <row r="5" customFormat="false" ht="63.75" hidden="false" customHeight="true" outlineLevel="0" collapsed="false">
      <c r="A5" s="7" t="s">
        <v>96</v>
      </c>
      <c r="B5" s="7"/>
      <c r="C5" s="7"/>
      <c r="D5" s="7"/>
      <c r="E5" s="7"/>
      <c r="F5" s="7"/>
      <c r="G5" s="7"/>
    </row>
    <row r="7" customFormat="false" ht="26.85" hidden="false" customHeight="false" outlineLevel="0" collapsed="false">
      <c r="A7" s="8" t="s">
        <v>97</v>
      </c>
      <c r="B7" s="9" t="s">
        <v>98</v>
      </c>
    </row>
    <row r="8" customFormat="false" ht="39.55" hidden="false" customHeight="false" outlineLevel="0" collapsed="false">
      <c r="A8" s="10" t="s">
        <v>99</v>
      </c>
      <c r="B8" s="11" t="s">
        <v>100</v>
      </c>
    </row>
    <row r="9" customFormat="false" ht="52.2" hidden="false" customHeight="false" outlineLevel="0" collapsed="false">
      <c r="A9" s="12" t="s">
        <v>101</v>
      </c>
      <c r="B9" s="13" t="s">
        <v>102</v>
      </c>
    </row>
    <row r="10" customFormat="false" ht="52.2" hidden="false" customHeight="false" outlineLevel="0" collapsed="false">
      <c r="A10" s="10" t="s">
        <v>103</v>
      </c>
      <c r="B10" s="11" t="s">
        <v>104</v>
      </c>
    </row>
    <row r="11" customFormat="false" ht="39.55" hidden="false" customHeight="false" outlineLevel="0" collapsed="false">
      <c r="A11" s="12" t="s">
        <v>105</v>
      </c>
      <c r="B11" s="13" t="s">
        <v>106</v>
      </c>
    </row>
    <row r="12" customFormat="false" ht="39.55" hidden="false" customHeight="false" outlineLevel="0" collapsed="false">
      <c r="A12" s="10" t="s">
        <v>107</v>
      </c>
      <c r="B12" s="11" t="s">
        <v>108</v>
      </c>
    </row>
    <row r="13" customFormat="false" ht="39.55" hidden="false" customHeight="false" outlineLevel="0" collapsed="false">
      <c r="A13" s="12" t="s">
        <v>109</v>
      </c>
      <c r="B13" s="13" t="s">
        <v>110</v>
      </c>
    </row>
    <row r="14" customFormat="false" ht="15" hidden="false" customHeight="true" outlineLevel="0" collapsed="false">
      <c r="A14" s="6" t="s">
        <v>38</v>
      </c>
      <c r="B14" s="6"/>
      <c r="C14" s="6"/>
      <c r="D14" s="6"/>
      <c r="E14" s="6"/>
      <c r="F14" s="6"/>
      <c r="G14" s="6"/>
    </row>
    <row r="16" customFormat="false" ht="15" hidden="false" customHeight="false" outlineLevel="0" collapsed="false">
      <c r="A16" s="14" t="s">
        <v>39</v>
      </c>
      <c r="B16" s="14"/>
      <c r="C16" s="14"/>
      <c r="D16" s="14"/>
      <c r="E16" s="14"/>
      <c r="F16" s="14" t="s">
        <v>40</v>
      </c>
      <c r="G16" s="14" t="s">
        <v>41</v>
      </c>
    </row>
    <row r="17" customFormat="false" ht="33.75" hidden="false" customHeight="true" outlineLevel="0" collapsed="false">
      <c r="A17" s="7" t="s">
        <v>111</v>
      </c>
      <c r="B17" s="7"/>
      <c r="C17" s="7"/>
      <c r="D17" s="7"/>
      <c r="E17" s="7"/>
    </row>
    <row r="18" customFormat="false" ht="15" hidden="false" customHeight="true" outlineLevel="0" collapsed="false">
      <c r="A18" s="7" t="s">
        <v>112</v>
      </c>
      <c r="B18" s="7"/>
      <c r="C18" s="7"/>
      <c r="D18" s="7"/>
      <c r="E18" s="7"/>
      <c r="F18" s="15"/>
      <c r="G18" s="16" t="str">
        <f aca="false">IF(F18="","",IF(UPPER(TRIM(F18))="NEI","Riktig","Prøv igjen"))</f>
        <v/>
      </c>
    </row>
    <row r="19" customFormat="false" ht="15" hidden="false" customHeight="true" outlineLevel="0" collapsed="false">
      <c r="A19" s="7" t="s">
        <v>113</v>
      </c>
      <c r="B19" s="7"/>
      <c r="C19" s="7"/>
      <c r="D19" s="7"/>
      <c r="E19" s="7"/>
      <c r="F19" s="15"/>
      <c r="G19" s="16" t="str">
        <f aca="false">IF(F19="","",IF(UPPER(TRIM(F19))="NEI","Riktig","Prøv igjen"))</f>
        <v/>
      </c>
    </row>
    <row r="20" customFormat="false" ht="15" hidden="false" customHeight="true" outlineLevel="0" collapsed="false">
      <c r="A20" s="7" t="s">
        <v>114</v>
      </c>
      <c r="B20" s="7"/>
      <c r="C20" s="7"/>
      <c r="D20" s="7"/>
      <c r="E20" s="7"/>
      <c r="F20" s="15"/>
      <c r="G20" s="16" t="str">
        <f aca="false">IF(F20="","",IF(UPPER(TRIM(F20))="NEI","Riktig","Prøv igjen"))</f>
        <v/>
      </c>
    </row>
    <row r="21" customFormat="false" ht="15" hidden="false" customHeight="true" outlineLevel="0" collapsed="false">
      <c r="A21" s="7" t="s">
        <v>115</v>
      </c>
      <c r="B21" s="7"/>
      <c r="C21" s="7"/>
      <c r="D21" s="7"/>
      <c r="E21" s="7"/>
      <c r="F21" s="15"/>
      <c r="G21" s="16" t="str">
        <f aca="false">IF(F21="","",IF(UPPER(TRIM(F21))="JA","Riktig","Prøv igjen"))</f>
        <v/>
      </c>
    </row>
    <row r="22" customFormat="false" ht="15" hidden="false" customHeight="true" outlineLevel="0" collapsed="false">
      <c r="A22" s="7" t="s">
        <v>116</v>
      </c>
      <c r="B22" s="7"/>
      <c r="C22" s="7"/>
      <c r="D22" s="7"/>
      <c r="E22" s="7"/>
      <c r="F22" s="15"/>
      <c r="G22" s="16" t="str">
        <f aca="false">IF(F22="","",IF(UPPER(TRIM(F22))="JA","Riktig","Prøv igjen"))</f>
        <v/>
      </c>
    </row>
    <row r="23" customFormat="false" ht="33.75" hidden="false" customHeight="true" outlineLevel="0" collapsed="false">
      <c r="A23" s="7" t="s">
        <v>117</v>
      </c>
      <c r="B23" s="7"/>
      <c r="C23" s="7"/>
      <c r="D23" s="7"/>
      <c r="E23" s="7"/>
      <c r="F23" s="15"/>
      <c r="G23" s="16" t="str">
        <f aca="false">IF(F23="","",IF(UPPER(TRIM(F23))="B","Riktig","Prøv igjen"))</f>
        <v/>
      </c>
    </row>
    <row r="24" customFormat="false" ht="48.75" hidden="false" customHeight="true" outlineLevel="0" collapsed="false">
      <c r="A24" s="7" t="s">
        <v>118</v>
      </c>
      <c r="B24" s="7"/>
      <c r="C24" s="7"/>
      <c r="D24" s="7"/>
      <c r="E24" s="7"/>
      <c r="F24" s="15"/>
      <c r="G24" s="16" t="str">
        <f aca="false">IF(F24="","",IF(UPPER(TRIM(F24))="A","Riktig","Prøv igjen"))</f>
        <v/>
      </c>
    </row>
    <row r="25" customFormat="false" ht="63.75" hidden="false" customHeight="true" outlineLevel="0" collapsed="false">
      <c r="A25" s="7" t="s">
        <v>119</v>
      </c>
      <c r="B25" s="7"/>
      <c r="C25" s="7"/>
      <c r="D25" s="7"/>
      <c r="E25" s="7"/>
      <c r="F25" s="15"/>
      <c r="G25" s="16" t="str">
        <f aca="false">IF(F25="","",IF(UPPER(TRIM(F25))="B","Riktig","Prøv igjen"))</f>
        <v/>
      </c>
    </row>
    <row r="26" customFormat="false" ht="33.75" hidden="false" customHeight="true" outlineLevel="0" collapsed="false">
      <c r="A26" s="7" t="s">
        <v>120</v>
      </c>
      <c r="B26" s="7"/>
      <c r="C26" s="7"/>
      <c r="D26" s="7"/>
      <c r="E26" s="7"/>
    </row>
    <row r="27" customFormat="false" ht="15" hidden="false" customHeight="false" outlineLevel="0" collapsed="false">
      <c r="A27" s="17"/>
      <c r="B27" s="17"/>
      <c r="C27" s="17"/>
      <c r="D27" s="17"/>
      <c r="E27" s="17"/>
      <c r="F27" s="17"/>
      <c r="G27" s="17"/>
    </row>
    <row r="28" customFormat="false" ht="15" hidden="false" customHeight="false" outlineLevel="0" collapsed="false">
      <c r="A28" s="17"/>
      <c r="B28" s="17"/>
      <c r="C28" s="17"/>
      <c r="D28" s="17"/>
      <c r="E28" s="17"/>
      <c r="F28" s="17"/>
      <c r="G28" s="17"/>
    </row>
    <row r="29" customFormat="false" ht="15" hidden="false" customHeight="false" outlineLevel="0" collapsed="false">
      <c r="A29" s="17"/>
      <c r="B29" s="17"/>
      <c r="C29" s="17"/>
      <c r="D29" s="17"/>
      <c r="E29" s="17"/>
      <c r="F29" s="17"/>
      <c r="G29" s="17"/>
    </row>
    <row r="30" customFormat="false" ht="30" hidden="false" customHeight="true" outlineLevel="0" collapsed="false">
      <c r="A30" s="18" t="s">
        <v>52</v>
      </c>
      <c r="B30" s="19" t="s">
        <v>121</v>
      </c>
      <c r="C30" s="19"/>
      <c r="D30" s="19"/>
      <c r="E30" s="19"/>
      <c r="F30" s="19"/>
      <c r="G30" s="19"/>
    </row>
    <row r="33" customFormat="false" ht="15" hidden="false" customHeight="false" outlineLevel="0" collapsed="false">
      <c r="A33" s="20" t="s">
        <v>54</v>
      </c>
      <c r="B33" s="20"/>
      <c r="C33" s="20"/>
      <c r="D33" s="20"/>
      <c r="E33" s="20"/>
      <c r="F33" s="20"/>
      <c r="G33" s="20"/>
    </row>
    <row r="34" customFormat="false" ht="30" hidden="false" customHeight="true" outlineLevel="0" collapsed="false">
      <c r="A34" s="21" t="s">
        <v>122</v>
      </c>
      <c r="B34" s="22" t="s">
        <v>123</v>
      </c>
      <c r="C34" s="22"/>
      <c r="D34" s="22"/>
      <c r="E34" s="22"/>
      <c r="F34" s="22"/>
      <c r="G34" s="22"/>
    </row>
    <row r="35" customFormat="false" ht="30" hidden="false" customHeight="true" outlineLevel="0" collapsed="false">
      <c r="A35" s="21" t="s">
        <v>124</v>
      </c>
      <c r="B35" s="22" t="s">
        <v>125</v>
      </c>
      <c r="C35" s="22"/>
      <c r="D35" s="22"/>
      <c r="E35" s="22"/>
      <c r="F35" s="22"/>
      <c r="G35" s="22"/>
    </row>
    <row r="37" customFormat="false" ht="33.75" hidden="false" customHeight="true" outlineLevel="0" collapsed="false">
      <c r="A37" s="6" t="s">
        <v>126</v>
      </c>
      <c r="B37" s="6"/>
      <c r="C37" s="6"/>
      <c r="D37" s="6"/>
      <c r="E37" s="6"/>
      <c r="F37" s="6"/>
      <c r="G37" s="6"/>
    </row>
    <row r="38" customFormat="false" ht="15" hidden="false" customHeight="true" outlineLevel="0" collapsed="false">
      <c r="A38" s="6" t="s">
        <v>60</v>
      </c>
      <c r="B38" s="6"/>
      <c r="C38" s="6"/>
      <c r="D38" s="6"/>
      <c r="E38" s="6"/>
      <c r="F38" s="6"/>
      <c r="G38" s="6"/>
    </row>
  </sheetData>
  <mergeCells count="21">
    <mergeCell ref="A4:G4"/>
    <mergeCell ref="A5:G5"/>
    <mergeCell ref="A14:G14"/>
    <mergeCell ref="A16:E16"/>
    <mergeCell ref="A17:E17"/>
    <mergeCell ref="A18:E18"/>
    <mergeCell ref="A19:E19"/>
    <mergeCell ref="A20:E20"/>
    <mergeCell ref="A21:E21"/>
    <mergeCell ref="A22:E22"/>
    <mergeCell ref="A23:E23"/>
    <mergeCell ref="A24:E24"/>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127</v>
      </c>
    </row>
    <row r="2" customFormat="false" ht="15" hidden="false" customHeight="false" outlineLevel="0" collapsed="false">
      <c r="A2" s="2" t="s">
        <v>21</v>
      </c>
    </row>
    <row r="4" customFormat="false" ht="78.75" hidden="false" customHeight="true" outlineLevel="0" collapsed="false">
      <c r="A4" s="6" t="s">
        <v>128</v>
      </c>
      <c r="B4" s="6"/>
      <c r="C4" s="6"/>
      <c r="D4" s="6"/>
      <c r="E4" s="6"/>
      <c r="F4" s="6"/>
      <c r="G4" s="6"/>
    </row>
    <row r="5" customFormat="false" ht="78.75" hidden="false" customHeight="true" outlineLevel="0" collapsed="false">
      <c r="A5" s="7" t="s">
        <v>129</v>
      </c>
      <c r="B5" s="7"/>
      <c r="C5" s="7"/>
      <c r="D5" s="7"/>
      <c r="E5" s="7"/>
      <c r="F5" s="7"/>
      <c r="G5" s="7"/>
    </row>
    <row r="7" customFormat="false" ht="15" hidden="false" customHeight="false" outlineLevel="0" collapsed="false">
      <c r="A7" s="14" t="s">
        <v>64</v>
      </c>
      <c r="B7" s="14" t="s">
        <v>65</v>
      </c>
      <c r="C7" s="14"/>
      <c r="D7" s="14"/>
      <c r="E7" s="14"/>
      <c r="F7" s="14"/>
      <c r="G7" s="14"/>
    </row>
    <row r="8" customFormat="false" ht="18.75" hidden="false" customHeight="true" outlineLevel="0" collapsed="false">
      <c r="A8" s="23" t="s">
        <v>130</v>
      </c>
      <c r="B8" s="7" t="s">
        <v>131</v>
      </c>
      <c r="C8" s="7"/>
      <c r="D8" s="7"/>
      <c r="E8" s="7"/>
      <c r="F8" s="7"/>
      <c r="G8" s="7"/>
    </row>
    <row r="9" customFormat="false" ht="18.75" hidden="false" customHeight="true" outlineLevel="0" collapsed="false">
      <c r="A9" s="23" t="s">
        <v>132</v>
      </c>
      <c r="B9" s="7" t="s">
        <v>133</v>
      </c>
      <c r="C9" s="7"/>
      <c r="D9" s="7"/>
      <c r="E9" s="7"/>
      <c r="F9" s="7"/>
      <c r="G9" s="7"/>
    </row>
    <row r="10" customFormat="false" ht="18.75" hidden="false" customHeight="true" outlineLevel="0" collapsed="false">
      <c r="A10" s="23" t="s">
        <v>134</v>
      </c>
      <c r="B10" s="7" t="s">
        <v>135</v>
      </c>
      <c r="C10" s="7"/>
      <c r="D10" s="7"/>
      <c r="E10" s="7"/>
      <c r="F10" s="7"/>
      <c r="G10" s="7"/>
    </row>
    <row r="11" customFormat="false" ht="18.75" hidden="false" customHeight="true" outlineLevel="0" collapsed="false">
      <c r="A11" s="23" t="s">
        <v>136</v>
      </c>
      <c r="B11" s="7" t="s">
        <v>137</v>
      </c>
      <c r="C11" s="7"/>
      <c r="D11" s="7"/>
      <c r="E11" s="7"/>
      <c r="F11" s="7"/>
      <c r="G11" s="7"/>
    </row>
    <row r="12" customFormat="false" ht="18.75" hidden="false" customHeight="true" outlineLevel="0" collapsed="false">
      <c r="A12" s="23" t="s">
        <v>138</v>
      </c>
      <c r="B12" s="7" t="s">
        <v>139</v>
      </c>
      <c r="C12" s="7"/>
      <c r="D12" s="7"/>
      <c r="E12" s="7"/>
      <c r="F12" s="7"/>
      <c r="G12" s="7"/>
    </row>
    <row r="13" customFormat="false" ht="18.75" hidden="false" customHeight="true" outlineLevel="0" collapsed="false">
      <c r="A13" s="23" t="s">
        <v>140</v>
      </c>
      <c r="B13" s="7" t="s">
        <v>141</v>
      </c>
      <c r="C13" s="7"/>
      <c r="D13" s="7"/>
      <c r="E13" s="7"/>
      <c r="F13" s="7"/>
      <c r="G13" s="7"/>
    </row>
    <row r="15" customFormat="false" ht="15" hidden="false" customHeight="false" outlineLevel="0" collapsed="false">
      <c r="A15" s="14" t="s">
        <v>39</v>
      </c>
      <c r="B15" s="14"/>
      <c r="C15" s="14"/>
      <c r="D15" s="14"/>
      <c r="E15" s="14"/>
      <c r="F15" s="14" t="s">
        <v>40</v>
      </c>
      <c r="G15" s="14" t="s">
        <v>41</v>
      </c>
    </row>
    <row r="16" customFormat="false" ht="48.75" hidden="false" customHeight="true" outlineLevel="0" collapsed="false">
      <c r="A16" s="7" t="s">
        <v>142</v>
      </c>
      <c r="B16" s="7"/>
      <c r="C16" s="7"/>
      <c r="D16" s="7"/>
      <c r="E16" s="7"/>
      <c r="F16" s="15"/>
      <c r="G16" s="16" t="str">
        <f aca="false">IF(F16="","",IF(UPPER(TRIM(F16))="B","Riktig","Prøv igjen"))</f>
        <v/>
      </c>
    </row>
    <row r="17" customFormat="false" ht="48.75" hidden="false" customHeight="true" outlineLevel="0" collapsed="false">
      <c r="A17" s="7" t="s">
        <v>143</v>
      </c>
      <c r="B17" s="7"/>
      <c r="C17" s="7"/>
      <c r="D17" s="7"/>
      <c r="E17" s="7"/>
      <c r="F17" s="15"/>
      <c r="G17" s="16" t="str">
        <f aca="false">IF(F17="","",IF(UPPER(TRIM(F17))="A","Riktig","Prøv igjen"))</f>
        <v/>
      </c>
    </row>
    <row r="18" customFormat="false" ht="63.75" hidden="false" customHeight="true" outlineLevel="0" collapsed="false">
      <c r="A18" s="7" t="s">
        <v>144</v>
      </c>
      <c r="B18" s="7"/>
      <c r="C18" s="7"/>
      <c r="D18" s="7"/>
      <c r="E18" s="7"/>
      <c r="F18" s="15"/>
      <c r="G18" s="16" t="str">
        <f aca="false">IF(F18="","",IF(UPPER(TRIM(F18))="B","Riktig","Prøv igjen"))</f>
        <v/>
      </c>
    </row>
    <row r="19" customFormat="false" ht="63.75" hidden="false" customHeight="true" outlineLevel="0" collapsed="false">
      <c r="A19" s="7" t="s">
        <v>145</v>
      </c>
      <c r="B19" s="7"/>
      <c r="C19" s="7"/>
      <c r="D19" s="7"/>
      <c r="E19" s="7"/>
      <c r="F19" s="15"/>
      <c r="G19" s="16" t="str">
        <f aca="false">IF(F19="","",IF(UPPER(TRIM(F19))="B","Riktig","Prøv igjen"))</f>
        <v/>
      </c>
    </row>
    <row r="20" customFormat="false" ht="33.75" hidden="false" customHeight="true" outlineLevel="0" collapsed="false">
      <c r="A20" s="7" t="s">
        <v>146</v>
      </c>
      <c r="B20" s="7"/>
      <c r="C20" s="7"/>
      <c r="D20" s="7"/>
      <c r="E20" s="7"/>
    </row>
    <row r="21" customFormat="false" ht="15" hidden="false" customHeight="false" outlineLevel="0" collapsed="false">
      <c r="A21" s="17"/>
      <c r="B21" s="17"/>
      <c r="C21" s="17"/>
      <c r="D21" s="17"/>
      <c r="E21" s="17"/>
      <c r="F21" s="17"/>
      <c r="G21" s="17"/>
    </row>
    <row r="22" customFormat="false" ht="15" hidden="false" customHeight="false" outlineLevel="0" collapsed="false">
      <c r="A22" s="17"/>
      <c r="B22" s="17"/>
      <c r="C22" s="17"/>
      <c r="D22" s="17"/>
      <c r="E22" s="17"/>
      <c r="F22" s="17"/>
      <c r="G22" s="17"/>
    </row>
    <row r="23" customFormat="false" ht="15" hidden="false" customHeight="false" outlineLevel="0" collapsed="false">
      <c r="A23" s="17"/>
      <c r="B23" s="17"/>
      <c r="C23" s="17"/>
      <c r="D23" s="17"/>
      <c r="E23" s="17"/>
      <c r="F23" s="17"/>
      <c r="G23" s="17"/>
    </row>
    <row r="24" customFormat="false" ht="30" hidden="false" customHeight="true" outlineLevel="0" collapsed="false">
      <c r="A24" s="18" t="s">
        <v>52</v>
      </c>
      <c r="B24" s="19" t="s">
        <v>147</v>
      </c>
      <c r="C24" s="19"/>
      <c r="D24" s="19"/>
      <c r="E24" s="19"/>
      <c r="F24" s="19"/>
      <c r="G24" s="19"/>
    </row>
    <row r="27" customFormat="false" ht="15" hidden="false" customHeight="false" outlineLevel="0" collapsed="false">
      <c r="A27" s="20" t="s">
        <v>54</v>
      </c>
      <c r="B27" s="20"/>
      <c r="C27" s="20"/>
      <c r="D27" s="20"/>
      <c r="E27" s="20"/>
      <c r="F27" s="20"/>
      <c r="G27" s="20"/>
    </row>
    <row r="28" customFormat="false" ht="30" hidden="false" customHeight="true" outlineLevel="0" collapsed="false">
      <c r="A28" s="21" t="s">
        <v>148</v>
      </c>
      <c r="B28" s="22" t="s">
        <v>149</v>
      </c>
      <c r="C28" s="22"/>
      <c r="D28" s="22"/>
      <c r="E28" s="22"/>
      <c r="F28" s="22"/>
      <c r="G28" s="22"/>
    </row>
    <row r="29" customFormat="false" ht="30" hidden="false" customHeight="true" outlineLevel="0" collapsed="false">
      <c r="A29" s="21" t="s">
        <v>150</v>
      </c>
      <c r="B29" s="22" t="s">
        <v>151</v>
      </c>
      <c r="C29" s="22"/>
      <c r="D29" s="22"/>
      <c r="E29" s="22"/>
      <c r="F29" s="22"/>
      <c r="G29" s="22"/>
    </row>
    <row r="31" customFormat="false" ht="33.75" hidden="false" customHeight="true" outlineLevel="0" collapsed="false">
      <c r="A31" s="6" t="s">
        <v>152</v>
      </c>
      <c r="B31" s="6"/>
      <c r="C31" s="6"/>
      <c r="D31" s="6"/>
      <c r="E31" s="6"/>
      <c r="F31" s="6"/>
      <c r="G31" s="6"/>
    </row>
    <row r="32" customFormat="false" ht="15" hidden="false" customHeight="true" outlineLevel="0" collapsed="false">
      <c r="A32" s="6" t="s">
        <v>60</v>
      </c>
      <c r="B32" s="6"/>
      <c r="C32" s="6"/>
      <c r="D32" s="6"/>
      <c r="E32" s="6"/>
      <c r="F32" s="6"/>
      <c r="G32" s="6"/>
    </row>
  </sheetData>
  <mergeCells count="22">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G23"/>
    <mergeCell ref="B24:G24"/>
    <mergeCell ref="A27:G27"/>
    <mergeCell ref="B28:G28"/>
    <mergeCell ref="B29:G29"/>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2026-10-12T12:37:19Z</dcterms:created>
  <dc:creator>openpyxl</dc:creator>
  <dc:description/>
  <dc:language>en-US</dc:language>
  <cp:lastModifiedBy/>
  <dcterms:modified xsi:type="dcterms:W3CDTF">2026-10-12T12:37:19Z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