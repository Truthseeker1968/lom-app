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1 Budsjett" sheetId="2" state="visible" r:id="rId2"/>
    <sheet xmlns:r="http://schemas.openxmlformats.org/officeDocument/2006/relationships" name="2 Satser" sheetId="3" state="visible" r:id="rId3"/>
    <sheet xmlns:r="http://schemas.openxmlformats.org/officeDocument/2006/relationships" name="3 Kalkyle bok" sheetId="4" state="visible" r:id="rId4"/>
    <sheet xmlns:r="http://schemas.openxmlformats.org/officeDocument/2006/relationships" name="4 Påslag for påslag" sheetId="5" state="visible" r:id="rId5"/>
    <sheet xmlns:r="http://schemas.openxmlformats.org/officeDocument/2006/relationships" name="5 Nøkkelvalg" sheetId="6" state="visible" r:id="rId6"/>
    <sheet xmlns:r="http://schemas.openxmlformats.org/officeDocument/2006/relationships" name="6 Øvelser" sheetId="7" state="visible" r:id="rId7"/>
    <sheet xmlns:r="http://schemas.openxmlformats.org/officeDocument/2006/relationships" name="7 Ordliste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#,##0;\-#,##0;\-"/>
    <numFmt numFmtId="165" formatCode="0.0%"/>
    <numFmt numFmtId="166" formatCode="0.000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8000"/>
      <sz val="10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EEEEEE"/>
        <bgColor rgb="FFFFFFCC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/>
      <right/>
      <top style="thin">
        <color rgb="FF999999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5" fontId="8" fillId="3" borderId="0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166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 wrapText="1"/>
    </xf>
    <xf numFmtId="165" fontId="8" fillId="3" borderId="0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166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Unknown Author</author>
  </authors>
  <commentList>
    <comment ref="B6" authorId="0" shapeId="0">
      <text>
        <t>Forutsetning for eksempelet, ikke fra budsjettet.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1:B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26" min="1" max="1"/>
    <col width="110" customWidth="1" style="26" min="2" max="2"/>
  </cols>
  <sheetData>
    <row r="1" ht="17.35" customHeight="1" s="27">
      <c r="B1" s="28" t="inlineStr">
        <is>
          <t>Fra budsjett til kalkyle — Elektro AS 2026</t>
        </is>
      </c>
    </row>
    <row r="3" ht="15" customHeight="1" s="27">
      <c r="B3" s="29" t="inlineStr">
        <is>
          <t>Hva arket viser</t>
        </is>
      </c>
    </row>
    <row r="4" ht="27" customHeight="1" s="27">
      <c r="B4" s="30" t="inlineStr">
        <is>
          <t>Hvordan budsjettet blir til de fire påslagene i timeprisen: sosiale kostnader, driftsomkostninger, fellesomkostninger og fortjeneste. Og hvordan påslagene blir til en pris på én jobb. Samme jobb regnes på to måter: slik læreboka gjør det, og slik kalkyleprogrammene i bransjen (for eksempel Eldata, SmartKalk Elektro fra Holte, SmartCraft og Cordel) bygger opp prisen, påslag for påslag.</t>
        </is>
      </c>
    </row>
    <row r="5" ht="15" customHeight="1" s="27">
      <c r="B5" s="30" t="n"/>
    </row>
    <row r="6" ht="15" customHeight="1" s="27">
      <c r="B6" s="29" t="inlineStr">
        <is>
          <t>Fanene, i rekkefølge</t>
        </is>
      </c>
    </row>
    <row r="7" ht="27" customHeight="1" s="27">
      <c r="B7" s="30" t="inlineStr">
        <is>
          <t>1 Budsjett: budsjettet til Elektro AS 2026. Hver konto er sortert i en gruppe med en kode: M = direkte materiell, L = direkte lønn, S = sosiale kostnader, D = driftsomkostninger, F = fellesomkostninger. Endre koden og se hva som skjer med påslagene.</t>
        </is>
      </c>
    </row>
    <row r="8" ht="15" customHeight="1" s="27">
      <c r="B8" s="30" t="inlineStr">
        <is>
          <t>2 Satser: summen i hver gruppe og påslagene som regnes ut av dem, i prosent og i kroner per fakturert time.</t>
        </is>
      </c>
    </row>
    <row r="9" ht="15" customHeight="1" s="27">
      <c r="B9" s="30" t="inlineStr">
        <is>
          <t>3 Kalkyle bok — selvkostkalkylen for én jobb, oppstilt som i Økonomistyring for LØM-emnet, kap. 5.2, eksempel 3.</t>
        </is>
      </c>
    </row>
    <row r="10" ht="27" customHeight="1" s="27">
      <c r="B10" s="30" t="inlineStr">
        <is>
          <t>4 Påslag for påslag: den samme jobben slik kalkyleprogrammene bygger opp prisen: timelønn, så sosiale kostnader, driftsomkostninger, fellesomkostninger og til slutt fortjeneste.</t>
        </is>
      </c>
    </row>
    <row r="11" ht="15" customHeight="1" s="27">
      <c r="B11" s="30" t="inlineStr">
        <is>
          <t>5 Nøkkelvalg — to jobber priset med to ulike fordelingsnøkler fra det samme budsjettet.</t>
        </is>
      </c>
    </row>
    <row r="12" ht="15" customHeight="1" s="27">
      <c r="B12" s="30" t="inlineStr">
        <is>
          <t>6 Øvelser — fem oppgaver med svarfelt og automatisk sjekk.</t>
        </is>
      </c>
    </row>
    <row r="13" ht="15" customHeight="1" s="27">
      <c r="B13" s="30" t="inlineStr">
        <is>
          <t>7 Ordliste: samme ting, ulike navn i læreboka, i kalkyleprogrammene og i budsjettet.</t>
        </is>
      </c>
    </row>
    <row r="14" ht="15" customHeight="1" s="27">
      <c r="B14" s="30" t="n"/>
    </row>
    <row r="15" ht="15" customHeight="1" s="27">
      <c r="B15" s="29" t="inlineStr">
        <is>
          <t>Fargekoder</t>
        </is>
      </c>
    </row>
    <row r="16" ht="27" customHeight="1" s="27">
      <c r="B16" s="30" t="inlineStr">
        <is>
          <t>Blå tekst = tall du kan endre (budsjett og forutsetninger). Svart tekst = formler. Grønn tekst = hentet fra en annen fane. Gul bakgrunn = her skriver du svaret ditt.</t>
        </is>
      </c>
    </row>
    <row r="17" ht="15" customHeight="1" s="27">
      <c r="B17" s="30" t="n"/>
    </row>
    <row r="18" ht="15" customHeight="1" s="27">
      <c r="B18" s="29" t="inlineStr">
        <is>
          <t>Kilder og forutsetninger</t>
        </is>
      </c>
    </row>
    <row r="19" ht="39.75" customHeight="1" s="27">
      <c r="B19" s="30" t="inlineStr">
        <is>
          <t>Budsjettet: «Prosjekt Bolig 3EKC/3EKD Budsjett 2026» (Elektro AS, omsetning 50 000 000). Sorteringen av kontoene i grupper er gjort for dette arket og kan diskuteres, og det er poenget med fane 5. Timelønn (300 kr), fakturerte timer i året (26 979 = 18,25 årsverk × 1 478) og timer på jobben (25) er forutsetninger, ikke budsjettall. De er de samme som i LØM-appen.</t>
        </is>
      </c>
    </row>
    <row r="20" ht="39.75" customHeight="1" s="27">
      <c r="B20" s="30" t="inlineStr">
        <is>
          <t>Teori: Hjertnes og Skorpen, Økonomistyring for LØM-emnet, kap. 5.2 (selvkostkalkyle for tjeneste, eksempel 3) og formelsamlingen (tilleggssats = indirekte kostnader / fordelingsgrunnlaget). Kalkyleprogrammene: håndboken «ELdata kalkyle» (NELFO), smartcraftspark.com/no (lest 19.10.2026), egsoftware.com om SmartKalk Elektro (lest 29.10.2026).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6" min="1" max="1"/>
    <col width="42" customWidth="1" style="26" min="2" max="2"/>
    <col width="16" customWidth="1" style="26" min="3" max="3"/>
    <col width="10" customWidth="1" style="26" min="4" max="4"/>
    <col width="60" customWidth="1" style="26" min="5" max="5"/>
  </cols>
  <sheetData>
    <row r="1" ht="17.35" customHeight="1" s="27">
      <c r="A1" s="28" t="inlineStr">
        <is>
          <t>Budsjett Elektro AS 2026 — sortert i grupper</t>
        </is>
      </c>
    </row>
    <row r="2" ht="45" customHeight="1" s="27">
      <c r="A2" s="30" t="inlineStr">
        <is>
          <t>Gruppekoder i kolonne D: R = inntekt · M = direkte materiell · L = direkte lønn (lønn i produksjonen med tillegg) · S = sosiale kostnader på lønna i produksjonen · D = driftsomkostninger (følger montørene ut) · F = fellesomkostninger (holder bedriften i gang). Bytt kode i kolonne D og se påslagene endre seg i fane 2.</t>
        </is>
      </c>
    </row>
    <row r="4" ht="15" customHeight="1" s="27">
      <c r="A4" s="31" t="inlineStr">
        <is>
          <t>Konto</t>
        </is>
      </c>
      <c r="B4" s="31" t="inlineStr">
        <is>
          <t>Navn</t>
        </is>
      </c>
      <c r="C4" s="31" t="inlineStr">
        <is>
          <t>Beløp (kr)</t>
        </is>
      </c>
      <c r="D4" s="31" t="inlineStr">
        <is>
          <t>Gruppekode</t>
        </is>
      </c>
      <c r="E4" s="31" t="inlineStr">
        <is>
          <t>Hvorfor denne gruppen</t>
        </is>
      </c>
    </row>
    <row r="5" ht="15" customHeight="1" s="27">
      <c r="B5" s="32" t="inlineStr">
        <is>
          <t>D R I F T S I N N T E K T E R</t>
        </is>
      </c>
    </row>
    <row r="6" ht="15" customHeight="1" s="27">
      <c r="A6" s="33" t="n">
        <v>3000</v>
      </c>
      <c r="B6" s="33" t="inlineStr">
        <is>
          <t>Salg materiell service</t>
        </is>
      </c>
      <c r="C6" s="34" t="n">
        <v>8500000</v>
      </c>
      <c r="D6" s="35" t="inlineStr">
        <is>
          <t>R</t>
        </is>
      </c>
      <c r="E6" s="33" t="inlineStr">
        <is>
          <t>Salgsinntekt</t>
        </is>
      </c>
    </row>
    <row r="7" ht="15" customHeight="1" s="27">
      <c r="A7" s="33" t="n">
        <v>3010</v>
      </c>
      <c r="B7" s="33" t="inlineStr">
        <is>
          <t>Salg arbeid service</t>
        </is>
      </c>
      <c r="C7" s="34" t="n">
        <v>12500000</v>
      </c>
      <c r="D7" s="35" t="inlineStr">
        <is>
          <t>R</t>
        </is>
      </c>
      <c r="E7" s="33" t="inlineStr">
        <is>
          <t>Salgsinntekt</t>
        </is>
      </c>
    </row>
    <row r="8" ht="15" customHeight="1" s="27">
      <c r="A8" s="33" t="n">
        <v>3040</v>
      </c>
      <c r="B8" s="33" t="inlineStr">
        <is>
          <t>Salg fastpris prosjekter</t>
        </is>
      </c>
      <c r="C8" s="34" t="n">
        <v>29000000</v>
      </c>
      <c r="D8" s="35" t="inlineStr">
        <is>
          <t>R</t>
        </is>
      </c>
      <c r="E8" s="33" t="inlineStr">
        <is>
          <t>Salgsinntekt</t>
        </is>
      </c>
    </row>
    <row r="9" ht="15" customHeight="1" s="27">
      <c r="B9" s="32" t="inlineStr">
        <is>
          <t>D R I F T S K O S T N A D E R</t>
        </is>
      </c>
    </row>
    <row r="10" ht="15" customHeight="1" s="27">
      <c r="A10" s="33" t="n">
        <v>4300</v>
      </c>
      <c r="B10" s="33" t="inlineStr">
        <is>
          <t>Innkjøp varer for videresalg</t>
        </is>
      </c>
      <c r="C10" s="34" t="n">
        <v>21000000</v>
      </c>
      <c r="D10" s="35" t="inlineStr">
        <is>
          <t>M</t>
        </is>
      </c>
      <c r="E10" s="33" t="inlineStr">
        <is>
          <t>Kan føres direkte på jobben (materiell, underentrepriser). Bonus trekker ned.</t>
        </is>
      </c>
    </row>
    <row r="11" ht="15" customHeight="1" s="27">
      <c r="A11" s="33" t="n">
        <v>4302</v>
      </c>
      <c r="B11" s="33" t="inlineStr">
        <is>
          <t>Bonuser varekjøp</t>
        </is>
      </c>
      <c r="C11" s="34" t="n">
        <v>-750000</v>
      </c>
      <c r="D11" s="35" t="inlineStr">
        <is>
          <t>M</t>
        </is>
      </c>
      <c r="E11" s="33" t="inlineStr">
        <is>
          <t>Kan føres direkte på jobben (materiell, underentrepriser). Bonus trekker ned.</t>
        </is>
      </c>
    </row>
    <row r="12" ht="15" customHeight="1" s="27">
      <c r="A12" s="33" t="n">
        <v>4500</v>
      </c>
      <c r="B12" s="33" t="inlineStr">
        <is>
          <t>Fremmedytelse og underentrepriser</t>
        </is>
      </c>
      <c r="C12" s="34" t="n">
        <v>1000000</v>
      </c>
      <c r="D12" s="35" t="inlineStr">
        <is>
          <t>M</t>
        </is>
      </c>
      <c r="E12" s="33" t="inlineStr">
        <is>
          <t>Kan føres direkte på jobben (materiell, underentrepriser). Bonus trekker ned.</t>
        </is>
      </c>
    </row>
    <row r="13" ht="15" customHeight="1" s="27">
      <c r="A13" s="33" t="n">
        <v>5000</v>
      </c>
      <c r="B13" s="33" t="inlineStr">
        <is>
          <t>Lønn produksjon</t>
        </is>
      </c>
      <c r="C13" s="34" t="n">
        <v>9000000</v>
      </c>
      <c r="D13" s="35" t="inlineStr">
        <is>
          <t>L</t>
        </is>
      </c>
      <c r="E13" s="33" t="inlineStr">
        <is>
          <t>Montørens timelønn med bastillegg — kalles «sum arbeidslønn» i kalkyleprogrammene</t>
        </is>
      </c>
    </row>
    <row r="14" ht="15" customHeight="1" s="27">
      <c r="A14" s="33" t="n">
        <v>5002</v>
      </c>
      <c r="B14" s="33" t="inlineStr">
        <is>
          <t>Bastillegg</t>
        </is>
      </c>
      <c r="C14" s="34" t="n">
        <v>200000</v>
      </c>
      <c r="D14" s="35" t="inlineStr">
        <is>
          <t>L</t>
        </is>
      </c>
      <c r="E14" s="33" t="inlineStr">
        <is>
          <t>Montørens timelønn med bastillegg — kalles «sum arbeidslønn» i kalkyleprogrammene</t>
        </is>
      </c>
    </row>
    <row r="15" ht="15" customHeight="1" s="27">
      <c r="A15" s="33" t="n">
        <v>5010</v>
      </c>
      <c r="B15" s="33" t="inlineStr">
        <is>
          <t>Helligdagsgodtgj. produksjon</t>
        </is>
      </c>
      <c r="C15" s="34" t="n">
        <v>400000</v>
      </c>
      <c r="D15" s="35" t="inlineStr">
        <is>
          <t>S</t>
        </is>
      </c>
      <c r="E15" s="33" t="inlineStr">
        <is>
          <t>Sosiale kostnader på produksjonslønna: feriepenger, helligdager, sykelønn, arbeidsgiveravgift, yrkesskadeforsikring</t>
        </is>
      </c>
    </row>
    <row r="16" ht="15" customHeight="1" s="27">
      <c r="A16" s="33" t="n">
        <v>5020</v>
      </c>
      <c r="B16" s="33" t="inlineStr">
        <is>
          <t>Sykelønn produksjon</t>
        </is>
      </c>
      <c r="C16" s="34" t="n">
        <v>300000</v>
      </c>
      <c r="D16" s="35" t="inlineStr">
        <is>
          <t>S</t>
        </is>
      </c>
      <c r="E16" s="33" t="inlineStr">
        <is>
          <t>Sosiale kostnader på produksjonslønna: feriepenger, helligdager, sykelønn, arbeidsgiveravgift, yrkesskadeforsikring</t>
        </is>
      </c>
    </row>
    <row r="17" ht="15" customHeight="1" s="27">
      <c r="A17" s="33" t="n">
        <v>5030</v>
      </c>
      <c r="B17" s="33" t="inlineStr">
        <is>
          <t>Feriepenger produksjon</t>
        </is>
      </c>
      <c r="C17" s="34" t="n">
        <v>1200000</v>
      </c>
      <c r="D17" s="35" t="inlineStr">
        <is>
          <t>S</t>
        </is>
      </c>
      <c r="E17" s="33" t="inlineStr">
        <is>
          <t>Sosiale kostnader på produksjonslønna: feriepenger, helligdager, sykelønn, arbeidsgiveravgift, yrkesskadeforsikring</t>
        </is>
      </c>
    </row>
    <row r="18" ht="15" customHeight="1" s="27">
      <c r="A18" s="33" t="n">
        <v>5100</v>
      </c>
      <c r="B18" s="33" t="inlineStr">
        <is>
          <t>Lønn administrasjon</t>
        </is>
      </c>
      <c r="C18" s="34" t="n">
        <v>3600000</v>
      </c>
      <c r="D18" s="35" t="inlineStr">
        <is>
          <t>F</t>
        </is>
      </c>
      <c r="E18" s="33" t="inlineStr">
        <is>
          <t>Fellesomkostning: administrasjon, lokaler, kontor, reklame, forsikring, tap</t>
        </is>
      </c>
    </row>
    <row r="19" ht="15" customHeight="1" s="27">
      <c r="A19" s="33" t="n">
        <v>5120</v>
      </c>
      <c r="B19" s="33" t="inlineStr">
        <is>
          <t>Sykelønn adm.</t>
        </is>
      </c>
      <c r="C19" s="34" t="n">
        <v>75000</v>
      </c>
      <c r="D19" s="35" t="inlineStr">
        <is>
          <t>F</t>
        </is>
      </c>
      <c r="E19" s="33" t="inlineStr">
        <is>
          <t>Fellesomkostning: administrasjon, lokaler, kontor, reklame, forsikring, tap</t>
        </is>
      </c>
    </row>
    <row r="20" ht="15" customHeight="1" s="27">
      <c r="A20" s="33" t="n">
        <v>5130</v>
      </c>
      <c r="B20" s="33" t="inlineStr">
        <is>
          <t>Feriepenger adm.</t>
        </is>
      </c>
      <c r="C20" s="34" t="n">
        <v>450000</v>
      </c>
      <c r="D20" s="35" t="inlineStr">
        <is>
          <t>F</t>
        </is>
      </c>
      <c r="E20" s="33" t="inlineStr">
        <is>
          <t>Fellesomkostning: administrasjon, lokaler, kontor, reklame, forsikring, tap</t>
        </is>
      </c>
    </row>
    <row r="21" ht="15" customHeight="1" s="27">
      <c r="A21" s="33" t="n">
        <v>5211</v>
      </c>
      <c r="B21" s="33" t="inlineStr">
        <is>
          <t>Fordel fri mobiltelefon</t>
        </is>
      </c>
      <c r="C21" s="34" t="n">
        <v>100000</v>
      </c>
      <c r="D21" s="35" t="inlineStr">
        <is>
          <t>F</t>
        </is>
      </c>
      <c r="E21" s="33" t="inlineStr">
        <is>
          <t>Fellesomkostning: administrasjon, lokaler, kontor, reklame, forsikring, tap</t>
        </is>
      </c>
    </row>
    <row r="22" ht="15" customHeight="1" s="27">
      <c r="A22" s="33" t="n">
        <v>5945</v>
      </c>
      <c r="B22" s="33" t="inlineStr">
        <is>
          <t>OTP</t>
        </is>
      </c>
      <c r="C22" s="34" t="n">
        <v>650000</v>
      </c>
      <c r="D22" s="35" t="inlineStr">
        <is>
          <t>F</t>
        </is>
      </c>
      <c r="E22" s="33" t="inlineStr">
        <is>
          <t>Fellesomkostning: administrasjon, lokaler, kontor, reklame, forsikring, tap</t>
        </is>
      </c>
    </row>
    <row r="23" ht="15" customHeight="1" s="27">
      <c r="A23" s="33" t="n">
        <v>5400</v>
      </c>
      <c r="B23" s="33" t="inlineStr">
        <is>
          <t>Arbeidsg.avgift produksjon</t>
        </is>
      </c>
      <c r="C23" s="34" t="n">
        <v>1600000</v>
      </c>
      <c r="D23" s="35" t="inlineStr">
        <is>
          <t>S</t>
        </is>
      </c>
      <c r="E23" s="33" t="inlineStr">
        <is>
          <t>Sosiale kostnader på produksjonslønna: feriepenger, helligdager, sykelønn, arbeidsgiveravgift, yrkesskadeforsikring</t>
        </is>
      </c>
    </row>
    <row r="24" ht="15" customHeight="1" s="27">
      <c r="A24" s="33" t="n">
        <v>5401</v>
      </c>
      <c r="B24" s="33" t="inlineStr">
        <is>
          <t>Arbeidsg.avgift adm.</t>
        </is>
      </c>
      <c r="C24" s="34" t="n">
        <v>700000</v>
      </c>
      <c r="D24" s="35" t="inlineStr">
        <is>
          <t>F</t>
        </is>
      </c>
      <c r="E24" s="33" t="inlineStr">
        <is>
          <t>Fellesomkostning: administrasjon, lokaler, kontor, reklame, forsikring, tap</t>
        </is>
      </c>
    </row>
    <row r="25" ht="15" customHeight="1" s="27">
      <c r="A25" s="33" t="n">
        <v>5452</v>
      </c>
      <c r="B25" s="33" t="inlineStr">
        <is>
          <t>Innsk.pensjon</t>
        </is>
      </c>
      <c r="C25" s="34" t="n">
        <v>600000</v>
      </c>
      <c r="D25" s="35" t="inlineStr">
        <is>
          <t>F</t>
        </is>
      </c>
      <c r="E25" s="33" t="inlineStr">
        <is>
          <t>Fellesomkostning: administrasjon, lokaler, kontor, reklame, forsikring, tap</t>
        </is>
      </c>
    </row>
    <row r="26" ht="15" customHeight="1" s="27">
      <c r="A26" s="33" t="n">
        <v>5700</v>
      </c>
      <c r="B26" s="33" t="inlineStr">
        <is>
          <t>Lærlingtilskudd</t>
        </is>
      </c>
      <c r="C26" s="34" t="n">
        <v>-300000</v>
      </c>
      <c r="D26" s="35" t="inlineStr">
        <is>
          <t>F</t>
        </is>
      </c>
      <c r="E26" s="33" t="inlineStr">
        <is>
          <t>Fellesomkostning: administrasjon, lokaler, kontor, reklame, forsikring, tap</t>
        </is>
      </c>
    </row>
    <row r="27" ht="15" customHeight="1" s="27">
      <c r="A27" s="33" t="n">
        <v>5920</v>
      </c>
      <c r="B27" s="33" t="inlineStr">
        <is>
          <t>Yrkesskadeforsikr. produksjon</t>
        </is>
      </c>
      <c r="C27" s="34" t="n">
        <v>60000</v>
      </c>
      <c r="D27" s="35" t="inlineStr">
        <is>
          <t>S</t>
        </is>
      </c>
      <c r="E27" s="33" t="inlineStr">
        <is>
          <t>Sosiale kostnader på produksjonslønna: feriepenger, helligdager, sykelønn, arbeidsgiveravgift, yrkesskadeforsikring</t>
        </is>
      </c>
    </row>
    <row r="28" ht="15" customHeight="1" s="27">
      <c r="A28" s="33" t="n">
        <v>5990</v>
      </c>
      <c r="B28" s="33" t="inlineStr">
        <is>
          <t>Kurs og opplæring</t>
        </is>
      </c>
      <c r="C28" s="34" t="n">
        <v>150000</v>
      </c>
      <c r="D28" s="35" t="inlineStr">
        <is>
          <t>D</t>
        </is>
      </c>
      <c r="E28" s="33" t="inlineStr">
        <is>
          <t>Driftsomkostning: følger montørene ut (biler, verktøy, bompenger, garanti, kurs)</t>
        </is>
      </c>
    </row>
    <row r="29" ht="15" customHeight="1" s="27">
      <c r="A29" s="33" t="n">
        <v>5992</v>
      </c>
      <c r="B29" s="33" t="inlineStr">
        <is>
          <t>Sosiale aktiviteter</t>
        </is>
      </c>
      <c r="C29" s="34" t="n">
        <v>100000</v>
      </c>
      <c r="D29" s="35" t="inlineStr">
        <is>
          <t>F</t>
        </is>
      </c>
      <c r="E29" s="33" t="inlineStr">
        <is>
          <t>Fellesomkostning: administrasjon, lokaler, kontor, reklame, forsikring, tap</t>
        </is>
      </c>
    </row>
    <row r="30" ht="15" customHeight="1" s="27">
      <c r="A30" s="33" t="n">
        <v>6010</v>
      </c>
      <c r="B30" s="33" t="inlineStr">
        <is>
          <t>Avskrivning på tr.midler/mask./inventar</t>
        </is>
      </c>
      <c r="C30" s="34" t="n">
        <v>250000</v>
      </c>
      <c r="D30" s="35" t="inlineStr">
        <is>
          <t>D</t>
        </is>
      </c>
      <c r="E30" s="33" t="inlineStr">
        <is>
          <t>Driftsomkostning: følger montørene ut (biler, verktøy, bompenger, garanti, kurs)</t>
        </is>
      </c>
    </row>
    <row r="31" ht="15" customHeight="1" s="27">
      <c r="A31" s="33" t="n">
        <v>6300</v>
      </c>
      <c r="B31" s="33" t="inlineStr">
        <is>
          <t>Leie lokaler</t>
        </is>
      </c>
      <c r="C31" s="34" t="n">
        <v>750000</v>
      </c>
      <c r="D31" s="35" t="inlineStr">
        <is>
          <t>F</t>
        </is>
      </c>
      <c r="E31" s="33" t="inlineStr">
        <is>
          <t>Fellesomkostning: administrasjon, lokaler, kontor, reklame, forsikring, tap</t>
        </is>
      </c>
    </row>
    <row r="32" ht="15" customHeight="1" s="27">
      <c r="A32" s="33" t="n">
        <v>6344</v>
      </c>
      <c r="B32" s="33" t="inlineStr">
        <is>
          <t>Strøm</t>
        </is>
      </c>
      <c r="C32" s="34" t="n">
        <v>60000</v>
      </c>
      <c r="D32" s="35" t="inlineStr">
        <is>
          <t>F</t>
        </is>
      </c>
      <c r="E32" s="33" t="inlineStr">
        <is>
          <t>Fellesomkostning: administrasjon, lokaler, kontor, reklame, forsikring, tap</t>
        </is>
      </c>
    </row>
    <row r="33" ht="15" customHeight="1" s="27">
      <c r="A33" s="33" t="n">
        <v>6360</v>
      </c>
      <c r="B33" s="33" t="inlineStr">
        <is>
          <t>Renhold</t>
        </is>
      </c>
      <c r="C33" s="34" t="n">
        <v>100000</v>
      </c>
      <c r="D33" s="35" t="inlineStr">
        <is>
          <t>F</t>
        </is>
      </c>
      <c r="E33" s="33" t="inlineStr">
        <is>
          <t>Fellesomkostning: administrasjon, lokaler, kontor, reklame, forsikring, tap</t>
        </is>
      </c>
    </row>
    <row r="34" ht="15" customHeight="1" s="27">
      <c r="A34" s="33" t="n">
        <v>6390</v>
      </c>
      <c r="B34" s="33" t="inlineStr">
        <is>
          <t>Renovasjon</t>
        </is>
      </c>
      <c r="C34" s="34" t="n">
        <v>20000</v>
      </c>
      <c r="D34" s="35" t="inlineStr">
        <is>
          <t>F</t>
        </is>
      </c>
      <c r="E34" s="33" t="inlineStr">
        <is>
          <t>Fellesomkostning: administrasjon, lokaler, kontor, reklame, forsikring, tap</t>
        </is>
      </c>
    </row>
    <row r="35" ht="15" customHeight="1" s="27">
      <c r="A35" s="33" t="n">
        <v>6430</v>
      </c>
      <c r="B35" s="33" t="inlineStr">
        <is>
          <t>Leie av kopimaskin</t>
        </is>
      </c>
      <c r="C35" s="34" t="n">
        <v>15000</v>
      </c>
      <c r="D35" s="35" t="inlineStr">
        <is>
          <t>F</t>
        </is>
      </c>
      <c r="E35" s="33" t="inlineStr">
        <is>
          <t>Fellesomkostning: administrasjon, lokaler, kontor, reklame, forsikring, tap</t>
        </is>
      </c>
    </row>
    <row r="36" ht="15" customHeight="1" s="27">
      <c r="A36" s="33" t="n">
        <v>6500</v>
      </c>
      <c r="B36" s="33" t="inlineStr">
        <is>
          <t>Motordrevet verktøy</t>
        </is>
      </c>
      <c r="C36" s="34" t="n">
        <v>25000</v>
      </c>
      <c r="D36" s="35" t="inlineStr">
        <is>
          <t>D</t>
        </is>
      </c>
      <c r="E36" s="33" t="inlineStr">
        <is>
          <t>Driftsomkostning: følger montørene ut (biler, verktøy, bompenger, garanti, kurs)</t>
        </is>
      </c>
    </row>
    <row r="37" ht="15" customHeight="1" s="27">
      <c r="A37" s="33" t="n">
        <v>6510</v>
      </c>
      <c r="B37" s="33" t="inlineStr">
        <is>
          <t>Håndverktøy</t>
        </is>
      </c>
      <c r="C37" s="34" t="n">
        <v>125000</v>
      </c>
      <c r="D37" s="35" t="inlineStr">
        <is>
          <t>D</t>
        </is>
      </c>
      <c r="E37" s="33" t="inlineStr">
        <is>
          <t>Driftsomkostning: følger montørene ut (biler, verktøy, bompenger, garanti, kurs)</t>
        </is>
      </c>
    </row>
    <row r="38" ht="15" customHeight="1" s="27">
      <c r="A38" s="33" t="n">
        <v>6520</v>
      </c>
      <c r="B38" s="33" t="inlineStr">
        <is>
          <t>Hjelpeverktøy</t>
        </is>
      </c>
      <c r="C38" s="34" t="n">
        <v>5000</v>
      </c>
      <c r="D38" s="35" t="inlineStr">
        <is>
          <t>D</t>
        </is>
      </c>
      <c r="E38" s="33" t="inlineStr">
        <is>
          <t>Driftsomkostning: følger montørene ut (biler, verktøy, bompenger, garanti, kurs)</t>
        </is>
      </c>
    </row>
    <row r="39" ht="15" customHeight="1" s="27">
      <c r="A39" s="33" t="n">
        <v>6570</v>
      </c>
      <c r="B39" s="33" t="inlineStr">
        <is>
          <t>Arbeidsklær og verneutstyr</t>
        </is>
      </c>
      <c r="C39" s="34" t="n">
        <v>75000</v>
      </c>
      <c r="D39" s="35" t="inlineStr">
        <is>
          <t>D</t>
        </is>
      </c>
      <c r="E39" s="33" t="inlineStr">
        <is>
          <t>Driftsomkostning: følger montørene ut (biler, verktøy, bompenger, garanti, kurs)</t>
        </is>
      </c>
    </row>
    <row r="40" ht="15" customHeight="1" s="27">
      <c r="A40" s="33" t="n">
        <v>6580</v>
      </c>
      <c r="B40" s="33" t="inlineStr">
        <is>
          <t>Datautstyr og programvare</t>
        </is>
      </c>
      <c r="C40" s="34" t="n">
        <v>25000</v>
      </c>
      <c r="D40" s="35" t="inlineStr">
        <is>
          <t>D</t>
        </is>
      </c>
      <c r="E40" s="33" t="inlineStr">
        <is>
          <t>Driftsomkostning: følger montørene ut (biler, verktøy, bompenger, garanti, kurs)</t>
        </is>
      </c>
    </row>
    <row r="41" ht="15" customHeight="1" s="27">
      <c r="A41" s="33" t="n">
        <v>6590</v>
      </c>
      <c r="B41" s="33" t="inlineStr">
        <is>
          <t>Telefon kjøp</t>
        </is>
      </c>
      <c r="C41" s="34" t="n">
        <v>50000</v>
      </c>
      <c r="D41" s="35" t="inlineStr">
        <is>
          <t>D</t>
        </is>
      </c>
      <c r="E41" s="33" t="inlineStr">
        <is>
          <t>Driftsomkostning: følger montørene ut (biler, verktøy, bompenger, garanti, kurs)</t>
        </is>
      </c>
    </row>
    <row r="42" ht="15" customHeight="1" s="27">
      <c r="A42" s="33" t="n">
        <v>6700</v>
      </c>
      <c r="B42" s="33" t="inlineStr">
        <is>
          <t>Revisjon/regnskapshonorar</t>
        </is>
      </c>
      <c r="C42" s="34" t="n">
        <v>150000</v>
      </c>
      <c r="D42" s="35" t="inlineStr">
        <is>
          <t>F</t>
        </is>
      </c>
      <c r="E42" s="33" t="inlineStr">
        <is>
          <t>Fellesomkostning: administrasjon, lokaler, kontor, reklame, forsikring, tap</t>
        </is>
      </c>
    </row>
    <row r="43" ht="15" customHeight="1" s="27">
      <c r="A43" s="33" t="n">
        <v>6791</v>
      </c>
      <c r="B43" s="33" t="inlineStr">
        <is>
          <t>Inkassotjenester</t>
        </is>
      </c>
      <c r="C43" s="34" t="n">
        <v>50000</v>
      </c>
      <c r="D43" s="35" t="inlineStr">
        <is>
          <t>F</t>
        </is>
      </c>
      <c r="E43" s="33" t="inlineStr">
        <is>
          <t>Fellesomkostning: administrasjon, lokaler, kontor, reklame, forsikring, tap</t>
        </is>
      </c>
    </row>
    <row r="44" ht="15" customHeight="1" s="27">
      <c r="A44" s="33" t="n">
        <v>6800</v>
      </c>
      <c r="B44" s="33" t="inlineStr">
        <is>
          <t>Kontorrekvisita</t>
        </is>
      </c>
      <c r="C44" s="34" t="n">
        <v>75000</v>
      </c>
      <c r="D44" s="35" t="inlineStr">
        <is>
          <t>F</t>
        </is>
      </c>
      <c r="E44" s="33" t="inlineStr">
        <is>
          <t>Fellesomkostning: administrasjon, lokaler, kontor, reklame, forsikring, tap</t>
        </is>
      </c>
    </row>
    <row r="45" ht="15" customHeight="1" s="27">
      <c r="A45" s="33" t="n">
        <v>6810</v>
      </c>
      <c r="B45" s="33" t="inlineStr">
        <is>
          <t>Datakostnader servertjenester</t>
        </is>
      </c>
      <c r="C45" s="34" t="n">
        <v>125000</v>
      </c>
      <c r="D45" s="35" t="inlineStr">
        <is>
          <t>F</t>
        </is>
      </c>
      <c r="E45" s="33" t="inlineStr">
        <is>
          <t>Fellesomkostning: administrasjon, lokaler, kontor, reklame, forsikring, tap</t>
        </is>
      </c>
    </row>
    <row r="46" ht="15" customHeight="1" s="27">
      <c r="A46" s="33" t="n">
        <v>6811</v>
      </c>
      <c r="B46" s="33" t="inlineStr">
        <is>
          <t>Elektroniske kjørebøker</t>
        </is>
      </c>
      <c r="C46" s="34" t="n">
        <v>50000</v>
      </c>
      <c r="D46" s="35" t="inlineStr">
        <is>
          <t>F</t>
        </is>
      </c>
      <c r="E46" s="33" t="inlineStr">
        <is>
          <t>Fellesomkostning: administrasjon, lokaler, kontor, reklame, forsikring, tap</t>
        </is>
      </c>
    </row>
    <row r="47" ht="15" customHeight="1" s="27">
      <c r="A47" s="33" t="n">
        <v>6820</v>
      </c>
      <c r="B47" s="33" t="inlineStr">
        <is>
          <t>Trykksaker</t>
        </is>
      </c>
      <c r="C47" s="34" t="n">
        <v>20000</v>
      </c>
      <c r="D47" s="35" t="inlineStr">
        <is>
          <t>F</t>
        </is>
      </c>
      <c r="E47" s="33" t="inlineStr">
        <is>
          <t>Fellesomkostning: administrasjon, lokaler, kontor, reklame, forsikring, tap</t>
        </is>
      </c>
    </row>
    <row r="48" ht="15" customHeight="1" s="27">
      <c r="A48" s="33" t="n">
        <v>6840</v>
      </c>
      <c r="B48" s="33" t="inlineStr">
        <is>
          <t>Aviser/tidsskrifter/bøker o.l.</t>
        </is>
      </c>
      <c r="C48" s="34" t="n">
        <v>10000</v>
      </c>
      <c r="D48" s="35" t="inlineStr">
        <is>
          <t>F</t>
        </is>
      </c>
      <c r="E48" s="33" t="inlineStr">
        <is>
          <t>Fellesomkostning: administrasjon, lokaler, kontor, reklame, forsikring, tap</t>
        </is>
      </c>
    </row>
    <row r="49" ht="15" customHeight="1" s="27">
      <c r="A49" s="33" t="n">
        <v>6860</v>
      </c>
      <c r="B49" s="33" t="inlineStr">
        <is>
          <t>Møte/kurs/oppdateringer o.l.</t>
        </is>
      </c>
      <c r="C49" s="34" t="n">
        <v>50000</v>
      </c>
      <c r="D49" s="35" t="inlineStr">
        <is>
          <t>F</t>
        </is>
      </c>
      <c r="E49" s="33" t="inlineStr">
        <is>
          <t>Fellesomkostning: administrasjon, lokaler, kontor, reklame, forsikring, tap</t>
        </is>
      </c>
    </row>
    <row r="50" ht="15" customHeight="1" s="27">
      <c r="A50" s="33" t="n">
        <v>6890</v>
      </c>
      <c r="B50" s="33" t="inlineStr">
        <is>
          <t>Annen kostnad</t>
        </is>
      </c>
      <c r="C50" s="34" t="n">
        <v>0</v>
      </c>
      <c r="D50" s="35" t="inlineStr">
        <is>
          <t>F</t>
        </is>
      </c>
      <c r="E50" s="33" t="inlineStr">
        <is>
          <t>Fellesomkostning: administrasjon, lokaler, kontor, reklame, forsikring, tap</t>
        </is>
      </c>
    </row>
    <row r="51" ht="15" customHeight="1" s="27">
      <c r="A51" s="33" t="n">
        <v>6900</v>
      </c>
      <c r="B51" s="33" t="inlineStr">
        <is>
          <t>Telefon</t>
        </is>
      </c>
      <c r="C51" s="34" t="n">
        <v>10000</v>
      </c>
      <c r="D51" s="35" t="inlineStr">
        <is>
          <t>F</t>
        </is>
      </c>
      <c r="E51" s="33" t="inlineStr">
        <is>
          <t>Fellesomkostning: administrasjon, lokaler, kontor, reklame, forsikring, tap</t>
        </is>
      </c>
    </row>
    <row r="52" ht="15" customHeight="1" s="27">
      <c r="A52" s="33" t="n">
        <v>6920</v>
      </c>
      <c r="B52" s="33" t="inlineStr">
        <is>
          <t>Telefonbruk ansatt</t>
        </is>
      </c>
      <c r="C52" s="34" t="n">
        <v>175000</v>
      </c>
      <c r="D52" s="35" t="inlineStr">
        <is>
          <t>D</t>
        </is>
      </c>
      <c r="E52" s="33" t="inlineStr">
        <is>
          <t>Driftsomkostning: følger montørene ut (biler, verktøy, bompenger, garanti, kurs)</t>
        </is>
      </c>
    </row>
    <row r="53" ht="15" customHeight="1" s="27">
      <c r="A53" s="33" t="n">
        <v>6940</v>
      </c>
      <c r="B53" s="33" t="inlineStr">
        <is>
          <t>Porto</t>
        </is>
      </c>
      <c r="C53" s="34" t="n">
        <v>15000</v>
      </c>
      <c r="D53" s="35" t="inlineStr">
        <is>
          <t>F</t>
        </is>
      </c>
      <c r="E53" s="33" t="inlineStr">
        <is>
          <t>Fellesomkostning: administrasjon, lokaler, kontor, reklame, forsikring, tap</t>
        </is>
      </c>
    </row>
    <row r="54" ht="15" customHeight="1" s="27">
      <c r="A54" s="33" t="n">
        <v>6950</v>
      </c>
      <c r="B54" s="33" t="inlineStr">
        <is>
          <t>Bredbånd</t>
        </is>
      </c>
      <c r="C54" s="34" t="n">
        <v>15000</v>
      </c>
      <c r="D54" s="35" t="inlineStr">
        <is>
          <t>F</t>
        </is>
      </c>
      <c r="E54" s="33" t="inlineStr">
        <is>
          <t>Fellesomkostning: administrasjon, lokaler, kontor, reklame, forsikring, tap</t>
        </is>
      </c>
    </row>
    <row r="55" ht="15" customHeight="1" s="27">
      <c r="A55" s="33" t="n">
        <v>7000</v>
      </c>
      <c r="B55" s="33" t="inlineStr">
        <is>
          <t>Drivstoff transportmidler, produksjon</t>
        </is>
      </c>
      <c r="C55" s="34" t="n">
        <v>300000</v>
      </c>
      <c r="D55" s="35" t="inlineStr">
        <is>
          <t>D</t>
        </is>
      </c>
      <c r="E55" s="33" t="inlineStr">
        <is>
          <t>Driftsomkostning: følger montørene ut (biler, verktøy, bompenger, garanti, kurs)</t>
        </is>
      </c>
    </row>
    <row r="56" ht="15" customHeight="1" s="27">
      <c r="A56" s="33" t="n">
        <v>7020</v>
      </c>
      <c r="B56" s="33" t="inlineStr">
        <is>
          <t>Vedlikehold transp.midler produksjon</t>
        </is>
      </c>
      <c r="C56" s="34" t="n">
        <v>250000</v>
      </c>
      <c r="D56" s="35" t="inlineStr">
        <is>
          <t>D</t>
        </is>
      </c>
      <c r="E56" s="33" t="inlineStr">
        <is>
          <t>Driftsomkostning: følger montørene ut (biler, verktøy, bompenger, garanti, kurs)</t>
        </is>
      </c>
    </row>
    <row r="57" ht="15" customHeight="1" s="27">
      <c r="A57" s="33" t="n">
        <v>7040</v>
      </c>
      <c r="B57" s="33" t="inlineStr">
        <is>
          <t>Forsikring transp.midler produksjon</t>
        </is>
      </c>
      <c r="C57" s="34" t="n">
        <v>150000</v>
      </c>
      <c r="D57" s="35" t="inlineStr">
        <is>
          <t>D</t>
        </is>
      </c>
      <c r="E57" s="33" t="inlineStr">
        <is>
          <t>Driftsomkostning: følger montørene ut (biler, verktøy, bompenger, garanti, kurs)</t>
        </is>
      </c>
    </row>
    <row r="58" ht="15" customHeight="1" s="27">
      <c r="A58" s="33" t="n">
        <v>7050</v>
      </c>
      <c r="B58" s="33" t="inlineStr">
        <is>
          <t>Årsavgift transp.midler produksjon</t>
        </is>
      </c>
      <c r="C58" s="34" t="n">
        <v>50000</v>
      </c>
      <c r="D58" s="35" t="inlineStr">
        <is>
          <t>D</t>
        </is>
      </c>
      <c r="E58" s="33" t="inlineStr">
        <is>
          <t>Driftsomkostning: følger montørene ut (biler, verktøy, bompenger, garanti, kurs)</t>
        </is>
      </c>
    </row>
    <row r="59" ht="15" customHeight="1" s="27">
      <c r="A59" s="33" t="n">
        <v>7060</v>
      </c>
      <c r="B59" s="33" t="inlineStr">
        <is>
          <t>Leasing biler produksjon</t>
        </is>
      </c>
      <c r="C59" s="34" t="n">
        <v>500000</v>
      </c>
      <c r="D59" s="35" t="inlineStr">
        <is>
          <t>D</t>
        </is>
      </c>
      <c r="E59" s="33" t="inlineStr">
        <is>
          <t>Driftsomkostning: følger montørene ut (biler, verktøy, bompenger, garanti, kurs)</t>
        </is>
      </c>
    </row>
    <row r="60" ht="15" customHeight="1" s="27">
      <c r="A60" s="33" t="n">
        <v>7101</v>
      </c>
      <c r="B60" s="33" t="inlineStr">
        <is>
          <t>Km. godtgjørelse adm.</t>
        </is>
      </c>
      <c r="C60" s="34" t="n">
        <v>180000</v>
      </c>
      <c r="D60" s="35" t="inlineStr">
        <is>
          <t>F</t>
        </is>
      </c>
      <c r="E60" s="33" t="inlineStr">
        <is>
          <t>Fellesomkostning: administrasjon, lokaler, kontor, reklame, forsikring, tap</t>
        </is>
      </c>
    </row>
    <row r="61" ht="15" customHeight="1" s="27">
      <c r="A61" s="33" t="n">
        <v>7140</v>
      </c>
      <c r="B61" s="33" t="inlineStr">
        <is>
          <t>Bom, reisekostn. produksjon</t>
        </is>
      </c>
      <c r="C61" s="34" t="n">
        <v>150000</v>
      </c>
      <c r="D61" s="35" t="inlineStr">
        <is>
          <t>D</t>
        </is>
      </c>
      <c r="E61" s="33" t="inlineStr">
        <is>
          <t>Driftsomkostning: følger montørene ut (biler, verktøy, bompenger, garanti, kurs)</t>
        </is>
      </c>
    </row>
    <row r="62" ht="15" customHeight="1" s="27">
      <c r="A62" s="33" t="n">
        <v>7141</v>
      </c>
      <c r="B62" s="33" t="inlineStr">
        <is>
          <t>Parkering, reisekostn. produksjon</t>
        </is>
      </c>
      <c r="C62" s="34" t="n">
        <v>100000</v>
      </c>
      <c r="D62" s="35" t="inlineStr">
        <is>
          <t>D</t>
        </is>
      </c>
      <c r="E62" s="33" t="inlineStr">
        <is>
          <t>Driftsomkostning: følger montørene ut (biler, verktøy, bompenger, garanti, kurs)</t>
        </is>
      </c>
    </row>
    <row r="63" ht="15" customHeight="1" s="27">
      <c r="A63" s="33" t="n">
        <v>7300</v>
      </c>
      <c r="B63" s="33" t="inlineStr">
        <is>
          <t>Reklamekostnader</t>
        </is>
      </c>
      <c r="C63" s="34" t="n">
        <v>200000</v>
      </c>
      <c r="D63" s="35" t="inlineStr">
        <is>
          <t>F</t>
        </is>
      </c>
      <c r="E63" s="33" t="inlineStr">
        <is>
          <t>Fellesomkostning: administrasjon, lokaler, kontor, reklame, forsikring, tap</t>
        </is>
      </c>
    </row>
    <row r="64" ht="15" customHeight="1" s="27">
      <c r="A64" s="33" t="n">
        <v>7320</v>
      </c>
      <c r="B64" s="33" t="inlineStr">
        <is>
          <t>Markedsaktiviteter</t>
        </is>
      </c>
      <c r="C64" s="34" t="n">
        <v>100000</v>
      </c>
      <c r="D64" s="35" t="inlineStr">
        <is>
          <t>F</t>
        </is>
      </c>
      <c r="E64" s="33" t="inlineStr">
        <is>
          <t>Fellesomkostning: administrasjon, lokaler, kontor, reklame, forsikring, tap</t>
        </is>
      </c>
    </row>
    <row r="65" ht="15" customHeight="1" s="27">
      <c r="A65" s="33" t="n">
        <v>7500</v>
      </c>
      <c r="B65" s="33" t="inlineStr">
        <is>
          <t>Forsikringer</t>
        </is>
      </c>
      <c r="C65" s="34" t="n">
        <v>125000</v>
      </c>
      <c r="D65" s="35" t="inlineStr">
        <is>
          <t>F</t>
        </is>
      </c>
      <c r="E65" s="33" t="inlineStr">
        <is>
          <t>Fellesomkostning: administrasjon, lokaler, kontor, reklame, forsikring, tap</t>
        </is>
      </c>
    </row>
    <row r="66" ht="15" customHeight="1" s="27">
      <c r="A66" s="33" t="n">
        <v>7550</v>
      </c>
      <c r="B66" s="33" t="inlineStr">
        <is>
          <t>Garantikostnad</t>
        </is>
      </c>
      <c r="C66" s="34" t="n">
        <v>10000</v>
      </c>
      <c r="D66" s="35" t="inlineStr">
        <is>
          <t>D</t>
        </is>
      </c>
      <c r="E66" s="33" t="inlineStr">
        <is>
          <t>Driftsomkostning: følger montørene ut (biler, verktøy, bompenger, garanti, kurs)</t>
        </is>
      </c>
    </row>
    <row r="67" ht="15" customHeight="1" s="27">
      <c r="A67" s="33" t="n">
        <v>7560</v>
      </c>
      <c r="B67" s="33" t="inlineStr">
        <is>
          <t>Servicekostnad garantiarbeid</t>
        </is>
      </c>
      <c r="C67" s="34" t="n">
        <v>100000</v>
      </c>
      <c r="D67" s="35" t="inlineStr">
        <is>
          <t>D</t>
        </is>
      </c>
      <c r="E67" s="33" t="inlineStr">
        <is>
          <t>Driftsomkostning: følger montørene ut (biler, verktøy, bompenger, garanti, kurs)</t>
        </is>
      </c>
    </row>
    <row r="68" ht="15" customHeight="1" s="27">
      <c r="A68" s="33" t="n">
        <v>7830</v>
      </c>
      <c r="B68" s="33" t="inlineStr">
        <is>
          <t>Tap på kundefordringer</t>
        </is>
      </c>
      <c r="C68" s="34" t="n">
        <v>200000</v>
      </c>
      <c r="D68" s="35" t="inlineStr">
        <is>
          <t>F</t>
        </is>
      </c>
      <c r="E68" s="33" t="inlineStr">
        <is>
          <t>Fellesomkostning: administrasjon, lokaler, kontor, reklame, forsikring, tap</t>
        </is>
      </c>
    </row>
    <row r="70" ht="15" customHeight="1" s="27">
      <c r="B70" s="32" t="inlineStr">
        <is>
          <t>Sum inntekter</t>
        </is>
      </c>
      <c r="C70" s="36">
        <f>SUMIF(D5:D68,"R",C5:C68)</f>
        <v/>
      </c>
    </row>
    <row r="71" ht="15" customHeight="1" s="27">
      <c r="B71" s="32" t="inlineStr">
        <is>
          <t>Sum kostnader</t>
        </is>
      </c>
      <c r="C71" s="36">
        <f>SUM(C5:C68)-C70</f>
        <v/>
      </c>
    </row>
    <row r="72" ht="15" customHeight="1" s="27">
      <c r="B72" s="32" t="inlineStr">
        <is>
          <t>Driftsresultat</t>
        </is>
      </c>
      <c r="C72" s="36">
        <f>C70-C71</f>
        <v/>
      </c>
      <c r="E72" s="33" t="inlineStr">
        <is>
          <t>Kontroll: skal være 5 205 000 når budsjettet er uendret</t>
        </is>
      </c>
    </row>
    <row r="74" ht="15" customHeight="1" s="27">
      <c r="A74" s="33" t="inlineStr">
        <is>
          <t>Merk: i budsjettfila er inntektene ført med minus (regnskapsfortegn). Her er de snudd til pluss for å gjøre regningen lettere å følge.</t>
        </is>
      </c>
    </row>
  </sheetData>
  <mergeCells count="1">
    <mergeCell ref="A2:E2"/>
  </mergeCells>
  <dataValidations count="1">
    <dataValidation sqref="D6:D8 D10:D68" showDropDown="0" showInputMessage="0" showErrorMessage="0" allowBlank="0" type="list" errorStyle="stop" operator="between">
      <formula1>"R,M,L,S,D,F"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2" customWidth="1" style="26" min="1" max="1"/>
    <col width="18" customWidth="1" style="26" min="2" max="2"/>
    <col width="14" customWidth="1" style="26" min="3" max="3"/>
    <col width="70" customWidth="1" style="26" min="4" max="4"/>
  </cols>
  <sheetData>
    <row r="1" ht="17.35" customHeight="1" s="27">
      <c r="A1" s="28" t="inlineStr">
        <is>
          <t>Fra budsjett til påslag</t>
        </is>
      </c>
    </row>
    <row r="3" ht="15" customHeight="1" s="27">
      <c r="A3" s="31" t="inlineStr">
        <is>
          <t>Trinn</t>
        </is>
      </c>
      <c r="B3" s="31" t="inlineStr">
        <is>
          <t>Kroner</t>
        </is>
      </c>
      <c r="C3" s="31" t="inlineStr">
        <is>
          <t>Sats</t>
        </is>
      </c>
      <c r="D3" s="31" t="inlineStr">
        <is>
          <t>Slik regnes det</t>
        </is>
      </c>
    </row>
    <row r="4" ht="15" customHeight="1" s="27">
      <c r="A4" s="33" t="inlineStr">
        <is>
          <t>Direkte materiell (M)</t>
        </is>
      </c>
      <c r="B4" s="37">
        <f>SUMIF('1 Budsjett'!$D$5:$D$68,"M",'1 Budsjett'!$C$5:$C$68)</f>
        <v/>
      </c>
      <c r="D4" s="30" t="inlineStr">
        <is>
          <t>Konto 4300 − 4302 + 4500</t>
        </is>
      </c>
    </row>
    <row r="5" ht="15" customHeight="1" s="27">
      <c r="A5" s="33" t="inlineStr">
        <is>
          <t>Lønn i produksjonen (L): timelønn + bastillegg</t>
        </is>
      </c>
      <c r="B5" s="37">
        <f>SUMIF('1 Budsjett'!$D$5:$D$68,"L",'1 Budsjett'!$C$5:$C$68)</f>
        <v/>
      </c>
      <c r="D5" s="30" t="inlineStr">
        <is>
          <t>Konto 5000 og 5002. Kalles «sum arbeidslønn» i kalkyleprogrammene</t>
        </is>
      </c>
    </row>
    <row r="6" ht="27" customHeight="1" s="27">
      <c r="A6" s="33" t="inlineStr">
        <is>
          <t>Sosiale kostnader (S): feriepenger, helligdager, sykelønn, arbeidsgiveravgift, yrkesskadeforsikring</t>
        </is>
      </c>
      <c r="B6" s="37">
        <f>SUMIF('1 Budsjett'!$D$5:$D$68,"S",'1 Budsjett'!$C$5:$C$68)</f>
        <v/>
      </c>
      <c r="C6" s="38">
        <f>B7/(B20*B21)-1</f>
        <v/>
      </c>
      <c r="D6" s="30" t="inlineStr">
        <is>
          <t>Påslag for sosiale kostnader = all lønn i produksjonen / (timelønn × fakturerte timer) − 1. Regnes per fakturert time, slik at også timene som ikke faktureres blir dekket</t>
        </is>
      </c>
    </row>
    <row r="7" ht="15" customHeight="1" s="27">
      <c r="A7" s="32" t="inlineStr">
        <is>
          <t>= Direkte lønn (bokas begrep)</t>
        </is>
      </c>
      <c r="B7" s="36">
        <f>B5+B6</f>
        <v/>
      </c>
      <c r="D7" s="30" t="inlineStr">
        <is>
          <t>Lønn + sosiale kostnader. Boka: direkte lønnskostnader</t>
        </is>
      </c>
    </row>
    <row r="8" ht="15" customHeight="1" s="27">
      <c r="A8" s="33" t="inlineStr">
        <is>
          <t>Driftsomkostninger (D)</t>
        </is>
      </c>
      <c r="B8" s="37">
        <f>SUMIF('1 Budsjett'!$D$5:$D$68,"D",'1 Budsjett'!$C$5:$C$68)</f>
        <v/>
      </c>
      <c r="C8" s="38">
        <f>B8/B7</f>
        <v/>
      </c>
      <c r="D8" s="30" t="inlineStr">
        <is>
          <t>Driftsomkostninger / direkte lønn. I kalkyleprogrammene: prosent av lønn med sosiale kostnader</t>
        </is>
      </c>
    </row>
    <row r="9" ht="15" customHeight="1" s="27">
      <c r="A9" s="33" t="inlineStr">
        <is>
          <t>Fellesomkostninger (F)</t>
        </is>
      </c>
      <c r="B9" s="37">
        <f>SUMIF('1 Budsjett'!$D$5:$D$68,"F",'1 Budsjett'!$C$5:$C$68)</f>
        <v/>
      </c>
      <c r="C9" s="38">
        <f>B9/(B7+B8)</f>
        <v/>
      </c>
      <c r="D9" s="30" t="inlineStr">
        <is>
          <t>Fellesomkostninger / (direkte lønn + driftsomkostninger). I kalkyleprogrammene: prosent av summen med driftsomkostninger</t>
        </is>
      </c>
    </row>
    <row r="10" ht="15" customHeight="1" s="27">
      <c r="A10" s="32">
        <f> Indirekte kostnader (driftsomkostninger + fellesomkostninger)</f>
        <v/>
      </c>
      <c r="B10" s="36">
        <f>B8+B9</f>
        <v/>
      </c>
      <c r="C10" s="38">
        <f>B10/B7</f>
        <v/>
      </c>
      <c r="D10" s="30" t="inlineStr">
        <is>
          <t>Boka: tilleggssats = indirekte kostnader / direkte lønn</t>
        </is>
      </c>
    </row>
    <row r="11" ht="15" customHeight="1" s="27">
      <c r="A11" s="32" t="inlineStr">
        <is>
          <t>= Sum kostnader (selvkost for året)</t>
        </is>
      </c>
      <c r="B11" s="36">
        <f>B4+B7+B10</f>
        <v/>
      </c>
      <c r="D11" s="30" t="inlineStr">
        <is>
          <t>Kontroll mot budsjettet: skal være lik sum kostnader</t>
        </is>
      </c>
    </row>
    <row r="12" ht="15" customHeight="1" s="27">
      <c r="A12" s="33" t="inlineStr">
        <is>
          <t>Driftsresultat (budsjettert fortjeneste)</t>
        </is>
      </c>
      <c r="B12" s="37">
        <f>'1 Budsjett'!$C$72</f>
        <v/>
      </c>
      <c r="C12" s="38">
        <f>B12/B11</f>
        <v/>
      </c>
      <c r="D12" s="30" t="inlineStr">
        <is>
          <t>Fortjeneste i % av selvkost = driftsresultat / sum kostnader</t>
        </is>
      </c>
    </row>
    <row r="13" ht="15" customHeight="1" s="27">
      <c r="A13" s="32" t="inlineStr">
        <is>
          <t>= Omsetning</t>
        </is>
      </c>
      <c r="B13" s="36">
        <f>B11+B12</f>
        <v/>
      </c>
      <c r="D13" s="30" t="inlineStr">
        <is>
          <t>Kontroll: skal bli 50 000 000</t>
        </is>
      </c>
    </row>
    <row r="15" ht="15" customHeight="1" s="27">
      <c r="A15" s="39" t="inlineStr">
        <is>
          <t>Kontroll: påslag for påslag gir samme faktor som boka</t>
        </is>
      </c>
    </row>
    <row r="16" ht="27" customHeight="1" s="27">
      <c r="A16" s="33" t="inlineStr">
        <is>
          <t>Kalkyleprogrammene: (1 + driftsomkostninger %) × (1 + fellesomkostninger %)</t>
        </is>
      </c>
      <c r="C16" s="40">
        <f>(1+C8)*(1+C9)</f>
        <v/>
      </c>
      <c r="D16" s="30" t="inlineStr">
        <is>
          <t>De to tallene er like. Kalkyleprogrammene går to trinn, boka ett, men det er de samme kronene.</t>
        </is>
      </c>
    </row>
    <row r="17" ht="15" customHeight="1" s="27">
      <c r="A17" s="33" t="inlineStr">
        <is>
          <t>Boka: 1 + tilleggssats</t>
        </is>
      </c>
      <c r="C17" s="40">
        <f>1+C10</f>
        <v/>
      </c>
    </row>
    <row r="19" ht="15" customHeight="1" s="27">
      <c r="A19" s="33" t="inlineStr">
        <is>
          <t>Avstemming mot budsjettet</t>
        </is>
      </c>
      <c r="B19" s="41">
        <f>B11-'1 Budsjett'!$C$71</f>
        <v/>
      </c>
      <c r="D19" s="33" t="inlineStr">
        <is>
          <t>Skal være 0. Er det ikke 0, har en konto fått en gruppe som ikke finnes.</t>
        </is>
      </c>
    </row>
    <row r="20" ht="15" customHeight="1" s="27">
      <c r="A20" s="32" t="inlineStr">
        <is>
          <t>Timelønn (tariff + tillegg)</t>
        </is>
      </c>
      <c r="B20" s="34" t="n">
        <v>300</v>
      </c>
      <c r="D20" s="33" t="inlineStr">
        <is>
          <t>Forutsetning: gjennomsnittlig timelønn med tillegg, litt over fastlønna for fagarbeidere i Landsoverenskomsten for elektrofagene (282,95 kr fra 1. mai 2026)</t>
        </is>
      </c>
    </row>
    <row r="21" ht="15" customHeight="1" s="27">
      <c r="A21" s="32" t="inlineStr">
        <is>
          <t>Fakturerte timer i året</t>
        </is>
      </c>
      <c r="B21" s="34" t="n">
        <v>26979</v>
      </c>
      <c r="D21" s="33" t="inlineStr">
        <is>
          <t>Forutsetning: 9 200 000 / (300 × 1 680) = 18,25 årsverk × 1 478 fakturerte timer per årsverk</t>
        </is>
      </c>
    </row>
    <row r="23" ht="15" customHeight="1" s="27">
      <c r="A23" s="39" t="inlineStr">
        <is>
          <t>Påslagene i kroner per fakturert time (kalkyleprogrammene godtar både prosent og kroner)</t>
        </is>
      </c>
    </row>
    <row r="24" ht="15" customHeight="1" s="27">
      <c r="A24" s="33" t="inlineStr">
        <is>
          <t>Sosiale kostnader</t>
        </is>
      </c>
      <c r="C24" s="41">
        <f>B20*C6</f>
        <v/>
      </c>
    </row>
    <row r="25" ht="15" customHeight="1" s="27">
      <c r="A25" s="33" t="inlineStr">
        <is>
          <t>Driftsomkostninger</t>
        </is>
      </c>
      <c r="C25" s="41">
        <f>B8/B21</f>
        <v/>
      </c>
    </row>
    <row r="26" ht="15" customHeight="1" s="27">
      <c r="A26" s="33" t="inlineStr">
        <is>
          <t>Fellesomkostninger</t>
        </is>
      </c>
      <c r="C26" s="41">
        <f>B9/B21</f>
        <v/>
      </c>
    </row>
    <row r="27" ht="15" customHeight="1" s="27">
      <c r="A27" s="32" t="inlineStr">
        <is>
          <t>Timekost = timelønn + sosiale kostnader</t>
        </is>
      </c>
      <c r="C27" s="36">
        <f>B20+C24</f>
        <v/>
      </c>
    </row>
    <row r="28" ht="15" customHeight="1" s="27">
      <c r="A28" s="32" t="inlineStr">
        <is>
          <t>Selvkost per time = timekost + driftsomkostninger + fellesomkostninger</t>
        </is>
      </c>
      <c r="C28" s="36">
        <f>C27+C25+C26</f>
        <v/>
      </c>
    </row>
    <row r="29" ht="15" customHeight="1" s="27">
      <c r="A29" s="32" t="inlineStr">
        <is>
          <t>Timepris til kunden = selvkost × (1 + fortjeneste)</t>
        </is>
      </c>
      <c r="C29" s="36">
        <f>C28*(1+C12)</f>
        <v/>
      </c>
    </row>
    <row r="30" ht="15" customHeight="1" s="27">
      <c r="A30" s="32" t="inlineStr">
        <is>
          <t>Timepris delt på timelønn (kalles faktor arbeid i kalkyleprogrammene)</t>
        </is>
      </c>
      <c r="C30" s="42">
        <f>C29/B20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26" min="1" max="1"/>
    <col width="16" customWidth="1" style="26" min="2" max="3"/>
    <col width="64" customWidth="1" style="26" min="4" max="4"/>
  </cols>
  <sheetData>
    <row r="1" ht="17.35" customHeight="1" s="27">
      <c r="A1" s="28" t="inlineStr">
        <is>
          <t>Selvkostkalkyle for én jobb — slik boka gjør det</t>
        </is>
      </c>
    </row>
    <row r="2" ht="30" customHeight="1" s="27">
      <c r="A2" s="30" t="inlineStr">
        <is>
          <t>Økonomistyring for LØM-emnet, kap. 5.2, eksempel 3: direkte kostnader + indirekte kostnader = selvkost, + fortjeneste i % av selvkost = pris.</t>
        </is>
      </c>
    </row>
    <row r="4" ht="15" customHeight="1" s="27">
      <c r="A4" s="39" t="inlineStr">
        <is>
          <t>Forutsetninger for jobben</t>
        </is>
      </c>
    </row>
    <row r="5" ht="15" customHeight="1" s="27">
      <c r="A5" s="33" t="inlineStr">
        <is>
          <t>Fakturerte timer på jobben</t>
        </is>
      </c>
      <c r="B5" s="35" t="n">
        <v>25</v>
      </c>
    </row>
    <row r="6" ht="15" customHeight="1" s="27">
      <c r="A6" s="33" t="inlineStr">
        <is>
          <t>Timelønn (fra fane 2)</t>
        </is>
      </c>
      <c r="B6" s="37">
        <f>'2 Satser'!B20</f>
        <v/>
      </c>
    </row>
    <row r="7" ht="15" customHeight="1" s="27">
      <c r="A7" s="33" t="inlineStr">
        <is>
          <t>Materiell, netto innkjøpspris</t>
        </is>
      </c>
      <c r="B7" s="34" t="n">
        <v>10000</v>
      </c>
    </row>
    <row r="8" ht="15" customHeight="1" s="27">
      <c r="A8" s="33" t="inlineStr">
        <is>
          <t>Sosiale kostnader (fra fane 2)</t>
        </is>
      </c>
      <c r="B8" s="43">
        <f>'2 Satser'!C6</f>
        <v/>
      </c>
    </row>
    <row r="9" ht="15" customHeight="1" s="27">
      <c r="A9" s="33" t="inlineStr">
        <is>
          <t>Tilleggssats for indirekte kostnader (fra fane 2)</t>
        </is>
      </c>
      <c r="B9" s="43">
        <f>'2 Satser'!C10</f>
        <v/>
      </c>
    </row>
    <row r="10" ht="15" customHeight="1" s="27">
      <c r="A10" s="33" t="inlineStr">
        <is>
          <t>Fortjeneste i % av selvkost (fra fane 2)</t>
        </is>
      </c>
      <c r="B10" s="43">
        <f>'2 Satser'!C12</f>
        <v/>
      </c>
    </row>
    <row r="11" ht="15" customHeight="1" s="27">
      <c r="A11" s="33" t="inlineStr">
        <is>
          <t>Merverdiavgift</t>
        </is>
      </c>
      <c r="B11" s="44" t="n">
        <v>0.25</v>
      </c>
    </row>
    <row r="13" ht="15" customHeight="1" s="27">
      <c r="A13" s="39" t="inlineStr">
        <is>
          <t>Kalkylen</t>
        </is>
      </c>
      <c r="C13" s="32" t="inlineStr">
        <is>
          <t>Kroner</t>
        </is>
      </c>
      <c r="D13" s="32" t="inlineStr">
        <is>
          <t>Utregning</t>
        </is>
      </c>
    </row>
    <row r="14" ht="27" customHeight="1" s="27">
      <c r="A14" s="33" t="inlineStr">
        <is>
          <t>Direkte lønnskostnader</t>
        </is>
      </c>
      <c r="C14" s="41">
        <f>B5*B6*(1+B8)</f>
        <v/>
      </c>
      <c r="D14" s="30" t="inlineStr">
        <is>
          <t>Timer × lønn per time × (1 + sosiale kostnader). Boka kaller timekosten «timepris» i eksempel 3. Det er bedriftens kostnad, ikke kundens pris</t>
        </is>
      </c>
    </row>
    <row r="15" ht="15" customHeight="1" s="27">
      <c r="A15" s="33" t="inlineStr">
        <is>
          <t>+ direkte materialkostnader</t>
        </is>
      </c>
      <c r="C15" s="41">
        <f>B7</f>
        <v/>
      </c>
      <c r="D15" s="30" t="inlineStr">
        <is>
          <t>Netto innkjøpspris</t>
        </is>
      </c>
    </row>
    <row r="16" ht="15" customHeight="1" s="27">
      <c r="A16" s="32" t="inlineStr">
        <is>
          <t>= Sum direkte kostnader</t>
        </is>
      </c>
      <c r="C16" s="45">
        <f>C14+C15</f>
        <v/>
      </c>
      <c r="D16" s="30" t="n"/>
    </row>
    <row r="17" ht="15" customHeight="1" s="27">
      <c r="A17" s="33" t="inlineStr">
        <is>
          <t>+ indirekte kostnader</t>
        </is>
      </c>
      <c r="C17" s="41">
        <f>C14*B9</f>
        <v/>
      </c>
      <c r="D17" s="30" t="inlineStr">
        <is>
          <t>Tilleggssats × direkte lønnskostnader</t>
        </is>
      </c>
    </row>
    <row r="18" ht="15" customHeight="1" s="27">
      <c r="A18" s="32" t="inlineStr">
        <is>
          <t>= Selvkost</t>
        </is>
      </c>
      <c r="C18" s="45">
        <f>C16+C17</f>
        <v/>
      </c>
      <c r="D18" s="30" t="inlineStr">
        <is>
          <t>Alt jobben koster, også sin andel av husleie, biler og administrasjon</t>
        </is>
      </c>
    </row>
    <row r="19" ht="15" customHeight="1" s="27">
      <c r="A19" s="33" t="inlineStr">
        <is>
          <t>+ fortjeneste</t>
        </is>
      </c>
      <c r="C19" s="41">
        <f>C18*B10</f>
        <v/>
      </c>
      <c r="D19" s="30" t="inlineStr">
        <is>
          <t>Fortjeneste i % av selvkost</t>
        </is>
      </c>
    </row>
    <row r="20" ht="15" customHeight="1" s="27">
      <c r="A20" s="32">
        <f> Pris uten merverdiavgift</f>
        <v/>
      </c>
      <c r="C20" s="45">
        <f>C18+C19</f>
        <v/>
      </c>
      <c r="D20" s="30" t="n"/>
    </row>
    <row r="21" ht="15" customHeight="1" s="27">
      <c r="A21" s="33" t="inlineStr">
        <is>
          <t>+ merverdiavgift</t>
        </is>
      </c>
      <c r="C21" s="41">
        <f>C20*B11</f>
        <v/>
      </c>
      <c r="D21" s="30" t="n"/>
    </row>
    <row r="22" ht="15" customHeight="1" s="27">
      <c r="A22" s="32">
        <f> Pris med merverdiavgift</f>
        <v/>
      </c>
      <c r="C22" s="45">
        <f>C20+C21</f>
        <v/>
      </c>
      <c r="D22" s="30" t="n"/>
    </row>
    <row r="24" ht="15" customHeight="1" s="27">
      <c r="A24" s="33" t="inlineStr">
        <is>
          <t>Timekost (bedriftens kostnad per time)</t>
        </is>
      </c>
      <c r="C24" s="41">
        <f>B6*(1+B8)</f>
        <v/>
      </c>
    </row>
    <row r="25" ht="15" customHeight="1" s="27">
      <c r="A25" s="33" t="inlineStr">
        <is>
          <t>Timepris til kunden (uten merverdiavgift)</t>
        </is>
      </c>
      <c r="C25" s="36">
        <f>B6*(1+B8)*(1+B9)*(1+B10)</f>
        <v/>
      </c>
      <c r="D25" s="33" t="inlineStr">
        <is>
          <t>Det kalkyleprogrammene som regel kaller timepris: det kunden betaler for én time</t>
        </is>
      </c>
    </row>
  </sheetData>
  <mergeCells count="1">
    <mergeCell ref="A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26" min="1" max="1"/>
    <col width="14" customWidth="1" style="26" min="2" max="2"/>
    <col width="16" customWidth="1" style="26" min="3" max="4"/>
    <col width="56" customWidth="1" style="26" min="5" max="5"/>
  </cols>
  <sheetData>
    <row r="1" ht="17.35" customHeight="1" s="27">
      <c r="A1" s="28" t="inlineStr">
        <is>
          <t>Den samme jobben, påslag for påslag</t>
        </is>
      </c>
    </row>
    <row r="2" ht="30" customHeight="1" s="27">
      <c r="A2" s="30" t="inlineStr">
        <is>
          <t>Slik kalkyleprogrammene i bransjen (for eksempel Eldata, SmartKalk Elektro fra Holte, SmartCraft og Cordel) bygger opp prisen: påslagene legges oppå hverandre, ett trinn om gangen. Kilde for trinnene: håndboken «ELdata kalkyle» (NELFO).</t>
        </is>
      </c>
    </row>
    <row r="4" ht="27" customHeight="1" s="27">
      <c r="A4" s="31" t="inlineStr">
        <is>
          <t>Arbeid</t>
        </is>
      </c>
      <c r="B4" s="31" t="inlineStr">
        <is>
          <t>Sats</t>
        </is>
      </c>
      <c r="C4" s="31" t="inlineStr">
        <is>
          <t>Påslag (kr)</t>
        </is>
      </c>
      <c r="D4" s="46" t="inlineStr">
        <is>
          <t>Sum etter trinnet</t>
        </is>
      </c>
      <c r="E4" s="31" t="inlineStr">
        <is>
          <t>Kommentar</t>
        </is>
      </c>
    </row>
    <row r="5" ht="15" customHeight="1" s="27">
      <c r="A5" s="33" t="inlineStr">
        <is>
          <t>Sum arbeidslønn (timer × lønn per time)</t>
        </is>
      </c>
      <c r="D5" s="37">
        <f>'3 Kalkyle bok'!B5*'3 Kalkyle bok'!B6</f>
        <v/>
      </c>
    </row>
    <row r="6" ht="15" customHeight="1" s="27">
      <c r="A6" s="33" t="inlineStr">
        <is>
          <t>+ Sosiale kostnader</t>
        </is>
      </c>
      <c r="B6" s="43">
        <f>'2 Satser'!C6</f>
        <v/>
      </c>
      <c r="C6" s="41">
        <f>D5*B6</f>
        <v/>
      </c>
      <c r="D6" s="41">
        <f>D5+C6</f>
        <v/>
      </c>
      <c r="E6" s="33" t="inlineStr">
        <is>
          <t>Påslaget for sosiale kostnader (ofte forkortet S)</t>
        </is>
      </c>
    </row>
    <row r="7" ht="15" customHeight="1" s="27">
      <c r="A7" s="33" t="inlineStr">
        <is>
          <t>+ Driftsomkostninger</t>
        </is>
      </c>
      <c r="B7" s="43">
        <f>'2 Satser'!C8</f>
        <v/>
      </c>
      <c r="C7" s="41">
        <f>D6*B7</f>
        <v/>
      </c>
      <c r="D7" s="41">
        <f>D6+C7</f>
        <v/>
      </c>
      <c r="E7" s="33" t="inlineStr">
        <is>
          <t>Driftsomkostninger (D), prosent av summen med sosiale kostnader</t>
        </is>
      </c>
    </row>
    <row r="8" ht="15" customHeight="1" s="27">
      <c r="A8" s="33" t="inlineStr">
        <is>
          <t>+ Fellesomkostninger</t>
        </is>
      </c>
      <c r="B8" s="43">
        <f>'2 Satser'!C9</f>
        <v/>
      </c>
      <c r="C8" s="41">
        <f>D7*B8</f>
        <v/>
      </c>
      <c r="D8" s="41">
        <f>D7+C8</f>
        <v/>
      </c>
      <c r="E8" s="33" t="inlineStr">
        <is>
          <t>Fellesomkostninger (F), prosent av summen med driftsomkostninger</t>
        </is>
      </c>
    </row>
    <row r="9" ht="15" customHeight="1" s="27">
      <c r="A9" s="33" t="inlineStr">
        <is>
          <t>+ Fortjeneste</t>
        </is>
      </c>
      <c r="B9" s="43">
        <f>'2 Satser'!C12</f>
        <v/>
      </c>
      <c r="C9" s="41">
        <f>D8*B9</f>
        <v/>
      </c>
      <c r="D9" s="41">
        <f>D8+C9</f>
        <v/>
      </c>
      <c r="E9" s="33" t="inlineStr">
        <is>
          <t>Fortjeneste (P), prosent av summen med fellesomkostninger</t>
        </is>
      </c>
    </row>
    <row r="10" ht="15" customHeight="1" s="27">
      <c r="A10" s="32" t="inlineStr">
        <is>
          <t>= Kalkulert arbeidspris</t>
        </is>
      </c>
      <c r="D10" s="45">
        <f>D9</f>
        <v/>
      </c>
    </row>
    <row r="11" ht="15" customHeight="1" s="27">
      <c r="A11" s="33" t="inlineStr">
        <is>
          <t>Timepris delt på timelønn (faktor arbeid)</t>
        </is>
      </c>
      <c r="D11" s="40">
        <f>D10/D5</f>
        <v/>
      </c>
      <c r="E11" s="33" t="inlineStr">
        <is>
          <t>Kalkulert arbeidspris / sum arbeidslønn</t>
        </is>
      </c>
    </row>
    <row r="13" ht="27" customHeight="1" s="27">
      <c r="A13" s="31" t="inlineStr">
        <is>
          <t>Materiell</t>
        </is>
      </c>
      <c r="B13" s="31" t="inlineStr">
        <is>
          <t>Sats</t>
        </is>
      </c>
      <c r="C13" s="31" t="inlineStr">
        <is>
          <t>Påslag (kr)</t>
        </is>
      </c>
      <c r="D13" s="46" t="inlineStr">
        <is>
          <t>Sum etter trinnet</t>
        </is>
      </c>
      <c r="E13" s="31" t="inlineStr">
        <is>
          <t>Kommentar</t>
        </is>
      </c>
    </row>
    <row r="14" ht="15" customHeight="1" s="27">
      <c r="A14" s="33" t="inlineStr">
        <is>
          <t>Netto materiell (selvkost etter rabatt)</t>
        </is>
      </c>
      <c r="D14" s="37">
        <f>'3 Kalkyle bok'!B7</f>
        <v/>
      </c>
    </row>
    <row r="15" ht="15" customHeight="1" s="27">
      <c r="A15" s="33" t="inlineStr">
        <is>
          <t>+ Driftsomkostninger materiell</t>
        </is>
      </c>
      <c r="B15" s="44" t="n">
        <v>0</v>
      </c>
      <c r="C15" s="41">
        <f>D14*B15</f>
        <v/>
      </c>
      <c r="D15" s="41">
        <f>D14+C15</f>
        <v/>
      </c>
      <c r="E15" s="30" t="inlineStr">
        <is>
          <t>0 i den enkle varianten: alt indirekte ligger på lønn</t>
        </is>
      </c>
    </row>
    <row r="16" ht="27" customHeight="1" s="27">
      <c r="A16" s="33" t="inlineStr">
        <is>
          <t>+ Fellesomkostninger materiell</t>
        </is>
      </c>
      <c r="B16" s="44" t="n">
        <v>0</v>
      </c>
      <c r="C16" s="41">
        <f>D15*B16</f>
        <v/>
      </c>
      <c r="D16" s="41">
        <f>D15+C16</f>
        <v/>
      </c>
      <c r="E16" s="30" t="inlineStr">
        <is>
          <t>0 av samme grunn. Legger du inn noe her, må lønnssatsene ned</t>
        </is>
      </c>
    </row>
    <row r="17" ht="15" customHeight="1" s="27">
      <c r="A17" s="33" t="inlineStr">
        <is>
          <t>+ Fortjeneste</t>
        </is>
      </c>
      <c r="B17" s="43">
        <f>'2 Satser'!C12</f>
        <v/>
      </c>
      <c r="C17" s="41">
        <f>D16*B17</f>
        <v/>
      </c>
      <c r="D17" s="41">
        <f>D16+C17</f>
        <v/>
      </c>
      <c r="E17" s="30" t="inlineStr">
        <is>
          <t>Samme fortjenestesats som på arbeid</t>
        </is>
      </c>
    </row>
    <row r="18" ht="15" customHeight="1" s="27">
      <c r="A18" s="32" t="inlineStr">
        <is>
          <t>= Kalkulert materiellpris</t>
        </is>
      </c>
      <c r="D18" s="45">
        <f>D17</f>
        <v/>
      </c>
    </row>
    <row r="19" ht="15" customHeight="1" s="27">
      <c r="A19" s="33" t="inlineStr">
        <is>
          <t>Kalkulert materiellpris delt på netto materiell (faktor materiell)</t>
        </is>
      </c>
      <c r="D19" s="40">
        <f>D18/D14</f>
        <v/>
      </c>
    </row>
    <row r="21" ht="15" customHeight="1" s="27">
      <c r="A21" s="39" t="inlineStr">
        <is>
          <t>Pris til kunden uten merverdiavgift (påslag for påslag)</t>
        </is>
      </c>
      <c r="D21" s="36">
        <f>D10+D18</f>
        <v/>
      </c>
    </row>
    <row r="22" ht="15" customHeight="1" s="27">
      <c r="A22" s="33" t="inlineStr">
        <is>
          <t>Pris uten merverdiavgift fra fane 3 (boka)</t>
        </is>
      </c>
      <c r="D22" s="37">
        <f>'3 Kalkyle bok'!C20</f>
        <v/>
      </c>
    </row>
    <row r="23" ht="15" customHeight="1" s="27">
      <c r="A23" s="33" t="inlineStr">
        <is>
          <t>Forskjell</t>
        </is>
      </c>
      <c r="D23" s="36">
        <f>D21-D22</f>
        <v/>
      </c>
      <c r="E23" s="33" t="inlineStr">
        <is>
          <t>0 = boka og oppbyggingen påslag for påslag gir nøyaktig samme pris</t>
        </is>
      </c>
    </row>
    <row r="25" ht="15" customHeight="1" s="27">
      <c r="A25" s="39" t="inlineStr">
        <is>
          <t>Dekningsbidragene trinn for trinn, slik kalkyleprogrammene viser dem</t>
        </is>
      </c>
    </row>
    <row r="26" ht="15" customHeight="1" s="27">
      <c r="A26" s="33" t="inlineStr">
        <is>
          <t>Dekningsbidrag 1 (bruttofortjeneste) = kundepris − netto materiell − arbeid med sosiale kostnader</t>
        </is>
      </c>
      <c r="D26" s="41">
        <f>D21-D14-D6</f>
        <v/>
      </c>
    </row>
    <row r="27" ht="15" customHeight="1" s="27">
      <c r="A27" s="33" t="inlineStr">
        <is>
          <t>Dekningsbidrag 2 = dekningsbidrag 1 − driftsomkostninger</t>
        </is>
      </c>
      <c r="D27" s="41">
        <f>D26-C7-C15</f>
        <v/>
      </c>
    </row>
    <row r="28" ht="27" customHeight="1" s="27">
      <c r="A28" s="33" t="inlineStr">
        <is>
          <t>Dekningsbidrag 3 (nettofortjeneste) = dekningsbidrag 2 − fellesomkostninger</t>
        </is>
      </c>
      <c r="D28" s="41">
        <f>D27-C8-C16</f>
        <v/>
      </c>
      <c r="E28" s="30" t="inlineStr">
        <is>
          <t>Dekningsbidrag 3 er det boka kaller fortjeneste. Dekningsbidrag 1 ligger nær bokas dekningsbidrag (pris − variable kostnader)</t>
        </is>
      </c>
    </row>
  </sheetData>
  <mergeCells count="1">
    <mergeCell ref="A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6" customWidth="1" style="26" min="1" max="1"/>
    <col width="18" customWidth="1" style="26" min="2" max="5"/>
  </cols>
  <sheetData>
    <row r="1" ht="17.35" customHeight="1" s="27">
      <c r="A1" s="28" t="inlineStr">
        <is>
          <t>Samme budsjett, to nøkler — to helt ulike priser</t>
        </is>
      </c>
    </row>
    <row r="2" ht="30" customHeight="1" s="27">
      <c r="A2" s="30" t="inlineStr">
        <is>
          <t>Budsjettet sier hvor mye indirekte kostnader som skal dekkes. Det sier ikke hvilken nøkkel de skal fordeles med. Det valget gjør bedriften selv (Økonomistyring for LØM-emnet, kap. 5.2.1 og 5.3).</t>
        </is>
      </c>
    </row>
    <row r="4" ht="27" customHeight="1" s="27">
      <c r="B4" s="46" t="inlineStr">
        <is>
          <t>Jobb A: materielltung</t>
        </is>
      </c>
      <c r="C4" s="31" t="inlineStr">
        <is>
          <t>Jobb B: lønnstung</t>
        </is>
      </c>
    </row>
    <row r="5" ht="15" customHeight="1" s="27">
      <c r="A5" s="33" t="inlineStr">
        <is>
          <t>Direkte lønn med sosiale kostnader</t>
        </is>
      </c>
      <c r="B5" s="34" t="n">
        <v>5000</v>
      </c>
      <c r="C5" s="34" t="n">
        <v>20000</v>
      </c>
    </row>
    <row r="6" ht="15" customHeight="1" s="27">
      <c r="A6" s="33" t="inlineStr">
        <is>
          <t>Direkte materiell</t>
        </is>
      </c>
      <c r="B6" s="34" t="n">
        <v>40000</v>
      </c>
      <c r="C6" s="34" t="n">
        <v>2000</v>
      </c>
    </row>
    <row r="8" ht="15" customHeight="1" s="27">
      <c r="A8" s="39" t="inlineStr">
        <is>
          <t>Nøkkel 1: tilleggssats på direkte lønn</t>
        </is>
      </c>
      <c r="D8" s="43">
        <f>'2 Satser'!C10</f>
        <v/>
      </c>
    </row>
    <row r="9" ht="15" customHeight="1" s="27">
      <c r="A9" s="33" t="inlineStr">
        <is>
          <t>Indirekte kostnader</t>
        </is>
      </c>
      <c r="B9" s="41">
        <f>B5*$D$8</f>
        <v/>
      </c>
      <c r="C9" s="41">
        <f>C5*$D$8</f>
        <v/>
      </c>
    </row>
    <row r="10" ht="15" customHeight="1" s="27">
      <c r="A10" s="32" t="inlineStr">
        <is>
          <t>Selvkost</t>
        </is>
      </c>
      <c r="B10" s="36">
        <f>B5+B6+B9</f>
        <v/>
      </c>
      <c r="C10" s="36">
        <f>C5+C6+C9</f>
        <v/>
      </c>
    </row>
    <row r="12" ht="15" customHeight="1" s="27">
      <c r="A12" s="39" t="inlineStr">
        <is>
          <t>Nøkkel 2: tilleggssats på alle direkte kostnader</t>
        </is>
      </c>
      <c r="D12" s="38">
        <f>'2 Satser'!B10/('2 Satser'!B4+'2 Satser'!B7)</f>
        <v/>
      </c>
      <c r="E12" s="33" t="inlineStr">
        <is>
          <t>= indirekte / (materiell + direkte lønn)</t>
        </is>
      </c>
    </row>
    <row r="13" ht="15" customHeight="1" s="27">
      <c r="A13" s="33" t="inlineStr">
        <is>
          <t>Indirekte kostnader</t>
        </is>
      </c>
      <c r="B13" s="41">
        <f>(B5+B6)*$D$12</f>
        <v/>
      </c>
      <c r="C13" s="41">
        <f>(C5+C6)*$D$12</f>
        <v/>
      </c>
    </row>
    <row r="14" ht="15" customHeight="1" s="27">
      <c r="A14" s="32" t="inlineStr">
        <is>
          <t>Selvkost</t>
        </is>
      </c>
      <c r="B14" s="36">
        <f>B5+B6+B13</f>
        <v/>
      </c>
      <c r="C14" s="36">
        <f>C5+C6+C13</f>
        <v/>
      </c>
    </row>
    <row r="16" ht="15" customHeight="1" s="27">
      <c r="A16" s="32" t="inlineStr">
        <is>
          <t>Forskjell i selvkost (nøkkel 2 − nøkkel 1)</t>
        </is>
      </c>
      <c r="B16" s="36">
        <f>B14-B10</f>
        <v/>
      </c>
      <c r="C16" s="36">
        <f>C14-C10</f>
        <v/>
      </c>
    </row>
    <row r="18" ht="15" customHeight="1" s="27">
      <c r="A18" s="39" t="inlineStr">
        <is>
          <t>Hva betyr det?</t>
        </is>
      </c>
    </row>
    <row r="19" ht="45" customHeight="1" s="27">
      <c r="A19" s="30" t="inlineStr">
        <is>
          <t>Med nøkkel 2 blir tavleanbudet med mye materiell dyrt, og du taper det. Med nøkkel 1 blir servicejobbene med mye timer dyre. Begge nøklene dekker de samme kronene over året. Kalkyleprogrammene løser det med egne påslag for materiell og for arbeid. Det tilsvarer to tilleggssatser.</t>
        </is>
      </c>
    </row>
  </sheetData>
  <mergeCells count="2">
    <mergeCell ref="A2:E2"/>
    <mergeCell ref="A19:E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26" min="1" max="1"/>
    <col width="78" customWidth="1" style="26" min="2" max="2"/>
    <col width="16" customWidth="1" style="26" min="3" max="4"/>
    <col hidden="1" width="14" customWidth="1" style="26" min="5" max="5"/>
  </cols>
  <sheetData>
    <row r="1" ht="17.35" customHeight="1" s="27">
      <c r="A1" s="28" t="inlineStr">
        <is>
          <t>Øvelser — skriv svaret i den gule cellen</t>
        </is>
      </c>
    </row>
    <row r="2" ht="27" customHeight="1" s="27">
      <c r="B2" s="30" t="inlineStr">
        <is>
          <t>Svar i kroner uten mellomrom, eller prosent som 84,5 %. Sjekken godtar et lite avrundingsavvik. Bruk fanene 1–5 hvis du står fast.</t>
        </is>
      </c>
    </row>
    <row r="4" ht="15" customHeight="1" s="27">
      <c r="B4" s="31" t="inlineStr">
        <is>
          <t>Oppgave</t>
        </is>
      </c>
      <c r="C4" s="31" t="inlineStr">
        <is>
          <t>Ditt svar</t>
        </is>
      </c>
      <c r="D4" s="31" t="inlineStr">
        <is>
          <t>Sjekk</t>
        </is>
      </c>
      <c r="E4" s="31" t="n"/>
    </row>
    <row r="5" ht="31.5" customHeight="1" s="27">
      <c r="A5" s="32" t="n">
        <v>1</v>
      </c>
      <c r="B5" s="30" t="inlineStr">
        <is>
          <t>Hvor stor er tilleggssatsen for indirekte kostnader i % av direkte lønn? (Fane 2)</t>
        </is>
      </c>
      <c r="C5" s="47" t="n"/>
      <c r="D5" s="32">
        <f>IF(C5="","",IF(ABS(C5-E5)&lt;=0.002,"Riktig","Prøv igjen"))</f>
        <v/>
      </c>
      <c r="E5" s="48">
        <f>'2 Satser'!C10</f>
        <v/>
      </c>
    </row>
    <row r="6" ht="31.5" customHeight="1" s="27">
      <c r="A6" s="32" t="n">
        <v>2</v>
      </c>
      <c r="B6" s="30" t="inlineStr">
        <is>
          <t>Hva blir selvkosten på en jobb med 30 000 kr i direkte lønn (med sosiale kostnader) og 15 000 kr i materiell?</t>
        </is>
      </c>
      <c r="C6" s="49" t="n"/>
      <c r="D6" s="32">
        <f>IF(C6="","",IF(ABS(C6-E6)&lt;=50,"Riktig","Prøv igjen"))</f>
        <v/>
      </c>
      <c r="E6" s="41">
        <f>30000+15000+30000*'2 Satser'!C10</f>
        <v/>
      </c>
    </row>
    <row r="7" ht="31.5" customHeight="1" s="27">
      <c r="A7" s="32" t="n">
        <v>3</v>
      </c>
      <c r="B7" s="30" t="inlineStr">
        <is>
          <t>Hva blir prisen uten merverdiavgift på den samme jobben, med fortjenesten fra budsjettet?</t>
        </is>
      </c>
      <c r="C7" s="49" t="n"/>
      <c r="D7" s="32">
        <f>IF(C7="","",IF(ABS(C7-E7)&lt;=50,"Riktig","Prøv igjen"))</f>
        <v/>
      </c>
      <c r="E7" s="41">
        <f>(30000+15000+30000*'2 Satser'!C10)*(1+'2 Satser'!C12)</f>
        <v/>
      </c>
    </row>
    <row r="8" ht="31.5" customHeight="1" s="27">
      <c r="A8" s="32" t="n">
        <v>4</v>
      </c>
      <c r="B8" s="30" t="inlineStr">
        <is>
          <t>Hvor mange ganger timelønna blir timeprisen til kunden (faktor arbeid) med påslagene fra budsjettet? Svar med tre desimaler.</t>
        </is>
      </c>
      <c r="C8" s="50" t="n"/>
      <c r="D8" s="32">
        <f>IF(C8="","",IF(ABS(C8-E8)&lt;=0.002,"Riktig","Prøv igjen"))</f>
        <v/>
      </c>
      <c r="E8" s="51">
        <f>(1+'2 Satser'!C6)*(1+'2 Satser'!C10)*(1+'2 Satser'!C12)</f>
        <v/>
      </c>
    </row>
    <row r="9" ht="31.5" customHeight="1" s="27">
      <c r="A9" s="32" t="n">
        <v>5</v>
      </c>
      <c r="B9" s="30" t="inlineStr">
        <is>
          <t>Flytt konto 5100 Lønn administrasjon (3 600 000) fra gruppe F (fellesomkostninger) til gruppe L (direkte lønn) i fane 1, men regn ut i hodet først: hva blir den nye tilleggssatsen? (Sett den tilbake etterpå.)</t>
        </is>
      </c>
      <c r="C9" s="47" t="n"/>
      <c r="D9" s="32">
        <f>IF(C9="","",IF(ABS(C9-E9)&lt;=0.005,"Riktig","Prøv igjen"))</f>
        <v/>
      </c>
      <c r="E9" s="48">
        <f>('2 Satser'!B10-3600000)/('2 Satser'!B7+3600000)</f>
        <v/>
      </c>
    </row>
    <row r="11" ht="52.5" customHeight="1" s="27">
      <c r="B11" s="30" t="inlineStr">
        <is>
          <t>Oppgave 5 er laget slik at svaret stemmer når fane 1 er uendret. Regner du riktig, ser du at tilleggssatsen faller kraftig — fordi en stor kostnad flyttes fra «indirekte» til «direkte». Det er derfor bedrifter som fører prosjektlederens timer på jobbene, får lavere tilleggssats.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6" min="1" max="5"/>
    <col width="46" customWidth="1" style="27" min="2" max="2"/>
    <col width="40" customWidth="1" style="27" min="3" max="3"/>
  </cols>
  <sheetData>
    <row r="1" ht="17.35" customHeight="1" s="27">
      <c r="A1" s="28" t="inlineStr">
        <is>
          <t>Samme ting, ulike navn</t>
        </is>
      </c>
    </row>
    <row r="3" ht="27" customHeight="1" s="27">
      <c r="A3" s="31" t="inlineStr">
        <is>
          <t>Læreboka</t>
        </is>
      </c>
      <c r="B3" s="31" t="inlineStr">
        <is>
          <t>Kalkyleprogrammene i bransjen</t>
        </is>
      </c>
      <c r="C3" s="31" t="inlineStr">
        <is>
          <t>I budsjettet</t>
        </is>
      </c>
      <c r="D3" s="46" t="n"/>
      <c r="E3" s="31" t="n"/>
    </row>
    <row r="4" ht="64.5" customHeight="1" s="27">
      <c r="A4" s="30" t="inlineStr">
        <is>
          <t>Direkte lønnskostnader (timer × lønn med sosiale kostnader)</t>
        </is>
      </c>
      <c r="B4" s="30" t="inlineStr">
        <is>
          <t>Sum arbeidslønn + sosiale kostnader. Timelønn + sosiale kostnader kalles ofte timekost</t>
        </is>
      </c>
      <c r="C4" s="30" t="inlineStr">
        <is>
          <t>Konto 5000–5030 + arbeidsgiveravgift og yrkesskadeforsikring i produksjonen</t>
        </is>
      </c>
      <c r="D4" s="30" t="n"/>
      <c r="E4" s="30" t="n"/>
    </row>
    <row r="5" ht="52.5" customHeight="1" s="27">
      <c r="A5" s="30" t="inlineStr">
        <is>
          <t>Direkte materialkostnader</t>
        </is>
      </c>
      <c r="B5" s="30" t="inlineStr">
        <is>
          <t>Netto materiell (innkjøpspris etter rabatt, ofte via grossistens rabattfil og EFO-produktdatabasen)</t>
        </is>
      </c>
      <c r="C5" s="30" t="inlineStr">
        <is>
          <t>Konto 4300 − 4302 + 4500</t>
        </is>
      </c>
      <c r="D5" s="30" t="n"/>
      <c r="E5" s="30" t="n"/>
    </row>
    <row r="6" ht="64.5" customHeight="1" s="27">
      <c r="A6" s="30" t="inlineStr">
        <is>
          <t>Indirekte kostnader (tilleggssats)</t>
        </is>
      </c>
      <c r="B6" s="30" t="inlineStr">
        <is>
          <t>Driftsomkostninger + fellesomkostninger, ofte som to egne påslag</t>
        </is>
      </c>
      <c r="C6" s="30" t="inlineStr">
        <is>
          <t>Alt annet: administrasjonslønn, lokaler, biler, verktøy, kontor</t>
        </is>
      </c>
      <c r="D6" s="30" t="n"/>
      <c r="E6" s="30" t="n"/>
    </row>
    <row r="7" ht="43.5" customHeight="1" s="27">
      <c r="A7" s="30" t="inlineStr">
        <is>
          <t>Selvkost</t>
        </is>
      </c>
      <c r="B7" s="30" t="inlineStr">
        <is>
          <t>Ofte kalt kostpris. Ligger i påslagene og vises ikke alltid som egen linje</t>
        </is>
      </c>
      <c r="C7" s="30" t="inlineStr">
        <is>
          <t>Sum kostnader 44 795 000</t>
        </is>
      </c>
      <c r="D7" s="30" t="n"/>
      <c r="E7" s="30" t="n"/>
    </row>
    <row r="8" ht="52.5" customHeight="1" s="27">
      <c r="A8" s="30" t="inlineStr">
        <is>
          <t>Fortjeneste i % av selvkost</t>
        </is>
      </c>
      <c r="B8" s="30" t="inlineStr">
        <is>
          <t>Fortjeneste i prosent</t>
        </is>
      </c>
      <c r="C8" s="30" t="inlineStr">
        <is>
          <t>Driftsresultat 5 205 000</t>
        </is>
      </c>
      <c r="D8" s="30" t="n"/>
      <c r="E8" s="30" t="n"/>
    </row>
    <row r="9" ht="64.5" customHeight="1" s="27">
      <c r="A9" s="30" t="inlineStr">
        <is>
          <t>Pris uten merverdiavgift</t>
        </is>
      </c>
      <c r="B9" s="30" t="inlineStr">
        <is>
          <t>Kundepris eller tilbudspris uten merverdiavgift</t>
        </is>
      </c>
      <c r="C9" s="30" t="inlineStr">
        <is>
          <t>Omsetning 50 000 000</t>
        </is>
      </c>
      <c r="D9" s="30" t="n"/>
      <c r="E9" s="30" t="n"/>
    </row>
    <row r="10" ht="43.5" customHeight="1" s="27">
      <c r="A10" s="30" t="inlineStr">
        <is>
          <t>Dekningsbidrag (bidragskalkyle)</t>
        </is>
      </c>
      <c r="B10" s="30" t="inlineStr">
        <is>
          <t>Dekningsbidrag i flere trinn: etter materiell og lønn, etter driftsomkostninger og etter fellesomkostninger</t>
        </is>
      </c>
      <c r="C10" s="30" t="inlineStr">
        <is>
          <t>–</t>
        </is>
      </c>
      <c r="D10" s="30" t="n"/>
      <c r="E10" s="30" t="n"/>
    </row>
    <row r="11" ht="43.5" customHeight="1" s="27">
      <c r="A11" s="30" t="inlineStr">
        <is>
          <t>Timepris i eksempel 3 = bedriftens kostnad per time</t>
        </is>
      </c>
      <c r="B11" s="30" t="inlineStr">
        <is>
          <t>Timepris = det kunden betaler for en time</t>
        </is>
      </c>
      <c r="C11" s="30" t="inlineStr">
        <is>
          <t>Pass på: samme ord, to betydninger</t>
        </is>
      </c>
      <c r="D11" s="30" t="n"/>
      <c r="E11" s="30" t="n"/>
    </row>
    <row r="13" ht="52.5" customHeight="1" s="27">
      <c r="A13" s="30" t="inlineStr">
        <is>
          <t>Kilder: Økonomistyring for LØM-emnet kap. 5.2; håndboken «ELdata kalkyle» (NELFO); smartcraftspark.com/no (lest 19.10.2026); egsoftware.com om SmartKalk Elektro fra Holte (lest 29.10.2026). Programmene bruker litt ulike navn. Tabellen viser de vanlige.</t>
        </is>
      </c>
    </row>
  </sheetData>
  <mergeCells count="1">
    <mergeCell ref="A13:E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2026-10-20T09:40:30Z</dcterms:created>
  <dcterms:modified xmlns:dcterms="http://purl.org/dc/terms/" xmlns:xsi="http://www.w3.org/2001/XMLSchema-instance" xsi:type="dcterms:W3CDTF">2026-10-30T05:18:16Z</dcterms:modified>
  <cp:revision>0</cp:revision>
</cp:coreProperties>
</file>