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1 Budsjett" sheetId="2" state="visible" r:id="rId4"/>
    <sheet name="2 Satser" sheetId="3" state="visible" r:id="rId5"/>
    <sheet name="3 Kalkyle bok" sheetId="4" state="visible" r:id="rId6"/>
    <sheet name="4 Eldata-trapp" sheetId="5" state="visible" r:id="rId7"/>
    <sheet name="5 Nøkkelvalg" sheetId="6" state="visible" r:id="rId8"/>
    <sheet name="6 Øvelser" sheetId="7" state="visible" r:id="rId9"/>
    <sheet name="7 Ordlist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Forutsetning for eksempelet, ikke fra budsjettet.</t>
        </r>
      </text>
    </comment>
  </commentList>
</comments>
</file>

<file path=xl/sharedStrings.xml><?xml version="1.0" encoding="utf-8"?>
<sst xmlns="http://schemas.openxmlformats.org/spreadsheetml/2006/main" count="405" uniqueCount="280">
  <si>
    <t xml:space="preserve">Fra budsjett til kalkyle — Elektro AS 2026</t>
  </si>
  <si>
    <t xml:space="preserve">Hva arket viser</t>
  </si>
  <si>
    <t xml:space="preserve">Hvordan budsjettet blir til satser (tilleggssats, sosiale kostnader, fortjeneste), og hvordan satsene blir til en pris på én jobb. Samme jobb regnes på tre måter: slik læreboka gjør det, slik Eldata gjør det, og slik KlarCalc og SmartCraft viser det.</t>
  </si>
  <si>
    <t xml:space="preserve">Fanene, i rekkefølge</t>
  </si>
  <si>
    <t xml:space="preserve">1 Budsjett — budsjettet til Elektro AS 2026 med én kolonne der hver konto er sortert i gruppe (M, L, S, D, F). Endre gruppen og se hva som skjer med satsene.</t>
  </si>
  <si>
    <t xml:space="preserve">2 Satser — summene per gruppe og satsene som regnes ut av dem.</t>
  </si>
  <si>
    <t xml:space="preserve">3 Kalkyle bok — selvkostkalkylen for én jobb, oppstilt som i Økonomistyring for LØM-emnet, kap. 5.2, eksempel 3.</t>
  </si>
  <si>
    <t xml:space="preserve">4 Eldata-trapp — den samme jobben gjennom trinnene i Eldata: sosiale omkostninger, driftsomkostninger, fellesomkostninger, fortjeneste.</t>
  </si>
  <si>
    <t xml:space="preserve">5 Nøkkelvalg — to jobber priset med to ulike fordelingsnøkler fra det samme budsjettet.</t>
  </si>
  <si>
    <t xml:space="preserve">6 Øvelser — fem oppgaver med svarfelt og automatisk sjekk.</t>
  </si>
  <si>
    <t xml:space="preserve">7 Ordliste — samme ting, fire navn: boka, Eldata, KlarCalc og SmartCraft.</t>
  </si>
  <si>
    <t xml:space="preserve">Fargekoder</t>
  </si>
  <si>
    <t xml:space="preserve">Blå tekst = tall du kan endre (budsjett og forutsetninger). Svart tekst = formler. Grønn tekst = hentet fra en annen fane. Gul bakgrunn = her skriver du svaret ditt.</t>
  </si>
  <si>
    <t xml:space="preserve">Kilder og forutsetninger</t>
  </si>
  <si>
    <t xml:space="preserve">Budsjettet: «Prosjekt Bolig 3EKC/3EKD Budsjett 2026» (Elektro AS, omsetning 50 000 000). Grupperingen av kontoene i M, L, S, D og F er gjort for dette arket og kan diskuteres — det er poenget med fane 5. Timelønn (270 kr), fakturerte timer i året (29 935 = 20,2 årsverk × 1 478) og timer på jobben (25) er forutsetninger, ikke budsjettall.</t>
  </si>
  <si>
    <t xml:space="preserve">Teori: Hjertnes og Skorpen, Økonomistyring for LØM-emnet, kap. 5.2 (selvkostkalkyle for tjeneste, eksempel 3) og formelsamlingen (tilleggssats = indirekte kostnader / fordelingsgrunnlaget). Eldata: håndboken «ELdata kalkyle» (NELFO). KlarCalc: Brukerveiledning KlarCalc 2025. SmartCraft Spark: smartcraftspark.com/no (lest 19.10.2026).</t>
  </si>
  <si>
    <t xml:space="preserve">Budsjett Elektro AS 2026 — sortert i grupper</t>
  </si>
  <si>
    <t xml:space="preserve">Gruppe: R = inntekt · M = direkte materiell · L = direkte lønn (lønn produksjon med tillegg og feriepenger) · S = sosiale kostnader på direkte lønn · D = driftsomkostninger (følger montørene) · F = fellesomkostninger (holder bedriften i gang). Bytt bokstav i kolonne D og se satsene endre seg.</t>
  </si>
  <si>
    <t xml:space="preserve">Konto</t>
  </si>
  <si>
    <t xml:space="preserve">Navn</t>
  </si>
  <si>
    <t xml:space="preserve">Beløp (kr)</t>
  </si>
  <si>
    <t xml:space="preserve">Gruppe</t>
  </si>
  <si>
    <t xml:space="preserve">Hvorfor denne gruppen</t>
  </si>
  <si>
    <t xml:space="preserve">D R I F T S I N N T E K T E R</t>
  </si>
  <si>
    <t xml:space="preserve">Salg materiell service</t>
  </si>
  <si>
    <t xml:space="preserve">R</t>
  </si>
  <si>
    <t xml:space="preserve">Salgsinntekt</t>
  </si>
  <si>
    <t xml:space="preserve">Salg arbeid service</t>
  </si>
  <si>
    <t xml:space="preserve">Salg fastpris prosjekter</t>
  </si>
  <si>
    <t xml:space="preserve">D R I F T S K O S T N A D E R</t>
  </si>
  <si>
    <t xml:space="preserve">Innkjøp varer for videresalg</t>
  </si>
  <si>
    <t xml:space="preserve">M</t>
  </si>
  <si>
    <t xml:space="preserve">Kan føres direkte på jobben (materiell, UE). Bonus trekker ned.</t>
  </si>
  <si>
    <t xml:space="preserve">Bonuser varekjøp</t>
  </si>
  <si>
    <t xml:space="preserve">Fremmedytelse og underentrepriser</t>
  </si>
  <si>
    <t xml:space="preserve">Lønn produksjon</t>
  </si>
  <si>
    <t xml:space="preserve">L</t>
  </si>
  <si>
    <t xml:space="preserve">Montørens timelønn med bastillegg — «sum arbeidslønn» i Eldata</t>
  </si>
  <si>
    <t xml:space="preserve">Bastillegg</t>
  </si>
  <si>
    <t xml:space="preserve">Helligdagsgodtgj. produksjon</t>
  </si>
  <si>
    <t xml:space="preserve">S</t>
  </si>
  <si>
    <t xml:space="preserve">Sosiale kostnader på produksjonslønna: feriepenger, helligdag, sykelønn, AGA, yrkesskade</t>
  </si>
  <si>
    <t xml:space="preserve">Sykelønn produksjon</t>
  </si>
  <si>
    <t xml:space="preserve">Feriepenger produksjon</t>
  </si>
  <si>
    <t xml:space="preserve">Lønn administrasjon</t>
  </si>
  <si>
    <t xml:space="preserve">F</t>
  </si>
  <si>
    <t xml:space="preserve">Fellesomkostning: administrasjon, lokaler, kontor, reklame, forsikring, tap</t>
  </si>
  <si>
    <t xml:space="preserve">Sykelønn adm.</t>
  </si>
  <si>
    <t xml:space="preserve">Feriepenger adm.</t>
  </si>
  <si>
    <t xml:space="preserve">Fordel fri mobiltelefon</t>
  </si>
  <si>
    <t xml:space="preserve">OTP</t>
  </si>
  <si>
    <t xml:space="preserve">Arbeidsg.avgift produksjon</t>
  </si>
  <si>
    <t xml:space="preserve">Arbeidsg.avgift adm.</t>
  </si>
  <si>
    <t xml:space="preserve">Innsk.pensjon</t>
  </si>
  <si>
    <t xml:space="preserve">Lærlingtilskudd</t>
  </si>
  <si>
    <t xml:space="preserve">Yrkesskadeforsikr. produksjon</t>
  </si>
  <si>
    <t xml:space="preserve">Kurs og opplæring</t>
  </si>
  <si>
    <t xml:space="preserve">D</t>
  </si>
  <si>
    <t xml:space="preserve">Driftsomkostning: følger montørene ut (bil, verktøy, bom, garanti, kurs)</t>
  </si>
  <si>
    <t xml:space="preserve">Sosiale aktiviteter</t>
  </si>
  <si>
    <t xml:space="preserve">Avskrivning på tr.midler/mask./inventar</t>
  </si>
  <si>
    <t xml:space="preserve">Leie lokaler</t>
  </si>
  <si>
    <t xml:space="preserve">Strøm</t>
  </si>
  <si>
    <t xml:space="preserve">Renhold</t>
  </si>
  <si>
    <t xml:space="preserve">Renovasjon</t>
  </si>
  <si>
    <t xml:space="preserve">Leie av kopimaskin</t>
  </si>
  <si>
    <t xml:space="preserve">Motordrevet verktøy</t>
  </si>
  <si>
    <t xml:space="preserve">Håndverktøy</t>
  </si>
  <si>
    <t xml:space="preserve">Hjelpeverktøy</t>
  </si>
  <si>
    <t xml:space="preserve">Arbeidsklær og verneutstyr</t>
  </si>
  <si>
    <t xml:space="preserve">Datautstyr og programvare</t>
  </si>
  <si>
    <t xml:space="preserve">Telefon kjøp</t>
  </si>
  <si>
    <t xml:space="preserve">Revisjon/regnskapshonorar</t>
  </si>
  <si>
    <t xml:space="preserve">Inkassotjenester</t>
  </si>
  <si>
    <t xml:space="preserve">Kontorrekvisita</t>
  </si>
  <si>
    <t xml:space="preserve">Datakostnader servertjenester</t>
  </si>
  <si>
    <t xml:space="preserve">Elektroniske kjørebøker</t>
  </si>
  <si>
    <t xml:space="preserve">Trykksaker</t>
  </si>
  <si>
    <t xml:space="preserve">Aviser/tidsskrifter/bøker o.l.</t>
  </si>
  <si>
    <t xml:space="preserve">Møte/kurs/oppdateringer o.l.</t>
  </si>
  <si>
    <t xml:space="preserve">Annen kostnad</t>
  </si>
  <si>
    <t xml:space="preserve">Telefon</t>
  </si>
  <si>
    <t xml:space="preserve">Telefonbruk ansatt</t>
  </si>
  <si>
    <t xml:space="preserve">Porto</t>
  </si>
  <si>
    <t xml:space="preserve">Bredbånd</t>
  </si>
  <si>
    <t xml:space="preserve">Drivstoff transportmidler, produksjon</t>
  </si>
  <si>
    <t xml:space="preserve">Vedlikehold transp.midler produksjon</t>
  </si>
  <si>
    <t xml:space="preserve">Forsikring transp.midler produksjon</t>
  </si>
  <si>
    <t xml:space="preserve">Årsavgift transp.midler produksjon</t>
  </si>
  <si>
    <t xml:space="preserve">Leasing biler produksjon</t>
  </si>
  <si>
    <t xml:space="preserve">Km. godtgjørelse adm.</t>
  </si>
  <si>
    <t xml:space="preserve">Bom, reisekostn. produksjon</t>
  </si>
  <si>
    <t xml:space="preserve">Parkering, reisekostn. produksjon</t>
  </si>
  <si>
    <t xml:space="preserve">Reklamekostnader</t>
  </si>
  <si>
    <t xml:space="preserve">Markedsaktiviteter</t>
  </si>
  <si>
    <t xml:space="preserve">Forsikringer</t>
  </si>
  <si>
    <t xml:space="preserve">Garantikostnad</t>
  </si>
  <si>
    <t xml:space="preserve">Servicekostnad garantiarbeid</t>
  </si>
  <si>
    <t xml:space="preserve">Tap på kundefordringer</t>
  </si>
  <si>
    <t xml:space="preserve">Sum inntekter</t>
  </si>
  <si>
    <t xml:space="preserve">Sum kostnader</t>
  </si>
  <si>
    <t xml:space="preserve">Driftsresultat</t>
  </si>
  <si>
    <t xml:space="preserve">Kontroll: skal være 5 205 000 når budsjettet er uendret</t>
  </si>
  <si>
    <t xml:space="preserve">Merk: i budsjettfila er inntektene ført med minus (regnskapsfortegn). Her er de snudd til pluss for å gjøre regningen lettere å følge.</t>
  </si>
  <si>
    <t xml:space="preserve">Fra budsjett til satser</t>
  </si>
  <si>
    <t xml:space="preserve">Trinn</t>
  </si>
  <si>
    <t xml:space="preserve">Kroner</t>
  </si>
  <si>
    <t xml:space="preserve">Sats</t>
  </si>
  <si>
    <t xml:space="preserve">Slik regnes det</t>
  </si>
  <si>
    <t xml:space="preserve">M  Direkte materiell</t>
  </si>
  <si>
    <t xml:space="preserve">Konto 4300 − 4302 + 4500</t>
  </si>
  <si>
    <t xml:space="preserve">L  Lønn produksjon (timelønn + bastillegg)</t>
  </si>
  <si>
    <t xml:space="preserve">Konto 5000 og 5002. «Sum arbeidslønn» i Eldata</t>
  </si>
  <si>
    <t xml:space="preserve">S  Sosiale kostnader (ferie, helligdag, syk, AGA, yrkesskade)</t>
  </si>
  <si>
    <t xml:space="preserve">Eldata S = all produksjonslønn / (timelønn × fakturerte timer) − 1. Per fakturert time, slik at timer som ikke faktureres også dekkes</t>
  </si>
  <si>
    <t xml:space="preserve">= Direkte lønn (bokas begrep)</t>
  </si>
  <si>
    <t xml:space="preserve">L + S. Boka: direkte lønnskostnader. KlarCalc: lønnskost</t>
  </si>
  <si>
    <t xml:space="preserve">D  Driftsomkostninger</t>
  </si>
  <si>
    <t xml:space="preserve">D / direkte lønn. Eldata: driftsomkostninger i % av lønn inkl. sosiale</t>
  </si>
  <si>
    <t xml:space="preserve">F  Fellesomkostninger</t>
  </si>
  <si>
    <t xml:space="preserve">F / (direkte lønn + D). Eldata: fellesomkostninger i % av summen inkl. drift</t>
  </si>
  <si>
    <t xml:space="preserve">= Indirekte kostnader (D + F)</t>
  </si>
  <si>
    <t xml:space="preserve">Boka: tilleggssats = indirekte kostnader / direkte lønn</t>
  </si>
  <si>
    <t xml:space="preserve">= Sum kostnader (selvkost for året)</t>
  </si>
  <si>
    <t xml:space="preserve">Kontroll mot budsjettet: skal være lik sum kostnader</t>
  </si>
  <si>
    <t xml:space="preserve">Driftsresultat (budsjettert fortjeneste)</t>
  </si>
  <si>
    <t xml:space="preserve">Fortjeneste i % av selvkost = driftsresultat / sum kostnader</t>
  </si>
  <si>
    <t xml:space="preserve">= Omsetning</t>
  </si>
  <si>
    <t xml:space="preserve">Kontroll: skal bli 50 000 000</t>
  </si>
  <si>
    <t xml:space="preserve">Kontroll: Eldata-trappen gir samme faktor som boka</t>
  </si>
  <si>
    <t xml:space="preserve">Eldata: (1 + drift %) × (1 + felles %)</t>
  </si>
  <si>
    <t xml:space="preserve">De to tallene er like. Eldata går to trinn, boka ett — men det er de samme kronene.</t>
  </si>
  <si>
    <t xml:space="preserve">Boka: 1 + tilleggssats</t>
  </si>
  <si>
    <t xml:space="preserve">Avstemming mot budsjettet</t>
  </si>
  <si>
    <t xml:space="preserve">Skal være 0. Er det ikke 0, har en konto fått en gruppe som ikke finnes.</t>
  </si>
  <si>
    <t xml:space="preserve">Timelønn (tariff + tillegg)</t>
  </si>
  <si>
    <t xml:space="preserve">Forutsetning fra Eldata-arket (gjennomsnittlig timelønn)</t>
  </si>
  <si>
    <t xml:space="preserve">Fakturerte timer i året</t>
  </si>
  <si>
    <t xml:space="preserve">Forutsetning: 9 200 000 / (270 × 1 680) = 20,2 årsverk × 1 478 fakturerte timer</t>
  </si>
  <si>
    <t xml:space="preserve">Satsene i kroner per fakturert time (Eldata godtar begge)</t>
  </si>
  <si>
    <t xml:space="preserve">S sosiale</t>
  </si>
  <si>
    <t xml:space="preserve">D drift</t>
  </si>
  <si>
    <t xml:space="preserve">F felles</t>
  </si>
  <si>
    <t xml:space="preserve">Timekost = timelønn + S</t>
  </si>
  <si>
    <t xml:space="preserve">Selvkost per time = timekost + D + F</t>
  </si>
  <si>
    <t xml:space="preserve">Timepris til kunden = selvkost × (1 + P)</t>
  </si>
  <si>
    <t xml:space="preserve">Faktor arbeid = timepris / timelønn</t>
  </si>
  <si>
    <t xml:space="preserve">Selvkostkalkyle for én jobb — slik boka gjør det</t>
  </si>
  <si>
    <t xml:space="preserve">Økonomistyring for LØM-emnet, kap. 5.2, eksempel 3: direkte kostnader + indirekte kostnader = selvkost, + fortjeneste i % av selvkost = pris.</t>
  </si>
  <si>
    <t xml:space="preserve">Forutsetninger for jobben</t>
  </si>
  <si>
    <t xml:space="preserve">Fakturerte timer på jobben</t>
  </si>
  <si>
    <t xml:space="preserve">Timelønn (fra fane 2)</t>
  </si>
  <si>
    <t xml:space="preserve">Materiell, netto innkjøpspris</t>
  </si>
  <si>
    <t xml:space="preserve">Sosiale kostnader (fra fane 2)</t>
  </si>
  <si>
    <t xml:space="preserve">Tilleggssats for indirekte kostnader (fra fane 2)</t>
  </si>
  <si>
    <t xml:space="preserve">Fortjeneste i % av selvkost (fra fane 2)</t>
  </si>
  <si>
    <t xml:space="preserve">Merverdiavgift</t>
  </si>
  <si>
    <t xml:space="preserve">Kalkylen</t>
  </si>
  <si>
    <t xml:space="preserve">Utregning</t>
  </si>
  <si>
    <t xml:space="preserve">Direkte lønnskostnader</t>
  </si>
  <si>
    <t xml:space="preserve">Timer × lønn per time × (1 + sosiale). Boka kaller timekosten «timepris» i eksempel 3 — det er bedriftens kostnad, ikke kundens pris</t>
  </si>
  <si>
    <t xml:space="preserve">+ direkte materialkostnader</t>
  </si>
  <si>
    <t xml:space="preserve">Netto innkjøpspris</t>
  </si>
  <si>
    <t xml:space="preserve">= Sum direkte kostnader</t>
  </si>
  <si>
    <t xml:space="preserve">+ indirekte kostnader</t>
  </si>
  <si>
    <t xml:space="preserve">Tilleggssats × direkte lønnskostnader</t>
  </si>
  <si>
    <t xml:space="preserve">= Selvkost</t>
  </si>
  <si>
    <t xml:space="preserve">Alt jobben koster, også sin andel av husleie, biler og administrasjon</t>
  </si>
  <si>
    <t xml:space="preserve">+ fortjeneste</t>
  </si>
  <si>
    <t xml:space="preserve">Fortjeneste i % av selvkost</t>
  </si>
  <si>
    <t xml:space="preserve">= Pris u/mva.</t>
  </si>
  <si>
    <t xml:space="preserve">+ mva.</t>
  </si>
  <si>
    <t xml:space="preserve">= Pris m/mva.</t>
  </si>
  <si>
    <t xml:space="preserve">Timekost (bedriftens kostnad per time)</t>
  </si>
  <si>
    <t xml:space="preserve">Timepris til kunden (eks. mva)</t>
  </si>
  <si>
    <t xml:space="preserve">Det tallet KlarCalc kaller «salgspris pr time» og SmartCraft «timepris på montører»</t>
  </si>
  <si>
    <t xml:space="preserve">Den samme jobben gjennom Eldata-trappen</t>
  </si>
  <si>
    <t xml:space="preserve">Eldata legger påslagene oppå hverandre, ett trinn om gangen (håndboken «ELdata kalkyle», bildet Kalkulasjon arbeid og Kalkuler materiell påslag).</t>
  </si>
  <si>
    <t xml:space="preserve">Arbeid</t>
  </si>
  <si>
    <t xml:space="preserve">Påslag (kr)</t>
  </si>
  <si>
    <t xml:space="preserve">Sum etter trinnet</t>
  </si>
  <si>
    <t xml:space="preserve">Kommentar</t>
  </si>
  <si>
    <t xml:space="preserve">Sum arbeidslønn (timer × lønn per time)</t>
  </si>
  <si>
    <t xml:space="preserve">+ Sosiale omkostninger</t>
  </si>
  <si>
    <t xml:space="preserve">Eldata: knappen S</t>
  </si>
  <si>
    <t xml:space="preserve">+ Driftsomkostninger</t>
  </si>
  <si>
    <t xml:space="preserve">Eldata: knappen D, % av sum inkl. sosiale</t>
  </si>
  <si>
    <t xml:space="preserve">+ Fellesomkostninger</t>
  </si>
  <si>
    <t xml:space="preserve">Eldata: knappen F, % av sum inkl. drift</t>
  </si>
  <si>
    <t xml:space="preserve">+ Fortjeneste</t>
  </si>
  <si>
    <t xml:space="preserve">Eldata: knappen P, % av sum inkl. felles</t>
  </si>
  <si>
    <t xml:space="preserve">= Kalkulert arbeidspris</t>
  </si>
  <si>
    <t xml:space="preserve">Faktor arbeid</t>
  </si>
  <si>
    <t xml:space="preserve">Eldata: faktor arbeid = kalkulert arbeidspris / netto</t>
  </si>
  <si>
    <t xml:space="preserve">Materiell</t>
  </si>
  <si>
    <t xml:space="preserve">Netto materiell (selvkost etter rabatt)</t>
  </si>
  <si>
    <t xml:space="preserve">+ Driftsomkostninger materiell</t>
  </si>
  <si>
    <t xml:space="preserve">0 i den enkle varianten: alt indirekte ligger på lønn</t>
  </si>
  <si>
    <t xml:space="preserve">+ Fellesomkostninger materiell</t>
  </si>
  <si>
    <t xml:space="preserve">0 av samme grunn. Legger du inn noe her, må lønnssatsene ned</t>
  </si>
  <si>
    <t xml:space="preserve">Samme fortjenestesats som på arbeid</t>
  </si>
  <si>
    <t xml:space="preserve">= Kalkulert materiellpris</t>
  </si>
  <si>
    <t xml:space="preserve">Faktor materiell</t>
  </si>
  <si>
    <t xml:space="preserve">Kundepris eks. mva (Eldata)</t>
  </si>
  <si>
    <t xml:space="preserve">Pris u/mva. fra fane 3 (boka)</t>
  </si>
  <si>
    <t xml:space="preserve">Forskjell</t>
  </si>
  <si>
    <t xml:space="preserve">0 = boka og Eldata gir nøyaktig samme pris</t>
  </si>
  <si>
    <t xml:space="preserve">DB-trinnene i Eldata</t>
  </si>
  <si>
    <t xml:space="preserve">DB1 bruttofortjeneste = kundepris − netto materiell/arbeid inkl. sosiale</t>
  </si>
  <si>
    <t xml:space="preserve">DB2 = DB1 − driftsomkostninger</t>
  </si>
  <si>
    <t xml:space="preserve">DB3 nettofortjeneste = DB2 − fellesomkostninger</t>
  </si>
  <si>
    <t xml:space="preserve">DB3 er det boka kaller fortjeneste. DB1 ligger nær bokas dekningsbidrag (pris − variable kostnader)</t>
  </si>
  <si>
    <t xml:space="preserve">Samme budsjett, to nøkler — to helt ulike priser</t>
  </si>
  <si>
    <t xml:space="preserve">Budsjettet sier hvor mye indirekte kostnader som skal dekkes. Det sier ikke hvilken nøkkel de skal fordeles med. Det valget gjør bedriften selv (Økonomistyring for LØM-emnet, kap. 5.2.1 og 5.3).</t>
  </si>
  <si>
    <t xml:space="preserve">Jobb A: materielltung</t>
  </si>
  <si>
    <t xml:space="preserve">Jobb B: lønnstung</t>
  </si>
  <si>
    <t xml:space="preserve">Direkte lønn inkl. sosiale</t>
  </si>
  <si>
    <t xml:space="preserve">Direkte materiell</t>
  </si>
  <si>
    <t xml:space="preserve">Nøkkel 1: tilleggssats på direkte lønn</t>
  </si>
  <si>
    <t xml:space="preserve">Indirekte kostnader</t>
  </si>
  <si>
    <t xml:space="preserve">Selvkost</t>
  </si>
  <si>
    <t xml:space="preserve">Nøkkel 2: tilleggssats på alle direkte kostnader</t>
  </si>
  <si>
    <t xml:space="preserve">= indirekte / (materiell + direkte lønn)</t>
  </si>
  <si>
    <t xml:space="preserve">Forskjell i selvkost (nøkkel 2 − nøkkel 1)</t>
  </si>
  <si>
    <t xml:space="preserve">Hva betyr det?</t>
  </si>
  <si>
    <t xml:space="preserve">Med nøkkel 2 blir tavleanbudet med mye materiell dyrt, og du taper det. Med nøkkel 1 blir servicejobbene med mye timer dyre. Begge nøklene dekker de samme kronene over året. Eldata og KlarCalc løser det med egne påslag for materiell og arbeid — det tilsvarer to tilleggssatser.</t>
  </si>
  <si>
    <t xml:space="preserve">Øvelser — skriv svaret i den gule cellen</t>
  </si>
  <si>
    <t xml:space="preserve">Svar i kroner uten mellomrom, eller prosent som 84,5 %. Sjekken godtar et lite avrundingsavvik. Bruk fanene 1–5 hvis du står fast.</t>
  </si>
  <si>
    <t xml:space="preserve">Oppgave</t>
  </si>
  <si>
    <t xml:space="preserve">Ditt svar</t>
  </si>
  <si>
    <t xml:space="preserve">Sjekk</t>
  </si>
  <si>
    <t xml:space="preserve">Hvor stor er tilleggssatsen for indirekte kostnader i % av direkte lønn? (Fane 2)</t>
  </si>
  <si>
    <t xml:space="preserve">Hva blir selvkosten på en jobb med 30 000 kr i direkte lønn (inkl. sosiale) og 15 000 kr i materiell?</t>
  </si>
  <si>
    <t xml:space="preserve">Hva blir prisen u/mva. på den samme jobben, med fortjenesten fra budsjettet?</t>
  </si>
  <si>
    <t xml:space="preserve">Hva blir faktor arbeid i Eldata med satsene fra budsjettet? Svar med tre desimaler.</t>
  </si>
  <si>
    <t xml:space="preserve">Flytt konto 5100 Lønn administrasjon (3 600 000) fra F til L i fane 1, men regn ut i hodet først: hva blir den nye tilleggssatsen? (Sett den tilbake etterpå.)</t>
  </si>
  <si>
    <t xml:space="preserve">Oppgave 5 er laget slik at svaret stemmer når fane 1 er uendret. Regner du riktig, ser du at tilleggssatsen faller kraftig — fordi en stor kostnad flyttes fra «indirekte» til «direkte». Det er derfor bedrifter som fører prosjektlederens timer på jobbene, får lavere tilleggssats.</t>
  </si>
  <si>
    <t xml:space="preserve">Samme ting, fire navn</t>
  </si>
  <si>
    <t xml:space="preserve">Læreboka</t>
  </si>
  <si>
    <t xml:space="preserve">Eldata</t>
  </si>
  <si>
    <t xml:space="preserve">KlarCalc</t>
  </si>
  <si>
    <t xml:space="preserve">SmartCraft Spark</t>
  </si>
  <si>
    <t xml:space="preserve">I budsjettet</t>
  </si>
  <si>
    <t xml:space="preserve">Direkte lønnskostnader (timer × sats)</t>
  </si>
  <si>
    <t xml:space="preserve">Sum arbeidslønn + sosiale omkostninger</t>
  </si>
  <si>
    <t xml:space="preserve">Lønnskost</t>
  </si>
  <si>
    <t xml:space="preserve">Timepris på montører, lærlinger osv. (kostnadsdelen vises ikke)</t>
  </si>
  <si>
    <t xml:space="preserve">Konto 5000–5030 + AGA og yrkesskade produksjon</t>
  </si>
  <si>
    <t xml:space="preserve">Direkte materialkostnader</t>
  </si>
  <si>
    <t xml:space="preserve">Selvkost materiell (netto etter rabatt)</t>
  </si>
  <si>
    <t xml:space="preserve">Innkjøpspris fra grossist</t>
  </si>
  <si>
    <t xml:space="preserve">Grossistpris via rabattfil og EFO-produktdatabasen</t>
  </si>
  <si>
    <t xml:space="preserve">Indirekte kostnader (tilleggssats)</t>
  </si>
  <si>
    <t xml:space="preserve">Driftsomkostninger + fellesomkostninger</t>
  </si>
  <si>
    <t xml:space="preserve">Sosiale og administrative kostnader</t>
  </si>
  <si>
    <t xml:space="preserve">Påslag (oppsettet viser ikke hvordan det regnes)</t>
  </si>
  <si>
    <t xml:space="preserve">Alt annet: adm.lønn, lokaler, biler, verktøy, kontor</t>
  </si>
  <si>
    <t xml:space="preserve">Ikke egen linje; ligger i faktorene</t>
  </si>
  <si>
    <t xml:space="preserve">Kostpris</t>
  </si>
  <si>
    <t xml:space="preserve">Ikke dokumentert</t>
  </si>
  <si>
    <t xml:space="preserve">Sum kostnader 44 795 000</t>
  </si>
  <si>
    <t xml:space="preserve">Fortjeneste % (P)</t>
  </si>
  <si>
    <t xml:space="preserve">Standard fortjeneste / variabel fortjeneste</t>
  </si>
  <si>
    <t xml:space="preserve">«Se hva du tjener før jobben starter»</t>
  </si>
  <si>
    <t xml:space="preserve">Driftsresultat 5 205 000</t>
  </si>
  <si>
    <t xml:space="preserve">Pris u/mva.</t>
  </si>
  <si>
    <t xml:space="preserve">Kundepris eks. mva (faktor arbeid × faktor materiell)</t>
  </si>
  <si>
    <t xml:space="preserve">Salgspris eks. mva</t>
  </si>
  <si>
    <t xml:space="preserve">Tilbudspris</t>
  </si>
  <si>
    <t xml:space="preserve">Omsetning 50 000 000</t>
  </si>
  <si>
    <t xml:space="preserve">Dekningsbidrag (bidragskalkyle)</t>
  </si>
  <si>
    <t xml:space="preserve">DB1, DB2, DB3</t>
  </si>
  <si>
    <t xml:space="preserve">Dekningsbidrag (vises ved holdepekeren)</t>
  </si>
  <si>
    <t xml:space="preserve">—</t>
  </si>
  <si>
    <t xml:space="preserve">Timepris i eksempel 3 = bedriftens kostnad per time</t>
  </si>
  <si>
    <t xml:space="preserve">Timesats for akkordlaget</t>
  </si>
  <si>
    <t xml:space="preserve">Salgspris pr time = kundens pris</t>
  </si>
  <si>
    <t xml:space="preserve">Timepris = kundens pris</t>
  </si>
  <si>
    <t xml:space="preserve">Pass på: samme ord, to betydninger</t>
  </si>
  <si>
    <t xml:space="preserve">Kilder: Økonomistyring for LØM-emnet kap. 5.2; ELdata kalkyle (NELFO); Brukerveiledning KlarCalc 2025 («Hvis du ikke vet de respektive satser, kan du få dette fra din regnskapsfører»); smartcraftspark.com/no lest 19.10.2026. SmartCraft dokumenterer ikke regnemetoden offentlig — der står «ikke dokumentert».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</si>
</sst>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\-"/>
    <numFmt numFmtId="166" formatCode="0.0%"/>
    <numFmt numFmtId="167" formatCode="0.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23.8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2" t="s">
        <v>3</v>
      </c>
    </row>
    <row r="7" customFormat="false" ht="23.8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23.8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2" t="s">
        <v>13</v>
      </c>
    </row>
    <row r="19" customFormat="false" ht="35.05" hidden="false" customHeight="false" outlineLevel="0" collapsed="false">
      <c r="B19" s="3" t="s">
        <v>14</v>
      </c>
    </row>
    <row r="20" customFormat="false" ht="35.05" hidden="false" customHeight="false" outlineLevel="0" collapsed="false">
      <c r="B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16</v>
      </c>
    </row>
    <row r="2" customFormat="false" ht="45" hidden="false" customHeight="true" outlineLevel="0" collapsed="false">
      <c r="A2" s="4" t="s">
        <v>17</v>
      </c>
      <c r="B2" s="4"/>
      <c r="C2" s="4"/>
      <c r="D2" s="4"/>
      <c r="E2" s="4"/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</row>
    <row r="5" customFormat="false" ht="15" hidden="false" customHeight="false" outlineLevel="0" collapsed="false">
      <c r="B5" s="6" t="s">
        <v>23</v>
      </c>
    </row>
    <row r="6" customFormat="false" ht="15" hidden="false" customHeight="false" outlineLevel="0" collapsed="false">
      <c r="A6" s="7" t="n">
        <v>3000</v>
      </c>
      <c r="B6" s="7" t="s">
        <v>24</v>
      </c>
      <c r="C6" s="8" t="n">
        <v>8500000</v>
      </c>
      <c r="D6" s="9" t="s">
        <v>25</v>
      </c>
      <c r="E6" s="7" t="s">
        <v>26</v>
      </c>
    </row>
    <row r="7" customFormat="false" ht="15" hidden="false" customHeight="false" outlineLevel="0" collapsed="false">
      <c r="A7" s="7" t="n">
        <v>3010</v>
      </c>
      <c r="B7" s="7" t="s">
        <v>27</v>
      </c>
      <c r="C7" s="8" t="n">
        <v>12500000</v>
      </c>
      <c r="D7" s="9" t="s">
        <v>25</v>
      </c>
      <c r="E7" s="7" t="s">
        <v>26</v>
      </c>
    </row>
    <row r="8" customFormat="false" ht="15" hidden="false" customHeight="false" outlineLevel="0" collapsed="false">
      <c r="A8" s="7" t="n">
        <v>3040</v>
      </c>
      <c r="B8" s="7" t="s">
        <v>28</v>
      </c>
      <c r="C8" s="8" t="n">
        <v>29000000</v>
      </c>
      <c r="D8" s="9" t="s">
        <v>25</v>
      </c>
      <c r="E8" s="7" t="s">
        <v>26</v>
      </c>
    </row>
    <row r="9" customFormat="false" ht="15" hidden="false" customHeight="false" outlineLevel="0" collapsed="false">
      <c r="B9" s="6" t="s">
        <v>29</v>
      </c>
    </row>
    <row r="10" customFormat="false" ht="15" hidden="false" customHeight="false" outlineLevel="0" collapsed="false">
      <c r="A10" s="7" t="n">
        <v>4300</v>
      </c>
      <c r="B10" s="7" t="s">
        <v>30</v>
      </c>
      <c r="C10" s="8" t="n">
        <v>21000000</v>
      </c>
      <c r="D10" s="9" t="s">
        <v>31</v>
      </c>
      <c r="E10" s="7" t="s">
        <v>32</v>
      </c>
    </row>
    <row r="11" customFormat="false" ht="15" hidden="false" customHeight="false" outlineLevel="0" collapsed="false">
      <c r="A11" s="7" t="n">
        <v>4302</v>
      </c>
      <c r="B11" s="7" t="s">
        <v>33</v>
      </c>
      <c r="C11" s="8" t="n">
        <v>-750000</v>
      </c>
      <c r="D11" s="9" t="s">
        <v>31</v>
      </c>
      <c r="E11" s="7" t="s">
        <v>32</v>
      </c>
    </row>
    <row r="12" customFormat="false" ht="15" hidden="false" customHeight="false" outlineLevel="0" collapsed="false">
      <c r="A12" s="7" t="n">
        <v>4500</v>
      </c>
      <c r="B12" s="7" t="s">
        <v>34</v>
      </c>
      <c r="C12" s="8" t="n">
        <v>1000000</v>
      </c>
      <c r="D12" s="9" t="s">
        <v>31</v>
      </c>
      <c r="E12" s="7" t="s">
        <v>32</v>
      </c>
    </row>
    <row r="13" customFormat="false" ht="15" hidden="false" customHeight="false" outlineLevel="0" collapsed="false">
      <c r="A13" s="7" t="n">
        <v>5000</v>
      </c>
      <c r="B13" s="7" t="s">
        <v>35</v>
      </c>
      <c r="C13" s="8" t="n">
        <v>9000000</v>
      </c>
      <c r="D13" s="9" t="s">
        <v>36</v>
      </c>
      <c r="E13" s="7" t="s">
        <v>37</v>
      </c>
    </row>
    <row r="14" customFormat="false" ht="15" hidden="false" customHeight="false" outlineLevel="0" collapsed="false">
      <c r="A14" s="7" t="n">
        <v>5002</v>
      </c>
      <c r="B14" s="7" t="s">
        <v>38</v>
      </c>
      <c r="C14" s="8" t="n">
        <v>200000</v>
      </c>
      <c r="D14" s="9" t="s">
        <v>36</v>
      </c>
      <c r="E14" s="7" t="s">
        <v>37</v>
      </c>
    </row>
    <row r="15" customFormat="false" ht="15" hidden="false" customHeight="false" outlineLevel="0" collapsed="false">
      <c r="A15" s="7" t="n">
        <v>5010</v>
      </c>
      <c r="B15" s="7" t="s">
        <v>39</v>
      </c>
      <c r="C15" s="8" t="n">
        <v>400000</v>
      </c>
      <c r="D15" s="9" t="s">
        <v>40</v>
      </c>
      <c r="E15" s="7" t="s">
        <v>41</v>
      </c>
    </row>
    <row r="16" customFormat="false" ht="15" hidden="false" customHeight="false" outlineLevel="0" collapsed="false">
      <c r="A16" s="7" t="n">
        <v>5020</v>
      </c>
      <c r="B16" s="7" t="s">
        <v>42</v>
      </c>
      <c r="C16" s="8" t="n">
        <v>300000</v>
      </c>
      <c r="D16" s="9" t="s">
        <v>40</v>
      </c>
      <c r="E16" s="7" t="s">
        <v>41</v>
      </c>
    </row>
    <row r="17" customFormat="false" ht="15" hidden="false" customHeight="false" outlineLevel="0" collapsed="false">
      <c r="A17" s="7" t="n">
        <v>5030</v>
      </c>
      <c r="B17" s="7" t="s">
        <v>43</v>
      </c>
      <c r="C17" s="8" t="n">
        <v>1200000</v>
      </c>
      <c r="D17" s="9" t="s">
        <v>40</v>
      </c>
      <c r="E17" s="7" t="s">
        <v>41</v>
      </c>
    </row>
    <row r="18" customFormat="false" ht="15" hidden="false" customHeight="false" outlineLevel="0" collapsed="false">
      <c r="A18" s="7" t="n">
        <v>5100</v>
      </c>
      <c r="B18" s="7" t="s">
        <v>44</v>
      </c>
      <c r="C18" s="8" t="n">
        <v>3600000</v>
      </c>
      <c r="D18" s="9" t="s">
        <v>45</v>
      </c>
      <c r="E18" s="7" t="s">
        <v>46</v>
      </c>
    </row>
    <row r="19" customFormat="false" ht="15" hidden="false" customHeight="false" outlineLevel="0" collapsed="false">
      <c r="A19" s="7" t="n">
        <v>5120</v>
      </c>
      <c r="B19" s="7" t="s">
        <v>47</v>
      </c>
      <c r="C19" s="8" t="n">
        <v>75000</v>
      </c>
      <c r="D19" s="9" t="s">
        <v>45</v>
      </c>
      <c r="E19" s="7" t="s">
        <v>46</v>
      </c>
    </row>
    <row r="20" customFormat="false" ht="15" hidden="false" customHeight="false" outlineLevel="0" collapsed="false">
      <c r="A20" s="7" t="n">
        <v>5130</v>
      </c>
      <c r="B20" s="7" t="s">
        <v>48</v>
      </c>
      <c r="C20" s="8" t="n">
        <v>450000</v>
      </c>
      <c r="D20" s="9" t="s">
        <v>45</v>
      </c>
      <c r="E20" s="7" t="s">
        <v>46</v>
      </c>
    </row>
    <row r="21" customFormat="false" ht="15" hidden="false" customHeight="false" outlineLevel="0" collapsed="false">
      <c r="A21" s="7" t="n">
        <v>5211</v>
      </c>
      <c r="B21" s="7" t="s">
        <v>49</v>
      </c>
      <c r="C21" s="8" t="n">
        <v>100000</v>
      </c>
      <c r="D21" s="9" t="s">
        <v>45</v>
      </c>
      <c r="E21" s="7" t="s">
        <v>46</v>
      </c>
    </row>
    <row r="22" customFormat="false" ht="15" hidden="false" customHeight="false" outlineLevel="0" collapsed="false">
      <c r="A22" s="7" t="n">
        <v>5945</v>
      </c>
      <c r="B22" s="7" t="s">
        <v>50</v>
      </c>
      <c r="C22" s="8" t="n">
        <v>650000</v>
      </c>
      <c r="D22" s="9" t="s">
        <v>45</v>
      </c>
      <c r="E22" s="7" t="s">
        <v>46</v>
      </c>
    </row>
    <row r="23" customFormat="false" ht="15" hidden="false" customHeight="false" outlineLevel="0" collapsed="false">
      <c r="A23" s="7" t="n">
        <v>5400</v>
      </c>
      <c r="B23" s="7" t="s">
        <v>51</v>
      </c>
      <c r="C23" s="8" t="n">
        <v>1600000</v>
      </c>
      <c r="D23" s="9" t="s">
        <v>40</v>
      </c>
      <c r="E23" s="7" t="s">
        <v>41</v>
      </c>
    </row>
    <row r="24" customFormat="false" ht="15" hidden="false" customHeight="false" outlineLevel="0" collapsed="false">
      <c r="A24" s="7" t="n">
        <v>5401</v>
      </c>
      <c r="B24" s="7" t="s">
        <v>52</v>
      </c>
      <c r="C24" s="8" t="n">
        <v>700000</v>
      </c>
      <c r="D24" s="9" t="s">
        <v>45</v>
      </c>
      <c r="E24" s="7" t="s">
        <v>46</v>
      </c>
    </row>
    <row r="25" customFormat="false" ht="15" hidden="false" customHeight="false" outlineLevel="0" collapsed="false">
      <c r="A25" s="7" t="n">
        <v>5452</v>
      </c>
      <c r="B25" s="7" t="s">
        <v>53</v>
      </c>
      <c r="C25" s="8" t="n">
        <v>600000</v>
      </c>
      <c r="D25" s="9" t="s">
        <v>45</v>
      </c>
      <c r="E25" s="7" t="s">
        <v>46</v>
      </c>
    </row>
    <row r="26" customFormat="false" ht="15" hidden="false" customHeight="false" outlineLevel="0" collapsed="false">
      <c r="A26" s="7" t="n">
        <v>5700</v>
      </c>
      <c r="B26" s="7" t="s">
        <v>54</v>
      </c>
      <c r="C26" s="8" t="n">
        <v>-300000</v>
      </c>
      <c r="D26" s="9" t="s">
        <v>45</v>
      </c>
      <c r="E26" s="7" t="s">
        <v>46</v>
      </c>
    </row>
    <row r="27" customFormat="false" ht="15" hidden="false" customHeight="false" outlineLevel="0" collapsed="false">
      <c r="A27" s="7" t="n">
        <v>5920</v>
      </c>
      <c r="B27" s="7" t="s">
        <v>55</v>
      </c>
      <c r="C27" s="8" t="n">
        <v>60000</v>
      </c>
      <c r="D27" s="9" t="s">
        <v>40</v>
      </c>
      <c r="E27" s="7" t="s">
        <v>41</v>
      </c>
    </row>
    <row r="28" customFormat="false" ht="15" hidden="false" customHeight="false" outlineLevel="0" collapsed="false">
      <c r="A28" s="7" t="n">
        <v>5990</v>
      </c>
      <c r="B28" s="7" t="s">
        <v>56</v>
      </c>
      <c r="C28" s="8" t="n">
        <v>150000</v>
      </c>
      <c r="D28" s="9" t="s">
        <v>57</v>
      </c>
      <c r="E28" s="7" t="s">
        <v>58</v>
      </c>
    </row>
    <row r="29" customFormat="false" ht="15" hidden="false" customHeight="false" outlineLevel="0" collapsed="false">
      <c r="A29" s="7" t="n">
        <v>5992</v>
      </c>
      <c r="B29" s="7" t="s">
        <v>59</v>
      </c>
      <c r="C29" s="8" t="n">
        <v>100000</v>
      </c>
      <c r="D29" s="9" t="s">
        <v>45</v>
      </c>
      <c r="E29" s="7" t="s">
        <v>46</v>
      </c>
    </row>
    <row r="30" customFormat="false" ht="15" hidden="false" customHeight="false" outlineLevel="0" collapsed="false">
      <c r="A30" s="7" t="n">
        <v>6010</v>
      </c>
      <c r="B30" s="7" t="s">
        <v>60</v>
      </c>
      <c r="C30" s="8" t="n">
        <v>250000</v>
      </c>
      <c r="D30" s="9" t="s">
        <v>57</v>
      </c>
      <c r="E30" s="7" t="s">
        <v>58</v>
      </c>
    </row>
    <row r="31" customFormat="false" ht="15" hidden="false" customHeight="false" outlineLevel="0" collapsed="false">
      <c r="A31" s="7" t="n">
        <v>6300</v>
      </c>
      <c r="B31" s="7" t="s">
        <v>61</v>
      </c>
      <c r="C31" s="8" t="n">
        <v>750000</v>
      </c>
      <c r="D31" s="9" t="s">
        <v>45</v>
      </c>
      <c r="E31" s="7" t="s">
        <v>46</v>
      </c>
    </row>
    <row r="32" customFormat="false" ht="15" hidden="false" customHeight="false" outlineLevel="0" collapsed="false">
      <c r="A32" s="7" t="n">
        <v>6344</v>
      </c>
      <c r="B32" s="7" t="s">
        <v>62</v>
      </c>
      <c r="C32" s="8" t="n">
        <v>60000</v>
      </c>
      <c r="D32" s="9" t="s">
        <v>45</v>
      </c>
      <c r="E32" s="7" t="s">
        <v>46</v>
      </c>
    </row>
    <row r="33" customFormat="false" ht="15" hidden="false" customHeight="false" outlineLevel="0" collapsed="false">
      <c r="A33" s="7" t="n">
        <v>6360</v>
      </c>
      <c r="B33" s="7" t="s">
        <v>63</v>
      </c>
      <c r="C33" s="8" t="n">
        <v>100000</v>
      </c>
      <c r="D33" s="9" t="s">
        <v>45</v>
      </c>
      <c r="E33" s="7" t="s">
        <v>46</v>
      </c>
    </row>
    <row r="34" customFormat="false" ht="15" hidden="false" customHeight="false" outlineLevel="0" collapsed="false">
      <c r="A34" s="7" t="n">
        <v>6390</v>
      </c>
      <c r="B34" s="7" t="s">
        <v>64</v>
      </c>
      <c r="C34" s="8" t="n">
        <v>20000</v>
      </c>
      <c r="D34" s="9" t="s">
        <v>45</v>
      </c>
      <c r="E34" s="7" t="s">
        <v>46</v>
      </c>
    </row>
    <row r="35" customFormat="false" ht="15" hidden="false" customHeight="false" outlineLevel="0" collapsed="false">
      <c r="A35" s="7" t="n">
        <v>6430</v>
      </c>
      <c r="B35" s="7" t="s">
        <v>65</v>
      </c>
      <c r="C35" s="8" t="n">
        <v>15000</v>
      </c>
      <c r="D35" s="9" t="s">
        <v>45</v>
      </c>
      <c r="E35" s="7" t="s">
        <v>46</v>
      </c>
    </row>
    <row r="36" customFormat="false" ht="15" hidden="false" customHeight="false" outlineLevel="0" collapsed="false">
      <c r="A36" s="7" t="n">
        <v>6500</v>
      </c>
      <c r="B36" s="7" t="s">
        <v>66</v>
      </c>
      <c r="C36" s="8" t="n">
        <v>25000</v>
      </c>
      <c r="D36" s="9" t="s">
        <v>57</v>
      </c>
      <c r="E36" s="7" t="s">
        <v>58</v>
      </c>
    </row>
    <row r="37" customFormat="false" ht="15" hidden="false" customHeight="false" outlineLevel="0" collapsed="false">
      <c r="A37" s="7" t="n">
        <v>6510</v>
      </c>
      <c r="B37" s="7" t="s">
        <v>67</v>
      </c>
      <c r="C37" s="8" t="n">
        <v>125000</v>
      </c>
      <c r="D37" s="9" t="s">
        <v>57</v>
      </c>
      <c r="E37" s="7" t="s">
        <v>58</v>
      </c>
    </row>
    <row r="38" customFormat="false" ht="15" hidden="false" customHeight="false" outlineLevel="0" collapsed="false">
      <c r="A38" s="7" t="n">
        <v>6520</v>
      </c>
      <c r="B38" s="7" t="s">
        <v>68</v>
      </c>
      <c r="C38" s="8" t="n">
        <v>5000</v>
      </c>
      <c r="D38" s="9" t="s">
        <v>57</v>
      </c>
      <c r="E38" s="7" t="s">
        <v>58</v>
      </c>
    </row>
    <row r="39" customFormat="false" ht="15" hidden="false" customHeight="false" outlineLevel="0" collapsed="false">
      <c r="A39" s="7" t="n">
        <v>6570</v>
      </c>
      <c r="B39" s="7" t="s">
        <v>69</v>
      </c>
      <c r="C39" s="8" t="n">
        <v>75000</v>
      </c>
      <c r="D39" s="9" t="s">
        <v>57</v>
      </c>
      <c r="E39" s="7" t="s">
        <v>58</v>
      </c>
    </row>
    <row r="40" customFormat="false" ht="15" hidden="false" customHeight="false" outlineLevel="0" collapsed="false">
      <c r="A40" s="7" t="n">
        <v>6580</v>
      </c>
      <c r="B40" s="7" t="s">
        <v>70</v>
      </c>
      <c r="C40" s="8" t="n">
        <v>25000</v>
      </c>
      <c r="D40" s="9" t="s">
        <v>57</v>
      </c>
      <c r="E40" s="7" t="s">
        <v>58</v>
      </c>
    </row>
    <row r="41" customFormat="false" ht="15" hidden="false" customHeight="false" outlineLevel="0" collapsed="false">
      <c r="A41" s="7" t="n">
        <v>6590</v>
      </c>
      <c r="B41" s="7" t="s">
        <v>71</v>
      </c>
      <c r="C41" s="8" t="n">
        <v>50000</v>
      </c>
      <c r="D41" s="9" t="s">
        <v>57</v>
      </c>
      <c r="E41" s="7" t="s">
        <v>58</v>
      </c>
    </row>
    <row r="42" customFormat="false" ht="15" hidden="false" customHeight="false" outlineLevel="0" collapsed="false">
      <c r="A42" s="7" t="n">
        <v>6700</v>
      </c>
      <c r="B42" s="7" t="s">
        <v>72</v>
      </c>
      <c r="C42" s="8" t="n">
        <v>150000</v>
      </c>
      <c r="D42" s="9" t="s">
        <v>45</v>
      </c>
      <c r="E42" s="7" t="s">
        <v>46</v>
      </c>
    </row>
    <row r="43" customFormat="false" ht="15" hidden="false" customHeight="false" outlineLevel="0" collapsed="false">
      <c r="A43" s="7" t="n">
        <v>6791</v>
      </c>
      <c r="B43" s="7" t="s">
        <v>73</v>
      </c>
      <c r="C43" s="8" t="n">
        <v>50000</v>
      </c>
      <c r="D43" s="9" t="s">
        <v>45</v>
      </c>
      <c r="E43" s="7" t="s">
        <v>46</v>
      </c>
    </row>
    <row r="44" customFormat="false" ht="15" hidden="false" customHeight="false" outlineLevel="0" collapsed="false">
      <c r="A44" s="7" t="n">
        <v>6800</v>
      </c>
      <c r="B44" s="7" t="s">
        <v>74</v>
      </c>
      <c r="C44" s="8" t="n">
        <v>75000</v>
      </c>
      <c r="D44" s="9" t="s">
        <v>45</v>
      </c>
      <c r="E44" s="7" t="s">
        <v>46</v>
      </c>
    </row>
    <row r="45" customFormat="false" ht="15" hidden="false" customHeight="false" outlineLevel="0" collapsed="false">
      <c r="A45" s="7" t="n">
        <v>6810</v>
      </c>
      <c r="B45" s="7" t="s">
        <v>75</v>
      </c>
      <c r="C45" s="8" t="n">
        <v>125000</v>
      </c>
      <c r="D45" s="9" t="s">
        <v>45</v>
      </c>
      <c r="E45" s="7" t="s">
        <v>46</v>
      </c>
    </row>
    <row r="46" customFormat="false" ht="15" hidden="false" customHeight="false" outlineLevel="0" collapsed="false">
      <c r="A46" s="7" t="n">
        <v>6811</v>
      </c>
      <c r="B46" s="7" t="s">
        <v>76</v>
      </c>
      <c r="C46" s="8" t="n">
        <v>50000</v>
      </c>
      <c r="D46" s="9" t="s">
        <v>45</v>
      </c>
      <c r="E46" s="7" t="s">
        <v>46</v>
      </c>
    </row>
    <row r="47" customFormat="false" ht="15" hidden="false" customHeight="false" outlineLevel="0" collapsed="false">
      <c r="A47" s="7" t="n">
        <v>6820</v>
      </c>
      <c r="B47" s="7" t="s">
        <v>77</v>
      </c>
      <c r="C47" s="8" t="n">
        <v>20000</v>
      </c>
      <c r="D47" s="9" t="s">
        <v>45</v>
      </c>
      <c r="E47" s="7" t="s">
        <v>46</v>
      </c>
    </row>
    <row r="48" customFormat="false" ht="15" hidden="false" customHeight="false" outlineLevel="0" collapsed="false">
      <c r="A48" s="7" t="n">
        <v>6840</v>
      </c>
      <c r="B48" s="7" t="s">
        <v>78</v>
      </c>
      <c r="C48" s="8" t="n">
        <v>10000</v>
      </c>
      <c r="D48" s="9" t="s">
        <v>45</v>
      </c>
      <c r="E48" s="7" t="s">
        <v>46</v>
      </c>
    </row>
    <row r="49" customFormat="false" ht="15" hidden="false" customHeight="false" outlineLevel="0" collapsed="false">
      <c r="A49" s="7" t="n">
        <v>6860</v>
      </c>
      <c r="B49" s="7" t="s">
        <v>79</v>
      </c>
      <c r="C49" s="8" t="n">
        <v>50000</v>
      </c>
      <c r="D49" s="9" t="s">
        <v>45</v>
      </c>
      <c r="E49" s="7" t="s">
        <v>46</v>
      </c>
    </row>
    <row r="50" customFormat="false" ht="15" hidden="false" customHeight="false" outlineLevel="0" collapsed="false">
      <c r="A50" s="7" t="n">
        <v>6890</v>
      </c>
      <c r="B50" s="7" t="s">
        <v>80</v>
      </c>
      <c r="C50" s="8" t="n">
        <v>0</v>
      </c>
      <c r="D50" s="9" t="s">
        <v>45</v>
      </c>
      <c r="E50" s="7" t="s">
        <v>46</v>
      </c>
    </row>
    <row r="51" customFormat="false" ht="15" hidden="false" customHeight="false" outlineLevel="0" collapsed="false">
      <c r="A51" s="7" t="n">
        <v>6900</v>
      </c>
      <c r="B51" s="7" t="s">
        <v>81</v>
      </c>
      <c r="C51" s="8" t="n">
        <v>10000</v>
      </c>
      <c r="D51" s="9" t="s">
        <v>45</v>
      </c>
      <c r="E51" s="7" t="s">
        <v>46</v>
      </c>
    </row>
    <row r="52" customFormat="false" ht="15" hidden="false" customHeight="false" outlineLevel="0" collapsed="false">
      <c r="A52" s="7" t="n">
        <v>6920</v>
      </c>
      <c r="B52" s="7" t="s">
        <v>82</v>
      </c>
      <c r="C52" s="8" t="n">
        <v>175000</v>
      </c>
      <c r="D52" s="9" t="s">
        <v>57</v>
      </c>
      <c r="E52" s="7" t="s">
        <v>58</v>
      </c>
    </row>
    <row r="53" customFormat="false" ht="15" hidden="false" customHeight="false" outlineLevel="0" collapsed="false">
      <c r="A53" s="7" t="n">
        <v>6940</v>
      </c>
      <c r="B53" s="7" t="s">
        <v>83</v>
      </c>
      <c r="C53" s="8" t="n">
        <v>15000</v>
      </c>
      <c r="D53" s="9" t="s">
        <v>45</v>
      </c>
      <c r="E53" s="7" t="s">
        <v>46</v>
      </c>
    </row>
    <row r="54" customFormat="false" ht="15" hidden="false" customHeight="false" outlineLevel="0" collapsed="false">
      <c r="A54" s="7" t="n">
        <v>6950</v>
      </c>
      <c r="B54" s="7" t="s">
        <v>84</v>
      </c>
      <c r="C54" s="8" t="n">
        <v>15000</v>
      </c>
      <c r="D54" s="9" t="s">
        <v>45</v>
      </c>
      <c r="E54" s="7" t="s">
        <v>46</v>
      </c>
    </row>
    <row r="55" customFormat="false" ht="15" hidden="false" customHeight="false" outlineLevel="0" collapsed="false">
      <c r="A55" s="7" t="n">
        <v>7000</v>
      </c>
      <c r="B55" s="7" t="s">
        <v>85</v>
      </c>
      <c r="C55" s="8" t="n">
        <v>300000</v>
      </c>
      <c r="D55" s="9" t="s">
        <v>57</v>
      </c>
      <c r="E55" s="7" t="s">
        <v>58</v>
      </c>
    </row>
    <row r="56" customFormat="false" ht="15" hidden="false" customHeight="false" outlineLevel="0" collapsed="false">
      <c r="A56" s="7" t="n">
        <v>7020</v>
      </c>
      <c r="B56" s="7" t="s">
        <v>86</v>
      </c>
      <c r="C56" s="8" t="n">
        <v>250000</v>
      </c>
      <c r="D56" s="9" t="s">
        <v>57</v>
      </c>
      <c r="E56" s="7" t="s">
        <v>58</v>
      </c>
    </row>
    <row r="57" customFormat="false" ht="15" hidden="false" customHeight="false" outlineLevel="0" collapsed="false">
      <c r="A57" s="7" t="n">
        <v>7040</v>
      </c>
      <c r="B57" s="7" t="s">
        <v>87</v>
      </c>
      <c r="C57" s="8" t="n">
        <v>150000</v>
      </c>
      <c r="D57" s="9" t="s">
        <v>57</v>
      </c>
      <c r="E57" s="7" t="s">
        <v>58</v>
      </c>
    </row>
    <row r="58" customFormat="false" ht="15" hidden="false" customHeight="false" outlineLevel="0" collapsed="false">
      <c r="A58" s="7" t="n">
        <v>7050</v>
      </c>
      <c r="B58" s="7" t="s">
        <v>88</v>
      </c>
      <c r="C58" s="8" t="n">
        <v>50000</v>
      </c>
      <c r="D58" s="9" t="s">
        <v>57</v>
      </c>
      <c r="E58" s="7" t="s">
        <v>58</v>
      </c>
    </row>
    <row r="59" customFormat="false" ht="15" hidden="false" customHeight="false" outlineLevel="0" collapsed="false">
      <c r="A59" s="7" t="n">
        <v>7060</v>
      </c>
      <c r="B59" s="7" t="s">
        <v>89</v>
      </c>
      <c r="C59" s="8" t="n">
        <v>500000</v>
      </c>
      <c r="D59" s="9" t="s">
        <v>57</v>
      </c>
      <c r="E59" s="7" t="s">
        <v>58</v>
      </c>
    </row>
    <row r="60" customFormat="false" ht="15" hidden="false" customHeight="false" outlineLevel="0" collapsed="false">
      <c r="A60" s="7" t="n">
        <v>7101</v>
      </c>
      <c r="B60" s="7" t="s">
        <v>90</v>
      </c>
      <c r="C60" s="8" t="n">
        <v>180000</v>
      </c>
      <c r="D60" s="9" t="s">
        <v>45</v>
      </c>
      <c r="E60" s="7" t="s">
        <v>46</v>
      </c>
    </row>
    <row r="61" customFormat="false" ht="15" hidden="false" customHeight="false" outlineLevel="0" collapsed="false">
      <c r="A61" s="7" t="n">
        <v>7140</v>
      </c>
      <c r="B61" s="7" t="s">
        <v>91</v>
      </c>
      <c r="C61" s="8" t="n">
        <v>150000</v>
      </c>
      <c r="D61" s="9" t="s">
        <v>57</v>
      </c>
      <c r="E61" s="7" t="s">
        <v>58</v>
      </c>
    </row>
    <row r="62" customFormat="false" ht="15" hidden="false" customHeight="false" outlineLevel="0" collapsed="false">
      <c r="A62" s="7" t="n">
        <v>7141</v>
      </c>
      <c r="B62" s="7" t="s">
        <v>92</v>
      </c>
      <c r="C62" s="8" t="n">
        <v>100000</v>
      </c>
      <c r="D62" s="9" t="s">
        <v>57</v>
      </c>
      <c r="E62" s="7" t="s">
        <v>58</v>
      </c>
    </row>
    <row r="63" customFormat="false" ht="15" hidden="false" customHeight="false" outlineLevel="0" collapsed="false">
      <c r="A63" s="7" t="n">
        <v>7300</v>
      </c>
      <c r="B63" s="7" t="s">
        <v>93</v>
      </c>
      <c r="C63" s="8" t="n">
        <v>200000</v>
      </c>
      <c r="D63" s="9" t="s">
        <v>45</v>
      </c>
      <c r="E63" s="7" t="s">
        <v>46</v>
      </c>
    </row>
    <row r="64" customFormat="false" ht="15" hidden="false" customHeight="false" outlineLevel="0" collapsed="false">
      <c r="A64" s="7" t="n">
        <v>7320</v>
      </c>
      <c r="B64" s="7" t="s">
        <v>94</v>
      </c>
      <c r="C64" s="8" t="n">
        <v>100000</v>
      </c>
      <c r="D64" s="9" t="s">
        <v>45</v>
      </c>
      <c r="E64" s="7" t="s">
        <v>46</v>
      </c>
    </row>
    <row r="65" customFormat="false" ht="15" hidden="false" customHeight="false" outlineLevel="0" collapsed="false">
      <c r="A65" s="7" t="n">
        <v>7500</v>
      </c>
      <c r="B65" s="7" t="s">
        <v>95</v>
      </c>
      <c r="C65" s="8" t="n">
        <v>125000</v>
      </c>
      <c r="D65" s="9" t="s">
        <v>45</v>
      </c>
      <c r="E65" s="7" t="s">
        <v>46</v>
      </c>
    </row>
    <row r="66" customFormat="false" ht="15" hidden="false" customHeight="false" outlineLevel="0" collapsed="false">
      <c r="A66" s="7" t="n">
        <v>7550</v>
      </c>
      <c r="B66" s="7" t="s">
        <v>96</v>
      </c>
      <c r="C66" s="8" t="n">
        <v>10000</v>
      </c>
      <c r="D66" s="9" t="s">
        <v>57</v>
      </c>
      <c r="E66" s="7" t="s">
        <v>58</v>
      </c>
    </row>
    <row r="67" customFormat="false" ht="15" hidden="false" customHeight="false" outlineLevel="0" collapsed="false">
      <c r="A67" s="7" t="n">
        <v>7560</v>
      </c>
      <c r="B67" s="7" t="s">
        <v>97</v>
      </c>
      <c r="C67" s="8" t="n">
        <v>100000</v>
      </c>
      <c r="D67" s="9" t="s">
        <v>57</v>
      </c>
      <c r="E67" s="7" t="s">
        <v>58</v>
      </c>
    </row>
    <row r="68" customFormat="false" ht="15" hidden="false" customHeight="false" outlineLevel="0" collapsed="false">
      <c r="A68" s="7" t="n">
        <v>7830</v>
      </c>
      <c r="B68" s="7" t="s">
        <v>98</v>
      </c>
      <c r="C68" s="8" t="n">
        <v>200000</v>
      </c>
      <c r="D68" s="9" t="s">
        <v>45</v>
      </c>
      <c r="E68" s="7" t="s">
        <v>46</v>
      </c>
    </row>
    <row r="70" customFormat="false" ht="15" hidden="false" customHeight="false" outlineLevel="0" collapsed="false">
      <c r="B70" s="6" t="s">
        <v>99</v>
      </c>
      <c r="C70" s="10" t="n">
        <f aca="false">SUMIF(D5:D68,"R",C5:C68)</f>
        <v>50000000</v>
      </c>
    </row>
    <row r="71" customFormat="false" ht="15" hidden="false" customHeight="false" outlineLevel="0" collapsed="false">
      <c r="B71" s="6" t="s">
        <v>100</v>
      </c>
      <c r="C71" s="10" t="n">
        <f aca="false">SUM(C5:C68)-C70</f>
        <v>44795000</v>
      </c>
    </row>
    <row r="72" customFormat="false" ht="15" hidden="false" customHeight="false" outlineLevel="0" collapsed="false">
      <c r="B72" s="6" t="s">
        <v>101</v>
      </c>
      <c r="C72" s="10" t="n">
        <f aca="false">C70-C71</f>
        <v>5205000</v>
      </c>
      <c r="E72" s="7" t="s">
        <v>102</v>
      </c>
    </row>
    <row r="74" customFormat="false" ht="15" hidden="false" customHeight="false" outlineLevel="0" collapsed="false">
      <c r="A74" s="7" t="s">
        <v>103</v>
      </c>
    </row>
  </sheetData>
  <mergeCells count="1">
    <mergeCell ref="A2:E2"/>
  </mergeCells>
  <dataValidations count="1">
    <dataValidation allowBlank="false" errorStyle="stop" operator="between" showDropDown="false" showErrorMessage="false" showInputMessage="false" sqref="D6:D8 D10:D68" type="list">
      <formula1>"R,M,L,S,D,F"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104</v>
      </c>
    </row>
    <row r="3" customFormat="false" ht="15" hidden="false" customHeight="false" outlineLevel="0" collapsed="false">
      <c r="A3" s="5" t="s">
        <v>105</v>
      </c>
      <c r="B3" s="5" t="s">
        <v>106</v>
      </c>
      <c r="C3" s="5" t="s">
        <v>107</v>
      </c>
      <c r="D3" s="5" t="s">
        <v>108</v>
      </c>
    </row>
    <row r="4" customFormat="false" ht="15" hidden="false" customHeight="false" outlineLevel="0" collapsed="false">
      <c r="A4" s="7" t="s">
        <v>109</v>
      </c>
      <c r="B4" s="11" t="n">
        <f aca="false">SUMIF('1 Budsjett'!$D$5:$D$68,"M",'1 Budsjett'!$C$5:$C$68)</f>
        <v>21250000</v>
      </c>
      <c r="D4" s="3" t="s">
        <v>110</v>
      </c>
    </row>
    <row r="5" customFormat="false" ht="15" hidden="false" customHeight="false" outlineLevel="0" collapsed="false">
      <c r="A5" s="7" t="s">
        <v>111</v>
      </c>
      <c r="B5" s="11" t="n">
        <f aca="false">SUMIF('1 Budsjett'!$D$5:$D$68,"L",'1 Budsjett'!$C$5:$C$68)</f>
        <v>9200000</v>
      </c>
      <c r="D5" s="3" t="s">
        <v>112</v>
      </c>
    </row>
    <row r="6" customFormat="false" ht="23.85" hidden="false" customHeight="false" outlineLevel="0" collapsed="false">
      <c r="A6" s="7" t="s">
        <v>113</v>
      </c>
      <c r="B6" s="11" t="n">
        <f aca="false">SUMIF('1 Budsjett'!$D$5:$D$68,"S",'1 Budsjett'!$C$5:$C$68)</f>
        <v>3560000</v>
      </c>
      <c r="C6" s="12" t="n">
        <f aca="false">B7/(B20*B21)-1</f>
        <v>0.578729221956214</v>
      </c>
      <c r="D6" s="3" t="s">
        <v>114</v>
      </c>
    </row>
    <row r="7" customFormat="false" ht="15" hidden="false" customHeight="false" outlineLevel="0" collapsed="false">
      <c r="A7" s="6" t="s">
        <v>115</v>
      </c>
      <c r="B7" s="10" t="n">
        <f aca="false">B5+B6</f>
        <v>12760000</v>
      </c>
      <c r="D7" s="3" t="s">
        <v>116</v>
      </c>
    </row>
    <row r="8" customFormat="false" ht="15" hidden="false" customHeight="false" outlineLevel="0" collapsed="false">
      <c r="A8" s="7" t="s">
        <v>117</v>
      </c>
      <c r="B8" s="11" t="n">
        <f aca="false">SUMIF('1 Budsjett'!$D$5:$D$68,"D",'1 Budsjett'!$C$5:$C$68)</f>
        <v>2490000</v>
      </c>
      <c r="C8" s="12" t="n">
        <f aca="false">B8/B7</f>
        <v>0.195141065830721</v>
      </c>
      <c r="D8" s="3" t="s">
        <v>118</v>
      </c>
    </row>
    <row r="9" customFormat="false" ht="15" hidden="false" customHeight="false" outlineLevel="0" collapsed="false">
      <c r="A9" s="7" t="s">
        <v>119</v>
      </c>
      <c r="B9" s="11" t="n">
        <f aca="false">SUMIF('1 Budsjett'!$D$5:$D$68,"F",'1 Budsjett'!$C$5:$C$68)</f>
        <v>8295000</v>
      </c>
      <c r="C9" s="12" t="n">
        <f aca="false">B9/(B7+B8)</f>
        <v>0.543934426229508</v>
      </c>
      <c r="D9" s="3" t="s">
        <v>120</v>
      </c>
    </row>
    <row r="10" customFormat="false" ht="15" hidden="false" customHeight="false" outlineLevel="0" collapsed="false">
      <c r="A10" s="6" t="s">
        <v>121</v>
      </c>
      <c r="B10" s="10" t="n">
        <f aca="false">B8+B9</f>
        <v>10785000</v>
      </c>
      <c r="C10" s="12" t="n">
        <f aca="false">B10/B7</f>
        <v>0.845219435736677</v>
      </c>
      <c r="D10" s="3" t="s">
        <v>122</v>
      </c>
    </row>
    <row r="11" customFormat="false" ht="15" hidden="false" customHeight="false" outlineLevel="0" collapsed="false">
      <c r="A11" s="6" t="s">
        <v>123</v>
      </c>
      <c r="B11" s="10" t="n">
        <f aca="false">B4+B7+B10</f>
        <v>44795000</v>
      </c>
      <c r="D11" s="3" t="s">
        <v>124</v>
      </c>
    </row>
    <row r="12" customFormat="false" ht="15" hidden="false" customHeight="false" outlineLevel="0" collapsed="false">
      <c r="A12" s="7" t="s">
        <v>125</v>
      </c>
      <c r="B12" s="11" t="n">
        <f aca="false">'1 Budsjett'!$C$72</f>
        <v>5205000</v>
      </c>
      <c r="C12" s="12" t="n">
        <f aca="false">B12/B11</f>
        <v>0.116196004018306</v>
      </c>
      <c r="D12" s="3" t="s">
        <v>126</v>
      </c>
    </row>
    <row r="13" customFormat="false" ht="15" hidden="false" customHeight="false" outlineLevel="0" collapsed="false">
      <c r="A13" s="6" t="s">
        <v>127</v>
      </c>
      <c r="B13" s="10" t="n">
        <f aca="false">B11+B12</f>
        <v>50000000</v>
      </c>
      <c r="D13" s="3" t="s">
        <v>128</v>
      </c>
    </row>
    <row r="15" customFormat="false" ht="15" hidden="false" customHeight="false" outlineLevel="0" collapsed="false">
      <c r="A15" s="13" t="s">
        <v>129</v>
      </c>
    </row>
    <row r="16" customFormat="false" ht="15" hidden="false" customHeight="false" outlineLevel="0" collapsed="false">
      <c r="A16" s="7" t="s">
        <v>130</v>
      </c>
      <c r="C16" s="14" t="n">
        <f aca="false">(1+C8)*(1+C9)</f>
        <v>1.84521943573668</v>
      </c>
      <c r="D16" s="3" t="s">
        <v>131</v>
      </c>
    </row>
    <row r="17" customFormat="false" ht="15" hidden="false" customHeight="false" outlineLevel="0" collapsed="false">
      <c r="A17" s="7" t="s">
        <v>132</v>
      </c>
      <c r="C17" s="14" t="n">
        <f aca="false">1+C10</f>
        <v>1.84521943573668</v>
      </c>
    </row>
    <row r="19" customFormat="false" ht="15" hidden="false" customHeight="false" outlineLevel="0" collapsed="false">
      <c r="A19" s="7" t="s">
        <v>133</v>
      </c>
      <c r="B19" s="15" t="n">
        <f aca="false">B11-'1 Budsjett'!$C$71</f>
        <v>0</v>
      </c>
      <c r="D19" s="7" t="s">
        <v>134</v>
      </c>
    </row>
    <row r="20" customFormat="false" ht="15" hidden="false" customHeight="false" outlineLevel="0" collapsed="false">
      <c r="A20" s="6" t="s">
        <v>135</v>
      </c>
      <c r="B20" s="8" t="n">
        <v>270</v>
      </c>
      <c r="D20" s="7" t="s">
        <v>136</v>
      </c>
    </row>
    <row r="21" customFormat="false" ht="15" hidden="false" customHeight="false" outlineLevel="0" collapsed="false">
      <c r="A21" s="6" t="s">
        <v>137</v>
      </c>
      <c r="B21" s="8" t="n">
        <v>29935</v>
      </c>
      <c r="D21" s="7" t="s">
        <v>138</v>
      </c>
    </row>
    <row r="23" customFormat="false" ht="15" hidden="false" customHeight="false" outlineLevel="0" collapsed="false">
      <c r="A23" s="13" t="s">
        <v>139</v>
      </c>
    </row>
    <row r="24" customFormat="false" ht="15" hidden="false" customHeight="false" outlineLevel="0" collapsed="false">
      <c r="A24" s="7" t="s">
        <v>140</v>
      </c>
      <c r="C24" s="15" t="n">
        <f aca="false">B20*C6</f>
        <v>156.256889928178</v>
      </c>
    </row>
    <row r="25" customFormat="false" ht="15" hidden="false" customHeight="false" outlineLevel="0" collapsed="false">
      <c r="A25" s="7" t="s">
        <v>141</v>
      </c>
      <c r="C25" s="15" t="n">
        <f aca="false">B8/B21</f>
        <v>83.1802238182729</v>
      </c>
    </row>
    <row r="26" customFormat="false" ht="15" hidden="false" customHeight="false" outlineLevel="0" collapsed="false">
      <c r="A26" s="7" t="s">
        <v>142</v>
      </c>
      <c r="C26" s="15" t="n">
        <f aca="false">B9/B21</f>
        <v>277.100384165692</v>
      </c>
    </row>
    <row r="27" customFormat="false" ht="15" hidden="false" customHeight="false" outlineLevel="0" collapsed="false">
      <c r="A27" s="6" t="s">
        <v>143</v>
      </c>
      <c r="C27" s="10" t="n">
        <f aca="false">B20+C24</f>
        <v>426.256889928178</v>
      </c>
    </row>
    <row r="28" customFormat="false" ht="15" hidden="false" customHeight="false" outlineLevel="0" collapsed="false">
      <c r="A28" s="6" t="s">
        <v>144</v>
      </c>
      <c r="C28" s="10" t="n">
        <f aca="false">C27+C25+C26</f>
        <v>786.537497912143</v>
      </c>
    </row>
    <row r="29" customFormat="false" ht="15" hidden="false" customHeight="false" outlineLevel="0" collapsed="false">
      <c r="A29" s="6" t="s">
        <v>145</v>
      </c>
      <c r="C29" s="10" t="n">
        <f aca="false">C28*(1+C12)</f>
        <v>877.93001218009</v>
      </c>
    </row>
    <row r="30" customFormat="false" ht="15" hidden="false" customHeight="false" outlineLevel="0" collapsed="false">
      <c r="A30" s="6" t="s">
        <v>146</v>
      </c>
      <c r="C30" s="16" t="n">
        <f aca="false">C29/B20</f>
        <v>3.25159263770404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1" t="s">
        <v>147</v>
      </c>
    </row>
    <row r="2" customFormat="false" ht="30" hidden="false" customHeight="true" outlineLevel="0" collapsed="false">
      <c r="A2" s="4" t="s">
        <v>148</v>
      </c>
      <c r="B2" s="4"/>
      <c r="C2" s="4"/>
      <c r="D2" s="4"/>
    </row>
    <row r="4" customFormat="false" ht="15" hidden="false" customHeight="false" outlineLevel="0" collapsed="false">
      <c r="A4" s="13" t="s">
        <v>149</v>
      </c>
    </row>
    <row r="5" customFormat="false" ht="15" hidden="false" customHeight="false" outlineLevel="0" collapsed="false">
      <c r="A5" s="7" t="s">
        <v>150</v>
      </c>
      <c r="B5" s="9" t="n">
        <v>25</v>
      </c>
    </row>
    <row r="6" customFormat="false" ht="15" hidden="false" customHeight="false" outlineLevel="0" collapsed="false">
      <c r="A6" s="7" t="s">
        <v>151</v>
      </c>
      <c r="B6" s="11" t="n">
        <f aca="false">'2 Satser'!B20</f>
        <v>270</v>
      </c>
    </row>
    <row r="7" customFormat="false" ht="15" hidden="false" customHeight="false" outlineLevel="0" collapsed="false">
      <c r="A7" s="7" t="s">
        <v>152</v>
      </c>
      <c r="B7" s="8" t="n">
        <v>10000</v>
      </c>
    </row>
    <row r="8" customFormat="false" ht="15" hidden="false" customHeight="false" outlineLevel="0" collapsed="false">
      <c r="A8" s="7" t="s">
        <v>153</v>
      </c>
      <c r="B8" s="17" t="n">
        <f aca="false">'2 Satser'!C6</f>
        <v>0.578729221956214</v>
      </c>
    </row>
    <row r="9" customFormat="false" ht="15" hidden="false" customHeight="false" outlineLevel="0" collapsed="false">
      <c r="A9" s="7" t="s">
        <v>154</v>
      </c>
      <c r="B9" s="17" t="n">
        <f aca="false">'2 Satser'!C10</f>
        <v>0.845219435736677</v>
      </c>
    </row>
    <row r="10" customFormat="false" ht="15" hidden="false" customHeight="false" outlineLevel="0" collapsed="false">
      <c r="A10" s="7" t="s">
        <v>155</v>
      </c>
      <c r="B10" s="17" t="n">
        <f aca="false">'2 Satser'!C12</f>
        <v>0.116196004018306</v>
      </c>
    </row>
    <row r="11" customFormat="false" ht="15" hidden="false" customHeight="false" outlineLevel="0" collapsed="false">
      <c r="A11" s="7" t="s">
        <v>156</v>
      </c>
      <c r="B11" s="18" t="n">
        <v>0.25</v>
      </c>
    </row>
    <row r="13" customFormat="false" ht="15" hidden="false" customHeight="false" outlineLevel="0" collapsed="false">
      <c r="A13" s="13" t="s">
        <v>157</v>
      </c>
      <c r="C13" s="6" t="s">
        <v>106</v>
      </c>
      <c r="D13" s="6" t="s">
        <v>158</v>
      </c>
    </row>
    <row r="14" customFormat="false" ht="23.85" hidden="false" customHeight="false" outlineLevel="0" collapsed="false">
      <c r="A14" s="7" t="s">
        <v>159</v>
      </c>
      <c r="C14" s="15" t="n">
        <f aca="false">B5*B6*(1+B8)</f>
        <v>10656.4222482044</v>
      </c>
      <c r="D14" s="3" t="s">
        <v>160</v>
      </c>
    </row>
    <row r="15" customFormat="false" ht="15" hidden="false" customHeight="false" outlineLevel="0" collapsed="false">
      <c r="A15" s="7" t="s">
        <v>161</v>
      </c>
      <c r="C15" s="15" t="n">
        <f aca="false">B7</f>
        <v>10000</v>
      </c>
      <c r="D15" s="3" t="s">
        <v>162</v>
      </c>
    </row>
    <row r="16" customFormat="false" ht="15" hidden="false" customHeight="false" outlineLevel="0" collapsed="false">
      <c r="A16" s="6" t="s">
        <v>163</v>
      </c>
      <c r="C16" s="19" t="n">
        <f aca="false">C14+C15</f>
        <v>20656.4222482044</v>
      </c>
      <c r="D16" s="3"/>
    </row>
    <row r="17" customFormat="false" ht="15" hidden="false" customHeight="false" outlineLevel="0" collapsed="false">
      <c r="A17" s="7" t="s">
        <v>164</v>
      </c>
      <c r="C17" s="15" t="n">
        <f aca="false">C14*B9</f>
        <v>9007.01519959913</v>
      </c>
      <c r="D17" s="3" t="s">
        <v>165</v>
      </c>
    </row>
    <row r="18" customFormat="false" ht="15" hidden="false" customHeight="false" outlineLevel="0" collapsed="false">
      <c r="A18" s="6" t="s">
        <v>166</v>
      </c>
      <c r="C18" s="19" t="n">
        <f aca="false">C16+C17</f>
        <v>29663.4374478036</v>
      </c>
      <c r="D18" s="3" t="s">
        <v>167</v>
      </c>
    </row>
    <row r="19" customFormat="false" ht="15" hidden="false" customHeight="false" outlineLevel="0" collapsed="false">
      <c r="A19" s="7" t="s">
        <v>168</v>
      </c>
      <c r="C19" s="15" t="n">
        <f aca="false">C18*B10</f>
        <v>3446.77289688174</v>
      </c>
      <c r="D19" s="3" t="s">
        <v>169</v>
      </c>
    </row>
    <row r="20" customFormat="false" ht="15" hidden="false" customHeight="false" outlineLevel="0" collapsed="false">
      <c r="A20" s="6" t="s">
        <v>170</v>
      </c>
      <c r="C20" s="19" t="n">
        <f aca="false">C18+C19</f>
        <v>33110.2103446853</v>
      </c>
      <c r="D20" s="3"/>
    </row>
    <row r="21" customFormat="false" ht="15" hidden="false" customHeight="false" outlineLevel="0" collapsed="false">
      <c r="A21" s="7" t="s">
        <v>171</v>
      </c>
      <c r="C21" s="15" t="n">
        <f aca="false">C20*B11</f>
        <v>8277.55258617133</v>
      </c>
      <c r="D21" s="3"/>
    </row>
    <row r="22" customFormat="false" ht="15" hidden="false" customHeight="false" outlineLevel="0" collapsed="false">
      <c r="A22" s="6" t="s">
        <v>172</v>
      </c>
      <c r="C22" s="19" t="n">
        <f aca="false">C20+C21</f>
        <v>41387.7629308566</v>
      </c>
      <c r="D22" s="3"/>
    </row>
    <row r="24" customFormat="false" ht="15" hidden="false" customHeight="false" outlineLevel="0" collapsed="false">
      <c r="A24" s="7" t="s">
        <v>173</v>
      </c>
      <c r="C24" s="15" t="n">
        <f aca="false">B6*(1+B8)</f>
        <v>426.256889928178</v>
      </c>
    </row>
    <row r="25" customFormat="false" ht="15" hidden="false" customHeight="false" outlineLevel="0" collapsed="false">
      <c r="A25" s="7" t="s">
        <v>174</v>
      </c>
      <c r="C25" s="10" t="n">
        <f aca="false">B6*(1+B8)*(1+B9)*(1+B10)</f>
        <v>877.93001218009</v>
      </c>
      <c r="D25" s="7" t="s">
        <v>175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" t="s">
        <v>176</v>
      </c>
    </row>
    <row r="2" customFormat="false" ht="30" hidden="false" customHeight="true" outlineLevel="0" collapsed="false">
      <c r="A2" s="4" t="s">
        <v>177</v>
      </c>
      <c r="B2" s="4"/>
      <c r="C2" s="4"/>
      <c r="D2" s="4"/>
      <c r="E2" s="4"/>
    </row>
    <row r="4" customFormat="false" ht="15" hidden="false" customHeight="false" outlineLevel="0" collapsed="false">
      <c r="A4" s="5" t="s">
        <v>178</v>
      </c>
      <c r="B4" s="5" t="s">
        <v>107</v>
      </c>
      <c r="C4" s="5" t="s">
        <v>179</v>
      </c>
      <c r="D4" s="5" t="s">
        <v>180</v>
      </c>
      <c r="E4" s="5" t="s">
        <v>181</v>
      </c>
    </row>
    <row r="5" customFormat="false" ht="15" hidden="false" customHeight="false" outlineLevel="0" collapsed="false">
      <c r="A5" s="7" t="s">
        <v>182</v>
      </c>
      <c r="D5" s="11" t="n">
        <f aca="false">'3 Kalkyle bok'!B5*'3 Kalkyle bok'!B6</f>
        <v>6750</v>
      </c>
    </row>
    <row r="6" customFormat="false" ht="15" hidden="false" customHeight="false" outlineLevel="0" collapsed="false">
      <c r="A6" s="7" t="s">
        <v>183</v>
      </c>
      <c r="B6" s="17" t="n">
        <f aca="false">'2 Satser'!C6</f>
        <v>0.578729221956214</v>
      </c>
      <c r="C6" s="15" t="n">
        <f aca="false">D5*B6</f>
        <v>3906.42224820444</v>
      </c>
      <c r="D6" s="15" t="n">
        <f aca="false">D5+C6</f>
        <v>10656.4222482044</v>
      </c>
      <c r="E6" s="7" t="s">
        <v>184</v>
      </c>
    </row>
    <row r="7" customFormat="false" ht="15" hidden="false" customHeight="false" outlineLevel="0" collapsed="false">
      <c r="A7" s="7" t="s">
        <v>185</v>
      </c>
      <c r="B7" s="17" t="n">
        <f aca="false">'2 Satser'!C8</f>
        <v>0.195141065830721</v>
      </c>
      <c r="C7" s="15" t="n">
        <f aca="false">D6*B7</f>
        <v>2079.50559545682</v>
      </c>
      <c r="D7" s="15" t="n">
        <f aca="false">D6+C7</f>
        <v>12735.9278436613</v>
      </c>
      <c r="E7" s="7" t="s">
        <v>186</v>
      </c>
    </row>
    <row r="8" customFormat="false" ht="15" hidden="false" customHeight="false" outlineLevel="0" collapsed="false">
      <c r="A8" s="7" t="s">
        <v>187</v>
      </c>
      <c r="B8" s="17" t="n">
        <f aca="false">'2 Satser'!C9</f>
        <v>0.543934426229508</v>
      </c>
      <c r="C8" s="15" t="n">
        <f aca="false">D7*B8</f>
        <v>6927.50960414231</v>
      </c>
      <c r="D8" s="15" t="n">
        <f aca="false">D7+C8</f>
        <v>19663.4374478036</v>
      </c>
      <c r="E8" s="7" t="s">
        <v>188</v>
      </c>
    </row>
    <row r="9" customFormat="false" ht="15" hidden="false" customHeight="false" outlineLevel="0" collapsed="false">
      <c r="A9" s="7" t="s">
        <v>189</v>
      </c>
      <c r="B9" s="17" t="n">
        <f aca="false">'2 Satser'!C12</f>
        <v>0.116196004018306</v>
      </c>
      <c r="C9" s="15" t="n">
        <f aca="false">D8*B9</f>
        <v>2284.81285669869</v>
      </c>
      <c r="D9" s="15" t="n">
        <f aca="false">D8+C9</f>
        <v>21948.2503045023</v>
      </c>
      <c r="E9" s="7" t="s">
        <v>190</v>
      </c>
    </row>
    <row r="10" customFormat="false" ht="15" hidden="false" customHeight="false" outlineLevel="0" collapsed="false">
      <c r="A10" s="6" t="s">
        <v>191</v>
      </c>
      <c r="D10" s="19" t="n">
        <f aca="false">D9</f>
        <v>21948.2503045023</v>
      </c>
    </row>
    <row r="11" customFormat="false" ht="15" hidden="false" customHeight="false" outlineLevel="0" collapsed="false">
      <c r="A11" s="7" t="s">
        <v>192</v>
      </c>
      <c r="D11" s="14" t="n">
        <f aca="false">D10/D5</f>
        <v>3.25159263770404</v>
      </c>
      <c r="E11" s="7" t="s">
        <v>193</v>
      </c>
    </row>
    <row r="13" customFormat="false" ht="15" hidden="false" customHeight="false" outlineLevel="0" collapsed="false">
      <c r="A13" s="5" t="s">
        <v>194</v>
      </c>
      <c r="B13" s="5" t="s">
        <v>107</v>
      </c>
      <c r="C13" s="5" t="s">
        <v>179</v>
      </c>
      <c r="D13" s="5" t="s">
        <v>180</v>
      </c>
      <c r="E13" s="5" t="s">
        <v>181</v>
      </c>
    </row>
    <row r="14" customFormat="false" ht="15" hidden="false" customHeight="false" outlineLevel="0" collapsed="false">
      <c r="A14" s="7" t="s">
        <v>195</v>
      </c>
      <c r="D14" s="11" t="n">
        <f aca="false">'3 Kalkyle bok'!B7</f>
        <v>10000</v>
      </c>
    </row>
    <row r="15" customFormat="false" ht="15" hidden="false" customHeight="false" outlineLevel="0" collapsed="false">
      <c r="A15" s="7" t="s">
        <v>196</v>
      </c>
      <c r="B15" s="18" t="n">
        <v>0</v>
      </c>
      <c r="C15" s="15" t="n">
        <f aca="false">D14*B15</f>
        <v>0</v>
      </c>
      <c r="D15" s="15" t="n">
        <f aca="false">D14+C15</f>
        <v>10000</v>
      </c>
      <c r="E15" s="3" t="s">
        <v>197</v>
      </c>
    </row>
    <row r="16" customFormat="false" ht="15" hidden="false" customHeight="false" outlineLevel="0" collapsed="false">
      <c r="A16" s="7" t="s">
        <v>198</v>
      </c>
      <c r="B16" s="18" t="n">
        <v>0</v>
      </c>
      <c r="C16" s="15" t="n">
        <f aca="false">D15*B16</f>
        <v>0</v>
      </c>
      <c r="D16" s="15" t="n">
        <f aca="false">D15+C16</f>
        <v>10000</v>
      </c>
      <c r="E16" s="3" t="s">
        <v>199</v>
      </c>
    </row>
    <row r="17" customFormat="false" ht="15" hidden="false" customHeight="false" outlineLevel="0" collapsed="false">
      <c r="A17" s="7" t="s">
        <v>189</v>
      </c>
      <c r="B17" s="17" t="n">
        <f aca="false">'2 Satser'!C12</f>
        <v>0.116196004018306</v>
      </c>
      <c r="C17" s="15" t="n">
        <f aca="false">D16*B17</f>
        <v>1161.96004018306</v>
      </c>
      <c r="D17" s="15" t="n">
        <f aca="false">D16+C17</f>
        <v>11161.9600401831</v>
      </c>
      <c r="E17" s="3" t="s">
        <v>200</v>
      </c>
    </row>
    <row r="18" customFormat="false" ht="15" hidden="false" customHeight="false" outlineLevel="0" collapsed="false">
      <c r="A18" s="6" t="s">
        <v>201</v>
      </c>
      <c r="D18" s="19" t="n">
        <f aca="false">D17</f>
        <v>11161.9600401831</v>
      </c>
    </row>
    <row r="19" customFormat="false" ht="15" hidden="false" customHeight="false" outlineLevel="0" collapsed="false">
      <c r="A19" s="7" t="s">
        <v>202</v>
      </c>
      <c r="D19" s="14" t="n">
        <f aca="false">D18/D14</f>
        <v>1.11619600401831</v>
      </c>
    </row>
    <row r="21" customFormat="false" ht="15" hidden="false" customHeight="false" outlineLevel="0" collapsed="false">
      <c r="A21" s="13" t="s">
        <v>203</v>
      </c>
      <c r="D21" s="10" t="n">
        <f aca="false">D10+D18</f>
        <v>33110.2103446853</v>
      </c>
    </row>
    <row r="22" customFormat="false" ht="15" hidden="false" customHeight="false" outlineLevel="0" collapsed="false">
      <c r="A22" s="7" t="s">
        <v>204</v>
      </c>
      <c r="D22" s="11" t="n">
        <f aca="false">'3 Kalkyle bok'!C20</f>
        <v>33110.2103446853</v>
      </c>
    </row>
    <row r="23" customFormat="false" ht="15" hidden="false" customHeight="false" outlineLevel="0" collapsed="false">
      <c r="A23" s="7" t="s">
        <v>205</v>
      </c>
      <c r="D23" s="10" t="n">
        <f aca="false">D21-D22</f>
        <v>0</v>
      </c>
      <c r="E23" s="7" t="s">
        <v>206</v>
      </c>
    </row>
    <row r="25" customFormat="false" ht="15" hidden="false" customHeight="false" outlineLevel="0" collapsed="false">
      <c r="A25" s="13" t="s">
        <v>207</v>
      </c>
    </row>
    <row r="26" customFormat="false" ht="15" hidden="false" customHeight="false" outlineLevel="0" collapsed="false">
      <c r="A26" s="7" t="s">
        <v>208</v>
      </c>
      <c r="D26" s="15" t="n">
        <f aca="false">D21-D14-D6</f>
        <v>12453.7880964809</v>
      </c>
    </row>
    <row r="27" customFormat="false" ht="15" hidden="false" customHeight="false" outlineLevel="0" collapsed="false">
      <c r="A27" s="7" t="s">
        <v>209</v>
      </c>
      <c r="D27" s="15" t="n">
        <f aca="false">D26-C7-C15</f>
        <v>10374.282501024</v>
      </c>
    </row>
    <row r="28" customFormat="false" ht="23.85" hidden="false" customHeight="false" outlineLevel="0" collapsed="false">
      <c r="A28" s="7" t="s">
        <v>210</v>
      </c>
      <c r="D28" s="15" t="n">
        <f aca="false">D27-C8-C16</f>
        <v>3446.77289688174</v>
      </c>
      <c r="E28" s="3" t="s">
        <v>211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212</v>
      </c>
    </row>
    <row r="2" customFormat="false" ht="30" hidden="false" customHeight="true" outlineLevel="0" collapsed="false">
      <c r="A2" s="4" t="s">
        <v>213</v>
      </c>
      <c r="B2" s="4"/>
      <c r="C2" s="4"/>
      <c r="D2" s="4"/>
      <c r="E2" s="4"/>
    </row>
    <row r="4" customFormat="false" ht="15" hidden="false" customHeight="false" outlineLevel="0" collapsed="false">
      <c r="B4" s="5" t="s">
        <v>214</v>
      </c>
      <c r="C4" s="5" t="s">
        <v>215</v>
      </c>
    </row>
    <row r="5" customFormat="false" ht="15" hidden="false" customHeight="false" outlineLevel="0" collapsed="false">
      <c r="A5" s="7" t="s">
        <v>216</v>
      </c>
      <c r="B5" s="8" t="n">
        <v>5000</v>
      </c>
      <c r="C5" s="8" t="n">
        <v>20000</v>
      </c>
    </row>
    <row r="6" customFormat="false" ht="15" hidden="false" customHeight="false" outlineLevel="0" collapsed="false">
      <c r="A6" s="7" t="s">
        <v>217</v>
      </c>
      <c r="B6" s="8" t="n">
        <v>40000</v>
      </c>
      <c r="C6" s="8" t="n">
        <v>2000</v>
      </c>
    </row>
    <row r="8" customFormat="false" ht="15" hidden="false" customHeight="false" outlineLevel="0" collapsed="false">
      <c r="A8" s="13" t="s">
        <v>218</v>
      </c>
      <c r="D8" s="17" t="n">
        <f aca="false">'2 Satser'!C10</f>
        <v>0.845219435736677</v>
      </c>
    </row>
    <row r="9" customFormat="false" ht="15" hidden="false" customHeight="false" outlineLevel="0" collapsed="false">
      <c r="A9" s="7" t="s">
        <v>219</v>
      </c>
      <c r="B9" s="15" t="n">
        <f aca="false">B5*$D$8</f>
        <v>4226.09717868339</v>
      </c>
      <c r="C9" s="15" t="n">
        <f aca="false">C5*$D$8</f>
        <v>16904.3887147335</v>
      </c>
    </row>
    <row r="10" customFormat="false" ht="15" hidden="false" customHeight="false" outlineLevel="0" collapsed="false">
      <c r="A10" s="6" t="s">
        <v>220</v>
      </c>
      <c r="B10" s="10" t="n">
        <f aca="false">B5+B6+B9</f>
        <v>49226.0971786834</v>
      </c>
      <c r="C10" s="10" t="n">
        <f aca="false">C5+C6+C9</f>
        <v>38904.3887147335</v>
      </c>
    </row>
    <row r="12" customFormat="false" ht="15" hidden="false" customHeight="false" outlineLevel="0" collapsed="false">
      <c r="A12" s="13" t="s">
        <v>221</v>
      </c>
      <c r="D12" s="12" t="n">
        <f aca="false">'2 Satser'!B10/('2 Satser'!B4+'2 Satser'!B7)</f>
        <v>0.317112613937077</v>
      </c>
      <c r="E12" s="7" t="s">
        <v>222</v>
      </c>
    </row>
    <row r="13" customFormat="false" ht="15" hidden="false" customHeight="false" outlineLevel="0" collapsed="false">
      <c r="A13" s="7" t="s">
        <v>219</v>
      </c>
      <c r="B13" s="15" t="n">
        <f aca="false">(B5+B6)*$D$12</f>
        <v>14270.0676271685</v>
      </c>
      <c r="C13" s="15" t="n">
        <f aca="false">(C5+C6)*$D$12</f>
        <v>6976.4775066157</v>
      </c>
    </row>
    <row r="14" customFormat="false" ht="15" hidden="false" customHeight="false" outlineLevel="0" collapsed="false">
      <c r="A14" s="6" t="s">
        <v>220</v>
      </c>
      <c r="B14" s="10" t="n">
        <f aca="false">B5+B6+B13</f>
        <v>59270.0676271685</v>
      </c>
      <c r="C14" s="10" t="n">
        <f aca="false">C5+C6+C13</f>
        <v>28976.4775066157</v>
      </c>
    </row>
    <row r="16" customFormat="false" ht="15" hidden="false" customHeight="false" outlineLevel="0" collapsed="false">
      <c r="A16" s="6" t="s">
        <v>223</v>
      </c>
      <c r="B16" s="10" t="n">
        <f aca="false">B14-B10</f>
        <v>10043.9704484851</v>
      </c>
      <c r="C16" s="10" t="n">
        <f aca="false">C14-C10</f>
        <v>-9927.91120811784</v>
      </c>
    </row>
    <row r="18" customFormat="false" ht="15" hidden="false" customHeight="false" outlineLevel="0" collapsed="false">
      <c r="A18" s="13" t="s">
        <v>224</v>
      </c>
    </row>
    <row r="19" customFormat="false" ht="45" hidden="false" customHeight="true" outlineLevel="0" collapsed="false">
      <c r="A19" s="4" t="s">
        <v>225</v>
      </c>
      <c r="B19" s="4"/>
      <c r="C19" s="4"/>
      <c r="D19" s="4"/>
      <c r="E19" s="4"/>
    </row>
  </sheetData>
  <mergeCells count="2">
    <mergeCell ref="A2:E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8"/>
    <col collapsed="false" customWidth="true" hidden="false" outlineLevel="0" max="4" min="3" style="0" width="16"/>
    <col collapsed="false" customWidth="true" hidden="true" outlineLevel="0" max="5" min="5" style="0" width="14"/>
  </cols>
  <sheetData>
    <row r="1" customFormat="false" ht="17.35" hidden="false" customHeight="false" outlineLevel="0" collapsed="false">
      <c r="A1" s="1" t="s">
        <v>226</v>
      </c>
    </row>
    <row r="2" customFormat="false" ht="23.85" hidden="false" customHeight="false" outlineLevel="0" collapsed="false">
      <c r="B2" s="3" t="s">
        <v>227</v>
      </c>
    </row>
    <row r="4" customFormat="false" ht="15" hidden="false" customHeight="false" outlineLevel="0" collapsed="false">
      <c r="B4" s="5" t="s">
        <v>228</v>
      </c>
      <c r="C4" s="5" t="s">
        <v>229</v>
      </c>
      <c r="D4" s="5" t="s">
        <v>230</v>
      </c>
      <c r="E4" s="5"/>
    </row>
    <row r="5" customFormat="false" ht="31.5" hidden="false" customHeight="true" outlineLevel="0" collapsed="false">
      <c r="A5" s="6" t="n">
        <v>1</v>
      </c>
      <c r="B5" s="3" t="s">
        <v>231</v>
      </c>
      <c r="C5" s="20"/>
      <c r="D5" s="6" t="str">
        <f aca="false">IF(C5="","",IF(ABS(C5-E5)&lt;=0.002,"Riktig","Prøv igjen"))</f>
        <v/>
      </c>
      <c r="E5" s="21" t="n">
        <f aca="false">'2 Satser'!C10</f>
        <v>0.845219435736677</v>
      </c>
    </row>
    <row r="6" customFormat="false" ht="31.5" hidden="false" customHeight="true" outlineLevel="0" collapsed="false">
      <c r="A6" s="6" t="n">
        <v>2</v>
      </c>
      <c r="B6" s="3" t="s">
        <v>232</v>
      </c>
      <c r="C6" s="22"/>
      <c r="D6" s="6" t="str">
        <f aca="false">IF(C6="","",IF(ABS(C6-E6)&lt;=50,"Riktig","Prøv igjen"))</f>
        <v/>
      </c>
      <c r="E6" s="15" t="n">
        <f aca="false">30000+15000+30000*'2 Satser'!C10</f>
        <v>70356.5830721003</v>
      </c>
    </row>
    <row r="7" customFormat="false" ht="31.5" hidden="false" customHeight="true" outlineLevel="0" collapsed="false">
      <c r="A7" s="6" t="n">
        <v>3</v>
      </c>
      <c r="B7" s="3" t="s">
        <v>233</v>
      </c>
      <c r="C7" s="22"/>
      <c r="D7" s="6" t="str">
        <f aca="false">IF(C7="","",IF(ABS(C7-E7)&lt;=50,"Riktig","Prøv igjen"))</f>
        <v/>
      </c>
      <c r="E7" s="15" t="n">
        <f aca="false">(30000+15000+30000*'2 Satser'!C10)*(1+'2 Satser'!C12)</f>
        <v>78531.7368814603</v>
      </c>
    </row>
    <row r="8" customFormat="false" ht="31.5" hidden="false" customHeight="true" outlineLevel="0" collapsed="false">
      <c r="A8" s="6" t="n">
        <v>4</v>
      </c>
      <c r="B8" s="3" t="s">
        <v>234</v>
      </c>
      <c r="C8" s="23"/>
      <c r="D8" s="6" t="str">
        <f aca="false">IF(C8="","",IF(ABS(C8-E8)&lt;=0.002,"Riktig","Prøv igjen"))</f>
        <v/>
      </c>
      <c r="E8" s="24" t="n">
        <f aca="false">(1+'2 Satser'!C6)*(1+'2 Satser'!C10)*(1+'2 Satser'!C12)</f>
        <v>3.25159263770404</v>
      </c>
    </row>
    <row r="9" customFormat="false" ht="31.5" hidden="false" customHeight="true" outlineLevel="0" collapsed="false">
      <c r="A9" s="6" t="n">
        <v>5</v>
      </c>
      <c r="B9" s="3" t="s">
        <v>235</v>
      </c>
      <c r="C9" s="20"/>
      <c r="D9" s="6" t="str">
        <f aca="false">IF(C9="","",IF(ABS(C9-E9)&lt;=0.005,"Riktig","Prøv igjen"))</f>
        <v/>
      </c>
      <c r="E9" s="21" t="n">
        <f aca="false">('2 Satser'!B10-3600000)/('2 Satser'!B7+3600000)</f>
        <v>0.439180929095355</v>
      </c>
    </row>
    <row r="11" customFormat="false" ht="45" hidden="false" customHeight="true" outlineLevel="0" collapsed="false">
      <c r="B11" s="3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</cols>
  <sheetData>
    <row r="1" customFormat="false" ht="17.35" hidden="false" customHeight="false" outlineLevel="0" collapsed="false">
      <c r="A1" s="1" t="s">
        <v>237</v>
      </c>
    </row>
    <row r="3" customFormat="false" ht="15" hidden="false" customHeight="false" outlineLevel="0" collapsed="false">
      <c r="A3" s="5" t="s">
        <v>238</v>
      </c>
      <c r="B3" s="5" t="s">
        <v>239</v>
      </c>
      <c r="C3" s="5" t="s">
        <v>240</v>
      </c>
      <c r="D3" s="5" t="s">
        <v>241</v>
      </c>
      <c r="E3" s="5" t="s">
        <v>242</v>
      </c>
    </row>
    <row r="4" customFormat="false" ht="43.5" hidden="false" customHeight="true" outlineLevel="0" collapsed="false">
      <c r="A4" s="3" t="s">
        <v>243</v>
      </c>
      <c r="B4" s="3" t="s">
        <v>244</v>
      </c>
      <c r="C4" s="3" t="s">
        <v>245</v>
      </c>
      <c r="D4" s="3" t="s">
        <v>246</v>
      </c>
      <c r="E4" s="3" t="s">
        <v>247</v>
      </c>
    </row>
    <row r="5" customFormat="false" ht="43.5" hidden="false" customHeight="true" outlineLevel="0" collapsed="false">
      <c r="A5" s="3" t="s">
        <v>248</v>
      </c>
      <c r="B5" s="3" t="s">
        <v>249</v>
      </c>
      <c r="C5" s="3" t="s">
        <v>250</v>
      </c>
      <c r="D5" s="3" t="s">
        <v>251</v>
      </c>
      <c r="E5" s="3" t="s">
        <v>110</v>
      </c>
    </row>
    <row r="6" customFormat="false" ht="43.5" hidden="false" customHeight="true" outlineLevel="0" collapsed="false">
      <c r="A6" s="3" t="s">
        <v>252</v>
      </c>
      <c r="B6" s="3" t="s">
        <v>253</v>
      </c>
      <c r="C6" s="3" t="s">
        <v>254</v>
      </c>
      <c r="D6" s="3" t="s">
        <v>255</v>
      </c>
      <c r="E6" s="3" t="s">
        <v>256</v>
      </c>
    </row>
    <row r="7" customFormat="false" ht="43.5" hidden="false" customHeight="true" outlineLevel="0" collapsed="false">
      <c r="A7" s="3" t="s">
        <v>220</v>
      </c>
      <c r="B7" s="3" t="s">
        <v>257</v>
      </c>
      <c r="C7" s="3" t="s">
        <v>258</v>
      </c>
      <c r="D7" s="3" t="s">
        <v>259</v>
      </c>
      <c r="E7" s="3" t="s">
        <v>260</v>
      </c>
    </row>
    <row r="8" customFormat="false" ht="43.5" hidden="false" customHeight="true" outlineLevel="0" collapsed="false">
      <c r="A8" s="3" t="s">
        <v>169</v>
      </c>
      <c r="B8" s="3" t="s">
        <v>261</v>
      </c>
      <c r="C8" s="3" t="s">
        <v>262</v>
      </c>
      <c r="D8" s="3" t="s">
        <v>263</v>
      </c>
      <c r="E8" s="3" t="s">
        <v>264</v>
      </c>
    </row>
    <row r="9" customFormat="false" ht="43.5" hidden="false" customHeight="true" outlineLevel="0" collapsed="false">
      <c r="A9" s="3" t="s">
        <v>265</v>
      </c>
      <c r="B9" s="3" t="s">
        <v>266</v>
      </c>
      <c r="C9" s="3" t="s">
        <v>267</v>
      </c>
      <c r="D9" s="3" t="s">
        <v>268</v>
      </c>
      <c r="E9" s="3" t="s">
        <v>269</v>
      </c>
    </row>
    <row r="10" customFormat="false" ht="43.5" hidden="false" customHeight="true" outlineLevel="0" collapsed="false">
      <c r="A10" s="3" t="s">
        <v>270</v>
      </c>
      <c r="B10" s="3" t="s">
        <v>271</v>
      </c>
      <c r="C10" s="3" t="s">
        <v>272</v>
      </c>
      <c r="D10" s="3" t="s">
        <v>259</v>
      </c>
      <c r="E10" s="3" t="s">
        <v>273</v>
      </c>
    </row>
    <row r="11" customFormat="false" ht="43.5" hidden="false" customHeight="true" outlineLevel="0" collapsed="false">
      <c r="A11" s="3" t="s">
        <v>274</v>
      </c>
      <c r="B11" s="3" t="s">
        <v>275</v>
      </c>
      <c r="C11" s="3" t="s">
        <v>276</v>
      </c>
      <c r="D11" s="3" t="s">
        <v>277</v>
      </c>
      <c r="E11" s="3" t="s">
        <v>278</v>
      </c>
    </row>
    <row r="13" customFormat="false" ht="45" hidden="false" customHeight="true" outlineLevel="0" collapsed="false">
      <c r="A13" s="4" t="s">
        <v>279</v>
      </c>
      <c r="B13" s="4"/>
      <c r="C13" s="4"/>
      <c r="D13" s="4"/>
      <c r="E13" s="4"/>
    </row>
  </sheetData>
  <mergeCells count="1"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2026-10-20T09:40:30Z</dcterms:created>
  <dc:creator>openpyxl</dc:creator>
  <dc:description/>
  <dc:language>en-US</dc:language>
  <cp:lastModifiedBy/>
  <dcterms:modified xsi:type="dcterms:W3CDTF">2026-10-20T09:40:30Z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