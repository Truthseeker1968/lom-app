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2A" sheetId="5" state="visible" r:id="rId7"/>
    <sheet name="2B" sheetId="6" state="visible" r:id="rId8"/>
    <sheet name="2C" sheetId="7" state="visible" r:id="rId9"/>
    <sheet name="Fasi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<sst xmlns="http://schemas.openxmlformats.org/spreadsheetml/2006/main" count="336" uniqueCount="277">
  <si>
    <t xml:space="preserve">Kalkulasjon og kalkyleprinsipper: oppgaver til kapittel 5</t>
  </si>
  <si>
    <t xml:space="preserve">Økonomistyring for LØM-emnet (Hjertnes og Skorpen), kapittel 5. Versjon 6, oktober 2026. Nordlys Elektro AS og Fjell Elektro AS er konstruerte casebedrifter; tallene er faktaarkene.</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</si>
  <si>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</si>
  <si>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</si>
  <si>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</si>
  <si>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</si>
  <si>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</si>
  <si>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</si>
  <si>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Holder 890 kr timen hos Fjell Elektro? Fra lønn til fortjeneste</t>
  </si>
  <si>
    <t xml:space="preserve">1B  Slik ble 890 kr til: Nordlys' timepris satt opp som boka, og fella</t>
  </si>
  <si>
    <t xml:space="preserve">1C  Fastpris til Hansen: hele selvkostkalkylen på jobb 2614</t>
  </si>
  <si>
    <t xml:space="preserve">2A  20 skap til 22 000 kr i en stille uke i august: ta jobben?</t>
  </si>
  <si>
    <t xml:space="preserve">2B  Etterkalkylen på jobb 2614: holdt forkalkylen?</t>
  </si>
  <si>
    <t xml:space="preserve">2C  Downlights fra Polarlys: pris, avanse og bruttofortjeneste</t>
  </si>
  <si>
    <t xml:space="preserve">Fasit  Alle svar med regnestykket skrevet ut</t>
  </si>
  <si>
    <t xml:space="preserve">Dette er øvingsmateriell til repetisjons- og øvingsstøtte. I besvarelser, caser, prosjektoppgaver og eksamen gjelder lærebøkene og oppgitte primærkilder.</t>
  </si>
  <si>
    <t xml:space="preserve">Oppgave 1A: Holder 890 kr timen hos Fjell Elektro? Fra lønn til fortjeneste</t>
  </si>
  <si>
    <t xml:space="preserve">Alene, i par eller i gruppe, slik du vil.</t>
  </si>
  <si>
    <t xml:space="preserve">Situasjonen</t>
  </si>
  <si>
    <t xml:space="preserve">Dere driver Fjell Elektro AS: to montører og én eier som er faglig ansvarlig og jobber halve tiden ute. Timeprisen er satt til 890 kr uten merverdiavgift, og nå vil dere vite om den holder. Alle tre er under 60 år, så bokas tabell 2.4 (46,8 %) gjelder uendret. Samme bedrift og samme tall som i budsjettet i kapittel 9 og i etableringsprosjektet.</t>
  </si>
  <si>
    <t xml:space="preserve">Begrepene du trenger</t>
  </si>
  <si>
    <t xml:space="preserve">Lønnskostnad = lønn × 1,468. Fakturerbare timer er de timene kunden betaler for; kjøring, opplæring og garantiarbeid er betalt tid uten faktura. Selvkost per fakturerbar time = (lønnskostnad + indirekte kostnader timene må dekke) / fakturerbare timer. Fortjeneste = timepris − selvkost.</t>
  </si>
  <si>
    <t xml:space="preserve">Tallene</t>
  </si>
  <si>
    <t xml:space="preserve">Fjell Elektro AS har to montører med 560 000 kr i lønn hver og en eier med 700 000 kr. Sosiale kostnader er 46,8 % (bokas tabell 2.4). Hver montør er betalt for 1 800 timer, men fakturerer 1 400; eieren fakturerer 700 timer. Til sammen 3 500 fakturerbare timer. Andre driftskostnader er 519 000 kr, avskrivninger 60 000 kr. Materiellet kjøpes for 1 400 000 kr og selges med 20 % påslag, så 280 000 kr av det indirekte dekkes der. Timeprisen er 890 kr uten merverdiavgift.</t>
  </si>
  <si>
    <t xml:space="preserve">Fra kapittel 2 (grønt regnes av arket)</t>
  </si>
  <si>
    <t xml:space="preserve">Kroner</t>
  </si>
  <si>
    <t xml:space="preserve">Lønnskostnad for én montør: 560 000 × 1,468</t>
  </si>
  <si>
    <t xml:space="preserve">Per fakturerbar time for én montør: 822 080 / 1 400</t>
  </si>
  <si>
    <t xml:space="preserve">Oppgaven, trinn for trinn</t>
  </si>
  <si>
    <t xml:space="preserve">1. Regn lønnskostnaden for alle tre (a), og del den på de fakturerbare timene (b).
2. Finn det indirekte timene må dekke: andre driftskostnader og avskrivninger, minus det påslaget på materiellet dekker (c).
3. Selvkost per fakturerbar time er lønnskostnad pluss indirekte, delt på 3 500 timer (d). Fortjenesten per time er det som er igjen av 890 (e), og for året er den timeinntekt minus kostnadene (f).
4. Svar på g med egne ord.</t>
  </si>
  <si>
    <t xml:space="preserve">a) Lønnskostnad for alle tre, hele kroner</t>
  </si>
  <si>
    <t xml:space="preserve">kr</t>
  </si>
  <si>
    <t xml:space="preserve">b) Lønnskostnad per fakturerbar time, hele bedriften (a delt på 3 500 timer), hele kroner</t>
  </si>
  <si>
    <t xml:space="preserve">kr per time</t>
  </si>
  <si>
    <t xml:space="preserve">c) Indirekte kostnader timene må dekke: 519 000 + 60 000 − 280 000</t>
  </si>
  <si>
    <t xml:space="preserve">d) Selvkost per fakturerbar time: (a + c) delt på 3 500, to desimaler</t>
  </si>
  <si>
    <t xml:space="preserve">e) Fortjeneste per fakturerbar time: 890 minus svaret i d, to desimaler</t>
  </si>
  <si>
    <t xml:space="preserve">f) Fortjeneste i året: 890 × 3 500 minus (a + c), hele kroner</t>
  </si>
  <si>
    <t xml:space="preserve">g) Det første året viser at montørene bare fakturerer 1 200 timer hver, ikke 1 400 (3 100 timer i alt). Holder 890 kr? Regn selvkost per time på nytt, og skriv hva dere gjør først. To setninger med tall.</t>
  </si>
  <si>
    <t xml:space="preserve">Står du fast? Skriv JA i den gule cellen:</t>
  </si>
  <si>
    <t xml:space="preserve">Gule celler fyller du inn. Grønne regnes ut av arket. Sjekken til høyre forteller om svaret stemmer, og hva du bør se på hvis ikke.</t>
  </si>
  <si>
    <t xml:space="preserve">Oppgave 1B: Slik ble 890 kr til: Nordlys' timepris satt opp som boka, og fella</t>
  </si>
  <si>
    <t xml:space="preserve">Desember 2026. Tom (driftsleder) vil ha timeprisen opp til 950 kr, Ronny (formann) vil beholde 890. Kari ber Ida (kalkulatør) legge fram regnestykket bak 890 kr, linje for linje, slik boka setter opp selvkostkalkylen, men for én fakturert time.</t>
  </si>
  <si>
    <t xml:space="preserve">Direkte lønnskostnad per fakturert time = lønnskostnad for montører og lærlinger / fakturerte timer. Indirekte kostnader er administrasjon, avskrivninger og andre driftskostnader; påslaget på materiellet dekker en del av dem. Selvkost per time = direkte lønn + indirekte per time. Timepris = selvkost + fortjeneste. Fella: å dele på timene montørene er på jobb i stedet for timene kunden betaler for.</t>
  </si>
  <si>
    <t xml:space="preserve">Tallene fra Nordlys' resultatregnskap 2026, i kroner</t>
  </si>
  <si>
    <t xml:space="preserve">Lønn og sosiale kostnader: montører og lærlinger 8 440 000, administrasjon 2 220 000. Avskrivninger 620 000. Andre driftskostnader (husleie, biler, forsikring, IT) 1 386 000. Varekostnad 8 390 000: materiell 7 990 000 og innleide montører 400 000. Salgsinntekt 22 400 000, hvorav timer 14 400 × 890 = 12 816 000 og materiell 9 584 000. Driftsresultat 1 344 000. Montørene er på jobb 20 340 timer; 14 400 blir fakturert.</t>
  </si>
  <si>
    <t xml:space="preserve">Nordlys' timepris, per fakturert time</t>
  </si>
  <si>
    <t xml:space="preserve">Direkte lønn per time (8 440 000 / 14 400)</t>
  </si>
  <si>
    <t xml:space="preserve">Indirekte kostnader og innleie i året</t>
  </si>
  <si>
    <t xml:space="preserve">Dekket av påslaget på materiellet</t>
  </si>
  <si>
    <t xml:space="preserve">Indirekte og innleie per time, etter påslaget</t>
  </si>
  <si>
    <t xml:space="preserve">Selvkost per time</t>
  </si>
  <si>
    <t xml:space="preserve">Fortjeneste per time (1 344 000 / 14 400)</t>
  </si>
  <si>
    <t xml:space="preserve">Timepris uten merverdiavgift</t>
  </si>
  <si>
    <t xml:space="preserve">1. Fyll inn oppstillingen linje for linje. Direkte lønn er montører og lærlinger delt på de fakturerte timene. Det indirekte er administrasjon, avskrivninger og andre driftskostnader. De innleide montørene, 400 000, tas med her, fordi timene deres selges som timer og ikke ligger i materiellet. Påslaget på materiellet dekker en del: materiellinntekten minus materialkostnaden, 7 990 000 (uten innleie).
2. Selvkost per time er direkte lønn pluss indirekte og innleie per time. Legg til fortjenesten, og du skal lande på 890.
3. Regn fella i h og i, og skriv svaret til Tom og Ronny i j.</t>
  </si>
  <si>
    <t xml:space="preserve">Sjekk av oppstillingen</t>
  </si>
  <si>
    <t xml:space="preserve">Direkte lønnskostnad per time:</t>
  </si>
  <si>
    <t xml:space="preserve">Indirekte og innleie i året:</t>
  </si>
  <si>
    <t xml:space="preserve">Dekket av påslaget på materiellet:</t>
  </si>
  <si>
    <t xml:space="preserve">Indirekte og innleie per fakturert time:</t>
  </si>
  <si>
    <t xml:space="preserve">Bokas selvkost per time:</t>
  </si>
  <si>
    <t xml:space="preserve">Fortjeneste per time:</t>
  </si>
  <si>
    <t xml:space="preserve">Timepris uten merverdiavgift:</t>
  </si>
  <si>
    <t xml:space="preserve">Fella: dele på alle timene</t>
  </si>
  <si>
    <t xml:space="preserve">Alt timene må dekke i året er 21 056 000 − 9 584 000 = 11 472 000 kr (alle driftskostnader minus materiellinntekten). Ida deler ved en feil dette pluss fortjenesten på alle 20 340 timene montørene er på jobb.</t>
  </si>
  <si>
    <t xml:space="preserve">h) Timepris hvis Ida deler på 20 340 timer: (11 472 000 + 1 344 000) / 20 340, hele kroner</t>
  </si>
  <si>
    <t xml:space="preserve">i) Hvor mye mangler da i året: 11 472 000 − 630 × 14 400, hele kroner</t>
  </si>
  <si>
    <t xml:space="preserve">j) Tom vil ha 950 kr, Ronny vil beholde 890. Skriv to setninger til dem med tallene fra oppstillingen: hva går lønna til, og hva er det som flytter prisen mest?</t>
  </si>
  <si>
    <t xml:space="preserve">Han har glemt de indirekte kostnadene, og regnet fortjenesten av feil tall</t>
  </si>
  <si>
    <t xml:space="preserve">Oppgave 1C: Fastpris til Hansen: hele selvkostkalkylen på jobb 2614</t>
  </si>
  <si>
    <t xml:space="preserve">Han har brukt feil sats for merverdiavgift</t>
  </si>
  <si>
    <t xml:space="preserve">Ingenting, 27 384 er riktig</t>
  </si>
  <si>
    <t xml:space="preserve">Hansen vil ha fastpris på å bytte sikringsskapet i eneboligen (jobb 2614 fra kapittel 2). Ida har anslått 14 montørtimer, materiell for 9 800 kr og kjøring for 800 kr. Hun setter opp kalkylen slik boka gjør det i eksempel 3, helt fram til prisen med merverdiavgift. Tom har regnet på egen hånd og fått 27 384 kr.</t>
  </si>
  <si>
    <t xml:space="preserve">Selvkost = direkte kostnader + indirekte kostnader (tilleggssats × timer). Fortjeneste regnes i prosent av selvkost. Merverdiavgift regnes i prosent av prisen uten merverdiavgift. Ved fastpris er timene bedriftens risiko: hver ekstra time koster 640 kr og tas av fortjenesten.</t>
  </si>
  <si>
    <t xml:space="preserve">Jobb 2614: Nordlys bytter sikringsskap hos Hansen og gir fastpris. Ida har anslått 14 montørtimer. Direkte lønn regnes med 640 kr per time. Materiellet (skap, kabel, vern) koster 9 800 kr til innkjøpspris, og kjøringen 800 kr. Indirekte kostnader legges på med tilleggssatsen 300 kr per montørtime. Fortjenesten er 12 % av selvkost, og privatkunden betaler 25 % merverdiavgift.</t>
  </si>
  <si>
    <t xml:space="preserve">Selvkostkalkyle, jobb 2614</t>
  </si>
  <si>
    <t xml:space="preserve">Direkte lønn: 14 timer × 640</t>
  </si>
  <si>
    <t xml:space="preserve">+ Direkte materiell</t>
  </si>
  <si>
    <t xml:space="preserve">+ Andre direkte kostnader (kjøring)</t>
  </si>
  <si>
    <t xml:space="preserve">Sum direkte kostnader</t>
  </si>
  <si>
    <t xml:space="preserve">+ Indirekte kostnader: 14 timer × 300</t>
  </si>
  <si>
    <t xml:space="preserve">Selvkost</t>
  </si>
  <si>
    <t xml:space="preserve">+ Fortjeneste 12 % av selvkost</t>
  </si>
  <si>
    <t xml:space="preserve">Pris uten merverdiavgift</t>
  </si>
  <si>
    <t xml:space="preserve">+ Merverdiavgift 25 % av prisen uten</t>
  </si>
  <si>
    <t xml:space="preserve">Pris med merverdiavgift, til Hansen</t>
  </si>
  <si>
    <t xml:space="preserve">1. Fyll inn kalkylen linje for linje i tabellen, i bokas rekkefølge: direkte, indirekte, selvkost, fortjeneste, merverdiavgift.
2. Velg i d hva som er feil i Toms regnestykke.
3. Regn i e hvor mange ekstra timer fastprisen tåler, og skriv i f hva Nordlys gjør for å holde timetallet.</t>
  </si>
  <si>
    <t xml:space="preserve">Sjekk av kalkylen</t>
  </si>
  <si>
    <t xml:space="preserve">Direkte lønn:</t>
  </si>
  <si>
    <t xml:space="preserve">Sum direkte kostnader:</t>
  </si>
  <si>
    <t xml:space="preserve">Indirekte kostnader:</t>
  </si>
  <si>
    <t xml:space="preserve">Selvkost:</t>
  </si>
  <si>
    <t xml:space="preserve">Fortjeneste:</t>
  </si>
  <si>
    <t xml:space="preserve">Pris uten merverdiavgift:</t>
  </si>
  <si>
    <t xml:space="preserve">Merverdiavgift:</t>
  </si>
  <si>
    <t xml:space="preserve">Pris med merverdiavgift:</t>
  </si>
  <si>
    <t xml:space="preserve">d) Tom regner prisen som 19 560 × 1,12 × 1,25 = 27 384 kr. Hva er feil?</t>
  </si>
  <si>
    <t xml:space="preserve">e) Fastpris: hvor mange ekstra montørtimer tåler jobben før fortjenesten er borte? Fortjenesten delt på 640 kr, én desimal</t>
  </si>
  <si>
    <t xml:space="preserve">timer</t>
  </si>
  <si>
    <t xml:space="preserve">f) Prisen er fastpris, så timene er Nordlys' risiko. Hva gjør Nordlys før og under jobben for å holde seg på 14 timer? To setninger.</t>
  </si>
  <si>
    <t xml:space="preserve">Si nei til 22 000: jobben fortrenger jobber til normalpris</t>
  </si>
  <si>
    <t xml:space="preserve">Oppgave 2A: 20 skap til 22 000 kr i en stille uke i august: ta jobben?</t>
  </si>
  <si>
    <t xml:space="preserve">Si ja: dekningsbidraget er positivt</t>
  </si>
  <si>
    <t xml:space="preserve">Si ja, men bare for ti skap</t>
  </si>
  <si>
    <t xml:space="preserve">August 2027, rett etter fellesferien. Ordreboka er tynn, og fire montører har lite å gjøre de neste tre ukene. Styret i et borettslag, med boligbyggelaget som forretningsfører, ber om pris på å bytte 20 sikringsskap av samme type som hos Hansen. Prisen de har fått fra en konkurrent, er 22 000 kr per skap uten merverdiavgift. Tom sier nei: under selvkost. Kari sier ja: husleia, kontoret og bilene koster det samme uansett.</t>
  </si>
  <si>
    <t xml:space="preserve">Merkost (minimumskost) = direkte kostnader + indirekte variable kostnader; hos Nordlys er de indirekte faste, så merkost er de direkte kostnadene. Dekningsbidrag = pris − merkost. Dekningsgrad = dekningsbidrag / pris. Regel for pristilbud: bidragsmetoden ved ledig kapasitet, i lavsesong og i krisetid; ellers selvkost, fordi de faste kostnadene må dekkes av alt arbeidet i året.</t>
  </si>
  <si>
    <t xml:space="preserve">Per skap gjelder kalkylen fra jobb 2614: direkte kostnader 19 560 kr (14 timer × 640, materiell 9 800, kjøring 800), indirekte 4 200 kr, selvkost 23 760 kr, normalpris 26 611,20 kr uten merverdiavgift. Styret i et borettslag ber om pris på 20 skap, og en konkurrent har gitt 22 000 kr per skap uten merverdiavgift. Spørsmålet er om Nordlys skal by 22 000 kr. Nordlys regner de indirekte kostnadene som faste, så merkost er de direkte kostnadene. a–e følger bokas bidragskalkyle, der montørlønna er en direkte kostnad. Men de fire montørene er fast ansatt og får lønn i august uansett. Med ledig kapasitet er den faktiske merkosten bare materiell og kjøring, 9 800 + 800 = 10 600 kr, og dekningsbidraget 22 000 − 10 600 = 11 400 kr per skap, 228 000 kr for 20 skap. Bruk begge tallene i g.</t>
  </si>
  <si>
    <t xml:space="preserve">1. Regn resultatet per skap etter selvkostkalkylen: pris minus selvkost (a). Negativt tall betyr tap.
2. Regn dekningsbidraget per skap: pris minus merkost (b), og dekningsgraden: dekningsbidrag delt på pris (c).
3. Regn samlet dekningsbidrag for 20 skap (d), og hvor stor del av de indirekte kostnadene det dekker (e).
4. Velg i f, og skriv til Tom i g.</t>
  </si>
  <si>
    <t xml:space="preserve">a) Resultat per skap etter selvkostkalkylen: 22 000 − selvkost, hele kroner</t>
  </si>
  <si>
    <t xml:space="preserve">b) Dekningsbidrag per skap: 22 000 − merkost, hele kroner</t>
  </si>
  <si>
    <t xml:space="preserve">c) Dekningsgrad: dekningsbidrag delt på pris, i prosent med én desimal</t>
  </si>
  <si>
    <t xml:space="preserve">prosent</t>
  </si>
  <si>
    <t xml:space="preserve">d) Samlet dekningsbidrag for 20 skap, hele kroner</t>
  </si>
  <si>
    <t xml:space="preserve">e) De 20 skapene skulle båret 20 × 4 200 = 84 000 kr i indirekte kostnader. Hvor stor del dekker dekningsbidraget? Prosent med én desimal</t>
  </si>
  <si>
    <t xml:space="preserve">f) Samme forespørsel kommer i oktober, når alle montørene er booket på jobber til normalpris i seks uker. Hva bør Nordlys gjøre?</t>
  </si>
  <si>
    <t xml:space="preserve">g) Etter august vil Tom bruke 22 000 kr som fast pris på alle skapbytter resten av året, siden «dekningsbidraget er positivt». Hva sier du til ham? To setninger med tall.</t>
  </si>
  <si>
    <t xml:space="preserve">Kostnaden ble høyere enn kalkulert</t>
  </si>
  <si>
    <t xml:space="preserve">Oppgave 2B: Etterkalkylen på jobb 2614: holdt forkalkylen?</t>
  </si>
  <si>
    <t xml:space="preserve">Nordlys tjente 3 200 kr mer enn kalkulert</t>
  </si>
  <si>
    <t xml:space="preserve">Timeprisen var for lav</t>
  </si>
  <si>
    <t xml:space="preserve">Nordlys har byttet tre sikringsskap av Hansen-typen til fastpris 26 611,20 kr uten merverdiavgift, kalkulert med 14 timer. Timelistene sier 19 timer på alle tre. Materiell og kjøring holdt. Ida setter opp etterkalkylen slik boka gjør i tabell 5.1, og spør hva Nordlys gjør med neste tilbud.</t>
  </si>
  <si>
    <t xml:space="preserve">Forkalkylen er anslaget før jobben; etterkalkylen er samme oppstilling med det som faktisk gikk med. Kostnadsavvik = forkalkyle − etterkalkyle: minus betyr at kostnaden ble høyere enn kalkulert. Avvik i prosent = avvik / forkalkyle. Ved fastpris går hvert negativt avvik rett ut av fortjenesten.</t>
  </si>
  <si>
    <t xml:space="preserve">Forkalkylen er kalkylen fra 1C: 14 timer × 640, materiell 9 800, kjøring 800, indirekte 14 × 300 = 4 200 (fast beløp per skap), fastpris 26 611,20 kr uten merverdiavgift. Timelistene fra tre jobber på rad sier 19 timer. Materiell og kjøring holdt. Avvik for en kostnad = forkalkyle − etterkalkyle; minus betyr at kostnaden ble høyere enn kalkulert. For fortjenesten er det motsatt, etterkalkyle − forkalkyle, slik at minus alltid betyr dårligere. Avvik i prosent = avvik / forkalkyle.</t>
  </si>
  <si>
    <t xml:space="preserve">Jobb 2614, kroner</t>
  </si>
  <si>
    <t xml:space="preserve">Forkalkyle</t>
  </si>
  <si>
    <t xml:space="preserve">Etterkalkyle</t>
  </si>
  <si>
    <t xml:space="preserve">Avvik kr</t>
  </si>
  <si>
    <t xml:space="preserve">Avvik %</t>
  </si>
  <si>
    <t xml:space="preserve">Direkte lønn (14 / 19 timer × 640)</t>
  </si>
  <si>
    <t xml:space="preserve">Direkte materiell</t>
  </si>
  <si>
    <t xml:space="preserve">Kjøring</t>
  </si>
  <si>
    <t xml:space="preserve">Indirekte (fast per skap)</t>
  </si>
  <si>
    <t xml:space="preserve">Fastpris uten merverdiavgift</t>
  </si>
  <si>
    <t xml:space="preserve">Fortjeneste</t>
  </si>
  <si>
    <t xml:space="preserve">1. Fyll inn etterkalkylen: direkte lønn med 19 timer, sum direkte, selvkost og fortjeneste.
2. Regn avvikene i kroner (forkalkyle − etterkalkyle) for direkte lønn, sum direkte, selvkost og fortjeneste, og i prosent av forkalkylen (én desimal) for direkte lønn, sum direkte og selvkost.
3. Velg i c, regn d, og skriv e.</t>
  </si>
  <si>
    <t xml:space="preserve">Sjekk av etterkalkylen</t>
  </si>
  <si>
    <t xml:space="preserve">Direkte lønn, etterkalkyle:</t>
  </si>
  <si>
    <t xml:space="preserve">Avvik direkte lønn, kr:</t>
  </si>
  <si>
    <t xml:space="preserve">Avvik direkte lønn, prosent:</t>
  </si>
  <si>
    <t xml:space="preserve">Sum direkte, etterkalkyle:</t>
  </si>
  <si>
    <t xml:space="preserve">Avvik sum direkte, kr:</t>
  </si>
  <si>
    <t xml:space="preserve">Avvik sum direkte, prosent:</t>
  </si>
  <si>
    <t xml:space="preserve">Selvkost, etterkalkyle:</t>
  </si>
  <si>
    <t xml:space="preserve">Avvik selvkost, kr:</t>
  </si>
  <si>
    <t xml:space="preserve">Avvik selvkost, prosent:</t>
  </si>
  <si>
    <t xml:space="preserve">Fortjeneste, etterkalkyle:</t>
  </si>
  <si>
    <t xml:space="preserve">Avvik fortjeneste, kr:</t>
  </si>
  <si>
    <t xml:space="preserve">c) Avviket i direkte lønn er −3 200 kr. Hva betyr minustegnet?</t>
  </si>
  <si>
    <t xml:space="preserve">d) Ida skriver forkalkylen om med 19 timer. Pris med merverdiavgift: selvkost 26 960 × 1,12 × 1,25, hele kroner</t>
  </si>
  <si>
    <t xml:space="preserve">e) Tre jobber på rad tok 19 timer. Hva gjør Nordlys med neste tilbud? Skriv to setninger med tall: én om forkalkylen og én om hvordan jobben gjennomføres.</t>
  </si>
  <si>
    <t xml:space="preserve">Lager, svinn, bestilling, bundet kapital og en del av de indirekte kostnadene</t>
  </si>
  <si>
    <t xml:space="preserve">Oppgave 2C: Downlights fra Polarlys: pris, avanse og bruttofortjeneste</t>
  </si>
  <si>
    <t xml:space="preserve">Bare fortjeneste</t>
  </si>
  <si>
    <t xml:space="preserve">Merverdiavgiften</t>
  </si>
  <si>
    <t xml:space="preserve">Ronny har bestilt et parti downlights fra Polarlys til et borettslag. Nordlys fakturerer materiellet videre med 20 % påslag på inntakskosten. Kunden har sett prisen i en nettbutikk og spør hvorfor Nordlys tar mer. Og Tom lurer på hvorfor 40 % pluss 12 % i bokas eksempel ikke blir 52 %.</t>
  </si>
  <si>
    <t xml:space="preserve">Inntakskost = innkjøpspris + innkjøpskostnader (frakt, forsikring, toll); det samme som varekostnaden. Avanse = pris uten merverdiavgift − inntakskost; i prosent av inntakskost. Bruttofortjeneste = de samme kronene i prosent av prisen uten merverdiavgift. Prosenter oppå prosenter ganges: 1,40 × 1,12 = 1,568, ikke 1,52.</t>
  </si>
  <si>
    <t xml:space="preserve">Nordlys kjøper et parti downlights fra Polarlys Elektro Grossist for 68 000 kr, pluss 3 200 kr i frakt. Nordlys legger 20 % på inntakskosten når materiellet faktureres videre. Merverdiavgiften er 25 %. Bokas eksempel 1 (til g og h): inntakskost 64 000 kr, indirekte kostnader 40 % av inntakskost, fortjeneste 12 % av selvkost; riktig pris uten merverdiavgift er 100 352 kr.</t>
  </si>
  <si>
    <t xml:space="preserve">1. Inntakskost er innkjøpspris pluss frakt (a). Prisen uten merverdiavgift er inntakskost pluss 20 % (b).
2. Avansen i kroner er pris minus inntakskost (c). Avansen i prosent deles på inntakskosten (d), bruttofortjenesten i prosent på prisen (e). Legg på merverdiavgift (f).
3. Fella fra bokas eksempel 1: regn prisen hvis noen legger sammen 40 % + 12 % = 52 % (g), og hvor mye for lav den blir (h).
4. Velg i i, og svar kunden i j.</t>
  </si>
  <si>
    <t xml:space="preserve">a) Inntakskost: 68 000 + 3 200, hele kroner</t>
  </si>
  <si>
    <t xml:space="preserve">b) Pris uten merverdiavgift: inntakskost × 1,20, hele kroner</t>
  </si>
  <si>
    <t xml:space="preserve">c) Avanse i kroner: pris uten merverdiavgift − inntakskost</t>
  </si>
  <si>
    <t xml:space="preserve">d) Avanse i prosent: avanse delt på inntakskost, én desimal</t>
  </si>
  <si>
    <t xml:space="preserve">e) Bruttofortjeneste i prosent: samme kroner delt på prisen uten merverdiavgift, én desimal</t>
  </si>
  <si>
    <t xml:space="preserve">f) Pris med merverdiavgift: pris uten × 1,25, hele kroner</t>
  </si>
  <si>
    <t xml:space="preserve">g) Bokas eksempel 1: pris uten merverdiavgift hvis noen regner 64 000 × 1,52 (40 % + 12 %), hele kroner</t>
  </si>
  <si>
    <t xml:space="preserve">h) Hvor mye for lav blir prisen i g: riktig pris 100 352 − svaret i g, hele kroner</t>
  </si>
  <si>
    <t xml:space="preserve">i) Hva skal påslaget på 20 % dekke?</t>
  </si>
  <si>
    <t xml:space="preserve">j) Kunden har sett at samme downlight koster mindre i en nettbutikk, og spør hvorfor Nordlys tar mer. Hva svarer du? To setninger.</t>
  </si>
  <si>
    <t xml:space="preserve">Fasit, kapittel 5</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</si>
  <si>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</si>
  <si>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</si>
  <si>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</si>
  <si>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</si>
  <si>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a) Lønnskostnad alle tre</t>
  </si>
  <si>
    <t xml:space="preserve">(2 × 560 000 + 700 000) × 1,468 = 2 671 760 kr</t>
  </si>
  <si>
    <t xml:space="preserve">1A b) Per fakturerbar time</t>
  </si>
  <si>
    <t xml:space="preserve">2 671 760 / 3 500 = 763 kr</t>
  </si>
  <si>
    <t xml:space="preserve">1A c) Indirekte timene må dekke</t>
  </si>
  <si>
    <t xml:space="preserve">519 000 + 60 000 − 280 000 = 299 000 kr</t>
  </si>
  <si>
    <t xml:space="preserve">1A d) Selvkost per time</t>
  </si>
  <si>
    <t xml:space="preserve">(2 671 760 + 299 000) / 3 500 = 848,79 kr</t>
  </si>
  <si>
    <t xml:space="preserve">1A e) Fortjeneste per time</t>
  </si>
  <si>
    <t xml:space="preserve">890 − 848,79 = 41,21 kr</t>
  </si>
  <si>
    <t xml:space="preserve">1A f) Fortjeneste i året</t>
  </si>
  <si>
    <t xml:space="preserve">890 × 3 500 − 2 970 760 = 144 240 kr, lik driftsresultatet i faktaarket</t>
  </si>
  <si>
    <t xml:space="preserve">1A g) Med 1 200 timer</t>
  </si>
  <si>
    <t xml:space="preserve">2 970 760 / 3 100 = 958 kr per time; 890 holder ikke. Først timene, så prisen, til slutt kostnadene</t>
  </si>
  <si>
    <t xml:space="preserve">1B Direkte lønn per time</t>
  </si>
  <si>
    <t xml:space="preserve">8 440 000 / 14 400 = 586 kr</t>
  </si>
  <si>
    <t xml:space="preserve">1B Indirekte og innleie i året</t>
  </si>
  <si>
    <t xml:space="preserve">2 220 000 + 620 000 + 1 386 000 + 400 000 = 4 626 000 kr</t>
  </si>
  <si>
    <t xml:space="preserve">1B Dekket av materiellpåslaget</t>
  </si>
  <si>
    <t xml:space="preserve">9 584 000 − 7 990 000 = 1 594 000 kr</t>
  </si>
  <si>
    <t xml:space="preserve">1B Indirekte og innleie per time</t>
  </si>
  <si>
    <t xml:space="preserve">(4 626 000 − 1 594 000) / 14 400 = 211 kr</t>
  </si>
  <si>
    <t xml:space="preserve">1B Bokas selvkost per time</t>
  </si>
  <si>
    <t xml:space="preserve">586 + 211 = 797 kr, etter at materialpåslaget har betalt sin del. Selvkost per fakturert time, når timene alene skal bære de indirekte kostnadene, er 586 + 321 = 907 kr ((21 056 000 − 7 990 000) / 14 400), mer enn timeprisen 890: påslaget subsidierer timene</t>
  </si>
  <si>
    <t xml:space="preserve">1B Fortjeneste per time</t>
  </si>
  <si>
    <t xml:space="preserve">1 344 000 / 14 400 = 93 kr</t>
  </si>
  <si>
    <t xml:space="preserve">1B Timepris</t>
  </si>
  <si>
    <t xml:space="preserve">797 + 93 = 890 kr</t>
  </si>
  <si>
    <t xml:space="preserve">1B h) Fella: delt på 20 340</t>
  </si>
  <si>
    <t xml:space="preserve">(11 472 000 + 1 344 000) / 20 340 = 630 kr</t>
  </si>
  <si>
    <t xml:space="preserve">1B i) Mangler i året</t>
  </si>
  <si>
    <t xml:space="preserve">11 472 000 − 630 × 14 400 = 2 400 000 kr</t>
  </si>
  <si>
    <t xml:space="preserve">1B j) Til Tom og Ronny</t>
  </si>
  <si>
    <t xml:space="preserve">586 av 890 er lønn og følger tariffen. Timene flytter prisen: bransjen fakturerer 87 %, Nordlys 70,8 %</t>
  </si>
  <si>
    <t xml:space="preserve">1C Direkte lønn</t>
  </si>
  <si>
    <t xml:space="preserve">14 × 640 = 8 960 kr</t>
  </si>
  <si>
    <t xml:space="preserve">1C Sum direkte</t>
  </si>
  <si>
    <t xml:space="preserve">8 960 + 9 800 + 800 = 19 560 kr</t>
  </si>
  <si>
    <t xml:space="preserve">1C Indirekte</t>
  </si>
  <si>
    <t xml:space="preserve">14 × 300 = 4 200 kr</t>
  </si>
  <si>
    <t xml:space="preserve">1C Selvkost</t>
  </si>
  <si>
    <t xml:space="preserve">19 560 + 4 200 = 23 760 kr</t>
  </si>
  <si>
    <t xml:space="preserve">1C Fortjeneste</t>
  </si>
  <si>
    <t xml:space="preserve">23 760 × 0,12 = 2 851,20 kr</t>
  </si>
  <si>
    <t xml:space="preserve">1C Pris uten merverdiavgift</t>
  </si>
  <si>
    <t xml:space="preserve">23 760 + 2 851,20 = 26 611,20 kr</t>
  </si>
  <si>
    <t xml:space="preserve">1C Merverdiavgift</t>
  </si>
  <si>
    <t xml:space="preserve">26 611,20 × 0,25 = 6 652,80 kr</t>
  </si>
  <si>
    <t xml:space="preserve">1C Pris til Hansen</t>
  </si>
  <si>
    <t xml:space="preserve">26 611,20 + 6 652,80 = 33 264 kr</t>
  </si>
  <si>
    <t xml:space="preserve">1C d) Toms feil</t>
  </si>
  <si>
    <t xml:space="preserve">Glemt de indirekte (4 200) og regnet fortjenesten av de direkte. 27 384 er 5 880 kr for lavt</t>
  </si>
  <si>
    <t xml:space="preserve">1C e) Ekstra timer</t>
  </si>
  <si>
    <t xml:space="preserve">2 851,20 / 640 = 4,5 timer; jobben tåler 18,5 timer</t>
  </si>
  <si>
    <t xml:space="preserve">1C f) Holde timetallet</t>
  </si>
  <si>
    <t xml:space="preserve">Befaring før tilbudet, ferdig plukket materiell, timer ført per jobb, etterkalkyle etterpå</t>
  </si>
  <si>
    <t xml:space="preserve">2A a) Etter selvkost, per skap</t>
  </si>
  <si>
    <t xml:space="preserve">22 000 − 23 760 = −1 760 kr</t>
  </si>
  <si>
    <t xml:space="preserve">2A b) Dekningsbidrag per skap</t>
  </si>
  <si>
    <t xml:space="preserve">22 000 − 19 560 = 2 440 kr</t>
  </si>
  <si>
    <t xml:space="preserve">2A c) Dekningsgrad</t>
  </si>
  <si>
    <t xml:space="preserve">2 440 / 22 000 = 11,1 %</t>
  </si>
  <si>
    <t xml:space="preserve">2A d) Dekningsbidrag 20 skap</t>
  </si>
  <si>
    <t xml:space="preserve">20 × 2 440 = 48 800 kr</t>
  </si>
  <si>
    <t xml:space="preserve">2A e) Dekker av de indirekte</t>
  </si>
  <si>
    <t xml:space="preserve">48 800 / 84 000 = 58,1 %</t>
  </si>
  <si>
    <t xml:space="preserve">2A f) I oktober</t>
  </si>
  <si>
    <t xml:space="preserve">Nei: uten ledig kapasitet fortrenger jobben jobber til normalpris. Selvkost gjelder</t>
  </si>
  <si>
    <t xml:space="preserve">2A g) Til Tom</t>
  </si>
  <si>
    <t xml:space="preserve">I august er lønna betalt uansett, så skapet gir 11 400 kr hver (228 000 for 20). Som fast pris dekker 2 440 bare 58 % av 4 200 og gir null i fortjeneste. Bidragspris bare ved ledig kapasitet</t>
  </si>
  <si>
    <t xml:space="preserve">2B Direkte lønn, etterkalkyle</t>
  </si>
  <si>
    <t xml:space="preserve">19 × 640 = 12 160 kr</t>
  </si>
  <si>
    <t xml:space="preserve">2B Avvik direkte lønn</t>
  </si>
  <si>
    <t xml:space="preserve">8 960 − 12 160 = −3 200 kr, −35,7 %</t>
  </si>
  <si>
    <t xml:space="preserve">2B Sum direkte, etterkalkyle</t>
  </si>
  <si>
    <t xml:space="preserve">12 160 + 9 800 + 800 = 22 760 kr, avvik −3 200 (−16,4 %)</t>
  </si>
  <si>
    <t xml:space="preserve">2B Selvkost, etterkalkyle</t>
  </si>
  <si>
    <t xml:space="preserve">22 760 + 4 200 = 26 960 kr, avvik −3 200 (−13,5 %)</t>
  </si>
  <si>
    <t xml:space="preserve">2B Fortjeneste, etterkalkyle</t>
  </si>
  <si>
    <t xml:space="preserve">26 611,20 − 26 960 = −348,80 kr, avvik −3 200</t>
  </si>
  <si>
    <t xml:space="preserve">2B c) Minustegnet</t>
  </si>
  <si>
    <t xml:space="preserve">2B d) Ny pris med 19 timer</t>
  </si>
  <si>
    <t xml:space="preserve">26 960 × 1,12 × 1,25 = 37 744 kr, 13,5 % høyere enn 33 264</t>
  </si>
  <si>
    <t xml:space="preserve">2B e) Neste tilbud</t>
  </si>
  <si>
    <t xml:space="preserve">Skriv om forkalkylen (19 timer, 37 744 kr) eller få timene ned (befaring, ferdig plukket materiell). Finn årsaken først; i eldre boliger er det ofte jording som må utbedres og overspenningsvern som må monteres, og det tas forbehold om i fastprisen</t>
  </si>
  <si>
    <t xml:space="preserve">2C a) Inntakskost</t>
  </si>
  <si>
    <t xml:space="preserve">68 000 + 3 200 = 71 200 kr</t>
  </si>
  <si>
    <t xml:space="preserve">2C b) Pris uten merverdiavgift</t>
  </si>
  <si>
    <t xml:space="preserve">71 200 × 1,20 = 85 440 kr</t>
  </si>
  <si>
    <t xml:space="preserve">2C c) Avanse i kroner</t>
  </si>
  <si>
    <t xml:space="preserve">85 440 − 71 200 = 14 240 kr</t>
  </si>
  <si>
    <t xml:space="preserve">2C d) Avanse i prosent</t>
  </si>
  <si>
    <t xml:space="preserve">14 240 / 71 200 = 20,0 %</t>
  </si>
  <si>
    <t xml:space="preserve">2C e) Bruttofortjeneste i prosent</t>
  </si>
  <si>
    <t xml:space="preserve">14 240 / 85 440 = 16,7 %</t>
  </si>
  <si>
    <t xml:space="preserve">2C f) Pris med merverdiavgift</t>
  </si>
  <si>
    <t xml:space="preserve">85 440 × 1,25 = 106 800 kr</t>
  </si>
  <si>
    <t xml:space="preserve">2C g) Fella: 52 %</t>
  </si>
  <si>
    <t xml:space="preserve">64 000 × 1,52 = 97 280 kr</t>
  </si>
  <si>
    <t xml:space="preserve">2C h) For lav med</t>
  </si>
  <si>
    <t xml:space="preserve">100 352 − 97 280 = 3 072 kr</t>
  </si>
  <si>
    <t xml:space="preserve">2C i) Påslaget dekker</t>
  </si>
  <si>
    <t xml:space="preserve">2C j) Til kunden</t>
  </si>
  <si>
    <t xml:space="preserve">Lager og bestilling, montasje, reklamasjonsrett på arbeidet, dokumentasjon til samsvarserklæringen. Nettbutikken monterer ikke</t>
  </si>
</sst>
</file>

<file path=xl/styles.xml><?xml version="1.0" encoding="utf-8"?>
<styleSheet xmlns="http://schemas.openxmlformats.org/spreadsheetml/2006/main">
  <numFmts count="4">
    <numFmt numFmtId="164" formatCode="General"/>
    <numFmt numFmtId="165" formatCode="#,##0"/>
    <numFmt numFmtId="166" formatCode="#,##0.00"/>
    <numFmt numFmtId="167" formatCode="0.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sz val="10.5"/>
      <name val="Calibri"/>
      <family val="0"/>
      <charset val="1"/>
    </font>
    <font>
      <i val="true"/>
      <sz val="10.5"/>
      <color rgb="FF2F4A6D"/>
      <name val="Calibri"/>
      <family val="0"/>
      <charset val="1"/>
    </font>
    <font>
      <b val="true"/>
      <sz val="11"/>
      <color theme="1"/>
      <name val="Calibri"/>
      <family val="2"/>
      <charset val="1"/>
    </font>
  </fonts>
  <fills count="6">
    <fill>
      <patternFill patternType="none"/>
    </fill>
    <fill>
      <patternFill patternType="gray125"/>
    </fill>
    <fill>
      <patternFill patternType="solid">
        <fgColor rgb="FF2F4A6D"/>
        <bgColor rgb="FF333333"/>
      </patternFill>
    </fill>
    <fill>
      <patternFill patternType="solid">
        <fgColor rgb="FFE2EFDA"/>
        <bgColor rgb="FFDDEBF7"/>
      </patternFill>
    </fill>
    <fill>
      <patternFill patternType="solid">
        <fgColor rgb="FFFFF2CC"/>
        <bgColor rgb="FFE2EFDA"/>
      </patternFill>
    </fill>
    <fill>
      <patternFill patternType="solid">
        <fgColor rgb="FFDDEBF7"/>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4"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6" fontId="0" fillId="4" borderId="1" xfId="0" applyFont="false" applyBorder="true" applyAlignment="true" applyProtection="false">
      <alignment horizontal="right" vertical="center" textRotation="0" wrapText="false" indent="0" shrinkToFit="false"/>
      <protection locked="true" hidden="false"/>
    </xf>
    <xf numFmtId="164" fontId="0" fillId="4"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0" xfId="0" applyFont="fals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right" vertical="center" textRotation="0" wrapText="false" indent="0" shrinkToFit="false"/>
      <protection locked="true" hidden="false"/>
    </xf>
    <xf numFmtId="167" fontId="0" fillId="4"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30"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6" customFormat="false" ht="15" hidden="false" customHeight="true" outlineLevel="0" collapsed="false">
      <c r="B16" s="2" t="s">
        <v>12</v>
      </c>
    </row>
    <row r="17" customFormat="false" ht="15" hidden="false" customHeight="true" outlineLevel="0" collapsed="false">
      <c r="B17" s="2" t="s">
        <v>13</v>
      </c>
    </row>
    <row r="18" customFormat="false" ht="15" hidden="false" customHeight="true" outlineLevel="0" collapsed="false">
      <c r="B18" s="2" t="s">
        <v>14</v>
      </c>
    </row>
    <row r="20" customFormat="false" ht="30" hidden="false" customHeight="true" outlineLevel="0" collapsed="false">
      <c r="B20" s="4" t="s">
        <v>15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16</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45" hidden="false" customHeight="true" outlineLevel="0" collapsed="false">
      <c r="B5" s="8" t="s">
        <v>19</v>
      </c>
      <c r="C5" s="8"/>
      <c r="D5" s="8"/>
      <c r="E5" s="8"/>
      <c r="F5" s="8"/>
      <c r="G5" s="8"/>
    </row>
    <row r="6" customFormat="false" ht="15.75" hidden="false" customHeight="true" outlineLevel="0" collapsed="false">
      <c r="B6" s="7" t="s">
        <v>20</v>
      </c>
      <c r="C6" s="7"/>
      <c r="D6" s="7"/>
      <c r="E6" s="7"/>
      <c r="F6" s="7"/>
      <c r="G6" s="7"/>
    </row>
    <row r="7" customFormat="false" ht="45" hidden="false" customHeight="true" outlineLevel="0" collapsed="false">
      <c r="B7" s="8" t="s">
        <v>21</v>
      </c>
      <c r="C7" s="8"/>
      <c r="D7" s="8"/>
      <c r="E7" s="8"/>
      <c r="F7" s="8"/>
      <c r="G7" s="8"/>
    </row>
    <row r="9" customFormat="false" ht="15.75" hidden="false" customHeight="true" outlineLevel="0" collapsed="false">
      <c r="B9" s="7" t="s">
        <v>22</v>
      </c>
      <c r="C9" s="7"/>
      <c r="D9" s="7"/>
      <c r="E9" s="7"/>
      <c r="F9" s="7"/>
      <c r="G9" s="7"/>
    </row>
    <row r="10" customFormat="false" ht="60" hidden="false" customHeight="true" outlineLevel="0" collapsed="false">
      <c r="B10" s="8" t="s">
        <v>23</v>
      </c>
      <c r="C10" s="8"/>
      <c r="D10" s="8"/>
      <c r="E10" s="8"/>
      <c r="F10" s="8"/>
      <c r="G10" s="8"/>
    </row>
    <row r="11" customFormat="false" ht="15" hidden="false" customHeight="false" outlineLevel="0" collapsed="false">
      <c r="B11" s="9" t="s">
        <v>24</v>
      </c>
      <c r="C11" s="10" t="s">
        <v>25</v>
      </c>
    </row>
    <row r="12" customFormat="false" ht="15" hidden="false" customHeight="false" outlineLevel="0" collapsed="false">
      <c r="B12" s="11" t="s">
        <v>26</v>
      </c>
      <c r="C12" s="12" t="n">
        <f aca="false">560000*1.468</f>
        <v>822080</v>
      </c>
    </row>
    <row r="13" customFormat="false" ht="15" hidden="false" customHeight="false" outlineLevel="0" collapsed="false">
      <c r="B13" s="11" t="s">
        <v>27</v>
      </c>
      <c r="C13" s="12" t="n">
        <f aca="false">ROUND(560000*1.468/1400,0)</f>
        <v>587</v>
      </c>
    </row>
    <row r="15" customFormat="false" ht="15.75" hidden="false" customHeight="true" outlineLevel="0" collapsed="false">
      <c r="B15" s="7" t="s">
        <v>28</v>
      </c>
      <c r="C15" s="7"/>
      <c r="D15" s="7"/>
      <c r="E15" s="7"/>
      <c r="F15" s="7"/>
      <c r="G15" s="7"/>
    </row>
    <row r="16" customFormat="false" ht="60" hidden="false" customHeight="true" outlineLevel="0" collapsed="false">
      <c r="B16" s="8" t="s">
        <v>29</v>
      </c>
      <c r="C16" s="8"/>
      <c r="D16" s="8"/>
      <c r="E16" s="8"/>
      <c r="F16" s="8"/>
      <c r="G16" s="8"/>
    </row>
    <row r="18" customFormat="false" ht="43.5" hidden="false" customHeight="true" outlineLevel="0" collapsed="false">
      <c r="B18" s="13" t="s">
        <v>30</v>
      </c>
      <c r="C18" s="14"/>
      <c r="D18" s="15" t="s">
        <v>31</v>
      </c>
      <c r="G18" s="16" t="str">
        <f aca="false">IF(C18="","Skriv svaret i den gule cellen.",IF(ABS(C18-((2*560000+700000)*1.468))&lt;=1,"Riktig.",IF(ABS(C18-(2*560000+700000))&lt;=1,"Du har svart lønna alene. De sosiale kostnadene på 46,8 % kommer på toppen: gang med 1,468.",IF(ABS(C18-(2*560000*1.468))&lt;=1,"Du har glemt eieren. Eieren har 700 000 kr i lønn og koster bedriften på samme måte som montørene.","Ikke riktig ennå. Se på regnestykket øverst på fanen, og sjekk at du har med alle leddene."))))</f>
        <v>Skriv svaret i den gule cellen.</v>
      </c>
    </row>
    <row r="19" customFormat="false" ht="43.5" hidden="false" customHeight="true" outlineLevel="0" collapsed="false">
      <c r="B19" s="13" t="s">
        <v>32</v>
      </c>
      <c r="C19" s="14"/>
      <c r="D19" s="15" t="s">
        <v>33</v>
      </c>
      <c r="G19" s="16" t="str">
        <f aca="false">IF(C19="","Skriv svaret i den gule cellen.",IF(ABS(C19-(ROUND((2*560000+700000)*1.468/3500,0)))&lt;=1,"Riktig.",IF(ABS(C19-(ROUND((2*560000+700000)*1.468/4300,0)))&lt;=1,"Du har delt på betalte timer (2 × 1 800 + 700 = 4 300). Kunden betaler bare for 3 500 av dem; del på 3 500.",IF(ABS(C19-(ROUND(560000*1.468/1400,0)))&lt;=1,"Det er tallet for én montør. Her skal hele bedriftens lønnskostnad deles på alle 3 500 fakturerbare timer.","Ikke riktig ennå. Se på regnestykket øverst på fanen, og sjekk at du har med alle leddene."))))</f>
        <v>Skriv svaret i den gule cellen.</v>
      </c>
    </row>
    <row r="20" customFormat="false" ht="43.5" hidden="false" customHeight="true" outlineLevel="0" collapsed="false">
      <c r="B20" s="13" t="s">
        <v>34</v>
      </c>
      <c r="C20" s="14"/>
      <c r="D20" s="15" t="s">
        <v>31</v>
      </c>
      <c r="G20" s="16" t="str">
        <f aca="false">IF(C20="","Skriv svaret i den gule cellen.",IF(ABS(C20-(519000+60000-280000))&lt;=1,"Riktig.",IF(ABS(C20-(519000+60000))&lt;=1,"Du har glemt at påslaget på materiellet dekker 280 000 kr. Trekk det fra.",IF(ABS(C20-(519000-280000))&lt;=1,"Du har glemt avskrivningene på 60 000 kr. De er også en indirekte kostnad.","Ikke riktig ennå. Se på regnestykket øverst på fanen, og sjekk at du har med alle leddene."))))</f>
        <v>Skriv svaret i den gule cellen.</v>
      </c>
    </row>
    <row r="21" customFormat="false" ht="43.5" hidden="false" customHeight="true" outlineLevel="0" collapsed="false">
      <c r="B21" s="13" t="s">
        <v>35</v>
      </c>
      <c r="C21" s="17"/>
      <c r="D21" s="15" t="s">
        <v>33</v>
      </c>
      <c r="G21" s="16" t="str">
        <f aca="false">IF(C21="","Skriv svaret i den gule cellen.",IF(ABS(C21-(ROUND(((2*560000+700000)*1.468+519000+60000-280000)/3500,2)))&lt;=0.05,"Riktig.",IF(ABS(C21-(ROUND(((2*560000+700000)*1.468+519000+60000)/3500,2)))&lt;=0.05,"Du har ikke trukket fra de 280 000 kr som påslaget på materiellet dekker.",IF(ABS(C21-(ROUND(((2*560000+700000)*1.468+519000+60000-280000)/4300,2)))&lt;=0.05,"Du har delt på 4 300 betalte timer. Bare 3 500 timer faktureres; del på dem.","Ikke riktig ennå. Se på regnestykket øverst på fanen, og sjekk at du har med alle leddene."))))</f>
        <v>Skriv svaret i den gule cellen.</v>
      </c>
    </row>
    <row r="22" customFormat="false" ht="43.5" hidden="false" customHeight="true" outlineLevel="0" collapsed="false">
      <c r="B22" s="13" t="s">
        <v>36</v>
      </c>
      <c r="C22" s="17"/>
      <c r="D22" s="15" t="s">
        <v>33</v>
      </c>
      <c r="G22" s="16" t="str">
        <f aca="false">IF(C22="","Skriv svaret i den gule cellen.",IF(ABS(C22-(ROUND(890-((2*560000+700000)*1.468+519000+60000-280000)/3500,2)))&lt;=0.05,"Riktig.",IF(ABS(C22-(ROUND(890-((2*560000+700000)*1.468)/3500,2)))&lt;=0.05,"Du har trukket fra bare lønnskostnaden per time. Selvkosten i d har også det indirekte med.","Ikke riktig ennå. Se på regnestykket øverst på fanen, og sjekk at du har med alle leddene.")))</f>
        <v>Skriv svaret i den gule cellen.</v>
      </c>
    </row>
    <row r="23" customFormat="false" ht="43.5" hidden="false" customHeight="true" outlineLevel="0" collapsed="false">
      <c r="B23" s="13" t="s">
        <v>37</v>
      </c>
      <c r="C23" s="14"/>
      <c r="D23" s="15" t="s">
        <v>31</v>
      </c>
      <c r="G23" s="16" t="str">
        <f aca="false">IF(C23="","Skriv svaret i den gule cellen.",IF(ABS(C23-(890*3500-((2*560000+700000)*1.468+519000+60000-280000)))&lt;=1,"Riktig.",IF(ABS(C23-(890*3500-((2*560000+700000)*1.468)))&lt;=1,"Du har trukket fra bare lønnskostnaden. Trekk også fra det indirekte i c.",IF(ABS(C23-(890*3500))&lt;=1,"Det er timeinntekten. Fortjenesten er det som er igjen når kostnadene er trukket fra.","Ikke riktig ennå. Se på regnestykket øverst på fanen, og sjekk at du har med alle leddene."))))</f>
        <v>Skriv svaret i den gule cellen.</v>
      </c>
    </row>
    <row r="25" customFormat="false" ht="30" hidden="false" customHeight="true" outlineLevel="0" collapsed="false">
      <c r="B25" s="8" t="s">
        <v>38</v>
      </c>
      <c r="C25" s="8"/>
      <c r="D25" s="8"/>
      <c r="E25" s="8"/>
      <c r="F25" s="8"/>
      <c r="G25" s="8"/>
    </row>
    <row r="26" customFormat="false" ht="21.75" hidden="false" customHeight="true" outlineLevel="0" collapsed="false">
      <c r="B26" s="18"/>
      <c r="C26" s="18"/>
      <c r="D26" s="18"/>
      <c r="E26" s="18"/>
      <c r="F26" s="18"/>
      <c r="G26" s="18"/>
    </row>
    <row r="27" customFormat="false" ht="21.75" hidden="false" customHeight="true" outlineLevel="0" collapsed="false">
      <c r="B27" s="18"/>
      <c r="C27" s="18"/>
      <c r="D27" s="18"/>
      <c r="E27" s="18"/>
      <c r="F27" s="18"/>
      <c r="G27" s="18"/>
    </row>
    <row r="28" customFormat="false" ht="21.75" hidden="false" customHeight="true" outlineLevel="0" collapsed="false">
      <c r="B28" s="18"/>
      <c r="C28" s="18"/>
      <c r="D28" s="18"/>
      <c r="E28" s="18"/>
      <c r="F28" s="18"/>
      <c r="G28" s="18"/>
    </row>
    <row r="29" customFormat="false" ht="39.75" hidden="false" customHeight="true" outlineLevel="0" collapsed="false">
      <c r="B29" s="19" t="str">
        <f aca="false">IF(LEN(B26)&lt;40,"",IF(AND(ISNUMBER(SEARCH("timer",B26)),ISNUMBER(SEARCH("pris",B26))),"Bra: du har med både timene og prisen. Med 3 100 timer er selvkosten 2 970 760 / 3 100 = 958 kr, og 890 dekker ikke kostnadene. Først timene, så prisen, til slutt kostnadene.",IF(OR(ISNUMBER(SEARCH("timer",B26)),ISNUMBER(SEARCH("pris",B26))),"Du er på sporet. Si både hva som skjer med selvkosten per time (2 970 760 / 3 100 = 958 kr), og hva dere gjør først: timene, prisen eller kostnadene.","Tips: 2 970 760 delt på 3 100 timer er 958 kr per time. 890 holder ikke. Se først på timene (hvorfor forsvinner 600 i året?), så på prisen, til slutt på kostnadene.")))</f>
        <v/>
      </c>
      <c r="C29" s="19"/>
      <c r="D29" s="19"/>
      <c r="E29" s="19"/>
      <c r="F29" s="19"/>
      <c r="G29" s="19"/>
    </row>
    <row r="30" customFormat="false" ht="15" hidden="false" customHeight="false" outlineLevel="0" collapsed="false">
      <c r="B30" s="20" t="s">
        <v>39</v>
      </c>
      <c r="C30" s="21"/>
    </row>
    <row r="31" customFormat="false" ht="45" hidden="false" customHeight="true" outlineLevel="0" collapsed="false">
      <c r="B31" s="22" t="str">
        <f aca="false">IF(C30="JA","Hint: a: (2 × 560 000 + 700 000) × 1,468 = 2 671 760. b: 2 671 760 / 3 500 = 763. c: 519 000 + 60 000 − 280 000 = 299 000. d: (2 671 760 + 299 000) / 3 500 = 848,79. e: 890 − 848,79 = 41,21. f: 890 × 3 500 − 2 970 760 = 144 240.","")</f>
        <v/>
      </c>
      <c r="C31" s="22"/>
      <c r="D31" s="22"/>
      <c r="E31" s="22"/>
      <c r="F31" s="22"/>
      <c r="G31" s="22"/>
    </row>
    <row r="33" customFormat="false" ht="30" hidden="false" customHeight="true" outlineLevel="0" collapsed="false">
      <c r="B33" s="6" t="s">
        <v>40</v>
      </c>
      <c r="C33" s="6"/>
      <c r="D33" s="6"/>
      <c r="E33" s="6"/>
      <c r="F33" s="6"/>
      <c r="G33" s="6"/>
    </row>
  </sheetData>
  <mergeCells count="15">
    <mergeCell ref="B2:G2"/>
    <mergeCell ref="B3:G3"/>
    <mergeCell ref="B4:G4"/>
    <mergeCell ref="B5:G5"/>
    <mergeCell ref="B6:G6"/>
    <mergeCell ref="B7:G7"/>
    <mergeCell ref="B9:G9"/>
    <mergeCell ref="B10:G10"/>
    <mergeCell ref="B15:G15"/>
    <mergeCell ref="B16:G16"/>
    <mergeCell ref="B25:G25"/>
    <mergeCell ref="B26:G28"/>
    <mergeCell ref="B29:G29"/>
    <mergeCell ref="B31:G31"/>
    <mergeCell ref="B33:G33"/>
  </mergeCells>
  <conditionalFormatting sqref="G18">
    <cfRule type="expression" priority="2" aboveAverage="0" equalAverage="0" bottom="0" percent="0" rank="0" text="" dxfId="0">
      <formula>LEFT(G18,6)="Riktig"</formula>
    </cfRule>
    <cfRule type="expression" priority="3" aboveAverage="0" equalAverage="0" bottom="0" percent="0" rank="0" text="" dxfId="1">
      <formula>AND(G18&lt;&gt;"",LEFT(G18,6)&lt;&gt;"Riktig",LEFT(G18,5)&lt;&gt;"Skriv")</formula>
    </cfRule>
  </conditionalFormatting>
  <conditionalFormatting sqref="G19">
    <cfRule type="expression" priority="4" aboveAverage="0" equalAverage="0" bottom="0" percent="0" rank="0" text="" dxfId="0">
      <formula>LEFT(G19,6)="Riktig"</formula>
    </cfRule>
    <cfRule type="expression" priority="5" aboveAverage="0" equalAverage="0" bottom="0" percent="0" rank="0" text="" dxfId="1">
      <formula>AND(G19&lt;&gt;"",LEFT(G19,6)&lt;&gt;"Riktig",LEFT(G19,5)&lt;&gt;"Skriv")</formula>
    </cfRule>
  </conditionalFormatting>
  <conditionalFormatting sqref="G20">
    <cfRule type="expression" priority="6" aboveAverage="0" equalAverage="0" bottom="0" percent="0" rank="0" text="" dxfId="0">
      <formula>LEFT(G20,6)="Riktig"</formula>
    </cfRule>
    <cfRule type="expression" priority="7" aboveAverage="0" equalAverage="0" bottom="0" percent="0" rank="0" text="" dxfId="1">
      <formula>AND(G20&lt;&gt;"",LEFT(G20,6)&lt;&gt;"Riktig",LEFT(G20,5)&lt;&gt;"Skriv")</formula>
    </cfRule>
  </conditionalFormatting>
  <conditionalFormatting sqref="G21">
    <cfRule type="expression" priority="8" aboveAverage="0" equalAverage="0" bottom="0" percent="0" rank="0" text="" dxfId="0">
      <formula>LEFT(G21,6)="Riktig"</formula>
    </cfRule>
    <cfRule type="expression" priority="9" aboveAverage="0" equalAverage="0" bottom="0" percent="0" rank="0" text="" dxfId="1">
      <formula>AND(G21&lt;&gt;"",LEFT(G21,6)&lt;&gt;"Riktig",LEFT(G21,5)&lt;&gt;"Skriv")</formula>
    </cfRule>
  </conditionalFormatting>
  <conditionalFormatting sqref="G22">
    <cfRule type="expression" priority="10" aboveAverage="0" equalAverage="0" bottom="0" percent="0" rank="0" text="" dxfId="0">
      <formula>LEFT(G22,6)="Riktig"</formula>
    </cfRule>
    <cfRule type="expression" priority="11" aboveAverage="0" equalAverage="0" bottom="0" percent="0" rank="0" text="" dxfId="1">
      <formula>AND(G22&lt;&gt;"",LEFT(G22,6)&lt;&gt;"Riktig",LEFT(G22,5)&lt;&gt;"Skriv")</formula>
    </cfRule>
  </conditionalFormatting>
  <conditionalFormatting sqref="G23">
    <cfRule type="expression" priority="12" aboveAverage="0" equalAverage="0" bottom="0" percent="0" rank="0" text="" dxfId="0">
      <formula>LEFT(G23,6)="Riktig"</formula>
    </cfRule>
    <cfRule type="expression" priority="13" aboveAverage="0" equalAverage="0" bottom="0" percent="0" rank="0" text="" dxfId="1">
      <formula>AND(G23&lt;&gt;"",LEFT(G23,6)&lt;&gt;"Riktig",LEFT(G23,5)&lt;&gt;"Skriv")</formula>
    </cfRule>
  </conditionalFormatting>
  <dataValidations count="1">
    <dataValidation allowBlank="true" errorStyle="stop" operator="between" showDropDown="false" showErrorMessage="false" showInputMessage="false" sqref="C30"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41</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45" hidden="false" customHeight="true" outlineLevel="0" collapsed="false">
      <c r="B5" s="8" t="s">
        <v>42</v>
      </c>
      <c r="C5" s="8"/>
      <c r="D5" s="8"/>
      <c r="E5" s="8"/>
      <c r="F5" s="8"/>
      <c r="G5" s="8"/>
    </row>
    <row r="6" customFormat="false" ht="15.75" hidden="false" customHeight="true" outlineLevel="0" collapsed="false">
      <c r="B6" s="7" t="s">
        <v>20</v>
      </c>
      <c r="C6" s="7"/>
      <c r="D6" s="7"/>
      <c r="E6" s="7"/>
      <c r="F6" s="7"/>
      <c r="G6" s="7"/>
    </row>
    <row r="7" customFormat="false" ht="60" hidden="false" customHeight="true" outlineLevel="0" collapsed="false">
      <c r="B7" s="8" t="s">
        <v>43</v>
      </c>
      <c r="C7" s="8"/>
      <c r="D7" s="8"/>
      <c r="E7" s="8"/>
      <c r="F7" s="8"/>
      <c r="G7" s="8"/>
    </row>
    <row r="9" customFormat="false" ht="15.75" hidden="false" customHeight="true" outlineLevel="0" collapsed="false">
      <c r="B9" s="7" t="s">
        <v>44</v>
      </c>
      <c r="C9" s="7"/>
      <c r="D9" s="7"/>
      <c r="E9" s="7"/>
      <c r="F9" s="7"/>
      <c r="G9" s="7"/>
    </row>
    <row r="10" customFormat="false" ht="60" hidden="false" customHeight="true" outlineLevel="0" collapsed="false">
      <c r="B10" s="8" t="s">
        <v>45</v>
      </c>
      <c r="C10" s="8"/>
      <c r="D10" s="8"/>
      <c r="E10" s="8"/>
      <c r="F10" s="8"/>
      <c r="G10" s="8"/>
    </row>
    <row r="11" customFormat="false" ht="15" hidden="false" customHeight="false" outlineLevel="0" collapsed="false">
      <c r="B11" s="9" t="s">
        <v>46</v>
      </c>
      <c r="C11" s="10" t="s">
        <v>25</v>
      </c>
    </row>
    <row r="12" customFormat="false" ht="15" hidden="false" customHeight="false" outlineLevel="0" collapsed="false">
      <c r="B12" s="11" t="s">
        <v>47</v>
      </c>
      <c r="C12" s="14"/>
    </row>
    <row r="13" customFormat="false" ht="15" hidden="false" customHeight="false" outlineLevel="0" collapsed="false">
      <c r="B13" s="11" t="s">
        <v>48</v>
      </c>
      <c r="C13" s="14"/>
    </row>
    <row r="14" customFormat="false" ht="15" hidden="false" customHeight="false" outlineLevel="0" collapsed="false">
      <c r="B14" s="11" t="s">
        <v>49</v>
      </c>
      <c r="C14" s="14"/>
    </row>
    <row r="15" customFormat="false" ht="15" hidden="false" customHeight="false" outlineLevel="0" collapsed="false">
      <c r="B15" s="11" t="s">
        <v>50</v>
      </c>
      <c r="C15" s="14"/>
    </row>
    <row r="16" customFormat="false" ht="15" hidden="false" customHeight="false" outlineLevel="0" collapsed="false">
      <c r="B16" s="11" t="s">
        <v>51</v>
      </c>
      <c r="C16" s="14"/>
    </row>
    <row r="17" customFormat="false" ht="15" hidden="false" customHeight="false" outlineLevel="0" collapsed="false">
      <c r="B17" s="11" t="s">
        <v>52</v>
      </c>
      <c r="C17" s="14"/>
    </row>
    <row r="18" customFormat="false" ht="15" hidden="false" customHeight="false" outlineLevel="0" collapsed="false">
      <c r="B18" s="11" t="s">
        <v>53</v>
      </c>
      <c r="C18" s="14"/>
    </row>
    <row r="20" customFormat="false" ht="15.75" hidden="false" customHeight="true" outlineLevel="0" collapsed="false">
      <c r="B20" s="7" t="s">
        <v>28</v>
      </c>
      <c r="C20" s="7"/>
      <c r="D20" s="7"/>
      <c r="E20" s="7"/>
      <c r="F20" s="7"/>
      <c r="G20" s="7"/>
    </row>
    <row r="21" customFormat="false" ht="75" hidden="false" customHeight="true" outlineLevel="0" collapsed="false">
      <c r="B21" s="8" t="s">
        <v>54</v>
      </c>
      <c r="C21" s="8"/>
      <c r="D21" s="8"/>
      <c r="E21" s="8"/>
      <c r="F21" s="8"/>
      <c r="G21" s="8"/>
    </row>
    <row r="23" customFormat="false" ht="15" hidden="false" customHeight="false" outlineLevel="0" collapsed="false">
      <c r="B23" s="23" t="s">
        <v>55</v>
      </c>
    </row>
    <row r="24" customFormat="false" ht="36" hidden="false" customHeight="true" outlineLevel="0" collapsed="false">
      <c r="B24" s="0" t="s">
        <v>56</v>
      </c>
      <c r="C24" s="24" t="str">
        <f aca="false">IF(C12="","Skriv svaret i cellen C12.",IF(C12=(ROUND(8440000/14400,0)),"Riktig.",IF(ABS(C12-(ROUND(10660000/14400,0)))&lt;=0,"Du har tatt med administrasjonen (10 660 000). Den er indirekte; her skal bare montører og lærlinger, 8 440 000.",IF(ABS(C12-(ROUND(8440000/20340,0)))&lt;=0,"Du har delt på alle 20 340 timene. Kunden betaler for 14 400; del på dem.","Ikke riktig ennå. Montører og lærlinger, 8 440 000, delt på 14 400 fakturerte timer."))))</f>
        <v>Skriv svaret i cellen C12.</v>
      </c>
      <c r="D24" s="24"/>
      <c r="E24" s="24"/>
      <c r="F24" s="24"/>
      <c r="G24" s="24"/>
    </row>
    <row r="25" customFormat="false" ht="36" hidden="false" customHeight="true" outlineLevel="0" collapsed="false">
      <c r="B25" s="0" t="s">
        <v>57</v>
      </c>
      <c r="C25" s="24" t="str">
        <f aca="false">IF(C13="","Skriv svaret i cellen C13.",IF(C13=(2220000+620000+1386000+400000),"Riktig.",IF(ABS(C13-(2220000+1386000+400000))&lt;=0,"Du har glemt avskrivningene, 620 000.",IF(ABS(C13-(620000+1386000+400000))&lt;=0,"Du har glemt administrasjonslønna, 2 220 000. Den er indirekte: Kari og Ida jobber for alle jobbene.",IF(ABS(C13-(2220000+620000+1386000))&lt;=0,"Du har glemt de innleide montørene, 400 000. Timene deres selges som timer, så timeprisen må bære dem.","Ikke riktig ennå. Administrasjon 2 220 000 + avskrivninger 620 000 + andre driftskostnader 1 386 000 + innleide montører 400 000.")))))</f>
        <v>Skriv svaret i cellen C13.</v>
      </c>
      <c r="D25" s="24"/>
      <c r="E25" s="24"/>
      <c r="F25" s="24"/>
      <c r="G25" s="24"/>
    </row>
    <row r="26" customFormat="false" ht="36" hidden="false" customHeight="true" outlineLevel="0" collapsed="false">
      <c r="B26" s="0" t="s">
        <v>58</v>
      </c>
      <c r="C26" s="24" t="str">
        <f aca="false">IF(C14="","Skriv svaret i cellen C14.",IF(C14=(9584000-7990000),"Riktig.",IF(ABS(C14-(9584000))&lt;=0,"Det er hele materiellinntekten. Trekk fra materialkostnaden, 7 990 000; det er bare påslaget som dekker indirekte.",IF(ABS(C14-(9584000-8390000))&lt;=0,"Du har trukket fra hele varekostnaden. 400 000 av den er innleide montører, som aldri ligger i materiellet. Trekk fra materialkostnaden, 7 990 000.",IF(ABS(C14-(7990000))&lt;=0,"Det er materialkostnaden. Påslaget er materiellinntekt minus materialkostnad.","Ikke riktig ennå. Materiellinntekt 9 584 000 minus materialkostnad 7 990 000.")))))</f>
        <v>Skriv svaret i cellen C14.</v>
      </c>
      <c r="D26" s="24"/>
      <c r="E26" s="24"/>
      <c r="F26" s="24"/>
      <c r="G26" s="24"/>
    </row>
    <row r="27" customFormat="false" ht="36" hidden="false" customHeight="true" outlineLevel="0" collapsed="false">
      <c r="B27" s="0" t="s">
        <v>59</v>
      </c>
      <c r="C27" s="24" t="str">
        <f aca="false">IF(C15="","Skriv svaret i cellen C15.",IF(C15=(ROUND((2220000+620000+1386000+400000-(9584000-7990000))/14400,0)),"Riktig.",IF(ABS(C15-(ROUND((2220000+620000+1386000+400000)/14400,0)))&lt;=0,"Du har ikke trukket fra det påslaget på materiellet dekker. Da betaler kunden for det samme to ganger.",IF(ABS(C15-(ROUND((2220000+620000+1386000+400000-(9584000-7990000))/20340,0)))&lt;=0,"Du har delt på 20 340 timer. Del på de 14 400 som faktureres.","Ikke riktig ennå. Indirekte og innleie i året minus det påslaget dekker, delt på 14 400."))))</f>
        <v>Skriv svaret i cellen C15.</v>
      </c>
      <c r="D27" s="24"/>
      <c r="E27" s="24"/>
      <c r="F27" s="24"/>
      <c r="G27" s="24"/>
    </row>
    <row r="28" customFormat="false" ht="36" hidden="false" customHeight="true" outlineLevel="0" collapsed="false">
      <c r="B28" s="0" t="s">
        <v>60</v>
      </c>
      <c r="C28" s="24" t="str">
        <f aca="false">IF(C16="","Skriv svaret i cellen C16.",IF(C16=(ROUND(8440000/14400,0)+ROUND((2220000+620000+1386000+400000-(9584000-7990000))/14400,0)),"Riktig.",IF(ABS(C16-(ROUND(8440000/14400,0)))&lt;=0,"Det er bare den direkte lønna. Legg til det indirekte og innleien per time.","Ikke riktig ennå. Direkte lønn per time pluss indirekte og innleie per time. Merk: 797 er bokas selvkost per time etter at materialpåslaget har betalt sin del. Selvkost per fakturert time, når timene alene skal bære de indirekte kostnadene, er 907 kr, mer enn 890.")))</f>
        <v>Skriv svaret i cellen C16.</v>
      </c>
      <c r="D28" s="24"/>
      <c r="E28" s="24"/>
      <c r="F28" s="24"/>
      <c r="G28" s="24"/>
    </row>
    <row r="29" customFormat="false" ht="36" hidden="false" customHeight="true" outlineLevel="0" collapsed="false">
      <c r="B29" s="0" t="s">
        <v>61</v>
      </c>
      <c r="C29" s="24" t="str">
        <f aca="false">IF(C17="","Skriv svaret i cellen C17.",IF(C17=(ROUND(1344000/14400,0)),"Riktig.",IF(ABS(C17-(ROUND(1344000/20340,0)))&lt;=0,"Du har delt på 20 340 timer. Fortjenesten hentes inn på de 14 400 fakturerte.","Ikke riktig ennå. Driftsresultatet 1 344 000 delt på 14 400.")))</f>
        <v>Skriv svaret i cellen C17.</v>
      </c>
      <c r="D29" s="24"/>
      <c r="E29" s="24"/>
      <c r="F29" s="24"/>
      <c r="G29" s="24"/>
    </row>
    <row r="30" customFormat="false" ht="36" hidden="false" customHeight="true" outlineLevel="0" collapsed="false">
      <c r="B30" s="0" t="s">
        <v>62</v>
      </c>
      <c r="C30" s="24" t="str">
        <f aca="false">IF(C18="","Skriv svaret i cellen C18.",IF(C18=(ROUND(8440000/14400,0)+ROUND((2220000+620000+1386000+400000-(9584000-7990000))/14400,0)+ROUND(1344000/14400,0)),"Riktig.","Ikke riktig ennå. Selvkost per time pluss fortjeneste per time. Skal bli 890."))</f>
        <v>Skriv svaret i cellen C18.</v>
      </c>
      <c r="D30" s="24"/>
      <c r="E30" s="24"/>
      <c r="F30" s="24"/>
      <c r="G30" s="24"/>
    </row>
    <row r="32" customFormat="false" ht="15.75" hidden="false" customHeight="true" outlineLevel="0" collapsed="false">
      <c r="B32" s="7" t="s">
        <v>63</v>
      </c>
      <c r="C32" s="7"/>
      <c r="D32" s="7"/>
      <c r="E32" s="7"/>
      <c r="F32" s="7"/>
      <c r="G32" s="7"/>
    </row>
    <row r="33" customFormat="false" ht="30" hidden="false" customHeight="true" outlineLevel="0" collapsed="false">
      <c r="B33" s="8" t="s">
        <v>64</v>
      </c>
      <c r="C33" s="8"/>
      <c r="D33" s="8"/>
      <c r="E33" s="8"/>
      <c r="F33" s="8"/>
      <c r="G33" s="8"/>
    </row>
    <row r="34" customFormat="false" ht="43.5" hidden="false" customHeight="true" outlineLevel="0" collapsed="false">
      <c r="B34" s="13" t="s">
        <v>65</v>
      </c>
      <c r="C34" s="14"/>
      <c r="D34" s="15" t="s">
        <v>33</v>
      </c>
      <c r="G34" s="16" t="str">
        <f aca="false">IF(C34="","Skriv svaret i den gule cellen.",IF(ABS(C34-(ROUND((11472000+1344000)/20340,0)))&lt;=1,"Riktig.",IF(ABS(C34-(ROUND((11472000+1344000)/14400,0)))&lt;=1,"Det er den riktige prisen, 890. Fella er å dele på 20 340; regn den.","Ikke riktig ennå. Se på regnestykket øverst på fanen, og sjekk at du har med alle leddene.")))</f>
        <v>Skriv svaret i den gule cellen.</v>
      </c>
    </row>
    <row r="35" customFormat="false" ht="43.5" hidden="false" customHeight="true" outlineLevel="0" collapsed="false">
      <c r="B35" s="13" t="s">
        <v>66</v>
      </c>
      <c r="C35" s="14"/>
      <c r="D35" s="15" t="s">
        <v>31</v>
      </c>
      <c r="G35" s="16" t="str">
        <f aca="false">IF(C35="","Skriv svaret i den gule cellen.",IF(ABS(C35-(11472000-630*14400))&lt;=1,"Riktig.",IF(ABS(C35-(11472000-630*20340))&lt;=1,"Du har ganget 630 med 20 340 timer. Bare 14 400 timer blir fakturert, så bare de gir penger inn.",IF(ABS(C35-(12816000-630*14400))&lt;=1,"Du har sammenliknet med inntekten ved 890. Sammenlikn med det timene må dekke, 11 472 000.","Ikke riktig ennå. Se på regnestykket øverst på fanen, og sjekk at du har med alle leddene."))))</f>
        <v>Skriv svaret i den gule cellen.</v>
      </c>
    </row>
    <row r="37" customFormat="false" ht="30" hidden="false" customHeight="true" outlineLevel="0" collapsed="false">
      <c r="B37" s="8" t="s">
        <v>67</v>
      </c>
      <c r="C37" s="8"/>
      <c r="D37" s="8"/>
      <c r="E37" s="8"/>
      <c r="F37" s="8"/>
      <c r="G37" s="8"/>
    </row>
    <row r="38" customFormat="false" ht="21.75" hidden="false" customHeight="true" outlineLevel="0" collapsed="false">
      <c r="B38" s="18"/>
      <c r="C38" s="18"/>
      <c r="D38" s="18"/>
      <c r="E38" s="18"/>
      <c r="F38" s="18"/>
      <c r="G38" s="18"/>
    </row>
    <row r="39" customFormat="false" ht="21.75" hidden="false" customHeight="true" outlineLevel="0" collapsed="false">
      <c r="B39" s="18"/>
      <c r="C39" s="18"/>
      <c r="D39" s="18"/>
      <c r="E39" s="18"/>
      <c r="F39" s="18"/>
      <c r="G39" s="18"/>
    </row>
    <row r="40" customFormat="false" ht="21.75" hidden="false" customHeight="true" outlineLevel="0" collapsed="false">
      <c r="B40" s="18"/>
      <c r="C40" s="18"/>
      <c r="D40" s="18"/>
      <c r="E40" s="18"/>
      <c r="F40" s="18"/>
      <c r="G40" s="18"/>
    </row>
    <row r="41" customFormat="false" ht="39.75" hidden="false" customHeight="true" outlineLevel="0" collapsed="false">
      <c r="B41" s="19" t="str">
        <f aca="false">IF(LEN(B38)&lt;40,"",IF(AND(ISNUMBER(SEARCH("586",B38)),ISNUMBER(SEARCH("timer",B38))),"Bra: du bruker både 586 kr i lønn og timene. Lønna kan ikke flyttes mye; det er timene som flytter prisen, og bransjen fakturerer 87 % mot Nordlys' 70,8 %.",IF(OR(ISNUMBER(SEARCH("586",B38)),ISNUMBER(SEARCH("timer",B38))),"Du er på sporet. Ta med at lønna er 586 av 890 og styres av tariffen, og at det er antall fakturerte timer som flytter prisen mest.","Tips: 586 av 890 går til egen montørlønn, 211 til det indirekte og innleien, og 93 er fortjeneste. Lønna følger tariffen. Det som flytter prisen, er timene: flere fakturerte timer gjør hver time billigere å bære.")))</f>
        <v/>
      </c>
      <c r="C41" s="19"/>
      <c r="D41" s="19"/>
      <c r="E41" s="19"/>
      <c r="F41" s="19"/>
      <c r="G41" s="19"/>
    </row>
    <row r="42" customFormat="false" ht="15" hidden="false" customHeight="false" outlineLevel="0" collapsed="false">
      <c r="B42" s="20" t="s">
        <v>39</v>
      </c>
      <c r="C42" s="21"/>
    </row>
    <row r="43" customFormat="false" ht="75" hidden="false" customHeight="true" outlineLevel="0" collapsed="false">
      <c r="B43" s="22" t="str">
        <f aca="false">IF(C42="JA","Hint: Direkte lønn 8 440 000 / 14 400 = 586. Indirekte og innleie 2 220 000 + 620 000 + 1 386 000 + 400 000 = 4 626 000; påslaget dekker 9 584 000 − 7 990 000 = 1 594 000; (4 626 000 − 1 594 000) / 14 400 = 211. Bokas selvkost 797 (selvkost per fakturert time, når timene alene bærer de indirekte kostnadene: 907, mer enn timeprisen). Fortjeneste 1 344 000 / 14 400 = 93. Timepris 890. Fella: 12 816 000 / 20 340 = 630; 11 472 000 − 630 × 14 400 = 2 400 000.","")</f>
        <v/>
      </c>
      <c r="C43" s="22"/>
      <c r="D43" s="22"/>
      <c r="E43" s="22"/>
      <c r="F43" s="22"/>
      <c r="G43" s="22"/>
    </row>
    <row r="45" customFormat="false" ht="30" hidden="false" customHeight="true" outlineLevel="0" collapsed="false">
      <c r="B45" s="6" t="s">
        <v>40</v>
      </c>
      <c r="C45" s="6"/>
      <c r="D45" s="6"/>
      <c r="E45" s="6"/>
      <c r="F45" s="6"/>
      <c r="G45" s="6"/>
    </row>
  </sheetData>
  <mergeCells count="24">
    <mergeCell ref="B2:G2"/>
    <mergeCell ref="B3:G3"/>
    <mergeCell ref="B4:G4"/>
    <mergeCell ref="B5:G5"/>
    <mergeCell ref="B6:G6"/>
    <mergeCell ref="B7:G7"/>
    <mergeCell ref="B9:G9"/>
    <mergeCell ref="B10:G10"/>
    <mergeCell ref="B20:G20"/>
    <mergeCell ref="B21:G21"/>
    <mergeCell ref="C24:G24"/>
    <mergeCell ref="C25:G25"/>
    <mergeCell ref="C26:G26"/>
    <mergeCell ref="C27:G27"/>
    <mergeCell ref="C28:G28"/>
    <mergeCell ref="C29:G29"/>
    <mergeCell ref="C30:G30"/>
    <mergeCell ref="B32:G32"/>
    <mergeCell ref="B33:G33"/>
    <mergeCell ref="B37:G37"/>
    <mergeCell ref="B38:G40"/>
    <mergeCell ref="B41:G41"/>
    <mergeCell ref="B43:G43"/>
    <mergeCell ref="B45:G45"/>
  </mergeCells>
  <conditionalFormatting sqref="C24">
    <cfRule type="expression" priority="2" aboveAverage="0" equalAverage="0" bottom="0" percent="0" rank="0" text="" dxfId="0">
      <formula>LEFT(C24,6)="Riktig"</formula>
    </cfRule>
    <cfRule type="expression" priority="3" aboveAverage="0" equalAverage="0" bottom="0" percent="0" rank="0" text="" dxfId="1">
      <formula>AND(C24&lt;&gt;"",LEFT(C24,6)&lt;&gt;"Riktig",LEFT(C24,5)&lt;&gt;"Skriv")</formula>
    </cfRule>
  </conditionalFormatting>
  <conditionalFormatting sqref="C25">
    <cfRule type="expression" priority="4" aboveAverage="0" equalAverage="0" bottom="0" percent="0" rank="0" text="" dxfId="0">
      <formula>LEFT(C25,6)="Riktig"</formula>
    </cfRule>
    <cfRule type="expression" priority="5" aboveAverage="0" equalAverage="0" bottom="0" percent="0" rank="0" text="" dxfId="1">
      <formula>AND(C25&lt;&gt;"",LEFT(C25,6)&lt;&gt;"Riktig",LEFT(C25,5)&lt;&gt;"Skriv")</formula>
    </cfRule>
  </conditionalFormatting>
  <conditionalFormatting sqref="C26">
    <cfRule type="expression" priority="6" aboveAverage="0" equalAverage="0" bottom="0" percent="0" rank="0" text="" dxfId="0">
      <formula>LEFT(C26,6)="Riktig"</formula>
    </cfRule>
    <cfRule type="expression" priority="7" aboveAverage="0" equalAverage="0" bottom="0" percent="0" rank="0" text="" dxfId="1">
      <formula>AND(C26&lt;&gt;"",LEFT(C26,6)&lt;&gt;"Riktig",LEFT(C26,5)&lt;&gt;"Skriv")</formula>
    </cfRule>
  </conditionalFormatting>
  <conditionalFormatting sqref="C27">
    <cfRule type="expression" priority="8" aboveAverage="0" equalAverage="0" bottom="0" percent="0" rank="0" text="" dxfId="0">
      <formula>LEFT(C27,6)="Riktig"</formula>
    </cfRule>
    <cfRule type="expression" priority="9" aboveAverage="0" equalAverage="0" bottom="0" percent="0" rank="0" text="" dxfId="1">
      <formula>AND(C27&lt;&gt;"",LEFT(C27,6)&lt;&gt;"Riktig",LEFT(C27,5)&lt;&gt;"Skriv")</formula>
    </cfRule>
  </conditionalFormatting>
  <conditionalFormatting sqref="C28">
    <cfRule type="expression" priority="10" aboveAverage="0" equalAverage="0" bottom="0" percent="0" rank="0" text="" dxfId="0">
      <formula>LEFT(C28,6)="Riktig"</formula>
    </cfRule>
    <cfRule type="expression" priority="11" aboveAverage="0" equalAverage="0" bottom="0" percent="0" rank="0" text="" dxfId="1">
      <formula>AND(C28&lt;&gt;"",LEFT(C28,6)&lt;&gt;"Riktig",LEFT(C28,5)&lt;&gt;"Skriv")</formula>
    </cfRule>
  </conditionalFormatting>
  <conditionalFormatting sqref="C29">
    <cfRule type="expression" priority="12" aboveAverage="0" equalAverage="0" bottom="0" percent="0" rank="0" text="" dxfId="0">
      <formula>LEFT(C29,6)="Riktig"</formula>
    </cfRule>
    <cfRule type="expression" priority="13" aboveAverage="0" equalAverage="0" bottom="0" percent="0" rank="0" text="" dxfId="1">
      <formula>AND(C29&lt;&gt;"",LEFT(C29,6)&lt;&gt;"Riktig",LEFT(C29,5)&lt;&gt;"Skriv")</formula>
    </cfRule>
  </conditionalFormatting>
  <conditionalFormatting sqref="C30">
    <cfRule type="expression" priority="14" aboveAverage="0" equalAverage="0" bottom="0" percent="0" rank="0" text="" dxfId="0">
      <formula>LEFT(C30,6)="Riktig"</formula>
    </cfRule>
    <cfRule type="expression" priority="15" aboveAverage="0" equalAverage="0" bottom="0" percent="0" rank="0" text="" dxfId="1">
      <formula>AND(C30&lt;&gt;"",LEFT(C30,6)&lt;&gt;"Riktig",LEFT(C30,5)&lt;&gt;"Skriv")</formula>
    </cfRule>
  </conditionalFormatting>
  <conditionalFormatting sqref="G34">
    <cfRule type="expression" priority="16" aboveAverage="0" equalAverage="0" bottom="0" percent="0" rank="0" text="" dxfId="0">
      <formula>LEFT(G34,6)="Riktig"</formula>
    </cfRule>
    <cfRule type="expression" priority="17" aboveAverage="0" equalAverage="0" bottom="0" percent="0" rank="0" text="" dxfId="1">
      <formula>AND(G34&lt;&gt;"",LEFT(G34,6)&lt;&gt;"Riktig",LEFT(G34,5)&lt;&gt;"Skriv")</formula>
    </cfRule>
  </conditionalFormatting>
  <conditionalFormatting sqref="G35">
    <cfRule type="expression" priority="18" aboveAverage="0" equalAverage="0" bottom="0" percent="0" rank="0" text="" dxfId="0">
      <formula>LEFT(G35,6)="Riktig"</formula>
    </cfRule>
    <cfRule type="expression" priority="19" aboveAverage="0" equalAverage="0" bottom="0" percent="0" rank="0" text="" dxfId="1">
      <formula>AND(G35&lt;&gt;"",LEFT(G35,6)&lt;&gt;"Riktig",LEFT(G35,5)&lt;&gt;"Skriv")</formula>
    </cfRule>
  </conditionalFormatting>
  <dataValidations count="1">
    <dataValidation allowBlank="true" errorStyle="stop" operator="between" showDropDown="false" showErrorMessage="false" showInputMessage="false" sqref="C42"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68</v>
      </c>
    </row>
    <row r="2" customFormat="false" ht="25.5" hidden="false" customHeight="true" outlineLevel="0" collapsed="false">
      <c r="B2" s="5" t="s">
        <v>69</v>
      </c>
      <c r="C2" s="5"/>
      <c r="D2" s="5"/>
      <c r="E2" s="5"/>
      <c r="F2" s="5"/>
      <c r="G2" s="5"/>
      <c r="Z2" s="25" t="s">
        <v>70</v>
      </c>
    </row>
    <row r="3" customFormat="false" ht="15" hidden="false" customHeight="true" outlineLevel="0" collapsed="false">
      <c r="B3" s="6" t="s">
        <v>17</v>
      </c>
      <c r="C3" s="6"/>
      <c r="D3" s="6"/>
      <c r="E3" s="6"/>
      <c r="F3" s="6"/>
      <c r="G3" s="6"/>
      <c r="Z3" s="25" t="s">
        <v>71</v>
      </c>
    </row>
    <row r="4" customFormat="false" ht="15.75" hidden="false" customHeight="true" outlineLevel="0" collapsed="false">
      <c r="B4" s="7" t="s">
        <v>18</v>
      </c>
      <c r="C4" s="7"/>
      <c r="D4" s="7"/>
      <c r="E4" s="7"/>
      <c r="F4" s="7"/>
      <c r="G4" s="7"/>
    </row>
    <row r="5" customFormat="false" ht="45" hidden="false" customHeight="true" outlineLevel="0" collapsed="false">
      <c r="B5" s="8" t="s">
        <v>72</v>
      </c>
      <c r="C5" s="8"/>
      <c r="D5" s="8"/>
      <c r="E5" s="8"/>
      <c r="F5" s="8"/>
      <c r="G5" s="8"/>
    </row>
    <row r="6" customFormat="false" ht="15.75" hidden="false" customHeight="true" outlineLevel="0" collapsed="false">
      <c r="B6" s="7" t="s">
        <v>20</v>
      </c>
      <c r="C6" s="7"/>
      <c r="D6" s="7"/>
      <c r="E6" s="7"/>
      <c r="F6" s="7"/>
      <c r="G6" s="7"/>
    </row>
    <row r="7" customFormat="false" ht="45" hidden="false" customHeight="true" outlineLevel="0" collapsed="false">
      <c r="B7" s="8" t="s">
        <v>73</v>
      </c>
      <c r="C7" s="8"/>
      <c r="D7" s="8"/>
      <c r="E7" s="8"/>
      <c r="F7" s="8"/>
      <c r="G7" s="8"/>
    </row>
    <row r="9" customFormat="false" ht="15.75" hidden="false" customHeight="true" outlineLevel="0" collapsed="false">
      <c r="B9" s="7" t="s">
        <v>22</v>
      </c>
      <c r="C9" s="7"/>
      <c r="D9" s="7"/>
      <c r="E9" s="7"/>
      <c r="F9" s="7"/>
      <c r="G9" s="7"/>
    </row>
    <row r="10" customFormat="false" ht="60" hidden="false" customHeight="true" outlineLevel="0" collapsed="false">
      <c r="B10" s="8" t="s">
        <v>74</v>
      </c>
      <c r="C10" s="8"/>
      <c r="D10" s="8"/>
      <c r="E10" s="8"/>
      <c r="F10" s="8"/>
      <c r="G10" s="8"/>
    </row>
    <row r="11" customFormat="false" ht="15" hidden="false" customHeight="false" outlineLevel="0" collapsed="false">
      <c r="B11" s="9" t="s">
        <v>75</v>
      </c>
      <c r="C11" s="10" t="s">
        <v>25</v>
      </c>
    </row>
    <row r="12" customFormat="false" ht="15" hidden="false" customHeight="false" outlineLevel="0" collapsed="false">
      <c r="B12" s="11" t="s">
        <v>76</v>
      </c>
      <c r="C12" s="17"/>
    </row>
    <row r="13" customFormat="false" ht="15" hidden="false" customHeight="false" outlineLevel="0" collapsed="false">
      <c r="B13" s="11" t="s">
        <v>77</v>
      </c>
      <c r="C13" s="26" t="n">
        <v>9800</v>
      </c>
    </row>
    <row r="14" customFormat="false" ht="15" hidden="false" customHeight="false" outlineLevel="0" collapsed="false">
      <c r="B14" s="11" t="s">
        <v>78</v>
      </c>
      <c r="C14" s="26" t="n">
        <v>800</v>
      </c>
    </row>
    <row r="15" customFormat="false" ht="15" hidden="false" customHeight="false" outlineLevel="0" collapsed="false">
      <c r="B15" s="11" t="s">
        <v>79</v>
      </c>
      <c r="C15" s="17"/>
    </row>
    <row r="16" customFormat="false" ht="15" hidden="false" customHeight="false" outlineLevel="0" collapsed="false">
      <c r="B16" s="11" t="s">
        <v>80</v>
      </c>
      <c r="C16" s="17"/>
    </row>
    <row r="17" customFormat="false" ht="15" hidden="false" customHeight="false" outlineLevel="0" collapsed="false">
      <c r="B17" s="11" t="s">
        <v>81</v>
      </c>
      <c r="C17" s="17"/>
    </row>
    <row r="18" customFormat="false" ht="15" hidden="false" customHeight="false" outlineLevel="0" collapsed="false">
      <c r="B18" s="11" t="s">
        <v>82</v>
      </c>
      <c r="C18" s="17"/>
    </row>
    <row r="19" customFormat="false" ht="15" hidden="false" customHeight="false" outlineLevel="0" collapsed="false">
      <c r="B19" s="11" t="s">
        <v>83</v>
      </c>
      <c r="C19" s="17"/>
    </row>
    <row r="20" customFormat="false" ht="15" hidden="false" customHeight="false" outlineLevel="0" collapsed="false">
      <c r="B20" s="11" t="s">
        <v>84</v>
      </c>
      <c r="C20" s="17"/>
    </row>
    <row r="21" customFormat="false" ht="15" hidden="false" customHeight="false" outlineLevel="0" collapsed="false">
      <c r="B21" s="11" t="s">
        <v>85</v>
      </c>
      <c r="C21" s="17"/>
    </row>
    <row r="23" customFormat="false" ht="15.75" hidden="false" customHeight="true" outlineLevel="0" collapsed="false">
      <c r="B23" s="7" t="s">
        <v>28</v>
      </c>
      <c r="C23" s="7"/>
      <c r="D23" s="7"/>
      <c r="E23" s="7"/>
      <c r="F23" s="7"/>
      <c r="G23" s="7"/>
    </row>
    <row r="24" customFormat="false" ht="45" hidden="false" customHeight="true" outlineLevel="0" collapsed="false">
      <c r="B24" s="8" t="s">
        <v>86</v>
      </c>
      <c r="C24" s="8"/>
      <c r="D24" s="8"/>
      <c r="E24" s="8"/>
      <c r="F24" s="8"/>
      <c r="G24" s="8"/>
    </row>
    <row r="26" customFormat="false" ht="15" hidden="false" customHeight="false" outlineLevel="0" collapsed="false">
      <c r="B26" s="23" t="s">
        <v>87</v>
      </c>
    </row>
    <row r="27" customFormat="false" ht="36" hidden="false" customHeight="true" outlineLevel="0" collapsed="false">
      <c r="B27" s="0" t="s">
        <v>88</v>
      </c>
      <c r="C27" s="24" t="str">
        <f aca="false">IF(C12="","Skriv svaret i cellen C12.",IF(C12=(14*640),"Riktig.",IF(ABS(C12-(14*890))&lt;=0,"Du har brukt timeprisen 890. I kalkylen brukes direkte lønnskostnad, 640 kr per time; fortjenesten kommer senere.","Ikke riktig ennå. 14 timer ganger 640 kr.")))</f>
        <v>Skriv svaret i cellen C12.</v>
      </c>
      <c r="D27" s="24"/>
      <c r="E27" s="24"/>
      <c r="F27" s="24"/>
      <c r="G27" s="24"/>
    </row>
    <row r="28" customFormat="false" ht="36" hidden="false" customHeight="true" outlineLevel="0" collapsed="false">
      <c r="B28" s="0" t="s">
        <v>89</v>
      </c>
      <c r="C28" s="24" t="str">
        <f aca="false">IF(C15="","Skriv svaret i cellen C15.",IF(C15=(14*640+9800+800),"Riktig.",IF(ABS(C15-(14*640+9800))&lt;=0,"Du har glemt kjøringen, 800 kr. Den er en direkte kostnad.","Ikke riktig ennå. Direkte lønn pluss materiell pluss kjøring.")))</f>
        <v>Skriv svaret i cellen C15.</v>
      </c>
      <c r="D28" s="24"/>
      <c r="E28" s="24"/>
      <c r="F28" s="24"/>
      <c r="G28" s="24"/>
    </row>
    <row r="29" customFormat="false" ht="36" hidden="false" customHeight="true" outlineLevel="0" collapsed="false">
      <c r="B29" s="0" t="s">
        <v>90</v>
      </c>
      <c r="C29" s="24" t="str">
        <f aca="false">IF(C16="","Skriv svaret i cellen C16.",IF(C16=(14*300),"Riktig.",IF(ABS(C16-(300))&lt;=0,"Tilleggssatsen er 300 kr per montørtime, og jobben har 14 timer.","Ikke riktig ennå. 14 timer ganger 300 kr.")))</f>
        <v>Skriv svaret i cellen C16.</v>
      </c>
      <c r="D29" s="24"/>
      <c r="E29" s="24"/>
      <c r="F29" s="24"/>
      <c r="G29" s="24"/>
    </row>
    <row r="30" customFormat="false" ht="36" hidden="false" customHeight="true" outlineLevel="0" collapsed="false">
      <c r="B30" s="0" t="s">
        <v>91</v>
      </c>
      <c r="C30" s="24" t="str">
        <f aca="false">IF(C17="","Skriv svaret i cellen C17.",IF(C17=(14*640+9800+800+14*300),"Riktig.",IF(ABS(C17-(14*640+9800+800))&lt;=0,"Det er bare de direkte kostnadene. Legg til de indirekte, 4 200.","Ikke riktig ennå. Sum direkte pluss indirekte.")))</f>
        <v>Skriv svaret i cellen C17.</v>
      </c>
      <c r="D30" s="24"/>
      <c r="E30" s="24"/>
      <c r="F30" s="24"/>
      <c r="G30" s="24"/>
    </row>
    <row r="31" customFormat="false" ht="36" hidden="false" customHeight="true" outlineLevel="0" collapsed="false">
      <c r="B31" s="0" t="s">
        <v>92</v>
      </c>
      <c r="C31" s="24" t="str">
        <f aca="false">IF(C18="","Skriv svaret i cellen C18.",IF(ABS(C18-((14*640+9800+800+14*300)*0.12))&lt;=0.01,"Riktig.",IF(ABS(C18-((14*640+9800+800)*0.12))&lt;=0.01,"Du har regnet 12 % av de direkte kostnadene. Fortjenesten regnes av selvkost, 23 760.","Ikke riktig ennå. 12 % av selvkost.")))</f>
        <v>Skriv svaret i cellen C18.</v>
      </c>
      <c r="D31" s="24"/>
      <c r="E31" s="24"/>
      <c r="F31" s="24"/>
      <c r="G31" s="24"/>
    </row>
    <row r="32" customFormat="false" ht="36" hidden="false" customHeight="true" outlineLevel="0" collapsed="false">
      <c r="B32" s="0" t="s">
        <v>93</v>
      </c>
      <c r="C32" s="24" t="str">
        <f aca="false">IF(C19="","Skriv svaret i cellen C19.",IF(ABS(C19-((14*640+9800+800+14*300)*1.12))&lt;=0.01,"Riktig.",IF(ABS(C19-((14*640+9800+800)*1.12))&lt;=0.01,"Du har lagt fortjenesten på de direkte kostnadene. Den legges på selvkost, 23 760.","Ikke riktig ennå. Selvkost pluss fortjeneste.")))</f>
        <v>Skriv svaret i cellen C19.</v>
      </c>
      <c r="D32" s="24"/>
      <c r="E32" s="24"/>
      <c r="F32" s="24"/>
      <c r="G32" s="24"/>
    </row>
    <row r="33" customFormat="false" ht="36" hidden="false" customHeight="true" outlineLevel="0" collapsed="false">
      <c r="B33" s="0" t="s">
        <v>94</v>
      </c>
      <c r="C33" s="24" t="str">
        <f aca="false">IF(C20="","Skriv svaret i cellen C20.",IF(ABS(C20-((14*640+9800+800+14*300)*1.12*0.25))&lt;=0.01,"Riktig.",IF(ABS(C20-((14*640+9800+800+14*300)*0.25))&lt;=0.01,"Du har regnet merverdiavgift av selvkost. Den regnes av prisen uten merverdiavgift, 26 611,20.","Ikke riktig ennå. 25 % av prisen uten merverdiavgift.")))</f>
        <v>Skriv svaret i cellen C20.</v>
      </c>
      <c r="D33" s="24"/>
      <c r="E33" s="24"/>
      <c r="F33" s="24"/>
      <c r="G33" s="24"/>
    </row>
    <row r="34" customFormat="false" ht="36" hidden="false" customHeight="true" outlineLevel="0" collapsed="false">
      <c r="B34" s="0" t="s">
        <v>95</v>
      </c>
      <c r="C34" s="24" t="str">
        <f aca="false">IF(C21="","Skriv svaret i cellen C21.",IF(ABS(C21-((14*640+9800+800+14*300)*1.12*1.25))&lt;=0.01,"Riktig.",IF(ABS(C21-((14*640+9800+800)*1.12*1.25))&lt;=0.01,"Det er Toms regnestykke: de indirekte kostnadene mangler, og fortjenesten er regnet av feil tall.","Ikke riktig ennå. Pris uten merverdiavgift pluss merverdiavgift.")))</f>
        <v>Skriv svaret i cellen C21.</v>
      </c>
      <c r="D34" s="24"/>
      <c r="E34" s="24"/>
      <c r="F34" s="24"/>
      <c r="G34" s="24"/>
    </row>
    <row r="36" customFormat="false" ht="39.75" hidden="false" customHeight="true" outlineLevel="0" collapsed="false">
      <c r="B36" s="13" t="s">
        <v>96</v>
      </c>
      <c r="C36" s="21"/>
      <c r="G36" s="16" t="str">
        <f aca="false">IF(C36="","Velg i nedtrekksmenyen.",IF(C36="Han har glemt de indirekte kostnadene, og regnet fortjenesten av feil tall","Riktig. Selvkost er direkte pluss indirekte (23 760). Fortjenesten regnes av selvkost, ikke av de direkte kostnadene. Toms pris er 5 880 kr for lav.","Ikke riktig. Selvkost er direkte pluss indirekte (23 760). Fortjenesten regnes av selvkost, ikke av de direkte kostnadene. Toms pris er 5 880 kr for lav."))</f>
        <v>Velg i nedtrekksmenyen.</v>
      </c>
    </row>
    <row r="37" customFormat="false" ht="43.5" hidden="false" customHeight="true" outlineLevel="0" collapsed="false">
      <c r="B37" s="13" t="s">
        <v>97</v>
      </c>
      <c r="C37" s="27"/>
      <c r="D37" s="15" t="s">
        <v>98</v>
      </c>
      <c r="G37" s="16" t="str">
        <f aca="false">IF(C37="","Skriv svaret i den gule cellen.",IF(ABS(C37-(ROUND((14*640+9800+800+14*300)*0.12/640,1)))&lt;=0.05,"Riktig.",IF(ABS(C37-(ROUND((14*640+9800+800+14*300)*0.12/890,1)))&lt;=0.05,"Du har delt på timeprisen 890. Hver ekstra time koster Nordlys 640 kr i direkte lønn; del på 640.",IF(ABS(C37-(ROUND((14*640+9800+800+14*300)*0.12/(640+300),1)))&lt;=0.05,"Du har tatt med 300 kr i indirekte per time. Nordlys legger de indirekte på som fast beløp per skap, så en ekstra time koster bare 640.","Ikke riktig ennå. Se på regnestykket øverst på fanen, og sjekk at du har med alle leddene."))))</f>
        <v>Skriv svaret i den gule cellen.</v>
      </c>
    </row>
    <row r="39" customFormat="false" ht="30" hidden="false" customHeight="true" outlineLevel="0" collapsed="false">
      <c r="B39" s="8" t="s">
        <v>99</v>
      </c>
      <c r="C39" s="8"/>
      <c r="D39" s="8"/>
      <c r="E39" s="8"/>
      <c r="F39" s="8"/>
      <c r="G39" s="8"/>
    </row>
    <row r="40" customFormat="false" ht="21.75" hidden="false" customHeight="true" outlineLevel="0" collapsed="false">
      <c r="B40" s="18"/>
      <c r="C40" s="18"/>
      <c r="D40" s="18"/>
      <c r="E40" s="18"/>
      <c r="F40" s="18"/>
      <c r="G40" s="18"/>
    </row>
    <row r="41" customFormat="false" ht="21.75" hidden="false" customHeight="true" outlineLevel="0" collapsed="false">
      <c r="B41" s="18"/>
      <c r="C41" s="18"/>
      <c r="D41" s="18"/>
      <c r="E41" s="18"/>
      <c r="F41" s="18"/>
      <c r="G41" s="18"/>
    </row>
    <row r="42" customFormat="false" ht="21.75" hidden="false" customHeight="true" outlineLevel="0" collapsed="false">
      <c r="B42" s="18"/>
      <c r="C42" s="18"/>
      <c r="D42" s="18"/>
      <c r="E42" s="18"/>
      <c r="F42" s="18"/>
      <c r="G42" s="18"/>
    </row>
    <row r="43" customFormat="false" ht="39.75" hidden="false" customHeight="true" outlineLevel="0" collapsed="false">
      <c r="B43" s="19" t="str">
        <f aca="false">IF(LEN(B40)&lt;40,"",IF(AND(ISNUMBER(SEARCH("befaring",B40)),ISNUMBER(SEARCH("timer",B40))),"Bra: du har med befaring og timene. Befaring før tilbudet, ferdig plukket materiell så montøren slipper turen til grossisten, og timer ført per jobb, så etterkalkylen viser om 14 var riktig.",IF(OR(ISNUMBER(SEARCH("befaring",B40)),ISNUMBER(SEARCH("timer",B40))),"Du har med noe av det. Tenk på både før tilbudet (befaring, så anslaget blir riktig) og under jobben (ferdig plukket materiell, timer ført per jobb).","Tips: før tilbudet: befaring, så 14 timer er et ekte anslag. Under jobben: ferdig plukket materiell, én tur til grossisten, timer ført per jobb. Etterpå: etterkalkyle (økt 2).")))</f>
        <v/>
      </c>
      <c r="C43" s="19"/>
      <c r="D43" s="19"/>
      <c r="E43" s="19"/>
      <c r="F43" s="19"/>
      <c r="G43" s="19"/>
    </row>
    <row r="44" customFormat="false" ht="15" hidden="false" customHeight="false" outlineLevel="0" collapsed="false">
      <c r="B44" s="20" t="s">
        <v>39</v>
      </c>
      <c r="C44" s="21"/>
    </row>
    <row r="45" customFormat="false" ht="45" hidden="false" customHeight="true" outlineLevel="0" collapsed="false">
      <c r="B45" s="22" t="str">
        <f aca="false">IF(C44="JA","Hint: Direkte lønn 14 × 640 = 8 960. Sum direkte 8 960 + 9 800 + 800 = 19 560. Indirekte 14 × 300 = 4 200. Selvkost 23 760. Fortjeneste 23 760 × 0,12 = 2 851,20. Pris uten merverdiavgift 26 611,20. Merverdiavgift 6 652,80. Pris med merverdiavgift 33 264. e: 2 851,20 / 640 = 4,5 timer.","")</f>
        <v/>
      </c>
      <c r="C45" s="22"/>
      <c r="D45" s="22"/>
      <c r="E45" s="22"/>
      <c r="F45" s="22"/>
      <c r="G45" s="22"/>
    </row>
    <row r="47" customFormat="false" ht="30" hidden="false" customHeight="true" outlineLevel="0" collapsed="false">
      <c r="B47" s="6" t="s">
        <v>40</v>
      </c>
      <c r="C47" s="6"/>
      <c r="D47" s="6"/>
      <c r="E47" s="6"/>
      <c r="F47" s="6"/>
      <c r="G47" s="6"/>
    </row>
  </sheetData>
  <mergeCells count="23">
    <mergeCell ref="B2:G2"/>
    <mergeCell ref="B3:G3"/>
    <mergeCell ref="B4:G4"/>
    <mergeCell ref="B5:G5"/>
    <mergeCell ref="B6:G6"/>
    <mergeCell ref="B7:G7"/>
    <mergeCell ref="B9:G9"/>
    <mergeCell ref="B10:G10"/>
    <mergeCell ref="B23:G23"/>
    <mergeCell ref="B24:G24"/>
    <mergeCell ref="C27:G27"/>
    <mergeCell ref="C28:G28"/>
    <mergeCell ref="C29:G29"/>
    <mergeCell ref="C30:G30"/>
    <mergeCell ref="C31:G31"/>
    <mergeCell ref="C32:G32"/>
    <mergeCell ref="C33:G33"/>
    <mergeCell ref="C34:G34"/>
    <mergeCell ref="B39:G39"/>
    <mergeCell ref="B40:G42"/>
    <mergeCell ref="B43:G43"/>
    <mergeCell ref="B45:G45"/>
    <mergeCell ref="B47:G47"/>
  </mergeCells>
  <conditionalFormatting sqref="C27">
    <cfRule type="expression" priority="2" aboveAverage="0" equalAverage="0" bottom="0" percent="0" rank="0" text="" dxfId="0">
      <formula>LEFT(C27,6)="Riktig"</formula>
    </cfRule>
    <cfRule type="expression" priority="3" aboveAverage="0" equalAverage="0" bottom="0" percent="0" rank="0" text="" dxfId="1">
      <formula>AND(C27&lt;&gt;"",LEFT(C27,6)&lt;&gt;"Riktig",LEFT(C27,5)&lt;&gt;"Skriv")</formula>
    </cfRule>
  </conditionalFormatting>
  <conditionalFormatting sqref="C28">
    <cfRule type="expression" priority="4" aboveAverage="0" equalAverage="0" bottom="0" percent="0" rank="0" text="" dxfId="0">
      <formula>LEFT(C28,6)="Riktig"</formula>
    </cfRule>
    <cfRule type="expression" priority="5" aboveAverage="0" equalAverage="0" bottom="0" percent="0" rank="0" text="" dxfId="1">
      <formula>AND(C28&lt;&gt;"",LEFT(C28,6)&lt;&gt;"Riktig",LEFT(C28,5)&lt;&gt;"Skriv")</formula>
    </cfRule>
  </conditionalFormatting>
  <conditionalFormatting sqref="C29">
    <cfRule type="expression" priority="6" aboveAverage="0" equalAverage="0" bottom="0" percent="0" rank="0" text="" dxfId="0">
      <formula>LEFT(C29,6)="Riktig"</formula>
    </cfRule>
    <cfRule type="expression" priority="7" aboveAverage="0" equalAverage="0" bottom="0" percent="0" rank="0" text="" dxfId="1">
      <formula>AND(C29&lt;&gt;"",LEFT(C29,6)&lt;&gt;"Riktig",LEFT(C29,5)&lt;&gt;"Skriv")</formula>
    </cfRule>
  </conditionalFormatting>
  <conditionalFormatting sqref="C30">
    <cfRule type="expression" priority="8" aboveAverage="0" equalAverage="0" bottom="0" percent="0" rank="0" text="" dxfId="0">
      <formula>LEFT(C30,6)="Riktig"</formula>
    </cfRule>
    <cfRule type="expression" priority="9" aboveAverage="0" equalAverage="0" bottom="0" percent="0" rank="0" text="" dxfId="1">
      <formula>AND(C30&lt;&gt;"",LEFT(C30,6)&lt;&gt;"Riktig",LEFT(C30,5)&lt;&gt;"Skriv")</formula>
    </cfRule>
  </conditionalFormatting>
  <conditionalFormatting sqref="C31">
    <cfRule type="expression" priority="10" aboveAverage="0" equalAverage="0" bottom="0" percent="0" rank="0" text="" dxfId="0">
      <formula>LEFT(C31,6)="Riktig"</formula>
    </cfRule>
    <cfRule type="expression" priority="11" aboveAverage="0" equalAverage="0" bottom="0" percent="0" rank="0" text="" dxfId="1">
      <formula>AND(C31&lt;&gt;"",LEFT(C31,6)&lt;&gt;"Riktig",LEFT(C31,5)&lt;&gt;"Skriv")</formula>
    </cfRule>
  </conditionalFormatting>
  <conditionalFormatting sqref="C32">
    <cfRule type="expression" priority="12" aboveAverage="0" equalAverage="0" bottom="0" percent="0" rank="0" text="" dxfId="0">
      <formula>LEFT(C32,6)="Riktig"</formula>
    </cfRule>
    <cfRule type="expression" priority="13" aboveAverage="0" equalAverage="0" bottom="0" percent="0" rank="0" text="" dxfId="1">
      <formula>AND(C32&lt;&gt;"",LEFT(C32,6)&lt;&gt;"Riktig",LEFT(C32,5)&lt;&gt;"Skriv")</formula>
    </cfRule>
  </conditionalFormatting>
  <conditionalFormatting sqref="C33">
    <cfRule type="expression" priority="14" aboveAverage="0" equalAverage="0" bottom="0" percent="0" rank="0" text="" dxfId="0">
      <formula>LEFT(C33,6)="Riktig"</formula>
    </cfRule>
    <cfRule type="expression" priority="15" aboveAverage="0" equalAverage="0" bottom="0" percent="0" rank="0" text="" dxfId="1">
      <formula>AND(C33&lt;&gt;"",LEFT(C33,6)&lt;&gt;"Riktig",LEFT(C33,5)&lt;&gt;"Skriv")</formula>
    </cfRule>
  </conditionalFormatting>
  <conditionalFormatting sqref="C34">
    <cfRule type="expression" priority="16" aboveAverage="0" equalAverage="0" bottom="0" percent="0" rank="0" text="" dxfId="0">
      <formula>LEFT(C34,6)="Riktig"</formula>
    </cfRule>
    <cfRule type="expression" priority="17" aboveAverage="0" equalAverage="0" bottom="0" percent="0" rank="0" text="" dxfId="1">
      <formula>AND(C34&lt;&gt;"",LEFT(C34,6)&lt;&gt;"Riktig",LEFT(C34,5)&lt;&gt;"Skriv")</formula>
    </cfRule>
  </conditionalFormatting>
  <conditionalFormatting sqref="G36">
    <cfRule type="expression" priority="18" aboveAverage="0" equalAverage="0" bottom="0" percent="0" rank="0" text="" dxfId="0">
      <formula>LEFT(G36,6)="Riktig"</formula>
    </cfRule>
    <cfRule type="expression" priority="19" aboveAverage="0" equalAverage="0" bottom="0" percent="0" rank="0" text="" dxfId="1">
      <formula>LEFT(G36,4)="Ikke"</formula>
    </cfRule>
  </conditionalFormatting>
  <conditionalFormatting sqref="G37">
    <cfRule type="expression" priority="20" aboveAverage="0" equalAverage="0" bottom="0" percent="0" rank="0" text="" dxfId="0">
      <formula>LEFT(G37,6)="Riktig"</formula>
    </cfRule>
    <cfRule type="expression" priority="21" aboveAverage="0" equalAverage="0" bottom="0" percent="0" rank="0" text="" dxfId="1">
      <formula>AND(G37&lt;&gt;"",LEFT(G37,6)&lt;&gt;"Riktig",LEFT(G37,5)&lt;&gt;"Skriv")</formula>
    </cfRule>
  </conditionalFormatting>
  <dataValidations count="2">
    <dataValidation allowBlank="true" errorStyle="stop" operator="between" showDropDown="false" showErrorMessage="false" showInputMessage="false" sqref="C36" type="list">
      <formula1>$Z$1:$Z$3</formula1>
      <formula2>0</formula2>
    </dataValidation>
    <dataValidation allowBlank="true" errorStyle="stop" operator="between" showDropDown="false" showErrorMessage="false" showInputMessage="false" sqref="C44"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100</v>
      </c>
    </row>
    <row r="2" customFormat="false" ht="25.5" hidden="false" customHeight="true" outlineLevel="0" collapsed="false">
      <c r="B2" s="5" t="s">
        <v>101</v>
      </c>
      <c r="C2" s="5"/>
      <c r="D2" s="5"/>
      <c r="E2" s="5"/>
      <c r="F2" s="5"/>
      <c r="G2" s="5"/>
      <c r="Z2" s="25" t="s">
        <v>102</v>
      </c>
    </row>
    <row r="3" customFormat="false" ht="15" hidden="false" customHeight="true" outlineLevel="0" collapsed="false">
      <c r="B3" s="6" t="s">
        <v>17</v>
      </c>
      <c r="C3" s="6"/>
      <c r="D3" s="6"/>
      <c r="E3" s="6"/>
      <c r="F3" s="6"/>
      <c r="G3" s="6"/>
      <c r="Z3" s="25" t="s">
        <v>103</v>
      </c>
    </row>
    <row r="4" customFormat="false" ht="15.75" hidden="false" customHeight="true" outlineLevel="0" collapsed="false">
      <c r="B4" s="7" t="s">
        <v>18</v>
      </c>
      <c r="C4" s="7"/>
      <c r="D4" s="7"/>
      <c r="E4" s="7"/>
      <c r="F4" s="7"/>
      <c r="G4" s="7"/>
    </row>
    <row r="5" customFormat="false" ht="60" hidden="false" customHeight="true" outlineLevel="0" collapsed="false">
      <c r="B5" s="8" t="s">
        <v>104</v>
      </c>
      <c r="C5" s="8"/>
      <c r="D5" s="8"/>
      <c r="E5" s="8"/>
      <c r="F5" s="8"/>
      <c r="G5" s="8"/>
    </row>
    <row r="6" customFormat="false" ht="15.75" hidden="false" customHeight="true" outlineLevel="0" collapsed="false">
      <c r="B6" s="7" t="s">
        <v>20</v>
      </c>
      <c r="C6" s="7"/>
      <c r="D6" s="7"/>
      <c r="E6" s="7"/>
      <c r="F6" s="7"/>
      <c r="G6" s="7"/>
    </row>
    <row r="7" customFormat="false" ht="60" hidden="false" customHeight="true" outlineLevel="0" collapsed="false">
      <c r="B7" s="8" t="s">
        <v>105</v>
      </c>
      <c r="C7" s="8"/>
      <c r="D7" s="8"/>
      <c r="E7" s="8"/>
      <c r="F7" s="8"/>
      <c r="G7" s="8"/>
    </row>
    <row r="9" customFormat="false" ht="15.75" hidden="false" customHeight="true" outlineLevel="0" collapsed="false">
      <c r="B9" s="7" t="s">
        <v>22</v>
      </c>
      <c r="C9" s="7"/>
      <c r="D9" s="7"/>
      <c r="E9" s="7"/>
      <c r="F9" s="7"/>
      <c r="G9" s="7"/>
    </row>
    <row r="10" customFormat="false" ht="105" hidden="false" customHeight="true" outlineLevel="0" collapsed="false">
      <c r="B10" s="8" t="s">
        <v>106</v>
      </c>
      <c r="C10" s="8"/>
      <c r="D10" s="8"/>
      <c r="E10" s="8"/>
      <c r="F10" s="8"/>
      <c r="G10" s="8"/>
    </row>
    <row r="12" customFormat="false" ht="15.75" hidden="false" customHeight="true" outlineLevel="0" collapsed="false">
      <c r="B12" s="7" t="s">
        <v>28</v>
      </c>
      <c r="C12" s="7"/>
      <c r="D12" s="7"/>
      <c r="E12" s="7"/>
      <c r="F12" s="7"/>
      <c r="G12" s="7"/>
    </row>
    <row r="13" customFormat="false" ht="45" hidden="false" customHeight="true" outlineLevel="0" collapsed="false">
      <c r="B13" s="8" t="s">
        <v>107</v>
      </c>
      <c r="C13" s="8"/>
      <c r="D13" s="8"/>
      <c r="E13" s="8"/>
      <c r="F13" s="8"/>
      <c r="G13" s="8"/>
    </row>
    <row r="15" customFormat="false" ht="43.5" hidden="false" customHeight="true" outlineLevel="0" collapsed="false">
      <c r="B15" s="13" t="s">
        <v>108</v>
      </c>
      <c r="C15" s="14"/>
      <c r="D15" s="15" t="s">
        <v>31</v>
      </c>
      <c r="G15" s="16" t="str">
        <f aca="false">IF(C15="","Skriv svaret i den gule cellen.",IF(ABS(C15-(22000-23760))&lt;=1,"Riktig.",IF(ABS(C15-(23760-22000))&lt;=1,"Riktig tall, feil fortegn. Pris minus selvkost: 22 000 − 23 760 er negativt, altså tap.",IF(ABS(C15-(22000-19560))&lt;=1,"Du har trukket fra bare de direkte kostnadene. Selvkost er 23 760, med de indirekte.","Ikke riktig ennå. Se på regnestykket øverst på fanen, og sjekk at du har med alle leddene."))))</f>
        <v>Skriv svaret i den gule cellen.</v>
      </c>
    </row>
    <row r="16" customFormat="false" ht="43.5" hidden="false" customHeight="true" outlineLevel="0" collapsed="false">
      <c r="B16" s="13" t="s">
        <v>109</v>
      </c>
      <c r="C16" s="14"/>
      <c r="D16" s="15" t="s">
        <v>31</v>
      </c>
      <c r="G16" s="16" t="str">
        <f aca="false">IF(C16="","Skriv svaret i den gule cellen.",IF(ABS(C16-(22000-19560))&lt;=1,"Riktig.",IF(ABS(C16-(22000-23760))&lt;=1,"Du har trukket fra selvkost. Merkost er de direkte kostnadene, 19 560, fordi Nordlys regner de indirekte som faste.",IF(ABS(C16-(22000-19560-4200))&lt;=1,"Du har trukket fra de indirekte også. De er faste og kommer uansett; dekningsbidraget regnes før dem.","Ikke riktig ennå. Se på regnestykket øverst på fanen, og sjekk at du har med alle leddene."))))</f>
        <v>Skriv svaret i den gule cellen.</v>
      </c>
    </row>
    <row r="17" customFormat="false" ht="43.5" hidden="false" customHeight="true" outlineLevel="0" collapsed="false">
      <c r="B17" s="13" t="s">
        <v>110</v>
      </c>
      <c r="C17" s="27"/>
      <c r="D17" s="15" t="s">
        <v>111</v>
      </c>
      <c r="G17" s="16" t="str">
        <f aca="false">IF(C17="","Skriv svaret i den gule cellen.",IF(ABS(C17-(ROUND((22000-19560)/22000*100,1)))&lt;=0.05,"Riktig.",IF(ABS(C17-(ROUND((22000-19560)/19560*100,1)))&lt;=0.05,"Du har delt på merkost. Dekningsgraden regnes av prisen, 22 000.",IF(ABS(C17-(ROUND((22000-19560)/26611.2*100,1)))&lt;=0.05,"Du har delt på normalprisen. Her er prisen 22 000.","Ikke riktig ennå. Se på regnestykket øverst på fanen, og sjekk at du har med alle leddene."))))</f>
        <v>Skriv svaret i den gule cellen.</v>
      </c>
    </row>
    <row r="18" customFormat="false" ht="43.5" hidden="false" customHeight="true" outlineLevel="0" collapsed="false">
      <c r="B18" s="13" t="s">
        <v>112</v>
      </c>
      <c r="C18" s="14"/>
      <c r="D18" s="15" t="s">
        <v>31</v>
      </c>
      <c r="G18" s="16" t="str">
        <f aca="false">IF(C18="","Skriv svaret i den gule cellen.",IF(ABS(C18-(20*(22000-19560)))&lt;=1,"Riktig.",IF(ABS(C18-(20*(22000-23760)))&lt;=1,"Du har brukt resultatet etter selvkost. Dekningsbidraget er 2 440 per skap, ganger 20.","Ikke riktig ennå. Se på regnestykket øverst på fanen, og sjekk at du har med alle leddene.")))</f>
        <v>Skriv svaret i den gule cellen.</v>
      </c>
    </row>
    <row r="19" customFormat="false" ht="43.5" hidden="false" customHeight="true" outlineLevel="0" collapsed="false">
      <c r="B19" s="13" t="s">
        <v>113</v>
      </c>
      <c r="C19" s="27"/>
      <c r="D19" s="15" t="s">
        <v>111</v>
      </c>
      <c r="G19" s="16" t="str">
        <f aca="false">IF(C19="","Skriv svaret i den gule cellen.",IF(ABS(C19-(ROUND(20*(22000-19560)/(20*4200)*100,1)))&lt;=0.05,"Riktig.",IF(ABS(C19-(ROUND(20*(22000-19560)/(20*23760)*100,1)))&lt;=0.05,"Du har delt på selvkosten. Del på de indirekte kostnadene, 84 000.","Ikke riktig ennå. Se på regnestykket øverst på fanen, og sjekk at du har med alle leddene.")))</f>
        <v>Skriv svaret i den gule cellen.</v>
      </c>
    </row>
    <row r="21" customFormat="false" ht="39.75" hidden="false" customHeight="true" outlineLevel="0" collapsed="false">
      <c r="B21" s="13" t="s">
        <v>114</v>
      </c>
      <c r="C21" s="21"/>
      <c r="G21" s="16" t="str">
        <f aca="false">IF(C21="","Velg i nedtrekksmenyen.",IF(C21="Si nei til 22 000: jobben fortrenger jobber til normalpris","Riktig. Uten ledig kapasitet tar den billige jobben plassen til en jobb til 26 611. Da er alternativet for timene ikke null: hver time som brukes på skapet, koster 890 kr i tapt fakturering (lønna betales uansett). Merkosten blir da 10 600 + 14 × 890 = 23 060 kr, over 22 000, og selvkostkalkylen gjelder.","Ikke riktig. Uten ledig kapasitet tar den billige jobben plassen til en jobb til 26 611. Da er alternativet for timene ikke null: hver time som brukes på skapet, koster 890 kr i tapt fakturering (lønna betales uansett). Merkosten blir da 10 600 + 14 × 890 = 23 060 kr, over 22 000, og selvkostkalkylen gjelder."))</f>
        <v>Velg i nedtrekksmenyen.</v>
      </c>
    </row>
    <row r="23" customFormat="false" ht="30" hidden="false" customHeight="true" outlineLevel="0" collapsed="false">
      <c r="B23" s="8" t="s">
        <v>115</v>
      </c>
      <c r="C23" s="8"/>
      <c r="D23" s="8"/>
      <c r="E23" s="8"/>
      <c r="F23" s="8"/>
      <c r="G23" s="8"/>
    </row>
    <row r="24" customFormat="false" ht="21.75" hidden="false" customHeight="true" outlineLevel="0" collapsed="false">
      <c r="B24" s="18"/>
      <c r="C24" s="18"/>
      <c r="D24" s="18"/>
      <c r="E24" s="18"/>
      <c r="F24" s="18"/>
      <c r="G24" s="18"/>
    </row>
    <row r="25" customFormat="false" ht="21.75" hidden="false" customHeight="true" outlineLevel="0" collapsed="false">
      <c r="B25" s="18"/>
      <c r="C25" s="18"/>
      <c r="D25" s="18"/>
      <c r="E25" s="18"/>
      <c r="F25" s="18"/>
      <c r="G25" s="18"/>
    </row>
    <row r="26" customFormat="false" ht="21.75" hidden="false" customHeight="true" outlineLevel="0" collapsed="false">
      <c r="B26" s="18"/>
      <c r="C26" s="18"/>
      <c r="D26" s="18"/>
      <c r="E26" s="18"/>
      <c r="F26" s="18"/>
      <c r="G26" s="18"/>
    </row>
    <row r="27" customFormat="false" ht="39.75" hidden="false" customHeight="true" outlineLevel="0" collapsed="false">
      <c r="B27" s="19" t="str">
        <f aca="false">IF(LEN(B24)&lt;40,"",IF(AND(ISNUMBER(SEARCH("faste",B24)),ISNUMBER(SEARCH("ledig",B24))),"Bra: du har med både de faste kostnadene og ledig kapasitet. I august, med montører som ellers står ledige, gir hvert skap 11 400 kr mer enn det koster, fordi lønna betales uansett. Men som fast pris er 22 000 for lite: etter bokas kalkyle dekker 2 440 bare 58 % av de 4 200 hvert skap skal bære, og når kalenderen er full, fortrenger skapet jobber til normalpris.",IF(OR(ISNUMBER(SEARCH("faste",B24)),ISNUMBER(SEARCH("ledig",B24))),"Du er på sporet. Si både at de faste kostnadene må dekkes av hele året (2 440 dekker bare 58 % av 4 200), og at bidragsprisen bare gjelder ved ledig kapasitet.","Tips: i august er lønna betalt uansett, så skapet gir 22 000 − 10 600 = 11 400 kr. Som fast pris hele året dekker 2 440 kr bare 58 % av de 4 200 kr hvert skap skal bære av de faste, og gir null i fortjeneste. Augustprisen er et tilbud ved ledig kapasitet. Normalprisen er 26 611.")))</f>
        <v/>
      </c>
      <c r="C27" s="19"/>
      <c r="D27" s="19"/>
      <c r="E27" s="19"/>
      <c r="F27" s="19"/>
      <c r="G27" s="19"/>
    </row>
    <row r="28" customFormat="false" ht="15" hidden="false" customHeight="false" outlineLevel="0" collapsed="false">
      <c r="B28" s="20" t="s">
        <v>39</v>
      </c>
      <c r="C28" s="21"/>
    </row>
    <row r="29" customFormat="false" ht="45" hidden="false" customHeight="true" outlineLevel="0" collapsed="false">
      <c r="B29" s="22" t="str">
        <f aca="false">IF(C28="JA","Hint: a: 22 000 − 23 760 = −1 760. b: 22 000 − 19 560 = 2 440. c: 2 440 / 22 000 = 11,1 %. d: 20 × 2 440 = 48 800. e: 48 800 / 84 000 = 58,1 %. Med fast lønn og ledige montører: 22 000 − 10 600 = 11 400 per skap, 228 000 for 20 skap.","")</f>
        <v/>
      </c>
      <c r="C29" s="22"/>
      <c r="D29" s="22"/>
      <c r="E29" s="22"/>
      <c r="F29" s="22"/>
      <c r="G29" s="22"/>
    </row>
    <row r="31" customFormat="false" ht="30" hidden="false" customHeight="true" outlineLevel="0" collapsed="false">
      <c r="B31" s="6" t="s">
        <v>40</v>
      </c>
      <c r="C31" s="6"/>
      <c r="D31" s="6"/>
      <c r="E31" s="6"/>
      <c r="F31" s="6"/>
      <c r="G31" s="6"/>
    </row>
  </sheetData>
  <mergeCells count="15">
    <mergeCell ref="B2:G2"/>
    <mergeCell ref="B3:G3"/>
    <mergeCell ref="B4:G4"/>
    <mergeCell ref="B5:G5"/>
    <mergeCell ref="B6:G6"/>
    <mergeCell ref="B7:G7"/>
    <mergeCell ref="B9:G9"/>
    <mergeCell ref="B10:G10"/>
    <mergeCell ref="B12:G12"/>
    <mergeCell ref="B13:G13"/>
    <mergeCell ref="B23:G23"/>
    <mergeCell ref="B24:G26"/>
    <mergeCell ref="B27:G27"/>
    <mergeCell ref="B29:G29"/>
    <mergeCell ref="B31:G31"/>
  </mergeCells>
  <conditionalFormatting sqref="G15">
    <cfRule type="expression" priority="2" aboveAverage="0" equalAverage="0" bottom="0" percent="0" rank="0" text="" dxfId="0">
      <formula>LEFT(G15,6)="Riktig"</formula>
    </cfRule>
    <cfRule type="expression" priority="3" aboveAverage="0" equalAverage="0" bottom="0" percent="0" rank="0" text="" dxfId="1">
      <formula>AND(G15&lt;&gt;"",LEFT(G15,6)&lt;&gt;"Riktig",LEFT(G15,5)&lt;&gt;"Skriv")</formula>
    </cfRule>
  </conditionalFormatting>
  <conditionalFormatting sqref="G16">
    <cfRule type="expression" priority="4" aboveAverage="0" equalAverage="0" bottom="0" percent="0" rank="0" text="" dxfId="0">
      <formula>LEFT(G16,6)="Riktig"</formula>
    </cfRule>
    <cfRule type="expression" priority="5" aboveAverage="0" equalAverage="0" bottom="0" percent="0" rank="0" text="" dxfId="1">
      <formula>AND(G16&lt;&gt;"",LEFT(G16,6)&lt;&gt;"Riktig",LEFT(G16,5)&lt;&gt;"Skriv")</formula>
    </cfRule>
  </conditionalFormatting>
  <conditionalFormatting sqref="G17">
    <cfRule type="expression" priority="6" aboveAverage="0" equalAverage="0" bottom="0" percent="0" rank="0" text="" dxfId="0">
      <formula>LEFT(G17,6)="Riktig"</formula>
    </cfRule>
    <cfRule type="expression" priority="7" aboveAverage="0" equalAverage="0" bottom="0" percent="0" rank="0" text="" dxfId="1">
      <formula>AND(G17&lt;&gt;"",LEFT(G17,6)&lt;&gt;"Riktig",LEFT(G17,5)&lt;&gt;"Skriv")</formula>
    </cfRule>
  </conditionalFormatting>
  <conditionalFormatting sqref="G18">
    <cfRule type="expression" priority="8" aboveAverage="0" equalAverage="0" bottom="0" percent="0" rank="0" text="" dxfId="0">
      <formula>LEFT(G18,6)="Riktig"</formula>
    </cfRule>
    <cfRule type="expression" priority="9" aboveAverage="0" equalAverage="0" bottom="0" percent="0" rank="0" text="" dxfId="1">
      <formula>AND(G18&lt;&gt;"",LEFT(G18,6)&lt;&gt;"Riktig",LEFT(G18,5)&lt;&gt;"Skriv")</formula>
    </cfRule>
  </conditionalFormatting>
  <conditionalFormatting sqref="G19">
    <cfRule type="expression" priority="10" aboveAverage="0" equalAverage="0" bottom="0" percent="0" rank="0" text="" dxfId="0">
      <formula>LEFT(G19,6)="Riktig"</formula>
    </cfRule>
    <cfRule type="expression" priority="11" aboveAverage="0" equalAverage="0" bottom="0" percent="0" rank="0" text="" dxfId="1">
      <formula>AND(G19&lt;&gt;"",LEFT(G19,6)&lt;&gt;"Riktig",LEFT(G19,5)&lt;&gt;"Skriv")</formula>
    </cfRule>
  </conditionalFormatting>
  <conditionalFormatting sqref="G21">
    <cfRule type="expression" priority="12" aboveAverage="0" equalAverage="0" bottom="0" percent="0" rank="0" text="" dxfId="0">
      <formula>LEFT(G21,6)="Riktig"</formula>
    </cfRule>
    <cfRule type="expression" priority="13" aboveAverage="0" equalAverage="0" bottom="0" percent="0" rank="0" text="" dxfId="1">
      <formula>LEFT(G21,4)="Ikke"</formula>
    </cfRule>
  </conditionalFormatting>
  <dataValidations count="2">
    <dataValidation allowBlank="true" errorStyle="stop" operator="between" showDropDown="false" showErrorMessage="false" showInputMessage="false" sqref="C21" type="list">
      <formula1>$Z$1:$Z$3</formula1>
      <formula2>0</formula2>
    </dataValidation>
    <dataValidation allowBlank="true" errorStyle="stop" operator="between" showDropDown="false" showErrorMessage="false" showInputMessage="false" sqref="C28"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116</v>
      </c>
    </row>
    <row r="2" customFormat="false" ht="25.5" hidden="false" customHeight="true" outlineLevel="0" collapsed="false">
      <c r="B2" s="5" t="s">
        <v>117</v>
      </c>
      <c r="C2" s="5"/>
      <c r="D2" s="5"/>
      <c r="E2" s="5"/>
      <c r="F2" s="5"/>
      <c r="G2" s="5"/>
      <c r="Z2" s="25" t="s">
        <v>118</v>
      </c>
    </row>
    <row r="3" customFormat="false" ht="15" hidden="false" customHeight="true" outlineLevel="0" collapsed="false">
      <c r="B3" s="6" t="s">
        <v>17</v>
      </c>
      <c r="C3" s="6"/>
      <c r="D3" s="6"/>
      <c r="E3" s="6"/>
      <c r="F3" s="6"/>
      <c r="G3" s="6"/>
      <c r="Z3" s="25" t="s">
        <v>119</v>
      </c>
    </row>
    <row r="4" customFormat="false" ht="15.75" hidden="false" customHeight="true" outlineLevel="0" collapsed="false">
      <c r="B4" s="7" t="s">
        <v>18</v>
      </c>
      <c r="C4" s="7"/>
      <c r="D4" s="7"/>
      <c r="E4" s="7"/>
      <c r="F4" s="7"/>
      <c r="G4" s="7"/>
    </row>
    <row r="5" customFormat="false" ht="45" hidden="false" customHeight="true" outlineLevel="0" collapsed="false">
      <c r="B5" s="8" t="s">
        <v>120</v>
      </c>
      <c r="C5" s="8"/>
      <c r="D5" s="8"/>
      <c r="E5" s="8"/>
      <c r="F5" s="8"/>
      <c r="G5" s="8"/>
    </row>
    <row r="6" customFormat="false" ht="15.75" hidden="false" customHeight="true" outlineLevel="0" collapsed="false">
      <c r="B6" s="7" t="s">
        <v>20</v>
      </c>
      <c r="C6" s="7"/>
      <c r="D6" s="7"/>
      <c r="E6" s="7"/>
      <c r="F6" s="7"/>
      <c r="G6" s="7"/>
    </row>
    <row r="7" customFormat="false" ht="45" hidden="false" customHeight="true" outlineLevel="0" collapsed="false">
      <c r="B7" s="8" t="s">
        <v>121</v>
      </c>
      <c r="C7" s="8"/>
      <c r="D7" s="8"/>
      <c r="E7" s="8"/>
      <c r="F7" s="8"/>
      <c r="G7" s="8"/>
    </row>
    <row r="9" customFormat="false" ht="15.75" hidden="false" customHeight="true" outlineLevel="0" collapsed="false">
      <c r="B9" s="7" t="s">
        <v>22</v>
      </c>
      <c r="C9" s="7"/>
      <c r="D9" s="7"/>
      <c r="E9" s="7"/>
      <c r="F9" s="7"/>
      <c r="G9" s="7"/>
    </row>
    <row r="10" customFormat="false" ht="75" hidden="false" customHeight="true" outlineLevel="0" collapsed="false">
      <c r="B10" s="8" t="s">
        <v>122</v>
      </c>
      <c r="C10" s="8"/>
      <c r="D10" s="8"/>
      <c r="E10" s="8"/>
      <c r="F10" s="8"/>
      <c r="G10" s="8"/>
    </row>
    <row r="11" customFormat="false" ht="15" hidden="false" customHeight="false" outlineLevel="0" collapsed="false">
      <c r="B11" s="9" t="s">
        <v>123</v>
      </c>
      <c r="C11" s="10" t="s">
        <v>124</v>
      </c>
      <c r="D11" s="10" t="s">
        <v>125</v>
      </c>
      <c r="E11" s="10" t="s">
        <v>126</v>
      </c>
      <c r="F11" s="10" t="s">
        <v>127</v>
      </c>
    </row>
    <row r="12" customFormat="false" ht="15" hidden="false" customHeight="false" outlineLevel="0" collapsed="false">
      <c r="B12" s="11" t="s">
        <v>128</v>
      </c>
      <c r="C12" s="26" t="n">
        <v>8960</v>
      </c>
      <c r="D12" s="17"/>
      <c r="E12" s="17"/>
      <c r="F12" s="27"/>
    </row>
    <row r="13" customFormat="false" ht="15" hidden="false" customHeight="false" outlineLevel="0" collapsed="false">
      <c r="B13" s="11" t="s">
        <v>129</v>
      </c>
      <c r="C13" s="26" t="n">
        <v>9800</v>
      </c>
      <c r="D13" s="26" t="n">
        <v>9800</v>
      </c>
      <c r="E13" s="26" t="n">
        <v>0</v>
      </c>
      <c r="F13" s="26" t="n">
        <v>0</v>
      </c>
    </row>
    <row r="14" customFormat="false" ht="15" hidden="false" customHeight="false" outlineLevel="0" collapsed="false">
      <c r="B14" s="11" t="s">
        <v>130</v>
      </c>
      <c r="C14" s="26" t="n">
        <v>800</v>
      </c>
      <c r="D14" s="26" t="n">
        <v>800</v>
      </c>
      <c r="E14" s="26" t="n">
        <v>0</v>
      </c>
      <c r="F14" s="26" t="n">
        <v>0</v>
      </c>
    </row>
    <row r="15" customFormat="false" ht="15" hidden="false" customHeight="false" outlineLevel="0" collapsed="false">
      <c r="B15" s="11" t="s">
        <v>79</v>
      </c>
      <c r="C15" s="26" t="n">
        <v>19560</v>
      </c>
      <c r="D15" s="17"/>
      <c r="E15" s="17"/>
      <c r="F15" s="27"/>
    </row>
    <row r="16" customFormat="false" ht="15" hidden="false" customHeight="false" outlineLevel="0" collapsed="false">
      <c r="B16" s="11" t="s">
        <v>131</v>
      </c>
      <c r="C16" s="26" t="n">
        <v>4200</v>
      </c>
      <c r="D16" s="26" t="n">
        <v>4200</v>
      </c>
      <c r="E16" s="26" t="n">
        <v>0</v>
      </c>
      <c r="F16" s="26" t="n">
        <v>0</v>
      </c>
    </row>
    <row r="17" customFormat="false" ht="15" hidden="false" customHeight="false" outlineLevel="0" collapsed="false">
      <c r="B17" s="11" t="s">
        <v>81</v>
      </c>
      <c r="C17" s="26" t="n">
        <v>23760</v>
      </c>
      <c r="D17" s="17"/>
      <c r="E17" s="17"/>
      <c r="F17" s="27"/>
    </row>
    <row r="18" customFormat="false" ht="15" hidden="false" customHeight="false" outlineLevel="0" collapsed="false">
      <c r="B18" s="11" t="s">
        <v>132</v>
      </c>
      <c r="C18" s="26" t="n">
        <v>26611.2</v>
      </c>
      <c r="D18" s="26" t="n">
        <v>26611.2</v>
      </c>
      <c r="E18" s="26"/>
      <c r="F18" s="26"/>
    </row>
    <row r="19" customFormat="false" ht="15" hidden="false" customHeight="false" outlineLevel="0" collapsed="false">
      <c r="B19" s="11" t="s">
        <v>133</v>
      </c>
      <c r="C19" s="26" t="n">
        <v>2851.2</v>
      </c>
      <c r="D19" s="17"/>
      <c r="E19" s="17"/>
      <c r="F19" s="26"/>
    </row>
    <row r="21" customFormat="false" ht="15.75" hidden="false" customHeight="true" outlineLevel="0" collapsed="false">
      <c r="B21" s="7" t="s">
        <v>28</v>
      </c>
      <c r="C21" s="7"/>
      <c r="D21" s="7"/>
      <c r="E21" s="7"/>
      <c r="F21" s="7"/>
      <c r="G21" s="7"/>
    </row>
    <row r="22" customFormat="false" ht="45" hidden="false" customHeight="true" outlineLevel="0" collapsed="false">
      <c r="B22" s="8" t="s">
        <v>134</v>
      </c>
      <c r="C22" s="8"/>
      <c r="D22" s="8"/>
      <c r="E22" s="8"/>
      <c r="F22" s="8"/>
      <c r="G22" s="8"/>
    </row>
    <row r="24" customFormat="false" ht="15" hidden="false" customHeight="false" outlineLevel="0" collapsed="false">
      <c r="B24" s="23" t="s">
        <v>135</v>
      </c>
    </row>
    <row r="25" customFormat="false" ht="36" hidden="false" customHeight="true" outlineLevel="0" collapsed="false">
      <c r="B25" s="0" t="s">
        <v>136</v>
      </c>
      <c r="C25" s="24" t="str">
        <f aca="false">IF(D12="","Skriv svaret i cellen D12.",IF(D12=(19*640),"Riktig.",IF(ABS(D12-(5*640))&lt;=0,"Det er bare de fem ekstra timene. Etterkalkylen viser hele kostnaden: 19 × 640.",IF(ABS(D12-(19*890))&lt;=0,"Du har brukt timeprisen. I kalkylen er direkte lønn 640 kr per time.","Ikke riktig ennå. 19 timer ganger 640 kr."))))</f>
        <v>Skriv svaret i cellen D12.</v>
      </c>
      <c r="D25" s="24"/>
      <c r="E25" s="24"/>
      <c r="F25" s="24"/>
      <c r="G25" s="24"/>
    </row>
    <row r="26" customFormat="false" ht="36" hidden="false" customHeight="true" outlineLevel="0" collapsed="false">
      <c r="B26" s="0" t="s">
        <v>137</v>
      </c>
      <c r="C26" s="24" t="str">
        <f aca="false">IF(E12="","Skriv svaret i cellen E12.",IF(E12=(8960-19*640),"Riktig.",IF(ABS(E12-(19*640-8960))&lt;=0,"Riktig tall, feil fortegn. Forkalkyle minus etterkalkyle; kostnaden ble høyere, så avviket er negativt.","Ikke riktig ennå. Forkalkyle 8 960 minus etterkalkyle 12 160.")))</f>
        <v>Skriv svaret i cellen E12.</v>
      </c>
      <c r="D26" s="24"/>
      <c r="E26" s="24"/>
      <c r="F26" s="24"/>
      <c r="G26" s="24"/>
    </row>
    <row r="27" customFormat="false" ht="36" hidden="false" customHeight="true" outlineLevel="0" collapsed="false">
      <c r="B27" s="0" t="s">
        <v>138</v>
      </c>
      <c r="C27" s="24" t="str">
        <f aca="false">IF(F12="","Skriv svaret i cellen F12.",IF(ABS(F12-(ROUND((8960-19*640)/8960*100,1)))&lt;=0.05,"Riktig.",IF(ABS(F12-(ROUND((8960-19*640)/(19*640)*100,1)))&lt;=0.05,"Du har delt på etterkalkylen. Avvik i prosent regnes av forkalkylen, 8 960.",IF(ABS(F12-(ROUND((19*640-8960)/8960*100,1)))&lt;=0.05,"Riktig tall, feil fortegn. Kostnaden ble høyere, så avviket er negativt.","Ikke riktig ennå. Avviket i kroner delt på forkalkylen 8 960, ganger 100."))))</f>
        <v>Skriv svaret i cellen F12.</v>
      </c>
      <c r="D27" s="24"/>
      <c r="E27" s="24"/>
      <c r="F27" s="24"/>
      <c r="G27" s="24"/>
    </row>
    <row r="28" customFormat="false" ht="36" hidden="false" customHeight="true" outlineLevel="0" collapsed="false">
      <c r="B28" s="0" t="s">
        <v>139</v>
      </c>
      <c r="C28" s="24" t="str">
        <f aca="false">IF(D15="","Skriv svaret i cellen D15.",IF(D15=(19*640+9800+800),"Riktig.",IF(ABS(D15-(19*640+9800))&lt;=0,"Du har glemt kjøringen, 800.","Ikke riktig ennå. 12 160 + 9 800 + 800.")))</f>
        <v>Skriv svaret i cellen D15.</v>
      </c>
      <c r="D28" s="24"/>
      <c r="E28" s="24"/>
      <c r="F28" s="24"/>
      <c r="G28" s="24"/>
    </row>
    <row r="29" customFormat="false" ht="36" hidden="false" customHeight="true" outlineLevel="0" collapsed="false">
      <c r="B29" s="0" t="s">
        <v>140</v>
      </c>
      <c r="C29" s="24" t="str">
        <f aca="false">IF(E15="","Skriv svaret i cellen E15.",IF(E15=(19560-(19*640+9800+800)),"Riktig.",IF(ABS(E15-((19*640+9800+800)-19560))&lt;=0,"Riktig tall, feil fortegn: forkalkyle minus etterkalkyle.","Ikke riktig ennå. 19 560 minus 22 760.")))</f>
        <v>Skriv svaret i cellen E15.</v>
      </c>
      <c r="D29" s="24"/>
      <c r="E29" s="24"/>
      <c r="F29" s="24"/>
      <c r="G29" s="24"/>
    </row>
    <row r="30" customFormat="false" ht="36" hidden="false" customHeight="true" outlineLevel="0" collapsed="false">
      <c r="B30" s="0" t="s">
        <v>141</v>
      </c>
      <c r="C30" s="24" t="str">
        <f aca="false">IF(F15="","Skriv svaret i cellen F15.",IF(ABS(F15-(ROUND((19560-(19*640+9800+800))/19560*100,1)))&lt;=0.05,"Riktig.",IF(ABS(F15-(ROUND((19560-(19*640+9800+800))/8960*100,1)))&lt;=0.05,"Du har delt på direkte lønn. Del på forkalkylens sum direkte, 19 560.","Ikke riktig ennå. −3 200 delt på 19 560, ganger 100.")))</f>
        <v>Skriv svaret i cellen F15.</v>
      </c>
      <c r="D30" s="24"/>
      <c r="E30" s="24"/>
      <c r="F30" s="24"/>
      <c r="G30" s="24"/>
    </row>
    <row r="31" customFormat="false" ht="36" hidden="false" customHeight="true" outlineLevel="0" collapsed="false">
      <c r="B31" s="0" t="s">
        <v>142</v>
      </c>
      <c r="C31" s="24" t="str">
        <f aca="false">IF(D17="","Skriv svaret i cellen D17.",IF(D17=(19*640+9800+800+4200),"Riktig.",IF(ABS(D17-(19*640+9800+800+19*300))&lt;=0,"Du har økt de indirekte med timene. Nordlys legger dem på som fast beløp per skap, 4 200, så de står stille.","Ikke riktig ennå. Sum direkte 22 760 pluss indirekte 4 200.")))</f>
        <v>Skriv svaret i cellen D17.</v>
      </c>
      <c r="D31" s="24"/>
      <c r="E31" s="24"/>
      <c r="F31" s="24"/>
      <c r="G31" s="24"/>
    </row>
    <row r="32" customFormat="false" ht="36" hidden="false" customHeight="true" outlineLevel="0" collapsed="false">
      <c r="B32" s="0" t="s">
        <v>143</v>
      </c>
      <c r="C32" s="24" t="str">
        <f aca="false">IF(E17="","Skriv svaret i cellen E17.",IF(E17=(23760-(19*640+9800+800+4200)),"Riktig.",IF(ABS(E17-((19*640+9800+800+4200)-23760))&lt;=0,"Riktig tall, feil fortegn: forkalkyle minus etterkalkyle.","Ikke riktig ennå. 23 760 minus 26 960.")))</f>
        <v>Skriv svaret i cellen E17.</v>
      </c>
      <c r="D32" s="24"/>
      <c r="E32" s="24"/>
      <c r="F32" s="24"/>
      <c r="G32" s="24"/>
    </row>
    <row r="33" customFormat="false" ht="36" hidden="false" customHeight="true" outlineLevel="0" collapsed="false">
      <c r="B33" s="0" t="s">
        <v>144</v>
      </c>
      <c r="C33" s="24" t="str">
        <f aca="false">IF(F17="","Skriv svaret i cellen F17.",IF(ABS(F17-(ROUND((23760-(19*640+9800+800+4200))/23760*100,1)))&lt;=0.05,"Riktig.","Ikke riktig ennå. −3 200 delt på 23 760, ganger 100."))</f>
        <v>Skriv svaret i cellen F17.</v>
      </c>
      <c r="D33" s="24"/>
      <c r="E33" s="24"/>
      <c r="F33" s="24"/>
      <c r="G33" s="24"/>
    </row>
    <row r="34" customFormat="false" ht="36" hidden="false" customHeight="true" outlineLevel="0" collapsed="false">
      <c r="B34" s="0" t="s">
        <v>145</v>
      </c>
      <c r="C34" s="24" t="str">
        <f aca="false">IF(D19="","Skriv svaret i cellen D19.",IF(ABS(D19-(26611.2-(19*640+9800+800+4200)))&lt;=0.01,"Riktig.",IF(ABS(D19-((19*640+9800+800+4200)-26611.2))&lt;=0.01,"Feil fortegn. Fortjeneste er pris minus selvkost; prisen er lavere enn selvkosten, så fortjenesten er negativ.",IF(ABS(D19-(2851.2))&lt;=0.01,"Det er forkalkylens fortjeneste. Prisen er den samme, men selvkosten steg til 26 960.","Ikke riktig ennå. Fastpris 26 611,20 minus selvkost 26 960."))))</f>
        <v>Skriv svaret i cellen D19.</v>
      </c>
      <c r="D34" s="24"/>
      <c r="E34" s="24"/>
      <c r="F34" s="24"/>
      <c r="G34" s="24"/>
    </row>
    <row r="35" customFormat="false" ht="36" hidden="false" customHeight="true" outlineLevel="0" collapsed="false">
      <c r="B35" s="0" t="s">
        <v>146</v>
      </c>
      <c r="C35" s="24" t="str">
        <f aca="false">IF(E19="","Skriv svaret i cellen E19.",IF(ABS(E19-((26611.2-(19*640+9800+800+4200))-2851.2))&lt;=0.01,"Riktig.",IF(ABS(E19-(2851.2-(26611.2-(19*640+9800+800+4200))))&lt;=0.01,"Riktig tall, feil fortegn. For fortjenesten er avviket etterkalkyle minus forkalkyle, slik at minus alltid betyr dårligere.","Ikke riktig ennå. Etterkalkylens fortjeneste −348,80 minus forkalkylens 2 851,20.")))</f>
        <v>Skriv svaret i cellen E19.</v>
      </c>
      <c r="D35" s="24"/>
      <c r="E35" s="24"/>
      <c r="F35" s="24"/>
      <c r="G35" s="24"/>
    </row>
    <row r="37" customFormat="false" ht="39.75" hidden="false" customHeight="true" outlineLevel="0" collapsed="false">
      <c r="B37" s="13" t="s">
        <v>147</v>
      </c>
      <c r="C37" s="21"/>
      <c r="G37" s="16" t="str">
        <f aca="false">IF(C37="","Velg i nedtrekksmenyen.",IF(C37="Kostnaden ble høyere enn kalkulert","Riktig. Forkalkyle minus etterkalkyle er negativt når jobben kostet mer enn anslått. Ved fastpris går det rett ut av fortjenesten.","Ikke riktig. Forkalkyle minus etterkalkyle er negativt når jobben kostet mer enn anslått. Ved fastpris går det rett ut av fortjenesten."))</f>
        <v>Velg i nedtrekksmenyen.</v>
      </c>
    </row>
    <row r="38" customFormat="false" ht="43.5" hidden="false" customHeight="true" outlineLevel="0" collapsed="false">
      <c r="B38" s="13" t="s">
        <v>148</v>
      </c>
      <c r="C38" s="14"/>
      <c r="D38" s="15" t="s">
        <v>31</v>
      </c>
      <c r="G38" s="16" t="str">
        <f aca="false">IF(C38="","Skriv svaret i den gule cellen.",IF(ABS(C38-(26960*1.12*1.25))&lt;=1,"Riktig.",IF(ABS(C38-(26960*1.25))&lt;=1,"Du har glemt fortjenesten på 12 %. Pris uten merverdiavgift er selvkost × 1,12 først.",IF(ABS(C38-(26960*1.12))&lt;=1,"Det er prisen uten merverdiavgift. Legg på 25 %.","Ikke riktig ennå. Se på regnestykket øverst på fanen, og sjekk at du har med alle leddene."))))</f>
        <v>Skriv svaret i den gule cellen.</v>
      </c>
    </row>
    <row r="40" customFormat="false" ht="30" hidden="false" customHeight="true" outlineLevel="0" collapsed="false">
      <c r="B40" s="8" t="s">
        <v>149</v>
      </c>
      <c r="C40" s="8"/>
      <c r="D40" s="8"/>
      <c r="E40" s="8"/>
      <c r="F40" s="8"/>
      <c r="G40" s="8"/>
    </row>
    <row r="41" customFormat="false" ht="21.75" hidden="false" customHeight="true" outlineLevel="0" collapsed="false">
      <c r="B41" s="18"/>
      <c r="C41" s="18"/>
      <c r="D41" s="18"/>
      <c r="E41" s="18"/>
      <c r="F41" s="18"/>
      <c r="G41" s="18"/>
    </row>
    <row r="42" customFormat="false" ht="21.75" hidden="false" customHeight="true" outlineLevel="0" collapsed="false">
      <c r="B42" s="18"/>
      <c r="C42" s="18"/>
      <c r="D42" s="18"/>
      <c r="E42" s="18"/>
      <c r="F42" s="18"/>
      <c r="G42" s="18"/>
    </row>
    <row r="43" customFormat="false" ht="21.75" hidden="false" customHeight="true" outlineLevel="0" collapsed="false">
      <c r="B43" s="18"/>
      <c r="C43" s="18"/>
      <c r="D43" s="18"/>
      <c r="E43" s="18"/>
      <c r="F43" s="18"/>
      <c r="G43" s="18"/>
    </row>
    <row r="44" customFormat="false" ht="39.75" hidden="false" customHeight="true" outlineLevel="0" collapsed="false">
      <c r="B44" s="19" t="str">
        <f aca="false">IF(LEN(B41)&lt;40,"",IF(AND(ISNUMBER(SEARCH("timer",B41)),ISNUMBER(SEARCH("pris",B41))),"Bra: du har med både timene og prisen. Enten skrives forkalkylen om med 19 timer (37 744 kr med merverdiavgift, 13,5 % høyere), eller timene må ned med befaring og ferdig plukket materiell. Finn årsaken først: i eldre boliger er det ofte jording som må utbedres og overspenningsvern som må monteres, og det tas forbehold om i fastprisen.",IF(OR(ISNUMBER(SEARCH("timer",B41)),ISNUMBER(SEARCH("pris",B41))),"Du er på sporet. Ta med både forkalkylen (19 timer gir 37 744 kr) og gjennomføringen (befaring, ferdig plukket materiell), og si hvilken som gjelder.","Tips: 19 timer i forkalkylen gir 37 744 kr med merverdiavgift, 13,5 % høyere. Eller få timene ned: befaring, ferdig plukket materiell, én tur til grossisten. Var det gammelt anlegg eller dårlig planlegging? Svaret avgjør. I eldre boliger er det ofte jording som må utbedres og overspenningsvern som må monteres; ta forbehold om det i fastprisen.")))</f>
        <v/>
      </c>
      <c r="C44" s="19"/>
      <c r="D44" s="19"/>
      <c r="E44" s="19"/>
      <c r="F44" s="19"/>
      <c r="G44" s="19"/>
    </row>
    <row r="45" customFormat="false" ht="15" hidden="false" customHeight="false" outlineLevel="0" collapsed="false">
      <c r="B45" s="20" t="s">
        <v>39</v>
      </c>
      <c r="C45" s="21"/>
    </row>
    <row r="46" customFormat="false" ht="45" hidden="false" customHeight="true" outlineLevel="0" collapsed="false">
      <c r="B46" s="22" t="str">
        <f aca="false">IF(C45="JA","Hint: Direkte lønn 19 × 640 = 12 160; avvik 8 960 − 12 160 = −3 200, −35,7 %. Sum direkte 22 760; avvik −3 200, −16,4 %. Selvkost 26 960; avvik −3 200, −13,5 %. Fortjeneste 26 611,20 − 26 960 = −348,80; avvik −3 200. d: 26 960 × 1,12 × 1,25 = 37 744.","")</f>
        <v/>
      </c>
      <c r="C46" s="22"/>
      <c r="D46" s="22"/>
      <c r="E46" s="22"/>
      <c r="F46" s="22"/>
      <c r="G46" s="22"/>
    </row>
    <row r="48" customFormat="false" ht="30" hidden="false" customHeight="true" outlineLevel="0" collapsed="false">
      <c r="B48" s="6" t="s">
        <v>40</v>
      </c>
      <c r="C48" s="6"/>
      <c r="D48" s="6"/>
      <c r="E48" s="6"/>
      <c r="F48" s="6"/>
      <c r="G48" s="6"/>
    </row>
  </sheetData>
  <mergeCells count="26">
    <mergeCell ref="B2:G2"/>
    <mergeCell ref="B3:G3"/>
    <mergeCell ref="B4:G4"/>
    <mergeCell ref="B5:G5"/>
    <mergeCell ref="B6:G6"/>
    <mergeCell ref="B7:G7"/>
    <mergeCell ref="B9:G9"/>
    <mergeCell ref="B10:G10"/>
    <mergeCell ref="B21:G21"/>
    <mergeCell ref="B22:G22"/>
    <mergeCell ref="C25:G25"/>
    <mergeCell ref="C26:G26"/>
    <mergeCell ref="C27:G27"/>
    <mergeCell ref="C28:G28"/>
    <mergeCell ref="C29:G29"/>
    <mergeCell ref="C30:G30"/>
    <mergeCell ref="C31:G31"/>
    <mergeCell ref="C32:G32"/>
    <mergeCell ref="C33:G33"/>
    <mergeCell ref="C34:G34"/>
    <mergeCell ref="C35:G35"/>
    <mergeCell ref="B40:G40"/>
    <mergeCell ref="B41:G43"/>
    <mergeCell ref="B44:G44"/>
    <mergeCell ref="B46:G46"/>
    <mergeCell ref="B48:G48"/>
  </mergeCells>
  <conditionalFormatting sqref="C25">
    <cfRule type="expression" priority="2" aboveAverage="0" equalAverage="0" bottom="0" percent="0" rank="0" text="" dxfId="0">
      <formula>LEFT(C25,6)="Riktig"</formula>
    </cfRule>
    <cfRule type="expression" priority="3" aboveAverage="0" equalAverage="0" bottom="0" percent="0" rank="0" text="" dxfId="1">
      <formula>AND(C25&lt;&gt;"",LEFT(C25,6)&lt;&gt;"Riktig",LEFT(C25,5)&lt;&gt;"Skriv")</formula>
    </cfRule>
  </conditionalFormatting>
  <conditionalFormatting sqref="C26">
    <cfRule type="expression" priority="4" aboveAverage="0" equalAverage="0" bottom="0" percent="0" rank="0" text="" dxfId="0">
      <formula>LEFT(C26,6)="Riktig"</formula>
    </cfRule>
    <cfRule type="expression" priority="5" aboveAverage="0" equalAverage="0" bottom="0" percent="0" rank="0" text="" dxfId="1">
      <formula>AND(C26&lt;&gt;"",LEFT(C26,6)&lt;&gt;"Riktig",LEFT(C26,5)&lt;&gt;"Skriv")</formula>
    </cfRule>
  </conditionalFormatting>
  <conditionalFormatting sqref="C27">
    <cfRule type="expression" priority="6" aboveAverage="0" equalAverage="0" bottom="0" percent="0" rank="0" text="" dxfId="0">
      <formula>LEFT(C27,6)="Riktig"</formula>
    </cfRule>
    <cfRule type="expression" priority="7" aboveAverage="0" equalAverage="0" bottom="0" percent="0" rank="0" text="" dxfId="1">
      <formula>AND(C27&lt;&gt;"",LEFT(C27,6)&lt;&gt;"Riktig",LEFT(C27,5)&lt;&gt;"Skriv")</formula>
    </cfRule>
  </conditionalFormatting>
  <conditionalFormatting sqref="C28">
    <cfRule type="expression" priority="8" aboveAverage="0" equalAverage="0" bottom="0" percent="0" rank="0" text="" dxfId="0">
      <formula>LEFT(C28,6)="Riktig"</formula>
    </cfRule>
    <cfRule type="expression" priority="9" aboveAverage="0" equalAverage="0" bottom="0" percent="0" rank="0" text="" dxfId="1">
      <formula>AND(C28&lt;&gt;"",LEFT(C28,6)&lt;&gt;"Riktig",LEFT(C28,5)&lt;&gt;"Skriv")</formula>
    </cfRule>
  </conditionalFormatting>
  <conditionalFormatting sqref="C29">
    <cfRule type="expression" priority="10" aboveAverage="0" equalAverage="0" bottom="0" percent="0" rank="0" text="" dxfId="0">
      <formula>LEFT(C29,6)="Riktig"</formula>
    </cfRule>
    <cfRule type="expression" priority="11" aboveAverage="0" equalAverage="0" bottom="0" percent="0" rank="0" text="" dxfId="1">
      <formula>AND(C29&lt;&gt;"",LEFT(C29,6)&lt;&gt;"Riktig",LEFT(C29,5)&lt;&gt;"Skriv")</formula>
    </cfRule>
  </conditionalFormatting>
  <conditionalFormatting sqref="C30">
    <cfRule type="expression" priority="12" aboveAverage="0" equalAverage="0" bottom="0" percent="0" rank="0" text="" dxfId="0">
      <formula>LEFT(C30,6)="Riktig"</formula>
    </cfRule>
    <cfRule type="expression" priority="13" aboveAverage="0" equalAverage="0" bottom="0" percent="0" rank="0" text="" dxfId="1">
      <formula>AND(C30&lt;&gt;"",LEFT(C30,6)&lt;&gt;"Riktig",LEFT(C30,5)&lt;&gt;"Skriv")</formula>
    </cfRule>
  </conditionalFormatting>
  <conditionalFormatting sqref="C31">
    <cfRule type="expression" priority="14" aboveAverage="0" equalAverage="0" bottom="0" percent="0" rank="0" text="" dxfId="0">
      <formula>LEFT(C31,6)="Riktig"</formula>
    </cfRule>
    <cfRule type="expression" priority="15" aboveAverage="0" equalAverage="0" bottom="0" percent="0" rank="0" text="" dxfId="1">
      <formula>AND(C31&lt;&gt;"",LEFT(C31,6)&lt;&gt;"Riktig",LEFT(C31,5)&lt;&gt;"Skriv")</formula>
    </cfRule>
  </conditionalFormatting>
  <conditionalFormatting sqref="C32">
    <cfRule type="expression" priority="16" aboveAverage="0" equalAverage="0" bottom="0" percent="0" rank="0" text="" dxfId="0">
      <formula>LEFT(C32,6)="Riktig"</formula>
    </cfRule>
    <cfRule type="expression" priority="17" aboveAverage="0" equalAverage="0" bottom="0" percent="0" rank="0" text="" dxfId="1">
      <formula>AND(C32&lt;&gt;"",LEFT(C32,6)&lt;&gt;"Riktig",LEFT(C32,5)&lt;&gt;"Skriv")</formula>
    </cfRule>
  </conditionalFormatting>
  <conditionalFormatting sqref="C33">
    <cfRule type="expression" priority="18" aboveAverage="0" equalAverage="0" bottom="0" percent="0" rank="0" text="" dxfId="0">
      <formula>LEFT(C33,6)="Riktig"</formula>
    </cfRule>
    <cfRule type="expression" priority="19" aboveAverage="0" equalAverage="0" bottom="0" percent="0" rank="0" text="" dxfId="1">
      <formula>AND(C33&lt;&gt;"",LEFT(C33,6)&lt;&gt;"Riktig",LEFT(C33,5)&lt;&gt;"Skriv")</formula>
    </cfRule>
  </conditionalFormatting>
  <conditionalFormatting sqref="C34">
    <cfRule type="expression" priority="20" aboveAverage="0" equalAverage="0" bottom="0" percent="0" rank="0" text="" dxfId="0">
      <formula>LEFT(C34,6)="Riktig"</formula>
    </cfRule>
    <cfRule type="expression" priority="21" aboveAverage="0" equalAverage="0" bottom="0" percent="0" rank="0" text="" dxfId="1">
      <formula>AND(C34&lt;&gt;"",LEFT(C34,6)&lt;&gt;"Riktig",LEFT(C34,5)&lt;&gt;"Skriv")</formula>
    </cfRule>
  </conditionalFormatting>
  <conditionalFormatting sqref="C35">
    <cfRule type="expression" priority="22" aboveAverage="0" equalAverage="0" bottom="0" percent="0" rank="0" text="" dxfId="0">
      <formula>LEFT(C35,6)="Riktig"</formula>
    </cfRule>
    <cfRule type="expression" priority="23" aboveAverage="0" equalAverage="0" bottom="0" percent="0" rank="0" text="" dxfId="1">
      <formula>AND(C35&lt;&gt;"",LEFT(C35,6)&lt;&gt;"Riktig",LEFT(C35,5)&lt;&gt;"Skriv")</formula>
    </cfRule>
  </conditionalFormatting>
  <conditionalFormatting sqref="G37">
    <cfRule type="expression" priority="24" aboveAverage="0" equalAverage="0" bottom="0" percent="0" rank="0" text="" dxfId="0">
      <formula>LEFT(G37,6)="Riktig"</formula>
    </cfRule>
    <cfRule type="expression" priority="25" aboveAverage="0" equalAverage="0" bottom="0" percent="0" rank="0" text="" dxfId="1">
      <formula>LEFT(G37,4)="Ikke"</formula>
    </cfRule>
  </conditionalFormatting>
  <conditionalFormatting sqref="G38">
    <cfRule type="expression" priority="26" aboveAverage="0" equalAverage="0" bottom="0" percent="0" rank="0" text="" dxfId="0">
      <formula>LEFT(G38,6)="Riktig"</formula>
    </cfRule>
    <cfRule type="expression" priority="27" aboveAverage="0" equalAverage="0" bottom="0" percent="0" rank="0" text="" dxfId="1">
      <formula>AND(G38&lt;&gt;"",LEFT(G38,6)&lt;&gt;"Riktig",LEFT(G38,5)&lt;&gt;"Skriv")</formula>
    </cfRule>
  </conditionalFormatting>
  <dataValidations count="2">
    <dataValidation allowBlank="true" errorStyle="stop" operator="between" showDropDown="false" showErrorMessage="false" showInputMessage="false" sqref="C37" type="list">
      <formula1>$Z$1:$Z$3</formula1>
      <formula2>0</formula2>
    </dataValidation>
    <dataValidation allowBlank="true" errorStyle="stop" operator="between" showDropDown="false" showErrorMessage="false" showInputMessage="false" sqref="C45"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150</v>
      </c>
    </row>
    <row r="2" customFormat="false" ht="25.5" hidden="false" customHeight="true" outlineLevel="0" collapsed="false">
      <c r="B2" s="5" t="s">
        <v>151</v>
      </c>
      <c r="C2" s="5"/>
      <c r="D2" s="5"/>
      <c r="E2" s="5"/>
      <c r="F2" s="5"/>
      <c r="G2" s="5"/>
      <c r="Z2" s="25" t="s">
        <v>152</v>
      </c>
    </row>
    <row r="3" customFormat="false" ht="15" hidden="false" customHeight="true" outlineLevel="0" collapsed="false">
      <c r="B3" s="6" t="s">
        <v>17</v>
      </c>
      <c r="C3" s="6"/>
      <c r="D3" s="6"/>
      <c r="E3" s="6"/>
      <c r="F3" s="6"/>
      <c r="G3" s="6"/>
      <c r="Z3" s="25" t="s">
        <v>153</v>
      </c>
    </row>
    <row r="4" customFormat="false" ht="15.75" hidden="false" customHeight="true" outlineLevel="0" collapsed="false">
      <c r="B4" s="7" t="s">
        <v>18</v>
      </c>
      <c r="C4" s="7"/>
      <c r="D4" s="7"/>
      <c r="E4" s="7"/>
      <c r="F4" s="7"/>
      <c r="G4" s="7"/>
    </row>
    <row r="5" customFormat="false" ht="45" hidden="false" customHeight="true" outlineLevel="0" collapsed="false">
      <c r="B5" s="8" t="s">
        <v>154</v>
      </c>
      <c r="C5" s="8"/>
      <c r="D5" s="8"/>
      <c r="E5" s="8"/>
      <c r="F5" s="8"/>
      <c r="G5" s="8"/>
    </row>
    <row r="6" customFormat="false" ht="15.75" hidden="false" customHeight="true" outlineLevel="0" collapsed="false">
      <c r="B6" s="7" t="s">
        <v>20</v>
      </c>
      <c r="C6" s="7"/>
      <c r="D6" s="7"/>
      <c r="E6" s="7"/>
      <c r="F6" s="7"/>
      <c r="G6" s="7"/>
    </row>
    <row r="7" customFormat="false" ht="45" hidden="false" customHeight="true" outlineLevel="0" collapsed="false">
      <c r="B7" s="8" t="s">
        <v>155</v>
      </c>
      <c r="C7" s="8"/>
      <c r="D7" s="8"/>
      <c r="E7" s="8"/>
      <c r="F7" s="8"/>
      <c r="G7" s="8"/>
    </row>
    <row r="9" customFormat="false" ht="15.75" hidden="false" customHeight="true" outlineLevel="0" collapsed="false">
      <c r="B9" s="7" t="s">
        <v>22</v>
      </c>
      <c r="C9" s="7"/>
      <c r="D9" s="7"/>
      <c r="E9" s="7"/>
      <c r="F9" s="7"/>
      <c r="G9" s="7"/>
    </row>
    <row r="10" customFormat="false" ht="60" hidden="false" customHeight="true" outlineLevel="0" collapsed="false">
      <c r="B10" s="8" t="s">
        <v>156</v>
      </c>
      <c r="C10" s="8"/>
      <c r="D10" s="8"/>
      <c r="E10" s="8"/>
      <c r="F10" s="8"/>
      <c r="G10" s="8"/>
    </row>
    <row r="12" customFormat="false" ht="15.75" hidden="false" customHeight="true" outlineLevel="0" collapsed="false">
      <c r="B12" s="7" t="s">
        <v>28</v>
      </c>
      <c r="C12" s="7"/>
      <c r="D12" s="7"/>
      <c r="E12" s="7"/>
      <c r="F12" s="7"/>
      <c r="G12" s="7"/>
    </row>
    <row r="13" customFormat="false" ht="60" hidden="false" customHeight="true" outlineLevel="0" collapsed="false">
      <c r="B13" s="8" t="s">
        <v>157</v>
      </c>
      <c r="C13" s="8"/>
      <c r="D13" s="8"/>
      <c r="E13" s="8"/>
      <c r="F13" s="8"/>
      <c r="G13" s="8"/>
    </row>
    <row r="15" customFormat="false" ht="43.5" hidden="false" customHeight="true" outlineLevel="0" collapsed="false">
      <c r="B15" s="13" t="s">
        <v>158</v>
      </c>
      <c r="C15" s="14"/>
      <c r="D15" s="15" t="s">
        <v>31</v>
      </c>
      <c r="G15" s="16" t="str">
        <f aca="false">IF(C15="","Skriv svaret i den gule cellen.",IF(ABS(C15-(68000+3200))&lt;=1,"Riktig.",IF(ABS(C15-(68000))&lt;=1,"Du har glemt frakten. Inntakskost er innkjøpspris pluss frakt, forsikring og toll.","Ikke riktig ennå. Se på regnestykket øverst på fanen, og sjekk at du har med alle leddene.")))</f>
        <v>Skriv svaret i den gule cellen.</v>
      </c>
    </row>
    <row r="16" customFormat="false" ht="43.5" hidden="false" customHeight="true" outlineLevel="0" collapsed="false">
      <c r="B16" s="13" t="s">
        <v>159</v>
      </c>
      <c r="C16" s="14"/>
      <c r="D16" s="15" t="s">
        <v>31</v>
      </c>
      <c r="G16" s="16" t="str">
        <f aca="false">IF(C16="","Skriv svaret i den gule cellen.",IF(ABS(C16-((68000+3200)*1.2))&lt;=1,"Riktig.",IF(ABS(C16-(68000*1.2))&lt;=1,"Du har lagt påslaget på innkjøpsprisen uten frakt. Påslaget regnes av inntakskosten, 71 200.",IF(ABS(C16-((68000+3200)*0.2))&lt;=1,"Det er bare påslaget. Prisen er inntakskost pluss påslag.","Ikke riktig ennå. Se på regnestykket øverst på fanen, og sjekk at du har med alle leddene."))))</f>
        <v>Skriv svaret i den gule cellen.</v>
      </c>
    </row>
    <row r="17" customFormat="false" ht="43.5" hidden="false" customHeight="true" outlineLevel="0" collapsed="false">
      <c r="B17" s="13" t="s">
        <v>160</v>
      </c>
      <c r="C17" s="14"/>
      <c r="D17" s="15" t="s">
        <v>31</v>
      </c>
      <c r="G17" s="16" t="str">
        <f aca="false">IF(C17="","Skriv svaret i den gule cellen.",IF(ABS(C17-((68000+3200)*0.2))&lt;=1,"Riktig.",IF(ABS(C17-((68000+3200)*1.2*0.2))&lt;=1,"Du har regnet 20 % av prisen. Avansen er pris minus inntakskost: 85 440 − 71 200.","Ikke riktig ennå. Se på regnestykket øverst på fanen, og sjekk at du har med alle leddene.")))</f>
        <v>Skriv svaret i den gule cellen.</v>
      </c>
    </row>
    <row r="18" customFormat="false" ht="43.5" hidden="false" customHeight="true" outlineLevel="0" collapsed="false">
      <c r="B18" s="13" t="s">
        <v>161</v>
      </c>
      <c r="C18" s="27"/>
      <c r="D18" s="15" t="s">
        <v>111</v>
      </c>
      <c r="G18" s="16" t="str">
        <f aca="false">IF(C18="","Skriv svaret i den gule cellen.",IF(ABS(C18-(ROUND((68000+3200)*0.2/(68000+3200)*100,1)))&lt;=0.05,"Riktig.",IF(ABS(C18-(ROUND((68000+3200)*0.2/((68000+3200)*1.2)*100,1)))&lt;=0.05,"Du har delt på prisen. Det er bruttofortjenesten (e). Avansen deles på inntakskosten.","Ikke riktig ennå. Se på regnestykket øverst på fanen, og sjekk at du har med alle leddene.")))</f>
        <v>Skriv svaret i den gule cellen.</v>
      </c>
    </row>
    <row r="19" customFormat="false" ht="43.5" hidden="false" customHeight="true" outlineLevel="0" collapsed="false">
      <c r="B19" s="13" t="s">
        <v>162</v>
      </c>
      <c r="C19" s="27"/>
      <c r="D19" s="15" t="s">
        <v>111</v>
      </c>
      <c r="G19" s="16" t="str">
        <f aca="false">IF(C19="","Skriv svaret i den gule cellen.",IF(ABS(C19-(ROUND((68000+3200)*0.2/((68000+3200)*1.2)*100,1)))&lt;=0.05,"Riktig.",IF(ABS(C19-(ROUND((68000+3200)*0.2/(68000+3200)*100,1)))&lt;=0.05,"Du har delt på inntakskosten. Det er avansen (d). Bruttofortjenesten deles på prisen, 85 440.","Ikke riktig ennå. Se på regnestykket øverst på fanen, og sjekk at du har med alle leddene.")))</f>
        <v>Skriv svaret i den gule cellen.</v>
      </c>
    </row>
    <row r="20" customFormat="false" ht="43.5" hidden="false" customHeight="true" outlineLevel="0" collapsed="false">
      <c r="B20" s="13" t="s">
        <v>163</v>
      </c>
      <c r="C20" s="14"/>
      <c r="D20" s="15" t="s">
        <v>31</v>
      </c>
      <c r="G20" s="16" t="str">
        <f aca="false">IF(C20="","Skriv svaret i den gule cellen.",IF(ABS(C20-((68000+3200)*1.2*1.25))&lt;=1,"Riktig.",IF(ABS(C20-((68000+3200)*1.25))&lt;=1,"Du har lagt merverdiavgiften på inntakskosten. Den regnes av prisen uten merverdiavgift, 85 440.",IF(ABS(C20-((68000+3200)*1.45))&lt;=1,"Du har lagt sammen 20 % og 25 %. Prosenter oppå prosenter ganges: × 1,20 × 1,25.","Ikke riktig ennå. Se på regnestykket øverst på fanen, og sjekk at du har med alle leddene."))))</f>
        <v>Skriv svaret i den gule cellen.</v>
      </c>
    </row>
    <row r="22" customFormat="false" ht="43.5" hidden="false" customHeight="true" outlineLevel="0" collapsed="false">
      <c r="B22" s="13" t="s">
        <v>164</v>
      </c>
      <c r="C22" s="14"/>
      <c r="D22" s="15" t="s">
        <v>31</v>
      </c>
      <c r="G22" s="16" t="str">
        <f aca="false">IF(C22="","Skriv svaret i den gule cellen.",IF(ABS(C22-(64000*1.52))&lt;=1,"Riktig.",IF(ABS(C22-(64000*1.4*1.12))&lt;=1,"Det er den riktige prisen, 100 352. Fella er å legge sammen prosentene: regn 64 000 × 1,52.","Ikke riktig ennå. Se på regnestykket øverst på fanen, og sjekk at du har med alle leddene.")))</f>
        <v>Skriv svaret i den gule cellen.</v>
      </c>
    </row>
    <row r="23" customFormat="false" ht="43.5" hidden="false" customHeight="true" outlineLevel="0" collapsed="false">
      <c r="B23" s="13" t="s">
        <v>165</v>
      </c>
      <c r="C23" s="14"/>
      <c r="D23" s="15" t="s">
        <v>31</v>
      </c>
      <c r="G23" s="16" t="str">
        <f aca="false">IF(C23="","Skriv svaret i den gule cellen.",IF(ABS(C23-(100352-64000*1.52))&lt;=1,"Riktig.",IF(ABS(C23-(64000*1.52-100352))&lt;=1,"Riktig tall, feil fortegn. Riktig pris minus den for lave.","Ikke riktig ennå. Se på regnestykket øverst på fanen, og sjekk at du har med alle leddene.")))</f>
        <v>Skriv svaret i den gule cellen.</v>
      </c>
    </row>
    <row r="25" customFormat="false" ht="39.75" hidden="false" customHeight="true" outlineLevel="0" collapsed="false">
      <c r="B25" s="13" t="s">
        <v>166</v>
      </c>
      <c r="C25" s="21"/>
      <c r="G25" s="16" t="str">
        <f aca="false">IF(C25="","Velg i nedtrekksmenyen.",IF(C25="Lager, svinn, bestilling, bundet kapital og en del av de indirekte kostnadene","Riktig. Påslaget regnes av inntakskosten og skal dekke kostnadene ved å ha materiellet: lager, svinn, bestilling og pengene som er bundet. Hos Nordlys dekker det også 1 594 000 kr av de indirekte kostnadene. Fortjenesten er bare en del av det.","Ikke riktig. Påslaget regnes av inntakskosten og skal dekke kostnadene ved å ha materiellet: lager, svinn, bestilling og pengene som er bundet. Hos Nordlys dekker det også 1 594 000 kr av de indirekte kostnadene. Fortjenesten er bare en del av det."))</f>
        <v>Velg i nedtrekksmenyen.</v>
      </c>
    </row>
    <row r="27" customFormat="false" ht="30" hidden="false" customHeight="true" outlineLevel="0" collapsed="false">
      <c r="B27" s="8" t="s">
        <v>167</v>
      </c>
      <c r="C27" s="8"/>
      <c r="D27" s="8"/>
      <c r="E27" s="8"/>
      <c r="F27" s="8"/>
      <c r="G27" s="8"/>
    </row>
    <row r="28" customFormat="false" ht="21.75" hidden="false" customHeight="true" outlineLevel="0" collapsed="false">
      <c r="B28" s="18"/>
      <c r="C28" s="18"/>
      <c r="D28" s="18"/>
      <c r="E28" s="18"/>
      <c r="F28" s="18"/>
      <c r="G28" s="18"/>
    </row>
    <row r="29" customFormat="false" ht="21.75" hidden="false" customHeight="true" outlineLevel="0" collapsed="false">
      <c r="B29" s="18"/>
      <c r="C29" s="18"/>
      <c r="D29" s="18"/>
      <c r="E29" s="18"/>
      <c r="F29" s="18"/>
      <c r="G29" s="18"/>
    </row>
    <row r="30" customFormat="false" ht="21.75" hidden="false" customHeight="true" outlineLevel="0" collapsed="false">
      <c r="B30" s="18"/>
      <c r="C30" s="18"/>
      <c r="D30" s="18"/>
      <c r="E30" s="18"/>
      <c r="F30" s="18"/>
      <c r="G30" s="18"/>
    </row>
    <row r="31" customFormat="false" ht="39.75" hidden="false" customHeight="true" outlineLevel="0" collapsed="false">
      <c r="B31" s="19" t="str">
        <f aca="false">IF(LEN(B28)&lt;40,"",IF(AND(ISNUMBER(SEARCH("lager",B28)),ISNUMBER(SEARCH("reklamasjon",B28))),"Bra: du har med både lageret og reklamasjonsretten. Prisen dekker lager og bestilling, montasje, reklamasjonsrett på arbeidet og dokumentasjonen til samsvarserklæringen; nettbutikken monterer ikke.",IF(OR(ISNUMBER(SEARCH("lager",B28)),ISNUMBER(SEARCH("reklamasjon",B28))),"Du er på sporet. Ta med hva som ligger i prisen: lager og bestilling, reklamasjonsrett på arbeidet, og dokumentasjonen som følger anlegget.","Tips: prisen dekker lager, bestilling og svinn, reklamasjonsrett på arbeidet og dokumentasjonen til samsvarserklæringen. Nettbutikken monterer ikke og står ikke ansvarlig for anlegget.")))</f>
        <v/>
      </c>
      <c r="C31" s="19"/>
      <c r="D31" s="19"/>
      <c r="E31" s="19"/>
      <c r="F31" s="19"/>
      <c r="G31" s="19"/>
    </row>
    <row r="32" customFormat="false" ht="15" hidden="false" customHeight="false" outlineLevel="0" collapsed="false">
      <c r="B32" s="20" t="s">
        <v>39</v>
      </c>
      <c r="C32" s="21"/>
    </row>
    <row r="33" customFormat="false" ht="45" hidden="false" customHeight="true" outlineLevel="0" collapsed="false">
      <c r="B33" s="22" t="str">
        <f aca="false">IF(C32="JA","Hint: a: 68 000 + 3 200 = 71 200. b: 71 200 × 1,20 = 85 440. c: 85 440 − 71 200 = 14 240. d: 14 240 / 71 200 = 20 %. e: 14 240 / 85 440 = 16,7 %. f: 85 440 × 1,25 = 106 800. g: 64 000 × 1,52 = 97 280. h: 100 352 − 97 280 = 3 072.","")</f>
        <v/>
      </c>
      <c r="C33" s="22"/>
      <c r="D33" s="22"/>
      <c r="E33" s="22"/>
      <c r="F33" s="22"/>
      <c r="G33" s="22"/>
    </row>
    <row r="35" customFormat="false" ht="30" hidden="false" customHeight="true" outlineLevel="0" collapsed="false">
      <c r="B35" s="6" t="s">
        <v>40</v>
      </c>
      <c r="C35" s="6"/>
      <c r="D35" s="6"/>
      <c r="E35" s="6"/>
      <c r="F35" s="6"/>
      <c r="G35" s="6"/>
    </row>
  </sheetData>
  <mergeCells count="15">
    <mergeCell ref="B2:G2"/>
    <mergeCell ref="B3:G3"/>
    <mergeCell ref="B4:G4"/>
    <mergeCell ref="B5:G5"/>
    <mergeCell ref="B6:G6"/>
    <mergeCell ref="B7:G7"/>
    <mergeCell ref="B9:G9"/>
    <mergeCell ref="B10:G10"/>
    <mergeCell ref="B12:G12"/>
    <mergeCell ref="B13:G13"/>
    <mergeCell ref="B27:G27"/>
    <mergeCell ref="B28:G30"/>
    <mergeCell ref="B31:G31"/>
    <mergeCell ref="B33:G33"/>
    <mergeCell ref="B35:G35"/>
  </mergeCells>
  <conditionalFormatting sqref="G15">
    <cfRule type="expression" priority="2" aboveAverage="0" equalAverage="0" bottom="0" percent="0" rank="0" text="" dxfId="0">
      <formula>LEFT(G15,6)="Riktig"</formula>
    </cfRule>
    <cfRule type="expression" priority="3" aboveAverage="0" equalAverage="0" bottom="0" percent="0" rank="0" text="" dxfId="1">
      <formula>AND(G15&lt;&gt;"",LEFT(G15,6)&lt;&gt;"Riktig",LEFT(G15,5)&lt;&gt;"Skriv")</formula>
    </cfRule>
  </conditionalFormatting>
  <conditionalFormatting sqref="G16">
    <cfRule type="expression" priority="4" aboveAverage="0" equalAverage="0" bottom="0" percent="0" rank="0" text="" dxfId="0">
      <formula>LEFT(G16,6)="Riktig"</formula>
    </cfRule>
    <cfRule type="expression" priority="5" aboveAverage="0" equalAverage="0" bottom="0" percent="0" rank="0" text="" dxfId="1">
      <formula>AND(G16&lt;&gt;"",LEFT(G16,6)&lt;&gt;"Riktig",LEFT(G16,5)&lt;&gt;"Skriv")</formula>
    </cfRule>
  </conditionalFormatting>
  <conditionalFormatting sqref="G17">
    <cfRule type="expression" priority="6" aboveAverage="0" equalAverage="0" bottom="0" percent="0" rank="0" text="" dxfId="0">
      <formula>LEFT(G17,6)="Riktig"</formula>
    </cfRule>
    <cfRule type="expression" priority="7" aboveAverage="0" equalAverage="0" bottom="0" percent="0" rank="0" text="" dxfId="1">
      <formula>AND(G17&lt;&gt;"",LEFT(G17,6)&lt;&gt;"Riktig",LEFT(G17,5)&lt;&gt;"Skriv")</formula>
    </cfRule>
  </conditionalFormatting>
  <conditionalFormatting sqref="G18">
    <cfRule type="expression" priority="8" aboveAverage="0" equalAverage="0" bottom="0" percent="0" rank="0" text="" dxfId="0">
      <formula>LEFT(G18,6)="Riktig"</formula>
    </cfRule>
    <cfRule type="expression" priority="9" aboveAverage="0" equalAverage="0" bottom="0" percent="0" rank="0" text="" dxfId="1">
      <formula>AND(G18&lt;&gt;"",LEFT(G18,6)&lt;&gt;"Riktig",LEFT(G18,5)&lt;&gt;"Skriv")</formula>
    </cfRule>
  </conditionalFormatting>
  <conditionalFormatting sqref="G19">
    <cfRule type="expression" priority="10" aboveAverage="0" equalAverage="0" bottom="0" percent="0" rank="0" text="" dxfId="0">
      <formula>LEFT(G19,6)="Riktig"</formula>
    </cfRule>
    <cfRule type="expression" priority="11" aboveAverage="0" equalAverage="0" bottom="0" percent="0" rank="0" text="" dxfId="1">
      <formula>AND(G19&lt;&gt;"",LEFT(G19,6)&lt;&gt;"Riktig",LEFT(G19,5)&lt;&gt;"Skriv")</formula>
    </cfRule>
  </conditionalFormatting>
  <conditionalFormatting sqref="G20">
    <cfRule type="expression" priority="12" aboveAverage="0" equalAverage="0" bottom="0" percent="0" rank="0" text="" dxfId="0">
      <formula>LEFT(G20,6)="Riktig"</formula>
    </cfRule>
    <cfRule type="expression" priority="13" aboveAverage="0" equalAverage="0" bottom="0" percent="0" rank="0" text="" dxfId="1">
      <formula>AND(G20&lt;&gt;"",LEFT(G20,6)&lt;&gt;"Riktig",LEFT(G20,5)&lt;&gt;"Skriv")</formula>
    </cfRule>
  </conditionalFormatting>
  <conditionalFormatting sqref="G22">
    <cfRule type="expression" priority="14" aboveAverage="0" equalAverage="0" bottom="0" percent="0" rank="0" text="" dxfId="0">
      <formula>LEFT(G22,6)="Riktig"</formula>
    </cfRule>
    <cfRule type="expression" priority="15" aboveAverage="0" equalAverage="0" bottom="0" percent="0" rank="0" text="" dxfId="1">
      <formula>AND(G22&lt;&gt;"",LEFT(G22,6)&lt;&gt;"Riktig",LEFT(G22,5)&lt;&gt;"Skriv")</formula>
    </cfRule>
  </conditionalFormatting>
  <conditionalFormatting sqref="G23">
    <cfRule type="expression" priority="16" aboveAverage="0" equalAverage="0" bottom="0" percent="0" rank="0" text="" dxfId="0">
      <formula>LEFT(G23,6)="Riktig"</formula>
    </cfRule>
    <cfRule type="expression" priority="17" aboveAverage="0" equalAverage="0" bottom="0" percent="0" rank="0" text="" dxfId="1">
      <formula>AND(G23&lt;&gt;"",LEFT(G23,6)&lt;&gt;"Riktig",LEFT(G23,5)&lt;&gt;"Skriv")</formula>
    </cfRule>
  </conditionalFormatting>
  <conditionalFormatting sqref="G25">
    <cfRule type="expression" priority="18" aboveAverage="0" equalAverage="0" bottom="0" percent="0" rank="0" text="" dxfId="0">
      <formula>LEFT(G25,6)="Riktig"</formula>
    </cfRule>
    <cfRule type="expression" priority="19" aboveAverage="0" equalAverage="0" bottom="0" percent="0" rank="0" text="" dxfId="1">
      <formula>LEFT(G25,4)="Ikke"</formula>
    </cfRule>
  </conditionalFormatting>
  <dataValidations count="2">
    <dataValidation allowBlank="true" errorStyle="stop" operator="between" showDropDown="false" showErrorMessage="false" showInputMessage="false" sqref="C25" type="list">
      <formula1>$Z$1:$Z$3</formula1>
      <formula2>0</formula2>
    </dataValidation>
    <dataValidation allowBlank="true" errorStyle="stop" operator="between" showDropDown="false" showErrorMessage="false" showInputMessage="false" sqref="C32"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8" t="s">
        <v>168</v>
      </c>
    </row>
    <row r="3" customFormat="false" ht="30" hidden="false" customHeight="true" outlineLevel="0" collapsed="false">
      <c r="B3" s="6" t="s">
        <v>169</v>
      </c>
      <c r="C3" s="6"/>
      <c r="D3" s="6"/>
    </row>
    <row r="5" customFormat="false" ht="15" hidden="false" customHeight="false" outlineLevel="0" collapsed="false">
      <c r="B5" s="29" t="s">
        <v>170</v>
      </c>
      <c r="C5" s="29" t="s">
        <v>171</v>
      </c>
      <c r="D5" s="29" t="s">
        <v>172</v>
      </c>
    </row>
    <row r="6" customFormat="false" ht="30" hidden="false" customHeight="true" outlineLevel="0" collapsed="false">
      <c r="B6" s="30" t="s">
        <v>173</v>
      </c>
      <c r="C6" s="12" t="n">
        <v>2671760</v>
      </c>
      <c r="D6" s="30" t="s">
        <v>174</v>
      </c>
    </row>
    <row r="7" customFormat="false" ht="30" hidden="false" customHeight="true" outlineLevel="0" collapsed="false">
      <c r="B7" s="30" t="s">
        <v>175</v>
      </c>
      <c r="C7" s="12" t="n">
        <v>763</v>
      </c>
      <c r="D7" s="30" t="s">
        <v>176</v>
      </c>
    </row>
    <row r="8" customFormat="false" ht="30" hidden="false" customHeight="true" outlineLevel="0" collapsed="false">
      <c r="B8" s="30" t="s">
        <v>177</v>
      </c>
      <c r="C8" s="12" t="n">
        <v>299000</v>
      </c>
      <c r="D8" s="30" t="s">
        <v>178</v>
      </c>
    </row>
    <row r="9" customFormat="false" ht="30" hidden="false" customHeight="true" outlineLevel="0" collapsed="false">
      <c r="B9" s="30" t="s">
        <v>179</v>
      </c>
      <c r="C9" s="12" t="n">
        <v>848.79</v>
      </c>
      <c r="D9" s="30" t="s">
        <v>180</v>
      </c>
    </row>
    <row r="10" customFormat="false" ht="30" hidden="false" customHeight="true" outlineLevel="0" collapsed="false">
      <c r="B10" s="30" t="s">
        <v>181</v>
      </c>
      <c r="C10" s="12" t="n">
        <v>41.21</v>
      </c>
      <c r="D10" s="30" t="s">
        <v>182</v>
      </c>
    </row>
    <row r="11" customFormat="false" ht="30" hidden="false" customHeight="true" outlineLevel="0" collapsed="false">
      <c r="B11" s="30" t="s">
        <v>183</v>
      </c>
      <c r="C11" s="12" t="n">
        <v>144240</v>
      </c>
      <c r="D11" s="30" t="s">
        <v>184</v>
      </c>
    </row>
    <row r="12" customFormat="false" ht="30" hidden="false" customHeight="true" outlineLevel="0" collapsed="false">
      <c r="B12" s="30" t="s">
        <v>185</v>
      </c>
      <c r="C12" s="12"/>
      <c r="D12" s="30" t="s">
        <v>186</v>
      </c>
    </row>
    <row r="13" customFormat="false" ht="30" hidden="false" customHeight="true" outlineLevel="0" collapsed="false">
      <c r="B13" s="30" t="s">
        <v>187</v>
      </c>
      <c r="C13" s="12" t="n">
        <v>586</v>
      </c>
      <c r="D13" s="30" t="s">
        <v>188</v>
      </c>
    </row>
    <row r="14" customFormat="false" ht="30" hidden="false" customHeight="true" outlineLevel="0" collapsed="false">
      <c r="B14" s="30" t="s">
        <v>189</v>
      </c>
      <c r="C14" s="12" t="n">
        <v>4626000</v>
      </c>
      <c r="D14" s="30" t="s">
        <v>190</v>
      </c>
    </row>
    <row r="15" customFormat="false" ht="30" hidden="false" customHeight="true" outlineLevel="0" collapsed="false">
      <c r="B15" s="30" t="s">
        <v>191</v>
      </c>
      <c r="C15" s="12" t="n">
        <v>1594000</v>
      </c>
      <c r="D15" s="30" t="s">
        <v>192</v>
      </c>
    </row>
    <row r="16" customFormat="false" ht="30" hidden="false" customHeight="true" outlineLevel="0" collapsed="false">
      <c r="B16" s="30" t="s">
        <v>193</v>
      </c>
      <c r="C16" s="12" t="n">
        <v>211</v>
      </c>
      <c r="D16" s="30" t="s">
        <v>194</v>
      </c>
    </row>
    <row r="17" customFormat="false" ht="60" hidden="false" customHeight="true" outlineLevel="0" collapsed="false">
      <c r="B17" s="30" t="s">
        <v>195</v>
      </c>
      <c r="C17" s="12" t="n">
        <v>797</v>
      </c>
      <c r="D17" s="30" t="s">
        <v>196</v>
      </c>
    </row>
    <row r="18" customFormat="false" ht="30" hidden="false" customHeight="true" outlineLevel="0" collapsed="false">
      <c r="B18" s="30" t="s">
        <v>197</v>
      </c>
      <c r="C18" s="12" t="n">
        <v>93</v>
      </c>
      <c r="D18" s="30" t="s">
        <v>198</v>
      </c>
    </row>
    <row r="19" customFormat="false" ht="30" hidden="false" customHeight="true" outlineLevel="0" collapsed="false">
      <c r="B19" s="30" t="s">
        <v>199</v>
      </c>
      <c r="C19" s="12" t="n">
        <v>890</v>
      </c>
      <c r="D19" s="30" t="s">
        <v>200</v>
      </c>
    </row>
    <row r="20" customFormat="false" ht="30" hidden="false" customHeight="true" outlineLevel="0" collapsed="false">
      <c r="B20" s="30" t="s">
        <v>201</v>
      </c>
      <c r="C20" s="12" t="n">
        <v>630</v>
      </c>
      <c r="D20" s="30" t="s">
        <v>202</v>
      </c>
    </row>
    <row r="21" customFormat="false" ht="30" hidden="false" customHeight="true" outlineLevel="0" collapsed="false">
      <c r="B21" s="30" t="s">
        <v>203</v>
      </c>
      <c r="C21" s="12" t="n">
        <v>2400000</v>
      </c>
      <c r="D21" s="30" t="s">
        <v>204</v>
      </c>
    </row>
    <row r="22" customFormat="false" ht="30" hidden="false" customHeight="true" outlineLevel="0" collapsed="false">
      <c r="B22" s="30" t="s">
        <v>205</v>
      </c>
      <c r="C22" s="12"/>
      <c r="D22" s="30" t="s">
        <v>206</v>
      </c>
    </row>
    <row r="23" customFormat="false" ht="30" hidden="false" customHeight="true" outlineLevel="0" collapsed="false">
      <c r="B23" s="30" t="s">
        <v>207</v>
      </c>
      <c r="C23" s="12" t="n">
        <v>8960</v>
      </c>
      <c r="D23" s="30" t="s">
        <v>208</v>
      </c>
    </row>
    <row r="24" customFormat="false" ht="30" hidden="false" customHeight="true" outlineLevel="0" collapsed="false">
      <c r="B24" s="30" t="s">
        <v>209</v>
      </c>
      <c r="C24" s="12" t="n">
        <v>19560</v>
      </c>
      <c r="D24" s="30" t="s">
        <v>210</v>
      </c>
    </row>
    <row r="25" customFormat="false" ht="30" hidden="false" customHeight="true" outlineLevel="0" collapsed="false">
      <c r="B25" s="30" t="s">
        <v>211</v>
      </c>
      <c r="C25" s="12" t="n">
        <v>4200</v>
      </c>
      <c r="D25" s="30" t="s">
        <v>212</v>
      </c>
    </row>
    <row r="26" customFormat="false" ht="30" hidden="false" customHeight="true" outlineLevel="0" collapsed="false">
      <c r="B26" s="30" t="s">
        <v>213</v>
      </c>
      <c r="C26" s="12" t="n">
        <v>23760</v>
      </c>
      <c r="D26" s="30" t="s">
        <v>214</v>
      </c>
    </row>
    <row r="27" customFormat="false" ht="30" hidden="false" customHeight="true" outlineLevel="0" collapsed="false">
      <c r="B27" s="30" t="s">
        <v>215</v>
      </c>
      <c r="C27" s="12" t="n">
        <v>2851.2</v>
      </c>
      <c r="D27" s="30" t="s">
        <v>216</v>
      </c>
    </row>
    <row r="28" customFormat="false" ht="30" hidden="false" customHeight="true" outlineLevel="0" collapsed="false">
      <c r="B28" s="30" t="s">
        <v>217</v>
      </c>
      <c r="C28" s="12" t="n">
        <v>26611.2</v>
      </c>
      <c r="D28" s="30" t="s">
        <v>218</v>
      </c>
    </row>
    <row r="29" customFormat="false" ht="30" hidden="false" customHeight="true" outlineLevel="0" collapsed="false">
      <c r="B29" s="30" t="s">
        <v>219</v>
      </c>
      <c r="C29" s="12" t="n">
        <v>6652.8</v>
      </c>
      <c r="D29" s="30" t="s">
        <v>220</v>
      </c>
    </row>
    <row r="30" customFormat="false" ht="30" hidden="false" customHeight="true" outlineLevel="0" collapsed="false">
      <c r="B30" s="30" t="s">
        <v>221</v>
      </c>
      <c r="C30" s="12" t="n">
        <v>33264</v>
      </c>
      <c r="D30" s="30" t="s">
        <v>222</v>
      </c>
    </row>
    <row r="31" customFormat="false" ht="30" hidden="false" customHeight="true" outlineLevel="0" collapsed="false">
      <c r="B31" s="30" t="s">
        <v>223</v>
      </c>
      <c r="C31" s="12"/>
      <c r="D31" s="30" t="s">
        <v>224</v>
      </c>
    </row>
    <row r="32" customFormat="false" ht="30" hidden="false" customHeight="true" outlineLevel="0" collapsed="false">
      <c r="B32" s="30" t="s">
        <v>225</v>
      </c>
      <c r="C32" s="12" t="n">
        <v>4.5</v>
      </c>
      <c r="D32" s="30" t="s">
        <v>226</v>
      </c>
    </row>
    <row r="33" customFormat="false" ht="30" hidden="false" customHeight="true" outlineLevel="0" collapsed="false">
      <c r="B33" s="30" t="s">
        <v>227</v>
      </c>
      <c r="C33" s="12"/>
      <c r="D33" s="30" t="s">
        <v>228</v>
      </c>
    </row>
    <row r="34" customFormat="false" ht="30" hidden="false" customHeight="true" outlineLevel="0" collapsed="false">
      <c r="B34" s="30" t="s">
        <v>229</v>
      </c>
      <c r="C34" s="12" t="n">
        <v>-1760</v>
      </c>
      <c r="D34" s="30" t="s">
        <v>230</v>
      </c>
    </row>
    <row r="35" customFormat="false" ht="30" hidden="false" customHeight="true" outlineLevel="0" collapsed="false">
      <c r="B35" s="30" t="s">
        <v>231</v>
      </c>
      <c r="C35" s="12" t="n">
        <v>2440</v>
      </c>
      <c r="D35" s="30" t="s">
        <v>232</v>
      </c>
    </row>
    <row r="36" customFormat="false" ht="30" hidden="false" customHeight="true" outlineLevel="0" collapsed="false">
      <c r="B36" s="30" t="s">
        <v>233</v>
      </c>
      <c r="C36" s="12" t="n">
        <v>11.1</v>
      </c>
      <c r="D36" s="30" t="s">
        <v>234</v>
      </c>
    </row>
    <row r="37" customFormat="false" ht="30" hidden="false" customHeight="true" outlineLevel="0" collapsed="false">
      <c r="B37" s="30" t="s">
        <v>235</v>
      </c>
      <c r="C37" s="12" t="n">
        <v>48800</v>
      </c>
      <c r="D37" s="30" t="s">
        <v>236</v>
      </c>
    </row>
    <row r="38" customFormat="false" ht="30" hidden="false" customHeight="true" outlineLevel="0" collapsed="false">
      <c r="B38" s="30" t="s">
        <v>237</v>
      </c>
      <c r="C38" s="12" t="n">
        <v>58.1</v>
      </c>
      <c r="D38" s="30" t="s">
        <v>238</v>
      </c>
    </row>
    <row r="39" customFormat="false" ht="30" hidden="false" customHeight="true" outlineLevel="0" collapsed="false">
      <c r="B39" s="30" t="s">
        <v>239</v>
      </c>
      <c r="C39" s="12"/>
      <c r="D39" s="30" t="s">
        <v>240</v>
      </c>
    </row>
    <row r="40" customFormat="false" ht="45" hidden="false" customHeight="true" outlineLevel="0" collapsed="false">
      <c r="B40" s="30" t="s">
        <v>241</v>
      </c>
      <c r="C40" s="12"/>
      <c r="D40" s="30" t="s">
        <v>242</v>
      </c>
    </row>
    <row r="41" customFormat="false" ht="30" hidden="false" customHeight="true" outlineLevel="0" collapsed="false">
      <c r="B41" s="30" t="s">
        <v>243</v>
      </c>
      <c r="C41" s="12" t="n">
        <v>12160</v>
      </c>
      <c r="D41" s="30" t="s">
        <v>244</v>
      </c>
    </row>
    <row r="42" customFormat="false" ht="30" hidden="false" customHeight="true" outlineLevel="0" collapsed="false">
      <c r="B42" s="30" t="s">
        <v>245</v>
      </c>
      <c r="C42" s="12" t="n">
        <v>-3200</v>
      </c>
      <c r="D42" s="30" t="s">
        <v>246</v>
      </c>
    </row>
    <row r="43" customFormat="false" ht="30" hidden="false" customHeight="true" outlineLevel="0" collapsed="false">
      <c r="B43" s="30" t="s">
        <v>247</v>
      </c>
      <c r="C43" s="12" t="n">
        <v>22760</v>
      </c>
      <c r="D43" s="30" t="s">
        <v>248</v>
      </c>
    </row>
    <row r="44" customFormat="false" ht="30" hidden="false" customHeight="true" outlineLevel="0" collapsed="false">
      <c r="B44" s="30" t="s">
        <v>249</v>
      </c>
      <c r="C44" s="12" t="n">
        <v>26960</v>
      </c>
      <c r="D44" s="30" t="s">
        <v>250</v>
      </c>
    </row>
    <row r="45" customFormat="false" ht="30" hidden="false" customHeight="true" outlineLevel="0" collapsed="false">
      <c r="B45" s="30" t="s">
        <v>251</v>
      </c>
      <c r="C45" s="12" t="n">
        <v>-348.8</v>
      </c>
      <c r="D45" s="30" t="s">
        <v>252</v>
      </c>
    </row>
    <row r="46" customFormat="false" ht="30" hidden="false" customHeight="true" outlineLevel="0" collapsed="false">
      <c r="B46" s="30" t="s">
        <v>253</v>
      </c>
      <c r="C46" s="12"/>
      <c r="D46" s="30" t="s">
        <v>116</v>
      </c>
    </row>
    <row r="47" customFormat="false" ht="30" hidden="false" customHeight="true" outlineLevel="0" collapsed="false">
      <c r="B47" s="30" t="s">
        <v>254</v>
      </c>
      <c r="C47" s="12" t="n">
        <v>37744</v>
      </c>
      <c r="D47" s="30" t="s">
        <v>255</v>
      </c>
    </row>
    <row r="48" customFormat="false" ht="45" hidden="false" customHeight="true" outlineLevel="0" collapsed="false">
      <c r="B48" s="30" t="s">
        <v>256</v>
      </c>
      <c r="C48" s="12"/>
      <c r="D48" s="30" t="s">
        <v>257</v>
      </c>
    </row>
    <row r="49" customFormat="false" ht="30" hidden="false" customHeight="true" outlineLevel="0" collapsed="false">
      <c r="B49" s="30" t="s">
        <v>258</v>
      </c>
      <c r="C49" s="12" t="n">
        <v>71200</v>
      </c>
      <c r="D49" s="30" t="s">
        <v>259</v>
      </c>
    </row>
    <row r="50" customFormat="false" ht="30" hidden="false" customHeight="true" outlineLevel="0" collapsed="false">
      <c r="B50" s="30" t="s">
        <v>260</v>
      </c>
      <c r="C50" s="12" t="n">
        <v>85440</v>
      </c>
      <c r="D50" s="30" t="s">
        <v>261</v>
      </c>
    </row>
    <row r="51" customFormat="false" ht="30" hidden="false" customHeight="true" outlineLevel="0" collapsed="false">
      <c r="B51" s="30" t="s">
        <v>262</v>
      </c>
      <c r="C51" s="12" t="n">
        <v>14240</v>
      </c>
      <c r="D51" s="30" t="s">
        <v>263</v>
      </c>
    </row>
    <row r="52" customFormat="false" ht="30" hidden="false" customHeight="true" outlineLevel="0" collapsed="false">
      <c r="B52" s="30" t="s">
        <v>264</v>
      </c>
      <c r="C52" s="12" t="n">
        <v>20</v>
      </c>
      <c r="D52" s="30" t="s">
        <v>265</v>
      </c>
    </row>
    <row r="53" customFormat="false" ht="30" hidden="false" customHeight="true" outlineLevel="0" collapsed="false">
      <c r="B53" s="30" t="s">
        <v>266</v>
      </c>
      <c r="C53" s="12" t="n">
        <v>16.7</v>
      </c>
      <c r="D53" s="30" t="s">
        <v>267</v>
      </c>
    </row>
    <row r="54" customFormat="false" ht="30" hidden="false" customHeight="true" outlineLevel="0" collapsed="false">
      <c r="B54" s="30" t="s">
        <v>268</v>
      </c>
      <c r="C54" s="12" t="n">
        <v>106800</v>
      </c>
      <c r="D54" s="30" t="s">
        <v>269</v>
      </c>
    </row>
    <row r="55" customFormat="false" ht="30" hidden="false" customHeight="true" outlineLevel="0" collapsed="false">
      <c r="B55" s="30" t="s">
        <v>270</v>
      </c>
      <c r="C55" s="12" t="n">
        <v>97280</v>
      </c>
      <c r="D55" s="30" t="s">
        <v>271</v>
      </c>
    </row>
    <row r="56" customFormat="false" ht="30" hidden="false" customHeight="true" outlineLevel="0" collapsed="false">
      <c r="B56" s="30" t="s">
        <v>272</v>
      </c>
      <c r="C56" s="12" t="n">
        <v>3072</v>
      </c>
      <c r="D56" s="30" t="s">
        <v>273</v>
      </c>
    </row>
    <row r="57" customFormat="false" ht="30" hidden="false" customHeight="true" outlineLevel="0" collapsed="false">
      <c r="B57" s="30" t="s">
        <v>274</v>
      </c>
      <c r="C57" s="12"/>
      <c r="D57" s="30" t="s">
        <v>150</v>
      </c>
    </row>
    <row r="58" customFormat="false" ht="30" hidden="false" customHeight="true" outlineLevel="0" collapsed="false">
      <c r="B58" s="30" t="s">
        <v>275</v>
      </c>
      <c r="C58" s="12"/>
      <c r="D58" s="30" t="s">
        <v>276</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2026-10-22T17:50:06Z</dcterms:created>
  <dc:creator>openpyxl</dc:creator>
  <dc:description/>
  <dc:language>en-US</dc:language>
  <cp:lastModifiedBy/>
  <dcterms:modified xsi:type="dcterms:W3CDTF">2026-10-22T17:50:07Z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