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Timepris" sheetId="2" state="visible" r:id="rId2"/>
    <sheet xmlns:r="http://schemas.openxmlformats.org/officeDocument/2006/relationships" name="Handelskalkyle" sheetId="3" state="visible" r:id="rId3"/>
    <sheet xmlns:r="http://schemas.openxmlformats.org/officeDocument/2006/relationships" name="Oppdrag" sheetId="4" state="visible" r:id="rId4"/>
    <sheet xmlns:r="http://schemas.openxmlformats.org/officeDocument/2006/relationships" name="Faktureringsgrad" sheetId="5" state="visible" r:id="rId5"/>
    <sheet xmlns:r="http://schemas.openxmlformats.org/officeDocument/2006/relationships" name="Scena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 &quot;kr&quot;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4" fillId="0" borderId="0" pivotButton="0" quotePrefix="0" xfId="0"/>
    <xf numFmtId="0" fontId="4" fillId="4" borderId="1" pivotButton="0" quotePrefix="0" xfId="0"/>
    <xf numFmtId="0" fontId="6" fillId="0" borderId="0" pivotButton="0" quotePrefix="0" xfId="0"/>
    <xf numFmtId="0" fontId="8" fillId="5" borderId="0" applyAlignment="1" pivotButton="0" quotePrefix="0" xfId="0">
      <alignment horizontal="center" vertical="center" wrapText="1"/>
    </xf>
    <xf numFmtId="3" fontId="5" fillId="2" borderId="1" pivotButton="0" quotePrefix="0" xfId="0"/>
    <xf numFmtId="164" fontId="6" fillId="3" borderId="1" pivotButton="0" quotePrefix="0" xfId="0"/>
    <xf numFmtId="3" fontId="4" fillId="4" borderId="1" pivotButton="0" quotePrefix="0" xfId="0"/>
    <xf numFmtId="3" fontId="6" fillId="3" borderId="1" pivotButton="0" quotePrefix="0" xfId="0"/>
    <xf numFmtId="165" fontId="5" fillId="2" borderId="1" pivotButton="0" quotePrefix="0" xfId="0"/>
    <xf numFmtId="165" fontId="6" fillId="3" borderId="1" pivotButton="0" quotePrefix="0" xfId="0"/>
    <xf numFmtId="166" fontId="4" fillId="4" borderId="1" pivotButton="0" quotePrefix="0" xfId="0"/>
    <xf numFmtId="164" fontId="4" fillId="4" borderId="1" pivotButton="0" quotePrefix="0" xfId="0"/>
    <xf numFmtId="166" fontId="6" fillId="3" borderId="1" pivotButton="0" quotePrefix="0" xfId="0"/>
    <xf numFmtId="164" fontId="5" fillId="2" borderId="1" pivotButton="0" quotePrefix="0" xfId="0"/>
    <xf numFmtId="166" fontId="5" fillId="2" borderId="1" pivotButton="0" quotePrefix="0" xfId="0"/>
    <xf numFmtId="0" fontId="6" fillId="4" borderId="1" pivotButton="0" quotePrefix="0" xfId="0"/>
    <xf numFmtId="4" fontId="4" fillId="4" borderId="1" pivotButton="0" quotePrefix="0" xfId="0"/>
    <xf numFmtId="4" fontId="5" fillId="2" borderId="1" pivotButton="0" quotePrefix="0" xfId="0"/>
    <xf numFmtId="165" fontId="4" fillId="4" borderId="1" pivotButton="0" quotePrefix="0" xfId="0"/>
    <xf numFmtId="0" fontId="6" fillId="3" borderId="1" pivotButton="0" quotePrefix="0" xfId="0"/>
    <xf numFmtId="164" fontId="6" fillId="4" borderId="1" pivotButton="0" quotePrefix="0" xfId="0"/>
    <xf numFmtId="4" fontId="6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2" customWidth="1" min="3" max="3"/>
  </cols>
  <sheetData>
    <row r="1">
      <c r="A1" s="1" t="inlineStr">
        <is>
          <t>Timepris og kalkyle</t>
        </is>
      </c>
    </row>
    <row r="2">
      <c r="A2" s="2" t="inlineStr">
        <is>
          <t>LØM Økonomistyring kap. 5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8"/>
    <row r="9">
      <c r="A9" s="4" t="inlineStr">
        <is>
          <t>Ark i arbeidsboka</t>
        </is>
      </c>
    </row>
    <row r="10">
      <c r="A10" s="8" t="inlineStr">
        <is>
          <t>Timepris</t>
        </is>
      </c>
      <c r="B10" s="6" t="inlineStr">
        <is>
          <t>Timepriskalkulatoren. Montører, timer, faktureringsgrad, kostnader og ønsket resultat inn — timeprisen ut. Her ligger den ene cellen du styrer alt fra: B37.</t>
        </is>
      </c>
    </row>
    <row r="11">
      <c r="A11" s="8" t="inlineStr">
        <is>
          <t>Handelskalkyle</t>
        </is>
      </c>
      <c r="B11" s="6" t="inlineStr">
        <is>
          <t>Varen som kjøpes inn og selges videre: inntakskost, selvkost, pris, avanse og bruttofortjeneste.</t>
        </is>
      </c>
    </row>
    <row r="12">
      <c r="A12" s="8" t="inlineStr">
        <is>
          <t>Oppdrag</t>
        </is>
      </c>
      <c r="B12" s="6" t="inlineStr">
        <is>
          <t>Ett oppdrag fra direkte kostnader via selvkost til kundens pris med mva. Med bidragskalkyle og etterkalkyle.</t>
        </is>
      </c>
    </row>
    <row r="13">
      <c r="A13" s="8" t="inlineStr">
        <is>
          <t>Faktureringsgrad</t>
        </is>
      </c>
      <c r="B13" s="6" t="inlineStr">
        <is>
          <t>Hva timeprisen må være ved ulik faktureringsgrad. Kapitlets viktigste tabell.</t>
        </is>
      </c>
    </row>
    <row r="14">
      <c r="A14" s="8" t="inlineStr">
        <is>
          <t>Scenario</t>
        </is>
      </c>
      <c r="B14" s="6" t="inlineStr">
        <is>
          <t>Tre spørsmål: hva skjer når faktureringsgraden faller, når en jobb prises under selvkost, og når en konkurrent tar en lavere timepris.</t>
        </is>
      </c>
    </row>
    <row r="15"/>
    <row r="16">
      <c r="A16" s="3" t="inlineStr">
        <is>
          <t>Tallene som ligger inne er Nordlys Elektro AS sine egne tall for 2026.</t>
        </is>
      </c>
    </row>
    <row r="17">
      <c r="A17" s="3" t="inlineStr">
        <is>
          <t>Arket er laget for å brukes på jobben etterpå: bytt ut de gule cellene med din egen bedrifts tall.</t>
        </is>
      </c>
    </row>
    <row r="18">
      <c r="A18" s="3" t="inlineStr">
        <is>
          <t>Merk: timeprisen skal dekke alt bedriften ikke får igjen gjennom materiellet som faktureres videre med påslag.</t>
        </is>
      </c>
    </row>
    <row r="19"/>
    <row r="20">
      <c r="A20" s="3" t="inlineStr">
        <is>
          <t>Tallene som ligger inne er et eksempel fra en elektrobedrift. Bytt dem ut med dine egne — alle formler følger med.</t>
        </is>
      </c>
    </row>
    <row r="21">
      <c r="A21" s="3" t="inlineStr">
        <is>
          <t>Arbeidsregneark til LØM · Fagskolen Oslo, Avdeling Elkraft. Regnearket er øvingsstøtte, ikke et regnskapssystem.</t>
        </is>
      </c>
    </row>
    <row r="22"/>
    <row r="23">
      <c r="A23" s="4" t="inlineStr">
        <is>
          <t>Den ene knappen</t>
        </is>
      </c>
    </row>
    <row r="24">
      <c r="A24" s="6" t="inlineStr">
        <is>
          <t>Timepris!B37</t>
        </is>
      </c>
      <c r="B24" s="6" t="inlineStr">
        <is>
          <t>Timepris uten mva. som brukes overalt</t>
        </is>
      </c>
      <c r="C24" s="6" t="inlineStr">
        <is>
          <t>Endrer du denne cellen, følger arkene Oppdrag, Faktureringsgrad og Scenario med. Cellen over, B32, viser hva kalkylen din sier prisen burde være.</t>
        </is>
      </c>
    </row>
    <row r="25"/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Hvilket timetall skal Ida dele på?</t>
        </is>
      </c>
      <c r="B28" s="8" t="inlineStr">
        <is>
          <t>Timepris</t>
        </is>
      </c>
      <c r="C28" s="6" t="inlineStr">
        <is>
          <t>Faktureringsgraden står i B9, og prisen ved alternativ A i B47.</t>
        </is>
      </c>
    </row>
    <row r="29">
      <c r="A29" s="6" t="inlineStr">
        <is>
          <t>A2 · Hvor mange timer tåler en fastpris?</t>
        </is>
      </c>
      <c r="B29" s="8" t="inlineStr">
        <is>
          <t>Oppdrag</t>
        </is>
      </c>
      <c r="C29" s="6" t="inlineStr">
        <is>
          <t>Timetallet står ferdig regnet i B44.</t>
        </is>
      </c>
    </row>
    <row r="30">
      <c r="A30" s="6" t="inlineStr">
        <is>
          <t>A3 · Klasseoppgave: sett timeprisen for 2027</t>
        </is>
      </c>
      <c r="B30" s="8" t="inlineStr">
        <is>
          <t>Timepris</t>
        </is>
      </c>
      <c r="C30" s="6" t="inlineStr">
        <is>
          <t>Sett antall montører i B5 og lønnskostnaden i B14, prøv ulike verdier i B7, og les av timeprisen i B32.</t>
        </is>
      </c>
    </row>
    <row r="31">
      <c r="A31" s="6" t="inlineStr">
        <is>
          <t>1 · Timeprisen til Nordlys</t>
        </is>
      </c>
      <c r="B31" s="8" t="inlineStr">
        <is>
          <t>Timepris</t>
        </is>
      </c>
      <c r="C31" s="6" t="inlineStr">
        <is>
          <t>Endre B5, B6 og B7. Les av B9, B25, B30, B32 og B34. Deloppgave d) leser du i B47 og B48, og e) i arket Faktureringsgrad.</t>
        </is>
      </c>
    </row>
    <row r="32">
      <c r="A32" s="6" t="inlineStr">
        <is>
          <t>2 · Handelskalkylen og de to prosentene</t>
        </is>
      </c>
      <c r="B32" s="8" t="inlineStr">
        <is>
          <t>Handelskalkyle</t>
        </is>
      </c>
      <c r="C32" s="6" t="inlineStr">
        <is>
          <t>Endre B5, B6, B8, B11 og B17. Les av B13, B16, B18, B21, B22, B23 og B29.</t>
        </is>
      </c>
    </row>
    <row r="33">
      <c r="A33" s="6" t="inlineStr">
        <is>
          <t>3 · Sikringsskapet: selvkost og bidrag</t>
        </is>
      </c>
      <c r="B33" s="8" t="inlineStr">
        <is>
          <t>Oppdrag</t>
        </is>
      </c>
      <c r="C33" s="6" t="inlineStr">
        <is>
          <t>Endre B6, C6, D7, D8 og D10. Les av D11, D13 og D15. Deloppgave b) og c) regner du i bidragsblokka: skriv kundens pris i D27 og les av D29 og D30.</t>
        </is>
      </c>
    </row>
    <row r="34">
      <c r="A34" s="6" t="inlineStr">
        <is>
          <t>4 · Etterkalkylen</t>
        </is>
      </c>
      <c r="B34" s="8" t="inlineStr">
        <is>
          <t>Oppdrag</t>
        </is>
      </c>
      <c r="C34" s="6" t="inlineStr">
        <is>
          <t>Sett timene i C36 til de faktiske. Les av C41, C42 og avvikene i kolonne D. Timegrensen står i B44, den nye prisen i B45.</t>
        </is>
      </c>
    </row>
    <row r="35">
      <c r="A35" s="6" t="inlineStr">
        <is>
          <t>5 · Eksamensnær: vi taper anbud på pris</t>
        </is>
      </c>
      <c r="B35" s="8" t="inlineStr">
        <is>
          <t>Scenario</t>
        </is>
      </c>
      <c r="C35" s="6" t="inlineStr">
        <is>
          <t>Scenario A: endre C8 og D8. Scenario B: endre B24. Scenario C: endre B45 og les av B48, B49, B50, B56 og B59.</t>
        </is>
      </c>
    </row>
    <row r="36"/>
    <row r="37">
      <c r="A37" s="4" t="inlineStr">
        <is>
          <t>Kontrollradene</t>
        </is>
      </c>
    </row>
    <row r="38">
      <c r="A38" s="6" t="inlineStr">
        <is>
          <t>Hvert regneark har en kontrollblokk nederst. Står det OK, henger tallene sammen. Står det AVVIK, farges cellen rød, og teksten sier hva som ikke går opp.</t>
        </is>
      </c>
    </row>
    <row r="39">
      <c r="A39" s="6" t="inlineStr">
        <is>
          <t>Ett unntak: kontrollen i scenario B skal vise AVVIK med tallene som ligger inne. Der er avviket selve svaret — prisen er så lav at året ikke har timer nok til å dekke de faste kostnadene.</t>
        </is>
      </c>
    </row>
    <row r="40">
      <c r="A40" s="3" t="inlineStr">
        <is>
          <t>Kontroller i arbeidsboka: Timepris B42, Timepris B43, Timepris B44, Handelskalkyle B33, Handelskalkyle B34, Handelskalkyle B35, Oppdrag D48, Oppdrag D49, Oppdrag D50, Faktureringsgrad D29, Faktureringsgrad D30, Scenario B18, Scenario B39, Scenario B62, Scenario B63</t>
        </is>
      </c>
    </row>
    <row r="41"/>
    <row r="42">
      <c r="A42" s="4" t="inlineStr">
        <is>
          <t>Kilder</t>
        </is>
      </c>
    </row>
    <row r="43">
      <c r="A43" s="3" t="inlineStr">
        <is>
          <t>Hjertnes, J. og Skorpen, K.: Økonomistyring for LØM-emnet (ISBN 978-82-450-5544-3), kapittel 5 «Kalkulasjon og kalkyleprinsipper», avsnitt 5.1, 5.1.2, 5.2 og 5.2.1. Formler for faktureringsgrad, timelønn og dekningsbidrag: formelsamlingen til LØM-emnet. Merverdiavgiftssatser: merverdiavgiftsloven kapittel 5 (Lovdata).</t>
        </is>
      </c>
    </row>
    <row r="44">
      <c r="A44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5">
      <c r="A45" s="3" t="inlineStr">
        <is>
          <t>Nordlys Elektro AS er en konstruert casebedrift. Tallene henger sammen på tvers av alle ti kapitlene i Økonomistyring for LØM-emnet.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52" customWidth="1" min="4" max="4"/>
  </cols>
  <sheetData>
    <row r="1">
      <c r="A1" s="1" t="inlineStr">
        <is>
          <t>Hva må timen koste?</t>
        </is>
      </c>
    </row>
    <row r="2">
      <c r="A2" s="2" t="inlineStr">
        <is>
          <t>Endre de gule cellene. Alt annet regner seg selv.</t>
        </is>
      </c>
    </row>
    <row r="3"/>
    <row r="4">
      <c r="A4" s="4" t="inlineStr">
        <is>
          <t>1 · Kapasiteten</t>
        </is>
      </c>
    </row>
    <row r="5">
      <c r="A5" s="6" t="inlineStr">
        <is>
          <t>Antall montører (fakturerbare)</t>
        </is>
      </c>
      <c r="B5" s="10" t="n">
        <v>12</v>
      </c>
      <c r="D5" s="6" t="inlineStr">
        <is>
          <t>Lærlinger som ikke faktureres fullt, telles som en brøkdel.</t>
        </is>
      </c>
    </row>
    <row r="6">
      <c r="A6" s="6" t="inlineStr">
        <is>
          <t>Tilgjengelige timer per montør per år</t>
        </is>
      </c>
      <c r="B6" s="10" t="n">
        <v>1695</v>
      </c>
      <c r="D6" s="6" t="inlineStr">
        <is>
          <t>Årsverket etter ferie, helligdager, kurs og annet fravær.</t>
        </is>
      </c>
    </row>
    <row r="7">
      <c r="A7" s="6" t="inlineStr">
        <is>
          <t>Fakturerte timer per montør per år</t>
        </is>
      </c>
      <c r="B7" s="10" t="n">
        <v>1200</v>
      </c>
      <c r="D7" s="6" t="inlineStr">
        <is>
          <t>Timene som faktisk står på en faktura. Hent tallet fra timeregistreringen.</t>
        </is>
      </c>
    </row>
    <row r="8"/>
    <row r="9">
      <c r="A9" s="6" t="inlineStr">
        <is>
          <t>Faktureringsgrad</t>
        </is>
      </c>
      <c r="B9" s="11">
        <f>B7/B6</f>
        <v/>
      </c>
      <c r="D9" s="6" t="inlineStr">
        <is>
          <t>Kapitlets viktigste tall. De fleste anslår for høyt.</t>
        </is>
      </c>
    </row>
    <row r="10">
      <c r="A10" s="6" t="inlineStr">
        <is>
          <t>Tilgjengelige timer totalt</t>
        </is>
      </c>
      <c r="B10" s="12">
        <f>B5*B6</f>
        <v/>
      </c>
    </row>
    <row r="11">
      <c r="A11" s="8" t="inlineStr">
        <is>
          <t>Fakturerte timer totalt</t>
        </is>
      </c>
      <c r="B11" s="13">
        <f>B5*B7</f>
        <v/>
      </c>
      <c r="D11" s="6" t="inlineStr">
        <is>
          <t>Det er DETTE tallet timeprisen skal regnes på.</t>
        </is>
      </c>
    </row>
    <row r="12"/>
    <row r="13">
      <c r="A13" s="4" t="inlineStr">
        <is>
          <t>2 · Kostnadene for et år</t>
        </is>
      </c>
    </row>
    <row r="14">
      <c r="A14" s="6" t="inlineStr">
        <is>
          <t>Lønnskostnad, montører og lærlinger</t>
        </is>
      </c>
      <c r="B14" s="14" t="n">
        <v>8440000</v>
      </c>
      <c r="D14" s="6" t="inlineStr">
        <is>
          <t>Lønn med feriepenger, arbeidsgiveravgift og pensjon.</t>
        </is>
      </c>
    </row>
    <row r="15">
      <c r="A15" s="6" t="inlineStr">
        <is>
          <t>Lønnskostnad, administrasjon</t>
        </is>
      </c>
      <c r="B15" s="14" t="n">
        <v>2220000</v>
      </c>
      <c r="D15" s="6" t="inlineStr">
        <is>
          <t>Daglig leder, kalkulatør, driftsleder og kontor.</t>
        </is>
      </c>
    </row>
    <row r="16">
      <c r="A16" s="6" t="inlineStr">
        <is>
          <t>Varekostnad materiell</t>
        </is>
      </c>
      <c r="B16" s="14" t="n">
        <v>7990000</v>
      </c>
    </row>
    <row r="17">
      <c r="A17" s="6" t="inlineStr">
        <is>
          <t>Varekostnad innleide montører</t>
        </is>
      </c>
      <c r="B17" s="14" t="n">
        <v>400000</v>
      </c>
    </row>
    <row r="18">
      <c r="A18" s="6" t="inlineStr">
        <is>
          <t>Avskrivninger</t>
        </is>
      </c>
      <c r="B18" s="14" t="n">
        <v>620000</v>
      </c>
    </row>
    <row r="19">
      <c r="A19" s="6" t="inlineStr">
        <is>
          <t>Andre variable kostnader</t>
        </is>
      </c>
      <c r="B19" s="14" t="n">
        <v>386000</v>
      </c>
      <c r="D19" s="6" t="inlineStr">
        <is>
          <t>Drivstoff og forbruksmateriell knyttet til oppdragene.</t>
        </is>
      </c>
    </row>
    <row r="20">
      <c r="A20" s="6" t="inlineStr">
        <is>
          <t>Andre faste kostnader</t>
        </is>
      </c>
      <c r="B20" s="14" t="n">
        <v>1000000</v>
      </c>
      <c r="D20" s="6" t="inlineStr">
        <is>
          <t>Husleie, forsikring, IT, telefon, regnskap og kurs.</t>
        </is>
      </c>
    </row>
    <row r="21">
      <c r="A21" s="8" t="inlineStr">
        <is>
          <t>= Sum driftskostnader</t>
        </is>
      </c>
      <c r="B21" s="15">
        <f>SUM(B14:B20)</f>
        <v/>
      </c>
    </row>
    <row r="22"/>
    <row r="23">
      <c r="A23" s="4" t="inlineStr">
        <is>
          <t>3 · Hva timene må hente inn</t>
        </is>
      </c>
    </row>
    <row r="24">
      <c r="A24" s="6" t="inlineStr">
        <is>
          <t>− materiell fakturert videre</t>
        </is>
      </c>
      <c r="B24" s="14" t="n">
        <v>9584000</v>
      </c>
      <c r="D24" s="6" t="inlineStr">
        <is>
          <t>Salgsinntekten som IKKE kommer fra timer. Resten må timene bære.</t>
        </is>
      </c>
    </row>
    <row r="25">
      <c r="A25" s="8" t="inlineStr">
        <is>
          <t>= Kostnader timeprisen må dekke</t>
        </is>
      </c>
      <c r="B25" s="15">
        <f>B21-B24</f>
        <v/>
      </c>
    </row>
    <row r="26">
      <c r="A26" s="6" t="inlineStr">
        <is>
          <t>Ønsket driftsresultat for året</t>
        </is>
      </c>
      <c r="B26" s="14" t="n">
        <v>1344000</v>
      </c>
      <c r="D26" s="6" t="inlineStr">
        <is>
          <t>Det du vil sitte igjen med. Sett det du trenger, ikke det du håper.</t>
        </is>
      </c>
    </row>
    <row r="27">
      <c r="A27" s="8" t="inlineStr">
        <is>
          <t>= Sum som skal hentes inn på timene</t>
        </is>
      </c>
      <c r="B27" s="15">
        <f>B25+B26</f>
        <v/>
      </c>
    </row>
    <row r="28"/>
    <row r="29">
      <c r="A29" s="4" t="inlineStr">
        <is>
          <t>4 · Timeprisen kalkylen gir</t>
        </is>
      </c>
    </row>
    <row r="30">
      <c r="A30" s="6" t="inlineStr">
        <is>
          <t>Selvkost per fakturert time</t>
        </is>
      </c>
      <c r="B30" s="16">
        <f>B25/B11</f>
        <v/>
      </c>
      <c r="D30" s="6" t="inlineStr">
        <is>
          <t>Her går bedriften nøyaktig i null.</t>
        </is>
      </c>
    </row>
    <row r="31">
      <c r="A31" s="6" t="inlineStr">
        <is>
          <t>Fortjeneste per fakturert time</t>
        </is>
      </c>
      <c r="B31" s="16">
        <f>B26/B11</f>
        <v/>
      </c>
      <c r="C31" s="17">
        <f>B31/B30</f>
        <v/>
      </c>
      <c r="D31" s="6" t="inlineStr">
        <is>
          <t>Kolonne C: fortjenesten i prosent av selvkost.</t>
        </is>
      </c>
    </row>
    <row r="32">
      <c r="A32" s="8" t="inlineStr">
        <is>
          <t>= Timepris uten mva.</t>
        </is>
      </c>
      <c r="B32" s="18">
        <f>B30+B31</f>
        <v/>
      </c>
    </row>
    <row r="33">
      <c r="A33" s="6" t="inlineStr">
        <is>
          <t>Merverdiavgift</t>
        </is>
      </c>
      <c r="B33" s="19" t="n">
        <v>0.25</v>
      </c>
    </row>
    <row r="34">
      <c r="A34" s="8" t="inlineStr">
        <is>
          <t>= Timepris med mva.</t>
        </is>
      </c>
      <c r="B34" s="18">
        <f>B32*(1+B33)</f>
        <v/>
      </c>
      <c r="D34" s="6" t="inlineStr">
        <is>
          <t>Prisen privatkunden ser.</t>
        </is>
      </c>
    </row>
    <row r="35"/>
    <row r="36">
      <c r="A36" s="4" t="inlineStr">
        <is>
          <t>5 · Timeprisen du faktisk bruker — den ene knappen</t>
        </is>
      </c>
    </row>
    <row r="37">
      <c r="A37" s="8" t="inlineStr">
        <is>
          <t>TIMEPRIS UTEN MVA. SOM BRUKES I ALLE ARK</t>
        </is>
      </c>
      <c r="B37" s="20" t="n">
        <v>890</v>
      </c>
      <c r="D37" s="6" t="inlineStr">
        <is>
          <t>Dette er cellen du endrer. Arkene Oppdrag, Faktureringsgrad og Scenario henter timeprisen herfra.</t>
        </is>
      </c>
    </row>
    <row r="38">
      <c r="A38" s="6" t="inlineStr">
        <is>
          <t>Timepris med mva.</t>
        </is>
      </c>
      <c r="B38" s="16">
        <f>B37*(1+B33)</f>
        <v/>
      </c>
    </row>
    <row r="39">
      <c r="A39" s="6" t="inlineStr">
        <is>
          <t>Avvik fra timeprisen kalkylen gir</t>
        </is>
      </c>
      <c r="B39" s="16">
        <f>B37-B32</f>
        <v/>
      </c>
      <c r="D39" s="6" t="inlineStr">
        <is>
          <t>Står det noe annet enn null her, tar du en annen pris enn din egen kalkyle tilsier.</t>
        </is>
      </c>
    </row>
    <row r="40"/>
    <row r="41">
      <c r="A41" s="4" t="inlineStr">
        <is>
          <t>Kontroll</t>
        </is>
      </c>
    </row>
    <row r="42">
      <c r="A42" s="6" t="inlineStr">
        <is>
          <t>Henter timeprisen inn det den skal?</t>
        </is>
      </c>
      <c r="B42" s="21">
        <f>IF(ABS(B32*B11-B27)&lt;1,"OK — timeprisen henter inn nøyaktig det den skal","AVVIK: timepris ganger fakturerte timer er ikke lik summen i B27")</f>
        <v/>
      </c>
    </row>
    <row r="43">
      <c r="A43" s="6" t="inlineStr">
        <is>
          <t>Dekker prisen du bruker selvkost per time?</t>
        </is>
      </c>
      <c r="B43" s="21">
        <f>IF(B37&gt;=B30,"OK — prisen du bruker dekker selvkost per time. Under den grensen taper bedriften penger på hver eneste time","AVVIK: prisen du bruker ligger UNDER selvkost per time — da taper bedriften penger på hver eneste time")</f>
        <v/>
      </c>
    </row>
    <row r="44">
      <c r="A44" s="6" t="inlineStr">
        <is>
          <t>Er faktureringsgraden mulig?</t>
        </is>
      </c>
      <c r="B44" s="21">
        <f>IF(AND(B9&gt;0,B9&lt;1),"OK — faktureringsgraden ligger mellom null og hundre prosent","AVVIK: fakturerte timer kan ikke overstige tilgjengelige timer")</f>
        <v/>
      </c>
    </row>
    <row r="45"/>
    <row r="46">
      <c r="A46" s="4" t="inlineStr">
        <is>
          <t>6 · Feilen som koster mest</t>
        </is>
      </c>
    </row>
    <row r="47">
      <c r="A47" s="6" t="inlineStr">
        <is>
          <t>Timepris hvis du deler på ALLE tilgjengelige timer</t>
        </is>
      </c>
      <c r="B47" s="16">
        <f>B27/B10</f>
        <v/>
      </c>
      <c r="D47" s="6" t="inlineStr">
        <is>
          <t>Den vanligste feilen i faget. Se hvor mye lavere prisen blir.</t>
        </is>
      </c>
    </row>
    <row r="48">
      <c r="A48" s="8" t="inlineStr">
        <is>
          <t>Det den feilen koster deg på et år</t>
        </is>
      </c>
      <c r="B48" s="15">
        <f>B27-B47*B11</f>
        <v/>
      </c>
      <c r="D48" s="6" t="inlineStr">
        <is>
          <t>Manglende dekning når du priser på tilgjengelige, men fakturerer færre timer.</t>
        </is>
      </c>
    </row>
    <row r="49"/>
    <row r="50">
      <c r="A50" s="8" t="inlineStr">
        <is>
          <t>Prøv dette: sett fakturerte timer i B7 ned med 100. Se hva som skjer med B32.</t>
        </is>
      </c>
    </row>
    <row r="51">
      <c r="A51" s="3" t="inlineStr">
        <is>
          <t>Kilde: Økonomistyring for LØM-emnet, kap. 5.2 og formelsamlingen (timelønn, faktureringsgrad). Tallene er Nordlys Elektro AS sitt regnskap for 2026.</t>
        </is>
      </c>
    </row>
  </sheetData>
  <conditionalFormatting sqref="B42">
    <cfRule type="expression" priority="1" dxfId="0" stopIfTrue="0">
      <formula>LEFT(B42,5)="AVVIK"</formula>
    </cfRule>
  </conditionalFormatting>
  <conditionalFormatting sqref="B43">
    <cfRule type="expression" priority="2" dxfId="0" stopIfTrue="0">
      <formula>LEFT(B43,5)="AVVIK"</formula>
    </cfRule>
  </conditionalFormatting>
  <conditionalFormatting sqref="B44">
    <cfRule type="expression" priority="3" dxfId="0" stopIfTrue="0">
      <formula>LEFT(B44,5)="AVVIK"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56" customWidth="1" min="4" max="4"/>
  </cols>
  <sheetData>
    <row r="1">
      <c r="A1" s="1" t="inlineStr">
        <is>
          <t>Fra innkjøpspris til det kunden betaler</t>
        </is>
      </c>
    </row>
    <row r="2">
      <c r="A2" s="2" t="inlineStr">
        <is>
          <t>Handelskalkylen. Arket står med Nordlys' eget materiellpåslag — bytt prosentene når du regner lærebokas eksempel.</t>
        </is>
      </c>
    </row>
    <row r="3"/>
    <row r="4">
      <c r="A4" s="4" t="inlineStr">
        <is>
          <t>1 · Kalkylen</t>
        </is>
      </c>
    </row>
    <row r="5">
      <c r="A5" s="6" t="inlineStr">
        <is>
          <t>Innkjøpspris fra leverandøren</t>
        </is>
      </c>
      <c r="B5" s="14" t="n">
        <v>68000</v>
      </c>
      <c r="D5" s="6" t="inlineStr">
        <is>
          <t>Fakturaen fra grossisten, uten mva.</t>
        </is>
      </c>
    </row>
    <row r="6">
      <c r="A6" s="6" t="inlineStr">
        <is>
          <t>+ innkjøpskostnader (frakt og forsikring)</t>
        </is>
      </c>
      <c r="B6" s="14" t="n">
        <v>3200</v>
      </c>
    </row>
    <row r="7">
      <c r="A7" s="8" t="inlineStr">
        <is>
          <t>= Inntakskost (= varekostnad)</t>
        </is>
      </c>
      <c r="B7" s="15">
        <f>B5+B6</f>
        <v/>
      </c>
      <c r="D7" s="6" t="inlineStr">
        <is>
          <t>Det varen kostet å få inn i bedriften. Alle prosentpåslag regnes videre herfra.</t>
        </is>
      </c>
    </row>
    <row r="8">
      <c r="A8" s="6" t="inlineStr">
        <is>
          <t>Påslag for indirekte kostnader</t>
        </is>
      </c>
      <c r="B8" s="19" t="n">
        <v>0</v>
      </c>
      <c r="D8" s="6" t="inlineStr">
        <is>
          <t>Nordlys bruker ett samlet påslag på materiell og setter denne til null. Læreboka deler påslaget i to — sett lærebokas prosent inn her.</t>
        </is>
      </c>
    </row>
    <row r="9">
      <c r="A9" s="6" t="inlineStr">
        <is>
          <t>+ indirekte kostnader i kroner</t>
        </is>
      </c>
      <c r="B9" s="16">
        <f>B7*B8</f>
        <v/>
      </c>
    </row>
    <row r="10">
      <c r="A10" s="8" t="inlineStr">
        <is>
          <t>= Selvkost</t>
        </is>
      </c>
      <c r="B10" s="18">
        <f>B7+B9</f>
        <v/>
      </c>
    </row>
    <row r="11">
      <c r="A11" s="6" t="inlineStr">
        <is>
          <t>Fortjeneste i prosent av selvkost</t>
        </is>
      </c>
      <c r="B11" s="19" t="n">
        <v>0.2</v>
      </c>
      <c r="D11" s="6" t="inlineStr">
        <is>
          <t>Nordlys' påslag på materiell som faktureres videre.</t>
        </is>
      </c>
    </row>
    <row r="12">
      <c r="A12" s="6" t="inlineStr">
        <is>
          <t>+ fortjeneste i kroner</t>
        </is>
      </c>
      <c r="B12" s="16">
        <f>B10*B11</f>
        <v/>
      </c>
    </row>
    <row r="13">
      <c r="A13" s="8" t="inlineStr">
        <is>
          <t>= Pris uten mva.</t>
        </is>
      </c>
      <c r="B13" s="18">
        <f>B10+B12</f>
        <v/>
      </c>
    </row>
    <row r="14">
      <c r="A14" s="6" t="inlineStr">
        <is>
          <t>Merverdiavgift</t>
        </is>
      </c>
      <c r="B14" s="19" t="n">
        <v>0.25</v>
      </c>
    </row>
    <row r="15">
      <c r="A15" s="6" t="inlineStr">
        <is>
          <t>+ merverdiavgift i kroner</t>
        </is>
      </c>
      <c r="B15" s="16">
        <f>B13*B14</f>
        <v/>
      </c>
    </row>
    <row r="16">
      <c r="A16" s="8" t="inlineStr">
        <is>
          <t>= Pris med mva.</t>
        </is>
      </c>
      <c r="B16" s="18">
        <f>B13+B15</f>
        <v/>
      </c>
    </row>
    <row r="17">
      <c r="A17" s="6" t="inlineStr">
        <is>
          <t>Antall enheter i partiet</t>
        </is>
      </c>
      <c r="B17" s="10" t="n">
        <v>1</v>
      </c>
    </row>
    <row r="18">
      <c r="A18" s="6" t="inlineStr">
        <is>
          <t>Pris per enhet med mva.</t>
        </is>
      </c>
      <c r="B18" s="16">
        <f>B16/B17</f>
        <v/>
      </c>
      <c r="D18" s="6" t="inlineStr">
        <is>
          <t>Sett antallet i B17 når oppgaven spør om prisen per enhet.</t>
        </is>
      </c>
    </row>
    <row r="19"/>
    <row r="20">
      <c r="A20" s="4" t="inlineStr">
        <is>
          <t>2 · Avanse og bruttofortjeneste — samme kroner, to prosenter</t>
        </is>
      </c>
    </row>
    <row r="21">
      <c r="A21" s="6" t="inlineStr">
        <is>
          <t>Avanse i kroner</t>
        </is>
      </c>
      <c r="B21" s="16">
        <f>B13-B7</f>
        <v/>
      </c>
      <c r="D21" s="6" t="inlineStr">
        <is>
          <t>Pris uten mva. minus inntakskost.</t>
        </is>
      </c>
    </row>
    <row r="22">
      <c r="A22" s="6" t="inlineStr">
        <is>
          <t>Avanse i prosent av inntakskost</t>
        </is>
      </c>
      <c r="B22" s="17">
        <f>B21/B7</f>
        <v/>
      </c>
    </row>
    <row r="23">
      <c r="A23" s="6" t="inlineStr">
        <is>
          <t>Bruttofortjeneste i prosent av pris uten mva.</t>
        </is>
      </c>
      <c r="B23" s="17">
        <f>B21/B13</f>
        <v/>
      </c>
      <c r="D23" s="6" t="inlineStr">
        <is>
          <t>Samme kroner, mindre prosent. Nevneren er ulik.</t>
        </is>
      </c>
    </row>
    <row r="24">
      <c r="A24" s="6" t="inlineStr">
        <is>
          <t>Kalkylefaktor</t>
        </is>
      </c>
      <c r="B24" s="22">
        <f>(1+B8)*(1+B11)</f>
        <v/>
      </c>
      <c r="D24" s="6" t="inlineStr">
        <is>
          <t>Inntakskost ganger denne faktoren gir prisen uten mva. direkte.</t>
        </is>
      </c>
    </row>
    <row r="25"/>
    <row r="26">
      <c r="A26" s="4" t="inlineStr">
        <is>
          <t>3 · Feilen: å legge de to påslagene sammen</t>
        </is>
      </c>
    </row>
    <row r="27">
      <c r="A27" s="6" t="inlineStr">
        <is>
          <t>Samlet påslag hvis du legger dem sammen</t>
        </is>
      </c>
      <c r="B27" s="17">
        <f>B8+B11</f>
        <v/>
      </c>
    </row>
    <row r="28">
      <c r="A28" s="6" t="inlineStr">
        <is>
          <t>Pris uten mva. med den feilen</t>
        </is>
      </c>
      <c r="B28" s="16">
        <f>B7*(1+B27)</f>
        <v/>
      </c>
    </row>
    <row r="29">
      <c r="A29" s="8" t="inlineStr">
        <is>
          <t>Hvor mye for lavt tilbudet ligger</t>
        </is>
      </c>
      <c r="B29" s="18">
        <f>B13-B28</f>
        <v/>
      </c>
    </row>
    <row r="30">
      <c r="A30" s="6" t="inlineStr">
        <is>
          <t>Andel av fortjenesten som forsvinner</t>
        </is>
      </c>
      <c r="B30" s="17">
        <f>IF(B12=0,"",B29/B12)</f>
        <v/>
      </c>
      <c r="D30" s="6" t="inlineStr">
        <is>
          <t>Prosentpåslag oppå prosentpåslag virker multiplikativt, ikke additivt.</t>
        </is>
      </c>
    </row>
    <row r="31"/>
    <row r="32">
      <c r="A32" s="4" t="inlineStr">
        <is>
          <t>Kontroll</t>
        </is>
      </c>
    </row>
    <row r="33">
      <c r="A33" s="6" t="inlineStr">
        <is>
          <t>Gir kalkylefaktoren samme pris som kalkylen?</t>
        </is>
      </c>
      <c r="B33" s="21">
        <f>IF(ABS(B7*B24-B13)&lt;0.01,"OK — faktor og kalkyle gir samme pris","AVVIK: kalkylefaktoren stemmer ikke med kalkylen")</f>
        <v/>
      </c>
    </row>
    <row r="34">
      <c r="A34" s="6" t="inlineStr">
        <is>
          <t>Er bruttofortjenesten lavere enn avansen?</t>
        </is>
      </c>
      <c r="B34" s="21">
        <f>IF(B21=0,"OK — ingen avanse å sammenlikne",IF(B23&lt;B22,"OK — bruttofortjenesten er lavere enn avansen, som den skal","AVVIK: bruttofortjenesten kan ikke være større enn avansen"))</f>
        <v/>
      </c>
    </row>
    <row r="35">
      <c r="A35" s="6" t="inlineStr">
        <is>
          <t>Gir feilmetoden en for lav pris?</t>
        </is>
      </c>
      <c r="B35" s="21">
        <f>IF(B8*B11=0,"OK — bare ett påslag, da er metodene like",IF(B29&gt;0,"OK — å legge påslagene sammen gir for lav pris","AVVIK: feilmetoden skal gi lavere pris enn kalkylen"))</f>
        <v/>
      </c>
    </row>
    <row r="36"/>
    <row r="37">
      <c r="A37" s="8" t="inlineStr">
        <is>
          <t>Prøv dette: sett B8 til lærebokas påslag for indirekte kostnader og B11 til fortjenesteprosenten, og les av B22, B23 og B29. Det er oppgave 2.</t>
        </is>
      </c>
    </row>
    <row r="38">
      <c r="A38" s="3" t="inlineStr">
        <is>
          <t>Kilde: Bok 1 avsnitt 5.1 og 5.1.2. Materiellpåslaget er Nordlys Elektro AS' eget.</t>
        </is>
      </c>
    </row>
  </sheetData>
  <conditionalFormatting sqref="B33">
    <cfRule type="expression" priority="1" dxfId="0" stopIfTrue="0">
      <formula>LEFT(B33,5)="AVVIK"</formula>
    </cfRule>
  </conditionalFormatting>
  <conditionalFormatting sqref="B34">
    <cfRule type="expression" priority="2" dxfId="0" stopIfTrue="0">
      <formula>LEFT(B34,5)="AVVIK"</formula>
    </cfRule>
  </conditionalFormatting>
  <conditionalFormatting sqref="B35">
    <cfRule type="expression" priority="3" dxfId="0" stopIfTrue="0">
      <formula>LEFT(B35,5)="AVVIK"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4" customWidth="1" min="3" max="3"/>
    <col width="15" customWidth="1" min="4" max="4"/>
    <col width="50" customWidth="1" min="5" max="5"/>
  </cols>
  <sheetData>
    <row r="1">
      <c r="A1" s="1" t="inlineStr">
        <is>
          <t>Ett oppdrag: fra kostnad til kundens pris</t>
        </is>
      </c>
    </row>
    <row r="2">
      <c r="A2" s="2" t="inlineStr">
        <is>
          <t>Sikringsskapbytte hos privatkunde. Endre de gule cellene.</t>
        </is>
      </c>
    </row>
    <row r="3"/>
    <row r="4">
      <c r="A4" s="4" t="inlineStr">
        <is>
          <t>1 · Forkalkylen — det du gir kunden</t>
        </is>
      </c>
    </row>
    <row r="5" ht="28" customHeight="1">
      <c r="A5" s="9" t="inlineStr">
        <is>
          <t>Post</t>
        </is>
      </c>
      <c r="B5" s="9" t="inlineStr">
        <is>
          <t>Antall</t>
        </is>
      </c>
      <c r="C5" s="9" t="inlineStr">
        <is>
          <t>Sats</t>
        </is>
      </c>
      <c r="D5" s="9" t="inlineStr">
        <is>
          <t>Kroner</t>
        </is>
      </c>
      <c r="E5" s="9" t="inlineStr">
        <is>
          <t>Forklaring</t>
        </is>
      </c>
    </row>
    <row r="6">
      <c r="A6" s="6" t="inlineStr">
        <is>
          <t>Direkte arbeid</t>
        </is>
      </c>
      <c r="B6" s="23" t="n">
        <v>14</v>
      </c>
      <c r="C6" s="14" t="n">
        <v>640</v>
      </c>
      <c r="D6" s="24">
        <f>B6*C6</f>
        <v/>
      </c>
      <c r="E6" s="6" t="inlineStr">
        <is>
          <t>Antall timer × kostsats per time. Kostsatsen er ikke timeprisen til kunden.</t>
        </is>
      </c>
    </row>
    <row r="7">
      <c r="A7" s="6" t="inlineStr">
        <is>
          <t>Direkte materiell (inntakskost)</t>
        </is>
      </c>
      <c r="D7" s="14" t="n">
        <v>9800</v>
      </c>
      <c r="E7" s="6" t="inlineStr">
        <is>
          <t>Innkjøpspris pluss frakt — det materiellet kostet å få inn.</t>
        </is>
      </c>
    </row>
    <row r="8">
      <c r="A8" s="6" t="inlineStr">
        <is>
          <t>Andre direkte kostnader</t>
        </is>
      </c>
      <c r="D8" s="14" t="n">
        <v>800</v>
      </c>
      <c r="E8" s="6" t="inlineStr">
        <is>
          <t>Kjøring og forbruksmateriell.</t>
        </is>
      </c>
    </row>
    <row r="9">
      <c r="A9" s="8" t="inlineStr">
        <is>
          <t>= Sum direkte kostnader</t>
        </is>
      </c>
      <c r="D9" s="15">
        <f>SUM(D6:D8)</f>
        <v/>
      </c>
      <c r="E9" s="6" t="inlineStr">
        <is>
          <t>Direkte kostnader er alltid variable. Dette er også merkosten.</t>
        </is>
      </c>
    </row>
    <row r="10">
      <c r="A10" s="6" t="inlineStr">
        <is>
          <t>+ indirekte kostnader</t>
        </is>
      </c>
      <c r="D10" s="14" t="n">
        <v>4200</v>
      </c>
      <c r="E10" s="6" t="inlineStr">
        <is>
          <t>Oppdragets andel av kontor, husleie, biler og avskrivninger.</t>
        </is>
      </c>
    </row>
    <row r="11">
      <c r="A11" s="8" t="inlineStr">
        <is>
          <t>= Selvkost</t>
        </is>
      </c>
      <c r="D11" s="15">
        <f>D9+D10</f>
        <v/>
      </c>
      <c r="E11" s="6" t="inlineStr">
        <is>
          <t>Her går jobben i null.</t>
        </is>
      </c>
    </row>
    <row r="12">
      <c r="A12" s="6" t="inlineStr">
        <is>
          <t>+ fortjeneste</t>
        </is>
      </c>
      <c r="C12" s="19" t="n">
        <v>0.12</v>
      </c>
      <c r="D12" s="16">
        <f>D11*C12</f>
        <v/>
      </c>
      <c r="E12" s="6" t="inlineStr">
        <is>
          <t>Prosent AV SELVKOST — ikke av de direkte kostnadene.</t>
        </is>
      </c>
    </row>
    <row r="13">
      <c r="A13" s="8" t="inlineStr">
        <is>
          <t>= Pris uten mva.</t>
        </is>
      </c>
      <c r="D13" s="18">
        <f>D11+D12</f>
        <v/>
      </c>
      <c r="E13" s="6" t="inlineStr">
        <is>
          <t>Tilbudet til en næringskunde.</t>
        </is>
      </c>
    </row>
    <row r="14">
      <c r="A14" s="6" t="inlineStr">
        <is>
          <t>+ merverdiavgift</t>
        </is>
      </c>
      <c r="C14" s="19" t="n">
        <v>0.25</v>
      </c>
      <c r="D14" s="16">
        <f>D13*C14</f>
        <v/>
      </c>
    </row>
    <row r="15">
      <c r="A15" s="8" t="inlineStr">
        <is>
          <t>= Pris med mva.</t>
        </is>
      </c>
      <c r="D15" s="18">
        <f>D13+D14</f>
        <v/>
      </c>
      <c r="E15" s="6" t="inlineStr">
        <is>
          <t>Det privatkunden betaler.</t>
        </is>
      </c>
    </row>
    <row r="16"/>
    <row r="17">
      <c r="A17" s="4" t="inlineStr">
        <is>
          <t>2 · Samme jobb priset etter prislista</t>
        </is>
      </c>
    </row>
    <row r="18">
      <c r="A18" s="6" t="inlineStr">
        <is>
          <t>Timepris i bruk, uten mva.</t>
        </is>
      </c>
      <c r="B18" s="16">
        <f>Timepris!B37</f>
        <v/>
      </c>
      <c r="E18" s="6" t="inlineStr">
        <is>
          <t>Hentet fra Timepris!B37. Endrer du den cellen, endrer denne seg med.</t>
        </is>
      </c>
    </row>
    <row r="19">
      <c r="A19" s="6" t="inlineStr">
        <is>
          <t>Timer × timepris</t>
        </is>
      </c>
      <c r="D19" s="16">
        <f>B6*B18</f>
        <v/>
      </c>
    </row>
    <row r="20">
      <c r="A20" s="6" t="inlineStr">
        <is>
          <t>Materiell med påslag</t>
        </is>
      </c>
      <c r="C20" s="19" t="n">
        <v>0.2</v>
      </c>
      <c r="D20" s="16">
        <f>D7*(1+C20)</f>
        <v/>
      </c>
    </row>
    <row r="21">
      <c r="A21" s="6" t="inlineStr">
        <is>
          <t>Andre direkte kostnader viderefakturert</t>
        </is>
      </c>
      <c r="D21" s="16">
        <f>D8</f>
        <v/>
      </c>
    </row>
    <row r="22">
      <c r="A22" s="8" t="inlineStr">
        <is>
          <t>= Pris uten mva. etter prislista</t>
        </is>
      </c>
      <c r="D22" s="18">
        <f>D19+D20+D21</f>
        <v/>
      </c>
    </row>
    <row r="23">
      <c r="A23" s="8" t="inlineStr">
        <is>
          <t>Forskjell fra selvkostkalkylen</t>
        </is>
      </c>
      <c r="D23" s="18">
        <f>D22-D13</f>
        <v/>
      </c>
      <c r="E23" s="6" t="inlineStr">
        <is>
          <t>Prislista og kalkylen gir sjelden nøyaktig samme svar. Er forskjellen stor, er enten timeprisen eller de indirekte kostnadene i kalkylen feil.</t>
        </is>
      </c>
    </row>
    <row r="24"/>
    <row r="25">
      <c r="A25" s="4" t="inlineStr">
        <is>
          <t>3 · Bidragskalkyle — når prisen er gitt</t>
        </is>
      </c>
    </row>
    <row r="26">
      <c r="A26" s="6" t="inlineStr">
        <is>
          <t>Merkost (minimumskost)</t>
        </is>
      </c>
      <c r="D26" s="24">
        <f>D9</f>
        <v/>
      </c>
      <c r="E26" s="6" t="inlineStr">
        <is>
          <t>Bare kostnadene som kommer av å ta jobben. De indirekte regnes som faste.</t>
        </is>
      </c>
    </row>
    <row r="27">
      <c r="A27" s="6" t="inlineStr">
        <is>
          <t>Pris kunden tilbyr, uten mva.</t>
        </is>
      </c>
      <c r="D27" s="14" t="n">
        <v>0</v>
      </c>
      <c r="E27" s="6" t="inlineStr">
        <is>
          <t>Skriv inn kundens pris. Står den på 0, brukes prisen fra forkalkylen.</t>
        </is>
      </c>
    </row>
    <row r="28">
      <c r="A28" s="6" t="inlineStr">
        <is>
          <t>Pris brukt i bidragskalkylen</t>
        </is>
      </c>
      <c r="D28" s="16">
        <f>IF(D27&gt;0,D27,D13)</f>
        <v/>
      </c>
    </row>
    <row r="29">
      <c r="A29" s="8" t="inlineStr">
        <is>
          <t>= Dekningsbidrag</t>
        </is>
      </c>
      <c r="D29" s="18">
        <f>D28-D26</f>
        <v/>
      </c>
    </row>
    <row r="30">
      <c r="A30" s="6" t="inlineStr">
        <is>
          <t>Dekningsgrad</t>
        </is>
      </c>
      <c r="D30" s="17">
        <f>D29/D28</f>
        <v/>
      </c>
    </row>
    <row r="31">
      <c r="A31" s="6" t="inlineStr">
        <is>
          <t>Konklusjon</t>
        </is>
      </c>
      <c r="E31" s="25">
        <f>IF(D29&gt;0,"Positivt dekningsbidrag — ta jobben HVIS det er ledig kapasitet","Negativt dekningsbidrag — si nei uansett")</f>
        <v/>
      </c>
    </row>
    <row r="32">
      <c r="A32" s="3" t="inlineStr">
        <is>
          <t>Regelen for pristilbud: bidragsmetoden gjelder ved ledig kapasitet, i lavsesong og for å holde volumet oppe i krisetid. Ikke ellers.</t>
        </is>
      </c>
    </row>
    <row r="33"/>
    <row r="34">
      <c r="A34" s="4" t="inlineStr">
        <is>
          <t>4 · Etterkalkylen — hva jobben faktisk kostet</t>
        </is>
      </c>
    </row>
    <row r="35" ht="28" customHeight="1">
      <c r="A35" s="9" t="inlineStr">
        <is>
          <t>Post</t>
        </is>
      </c>
      <c r="B35" s="9" t="inlineStr">
        <is>
          <t>Forkalkyle</t>
        </is>
      </c>
      <c r="C35" s="9" t="inlineStr">
        <is>
          <t>Etterkalkyle</t>
        </is>
      </c>
      <c r="D35" s="9" t="inlineStr">
        <is>
          <t>Avvik i kr</t>
        </is>
      </c>
      <c r="E35" s="9" t="inlineStr">
        <is>
          <t>Avvik i prosent</t>
        </is>
      </c>
    </row>
    <row r="36">
      <c r="A36" s="6" t="inlineStr">
        <is>
          <t>Timer brukt</t>
        </is>
      </c>
      <c r="B36" s="22">
        <f>B6</f>
        <v/>
      </c>
      <c r="C36" s="23" t="n">
        <v>14</v>
      </c>
      <c r="D36" s="16">
        <f>(C36-B36)*$C$6</f>
        <v/>
      </c>
      <c r="E36" s="17">
        <f>IF(B36=0,"",(C36-B36)/B36)</f>
        <v/>
      </c>
    </row>
    <row r="37">
      <c r="A37" s="6" t="inlineStr">
        <is>
          <t>Direkte arbeid</t>
        </is>
      </c>
      <c r="B37" s="24">
        <f>D6</f>
        <v/>
      </c>
      <c r="C37" s="24">
        <f>C36*$C$6</f>
        <v/>
      </c>
      <c r="D37" s="16">
        <f>C37-B37</f>
        <v/>
      </c>
      <c r="E37" s="17">
        <f>IF(B37=0,"",(C37-B37)/B37)</f>
        <v/>
      </c>
    </row>
    <row r="38">
      <c r="A38" s="6" t="inlineStr">
        <is>
          <t>Direkte materiell</t>
        </is>
      </c>
      <c r="B38" s="24">
        <f>D7</f>
        <v/>
      </c>
      <c r="C38" s="14" t="n">
        <v>9800</v>
      </c>
      <c r="D38" s="16">
        <f>C38-B38</f>
        <v/>
      </c>
      <c r="E38" s="17">
        <f>IF(B38=0,"",(C38-B38)/B38)</f>
        <v/>
      </c>
    </row>
    <row r="39">
      <c r="A39" s="6" t="inlineStr">
        <is>
          <t>Andre direkte kostnader</t>
        </is>
      </c>
      <c r="B39" s="24">
        <f>D8</f>
        <v/>
      </c>
      <c r="C39" s="14" t="n">
        <v>800</v>
      </c>
      <c r="D39" s="16">
        <f>C39-B39</f>
        <v/>
      </c>
      <c r="E39" s="17">
        <f>IF(B39=0,"",(C39-B39)/B39)</f>
        <v/>
      </c>
    </row>
    <row r="40">
      <c r="A40" s="6" t="inlineStr">
        <is>
          <t>Indirekte kostnader</t>
        </is>
      </c>
      <c r="B40" s="24">
        <f>D10</f>
        <v/>
      </c>
      <c r="C40" s="14" t="n">
        <v>4200</v>
      </c>
      <c r="D40" s="16">
        <f>C40-B40</f>
        <v/>
      </c>
      <c r="E40" s="17">
        <f>IF(B40=0,"",(C40-B40)/B40)</f>
        <v/>
      </c>
    </row>
    <row r="41">
      <c r="A41" s="8" t="inlineStr">
        <is>
          <t>= Selvkost</t>
        </is>
      </c>
      <c r="B41" s="15">
        <f>D11</f>
        <v/>
      </c>
      <c r="C41" s="15">
        <f>C37+C38+C39+C40</f>
        <v/>
      </c>
      <c r="D41" s="18">
        <f>C41-B41</f>
        <v/>
      </c>
      <c r="E41" s="17">
        <f>IF(B41=0,"",(C41-B41)/B41)</f>
        <v/>
      </c>
    </row>
    <row r="42">
      <c r="A42" s="8" t="inlineStr">
        <is>
          <t>Fortjeneste ved avtalt fastpris</t>
        </is>
      </c>
      <c r="B42" s="18">
        <f>D12</f>
        <v/>
      </c>
      <c r="C42" s="18">
        <f>$D$13-C41</f>
        <v/>
      </c>
      <c r="D42" s="18">
        <f>C42-B42</f>
        <v/>
      </c>
      <c r="E42" s="6" t="inlineStr">
        <is>
          <t>Fastpris betyr at timene er din risiko, ikke kundens.</t>
        </is>
      </c>
    </row>
    <row r="43"/>
    <row r="44">
      <c r="A44" s="6" t="inlineStr">
        <is>
          <t>Hvor mange timer tåler jobben?</t>
        </is>
      </c>
      <c r="B44" s="22">
        <f>(D13-C38-C39-C40)/C6</f>
        <v/>
      </c>
      <c r="E44" s="6" t="inlineStr">
        <is>
          <t>Over dette timetallet er hele fortjenesten borte ved avtalt fastpris.</t>
        </is>
      </c>
    </row>
    <row r="45">
      <c r="A45" s="6" t="inlineStr">
        <is>
          <t>Ny pris med mva. hvis vi kalkulerer med de faktiske timene</t>
        </is>
      </c>
      <c r="B45" s="16">
        <f>C41*(1+C12)*(1+C14)</f>
        <v/>
      </c>
      <c r="E45" s="6" t="inlineStr">
        <is>
          <t>Neste forkalkyle. Sammenlikn med D15.</t>
        </is>
      </c>
    </row>
    <row r="46"/>
    <row r="47">
      <c r="A47" s="4" t="inlineStr">
        <is>
          <t>Kontroll</t>
        </is>
      </c>
    </row>
    <row r="48">
      <c r="A48" s="6" t="inlineStr">
        <is>
          <t>Går kalkylestigen opp?</t>
        </is>
      </c>
      <c r="D48" s="21">
        <f>IF(ABS(D9+D10-D11)&lt;0.01,"OK — direkte + indirekte = selvkost","AVVIK: selvkosten stemmer ikke med postene over")</f>
        <v/>
      </c>
    </row>
    <row r="49">
      <c r="A49" s="6" t="inlineStr">
        <is>
          <t>Er mva. lagt på riktig grunnlag?</t>
        </is>
      </c>
      <c r="D49" s="21">
        <f>IF(ABS(D15-D13*(1+C14))&lt;0.01,"OK — mva. er regnet av prisen uten mva.","AVVIK: merverdiavgiften er regnet av feil grunnlag")</f>
        <v/>
      </c>
    </row>
    <row r="50">
      <c r="A50" s="6" t="inlineStr">
        <is>
          <t>Summerer avvikene seg opp?</t>
        </is>
      </c>
      <c r="D50" s="21">
        <f>IF(ABS(D41-(D37+D38+D39+D40))&lt;0.01,"OK — avvikene på linjene summerer seg til avviket på selvkost","AVVIK: linjeavvikene summerer seg ikke til avviket på selvkost")</f>
        <v/>
      </c>
    </row>
    <row r="51"/>
    <row r="52">
      <c r="A52" s="8" t="inlineStr">
        <is>
          <t>Sett timene i C36 til 19 og se hva som skjer med fortjenesten i C42. Det er oppgave 4 i øvingsheftet.</t>
        </is>
      </c>
    </row>
    <row r="53">
      <c r="A53" s="3" t="inlineStr">
        <is>
          <t>Kilde: Økonomistyring for LØM-emnet, kap. 5.2, 5.2.1 og avsnittet om for- og etterkalkyle. Oppdraget er Nordlys' eget.</t>
        </is>
      </c>
    </row>
  </sheetData>
  <conditionalFormatting sqref="D48">
    <cfRule type="expression" priority="1" dxfId="0" stopIfTrue="0">
      <formula>LEFT(D48,5)="AVVIK"</formula>
    </cfRule>
  </conditionalFormatting>
  <conditionalFormatting sqref="D49">
    <cfRule type="expression" priority="2" dxfId="0" stopIfTrue="0">
      <formula>LEFT(D49,5)="AVVIK"</formula>
    </cfRule>
  </conditionalFormatting>
  <conditionalFormatting sqref="D50">
    <cfRule type="expression" priority="3" dxfId="0" stopIfTrue="0">
      <formula>LEFT(D50,5)="AVVIK"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2" customWidth="1" min="5" max="5"/>
    <col width="46" customWidth="1" min="6" max="6"/>
  </cols>
  <sheetData>
    <row r="1">
      <c r="A1" s="1" t="inlineStr">
        <is>
          <t>Hva faktureringsgraden gjør med timeprisen</t>
        </is>
      </c>
    </row>
    <row r="2">
      <c r="A2" s="2" t="inlineStr">
        <is>
          <t>Samme kostnader, samme ønskede resultat — bare færre timer å dele på.</t>
        </is>
      </c>
    </row>
    <row r="3"/>
    <row r="4">
      <c r="A4" s="4" t="inlineStr">
        <is>
          <t>Hentes fra arket Timepris</t>
        </is>
      </c>
    </row>
    <row r="5">
      <c r="A5" s="6" t="inlineStr">
        <is>
          <t>Sum som skal hentes inn på timene</t>
        </is>
      </c>
      <c r="B5" s="24">
        <f>Timepris!B27</f>
        <v/>
      </c>
    </row>
    <row r="6">
      <c r="A6" s="6" t="inlineStr">
        <is>
          <t>Antall montører</t>
        </is>
      </c>
      <c r="B6" s="12">
        <f>Timepris!B5</f>
        <v/>
      </c>
    </row>
    <row r="7">
      <c r="A7" s="6" t="inlineStr">
        <is>
          <t>Tilgjengelige timer per montør</t>
        </is>
      </c>
      <c r="B7" s="12">
        <f>Timepris!B6</f>
        <v/>
      </c>
    </row>
    <row r="8">
      <c r="A8" s="6" t="inlineStr">
        <is>
          <t>Dagens faktureringsgrad</t>
        </is>
      </c>
      <c r="B8" s="11">
        <f>Timepris!B9</f>
        <v/>
      </c>
    </row>
    <row r="9">
      <c r="A9" s="6" t="inlineStr">
        <is>
          <t>Timeprisen du bruker i dag, uten mva.</t>
        </is>
      </c>
      <c r="B9" s="18">
        <f>Timepris!B37</f>
        <v/>
      </c>
    </row>
    <row r="10"/>
    <row r="11" ht="28" customHeight="1">
      <c r="A11" s="9" t="inlineStr">
        <is>
          <t>Faktureringsgrad</t>
        </is>
      </c>
      <c r="B11" s="9" t="inlineStr">
        <is>
          <t>Timer per montør</t>
        </is>
      </c>
      <c r="C11" s="9" t="inlineStr">
        <is>
          <t>Fakturerte timer</t>
        </is>
      </c>
      <c r="D11" s="9" t="inlineStr">
        <is>
          <t>Timepris uten mva.</t>
        </is>
      </c>
      <c r="E11" s="9" t="inlineStr">
        <is>
          <t>Endring fra i dag</t>
        </is>
      </c>
      <c r="F11" s="9" t="inlineStr">
        <is>
          <t>Hva det betyr</t>
        </is>
      </c>
    </row>
    <row r="12">
      <c r="A12" s="19" t="n">
        <v>0.9</v>
      </c>
      <c r="B12" s="22">
        <f>A12*$B$7</f>
        <v/>
      </c>
      <c r="C12" s="22">
        <f>B12*$B$6</f>
        <v/>
      </c>
      <c r="D12" s="16">
        <f>$B$5/C12</f>
        <v/>
      </c>
      <c r="E12" s="17">
        <f>D12/$B$9-1</f>
        <v/>
      </c>
      <c r="F12" s="6" t="inlineStr">
        <is>
          <t>Urealistisk høyt. Ingen montør kjører aldri og venter aldri.</t>
        </is>
      </c>
    </row>
    <row r="13">
      <c r="A13" s="19" t="n">
        <v>0.85</v>
      </c>
      <c r="B13" s="22">
        <f>A13*$B$7</f>
        <v/>
      </c>
      <c r="C13" s="22">
        <f>B13*$B$6</f>
        <v/>
      </c>
      <c r="D13" s="16">
        <f>$B$5/C13</f>
        <v/>
      </c>
      <c r="E13" s="17">
        <f>D13/$B$9-1</f>
        <v/>
      </c>
      <c r="F13" s="6" t="inlineStr">
        <is>
          <t>Svært godt drevet. Krever ferdig plukket materiell og god planlegging.</t>
        </is>
      </c>
    </row>
    <row r="14">
      <c r="A14" s="19" t="n">
        <v>0.8</v>
      </c>
      <c r="B14" s="22">
        <f>A14*$B$7</f>
        <v/>
      </c>
      <c r="C14" s="22">
        <f>B14*$B$6</f>
        <v/>
      </c>
      <c r="D14" s="16">
        <f>$B$5/C14</f>
        <v/>
      </c>
      <c r="E14" s="17">
        <f>D14/$B$9-1</f>
        <v/>
      </c>
      <c r="F14" s="6" t="inlineStr">
        <is>
          <t>Godt. Her ligger de beste i bransjen.</t>
        </is>
      </c>
    </row>
    <row r="15">
      <c r="A15" s="19" t="n">
        <v>0.75</v>
      </c>
      <c r="B15" s="22">
        <f>A15*$B$7</f>
        <v/>
      </c>
      <c r="C15" s="22">
        <f>B15*$B$6</f>
        <v/>
      </c>
      <c r="D15" s="16">
        <f>$B$5/C15</f>
        <v/>
      </c>
      <c r="E15" s="17">
        <f>D15/$B$9-1</f>
        <v/>
      </c>
      <c r="F15" s="6" t="inlineStr">
        <is>
          <t>Bra. Et realistisk mål for de fleste.</t>
        </is>
      </c>
    </row>
    <row r="16">
      <c r="A16" s="17">
        <f>$B$8</f>
        <v/>
      </c>
      <c r="B16" s="22">
        <f>A16*$B$7</f>
        <v/>
      </c>
      <c r="C16" s="22">
        <f>B16*$B$6</f>
        <v/>
      </c>
      <c r="D16" s="18">
        <f>$B$5/C16</f>
        <v/>
      </c>
      <c r="E16" s="17">
        <f>D16/$B$9-1</f>
        <v/>
      </c>
      <c r="F16" s="6" t="inlineStr">
        <is>
          <t>Nordlys i dag.</t>
        </is>
      </c>
    </row>
    <row r="17">
      <c r="A17" s="19" t="n">
        <v>0.7</v>
      </c>
      <c r="B17" s="22">
        <f>A17*$B$7</f>
        <v/>
      </c>
      <c r="C17" s="22">
        <f>B17*$B$6</f>
        <v/>
      </c>
      <c r="D17" s="16">
        <f>$B$5/C17</f>
        <v/>
      </c>
      <c r="E17" s="17">
        <f>D17/$B$9-1</f>
        <v/>
      </c>
      <c r="F17" s="6" t="inlineStr">
        <is>
          <t>Vanlig nivå i en installasjonsbedrift. Scenario A i arket Scenario.</t>
        </is>
      </c>
    </row>
    <row r="18">
      <c r="A18" s="17">
        <f>$B$8-0.05</f>
        <v/>
      </c>
      <c r="B18" s="22">
        <f>A18*$B$7</f>
        <v/>
      </c>
      <c r="C18" s="22">
        <f>B18*$B$6</f>
        <v/>
      </c>
      <c r="D18" s="16">
        <f>$B$5/C18</f>
        <v/>
      </c>
      <c r="E18" s="17">
        <f>D18/$B$9-1</f>
        <v/>
      </c>
      <c r="F18" s="6" t="inlineStr">
        <is>
          <t>Fem prosentpoeng ned fra Nordlys.</t>
        </is>
      </c>
    </row>
    <row r="19">
      <c r="A19" s="19" t="n">
        <v>0.65</v>
      </c>
      <c r="B19" s="22">
        <f>A19*$B$7</f>
        <v/>
      </c>
      <c r="C19" s="22">
        <f>B19*$B$6</f>
        <v/>
      </c>
      <c r="D19" s="16">
        <f>$B$5/C19</f>
        <v/>
      </c>
      <c r="E19" s="17">
        <f>D19/$B$9-1</f>
        <v/>
      </c>
      <c r="F19" s="6" t="inlineStr">
        <is>
          <t>Fem prosentpoeng under 70. Se hva prisen må gjøre.</t>
        </is>
      </c>
    </row>
    <row r="20">
      <c r="A20" s="19" t="n">
        <v>0.6</v>
      </c>
      <c r="B20" s="22">
        <f>A20*$B$7</f>
        <v/>
      </c>
      <c r="C20" s="22">
        <f>B20*$B$6</f>
        <v/>
      </c>
      <c r="D20" s="16">
        <f>$B$5/C20</f>
        <v/>
      </c>
      <c r="E20" s="17">
        <f>D20/$B$9-1</f>
        <v/>
      </c>
      <c r="F20" s="6" t="inlineStr">
        <is>
          <t>Her begynner det å svi. Prisen må opp, eller resultatet ryker.</t>
        </is>
      </c>
    </row>
    <row r="21">
      <c r="A21" s="19" t="n">
        <v>0.55</v>
      </c>
      <c r="B21" s="22">
        <f>A21*$B$7</f>
        <v/>
      </c>
      <c r="C21" s="22">
        <f>B21*$B$6</f>
        <v/>
      </c>
      <c r="D21" s="16">
        <f>$B$5/C21</f>
        <v/>
      </c>
      <c r="E21" s="17">
        <f>D21/$B$9-1</f>
        <v/>
      </c>
      <c r="F21" s="6" t="inlineStr">
        <is>
          <t>Nesten halvparten av timene er ubetalt. Ingen pris redder dette.</t>
        </is>
      </c>
    </row>
    <row r="22"/>
    <row r="23">
      <c r="A23" s="4" t="inlineStr">
        <is>
          <t>Les tabellen slik</t>
        </is>
      </c>
    </row>
    <row r="24">
      <c r="A24" s="6" t="inlineStr">
        <is>
          <t>Kostnadene endrer seg ikke én krone nedover i tabellen. Det eneste som endrer seg, er hvor mange timer regningen kan fordeles på.</t>
        </is>
      </c>
    </row>
    <row r="25">
      <c r="A25" s="6" t="inlineStr">
        <is>
          <t>Derfor er faktureringsgraden den enkleste knappen å skru på: hever du den, kan du beholde prisen og likevel tjene mer.</t>
        </is>
      </c>
    </row>
    <row r="26">
      <c r="A26" s="8" t="inlineStr">
        <is>
          <t>Og motsatt: setter du prisen etter et for optimistisk timetall, taper du penger på hver eneste jobb uten å oppdage det før året er omme.</t>
        </is>
      </c>
    </row>
    <row r="27"/>
    <row r="28">
      <c r="A28" s="4" t="inlineStr">
        <is>
          <t>Kontroll</t>
        </is>
      </c>
    </row>
    <row r="29">
      <c r="A29" s="6" t="inlineStr">
        <is>
          <t>Stemmer raden «Nordlys i dag» med kalkylen?</t>
        </is>
      </c>
      <c r="D29" s="21">
        <f>IF(ABS(D16-Timepris!B32)&lt;0.01,"OK — raden gir samme timepris som kalkylen i arket Timepris","AVVIK: raden stemmer ikke med kalkylen i arket Timepris")</f>
        <v/>
      </c>
    </row>
    <row r="30">
      <c r="A30" s="6" t="inlineStr">
        <is>
          <t>Stiger prisen når faktureringsgraden faller?</t>
        </is>
      </c>
      <c r="D30" s="21">
        <f>IF(D12&lt;D21,"OK — lavere faktureringsgrad krever høyere timepris","AVVIK: tabellen skal stige nedover")</f>
        <v/>
      </c>
    </row>
    <row r="31"/>
    <row r="32">
      <c r="A32" s="3" t="inlineStr">
        <is>
          <t>Kilde: Økonomistyring for LØM-emnet, kap. 5.2 og formelsamlingen. Tallene er Nordlys Elektro AS sine egne.</t>
        </is>
      </c>
    </row>
  </sheetData>
  <conditionalFormatting sqref="D29">
    <cfRule type="expression" priority="1" dxfId="0" stopIfTrue="0">
      <formula>LEFT(D29,5)="AVVIK"</formula>
    </cfRule>
  </conditionalFormatting>
  <conditionalFormatting sqref="D30">
    <cfRule type="expression" priority="2" dxfId="0" stopIfTrue="0">
      <formula>LEFT(D30,5)="AVVIK"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3"/>
    <row r="4">
      <c r="A4" s="4" t="inlineStr">
        <is>
          <t>Scenario A · faktureringsgraden faller</t>
        </is>
      </c>
    </row>
    <row r="5">
      <c r="A5" s="3" t="inlineStr">
        <is>
          <t>Kostnadene er de samme. Det eneste som endrer seg, er hvor mange timer regningen kan fordeles på.</t>
        </is>
      </c>
    </row>
    <row r="6"/>
    <row r="7" ht="28" customHeight="1">
      <c r="A7" s="9" t="inlineStr"/>
      <c r="B7" s="9" t="inlineStr">
        <is>
          <t>Nordlys i dag</t>
        </is>
      </c>
      <c r="C7" s="9" t="inlineStr">
        <is>
          <t>Scenario A</t>
        </is>
      </c>
      <c r="D7" s="9" t="inlineStr">
        <is>
          <t>Scenario B</t>
        </is>
      </c>
      <c r="E7" s="9" t="inlineStr">
        <is>
          <t>Hva raden betyr</t>
        </is>
      </c>
    </row>
    <row r="8">
      <c r="A8" s="8" t="inlineStr">
        <is>
          <t>Faktureringsgrad</t>
        </is>
      </c>
      <c r="B8" s="26">
        <f>Timepris!B9</f>
        <v/>
      </c>
      <c r="C8" s="19" t="n">
        <v>0.7</v>
      </c>
      <c r="D8" s="19" t="n">
        <v>0.65</v>
      </c>
      <c r="E8" s="6" t="inlineStr">
        <is>
          <t>De gule cellene er scenarioene. Endre dem fritt.</t>
        </is>
      </c>
    </row>
    <row r="9">
      <c r="A9" s="6" t="inlineStr">
        <is>
          <t>Fakturerte timer i året</t>
        </is>
      </c>
      <c r="B9" s="22">
        <f>B8*Timepris!$B$10</f>
        <v/>
      </c>
      <c r="C9" s="22">
        <f>C8*Timepris!$B$10</f>
        <v/>
      </c>
      <c r="D9" s="22">
        <f>D8*Timepris!$B$10</f>
        <v/>
      </c>
      <c r="E9" s="6" t="inlineStr">
        <is>
          <t>Faktureringsgrad × tilgjengelige timer.</t>
        </is>
      </c>
    </row>
    <row r="10">
      <c r="A10" s="6" t="inlineStr">
        <is>
          <t>Sum som skal hentes inn på timene</t>
        </is>
      </c>
      <c r="B10" s="24">
        <f>Timepris!$B$27</f>
        <v/>
      </c>
      <c r="C10" s="24">
        <f>Timepris!$B$27</f>
        <v/>
      </c>
      <c r="D10" s="24">
        <f>Timepris!$B$27</f>
        <v/>
      </c>
      <c r="E10" s="6" t="inlineStr">
        <is>
          <t>Uendret. Verken kostnadene eller kravet til resultat blir mindre.</t>
        </is>
      </c>
    </row>
    <row r="11">
      <c r="A11" s="8" t="inlineStr">
        <is>
          <t>= Timepris som må til, uten mva.</t>
        </is>
      </c>
      <c r="B11" s="18">
        <f>B10/B9</f>
        <v/>
      </c>
      <c r="C11" s="18">
        <f>C10/C9</f>
        <v/>
      </c>
      <c r="D11" s="18">
        <f>D10/D9</f>
        <v/>
      </c>
      <c r="E11" s="6" t="inlineStr">
        <is>
          <t>Dette er svaret: prisen må opp når timene blir færre.</t>
        </is>
      </c>
    </row>
    <row r="12">
      <c r="A12" s="6" t="inlineStr">
        <is>
          <t>Endring fra timeprisen du bruker</t>
        </is>
      </c>
      <c r="B12" s="16">
        <f>B11-Timepris!$B$37</f>
        <v/>
      </c>
      <c r="C12" s="16">
        <f>C11-Timepris!$B$37</f>
        <v/>
      </c>
      <c r="D12" s="16">
        <f>D11-Timepris!$B$37</f>
        <v/>
      </c>
    </row>
    <row r="13">
      <c r="A13" s="6" t="inlineStr">
        <is>
          <t>Endring i prosent</t>
        </is>
      </c>
      <c r="B13" s="17">
        <f>B11/Timepris!$B$37-1</f>
        <v/>
      </c>
      <c r="C13" s="17">
        <f>C11/Timepris!$B$37-1</f>
        <v/>
      </c>
      <c r="D13" s="17">
        <f>D11/Timepris!$B$37-1</f>
        <v/>
      </c>
    </row>
    <row r="14">
      <c r="A14" s="8" t="inlineStr">
        <is>
          <t>Driftsresultat hvis timeprisen står stille</t>
        </is>
      </c>
      <c r="B14" s="15">
        <f>Timepris!$B$37*B9-Timepris!$B$25</f>
        <v/>
      </c>
      <c r="C14" s="15">
        <f>Timepris!$B$37*C9-Timepris!$B$25</f>
        <v/>
      </c>
      <c r="D14" s="15">
        <f>Timepris!$B$37*D9-Timepris!$B$25</f>
        <v/>
      </c>
      <c r="E14" s="6" t="inlineStr">
        <is>
          <t>Holder du prisen når faktureringsgraden faller, er det resultatet som tar støyten.</t>
        </is>
      </c>
    </row>
    <row r="15">
      <c r="A15" s="6" t="inlineStr">
        <is>
          <t>Endring i driftsresultat fra i dag</t>
        </is>
      </c>
      <c r="B15" s="24">
        <f>B14-$B$14</f>
        <v/>
      </c>
      <c r="C15" s="24">
        <f>C14-$B$14</f>
        <v/>
      </c>
      <c r="D15" s="24">
        <f>D14-$B$14</f>
        <v/>
      </c>
    </row>
    <row r="16"/>
    <row r="17">
      <c r="A17" s="4" t="inlineStr">
        <is>
          <t>Kontroll</t>
        </is>
      </c>
    </row>
    <row r="18">
      <c r="A18" s="6" t="inlineStr">
        <is>
          <t>Krever lavere faktureringsgrad høyere pris?</t>
        </is>
      </c>
      <c r="B18" s="21">
        <f>IF(AND(D8&lt;C8,D11&gt;C11),"OK — færre timer krever høyere timepris","AVVIK: sjekk at scenario B har lavere faktureringsgrad enn scenario A")</f>
        <v/>
      </c>
    </row>
    <row r="19"/>
    <row r="20"/>
    <row r="21">
      <c r="A21" s="4" t="inlineStr">
        <is>
          <t>Scenario B · en jobb prises under selvkost</t>
        </is>
      </c>
    </row>
    <row r="22">
      <c r="A22" s="3" t="inlineStr">
        <is>
          <t>Oppdraget er sikringsskapbyttet fra arket Oppdrag. Kunden får en pris som dekker de direkte kostnadene og halvparten av de indirekte.</t>
        </is>
      </c>
    </row>
    <row r="23"/>
    <row r="24">
      <c r="A24" s="6" t="inlineStr">
        <is>
          <t>Pris kunden får, uten mva.</t>
        </is>
      </c>
      <c r="B24" s="20" t="n">
        <v>21660</v>
      </c>
      <c r="E24" s="6" t="inlineStr">
        <is>
          <t>Endre denne og se når dekningsbidraget snur.</t>
        </is>
      </c>
    </row>
    <row r="25">
      <c r="A25" s="6" t="inlineStr">
        <is>
          <t>Merkost — sum direkte kostnader (arket Oppdrag)</t>
        </is>
      </c>
      <c r="B25" s="24">
        <f>Oppdrag!D9</f>
        <v/>
      </c>
    </row>
    <row r="26">
      <c r="A26" s="6" t="inlineStr">
        <is>
          <t>Selvkost (arket Oppdrag)</t>
        </is>
      </c>
      <c r="B26" s="24">
        <f>Oppdrag!D11</f>
        <v/>
      </c>
    </row>
    <row r="27">
      <c r="A27" s="8" t="inlineStr">
        <is>
          <t>= Dekningsbidrag</t>
        </is>
      </c>
      <c r="B27" s="18">
        <f>B24-B25</f>
        <v/>
      </c>
      <c r="E27" s="6" t="inlineStr">
        <is>
          <t>Fortsatt positivt: jobben bidrar til å dekke de faste kostnadene.</t>
        </is>
      </c>
    </row>
    <row r="28">
      <c r="A28" s="6" t="inlineStr">
        <is>
          <t>Dekningsgrad</t>
        </is>
      </c>
      <c r="B28" s="17">
        <f>B27/B24</f>
        <v/>
      </c>
    </row>
    <row r="29">
      <c r="A29" s="8" t="inlineStr">
        <is>
          <t>= Resultat på jobben</t>
        </is>
      </c>
      <c r="B29" s="18">
        <f>B24-B26</f>
        <v/>
      </c>
      <c r="E29" s="6" t="inlineStr">
        <is>
          <t>Negativt: jobben dekker ikke sin egen andel av kontor, husleie og biler.</t>
        </is>
      </c>
    </row>
    <row r="30">
      <c r="A30" s="6" t="inlineStr">
        <is>
          <t>Andel av oppdragets indirekte kostnader som dekkes</t>
        </is>
      </c>
      <c r="B30" s="17">
        <f>B27/Oppdrag!D10</f>
        <v/>
      </c>
    </row>
    <row r="31">
      <c r="A31" s="8" t="inlineStr">
        <is>
          <t>Dom</t>
        </is>
      </c>
      <c r="E31" s="25">
        <f>IF(B27&lt;0,"Negativt dekningsbidrag — si nei uansett",IF(B29&lt;0,"Positivt dekningsbidrag, men under selvkost — forsvarlig BARE ved ledig kapasitet, aldri som normalpris","Dekker selvkost og gir fortjeneste"))</f>
        <v/>
      </c>
    </row>
    <row r="32"/>
    <row r="33">
      <c r="A33" s="4" t="inlineStr">
        <is>
          <t>Hva om alle jobber prises slik?</t>
        </is>
      </c>
    </row>
    <row r="34">
      <c r="A34" s="6" t="inlineStr">
        <is>
          <t>Faste kostnader i året (kap. 2)</t>
        </is>
      </c>
      <c r="B34" s="14" t="n">
        <v>3840000</v>
      </c>
      <c r="E34" s="6" t="inlineStr">
        <is>
          <t>Administrasjonslønn, avskrivninger og andre faste kostnader.</t>
        </is>
      </c>
    </row>
    <row r="35">
      <c r="A35" s="6" t="inlineStr">
        <is>
          <t>Slike oppdrag for å dekke de faste kostnadene</t>
        </is>
      </c>
      <c r="B35" s="12">
        <f>B34/B27</f>
        <v/>
      </c>
    </row>
    <row r="36">
      <c r="A36" s="6" t="inlineStr">
        <is>
          <t>Til normalprisen fra forkalkylen</t>
        </is>
      </c>
      <c r="B36" s="12">
        <f>B34/(Oppdrag!D13-Oppdrag!D9)</f>
        <v/>
      </c>
    </row>
    <row r="37">
      <c r="A37" s="6" t="inlineStr">
        <is>
          <t>Kapasitet: oppdrag av denne størrelsen i året</t>
        </is>
      </c>
      <c r="B37" s="12">
        <f>Timepris!B11/Oppdrag!B6</f>
        <v/>
      </c>
      <c r="E37" s="6" t="inlineStr">
        <is>
          <t>Fakturerte timer delt på timene ett slikt oppdrag tar.</t>
        </is>
      </c>
    </row>
    <row r="38">
      <c r="A38" s="4" t="inlineStr">
        <is>
          <t>Kontroll</t>
        </is>
      </c>
    </row>
    <row r="39">
      <c r="A39" s="6" t="inlineStr">
        <is>
          <t>Kan underprisen dekke de faste kostnadene?</t>
        </is>
      </c>
      <c r="B39" s="21">
        <f>IF(B35&gt;B37,"AVVIK: året har ikke nok timer — underprisen kan aldri dekke de faste kostnadene","OK — underprisen kan dekkes innenfor kapasiteten")</f>
        <v/>
      </c>
    </row>
    <row r="40">
      <c r="A40" s="3" t="inlineStr">
        <is>
          <t>Her SKAL det stå AVVIK med tallene som ligger inne. Det er hele poenget: prisen er ikke bare lav, den er umulig.</t>
        </is>
      </c>
    </row>
    <row r="41"/>
    <row r="42">
      <c r="A42" s="4" t="inlineStr">
        <is>
          <t>Scenario C · konkurrenten tar en lavere timepris</t>
        </is>
      </c>
    </row>
    <row r="43">
      <c r="A43" s="3" t="inlineStr">
        <is>
          <t>Oppgave 5 i øvingsheftet. Regn først, drøft etterpå.</t>
        </is>
      </c>
    </row>
    <row r="44"/>
    <row r="45">
      <c r="A45" s="6" t="inlineStr">
        <is>
          <t>Konkurrentens timepris uten mva.</t>
        </is>
      </c>
      <c r="B45" s="20" t="n">
        <v>801</v>
      </c>
    </row>
    <row r="46">
      <c r="A46" s="6" t="inlineStr">
        <is>
          <t>Din timepris i bruk, uten mva.</t>
        </is>
      </c>
      <c r="B46" s="16">
        <f>Timepris!B37</f>
        <v/>
      </c>
    </row>
    <row r="47">
      <c r="A47" s="6" t="inlineStr">
        <is>
          <t>Forskjell per time</t>
        </is>
      </c>
      <c r="B47" s="16">
        <f>B46-B45</f>
        <v/>
      </c>
    </row>
    <row r="48">
      <c r="A48" s="8" t="inlineStr">
        <is>
          <t>Hva det koster å matche prisen, ett år</t>
        </is>
      </c>
      <c r="B48" s="15">
        <f>B47*Timepris!B11</f>
        <v/>
      </c>
      <c r="E48" s="6" t="inlineStr">
        <is>
          <t>Forskjellen per time ganger alle timene du fakturerer.</t>
        </is>
      </c>
    </row>
    <row r="49">
      <c r="A49" s="8" t="inlineStr">
        <is>
          <t>Driftsresultat etter at prisen er matchet</t>
        </is>
      </c>
      <c r="B49" s="15">
        <f>Timepris!B26-B48</f>
        <v/>
      </c>
      <c r="E49" s="6" t="inlineStr">
        <is>
          <t>Sammenlikn med ønsket driftsresultat i Timepris!B26.</t>
        </is>
      </c>
    </row>
    <row r="50">
      <c r="A50" s="6" t="inlineStr">
        <is>
          <t>Prosentpoeng faktureringsgrad som gir like mye</t>
        </is>
      </c>
      <c r="B50" s="22">
        <f>B48/(Timepris!B10*0.01*B46)</f>
        <v/>
      </c>
      <c r="E50" s="6" t="inlineStr">
        <is>
          <t>Alternativet til å sette prisen ned: å fakturere flere av timene du allerede betaler for.</t>
        </is>
      </c>
    </row>
    <row r="51">
      <c r="A51" s="6" t="inlineStr">
        <is>
          <t>Din faktureringsgrad da</t>
        </is>
      </c>
      <c r="B51" s="17">
        <f>Timepris!B9+B50/100</f>
        <v/>
      </c>
    </row>
    <row r="52"/>
    <row r="53">
      <c r="A53" s="4" t="inlineStr">
        <is>
          <t>Hvis konkurrenten har samme kostnader og samme fortjenestekrav</t>
        </is>
      </c>
    </row>
    <row r="54">
      <c r="A54" s="6" t="inlineStr">
        <is>
          <t>Konkurrentens selvkost per time må være</t>
        </is>
      </c>
      <c r="B54" s="16">
        <f>B45/(1+Timepris!C31)</f>
        <v/>
      </c>
    </row>
    <row r="55">
      <c r="A55" s="6" t="inlineStr">
        <is>
          <t>Timer han da må fakturere i året</t>
        </is>
      </c>
      <c r="B55" s="12">
        <f>Timepris!B25/B54</f>
        <v/>
      </c>
    </row>
    <row r="56">
      <c r="A56" s="8" t="inlineStr">
        <is>
          <t>Konkurrentens faktureringsgrad</t>
        </is>
      </c>
      <c r="B56" s="11">
        <f>B55/Timepris!B10</f>
        <v/>
      </c>
    </row>
    <row r="57">
      <c r="A57" s="6" t="inlineStr">
        <is>
          <t>Flere fakturerte timer enn Nordlys</t>
        </is>
      </c>
      <c r="B57" s="12">
        <f>B55-Timepris!B11</f>
        <v/>
      </c>
    </row>
    <row r="58">
      <c r="A58" s="6" t="inlineStr">
        <is>
          <t>Normalarbeidsuke, timer</t>
        </is>
      </c>
      <c r="B58" s="23" t="n">
        <v>37.5</v>
      </c>
    </row>
    <row r="59">
      <c r="A59" s="8" t="inlineStr">
        <is>
          <t>Per montør, timer i uka</t>
        </is>
      </c>
      <c r="B59" s="27">
        <f>B57/Timepris!B5/(Timepris!B6/B58)</f>
        <v/>
      </c>
      <c r="E59" s="6" t="inlineStr">
        <is>
          <t>Dette er hele forskjellen mellom deg og konkurrenten, omregnet til noe en formann kan gjøre noe med.</t>
        </is>
      </c>
    </row>
    <row r="60"/>
    <row r="61">
      <c r="A61" s="4" t="inlineStr">
        <is>
          <t>Kontroll</t>
        </is>
      </c>
    </row>
    <row r="62">
      <c r="A62" s="6" t="inlineStr">
        <is>
          <t>Ligger konkurrentprisen over din selvkost per time?</t>
        </is>
      </c>
      <c r="B62" s="21">
        <f>IF(B45&gt;Timepris!B30,"OK — konkurrentprisen dekker så vidt din selvkost per time","AVVIK: konkurrentprisen ligger under din selvkost — å matche den er å tape penger på hver time")</f>
        <v/>
      </c>
    </row>
    <row r="63">
      <c r="A63" s="6" t="inlineStr">
        <is>
          <t>Må konkurrenten fakturere flere timer enn deg?</t>
        </is>
      </c>
      <c r="B63" s="21">
        <f>IF(B55&gt;Timepris!B11,"OK — lavere pris krever flere fakturerte timer","AVVIK: sjekk forutsetningene, regnestykket henger ikke sammen")</f>
        <v/>
      </c>
    </row>
    <row r="64"/>
    <row r="65">
      <c r="A65" s="3" t="inlineStr">
        <is>
          <t>Kilde: Økonomistyring for LØM-emnet, kap. 5.2, kap. 2 om faste og variable kostnader og kap. 7 om hvilke oppdrag som prioriteres. 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18">
    <cfRule type="expression" priority="1" dxfId="0" stopIfTrue="0">
      <formula>LEFT(B18,5)="AVVIK"</formula>
    </cfRule>
  </conditionalFormatting>
  <conditionalFormatting sqref="B39">
    <cfRule type="expression" priority="2" dxfId="0" stopIfTrue="0">
      <formula>LEFT(B39,5)="AVVIK"</formula>
    </cfRule>
  </conditionalFormatting>
  <conditionalFormatting sqref="B62">
    <cfRule type="expression" priority="3" dxfId="0" stopIfTrue="0">
      <formula>LEFT(B62,5)="AVVIK"</formula>
    </cfRule>
  </conditionalFormatting>
  <conditionalFormatting sqref="B63">
    <cfRule type="expression" priority="4" dxfId="0" stopIfTrue="0">
      <formula>LEFT(B63,5)="AVVIK"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2026-09-14T08:33:12Z</dcterms:created>
  <dcterms:modified xmlns:dcterms="http://purl.org/dc/terms/" xmlns:xsi="http://www.w3.org/2001/XMLSchema-instance" xsi:type="dcterms:W3CDTF">2026-10-02T09:36:30Z</dcterms:modified>
</cp:coreProperties>
</file>