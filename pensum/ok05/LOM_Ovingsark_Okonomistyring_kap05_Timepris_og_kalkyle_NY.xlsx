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Timepris" sheetId="3" state="visible" r:id="rId5"/>
    <sheet name="Handelskalkyle" sheetId="4" state="visible" r:id="rId6"/>
    <sheet name="Oppdrag" sheetId="5" state="visible" r:id="rId7"/>
    <sheet name="Faktureringsgrad" sheetId="6" state="visible" r:id="rId8"/>
    <sheet name="Scenari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<sst xmlns="http://schemas.openxmlformats.org/spreadsheetml/2006/main" count="378" uniqueCount="348">
  <si>
    <t xml:space="preserve">Hva må timen koste? Den enkle versjonen</t>
  </si>
  <si>
    <t xml:space="preserve">Fyll inn de seks gule cellene. Svaret står i den grønne. Alt annet regner seg selv. Vil du gå dypere, ligger hele modellen i arkene bak.</t>
  </si>
  <si>
    <t xml:space="preserve">Det du vet</t>
  </si>
  <si>
    <t xml:space="preserve">Hvor mange montører har dere?</t>
  </si>
  <si>
    <t xml:space="preserve">Bare de som kan faktureres. Lærlinger teller som en halv.</t>
  </si>
  <si>
    <t xml:space="preserve">Hvor mange timer er én montør på jobb i året?</t>
  </si>
  <si>
    <t xml:space="preserve">Etter ferie, helligdager og kurs. 1 695 er vanlig i bransjen.</t>
  </si>
  <si>
    <t xml:space="preserve">Hvor mange av de timene får kunden regning for?</t>
  </si>
  <si>
    <t xml:space="preserve">Resten går til kjøring, henting, rydding og venting. De fleste gjetter for høyt.</t>
  </si>
  <si>
    <t xml:space="preserve">Hva bruker bedriften på alt i løpet av et år?</t>
  </si>
  <si>
    <t xml:space="preserve">Lønn, materiell, biler, husleie, alt. Står i regnskapet som sum driftskostnader.</t>
  </si>
  <si>
    <t xml:space="preserve">Hvor mye av det betaler kunden for direkte, som materiell?</t>
  </si>
  <si>
    <t xml:space="preserve">Materiell som faktureres videre med påslag. Det skal ikke dekkes av timene.</t>
  </si>
  <si>
    <t xml:space="preserve">Hvor mye vil dere sitte igjen med i overskudd?</t>
  </si>
  <si>
    <t xml:space="preserve">Det eierne og banken skal ha. Sett det du trenger, ikke det du håper på.</t>
  </si>
  <si>
    <t xml:space="preserve">Regnestykket</t>
  </si>
  <si>
    <t xml:space="preserve">Timer kunden betaler for, hele bedriften</t>
  </si>
  <si>
    <t xml:space="preserve">Montører ganger fakturerte timer. Det er dette tallet du deler på.</t>
  </si>
  <si>
    <t xml:space="preserve">Faktureringsgrad</t>
  </si>
  <si>
    <t xml:space="preserve">Fakturerte timer delt på timer på jobb. Rundt 70 prosent er vanlig.</t>
  </si>
  <si>
    <t xml:space="preserve">Det timene må dekke</t>
  </si>
  <si>
    <t xml:space="preserve">Alt bedriften bruker, minus det kunden betaler for direkte.</t>
  </si>
  <si>
    <t xml:space="preserve">Selvkost per time</t>
  </si>
  <si>
    <t xml:space="preserve">Her går bedriften i null.</t>
  </si>
  <si>
    <t xml:space="preserve">Fortjeneste per time</t>
  </si>
  <si>
    <t xml:space="preserve">Ønsket overskudd delt på de samme timene.</t>
  </si>
  <si>
    <t xml:space="preserve">TIMEPRIS UTEN MVA.</t>
  </si>
  <si>
    <t xml:space="preserve">Dette er prisen på tilbudet til en bedriftskunde.</t>
  </si>
  <si>
    <t xml:space="preserve">Timepris med mva.</t>
  </si>
  <si>
    <t xml:space="preserve">Det privatkunden ser på regningen.</t>
  </si>
  <si>
    <t xml:space="preserve">Hva svaret betyr</t>
  </si>
  <si>
    <t xml:space="preserve">Prøv selv</t>
  </si>
  <si>
    <t xml:space="preserve">1. Sett fakturerte timer (B7) til 1 100. Hva skjer med prisen?</t>
  </si>
  <si>
    <t xml:space="preserve">2. Ansett to montører til (B5 = 14), men husk at lønna deres også kommer inn i B8. Hva skjer?</t>
  </si>
  <si>
    <t xml:space="preserve">3. Hva må B7 være for at prisen skal komme under 800 kroner uten at overskuddet endres?</t>
  </si>
  <si>
    <t xml:space="preserve">Tallene er Nordlys Elektro AS sine for 2026 (faktaarket). Kilde: Økonomistyring for LØM-emnet, kap. 5.2. Nordlys Elektro AS er en konstruert casebedrift.</t>
  </si>
  <si>
    <t xml:space="preserve">Timepris og kalkyle</t>
  </si>
  <si>
    <t xml:space="preserve">LØM Økonomistyring kap. 5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</si>
  <si>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</si>
  <si>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</si>
  <si>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</si>
  <si>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</si>
  <si>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</si>
  <si>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</si>
  <si>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</si>
  <si>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</si>
  <si>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</si>
  <si>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</si>
  <si>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Seks gule celler, ett svar. Timeprisen regnet på den enkleste måten.</t>
  </si>
  <si>
    <t xml:space="preserve">Timepris</t>
  </si>
  <si>
    <t xml:space="preserve">Timepriskalkulatoren. Montører, timer, faktureringsgrad, kostnader og ønsket resultat inn — timeprisen ut. Her ligger den ene cellen du styrer alt fra: B37.</t>
  </si>
  <si>
    <t xml:space="preserve">Handelskalkyle</t>
  </si>
  <si>
    <t xml:space="preserve">Varen som kjøpes inn og selges videre: inntakskost, selvkost, pris, avanse og bruttofortjeneste.</t>
  </si>
  <si>
    <t xml:space="preserve">Oppdrag</t>
  </si>
  <si>
    <t xml:space="preserve">Ett oppdrag fra direkte kostnader via selvkost til kundens pris med mva. Med bidragskalkyle og etterkalkyle.</t>
  </si>
  <si>
    <t xml:space="preserve">Hva timeprisen må være ved ulik faktureringsgrad. Kapitlets viktigste tabell.</t>
  </si>
  <si>
    <t xml:space="preserve">Scenario</t>
  </si>
  <si>
    <t xml:space="preserve">Tre spørsmål: hva skjer når faktureringsgraden faller, når en jobb prises under selvkost, og når en konkurrent tar en lavere timepris.</t>
  </si>
  <si>
    <t xml:space="preserve">Tallene som ligger inne er Nordlys Elektro AS sine egne tall for 2026.</t>
  </si>
  <si>
    <t xml:space="preserve">Arket er laget for å brukes på jobben etterpå: bytt ut de gule cellene med din egen bedrifts tall.</t>
  </si>
  <si>
    <t xml:space="preserve">Merk: timeprisen skal dekke alt bedriften ikke får igjen gjennom materiellet som faktureres videre med påslag.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</si>
  <si>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</si>
  <si>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</si>
  <si>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Den ene knappen</t>
  </si>
  <si>
    <t xml:space="preserve">Timepris!B37</t>
  </si>
  <si>
    <t xml:space="preserve">Timepris uten mva. som brukes overalt</t>
  </si>
  <si>
    <t xml:space="preserve">Endrer du denne cellen, følger arkene Oppdrag, Faktureringsgrad og Scenario med. Cellen over, B32, viser hva kalkylen din sier prisen burde være.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</si>
  <si>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</si>
  <si>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</si>
  <si>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</si>
  <si>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</si>
  <si>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Hvilket timetall skal Ida dele på?</t>
  </si>
  <si>
    <t xml:space="preserve">Faktureringsgraden står i B9, og prisen ved alternativ A i B47.</t>
  </si>
  <si>
    <t xml:space="preserve">A2 · Hvor mange timer tåler en fastpris?</t>
  </si>
  <si>
    <t xml:space="preserve">Timetallet står ferdig regnet i B44.</t>
  </si>
  <si>
    <t xml:space="preserve">A3 · Klasseoppgave: sett timeprisen for 2027</t>
  </si>
  <si>
    <t xml:space="preserve">Sett antall montører i B5 og lønnskostnaden i B14, prøv ulike verdier i B7, og les av timeprisen i B32.</t>
  </si>
  <si>
    <t xml:space="preserve">1 · Timeprisen til Nordlys</t>
  </si>
  <si>
    <t xml:space="preserve">Endre B5, B6 og B7. Les av B9, B25, B30, B32 og B34. Deloppgave d) leser du i B47 og B48, og e) i arket Faktureringsgrad.</t>
  </si>
  <si>
    <t xml:space="preserve">2 · Handelskalkylen og de to prosentene</t>
  </si>
  <si>
    <t xml:space="preserve">Endre B5, B6, B8, B11 og B17. Les av B13, B16, B18, B21, B22, B23 og B29.</t>
  </si>
  <si>
    <t xml:space="preserve">3 · Sikringsskapet: selvkost og bidrag</t>
  </si>
  <si>
    <t xml:space="preserve">Endre B6, C6, D7, D8 og D10. Les av D11, D13 og D15. Deloppgave b) og c) regner du i bidragsblokka: skriv kundens pris i D27 og les av D29 og D30.</t>
  </si>
  <si>
    <t xml:space="preserve">4 · Etterkalkylen</t>
  </si>
  <si>
    <t xml:space="preserve">Sett timene i C36 til de faktiske. Les av C41, C42 og avvikene i kolonne D. Timegrensen står i B44, den nye prisen i B45.</t>
  </si>
  <si>
    <t xml:space="preserve">5 · Eksamensnær: vi taper anbud på pris</t>
  </si>
  <si>
    <t xml:space="preserve">Scenario A: endre C8 og D8. Scenario B: endre B24. Scenario C: endre B45 og les av B48, B49, B50, B56 og B59.</t>
  </si>
  <si>
    <t xml:space="preserve">Kontrollradene</t>
  </si>
  <si>
    <t xml:space="preserve">Hvert regneark har en kontrollblokk nederst. Står det OK, henger tallene sammen. Står det AVVIK, farges cellen rød, og teksten sier hva som ikke går opp.</t>
  </si>
  <si>
    <t xml:space="preserve">Ett unntak: kontrollen i scenario B skal vise AVVIK med tallene som ligger inne. Der er avviket selve svaret — prisen er så lav at året ikke har timer nok til å dekke de faste kostnadene.</t>
  </si>
  <si>
    <t xml:space="preserve">Kontroller i arbeidsboka: Timepris B42, Timepris B43, Timepris B44, Handelskalkyle B33, Handelskalkyle B34, Handelskalkyle B35, Oppdrag D48, Oppdrag D49, Oppdrag D50, Faktureringsgrad D29, Faktureringsgrad D30, Scenario B18, Scenario B39, Scenario B62, Scenario B63</t>
  </si>
  <si>
    <t xml:space="preserve">Kilder</t>
  </si>
  <si>
    <t xml:space="preserve">Hjertnes, J. og Skorpen, K.: Økonomistyring for LØM-emnet (ISBN 978-82-450-5544-3), kapittel 5 «Kalkulasjon og kalkyleprinsipper», avsnitt 5.1, 5.1.2, 5.2 og 5.2.1. Formler for faktureringsgrad, timelønn og dekningsbidrag: formelsamlingen til LØM-emnet. Merverdiavgiftssatser: merverdiavgiftsloven kapittel 5 (Lovdata).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</si>
  <si>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</si>
  <si>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alle ti kapitlene i Økonomistyring for LØM-emnet.</t>
  </si>
  <si>
    <t xml:space="preserve">Hva må timen koste?</t>
  </si>
  <si>
    <t xml:space="preserve">Endre de gule cellene. Alt annet regner seg selv.</t>
  </si>
  <si>
    <t xml:space="preserve">1 · Kapasiteten</t>
  </si>
  <si>
    <t xml:space="preserve">Antall montører (fakturerbare)</t>
  </si>
  <si>
    <t xml:space="preserve">Lærlinger som ikke faktureres fullt, telles som en brøkdel.</t>
  </si>
  <si>
    <t xml:space="preserve">Tilgjengelige timer per montør per år</t>
  </si>
  <si>
    <t xml:space="preserve">Årsverket etter ferie, helligdager, kurs og annet fravær.</t>
  </si>
  <si>
    <t xml:space="preserve">Fakturerte timer per montør per år</t>
  </si>
  <si>
    <t xml:space="preserve">Timene som faktisk står på en faktura. Hent tallet fra timeregistreringen.</t>
  </si>
  <si>
    <t xml:space="preserve">Kapitlets viktigste tall. De fleste anslår for høyt.</t>
  </si>
  <si>
    <t xml:space="preserve">Tilgjengelige timer totalt</t>
  </si>
  <si>
    <t xml:space="preserve">Fakturerte timer totalt</t>
  </si>
  <si>
    <t xml:space="preserve">Det er DETTE tallet timeprisen skal regnes på.</t>
  </si>
  <si>
    <t xml:space="preserve">2 · Kostnadene for et år</t>
  </si>
  <si>
    <t xml:space="preserve">Lønnskostnad, montører og lærlinger</t>
  </si>
  <si>
    <t xml:space="preserve">Lønn med feriepenger, arbeidsgiveravgift og pensjon.</t>
  </si>
  <si>
    <t xml:space="preserve">Lønnskostnad, administrasjon</t>
  </si>
  <si>
    <t xml:space="preserve">Daglig leder, kalkulatør, driftsleder og kontor.</t>
  </si>
  <si>
    <t xml:space="preserve">Varekostnad materiell</t>
  </si>
  <si>
    <t xml:space="preserve">Varekostnad innleide montører</t>
  </si>
  <si>
    <t xml:space="preserve">Avskrivninger</t>
  </si>
  <si>
    <t xml:space="preserve">Andre variable kostnader</t>
  </si>
  <si>
    <t xml:space="preserve">Drivstoff og forbruksmateriell knyttet til oppdragene.</t>
  </si>
  <si>
    <t xml:space="preserve">Andre faste kostnader</t>
  </si>
  <si>
    <t xml:space="preserve">Husleie, forsikring, IT, telefon, regnskap og kurs.</t>
  </si>
  <si>
    <t xml:space="preserve">= Sum driftskostnader</t>
  </si>
  <si>
    <t xml:space="preserve">3 · Hva timene må hente inn</t>
  </si>
  <si>
    <t xml:space="preserve">− materiell fakturert videre</t>
  </si>
  <si>
    <t xml:space="preserve">Salgsinntekten som IKKE kommer fra timer. Resten må timene bære.</t>
  </si>
  <si>
    <t xml:space="preserve">= Kostnader timeprisen må dekke</t>
  </si>
  <si>
    <t xml:space="preserve">Ønsket driftsresultat for året</t>
  </si>
  <si>
    <t xml:space="preserve">Det du vil sitte igjen med. Sett det du trenger, ikke det du håper.</t>
  </si>
  <si>
    <t xml:space="preserve">= Sum som skal hentes inn på timene</t>
  </si>
  <si>
    <t xml:space="preserve">4 · Timeprisen kalkylen gir</t>
  </si>
  <si>
    <t xml:space="preserve">Selvkost per fakturert time</t>
  </si>
  <si>
    <t xml:space="preserve">Her går bedriften nøyaktig i null.</t>
  </si>
  <si>
    <t xml:space="preserve">Fortjeneste per fakturert time</t>
  </si>
  <si>
    <t xml:space="preserve">Kolonne C: fortjenesten i prosent av selvkost.</t>
  </si>
  <si>
    <t xml:space="preserve">= Timepris uten mva.</t>
  </si>
  <si>
    <t xml:space="preserve">Merverdiavgift</t>
  </si>
  <si>
    <t xml:space="preserve">= Timepris med mva.</t>
  </si>
  <si>
    <t xml:space="preserve">Prisen privatkunden ser.</t>
  </si>
  <si>
    <t xml:space="preserve">5 · Timeprisen du faktisk bruker — den ene knappen</t>
  </si>
  <si>
    <t xml:space="preserve">TIMEPRIS UTEN MVA. SOM BRUKES I ALLE ARK</t>
  </si>
  <si>
    <t xml:space="preserve">Dette er cellen du endrer. Arkene Oppdrag, Faktureringsgrad og Scenario henter timeprisen herfra.</t>
  </si>
  <si>
    <t xml:space="preserve">Avvik fra timeprisen kalkylen gir</t>
  </si>
  <si>
    <t xml:space="preserve">Står det noe annet enn null her, tar du en annen pris enn din egen kalkyle tilsier.</t>
  </si>
  <si>
    <t xml:space="preserve">Kontroll</t>
  </si>
  <si>
    <t xml:space="preserve">Henter timeprisen inn det den skal?</t>
  </si>
  <si>
    <t xml:space="preserve">Dekker prisen du bruker selvkost per time?</t>
  </si>
  <si>
    <t xml:space="preserve">Er faktureringsgraden mulig?</t>
  </si>
  <si>
    <t xml:space="preserve">6 · Feilen som koster mest</t>
  </si>
  <si>
    <t xml:space="preserve">Timepris hvis du deler på ALLE tilgjengelige timer</t>
  </si>
  <si>
    <t xml:space="preserve">Den vanligste feilen i faget. Se hvor mye lavere prisen blir.</t>
  </si>
  <si>
    <t xml:space="preserve">Det den feilen koster deg på et år</t>
  </si>
  <si>
    <t xml:space="preserve">Manglende dekning når du priser på tilgjengelige, men fakturerer færre timer.</t>
  </si>
  <si>
    <t xml:space="preserve">Prøv dette: sett fakturerte timer i B7 ned med 100. Se hva som skjer med B32.</t>
  </si>
  <si>
    <t xml:space="preserve">Kilde: Økonomistyring for LØM-emnet, kap. 5.2 og formelsamlingen (timelønn, faktureringsgrad). Tallene er Nordlys Elektro AS sitt regnskap for 2026.</t>
  </si>
  <si>
    <t xml:space="preserve">Fra innkjøpspris til det kunden betaler</t>
  </si>
  <si>
    <t xml:space="preserve">Handelskalkylen. Arket står med Nordlys' eget materiellpåslag — bytt prosentene når du regner lærebokas eksempel.</t>
  </si>
  <si>
    <t xml:space="preserve">1 · Kalkylen</t>
  </si>
  <si>
    <t xml:space="preserve">Innkjøpspris fra leverandøren</t>
  </si>
  <si>
    <t xml:space="preserve">Fakturaen fra grossisten, uten mva.</t>
  </si>
  <si>
    <t xml:space="preserve">+ innkjøpskostnader (frakt og forsikring)</t>
  </si>
  <si>
    <t xml:space="preserve">= Inntakskost (= varekostnad)</t>
  </si>
  <si>
    <t xml:space="preserve">Det varen kostet å få inn i bedriften. Alle prosentpåslag regnes videre herfra.</t>
  </si>
  <si>
    <t xml:space="preserve">Påslag for indirekte kostnader</t>
  </si>
  <si>
    <t xml:space="preserve">Nordlys bruker ett samlet påslag på materiell og setter denne til null. Læreboka deler påslaget i to — sett lærebokas prosent inn her.</t>
  </si>
  <si>
    <t xml:space="preserve">+ indirekte kostnader i kroner</t>
  </si>
  <si>
    <t xml:space="preserve">= Selvkost</t>
  </si>
  <si>
    <t xml:space="preserve">Fortjeneste i prosent av selvkost</t>
  </si>
  <si>
    <t xml:space="preserve">Nordlys' påslag på materiell som faktureres videre.</t>
  </si>
  <si>
    <t xml:space="preserve">+ fortjeneste i kroner</t>
  </si>
  <si>
    <t xml:space="preserve">= Pris uten mva.</t>
  </si>
  <si>
    <t xml:space="preserve">+ merverdiavgift i kroner</t>
  </si>
  <si>
    <t xml:space="preserve">= Pris med mva.</t>
  </si>
  <si>
    <t xml:space="preserve">Antall enheter i partiet</t>
  </si>
  <si>
    <t xml:space="preserve">Pris per enhet med mva.</t>
  </si>
  <si>
    <t xml:space="preserve">Sett antallet i B17 når oppgaven spør om prisen per enhet.</t>
  </si>
  <si>
    <t xml:space="preserve">2 · Avanse og bruttofortjeneste — samme kroner, to prosenter</t>
  </si>
  <si>
    <t xml:space="preserve">Avanse i kroner</t>
  </si>
  <si>
    <t xml:space="preserve">Pris uten mva. minus inntakskost.</t>
  </si>
  <si>
    <t xml:space="preserve">Avanse i prosent av inntakskost</t>
  </si>
  <si>
    <t xml:space="preserve">Bruttofortjeneste i prosent av pris uten mva.</t>
  </si>
  <si>
    <t xml:space="preserve">Samme kroner, mindre prosent. Nevneren er ulik.</t>
  </si>
  <si>
    <t xml:space="preserve">Kalkylefaktor</t>
  </si>
  <si>
    <t xml:space="preserve">Inntakskost ganger denne faktoren gir prisen uten mva. direkte.</t>
  </si>
  <si>
    <t xml:space="preserve">3 · Feilen: å legge de to påslagene sammen</t>
  </si>
  <si>
    <t xml:space="preserve">Samlet påslag hvis du legger dem sammen</t>
  </si>
  <si>
    <t xml:space="preserve">Pris uten mva. med den feilen</t>
  </si>
  <si>
    <t xml:space="preserve">Hvor mye for lavt tilbudet ligger</t>
  </si>
  <si>
    <t xml:space="preserve">Andel av fortjenesten som forsvinner</t>
  </si>
  <si>
    <t xml:space="preserve">Prosentpåslag oppå prosentpåslag virker multiplikativt, ikke additivt.</t>
  </si>
  <si>
    <t xml:space="preserve">Gir kalkylefaktoren samme pris som kalkylen?</t>
  </si>
  <si>
    <t xml:space="preserve">Er bruttofortjenesten lavere enn avansen?</t>
  </si>
  <si>
    <t xml:space="preserve">Gir feilmetoden en for lav pris?</t>
  </si>
  <si>
    <t xml:space="preserve">Prøv dette: sett B8 til lærebokas påslag for indirekte kostnader og B11 til fortjenesteprosenten, og les av B22, B23 og B29. Det er oppgave 2.</t>
  </si>
  <si>
    <t xml:space="preserve">Kilde: Økonomistyring for LØM-emnet, avsnitt 5.1 og 5.1.2. Materiellpåslaget er Nordlys Elektro AS' eget.</t>
  </si>
  <si>
    <t xml:space="preserve">Ett oppdrag: fra kostnad til kundens pris</t>
  </si>
  <si>
    <t xml:space="preserve">Sikringsskapbytte hos privatkunde. Endre de gule cellene.</t>
  </si>
  <si>
    <t xml:space="preserve">1 · Forkalkylen — det du gir kunden</t>
  </si>
  <si>
    <t xml:space="preserve">Post</t>
  </si>
  <si>
    <t xml:space="preserve">Antall</t>
  </si>
  <si>
    <t xml:space="preserve">Sats</t>
  </si>
  <si>
    <t xml:space="preserve">Kroner</t>
  </si>
  <si>
    <t xml:space="preserve">Forklaring</t>
  </si>
  <si>
    <t xml:space="preserve">Direkte arbeid</t>
  </si>
  <si>
    <t xml:space="preserve">Antall timer × kostsats per time. Kostsatsen er ikke timeprisen til kunden.</t>
  </si>
  <si>
    <t xml:space="preserve">Direkte materiell (inntakskost)</t>
  </si>
  <si>
    <t xml:space="preserve">Innkjøpspris pluss frakt — det materiellet kostet å få inn.</t>
  </si>
  <si>
    <t xml:space="preserve">Andre direkte kostnader</t>
  </si>
  <si>
    <t xml:space="preserve">Kjøring og forbruksmateriell.</t>
  </si>
  <si>
    <t xml:space="preserve">= Sum direkte kostnader</t>
  </si>
  <si>
    <t xml:space="preserve">Direkte kostnader er alltid variable. Dette er også merkosten.</t>
  </si>
  <si>
    <t xml:space="preserve">+ indirekte kostnader</t>
  </si>
  <si>
    <t xml:space="preserve">Oppdragets andel av kontor, husleie, biler og avskrivninger.</t>
  </si>
  <si>
    <t xml:space="preserve">Her går jobben i null.</t>
  </si>
  <si>
    <t xml:space="preserve">+ fortjeneste</t>
  </si>
  <si>
    <t xml:space="preserve">Prosent AV SELVKOST — ikke av de direkte kostnadene.</t>
  </si>
  <si>
    <t xml:space="preserve">Tilbudet til en næringskunde.</t>
  </si>
  <si>
    <t xml:space="preserve">+ merverdiavgift</t>
  </si>
  <si>
    <t xml:space="preserve">Det privatkunden betaler.</t>
  </si>
  <si>
    <t xml:space="preserve">2 · Samme jobb priset etter prislista</t>
  </si>
  <si>
    <t xml:space="preserve">Timepris i bruk, uten mva.</t>
  </si>
  <si>
    <t xml:space="preserve">Hentet fra Timepris!B37. Endrer du den cellen, endrer denne seg med.</t>
  </si>
  <si>
    <t xml:space="preserve">Timer × timepris</t>
  </si>
  <si>
    <t xml:space="preserve">Materiell med påslag</t>
  </si>
  <si>
    <t xml:space="preserve">Andre direkte kostnader viderefakturert</t>
  </si>
  <si>
    <t xml:space="preserve">= Pris uten mva. etter prislista</t>
  </si>
  <si>
    <t xml:space="preserve">Forskjell fra selvkostkalkylen</t>
  </si>
  <si>
    <t xml:space="preserve">Prislista og kalkylen gir sjelden nøyaktig samme svar. Er forskjellen stor, er enten timeprisen eller de indirekte kostnadene i kalkylen feil.</t>
  </si>
  <si>
    <t xml:space="preserve">3 · Bidragskalkyle — når prisen er gitt</t>
  </si>
  <si>
    <t xml:space="preserve">Merkost (minimumskost)</t>
  </si>
  <si>
    <t xml:space="preserve">Bare kostnadene som kommer av å ta jobben. De indirekte regnes som faste.</t>
  </si>
  <si>
    <t xml:space="preserve">Pris kunden tilbyr, uten mva.</t>
  </si>
  <si>
    <t xml:space="preserve">Skriv inn kundens pris. Står den på 0, brukes prisen fra forkalkylen.</t>
  </si>
  <si>
    <t xml:space="preserve">Pris brukt i bidragskalkylen</t>
  </si>
  <si>
    <t xml:space="preserve">= Dekningsbidrag</t>
  </si>
  <si>
    <t xml:space="preserve">Dekningsgrad</t>
  </si>
  <si>
    <t xml:space="preserve">Konklusjon</t>
  </si>
  <si>
    <t xml:space="preserve">Regelen for pristilbud: bidragsmetoden gjelder ved ledig kapasitet, i lavsesong og for å holde volumet oppe i krisetid. Ikke ellers.</t>
  </si>
  <si>
    <t xml:space="preserve">4 · Etterkalkylen — hva jobben faktisk kostet</t>
  </si>
  <si>
    <t xml:space="preserve">Forkalkyle</t>
  </si>
  <si>
    <t xml:space="preserve">Etterkalkyle</t>
  </si>
  <si>
    <t xml:space="preserve">Avvik i kr</t>
  </si>
  <si>
    <t xml:space="preserve">Avvik i prosent</t>
  </si>
  <si>
    <t xml:space="preserve">Timer brukt</t>
  </si>
  <si>
    <t xml:space="preserve">Direkte materiell</t>
  </si>
  <si>
    <t xml:space="preserve">Indirekte kostnader</t>
  </si>
  <si>
    <t xml:space="preserve">Fortjeneste ved avtalt fastpris</t>
  </si>
  <si>
    <t xml:space="preserve">Fastpris betyr at timene er din risiko, ikke kundens.</t>
  </si>
  <si>
    <t xml:space="preserve">Hvor mange timer tåler jobben?</t>
  </si>
  <si>
    <t xml:space="preserve">Over dette timetallet er hele fortjenesten borte ved avtalt fastpris.</t>
  </si>
  <si>
    <t xml:space="preserve">Ny pris med mva. hvis vi kalkulerer med de faktiske timene</t>
  </si>
  <si>
    <t xml:space="preserve">Neste forkalkyle. Sammenlikn med D15.</t>
  </si>
  <si>
    <t xml:space="preserve">Går kalkylestigen opp?</t>
  </si>
  <si>
    <t xml:space="preserve">Er mva. lagt på riktig grunnlag?</t>
  </si>
  <si>
    <t xml:space="preserve">Summerer avvikene seg opp?</t>
  </si>
  <si>
    <t xml:space="preserve">Sett timene i C36 til 19 og se hva som skjer med fortjenesten i C42. Det er oppgave 4 i øvingsheftet.</t>
  </si>
  <si>
    <t xml:space="preserve">Kilde: Økonomistyring for LØM-emnet, kap. 5.2, 5.2.1 og avsnittet om for- og etterkalkyle. Oppdraget er Nordlys' eget.</t>
  </si>
  <si>
    <t xml:space="preserve">Hva faktureringsgraden gjør med timeprisen</t>
  </si>
  <si>
    <t xml:space="preserve">Samme kostnader, samme ønskede resultat — bare færre timer å dele på.</t>
  </si>
  <si>
    <t xml:space="preserve">Hentes fra arket Timepris</t>
  </si>
  <si>
    <t xml:space="preserve">Sum som skal hentes inn på timene</t>
  </si>
  <si>
    <t xml:space="preserve">Antall montører</t>
  </si>
  <si>
    <t xml:space="preserve">Tilgjengelige timer per montør</t>
  </si>
  <si>
    <t xml:space="preserve">Dagens faktureringsgrad</t>
  </si>
  <si>
    <t xml:space="preserve">Timeprisen du bruker i dag, uten mva.</t>
  </si>
  <si>
    <t xml:space="preserve">Timer per montør</t>
  </si>
  <si>
    <t xml:space="preserve">Fakturerte timer</t>
  </si>
  <si>
    <t xml:space="preserve">Timepris uten mva.</t>
  </si>
  <si>
    <t xml:space="preserve">Endring fra i dag</t>
  </si>
  <si>
    <t xml:space="preserve">Hva det betyr</t>
  </si>
  <si>
    <t xml:space="preserve">Urealistisk høyt. Ingen montør kjører aldri og venter aldri.</t>
  </si>
  <si>
    <t xml:space="preserve">Svært godt drevet. Krever ferdig plukket materiell og god planlegging.</t>
  </si>
  <si>
    <t xml:space="preserve">Godt. Her ligger de beste i bransjen.</t>
  </si>
  <si>
    <t xml:space="preserve">Bra. Et realistisk mål for de fleste.</t>
  </si>
  <si>
    <t xml:space="preserve">Nordlys i dag.</t>
  </si>
  <si>
    <t xml:space="preserve">Vanlig nivå i en installasjonsbedrift. Scenario A i arket Scenario.</t>
  </si>
  <si>
    <t xml:space="preserve">Fem prosentpoeng ned fra Nordlys.</t>
  </si>
  <si>
    <t xml:space="preserve">Fem prosentpoeng under 70. Se hva prisen må gjøre.</t>
  </si>
  <si>
    <t xml:space="preserve">Her begynner det å svi. Prisen må opp, eller resultatet ryker.</t>
  </si>
  <si>
    <t xml:space="preserve">Nesten halvparten av timene er ubetalt. Ingen pris redder dette.</t>
  </si>
  <si>
    <t xml:space="preserve">Les tabellen slik</t>
  </si>
  <si>
    <t xml:space="preserve">Kostnadene endrer seg ikke én krone nedover i tabellen. Det eneste som endrer seg, er hvor mange timer regningen kan fordeles på.</t>
  </si>
  <si>
    <t xml:space="preserve">Derfor er faktureringsgraden den enkleste knappen å skru på: hever du den, kan du beholde prisen og likevel tjene mer.</t>
  </si>
  <si>
    <t xml:space="preserve">Og motsatt: setter du prisen etter et for optimistisk timetall, taper du penger på hver eneste jobb uten å oppdage det før året er omme.</t>
  </si>
  <si>
    <t xml:space="preserve">Stemmer raden «Nordlys i dag» med kalkylen?</t>
  </si>
  <si>
    <t xml:space="preserve">Stiger prisen når faktureringsgraden faller?</t>
  </si>
  <si>
    <t xml:space="preserve">Kilde: Økonomistyring for LØM-emnet, kap. 5.2 og formelsamlingen. Tallene er Nordlys Elektro AS sine egne.</t>
  </si>
  <si>
    <t xml:space="preserve">Tre scenarioer</t>
  </si>
  <si>
    <t xml:space="preserve">Endre de gule cellene og se hva som skjer. Alle tall hentes fra de andre arkene.</t>
  </si>
  <si>
    <t xml:space="preserve">Scenario A · faktureringsgraden faller</t>
  </si>
  <si>
    <t xml:space="preserve">Kostnadene er de samme. Det eneste som endrer seg, er hvor mange timer regningen kan fordeles på.</t>
  </si>
  <si>
    <t xml:space="preserve">Nordlys i dag</t>
  </si>
  <si>
    <t xml:space="preserve">Scenario A</t>
  </si>
  <si>
    <t xml:space="preserve">Scenario B</t>
  </si>
  <si>
    <t xml:space="preserve">Hva raden betyr</t>
  </si>
  <si>
    <t xml:space="preserve">De gule cellene er scenarioene. Endre dem fritt.</t>
  </si>
  <si>
    <t xml:space="preserve">Fakturerte timer i året</t>
  </si>
  <si>
    <t xml:space="preserve">Faktureringsgrad × tilgjengelige timer.</t>
  </si>
  <si>
    <t xml:space="preserve">Uendret. Verken kostnadene eller kravet til resultat blir mindre.</t>
  </si>
  <si>
    <t xml:space="preserve">= Timepris som må til, uten mva.</t>
  </si>
  <si>
    <t xml:space="preserve">Dette er svaret: prisen må opp når timene blir færre.</t>
  </si>
  <si>
    <t xml:space="preserve">Endring fra timeprisen du bruker</t>
  </si>
  <si>
    <t xml:space="preserve">Endring i prosent</t>
  </si>
  <si>
    <t xml:space="preserve">Driftsresultat hvis timeprisen står stille</t>
  </si>
  <si>
    <t xml:space="preserve">Holder du prisen når faktureringsgraden faller, er det resultatet som tar støyten.</t>
  </si>
  <si>
    <t xml:space="preserve">Endring i driftsresultat fra i dag</t>
  </si>
  <si>
    <t xml:space="preserve">Krever lavere faktureringsgrad høyere pris?</t>
  </si>
  <si>
    <t xml:space="preserve">Scenario B · en jobb prises under selvkost</t>
  </si>
  <si>
    <t xml:space="preserve">Oppdraget er sikringsskapbyttet fra arket Oppdrag. Kunden får en pris som dekker de direkte kostnadene og halvparten av de indirekte.</t>
  </si>
  <si>
    <t xml:space="preserve">Pris kunden får, uten mva.</t>
  </si>
  <si>
    <t xml:space="preserve">Endre denne og se når dekningsbidraget snur.</t>
  </si>
  <si>
    <t xml:space="preserve">Merkost — sum direkte kostnader (arket Oppdrag)</t>
  </si>
  <si>
    <t xml:space="preserve">Selvkost (arket Oppdrag)</t>
  </si>
  <si>
    <t xml:space="preserve">Fortsatt positivt: jobben bidrar til å dekke de faste kostnadene.</t>
  </si>
  <si>
    <t xml:space="preserve">= Resultat på jobben</t>
  </si>
  <si>
    <t xml:space="preserve">Negativt: jobben dekker ikke sin egen andel av kontor, husleie og biler.</t>
  </si>
  <si>
    <t xml:space="preserve">Andel av oppdragets indirekte kostnader som dekkes</t>
  </si>
  <si>
    <t xml:space="preserve">Dom</t>
  </si>
  <si>
    <t xml:space="preserve">Hva om alle jobber prises slik?</t>
  </si>
  <si>
    <t xml:space="preserve">Faste kostnader i året (kap. 2)</t>
  </si>
  <si>
    <t xml:space="preserve">Administrasjonslønn, avskrivninger og andre faste kostnader.</t>
  </si>
  <si>
    <t xml:space="preserve">Slike oppdrag for å dekke de faste kostnadene</t>
  </si>
  <si>
    <t xml:space="preserve">Til normalprisen fra forkalkylen</t>
  </si>
  <si>
    <t xml:space="preserve">Kapasitet: oppdrag av denne størrelsen i året</t>
  </si>
  <si>
    <t xml:space="preserve">Fakturerte timer delt på timene ett slikt oppdrag tar.</t>
  </si>
  <si>
    <t xml:space="preserve">Kan underprisen dekke de faste kostnadene?</t>
  </si>
  <si>
    <t xml:space="preserve">Her SKAL det stå AVVIK med tallene som ligger inne. Det er hele poenget: prisen er ikke bare lav, den er umulig.</t>
  </si>
  <si>
    <t xml:space="preserve">Scenario C · konkurrenten tar en lavere timepris</t>
  </si>
  <si>
    <t xml:space="preserve">Oppgave 5 i øvingsheftet. Regn først, drøft etterpå.</t>
  </si>
  <si>
    <t xml:space="preserve">Konkurrentens timepris uten mva.</t>
  </si>
  <si>
    <t xml:space="preserve">Din timepris i bruk, uten mva.</t>
  </si>
  <si>
    <t xml:space="preserve">Forskjell per time</t>
  </si>
  <si>
    <t xml:space="preserve">Hva det koster å matche prisen, ett år</t>
  </si>
  <si>
    <t xml:space="preserve">Forskjellen per time ganger alle timene du fakturerer.</t>
  </si>
  <si>
    <t xml:space="preserve">Driftsresultat etter at prisen er matchet</t>
  </si>
  <si>
    <t xml:space="preserve">Sammenlikn med ønsket driftsresultat i Timepris!B26.</t>
  </si>
  <si>
    <t xml:space="preserve">Prosentpoeng faktureringsgrad som gir like mye</t>
  </si>
  <si>
    <t xml:space="preserve">Alternativet til å sette prisen ned: å fakturere flere av timene du allerede betaler for.</t>
  </si>
  <si>
    <t xml:space="preserve">Din faktureringsgrad da</t>
  </si>
  <si>
    <t xml:space="preserve">Hvis konkurrenten har samme kostnader og samme fortjenestekrav</t>
  </si>
  <si>
    <t xml:space="preserve">Konkurrentens selvkost per time må være</t>
  </si>
  <si>
    <t xml:space="preserve">Timer han da må fakturere i året</t>
  </si>
  <si>
    <t xml:space="preserve">Konkurrentens faktureringsgrad</t>
  </si>
  <si>
    <t xml:space="preserve">Flere fakturerte timer enn Nordlys</t>
  </si>
  <si>
    <t xml:space="preserve">Normalarbeidsuke, timer</t>
  </si>
  <si>
    <t xml:space="preserve">Per montør, timer i uka</t>
  </si>
  <si>
    <t xml:space="preserve">Dette er hele forskjellen mellom deg og konkurrenten, omregnet til noe en formann kan gjøre noe med.</t>
  </si>
  <si>
    <t xml:space="preserve">Ligger konkurrentprisen over din selvkost per time?</t>
  </si>
  <si>
    <t xml:space="preserve">Må konkurrenten fakturere flere timer enn deg?</t>
  </si>
  <si>
    <t xml:space="preserve">Kilde: Økonomistyring for LØM-emnet, kap. 5.2, kap. 2 om faste og variable kostnader og kap. 7 om hvilke oppdrag som prioriteres. Bransjetall: NHO Elektro, Lønnsomhetsrapport 2025, gjengitt i Elektro 24-7 19.08.2026 (hentet 10.09.2026). De 809 er bedriftene i datagrunnlaget, ikke bransjen. NHO Elektro oppgir ikke svarprosent.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</si>
</sst>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\ %"/>
    <numFmt numFmtId="168" formatCode="#,##0.00"/>
    <numFmt numFmtId="169" formatCode="0.0%"/>
    <numFmt numFmtId="170" formatCode="#,##0&quot; kr&quot;"/>
    <numFmt numFmtId="171" formatCode="#,##0.00&quot; kr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2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12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1695</v>
      </c>
      <c r="C6" s="7" t="s">
        <v>6</v>
      </c>
    </row>
    <row r="7" customFormat="false" ht="15" hidden="false" customHeight="true" outlineLevel="0" collapsed="false">
      <c r="A7" s="5" t="s">
        <v>7</v>
      </c>
      <c r="B7" s="8" t="n">
        <v>1200</v>
      </c>
      <c r="C7" s="7" t="s">
        <v>8</v>
      </c>
    </row>
    <row r="8" customFormat="false" ht="15" hidden="false" customHeight="true" outlineLevel="0" collapsed="false">
      <c r="A8" s="5" t="s">
        <v>9</v>
      </c>
      <c r="B8" s="8" t="n">
        <v>21056000</v>
      </c>
      <c r="C8" s="7" t="s">
        <v>10</v>
      </c>
    </row>
    <row r="9" customFormat="false" ht="15" hidden="false" customHeight="true" outlineLevel="0" collapsed="false">
      <c r="A9" s="5" t="s">
        <v>11</v>
      </c>
      <c r="B9" s="8" t="n">
        <v>9584000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8" t="n">
        <v>1344000</v>
      </c>
      <c r="C10" s="7" t="s">
        <v>14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3" t="s">
        <v>15</v>
      </c>
      <c r="B12" s="4"/>
      <c r="C12" s="4"/>
    </row>
    <row r="13" customFormat="false" ht="15" hidden="false" customHeight="true" outlineLevel="0" collapsed="false">
      <c r="A13" s="5" t="s">
        <v>16</v>
      </c>
      <c r="B13" s="9" t="n">
        <f aca="false">B5*B7</f>
        <v>14400</v>
      </c>
      <c r="C13" s="7" t="s">
        <v>17</v>
      </c>
    </row>
    <row r="14" customFormat="false" ht="15" hidden="false" customHeight="true" outlineLevel="0" collapsed="false">
      <c r="A14" s="5" t="s">
        <v>18</v>
      </c>
      <c r="B14" s="10" t="n">
        <f aca="false">B7/B6</f>
        <v>0.707964601769912</v>
      </c>
      <c r="C14" s="7" t="s">
        <v>19</v>
      </c>
    </row>
    <row r="15" customFormat="false" ht="15" hidden="false" customHeight="true" outlineLevel="0" collapsed="false">
      <c r="A15" s="5" t="s">
        <v>20</v>
      </c>
      <c r="B15" s="9" t="n">
        <f aca="false">B8-B9</f>
        <v>11472000</v>
      </c>
      <c r="C15" s="7" t="s">
        <v>21</v>
      </c>
    </row>
    <row r="16" customFormat="false" ht="15" hidden="false" customHeight="true" outlineLevel="0" collapsed="false">
      <c r="A16" s="5" t="s">
        <v>22</v>
      </c>
      <c r="B16" s="11" t="n">
        <f aca="false">B15/B13</f>
        <v>796.666666666667</v>
      </c>
      <c r="C16" s="7" t="s">
        <v>23</v>
      </c>
    </row>
    <row r="17" customFormat="false" ht="15" hidden="false" customHeight="true" outlineLevel="0" collapsed="false">
      <c r="A17" s="5" t="s">
        <v>24</v>
      </c>
      <c r="B17" s="11" t="n">
        <f aca="false">B10/B13</f>
        <v>93.3333333333333</v>
      </c>
      <c r="C17" s="7" t="s">
        <v>25</v>
      </c>
    </row>
    <row r="18" customFormat="false" ht="15" hidden="false" customHeight="true" outlineLevel="0" collapsed="false"/>
    <row r="19" customFormat="false" ht="21" hidden="false" customHeight="true" outlineLevel="0" collapsed="false">
      <c r="A19" s="12" t="s">
        <v>26</v>
      </c>
      <c r="B19" s="13" t="n">
        <f aca="false">B16+B17</f>
        <v>890</v>
      </c>
      <c r="C19" s="7" t="s">
        <v>27</v>
      </c>
    </row>
    <row r="20" customFormat="false" ht="15" hidden="false" customHeight="true" outlineLevel="0" collapsed="false">
      <c r="A20" s="5" t="s">
        <v>28</v>
      </c>
      <c r="B20" s="9" t="n">
        <f aca="false">B19*1.25</f>
        <v>1112.5</v>
      </c>
      <c r="C20" s="7" t="s">
        <v>29</v>
      </c>
    </row>
    <row r="21" customFormat="false" ht="15" hidden="false" customHeight="true" outlineLevel="0" collapsed="false"/>
    <row r="22" customFormat="false" ht="15" hidden="false" customHeight="true" outlineLevel="0" collapsed="false">
      <c r="A22" s="3" t="s">
        <v>30</v>
      </c>
      <c r="B22" s="4"/>
      <c r="C22" s="4"/>
    </row>
    <row r="23" customFormat="false" ht="33.75" hidden="false" customHeight="true" outlineLevel="0" collapsed="false">
      <c r="A23" s="14" t="str">
        <f aca="false">"Hver time kunden betaler for må koste "&amp;TEXT(ROUND(B19,0),"#,##0")&amp;" kroner uten mva. for at bedriften skal dekke kostnadene og få overskuddet."</f>
        <v>Hver time kunden betaler for må koste 890 kroner uten mva. for at bedriften skal dekke kostnadene og få overskuddet.</v>
      </c>
      <c r="B23" s="14"/>
      <c r="C23" s="14"/>
    </row>
    <row r="24" customFormat="false" ht="15" hidden="false" customHeight="true" outlineLevel="0" collapsed="false"/>
    <row r="25" customFormat="false" ht="15" hidden="false" customHeight="true" outlineLevel="0" collapsed="false">
      <c r="A25" s="3" t="s">
        <v>31</v>
      </c>
      <c r="B25" s="4"/>
      <c r="C25" s="4"/>
    </row>
    <row r="26" customFormat="false" ht="15" hidden="false" customHeight="true" outlineLevel="0" collapsed="false">
      <c r="A26" s="15" t="s">
        <v>32</v>
      </c>
      <c r="B26" s="15"/>
      <c r="C26" s="15"/>
    </row>
    <row r="27" customFormat="false" ht="15" hidden="false" customHeight="true" outlineLevel="0" collapsed="false">
      <c r="A27" s="15" t="s">
        <v>33</v>
      </c>
      <c r="B27" s="15"/>
      <c r="C27" s="15"/>
    </row>
    <row r="28" customFormat="false" ht="15" hidden="false" customHeight="true" outlineLevel="0" collapsed="false">
      <c r="A28" s="15" t="s">
        <v>34</v>
      </c>
      <c r="B28" s="15"/>
      <c r="C28" s="15"/>
    </row>
    <row r="29" customFormat="false" ht="15" hidden="false" customHeight="true" outlineLevel="0" collapsed="false"/>
    <row r="30" customFormat="false" ht="27" hidden="false" customHeight="true" outlineLevel="0" collapsed="false">
      <c r="A30" s="2" t="s">
        <v>35</v>
      </c>
      <c r="B30" s="2"/>
      <c r="C30" s="2"/>
    </row>
  </sheetData>
  <mergeCells count="6">
    <mergeCell ref="A2:C2"/>
    <mergeCell ref="A23:C23"/>
    <mergeCell ref="A26:C26"/>
    <mergeCell ref="A27:C27"/>
    <mergeCell ref="A28:C28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7" t="s">
        <v>38</v>
      </c>
    </row>
    <row r="4" customFormat="false" ht="15" hidden="false" customHeight="false" outlineLevel="0" collapsed="false">
      <c r="A4" s="18" t="s">
        <v>39</v>
      </c>
    </row>
    <row r="5" customFormat="false" ht="15" hidden="false" customHeight="false" outlineLevel="0" collapsed="false">
      <c r="A5" s="19" t="s">
        <v>40</v>
      </c>
      <c r="B5" s="20" t="s">
        <v>41</v>
      </c>
    </row>
    <row r="6" customFormat="false" ht="15" hidden="false" customHeight="false" outlineLevel="0" collapsed="false">
      <c r="A6" s="21" t="s">
        <v>42</v>
      </c>
      <c r="B6" s="20" t="s">
        <v>43</v>
      </c>
    </row>
    <row r="7" customFormat="false" ht="15" hidden="false" customHeight="false" outlineLevel="0" collapsed="false">
      <c r="A7" s="21" t="s">
        <v>44</v>
      </c>
      <c r="B7" s="20" t="s">
        <v>45</v>
      </c>
    </row>
    <row r="9" customFormat="false" ht="15" hidden="false" customHeight="false" outlineLevel="0" collapsed="false">
      <c r="A9" s="18" t="s">
        <v>46</v>
      </c>
    </row>
    <row r="10" customFormat="false" ht="15" hidden="false" customHeight="false" outlineLevel="0" collapsed="false">
      <c r="A10" s="22" t="s">
        <v>47</v>
      </c>
      <c r="B10" s="20" t="s">
        <v>48</v>
      </c>
    </row>
    <row r="11" customFormat="false" ht="15" hidden="false" customHeight="false" outlineLevel="0" collapsed="false">
      <c r="A11" s="22" t="s">
        <v>49</v>
      </c>
      <c r="B11" s="20" t="s">
        <v>50</v>
      </c>
    </row>
    <row r="12" customFormat="false" ht="15" hidden="false" customHeight="false" outlineLevel="0" collapsed="false">
      <c r="A12" s="22" t="s">
        <v>51</v>
      </c>
      <c r="B12" s="20" t="s">
        <v>52</v>
      </c>
    </row>
    <row r="13" customFormat="false" ht="15" hidden="false" customHeight="false" outlineLevel="0" collapsed="false">
      <c r="A13" s="22" t="s">
        <v>53</v>
      </c>
      <c r="B13" s="20" t="s">
        <v>54</v>
      </c>
    </row>
    <row r="14" customFormat="false" ht="15" hidden="false" customHeight="false" outlineLevel="0" collapsed="false">
      <c r="A14" s="22" t="s">
        <v>18</v>
      </c>
      <c r="B14" s="20" t="s">
        <v>55</v>
      </c>
    </row>
    <row r="15" customFormat="false" ht="15" hidden="false" customHeight="false" outlineLevel="0" collapsed="false">
      <c r="A15" s="22" t="s">
        <v>56</v>
      </c>
      <c r="B15" s="20" t="s">
        <v>57</v>
      </c>
    </row>
    <row r="17" customFormat="false" ht="15" hidden="false" customHeight="false" outlineLevel="0" collapsed="false">
      <c r="A17" s="17" t="s">
        <v>58</v>
      </c>
    </row>
    <row r="18" customFormat="false" ht="15" hidden="false" customHeight="false" outlineLevel="0" collapsed="false">
      <c r="A18" s="17" t="s">
        <v>59</v>
      </c>
    </row>
    <row r="19" customFormat="false" ht="15" hidden="false" customHeight="false" outlineLevel="0" collapsed="false">
      <c r="A19" s="17" t="s">
        <v>60</v>
      </c>
    </row>
    <row r="21" customFormat="false" ht="15" hidden="false" customHeight="false" outlineLevel="0" collapsed="false">
      <c r="A21" s="17" t="s">
        <v>61</v>
      </c>
    </row>
    <row r="22" customFormat="false" ht="15" hidden="false" customHeight="false" outlineLevel="0" collapsed="false">
      <c r="A22" s="17" t="s">
        <v>62</v>
      </c>
    </row>
    <row r="24" customFormat="false" ht="15" hidden="false" customHeight="false" outlineLevel="0" collapsed="false">
      <c r="A24" s="18" t="s">
        <v>63</v>
      </c>
    </row>
    <row r="25" customFormat="false" ht="15" hidden="false" customHeight="false" outlineLevel="0" collapsed="false">
      <c r="A25" s="20" t="s">
        <v>64</v>
      </c>
      <c r="B25" s="20" t="s">
        <v>65</v>
      </c>
      <c r="C25" s="20" t="s">
        <v>66</v>
      </c>
    </row>
    <row r="27" customFormat="false" ht="15" hidden="false" customHeight="false" outlineLevel="0" collapsed="false">
      <c r="A27" s="18" t="s">
        <v>67</v>
      </c>
    </row>
    <row r="28" customFormat="false" ht="27.75" hidden="false" customHeight="true" outlineLevel="0" collapsed="false">
      <c r="A28" s="23" t="s">
        <v>68</v>
      </c>
      <c r="B28" s="23" t="s">
        <v>69</v>
      </c>
      <c r="C28" s="23" t="s">
        <v>70</v>
      </c>
    </row>
    <row r="29" customFormat="false" ht="15" hidden="false" customHeight="false" outlineLevel="0" collapsed="false">
      <c r="A29" s="20" t="s">
        <v>71</v>
      </c>
      <c r="B29" s="22" t="s">
        <v>49</v>
      </c>
      <c r="C29" s="20" t="s">
        <v>72</v>
      </c>
    </row>
    <row r="30" customFormat="false" ht="15" hidden="false" customHeight="false" outlineLevel="0" collapsed="false">
      <c r="A30" s="20" t="s">
        <v>73</v>
      </c>
      <c r="B30" s="22" t="s">
        <v>53</v>
      </c>
      <c r="C30" s="20" t="s">
        <v>74</v>
      </c>
    </row>
    <row r="31" customFormat="false" ht="15" hidden="false" customHeight="false" outlineLevel="0" collapsed="false">
      <c r="A31" s="20" t="s">
        <v>75</v>
      </c>
      <c r="B31" s="22" t="s">
        <v>49</v>
      </c>
      <c r="C31" s="20" t="s">
        <v>76</v>
      </c>
    </row>
    <row r="32" customFormat="false" ht="15" hidden="false" customHeight="false" outlineLevel="0" collapsed="false">
      <c r="A32" s="20" t="s">
        <v>77</v>
      </c>
      <c r="B32" s="22" t="s">
        <v>49</v>
      </c>
      <c r="C32" s="20" t="s">
        <v>78</v>
      </c>
    </row>
    <row r="33" customFormat="false" ht="15" hidden="false" customHeight="false" outlineLevel="0" collapsed="false">
      <c r="A33" s="20" t="s">
        <v>79</v>
      </c>
      <c r="B33" s="22" t="s">
        <v>51</v>
      </c>
      <c r="C33" s="20" t="s">
        <v>80</v>
      </c>
    </row>
    <row r="34" customFormat="false" ht="15" hidden="false" customHeight="false" outlineLevel="0" collapsed="false">
      <c r="A34" s="20" t="s">
        <v>81</v>
      </c>
      <c r="B34" s="22" t="s">
        <v>53</v>
      </c>
      <c r="C34" s="20" t="s">
        <v>82</v>
      </c>
    </row>
    <row r="35" customFormat="false" ht="15" hidden="false" customHeight="false" outlineLevel="0" collapsed="false">
      <c r="A35" s="20" t="s">
        <v>83</v>
      </c>
      <c r="B35" s="22" t="s">
        <v>53</v>
      </c>
      <c r="C35" s="20" t="s">
        <v>84</v>
      </c>
    </row>
    <row r="36" customFormat="false" ht="15" hidden="false" customHeight="false" outlineLevel="0" collapsed="false">
      <c r="A36" s="20" t="s">
        <v>85</v>
      </c>
      <c r="B36" s="22" t="s">
        <v>56</v>
      </c>
      <c r="C36" s="20" t="s">
        <v>86</v>
      </c>
    </row>
    <row r="38" customFormat="false" ht="15" hidden="false" customHeight="false" outlineLevel="0" collapsed="false">
      <c r="A38" s="18" t="s">
        <v>87</v>
      </c>
    </row>
    <row r="39" customFormat="false" ht="15" hidden="false" customHeight="false" outlineLevel="0" collapsed="false">
      <c r="A39" s="20" t="s">
        <v>88</v>
      </c>
    </row>
    <row r="40" customFormat="false" ht="15" hidden="false" customHeight="false" outlineLevel="0" collapsed="false">
      <c r="A40" s="20" t="s">
        <v>89</v>
      </c>
    </row>
    <row r="41" customFormat="false" ht="15" hidden="false" customHeight="false" outlineLevel="0" collapsed="false">
      <c r="A41" s="17" t="s">
        <v>90</v>
      </c>
    </row>
    <row r="43" customFormat="false" ht="15" hidden="false" customHeight="false" outlineLevel="0" collapsed="false">
      <c r="A43" s="18" t="s">
        <v>91</v>
      </c>
    </row>
    <row r="44" customFormat="false" ht="15" hidden="false" customHeight="false" outlineLevel="0" collapsed="false">
      <c r="A44" s="17" t="s">
        <v>92</v>
      </c>
    </row>
    <row r="45" customFormat="false" ht="15" hidden="false" customHeight="false" outlineLevel="0" collapsed="false">
      <c r="A45" s="17" t="s">
        <v>93</v>
      </c>
    </row>
    <row r="46" customFormat="false" ht="15" hidden="false" customHeight="false" outlineLevel="0" collapsed="false">
      <c r="A46" s="1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16" t="s">
        <v>96</v>
      </c>
    </row>
    <row r="4" customFormat="false" ht="15" hidden="false" customHeight="false" outlineLevel="0" collapsed="false">
      <c r="A4" s="18" t="s">
        <v>97</v>
      </c>
    </row>
    <row r="5" customFormat="false" ht="15" hidden="false" customHeight="false" outlineLevel="0" collapsed="false">
      <c r="A5" s="20" t="s">
        <v>98</v>
      </c>
      <c r="B5" s="24" t="n">
        <v>12</v>
      </c>
      <c r="D5" s="20" t="s">
        <v>99</v>
      </c>
    </row>
    <row r="6" customFormat="false" ht="15" hidden="false" customHeight="false" outlineLevel="0" collapsed="false">
      <c r="A6" s="20" t="s">
        <v>100</v>
      </c>
      <c r="B6" s="24" t="n">
        <v>1695</v>
      </c>
      <c r="D6" s="20" t="s">
        <v>101</v>
      </c>
    </row>
    <row r="7" customFormat="false" ht="15" hidden="false" customHeight="false" outlineLevel="0" collapsed="false">
      <c r="A7" s="20" t="s">
        <v>102</v>
      </c>
      <c r="B7" s="24" t="n">
        <v>1200</v>
      </c>
      <c r="D7" s="20" t="s">
        <v>103</v>
      </c>
    </row>
    <row r="9" customFormat="false" ht="15" hidden="false" customHeight="false" outlineLevel="0" collapsed="false">
      <c r="A9" s="20" t="s">
        <v>18</v>
      </c>
      <c r="B9" s="25" t="n">
        <f aca="false">B7/B6</f>
        <v>0.707964601769912</v>
      </c>
      <c r="D9" s="20" t="s">
        <v>104</v>
      </c>
    </row>
    <row r="10" customFormat="false" ht="15" hidden="false" customHeight="false" outlineLevel="0" collapsed="false">
      <c r="A10" s="20" t="s">
        <v>105</v>
      </c>
      <c r="B10" s="26" t="n">
        <f aca="false">B5*B6</f>
        <v>20340</v>
      </c>
    </row>
    <row r="11" customFormat="false" ht="15" hidden="false" customHeight="false" outlineLevel="0" collapsed="false">
      <c r="A11" s="22" t="s">
        <v>106</v>
      </c>
      <c r="B11" s="27" t="n">
        <f aca="false">B5*B7</f>
        <v>14400</v>
      </c>
      <c r="D11" s="20" t="s">
        <v>107</v>
      </c>
    </row>
    <row r="13" customFormat="false" ht="15" hidden="false" customHeight="false" outlineLevel="0" collapsed="false">
      <c r="A13" s="18" t="s">
        <v>108</v>
      </c>
    </row>
    <row r="14" customFormat="false" ht="15" hidden="false" customHeight="false" outlineLevel="0" collapsed="false">
      <c r="A14" s="20" t="s">
        <v>109</v>
      </c>
      <c r="B14" s="28" t="n">
        <v>8440000</v>
      </c>
      <c r="D14" s="20" t="s">
        <v>110</v>
      </c>
    </row>
    <row r="15" customFormat="false" ht="15" hidden="false" customHeight="false" outlineLevel="0" collapsed="false">
      <c r="A15" s="20" t="s">
        <v>111</v>
      </c>
      <c r="B15" s="28" t="n">
        <v>2220000</v>
      </c>
      <c r="D15" s="20" t="s">
        <v>112</v>
      </c>
    </row>
    <row r="16" customFormat="false" ht="15" hidden="false" customHeight="false" outlineLevel="0" collapsed="false">
      <c r="A16" s="20" t="s">
        <v>113</v>
      </c>
      <c r="B16" s="28" t="n">
        <v>7990000</v>
      </c>
    </row>
    <row r="17" customFormat="false" ht="15" hidden="false" customHeight="false" outlineLevel="0" collapsed="false">
      <c r="A17" s="20" t="s">
        <v>114</v>
      </c>
      <c r="B17" s="28" t="n">
        <v>400000</v>
      </c>
    </row>
    <row r="18" customFormat="false" ht="15" hidden="false" customHeight="false" outlineLevel="0" collapsed="false">
      <c r="A18" s="20" t="s">
        <v>115</v>
      </c>
      <c r="B18" s="28" t="n">
        <v>620000</v>
      </c>
    </row>
    <row r="19" customFormat="false" ht="15" hidden="false" customHeight="false" outlineLevel="0" collapsed="false">
      <c r="A19" s="20" t="s">
        <v>116</v>
      </c>
      <c r="B19" s="28" t="n">
        <v>386000</v>
      </c>
      <c r="D19" s="20" t="s">
        <v>117</v>
      </c>
    </row>
    <row r="20" customFormat="false" ht="15" hidden="false" customHeight="false" outlineLevel="0" collapsed="false">
      <c r="A20" s="20" t="s">
        <v>118</v>
      </c>
      <c r="B20" s="28" t="n">
        <v>1000000</v>
      </c>
      <c r="D20" s="20" t="s">
        <v>119</v>
      </c>
    </row>
    <row r="21" customFormat="false" ht="15" hidden="false" customHeight="false" outlineLevel="0" collapsed="false">
      <c r="A21" s="22" t="s">
        <v>120</v>
      </c>
      <c r="B21" s="29" t="n">
        <f aca="false">SUM(B14:B20)</f>
        <v>21056000</v>
      </c>
    </row>
    <row r="23" customFormat="false" ht="15" hidden="false" customHeight="false" outlineLevel="0" collapsed="false">
      <c r="A23" s="18" t="s">
        <v>121</v>
      </c>
    </row>
    <row r="24" customFormat="false" ht="15" hidden="false" customHeight="false" outlineLevel="0" collapsed="false">
      <c r="A24" s="20" t="s">
        <v>122</v>
      </c>
      <c r="B24" s="28" t="n">
        <v>9584000</v>
      </c>
      <c r="D24" s="20" t="s">
        <v>123</v>
      </c>
    </row>
    <row r="25" customFormat="false" ht="15" hidden="false" customHeight="false" outlineLevel="0" collapsed="false">
      <c r="A25" s="22" t="s">
        <v>124</v>
      </c>
      <c r="B25" s="29" t="n">
        <f aca="false">B21-B24</f>
        <v>11472000</v>
      </c>
    </row>
    <row r="26" customFormat="false" ht="15" hidden="false" customHeight="false" outlineLevel="0" collapsed="false">
      <c r="A26" s="20" t="s">
        <v>125</v>
      </c>
      <c r="B26" s="28" t="n">
        <v>1344000</v>
      </c>
      <c r="D26" s="20" t="s">
        <v>126</v>
      </c>
    </row>
    <row r="27" customFormat="false" ht="15" hidden="false" customHeight="false" outlineLevel="0" collapsed="false">
      <c r="A27" s="22" t="s">
        <v>127</v>
      </c>
      <c r="B27" s="29" t="n">
        <f aca="false">B25+B26</f>
        <v>12816000</v>
      </c>
    </row>
    <row r="29" customFormat="false" ht="15" hidden="false" customHeight="false" outlineLevel="0" collapsed="false">
      <c r="A29" s="18" t="s">
        <v>128</v>
      </c>
    </row>
    <row r="30" customFormat="false" ht="15" hidden="false" customHeight="false" outlineLevel="0" collapsed="false">
      <c r="A30" s="20" t="s">
        <v>129</v>
      </c>
      <c r="B30" s="30" t="n">
        <f aca="false">B25/B11</f>
        <v>796.666666666667</v>
      </c>
      <c r="D30" s="20" t="s">
        <v>130</v>
      </c>
    </row>
    <row r="31" customFormat="false" ht="15" hidden="false" customHeight="false" outlineLevel="0" collapsed="false">
      <c r="A31" s="20" t="s">
        <v>131</v>
      </c>
      <c r="B31" s="30" t="n">
        <f aca="false">B26/B11</f>
        <v>93.3333333333333</v>
      </c>
      <c r="C31" s="31" t="n">
        <f aca="false">B31/B30</f>
        <v>0.117154811715481</v>
      </c>
      <c r="D31" s="20" t="s">
        <v>132</v>
      </c>
    </row>
    <row r="32" customFormat="false" ht="15" hidden="false" customHeight="false" outlineLevel="0" collapsed="false">
      <c r="A32" s="22" t="s">
        <v>133</v>
      </c>
      <c r="B32" s="32" t="n">
        <f aca="false">B30+B31</f>
        <v>890</v>
      </c>
    </row>
    <row r="33" customFormat="false" ht="15" hidden="false" customHeight="false" outlineLevel="0" collapsed="false">
      <c r="A33" s="20" t="s">
        <v>134</v>
      </c>
      <c r="B33" s="33" t="n">
        <v>0.25</v>
      </c>
    </row>
    <row r="34" customFormat="false" ht="15" hidden="false" customHeight="false" outlineLevel="0" collapsed="false">
      <c r="A34" s="22" t="s">
        <v>135</v>
      </c>
      <c r="B34" s="32" t="n">
        <f aca="false">B32*(1+B33)</f>
        <v>1112.5</v>
      </c>
      <c r="D34" s="20" t="s">
        <v>136</v>
      </c>
    </row>
    <row r="36" customFormat="false" ht="15" hidden="false" customHeight="false" outlineLevel="0" collapsed="false">
      <c r="A36" s="18" t="s">
        <v>137</v>
      </c>
    </row>
    <row r="37" customFormat="false" ht="15" hidden="false" customHeight="false" outlineLevel="0" collapsed="false">
      <c r="A37" s="22" t="s">
        <v>138</v>
      </c>
      <c r="B37" s="34" t="n">
        <v>890</v>
      </c>
      <c r="D37" s="20" t="s">
        <v>139</v>
      </c>
    </row>
    <row r="38" customFormat="false" ht="15" hidden="false" customHeight="false" outlineLevel="0" collapsed="false">
      <c r="A38" s="20" t="s">
        <v>28</v>
      </c>
      <c r="B38" s="30" t="n">
        <f aca="false">B37*(1+B33)</f>
        <v>1112.5</v>
      </c>
    </row>
    <row r="39" customFormat="false" ht="15" hidden="false" customHeight="false" outlineLevel="0" collapsed="false">
      <c r="A39" s="20" t="s">
        <v>140</v>
      </c>
      <c r="B39" s="30" t="n">
        <f aca="false">B37-B32</f>
        <v>0</v>
      </c>
      <c r="D39" s="20" t="s">
        <v>141</v>
      </c>
    </row>
    <row r="41" customFormat="false" ht="15" hidden="false" customHeight="false" outlineLevel="0" collapsed="false">
      <c r="A41" s="18" t="s">
        <v>142</v>
      </c>
    </row>
    <row r="42" customFormat="false" ht="15" hidden="false" customHeight="false" outlineLevel="0" collapsed="false">
      <c r="A42" s="20" t="s">
        <v>143</v>
      </c>
      <c r="B42" s="35" t="str">
        <f aca="false">IF(ABS(B32*B11-B27)&lt;1,"OK — timeprisen henter inn nøyaktig det den skal","AVVIK: timepris ganger fakturerte timer er ikke lik summen i B27")</f>
        <v>OK — timeprisen henter inn nøyaktig det den skal</v>
      </c>
    </row>
    <row r="43" customFormat="false" ht="15" hidden="false" customHeight="false" outlineLevel="0" collapsed="false">
      <c r="A43" s="20" t="s">
        <v>144</v>
      </c>
      <c r="B43" s="35" t="str">
        <f aca="false">IF(B37&gt;=B30,"OK — prisen du bruker dekker selvkost per time. Under den grensen taper bedriften penger på hver eneste time","AVVIK: prisen du bruker ligger UNDER selvkost per time — da taper bedriften penger på hver eneste time")</f>
        <v>OK — prisen du bruker dekker selvkost per time. Under den grensen taper bedriften penger på hver eneste time</v>
      </c>
    </row>
    <row r="44" customFormat="false" ht="15" hidden="false" customHeight="false" outlineLevel="0" collapsed="false">
      <c r="A44" s="20" t="s">
        <v>145</v>
      </c>
      <c r="B44" s="35" t="str">
        <f aca="false">IF(AND(B9&gt;0,B9&lt;1),"OK — faktureringsgraden ligger mellom null og hundre prosent","AVVIK: fakturerte timer kan ikke overstige tilgjengelige timer")</f>
        <v>OK — faktureringsgraden ligger mellom null og hundre prosent</v>
      </c>
    </row>
    <row r="46" customFormat="false" ht="15" hidden="false" customHeight="false" outlineLevel="0" collapsed="false">
      <c r="A46" s="18" t="s">
        <v>146</v>
      </c>
    </row>
    <row r="47" customFormat="false" ht="15" hidden="false" customHeight="false" outlineLevel="0" collapsed="false">
      <c r="A47" s="20" t="s">
        <v>147</v>
      </c>
      <c r="B47" s="30" t="n">
        <f aca="false">B27/B10</f>
        <v>630.088495575221</v>
      </c>
      <c r="D47" s="20" t="s">
        <v>148</v>
      </c>
    </row>
    <row r="48" customFormat="false" ht="15" hidden="false" customHeight="false" outlineLevel="0" collapsed="false">
      <c r="A48" s="22" t="s">
        <v>149</v>
      </c>
      <c r="B48" s="29" t="n">
        <f aca="false">B27-B47*B11</f>
        <v>3742725.66371681</v>
      </c>
      <c r="D48" s="20" t="s">
        <v>150</v>
      </c>
    </row>
    <row r="50" customFormat="false" ht="15" hidden="false" customHeight="false" outlineLevel="0" collapsed="false">
      <c r="A50" s="22" t="s">
        <v>151</v>
      </c>
    </row>
    <row r="51" customFormat="false" ht="15" hidden="false" customHeight="false" outlineLevel="0" collapsed="false">
      <c r="A51" s="17" t="s">
        <v>152</v>
      </c>
    </row>
  </sheetData>
  <conditionalFormatting sqref="B42">
    <cfRule type="expression" priority="2" aboveAverage="0" equalAverage="0" bottom="0" percent="0" rank="0" text="" dxfId="0">
      <formula>LEFT(B42,5)="AVVIK"</formula>
    </cfRule>
  </conditionalFormatting>
  <conditionalFormatting sqref="B43">
    <cfRule type="expression" priority="3" aboveAverage="0" equalAverage="0" bottom="0" percent="0" rank="0" text="" dxfId="0">
      <formula>LEFT(B43,5)="AVVIK"</formula>
    </cfRule>
  </conditionalFormatting>
  <conditionalFormatting sqref="B44">
    <cfRule type="expression" priority="4" aboveAverage="0" equalAverage="0" bottom="0" percent="0" rank="0" text="" dxfId="0">
      <formula>LEFT(B44,5)="AVVIK"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16" t="s">
        <v>154</v>
      </c>
    </row>
    <row r="4" customFormat="false" ht="15" hidden="false" customHeight="false" outlineLevel="0" collapsed="false">
      <c r="A4" s="18" t="s">
        <v>155</v>
      </c>
    </row>
    <row r="5" customFormat="false" ht="15" hidden="false" customHeight="false" outlineLevel="0" collapsed="false">
      <c r="A5" s="20" t="s">
        <v>156</v>
      </c>
      <c r="B5" s="28" t="n">
        <v>68000</v>
      </c>
      <c r="D5" s="20" t="s">
        <v>157</v>
      </c>
    </row>
    <row r="6" customFormat="false" ht="15" hidden="false" customHeight="false" outlineLevel="0" collapsed="false">
      <c r="A6" s="20" t="s">
        <v>158</v>
      </c>
      <c r="B6" s="28" t="n">
        <v>3200</v>
      </c>
    </row>
    <row r="7" customFormat="false" ht="15" hidden="false" customHeight="false" outlineLevel="0" collapsed="false">
      <c r="A7" s="22" t="s">
        <v>159</v>
      </c>
      <c r="B7" s="29" t="n">
        <f aca="false">B5+B6</f>
        <v>71200</v>
      </c>
      <c r="D7" s="20" t="s">
        <v>160</v>
      </c>
    </row>
    <row r="8" customFormat="false" ht="15" hidden="false" customHeight="false" outlineLevel="0" collapsed="false">
      <c r="A8" s="20" t="s">
        <v>161</v>
      </c>
      <c r="B8" s="33" t="n">
        <v>0</v>
      </c>
      <c r="D8" s="20" t="s">
        <v>162</v>
      </c>
    </row>
    <row r="9" customFormat="false" ht="15" hidden="false" customHeight="false" outlineLevel="0" collapsed="false">
      <c r="A9" s="20" t="s">
        <v>163</v>
      </c>
      <c r="B9" s="30" t="n">
        <f aca="false">B7*B8</f>
        <v>0</v>
      </c>
    </row>
    <row r="10" customFormat="false" ht="15" hidden="false" customHeight="false" outlineLevel="0" collapsed="false">
      <c r="A10" s="22" t="s">
        <v>164</v>
      </c>
      <c r="B10" s="32" t="n">
        <f aca="false">B7+B9</f>
        <v>71200</v>
      </c>
    </row>
    <row r="11" customFormat="false" ht="15" hidden="false" customHeight="false" outlineLevel="0" collapsed="false">
      <c r="A11" s="20" t="s">
        <v>165</v>
      </c>
      <c r="B11" s="33" t="n">
        <v>0.2</v>
      </c>
      <c r="D11" s="20" t="s">
        <v>166</v>
      </c>
    </row>
    <row r="12" customFormat="false" ht="15" hidden="false" customHeight="false" outlineLevel="0" collapsed="false">
      <c r="A12" s="20" t="s">
        <v>167</v>
      </c>
      <c r="B12" s="30" t="n">
        <f aca="false">B10*B11</f>
        <v>14240</v>
      </c>
    </row>
    <row r="13" customFormat="false" ht="15" hidden="false" customHeight="false" outlineLevel="0" collapsed="false">
      <c r="A13" s="22" t="s">
        <v>168</v>
      </c>
      <c r="B13" s="32" t="n">
        <f aca="false">B10+B12</f>
        <v>85440</v>
      </c>
    </row>
    <row r="14" customFormat="false" ht="15" hidden="false" customHeight="false" outlineLevel="0" collapsed="false">
      <c r="A14" s="20" t="s">
        <v>134</v>
      </c>
      <c r="B14" s="33" t="n">
        <v>0.25</v>
      </c>
    </row>
    <row r="15" customFormat="false" ht="15" hidden="false" customHeight="false" outlineLevel="0" collapsed="false">
      <c r="A15" s="20" t="s">
        <v>169</v>
      </c>
      <c r="B15" s="30" t="n">
        <f aca="false">B13*B14</f>
        <v>21360</v>
      </c>
    </row>
    <row r="16" customFormat="false" ht="15" hidden="false" customHeight="false" outlineLevel="0" collapsed="false">
      <c r="A16" s="22" t="s">
        <v>170</v>
      </c>
      <c r="B16" s="32" t="n">
        <f aca="false">B13+B15</f>
        <v>106800</v>
      </c>
    </row>
    <row r="17" customFormat="false" ht="15" hidden="false" customHeight="false" outlineLevel="0" collapsed="false">
      <c r="A17" s="20" t="s">
        <v>171</v>
      </c>
      <c r="B17" s="24" t="n">
        <v>1</v>
      </c>
    </row>
    <row r="18" customFormat="false" ht="15" hidden="false" customHeight="false" outlineLevel="0" collapsed="false">
      <c r="A18" s="20" t="s">
        <v>172</v>
      </c>
      <c r="B18" s="30" t="n">
        <f aca="false">B16/B17</f>
        <v>106800</v>
      </c>
      <c r="D18" s="20" t="s">
        <v>173</v>
      </c>
    </row>
    <row r="20" customFormat="false" ht="15" hidden="false" customHeight="false" outlineLevel="0" collapsed="false">
      <c r="A20" s="18" t="s">
        <v>174</v>
      </c>
    </row>
    <row r="21" customFormat="false" ht="15" hidden="false" customHeight="false" outlineLevel="0" collapsed="false">
      <c r="A21" s="20" t="s">
        <v>175</v>
      </c>
      <c r="B21" s="30" t="n">
        <f aca="false">B13-B7</f>
        <v>14240</v>
      </c>
      <c r="D21" s="20" t="s">
        <v>176</v>
      </c>
    </row>
    <row r="22" customFormat="false" ht="15" hidden="false" customHeight="false" outlineLevel="0" collapsed="false">
      <c r="A22" s="20" t="s">
        <v>177</v>
      </c>
      <c r="B22" s="31" t="n">
        <f aca="false">B21/B7</f>
        <v>0.2</v>
      </c>
    </row>
    <row r="23" customFormat="false" ht="15" hidden="false" customHeight="false" outlineLevel="0" collapsed="false">
      <c r="A23" s="20" t="s">
        <v>178</v>
      </c>
      <c r="B23" s="31" t="n">
        <f aca="false">B21/B13</f>
        <v>0.166666666666667</v>
      </c>
      <c r="D23" s="20" t="s">
        <v>179</v>
      </c>
    </row>
    <row r="24" customFormat="false" ht="15" hidden="false" customHeight="false" outlineLevel="0" collapsed="false">
      <c r="A24" s="20" t="s">
        <v>180</v>
      </c>
      <c r="B24" s="36" t="n">
        <f aca="false">(1+B8)*(1+B11)</f>
        <v>1.2</v>
      </c>
      <c r="D24" s="20" t="s">
        <v>181</v>
      </c>
    </row>
    <row r="26" customFormat="false" ht="15" hidden="false" customHeight="false" outlineLevel="0" collapsed="false">
      <c r="A26" s="18" t="s">
        <v>182</v>
      </c>
    </row>
    <row r="27" customFormat="false" ht="15" hidden="false" customHeight="false" outlineLevel="0" collapsed="false">
      <c r="A27" s="20" t="s">
        <v>183</v>
      </c>
      <c r="B27" s="31" t="n">
        <f aca="false">B8+B11</f>
        <v>0.2</v>
      </c>
    </row>
    <row r="28" customFormat="false" ht="15" hidden="false" customHeight="false" outlineLevel="0" collapsed="false">
      <c r="A28" s="20" t="s">
        <v>184</v>
      </c>
      <c r="B28" s="30" t="n">
        <f aca="false">B7*(1+B27)</f>
        <v>85440</v>
      </c>
    </row>
    <row r="29" customFormat="false" ht="15" hidden="false" customHeight="false" outlineLevel="0" collapsed="false">
      <c r="A29" s="22" t="s">
        <v>185</v>
      </c>
      <c r="B29" s="32" t="n">
        <f aca="false">B13-B28</f>
        <v>0</v>
      </c>
    </row>
    <row r="30" customFormat="false" ht="15" hidden="false" customHeight="false" outlineLevel="0" collapsed="false">
      <c r="A30" s="20" t="s">
        <v>186</v>
      </c>
      <c r="B30" s="31" t="n">
        <f aca="false">IF(B12=0,"",B29/B12)</f>
        <v>0</v>
      </c>
      <c r="D30" s="20" t="s">
        <v>187</v>
      </c>
    </row>
    <row r="32" customFormat="false" ht="15" hidden="false" customHeight="false" outlineLevel="0" collapsed="false">
      <c r="A32" s="18" t="s">
        <v>142</v>
      </c>
    </row>
    <row r="33" customFormat="false" ht="15" hidden="false" customHeight="false" outlineLevel="0" collapsed="false">
      <c r="A33" s="20" t="s">
        <v>188</v>
      </c>
      <c r="B33" s="35" t="str">
        <f aca="false">IF(ABS(B7*B24-B13)&lt;0.01,"OK — faktor og kalkyle gir samme pris","AVVIK: kalkylefaktoren stemmer ikke med kalkylen")</f>
        <v>OK — faktor og kalkyle gir samme pris</v>
      </c>
    </row>
    <row r="34" customFormat="false" ht="15" hidden="false" customHeight="false" outlineLevel="0" collapsed="false">
      <c r="A34" s="20" t="s">
        <v>189</v>
      </c>
      <c r="B34" s="35" t="str">
        <f aca="false">IF(B21=0,"OK — ingen avanse å sammenlikne",IF(B23&lt;B22,"OK — bruttofortjenesten er lavere enn avansen, som den skal","AVVIK: bruttofortjenesten kan ikke være større enn avansen"))</f>
        <v>OK — bruttofortjenesten er lavere enn avansen, som den skal</v>
      </c>
    </row>
    <row r="35" customFormat="false" ht="15" hidden="false" customHeight="false" outlineLevel="0" collapsed="false">
      <c r="A35" s="20" t="s">
        <v>190</v>
      </c>
      <c r="B35" s="35" t="str">
        <f aca="false">IF(B8*B11=0,"OK — bare ett påslag, da er metodene like",IF(B29&gt;0,"OK — å legge påslagene sammen gir for lav pris","AVVIK: feilmetoden skal gi lavere pris enn kalkylen"))</f>
        <v>OK — bare ett påslag, da er metodene like</v>
      </c>
    </row>
    <row r="37" customFormat="false" ht="15" hidden="false" customHeight="false" outlineLevel="0" collapsed="false">
      <c r="A37" s="22" t="s">
        <v>191</v>
      </c>
    </row>
    <row r="38" customFormat="false" ht="15" hidden="false" customHeight="false" outlineLevel="0" collapsed="false">
      <c r="A38" s="17" t="s">
        <v>192</v>
      </c>
    </row>
  </sheetData>
  <conditionalFormatting sqref="B33">
    <cfRule type="expression" priority="2" aboveAverage="0" equalAverage="0" bottom="0" percent="0" rank="0" text="" dxfId="0">
      <formula>LEFT(B33,5)="AVVIK"</formula>
    </cfRule>
  </conditionalFormatting>
  <conditionalFormatting sqref="B34">
    <cfRule type="expression" priority="3" aboveAverage="0" equalAverage="0" bottom="0" percent="0" rank="0" text="" dxfId="0">
      <formula>LEFT(B34,5)="AVVIK"</formula>
    </cfRule>
  </conditionalFormatting>
  <conditionalFormatting sqref="B35">
    <cfRule type="expression" priority="4" aboveAverage="0" equalAverage="0" bottom="0" percent="0" rank="0" text="" dxfId="0">
      <formula>LEFT(B35,5)="AVVIK"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16" t="s">
        <v>194</v>
      </c>
    </row>
    <row r="4" customFormat="false" ht="15" hidden="false" customHeight="false" outlineLevel="0" collapsed="false">
      <c r="A4" s="18" t="s">
        <v>195</v>
      </c>
    </row>
    <row r="5" customFormat="false" ht="27.75" hidden="false" customHeight="true" outlineLevel="0" collapsed="false">
      <c r="A5" s="23" t="s">
        <v>196</v>
      </c>
      <c r="B5" s="23" t="s">
        <v>197</v>
      </c>
      <c r="C5" s="23" t="s">
        <v>198</v>
      </c>
      <c r="D5" s="23" t="s">
        <v>199</v>
      </c>
      <c r="E5" s="23" t="s">
        <v>200</v>
      </c>
    </row>
    <row r="6" customFormat="false" ht="15" hidden="false" customHeight="false" outlineLevel="0" collapsed="false">
      <c r="A6" s="20" t="s">
        <v>201</v>
      </c>
      <c r="B6" s="37" t="n">
        <v>14</v>
      </c>
      <c r="C6" s="28" t="n">
        <v>640</v>
      </c>
      <c r="D6" s="38" t="n">
        <f aca="false">B6*C6</f>
        <v>8960</v>
      </c>
      <c r="E6" s="20" t="s">
        <v>202</v>
      </c>
    </row>
    <row r="7" customFormat="false" ht="15" hidden="false" customHeight="false" outlineLevel="0" collapsed="false">
      <c r="A7" s="20" t="s">
        <v>203</v>
      </c>
      <c r="D7" s="28" t="n">
        <v>9800</v>
      </c>
      <c r="E7" s="20" t="s">
        <v>204</v>
      </c>
    </row>
    <row r="8" customFormat="false" ht="15" hidden="false" customHeight="false" outlineLevel="0" collapsed="false">
      <c r="A8" s="20" t="s">
        <v>205</v>
      </c>
      <c r="D8" s="28" t="n">
        <v>800</v>
      </c>
      <c r="E8" s="20" t="s">
        <v>206</v>
      </c>
    </row>
    <row r="9" customFormat="false" ht="15" hidden="false" customHeight="false" outlineLevel="0" collapsed="false">
      <c r="A9" s="22" t="s">
        <v>207</v>
      </c>
      <c r="D9" s="29" t="n">
        <f aca="false">SUM(D6:D8)</f>
        <v>19560</v>
      </c>
      <c r="E9" s="20" t="s">
        <v>208</v>
      </c>
    </row>
    <row r="10" customFormat="false" ht="15" hidden="false" customHeight="false" outlineLevel="0" collapsed="false">
      <c r="A10" s="20" t="s">
        <v>209</v>
      </c>
      <c r="D10" s="28" t="n">
        <v>4200</v>
      </c>
      <c r="E10" s="20" t="s">
        <v>210</v>
      </c>
    </row>
    <row r="11" customFormat="false" ht="15" hidden="false" customHeight="false" outlineLevel="0" collapsed="false">
      <c r="A11" s="22" t="s">
        <v>164</v>
      </c>
      <c r="D11" s="29" t="n">
        <f aca="false">D9+D10</f>
        <v>23760</v>
      </c>
      <c r="E11" s="20" t="s">
        <v>211</v>
      </c>
    </row>
    <row r="12" customFormat="false" ht="15" hidden="false" customHeight="false" outlineLevel="0" collapsed="false">
      <c r="A12" s="20" t="s">
        <v>212</v>
      </c>
      <c r="C12" s="33" t="n">
        <v>0.12</v>
      </c>
      <c r="D12" s="30" t="n">
        <f aca="false">D11*C12</f>
        <v>2851.2</v>
      </c>
      <c r="E12" s="20" t="s">
        <v>213</v>
      </c>
    </row>
    <row r="13" customFormat="false" ht="15" hidden="false" customHeight="false" outlineLevel="0" collapsed="false">
      <c r="A13" s="22" t="s">
        <v>168</v>
      </c>
      <c r="D13" s="32" t="n">
        <f aca="false">D11+D12</f>
        <v>26611.2</v>
      </c>
      <c r="E13" s="20" t="s">
        <v>214</v>
      </c>
    </row>
    <row r="14" customFormat="false" ht="15" hidden="false" customHeight="false" outlineLevel="0" collapsed="false">
      <c r="A14" s="20" t="s">
        <v>215</v>
      </c>
      <c r="C14" s="33" t="n">
        <v>0.25</v>
      </c>
      <c r="D14" s="30" t="n">
        <f aca="false">D13*C14</f>
        <v>6652.8</v>
      </c>
    </row>
    <row r="15" customFormat="false" ht="15" hidden="false" customHeight="false" outlineLevel="0" collapsed="false">
      <c r="A15" s="22" t="s">
        <v>170</v>
      </c>
      <c r="D15" s="32" t="n">
        <f aca="false">D13+D14</f>
        <v>33264</v>
      </c>
      <c r="E15" s="20" t="s">
        <v>216</v>
      </c>
    </row>
    <row r="17" customFormat="false" ht="15" hidden="false" customHeight="false" outlineLevel="0" collapsed="false">
      <c r="A17" s="18" t="s">
        <v>217</v>
      </c>
    </row>
    <row r="18" customFormat="false" ht="15" hidden="false" customHeight="false" outlineLevel="0" collapsed="false">
      <c r="A18" s="20" t="s">
        <v>218</v>
      </c>
      <c r="B18" s="30" t="n">
        <f aca="false">Timepris!B37</f>
        <v>890</v>
      </c>
      <c r="E18" s="20" t="s">
        <v>219</v>
      </c>
    </row>
    <row r="19" customFormat="false" ht="15" hidden="false" customHeight="false" outlineLevel="0" collapsed="false">
      <c r="A19" s="20" t="s">
        <v>220</v>
      </c>
      <c r="D19" s="30" t="n">
        <f aca="false">B6*B18</f>
        <v>12460</v>
      </c>
    </row>
    <row r="20" customFormat="false" ht="15" hidden="false" customHeight="false" outlineLevel="0" collapsed="false">
      <c r="A20" s="20" t="s">
        <v>221</v>
      </c>
      <c r="C20" s="33" t="n">
        <v>0.2</v>
      </c>
      <c r="D20" s="30" t="n">
        <f aca="false">D7*(1+C20)</f>
        <v>11760</v>
      </c>
    </row>
    <row r="21" customFormat="false" ht="15" hidden="false" customHeight="false" outlineLevel="0" collapsed="false">
      <c r="A21" s="20" t="s">
        <v>222</v>
      </c>
      <c r="D21" s="30" t="n">
        <f aca="false">D8</f>
        <v>800</v>
      </c>
    </row>
    <row r="22" customFormat="false" ht="15" hidden="false" customHeight="false" outlineLevel="0" collapsed="false">
      <c r="A22" s="22" t="s">
        <v>223</v>
      </c>
      <c r="D22" s="32" t="n">
        <f aca="false">D19+D20+D21</f>
        <v>25020</v>
      </c>
    </row>
    <row r="23" customFormat="false" ht="15" hidden="false" customHeight="false" outlineLevel="0" collapsed="false">
      <c r="A23" s="22" t="s">
        <v>224</v>
      </c>
      <c r="D23" s="32" t="n">
        <f aca="false">D22-D13</f>
        <v>-1591.2</v>
      </c>
      <c r="E23" s="20" t="s">
        <v>225</v>
      </c>
    </row>
    <row r="25" customFormat="false" ht="15" hidden="false" customHeight="false" outlineLevel="0" collapsed="false">
      <c r="A25" s="18" t="s">
        <v>226</v>
      </c>
    </row>
    <row r="26" customFormat="false" ht="15" hidden="false" customHeight="false" outlineLevel="0" collapsed="false">
      <c r="A26" s="20" t="s">
        <v>227</v>
      </c>
      <c r="D26" s="38" t="n">
        <f aca="false">D9</f>
        <v>19560</v>
      </c>
      <c r="E26" s="20" t="s">
        <v>228</v>
      </c>
    </row>
    <row r="27" customFormat="false" ht="15" hidden="false" customHeight="false" outlineLevel="0" collapsed="false">
      <c r="A27" s="20" t="s">
        <v>229</v>
      </c>
      <c r="D27" s="28" t="n">
        <v>0</v>
      </c>
      <c r="E27" s="20" t="s">
        <v>230</v>
      </c>
    </row>
    <row r="28" customFormat="false" ht="15" hidden="false" customHeight="false" outlineLevel="0" collapsed="false">
      <c r="A28" s="20" t="s">
        <v>231</v>
      </c>
      <c r="D28" s="30" t="n">
        <f aca="false">IF(D27&gt;0,D27,D13)</f>
        <v>26611.2</v>
      </c>
    </row>
    <row r="29" customFormat="false" ht="15" hidden="false" customHeight="false" outlineLevel="0" collapsed="false">
      <c r="A29" s="22" t="s">
        <v>232</v>
      </c>
      <c r="D29" s="32" t="n">
        <f aca="false">D28-D26</f>
        <v>7051.2</v>
      </c>
    </row>
    <row r="30" customFormat="false" ht="15" hidden="false" customHeight="false" outlineLevel="0" collapsed="false">
      <c r="A30" s="20" t="s">
        <v>233</v>
      </c>
      <c r="D30" s="31" t="n">
        <f aca="false">D29/D28</f>
        <v>0.26497113997114</v>
      </c>
    </row>
    <row r="31" customFormat="false" ht="15" hidden="false" customHeight="false" outlineLevel="0" collapsed="false">
      <c r="A31" s="20" t="s">
        <v>234</v>
      </c>
      <c r="E31" s="39" t="str">
        <f aca="false">IF(D29&gt;0,"Positivt dekningsbidrag — ta jobben HVIS det er ledig kapasitet","Negativt dekningsbidrag — si nei uansett")</f>
        <v>Positivt dekningsbidrag — ta jobben HVIS det er ledig kapasitet</v>
      </c>
    </row>
    <row r="32" customFormat="false" ht="15" hidden="false" customHeight="false" outlineLevel="0" collapsed="false">
      <c r="A32" s="17" t="s">
        <v>235</v>
      </c>
    </row>
    <row r="34" customFormat="false" ht="15" hidden="false" customHeight="false" outlineLevel="0" collapsed="false">
      <c r="A34" s="18" t="s">
        <v>236</v>
      </c>
    </row>
    <row r="35" customFormat="false" ht="27.75" hidden="false" customHeight="true" outlineLevel="0" collapsed="false">
      <c r="A35" s="23" t="s">
        <v>196</v>
      </c>
      <c r="B35" s="23" t="s">
        <v>237</v>
      </c>
      <c r="C35" s="23" t="s">
        <v>238</v>
      </c>
      <c r="D35" s="23" t="s">
        <v>239</v>
      </c>
      <c r="E35" s="23" t="s">
        <v>240</v>
      </c>
    </row>
    <row r="36" customFormat="false" ht="15" hidden="false" customHeight="false" outlineLevel="0" collapsed="false">
      <c r="A36" s="20" t="s">
        <v>241</v>
      </c>
      <c r="B36" s="36" t="n">
        <f aca="false">B6</f>
        <v>14</v>
      </c>
      <c r="C36" s="37" t="n">
        <v>14</v>
      </c>
      <c r="D36" s="30" t="n">
        <f aca="false">(C36-B36)*$C$6</f>
        <v>0</v>
      </c>
      <c r="E36" s="31" t="n">
        <f aca="false">IF(B36=0,"",(C36-B36)/B36)</f>
        <v>0</v>
      </c>
    </row>
    <row r="37" customFormat="false" ht="15" hidden="false" customHeight="false" outlineLevel="0" collapsed="false">
      <c r="A37" s="20" t="s">
        <v>201</v>
      </c>
      <c r="B37" s="38" t="n">
        <f aca="false">D6</f>
        <v>8960</v>
      </c>
      <c r="C37" s="38" t="n">
        <f aca="false">C36*$C$6</f>
        <v>8960</v>
      </c>
      <c r="D37" s="30" t="n">
        <f aca="false">C37-B37</f>
        <v>0</v>
      </c>
      <c r="E37" s="31" t="n">
        <f aca="false">IF(B37=0,"",(C37-B37)/B37)</f>
        <v>0</v>
      </c>
    </row>
    <row r="38" customFormat="false" ht="15" hidden="false" customHeight="false" outlineLevel="0" collapsed="false">
      <c r="A38" s="20" t="s">
        <v>242</v>
      </c>
      <c r="B38" s="38" t="n">
        <f aca="false">D7</f>
        <v>9800</v>
      </c>
      <c r="C38" s="28" t="n">
        <v>9800</v>
      </c>
      <c r="D38" s="30" t="n">
        <f aca="false">C38-B38</f>
        <v>0</v>
      </c>
      <c r="E38" s="31" t="n">
        <f aca="false">IF(B38=0,"",(C38-B38)/B38)</f>
        <v>0</v>
      </c>
    </row>
    <row r="39" customFormat="false" ht="15" hidden="false" customHeight="false" outlineLevel="0" collapsed="false">
      <c r="A39" s="20" t="s">
        <v>205</v>
      </c>
      <c r="B39" s="38" t="n">
        <f aca="false">D8</f>
        <v>800</v>
      </c>
      <c r="C39" s="28" t="n">
        <v>800</v>
      </c>
      <c r="D39" s="30" t="n">
        <f aca="false">C39-B39</f>
        <v>0</v>
      </c>
      <c r="E39" s="31" t="n">
        <f aca="false">IF(B39=0,"",(C39-B39)/B39)</f>
        <v>0</v>
      </c>
    </row>
    <row r="40" customFormat="false" ht="15" hidden="false" customHeight="false" outlineLevel="0" collapsed="false">
      <c r="A40" s="20" t="s">
        <v>243</v>
      </c>
      <c r="B40" s="38" t="n">
        <f aca="false">D10</f>
        <v>4200</v>
      </c>
      <c r="C40" s="28" t="n">
        <v>4200</v>
      </c>
      <c r="D40" s="30" t="n">
        <f aca="false">C40-B40</f>
        <v>0</v>
      </c>
      <c r="E40" s="31" t="n">
        <f aca="false">IF(B40=0,"",(C40-B40)/B40)</f>
        <v>0</v>
      </c>
    </row>
    <row r="41" customFormat="false" ht="15" hidden="false" customHeight="false" outlineLevel="0" collapsed="false">
      <c r="A41" s="22" t="s">
        <v>164</v>
      </c>
      <c r="B41" s="29" t="n">
        <f aca="false">D11</f>
        <v>23760</v>
      </c>
      <c r="C41" s="29" t="n">
        <f aca="false">C37+C38+C39+C40</f>
        <v>23760</v>
      </c>
      <c r="D41" s="32" t="n">
        <f aca="false">C41-B41</f>
        <v>0</v>
      </c>
      <c r="E41" s="31" t="n">
        <f aca="false">IF(B41=0,"",(C41-B41)/B41)</f>
        <v>0</v>
      </c>
    </row>
    <row r="42" customFormat="false" ht="15" hidden="false" customHeight="false" outlineLevel="0" collapsed="false">
      <c r="A42" s="22" t="s">
        <v>244</v>
      </c>
      <c r="B42" s="32" t="n">
        <f aca="false">D12</f>
        <v>2851.2</v>
      </c>
      <c r="C42" s="32" t="n">
        <f aca="false">$D$13-C41</f>
        <v>2851.2</v>
      </c>
      <c r="D42" s="32" t="n">
        <f aca="false">C42-B42</f>
        <v>0</v>
      </c>
      <c r="E42" s="20" t="s">
        <v>245</v>
      </c>
    </row>
    <row r="44" customFormat="false" ht="15" hidden="false" customHeight="false" outlineLevel="0" collapsed="false">
      <c r="A44" s="20" t="s">
        <v>246</v>
      </c>
      <c r="B44" s="36" t="n">
        <f aca="false">(D13-C38-C39-C40)/C6</f>
        <v>18.455</v>
      </c>
      <c r="E44" s="20" t="s">
        <v>247</v>
      </c>
    </row>
    <row r="45" customFormat="false" ht="15" hidden="false" customHeight="false" outlineLevel="0" collapsed="false">
      <c r="A45" s="20" t="s">
        <v>248</v>
      </c>
      <c r="B45" s="30" t="n">
        <f aca="false">C41*(1+C12)*(1+C14)</f>
        <v>33264</v>
      </c>
      <c r="E45" s="20" t="s">
        <v>249</v>
      </c>
    </row>
    <row r="47" customFormat="false" ht="15" hidden="false" customHeight="false" outlineLevel="0" collapsed="false">
      <c r="A47" s="18" t="s">
        <v>142</v>
      </c>
    </row>
    <row r="48" customFormat="false" ht="15" hidden="false" customHeight="false" outlineLevel="0" collapsed="false">
      <c r="A48" s="20" t="s">
        <v>250</v>
      </c>
      <c r="D48" s="35" t="str">
        <f aca="false">IF(ABS(D9+D10-D11)&lt;0.01,"OK — direkte + indirekte = selvkost","AVVIK: selvkosten stemmer ikke med postene over")</f>
        <v>OK — direkte + indirekte = selvkost</v>
      </c>
    </row>
    <row r="49" customFormat="false" ht="15" hidden="false" customHeight="false" outlineLevel="0" collapsed="false">
      <c r="A49" s="20" t="s">
        <v>251</v>
      </c>
      <c r="D49" s="35" t="str">
        <f aca="false">IF(ABS(D15-D13*(1+C14))&lt;0.01,"OK — mva. er regnet av prisen uten mva.","AVVIK: merverdiavgiften er regnet av feil grunnlag")</f>
        <v>OK — mva. er regnet av prisen uten mva.</v>
      </c>
    </row>
    <row r="50" customFormat="false" ht="15" hidden="false" customHeight="false" outlineLevel="0" collapsed="false">
      <c r="A50" s="20" t="s">
        <v>252</v>
      </c>
      <c r="D50" s="35" t="str">
        <f aca="false">IF(ABS(D41-(D37+D38+D39+D40))&lt;0.01,"OK — avvikene på linjene summerer seg til avviket på selvkost","AVVIK: linjeavvikene summerer seg ikke til avviket på selvkost")</f>
        <v>OK — avvikene på linjene summerer seg til avviket på selvkost</v>
      </c>
    </row>
    <row r="52" customFormat="false" ht="15" hidden="false" customHeight="false" outlineLevel="0" collapsed="false">
      <c r="A52" s="22" t="s">
        <v>253</v>
      </c>
    </row>
    <row r="53" customFormat="false" ht="15" hidden="false" customHeight="false" outlineLevel="0" collapsed="false">
      <c r="A53" s="17" t="s">
        <v>254</v>
      </c>
    </row>
  </sheetData>
  <conditionalFormatting sqref="D48">
    <cfRule type="expression" priority="2" aboveAverage="0" equalAverage="0" bottom="0" percent="0" rank="0" text="" dxfId="0">
      <formula>LEFT(D48,5)="AVVIK"</formula>
    </cfRule>
  </conditionalFormatting>
  <conditionalFormatting sqref="D49">
    <cfRule type="expression" priority="3" aboveAverage="0" equalAverage="0" bottom="0" percent="0" rank="0" text="" dxfId="0">
      <formula>LEFT(D49,5)="AVVIK"</formula>
    </cfRule>
  </conditionalFormatting>
  <conditionalFormatting sqref="D50">
    <cfRule type="expression" priority="4" aboveAverage="0" equalAverage="0" bottom="0" percent="0" rank="0" text="" dxfId="0">
      <formula>LEFT(D50,5)="AVVIK"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  <col collapsed="false" customWidth="true" hidden="false" outlineLevel="0" max="5" min="5" style="0" width="2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16" t="s">
        <v>256</v>
      </c>
    </row>
    <row r="4" customFormat="false" ht="15" hidden="false" customHeight="false" outlineLevel="0" collapsed="false">
      <c r="A4" s="18" t="s">
        <v>257</v>
      </c>
    </row>
    <row r="5" customFormat="false" ht="15" hidden="false" customHeight="false" outlineLevel="0" collapsed="false">
      <c r="A5" s="20" t="s">
        <v>258</v>
      </c>
      <c r="B5" s="38" t="n">
        <f aca="false">Timepris!B27</f>
        <v>12816000</v>
      </c>
    </row>
    <row r="6" customFormat="false" ht="15" hidden="false" customHeight="false" outlineLevel="0" collapsed="false">
      <c r="A6" s="20" t="s">
        <v>259</v>
      </c>
      <c r="B6" s="26" t="n">
        <f aca="false">Timepris!B5</f>
        <v>12</v>
      </c>
    </row>
    <row r="7" customFormat="false" ht="15" hidden="false" customHeight="false" outlineLevel="0" collapsed="false">
      <c r="A7" s="20" t="s">
        <v>260</v>
      </c>
      <c r="B7" s="26" t="n">
        <f aca="false">Timepris!B6</f>
        <v>1695</v>
      </c>
    </row>
    <row r="8" customFormat="false" ht="15" hidden="false" customHeight="false" outlineLevel="0" collapsed="false">
      <c r="A8" s="20" t="s">
        <v>261</v>
      </c>
      <c r="B8" s="25" t="n">
        <f aca="false">Timepris!B9</f>
        <v>0.707964601769912</v>
      </c>
    </row>
    <row r="9" customFormat="false" ht="15" hidden="false" customHeight="false" outlineLevel="0" collapsed="false">
      <c r="A9" s="20" t="s">
        <v>262</v>
      </c>
      <c r="B9" s="32" t="n">
        <f aca="false">Timepris!B37</f>
        <v>890</v>
      </c>
    </row>
    <row r="11" customFormat="false" ht="27.75" hidden="false" customHeight="true" outlineLevel="0" collapsed="false">
      <c r="A11" s="23" t="s">
        <v>18</v>
      </c>
      <c r="B11" s="23" t="s">
        <v>263</v>
      </c>
      <c r="C11" s="23" t="s">
        <v>264</v>
      </c>
      <c r="D11" s="23" t="s">
        <v>265</v>
      </c>
      <c r="E11" s="23" t="s">
        <v>266</v>
      </c>
      <c r="F11" s="23" t="s">
        <v>267</v>
      </c>
    </row>
    <row r="12" customFormat="false" ht="15" hidden="false" customHeight="false" outlineLevel="0" collapsed="false">
      <c r="A12" s="33" t="n">
        <v>0.9</v>
      </c>
      <c r="B12" s="36" t="n">
        <f aca="false">A12*$B$7</f>
        <v>1525.5</v>
      </c>
      <c r="C12" s="36" t="n">
        <f aca="false">B12*$B$6</f>
        <v>18306</v>
      </c>
      <c r="D12" s="30" t="n">
        <f aca="false">$B$5/C12</f>
        <v>700.098328416913</v>
      </c>
      <c r="E12" s="31" t="n">
        <f aca="false">D12/$B$9-1</f>
        <v>-0.213372664700098</v>
      </c>
      <c r="F12" s="20" t="s">
        <v>268</v>
      </c>
    </row>
    <row r="13" customFormat="false" ht="15" hidden="false" customHeight="false" outlineLevel="0" collapsed="false">
      <c r="A13" s="33" t="n">
        <v>0.85</v>
      </c>
      <c r="B13" s="36" t="n">
        <f aca="false">A13*$B$7</f>
        <v>1440.75</v>
      </c>
      <c r="C13" s="36" t="n">
        <f aca="false">B13*$B$6</f>
        <v>17289</v>
      </c>
      <c r="D13" s="30" t="n">
        <f aca="false">$B$5/C13</f>
        <v>741.280583029672</v>
      </c>
      <c r="E13" s="31" t="n">
        <f aca="false">D13/$B$9-1</f>
        <v>-0.167100468505986</v>
      </c>
      <c r="F13" s="20" t="s">
        <v>269</v>
      </c>
    </row>
    <row r="14" customFormat="false" ht="15" hidden="false" customHeight="false" outlineLevel="0" collapsed="false">
      <c r="A14" s="33" t="n">
        <v>0.8</v>
      </c>
      <c r="B14" s="36" t="n">
        <f aca="false">A14*$B$7</f>
        <v>1356</v>
      </c>
      <c r="C14" s="36" t="n">
        <f aca="false">B14*$B$6</f>
        <v>16272</v>
      </c>
      <c r="D14" s="30" t="n">
        <f aca="false">$B$5/C14</f>
        <v>787.610619469027</v>
      </c>
      <c r="E14" s="31" t="n">
        <f aca="false">D14/$B$9-1</f>
        <v>-0.115044247787611</v>
      </c>
      <c r="F14" s="20" t="s">
        <v>270</v>
      </c>
    </row>
    <row r="15" customFormat="false" ht="15" hidden="false" customHeight="false" outlineLevel="0" collapsed="false">
      <c r="A15" s="33" t="n">
        <v>0.75</v>
      </c>
      <c r="B15" s="36" t="n">
        <f aca="false">A15*$B$7</f>
        <v>1271.25</v>
      </c>
      <c r="C15" s="36" t="n">
        <f aca="false">B15*$B$6</f>
        <v>15255</v>
      </c>
      <c r="D15" s="30" t="n">
        <f aca="false">$B$5/C15</f>
        <v>840.117994100295</v>
      </c>
      <c r="E15" s="31" t="n">
        <f aca="false">D15/$B$9-1</f>
        <v>-0.056047197640118</v>
      </c>
      <c r="F15" s="20" t="s">
        <v>271</v>
      </c>
    </row>
    <row r="16" customFormat="false" ht="15" hidden="false" customHeight="false" outlineLevel="0" collapsed="false">
      <c r="A16" s="31" t="n">
        <f aca="false">$B$8</f>
        <v>0.707964601769912</v>
      </c>
      <c r="B16" s="36" t="n">
        <f aca="false">A16*$B$7</f>
        <v>1200</v>
      </c>
      <c r="C16" s="36" t="n">
        <f aca="false">B16*$B$6</f>
        <v>14400</v>
      </c>
      <c r="D16" s="32" t="n">
        <f aca="false">$B$5/C16</f>
        <v>890</v>
      </c>
      <c r="E16" s="31" t="n">
        <f aca="false">D16/$B$9-1</f>
        <v>0</v>
      </c>
      <c r="F16" s="20" t="s">
        <v>272</v>
      </c>
    </row>
    <row r="17" customFormat="false" ht="15" hidden="false" customHeight="false" outlineLevel="0" collapsed="false">
      <c r="A17" s="33" t="n">
        <v>0.7</v>
      </c>
      <c r="B17" s="36" t="n">
        <f aca="false">A17*$B$7</f>
        <v>1186.5</v>
      </c>
      <c r="C17" s="36" t="n">
        <f aca="false">B17*$B$6</f>
        <v>14238</v>
      </c>
      <c r="D17" s="30" t="n">
        <f aca="false">$B$5/C17</f>
        <v>900.126422250316</v>
      </c>
      <c r="E17" s="31" t="n">
        <f aca="false">D17/$B$9-1</f>
        <v>0.0113780025284451</v>
      </c>
      <c r="F17" s="20" t="s">
        <v>273</v>
      </c>
    </row>
    <row r="18" customFormat="false" ht="15" hidden="false" customHeight="false" outlineLevel="0" collapsed="false">
      <c r="A18" s="31" t="n">
        <f aca="false">$B$8-0.05</f>
        <v>0.657964601769912</v>
      </c>
      <c r="B18" s="36" t="n">
        <f aca="false">A18*$B$7</f>
        <v>1115.25</v>
      </c>
      <c r="C18" s="36" t="n">
        <f aca="false">B18*$B$6</f>
        <v>13383</v>
      </c>
      <c r="D18" s="30" t="n">
        <f aca="false">$B$5/C18</f>
        <v>957.632817753867</v>
      </c>
      <c r="E18" s="31" t="n">
        <f aca="false">D18/$B$9-1</f>
        <v>0.0759919300605245</v>
      </c>
      <c r="F18" s="20" t="s">
        <v>274</v>
      </c>
    </row>
    <row r="19" customFormat="false" ht="15" hidden="false" customHeight="false" outlineLevel="0" collapsed="false">
      <c r="A19" s="33" t="n">
        <v>0.65</v>
      </c>
      <c r="B19" s="36" t="n">
        <f aca="false">A19*$B$7</f>
        <v>1101.75</v>
      </c>
      <c r="C19" s="36" t="n">
        <f aca="false">B19*$B$6</f>
        <v>13221</v>
      </c>
      <c r="D19" s="30" t="n">
        <f aca="false">$B$5/C19</f>
        <v>969.366916269571</v>
      </c>
      <c r="E19" s="31" t="n">
        <f aca="false">D19/$B$9-1</f>
        <v>0.0891763104152485</v>
      </c>
      <c r="F19" s="20" t="s">
        <v>275</v>
      </c>
    </row>
    <row r="20" customFormat="false" ht="15" hidden="false" customHeight="false" outlineLevel="0" collapsed="false">
      <c r="A20" s="33" t="n">
        <v>0.6</v>
      </c>
      <c r="B20" s="36" t="n">
        <f aca="false">A20*$B$7</f>
        <v>1017</v>
      </c>
      <c r="C20" s="36" t="n">
        <f aca="false">B20*$B$6</f>
        <v>12204</v>
      </c>
      <c r="D20" s="30" t="n">
        <f aca="false">$B$5/C20</f>
        <v>1050.14749262537</v>
      </c>
      <c r="E20" s="31" t="n">
        <f aca="false">D20/$B$9-1</f>
        <v>0.179941002949853</v>
      </c>
      <c r="F20" s="20" t="s">
        <v>276</v>
      </c>
    </row>
    <row r="21" customFormat="false" ht="15" hidden="false" customHeight="false" outlineLevel="0" collapsed="false">
      <c r="A21" s="33" t="n">
        <v>0.55</v>
      </c>
      <c r="B21" s="36" t="n">
        <f aca="false">A21*$B$7</f>
        <v>932.25</v>
      </c>
      <c r="C21" s="36" t="n">
        <f aca="false">B21*$B$6</f>
        <v>11187</v>
      </c>
      <c r="D21" s="30" t="n">
        <f aca="false">$B$5/C21</f>
        <v>1145.6154465004</v>
      </c>
      <c r="E21" s="31" t="n">
        <f aca="false">D21/$B$9-1</f>
        <v>0.287208366854384</v>
      </c>
      <c r="F21" s="20" t="s">
        <v>277</v>
      </c>
    </row>
    <row r="23" customFormat="false" ht="15" hidden="false" customHeight="false" outlineLevel="0" collapsed="false">
      <c r="A23" s="18" t="s">
        <v>278</v>
      </c>
    </row>
    <row r="24" customFormat="false" ht="15" hidden="false" customHeight="false" outlineLevel="0" collapsed="false">
      <c r="A24" s="20" t="s">
        <v>279</v>
      </c>
    </row>
    <row r="25" customFormat="false" ht="15" hidden="false" customHeight="false" outlineLevel="0" collapsed="false">
      <c r="A25" s="20" t="s">
        <v>280</v>
      </c>
    </row>
    <row r="26" customFormat="false" ht="15" hidden="false" customHeight="false" outlineLevel="0" collapsed="false">
      <c r="A26" s="22" t="s">
        <v>281</v>
      </c>
    </row>
    <row r="28" customFormat="false" ht="15" hidden="false" customHeight="false" outlineLevel="0" collapsed="false">
      <c r="A28" s="18" t="s">
        <v>142</v>
      </c>
    </row>
    <row r="29" customFormat="false" ht="15" hidden="false" customHeight="false" outlineLevel="0" collapsed="false">
      <c r="A29" s="20" t="s">
        <v>282</v>
      </c>
      <c r="D29" s="35" t="str">
        <f aca="false">IF(ABS(D16-Timepris!B32)&lt;0.01,"OK — raden gir samme timepris som kalkylen i arket Timepris","AVVIK: raden stemmer ikke med kalkylen i arket Timepris")</f>
        <v>OK — raden gir samme timepris som kalkylen i arket Timepris</v>
      </c>
    </row>
    <row r="30" customFormat="false" ht="15" hidden="false" customHeight="false" outlineLevel="0" collapsed="false">
      <c r="A30" s="20" t="s">
        <v>283</v>
      </c>
      <c r="D30" s="35" t="str">
        <f aca="false">IF(D12&lt;D21,"OK — lavere faktureringsgrad krever høyere timepris","AVVIK: tabellen skal stige nedover")</f>
        <v>OK — lavere faktureringsgrad krever høyere timepris</v>
      </c>
    </row>
    <row r="32" customFormat="false" ht="15" hidden="false" customHeight="false" outlineLevel="0" collapsed="false">
      <c r="A32" s="17" t="s">
        <v>284</v>
      </c>
    </row>
  </sheetData>
  <conditionalFormatting sqref="D29">
    <cfRule type="expression" priority="2" aboveAverage="0" equalAverage="0" bottom="0" percent="0" rank="0" text="" dxfId="0">
      <formula>LEFT(D29,5)="AVVIK"</formula>
    </cfRule>
  </conditionalFormatting>
  <conditionalFormatting sqref="D30">
    <cfRule type="expression" priority="3" aboveAverage="0" equalAverage="0" bottom="0" percent="0" rank="0" text="" dxfId="0">
      <formula>LEFT(D30,5)="AVVIK"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16" t="s">
        <v>286</v>
      </c>
    </row>
    <row r="4" customFormat="false" ht="15" hidden="false" customHeight="false" outlineLevel="0" collapsed="false">
      <c r="A4" s="18" t="s">
        <v>287</v>
      </c>
    </row>
    <row r="5" customFormat="false" ht="15" hidden="false" customHeight="false" outlineLevel="0" collapsed="false">
      <c r="A5" s="17" t="s">
        <v>288</v>
      </c>
    </row>
    <row r="7" customFormat="false" ht="27.75" hidden="false" customHeight="true" outlineLevel="0" collapsed="false">
      <c r="A7" s="23"/>
      <c r="B7" s="23" t="s">
        <v>289</v>
      </c>
      <c r="C7" s="23" t="s">
        <v>290</v>
      </c>
      <c r="D7" s="23" t="s">
        <v>291</v>
      </c>
      <c r="E7" s="23" t="s">
        <v>292</v>
      </c>
    </row>
    <row r="8" customFormat="false" ht="15" hidden="false" customHeight="false" outlineLevel="0" collapsed="false">
      <c r="A8" s="22" t="s">
        <v>18</v>
      </c>
      <c r="B8" s="40" t="n">
        <f aca="false">Timepris!B9</f>
        <v>0.707964601769912</v>
      </c>
      <c r="C8" s="33" t="n">
        <v>0.7</v>
      </c>
      <c r="D8" s="33" t="n">
        <v>0.65</v>
      </c>
      <c r="E8" s="20" t="s">
        <v>293</v>
      </c>
    </row>
    <row r="9" customFormat="false" ht="15" hidden="false" customHeight="false" outlineLevel="0" collapsed="false">
      <c r="A9" s="20" t="s">
        <v>294</v>
      </c>
      <c r="B9" s="36" t="n">
        <f aca="false">B8*Timepris!$B$10</f>
        <v>14400</v>
      </c>
      <c r="C9" s="36" t="n">
        <f aca="false">C8*Timepris!$B$10</f>
        <v>14238</v>
      </c>
      <c r="D9" s="36" t="n">
        <f aca="false">D8*Timepris!$B$10</f>
        <v>13221</v>
      </c>
      <c r="E9" s="20" t="s">
        <v>295</v>
      </c>
    </row>
    <row r="10" customFormat="false" ht="15" hidden="false" customHeight="false" outlineLevel="0" collapsed="false">
      <c r="A10" s="20" t="s">
        <v>258</v>
      </c>
      <c r="B10" s="38" t="n">
        <f aca="false">Timepris!$B$27</f>
        <v>12816000</v>
      </c>
      <c r="C10" s="38" t="n">
        <f aca="false">Timepris!$B$27</f>
        <v>12816000</v>
      </c>
      <c r="D10" s="38" t="n">
        <f aca="false">Timepris!$B$27</f>
        <v>12816000</v>
      </c>
      <c r="E10" s="20" t="s">
        <v>296</v>
      </c>
    </row>
    <row r="11" customFormat="false" ht="15" hidden="false" customHeight="false" outlineLevel="0" collapsed="false">
      <c r="A11" s="22" t="s">
        <v>297</v>
      </c>
      <c r="B11" s="32" t="n">
        <f aca="false">B10/B9</f>
        <v>890</v>
      </c>
      <c r="C11" s="32" t="n">
        <f aca="false">C10/C9</f>
        <v>900.126422250316</v>
      </c>
      <c r="D11" s="32" t="n">
        <f aca="false">D10/D9</f>
        <v>969.366916269571</v>
      </c>
      <c r="E11" s="20" t="s">
        <v>298</v>
      </c>
    </row>
    <row r="12" customFormat="false" ht="15" hidden="false" customHeight="false" outlineLevel="0" collapsed="false">
      <c r="A12" s="20" t="s">
        <v>299</v>
      </c>
      <c r="B12" s="30" t="n">
        <f aca="false">B11-Timepris!$B$37</f>
        <v>0</v>
      </c>
      <c r="C12" s="30" t="n">
        <f aca="false">C11-Timepris!$B$37</f>
        <v>10.1264222503161</v>
      </c>
      <c r="D12" s="30" t="n">
        <f aca="false">D11-Timepris!$B$37</f>
        <v>79.3669162695711</v>
      </c>
    </row>
    <row r="13" customFormat="false" ht="15" hidden="false" customHeight="false" outlineLevel="0" collapsed="false">
      <c r="A13" s="20" t="s">
        <v>300</v>
      </c>
      <c r="B13" s="31" t="n">
        <f aca="false">B11/Timepris!$B$37-1</f>
        <v>0</v>
      </c>
      <c r="C13" s="31" t="n">
        <f aca="false">C11/Timepris!$B$37-1</f>
        <v>0.0113780025284451</v>
      </c>
      <c r="D13" s="31" t="n">
        <f aca="false">D11/Timepris!$B$37-1</f>
        <v>0.0891763104152485</v>
      </c>
    </row>
    <row r="14" customFormat="false" ht="15" hidden="false" customHeight="false" outlineLevel="0" collapsed="false">
      <c r="A14" s="22" t="s">
        <v>301</v>
      </c>
      <c r="B14" s="29" t="n">
        <f aca="false">Timepris!$B$37*B9-Timepris!$B$25</f>
        <v>1344000</v>
      </c>
      <c r="C14" s="29" t="n">
        <f aca="false">Timepris!$B$37*C9-Timepris!$B$25</f>
        <v>1199820</v>
      </c>
      <c r="D14" s="29" t="n">
        <f aca="false">Timepris!$B$37*D9-Timepris!$B$25</f>
        <v>294690</v>
      </c>
      <c r="E14" s="20" t="s">
        <v>302</v>
      </c>
    </row>
    <row r="15" customFormat="false" ht="15" hidden="false" customHeight="false" outlineLevel="0" collapsed="false">
      <c r="A15" s="20" t="s">
        <v>303</v>
      </c>
      <c r="B15" s="38" t="n">
        <f aca="false">B14-$B$14</f>
        <v>0</v>
      </c>
      <c r="C15" s="38" t="n">
        <f aca="false">C14-$B$14</f>
        <v>-144180</v>
      </c>
      <c r="D15" s="38" t="n">
        <f aca="false">D14-$B$14</f>
        <v>-1049310</v>
      </c>
    </row>
    <row r="17" customFormat="false" ht="15" hidden="false" customHeight="false" outlineLevel="0" collapsed="false">
      <c r="A17" s="18" t="s">
        <v>142</v>
      </c>
    </row>
    <row r="18" customFormat="false" ht="15" hidden="false" customHeight="false" outlineLevel="0" collapsed="false">
      <c r="A18" s="20" t="s">
        <v>304</v>
      </c>
      <c r="B18" s="35" t="str">
        <f aca="false">IF(AND(D8&lt;C8,D11&gt;C11),"OK — færre timer krever høyere timepris","AVVIK: sjekk at scenario B har lavere faktureringsgrad enn scenario A")</f>
        <v>OK — færre timer krever høyere timepris</v>
      </c>
    </row>
    <row r="21" customFormat="false" ht="15" hidden="false" customHeight="false" outlineLevel="0" collapsed="false">
      <c r="A21" s="18" t="s">
        <v>305</v>
      </c>
    </row>
    <row r="22" customFormat="false" ht="15" hidden="false" customHeight="false" outlineLevel="0" collapsed="false">
      <c r="A22" s="17" t="s">
        <v>306</v>
      </c>
    </row>
    <row r="24" customFormat="false" ht="15" hidden="false" customHeight="false" outlineLevel="0" collapsed="false">
      <c r="A24" s="20" t="s">
        <v>307</v>
      </c>
      <c r="B24" s="34" t="n">
        <v>21660</v>
      </c>
      <c r="E24" s="20" t="s">
        <v>308</v>
      </c>
    </row>
    <row r="25" customFormat="false" ht="15" hidden="false" customHeight="false" outlineLevel="0" collapsed="false">
      <c r="A25" s="20" t="s">
        <v>309</v>
      </c>
      <c r="B25" s="38" t="n">
        <f aca="false">Oppdrag!D9</f>
        <v>19560</v>
      </c>
    </row>
    <row r="26" customFormat="false" ht="15" hidden="false" customHeight="false" outlineLevel="0" collapsed="false">
      <c r="A26" s="20" t="s">
        <v>310</v>
      </c>
      <c r="B26" s="38" t="n">
        <f aca="false">Oppdrag!D11</f>
        <v>23760</v>
      </c>
    </row>
    <row r="27" customFormat="false" ht="15" hidden="false" customHeight="false" outlineLevel="0" collapsed="false">
      <c r="A27" s="22" t="s">
        <v>232</v>
      </c>
      <c r="B27" s="32" t="n">
        <f aca="false">B24-B25</f>
        <v>2100</v>
      </c>
      <c r="E27" s="20" t="s">
        <v>311</v>
      </c>
    </row>
    <row r="28" customFormat="false" ht="15" hidden="false" customHeight="false" outlineLevel="0" collapsed="false">
      <c r="A28" s="20" t="s">
        <v>233</v>
      </c>
      <c r="B28" s="31" t="n">
        <f aca="false">B27/B24</f>
        <v>0.0969529085872576</v>
      </c>
    </row>
    <row r="29" customFormat="false" ht="15" hidden="false" customHeight="false" outlineLevel="0" collapsed="false">
      <c r="A29" s="22" t="s">
        <v>312</v>
      </c>
      <c r="B29" s="32" t="n">
        <f aca="false">B24-B26</f>
        <v>-2100</v>
      </c>
      <c r="E29" s="20" t="s">
        <v>313</v>
      </c>
    </row>
    <row r="30" customFormat="false" ht="15" hidden="false" customHeight="false" outlineLevel="0" collapsed="false">
      <c r="A30" s="20" t="s">
        <v>314</v>
      </c>
      <c r="B30" s="31" t="n">
        <f aca="false">B27/Oppdrag!D10</f>
        <v>0.5</v>
      </c>
    </row>
    <row r="31" customFormat="false" ht="15" hidden="false" customHeight="false" outlineLevel="0" collapsed="false">
      <c r="A31" s="22" t="s">
        <v>315</v>
      </c>
      <c r="E31" s="39" t="str">
        <f aca="false">IF(B27&lt;0,"Negativt dekningsbidrag — si nei uansett",IF(B29&lt;0,"Positivt dekningsbidrag, men under selvkost — forsvarlig BARE ved ledig kapasitet, aldri som normalpris","Dekker selvkost og gir fortjeneste"))</f>
        <v>Positivt dekningsbidrag, men under selvkost — forsvarlig BARE ved ledig kapasitet, aldri som normalpris</v>
      </c>
    </row>
    <row r="33" customFormat="false" ht="15" hidden="false" customHeight="false" outlineLevel="0" collapsed="false">
      <c r="A33" s="18" t="s">
        <v>316</v>
      </c>
    </row>
    <row r="34" customFormat="false" ht="15" hidden="false" customHeight="false" outlineLevel="0" collapsed="false">
      <c r="A34" s="20" t="s">
        <v>317</v>
      </c>
      <c r="B34" s="28" t="n">
        <v>3840000</v>
      </c>
      <c r="E34" s="20" t="s">
        <v>318</v>
      </c>
    </row>
    <row r="35" customFormat="false" ht="15" hidden="false" customHeight="false" outlineLevel="0" collapsed="false">
      <c r="A35" s="20" t="s">
        <v>319</v>
      </c>
      <c r="B35" s="26" t="n">
        <f aca="false">B34/B27</f>
        <v>1828.57142857143</v>
      </c>
    </row>
    <row r="36" customFormat="false" ht="15" hidden="false" customHeight="false" outlineLevel="0" collapsed="false">
      <c r="A36" s="20" t="s">
        <v>320</v>
      </c>
      <c r="B36" s="26" t="n">
        <f aca="false">B34/(Oppdrag!D13-Oppdrag!D9)</f>
        <v>544.588155207624</v>
      </c>
    </row>
    <row r="37" customFormat="false" ht="15" hidden="false" customHeight="false" outlineLevel="0" collapsed="false">
      <c r="A37" s="20" t="s">
        <v>321</v>
      </c>
      <c r="B37" s="26" t="n">
        <f aca="false">Timepris!B11/Oppdrag!B6</f>
        <v>1028.57142857143</v>
      </c>
      <c r="E37" s="20" t="s">
        <v>322</v>
      </c>
    </row>
    <row r="38" customFormat="false" ht="15" hidden="false" customHeight="false" outlineLevel="0" collapsed="false">
      <c r="A38" s="18" t="s">
        <v>142</v>
      </c>
    </row>
    <row r="39" customFormat="false" ht="15" hidden="false" customHeight="false" outlineLevel="0" collapsed="false">
      <c r="A39" s="20" t="s">
        <v>323</v>
      </c>
      <c r="B39" s="35" t="str">
        <f aca="false">IF(B35&gt;B37,"AVVIK: året har ikke nok timer — underprisen kan aldri dekke de faste kostnadene","OK — underprisen kan dekkes innenfor kapasiteten")</f>
        <v>AVVIK: året har ikke nok timer — underprisen kan aldri dekke de faste kostnadene</v>
      </c>
    </row>
    <row r="40" customFormat="false" ht="15" hidden="false" customHeight="false" outlineLevel="0" collapsed="false">
      <c r="A40" s="17" t="s">
        <v>324</v>
      </c>
    </row>
    <row r="42" customFormat="false" ht="15" hidden="false" customHeight="false" outlineLevel="0" collapsed="false">
      <c r="A42" s="18" t="s">
        <v>325</v>
      </c>
    </row>
    <row r="43" customFormat="false" ht="15" hidden="false" customHeight="false" outlineLevel="0" collapsed="false">
      <c r="A43" s="17" t="s">
        <v>326</v>
      </c>
    </row>
    <row r="45" customFormat="false" ht="15" hidden="false" customHeight="false" outlineLevel="0" collapsed="false">
      <c r="A45" s="20" t="s">
        <v>327</v>
      </c>
      <c r="B45" s="34" t="n">
        <v>801</v>
      </c>
    </row>
    <row r="46" customFormat="false" ht="15" hidden="false" customHeight="false" outlineLevel="0" collapsed="false">
      <c r="A46" s="20" t="s">
        <v>328</v>
      </c>
      <c r="B46" s="30" t="n">
        <f aca="false">Timepris!B37</f>
        <v>890</v>
      </c>
    </row>
    <row r="47" customFormat="false" ht="15" hidden="false" customHeight="false" outlineLevel="0" collapsed="false">
      <c r="A47" s="20" t="s">
        <v>329</v>
      </c>
      <c r="B47" s="30" t="n">
        <f aca="false">B46-B45</f>
        <v>89</v>
      </c>
    </row>
    <row r="48" customFormat="false" ht="15" hidden="false" customHeight="false" outlineLevel="0" collapsed="false">
      <c r="A48" s="22" t="s">
        <v>330</v>
      </c>
      <c r="B48" s="29" t="n">
        <f aca="false">B47*Timepris!B11</f>
        <v>1281600</v>
      </c>
      <c r="E48" s="20" t="s">
        <v>331</v>
      </c>
    </row>
    <row r="49" customFormat="false" ht="15" hidden="false" customHeight="false" outlineLevel="0" collapsed="false">
      <c r="A49" s="22" t="s">
        <v>332</v>
      </c>
      <c r="B49" s="29" t="n">
        <f aca="false">Timepris!B26-B48</f>
        <v>62400</v>
      </c>
      <c r="E49" s="20" t="s">
        <v>333</v>
      </c>
    </row>
    <row r="50" customFormat="false" ht="15" hidden="false" customHeight="false" outlineLevel="0" collapsed="false">
      <c r="A50" s="20" t="s">
        <v>334</v>
      </c>
      <c r="B50" s="36" t="n">
        <f aca="false">B48/(Timepris!B10*0.01*B46)</f>
        <v>7.07964601769912</v>
      </c>
      <c r="E50" s="20" t="s">
        <v>335</v>
      </c>
    </row>
    <row r="51" customFormat="false" ht="15" hidden="false" customHeight="false" outlineLevel="0" collapsed="false">
      <c r="A51" s="20" t="s">
        <v>336</v>
      </c>
      <c r="B51" s="31" t="n">
        <f aca="false">Timepris!B9+B50/100</f>
        <v>0.778761061946903</v>
      </c>
    </row>
    <row r="53" customFormat="false" ht="15" hidden="false" customHeight="false" outlineLevel="0" collapsed="false">
      <c r="A53" s="18" t="s">
        <v>337</v>
      </c>
    </row>
    <row r="54" customFormat="false" ht="15" hidden="false" customHeight="false" outlineLevel="0" collapsed="false">
      <c r="A54" s="20" t="s">
        <v>338</v>
      </c>
      <c r="B54" s="30" t="n">
        <f aca="false">B45/(1+Timepris!C31)</f>
        <v>717</v>
      </c>
    </row>
    <row r="55" customFormat="false" ht="15" hidden="false" customHeight="false" outlineLevel="0" collapsed="false">
      <c r="A55" s="20" t="s">
        <v>339</v>
      </c>
      <c r="B55" s="26" t="n">
        <f aca="false">Timepris!B25/B54</f>
        <v>16000</v>
      </c>
    </row>
    <row r="56" customFormat="false" ht="15" hidden="false" customHeight="false" outlineLevel="0" collapsed="false">
      <c r="A56" s="22" t="s">
        <v>340</v>
      </c>
      <c r="B56" s="25" t="n">
        <f aca="false">B55/Timepris!B10</f>
        <v>0.786627335299902</v>
      </c>
    </row>
    <row r="57" customFormat="false" ht="15" hidden="false" customHeight="false" outlineLevel="0" collapsed="false">
      <c r="A57" s="20" t="s">
        <v>341</v>
      </c>
      <c r="B57" s="26" t="n">
        <f aca="false">B55-Timepris!B11</f>
        <v>1600</v>
      </c>
    </row>
    <row r="58" customFormat="false" ht="15" hidden="false" customHeight="false" outlineLevel="0" collapsed="false">
      <c r="A58" s="20" t="s">
        <v>342</v>
      </c>
      <c r="B58" s="37" t="n">
        <v>37.5</v>
      </c>
    </row>
    <row r="59" customFormat="false" ht="15" hidden="false" customHeight="false" outlineLevel="0" collapsed="false">
      <c r="A59" s="22" t="s">
        <v>343</v>
      </c>
      <c r="B59" s="41" t="n">
        <f aca="false">B57/Timepris!B5/(Timepris!B6/B58)</f>
        <v>2.94985250737463</v>
      </c>
      <c r="E59" s="20" t="s">
        <v>344</v>
      </c>
    </row>
    <row r="61" customFormat="false" ht="15" hidden="false" customHeight="false" outlineLevel="0" collapsed="false">
      <c r="A61" s="18" t="s">
        <v>142</v>
      </c>
    </row>
    <row r="62" customFormat="false" ht="15" hidden="false" customHeight="false" outlineLevel="0" collapsed="false">
      <c r="A62" s="20" t="s">
        <v>345</v>
      </c>
      <c r="B62" s="35" t="str">
        <f aca="false">IF(B45&gt;Timepris!B30,"OK — konkurrentprisen dekker så vidt din selvkost per time","AVVIK: konkurrentprisen ligger under din selvkost — å matche den er å tape penger på hver time")</f>
        <v>OK — konkurrentprisen dekker så vidt din selvkost per time</v>
      </c>
    </row>
    <row r="63" customFormat="false" ht="15" hidden="false" customHeight="false" outlineLevel="0" collapsed="false">
      <c r="A63" s="20" t="s">
        <v>346</v>
      </c>
      <c r="B63" s="35" t="str">
        <f aca="false">IF(B55&gt;Timepris!B11,"OK — lavere pris krever flere fakturerte timer","AVVIK: sjekk forutsetningene, regnestykket henger ikke sammen")</f>
        <v>OK — lavere pris krever flere fakturerte timer</v>
      </c>
    </row>
    <row r="65" customFormat="false" ht="15" hidden="false" customHeight="false" outlineLevel="0" collapsed="false">
      <c r="A65" s="17" t="s">
        <v>347</v>
      </c>
    </row>
  </sheetData>
  <conditionalFormatting sqref="B18">
    <cfRule type="expression" priority="2" aboveAverage="0" equalAverage="0" bottom="0" percent="0" rank="0" text="" dxfId="0">
      <formula>LEFT(B18,5)="AVVIK"</formula>
    </cfRule>
  </conditionalFormatting>
  <conditionalFormatting sqref="B39">
    <cfRule type="expression" priority="3" aboveAverage="0" equalAverage="0" bottom="0" percent="0" rank="0" text="" dxfId="0">
      <formula>LEFT(B39,5)="AVVIK"</formula>
    </cfRule>
  </conditionalFormatting>
  <conditionalFormatting sqref="B62">
    <cfRule type="expression" priority="4" aboveAverage="0" equalAverage="0" bottom="0" percent="0" rank="0" text="" dxfId="0">
      <formula>LEFT(B62,5)="AVVIK"</formula>
    </cfRule>
  </conditionalFormatting>
  <conditionalFormatting sqref="B63">
    <cfRule type="expression" priority="5" aboveAverage="0" equalAverage="0" bottom="0" percent="0" rank="0" text="" dxfId="0">
      <formula>LEFT(B63,5)="AVVIK"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2026-09-14T08:33:12Z</dcterms:created>
  <dc:creator>openpyxl</dc:creator>
  <dc:description/>
  <dc:language>en-US</dc:language>
  <cp:lastModifiedBy/>
  <dcterms:modified xsi:type="dcterms:W3CDTF">2026-10-07T06:03:12Z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