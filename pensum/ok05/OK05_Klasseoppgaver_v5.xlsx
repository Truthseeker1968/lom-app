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iledning" sheetId="1" state="visible" r:id="rId3"/>
    <sheet name="A1" sheetId="2" state="visible" r:id="rId4"/>
    <sheet name="A2" sheetId="3" state="visible" r:id="rId5"/>
    <sheet name="B1" sheetId="4" state="visible" r:id="rId6"/>
    <sheet name="B2"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<sst xmlns="http://schemas.openxmlformats.org/spreadsheetml/2006/main" count="200" uniqueCount="162">
  <si>
    <t xml:space="preserve">Klasseoppgaver til Økonomistyring kapittel 5: Kalkulasjon og kalkyleprinsipper (V5)</t>
  </si>
  <si>
    <t xml:space="preserve">LØM · Fagskolen Oslo, Avdeling Elkraft · versjon 5, oktober 2026</t>
  </si>
  <si>
    <t xml:space="preserve">Slik bruker du arbeidsboka</t>
  </si>
  <si>
    <t xml:space="preserve">Gule celler med blå skrift</t>
  </si>
  <si>
    <t xml:space="preserve">Her skriver du svaret ditt.</t>
  </si>
  <si>
    <t xml:space="preserve">Kolonnen «Sjekk»</t>
  </si>
  <si>
    <t xml:space="preserve">Viser «Riktig» eller «Prøv igjen» når du har svart. Løsningen får du i appen etter levering, eller i plenum.</t>
  </si>
  <si>
    <t xml:space="preserve">Arkene</t>
  </si>
  <si>
    <t xml:space="preserve">A1</t>
  </si>
  <si>
    <t xml:space="preserve">Nordlys: fastpris på et sikringsskapbytte (Nordlys)</t>
  </si>
  <si>
    <t xml:space="preserve">A2</t>
  </si>
  <si>
    <t xml:space="preserve">Din egen el-bedrift: hva må en fakturerbar time bære? (Egen el-bedrift)</t>
  </si>
  <si>
    <t xml:space="preserve">B1</t>
  </si>
  <si>
    <t xml:space="preserve">Nordlys: 20 sikringsskap til 22 000 kr i en stille januar (Nordlys)</t>
  </si>
  <si>
    <t xml:space="preserve">B2</t>
  </si>
  <si>
    <t xml:space="preserve">Din egen el-bedrift: holdt forkalkylen? (Egen el-bedrift)</t>
  </si>
  <si>
    <t xml:space="preserve">Læreboka</t>
  </si>
  <si>
    <t xml:space="preserve">Hjertnes, J. og Skorpen, K.: Økonomistyring for LØM-emnet, kapittel 5.</t>
  </si>
  <si>
    <t xml:space="preserve">Appen</t>
  </si>
  <si>
    <t xml:space="preserve">Økonomistyring kap. 5 → Øv → Klasseoppgaver gir fasit per deloppgave.</t>
  </si>
  <si>
    <t xml:space="preserve">A1 · Nordlys: fastpris på et sikringsskapbytte</t>
  </si>
  <si>
    <t xml:space="preserve">25 minutter · Helst alene. Sammen med sidemannen eller flere hvis du vil. Ark og blyant, appen (PC eller mobil) eller læreboka.</t>
  </si>
  <si>
    <t xml:space="preserve">Kort oppsummert: En selvkostkalkyle for et oppdrag starter med de direkte kostnadene: timer ganger timesats, materiell og andre direkte kostnader som kjøring. Så legges de indirekte kostnadene på (andel av kontor, husleie og biler). Summen er selvkost, der jobben går i null. Fortjenesten er en prosent av selvkost, og merverdiavgiften er 25 % av prisen uten mva. Direkte kostnader er alltid variable: de ville ikke oppstått om jobben ikke ble gjort.</t>
  </si>
  <si>
    <t xml:space="preserve">Casen er lagt til 2026/2027; regnestykket er det samme uansett år. En privatkunde i Oslo vil bytte det gamle sikringsskapet i en enebolig og vil ha fastpris. Kalkulatør Ida Haugen har anslått jobben: 14 montørtimer, materiell (skap, vern, jordfeilbrytere og kabel) for 9 800 kr og kjøring for 800 kr. Nordlys bruker 640 kr per montørtime som direkte lønnskostnad i oppdragskalkyler. Jobbens andel av indirekte kostnader (kontor, husleie, biler, Idas egen lønn) er 4 200 kr. Nordlys legger 12 % fortjeneste på selvkost, og privatkunden betaler 25 % mva. Gå fram slik: direkte kostnader først, så selvkost, så fortjeneste, så mva.</t>
  </si>
  <si>
    <t xml:space="preserve">Forutsetning</t>
  </si>
  <si>
    <t xml:space="preserve">Verdi</t>
  </si>
  <si>
    <t xml:space="preserve">Montørtimer</t>
  </si>
  <si>
    <t xml:space="preserve">14 timer à 640 kr (direkte lønnskostnad)</t>
  </si>
  <si>
    <t xml:space="preserve">Materiell</t>
  </si>
  <si>
    <t xml:space="preserve">9 800 kr (skap, vern, jordfeil, kabel)</t>
  </si>
  <si>
    <t xml:space="preserve">Kjøring til boligen</t>
  </si>
  <si>
    <t xml:space="preserve">800 kr</t>
  </si>
  <si>
    <t xml:space="preserve">Indirekte kostnader</t>
  </si>
  <si>
    <t xml:space="preserve">4 200 kr (andel av kontor, husleie, biler)</t>
  </si>
  <si>
    <t xml:space="preserve">Fortjeneste</t>
  </si>
  <si>
    <t xml:space="preserve">12 % av selvkost</t>
  </si>
  <si>
    <t xml:space="preserve">Merverdiavgift</t>
  </si>
  <si>
    <t xml:space="preserve">25 % av pris uten mva (privatkunde)</t>
  </si>
  <si>
    <t xml:space="preserve">Fastpris</t>
  </si>
  <si>
    <t xml:space="preserve">Timene er Nordlys' risiko, ikke kundens</t>
  </si>
  <si>
    <t xml:space="preserve">Deloppgave</t>
  </si>
  <si>
    <t xml:space="preserve">Ditt svar</t>
  </si>
  <si>
    <t xml:space="preserve">Sjekk</t>
  </si>
  <si>
    <t xml:space="preserve">a)  Sum direkte kostnader for jobben, i kroner: montørtimer ganger timesats, pluss materiell, pluss kjøring.</t>
  </si>
  <si>
    <t xml:space="preserve">Formel og begrep</t>
  </si>
  <si>
    <t xml:space="preserve">Direkte kostnader = arbeidsinnsats (timer × sats) + materialinnsats + andre direkte kostnader (Økonomistyring 5.2.1).</t>
  </si>
  <si>
    <t xml:space="preserve">b)  Selvkost for jobben, i kroner: sum direkte kostnader pluss jobbens andel av de indirekte kostnadene.</t>
  </si>
  <si>
    <t xml:space="preserve">Selvkost = direkte kostnader + indirekte kostnader (Økonomistyring 5.2). Selvkostkalkylen skiller ikke mellom faste og variable indirekte kostnader.</t>
  </si>
  <si>
    <t xml:space="preserve">c)  Prisen privatkunden skal betale, med mva, i kroner: selvkost pluss 12 % fortjeneste av selvkost gir pris uten mva; legg så på 25 % mva.</t>
  </si>
  <si>
    <t xml:space="preserve">Fortjeneste i prosent av selvkost; mva i prosent av pris uten mva (Økonomistyring 5.2, eksempel 3). Mva-sats 25 % (5.1).</t>
  </si>
  <si>
    <t xml:space="preserve">d)  Hvilke av disse er direkte kostnader for akkurat dette sikringsskapbyttet? Spør for hver post: kan den knyttes til denne jobben, og ville den vært der om Nordlys sa nei til jobben?</t>
  </si>
  <si>
    <t xml:space="preserve">      De 14 montørtimene i boligen   (Ja eller Nei)</t>
  </si>
  <si>
    <t xml:space="preserve">      Skapet, vernene og kabelen   (Ja eller Nei)</t>
  </si>
  <si>
    <t xml:space="preserve">      Kjøringen til boligen   (Ja eller Nei)</t>
  </si>
  <si>
    <t xml:space="preserve">      Husleien for verkstedet   (Ja eller Nei)</t>
  </si>
  <si>
    <t xml:space="preserve">      Idas lønn som kalkulatør   (Ja eller Nei)</t>
  </si>
  <si>
    <t xml:space="preserve">      Leasingen av servicebilen   (Ja eller Nei)</t>
  </si>
  <si>
    <t xml:space="preserve">e)  Prisen er fastpris. Hvor mange montørtimer tåler jobben før hele fortjenesten er borte? Og hva kan Nordlys gjøre for å holde seg innenfor? To setninger.</t>
  </si>
  <si>
    <t xml:space="preserve">Ingen ny formel. Fortjeneste i selvkostkalkylen (5.2) og fastprisrisikoen i forkalkyle mot etterkalkyle (Økonomistyring 5.2.3).</t>
  </si>
  <si>
    <t xml:space="preserve">Hint, hvis du står fast</t>
  </si>
  <si>
    <t xml:space="preserve">Rekkefølgen</t>
  </si>
  <si>
    <t xml:space="preserve">Direkte kostnader + indirekte = selvkost. Fortjenesten er 12 % av selvkost, ikke av de direkte kostnadene. Mva er 25 % av prisen uten mva.</t>
  </si>
  <si>
    <t xml:space="preserve">Direkte eller indirekte</t>
  </si>
  <si>
    <t xml:space="preserve">Spør for hver post: kan den knyttes til akkurat dette skapet, og ville den vært der om Nordlys sa nei? Kjøringen til boligen er direkte; bilens leasing er det ikke.</t>
  </si>
  <si>
    <t xml:space="preserve">Kilde: Hjertnes, J. og Skorpen, K.: Økonomistyring for LØM-emnet, kap. 5, avsnitt 5.2 og 5.2.1 (selvkostkalkyle for tjeneste, eksempel 3). Direkte og indirekte kostnader: kap. 2.2.3. Nordlys Elektro AS er en konstruert casebedrift.</t>
  </si>
  <si>
    <t xml:space="preserve">Regnearket er øvingsstøtte. Det kan ikke siteres eller vises til i besvarelser, prosjektoppgaver eller eksamen; der gjelder læreboka og oppgitte primærkilder.</t>
  </si>
  <si>
    <t xml:space="preserve">A2 · Din egen el-bedrift: hva må en fakturerbar time bære?</t>
  </si>
  <si>
    <t xml:space="preserve">Kort oppsummert: Timeprisen er en selvkostkalkyle for én time. Først lønnskostnaden: lønn ganger 1 pluss sosiale kostnader (bokas tabell 2.4: 46,8 %). Så timene: bedriften betaler lønn for alle timene montøren er på jobb, men får bare betalt for de fakturerbare. Kjøring, opplæring og garantiarbeid er ikke sosiale kostnader; de kommer inn ved at lønnskostnaden deles på færre timer. Til slutt de andre kostnadene, minus det påslaget på materiellet dekker, delt på alle fakturerbare timer.</t>
  </si>
  <si>
    <t xml:space="preserve">Dere driver Fjell Elektro AS: to montører og én eier som er faglig ansvarlig og jobber halve tiden ute. Timeprisen er satt til 890 kr uten mva, og nå vil dere vite om den holder. Hver montør er på jobb 1 800 timer i året; 1 400 av dem faktureres, resten går til kjøring, opplæring og garantiarbeid. Eieren fakturerer 700 timer. Alle tre er under 60 år, så bokas tabell 2.4 (46,8 %) brukes uendret. Påslaget på materiellet (20 % av 1 400 000 kr) gir 280 000 kr som er med på å dekke kostnadene, slik at timene ikke trenger å bære alt. Gå fram slik: lønnskostnad per montør, lønnskostnad per fakturerbar time, og til slutt selvkost per fakturerbar time for hele bedriften.</t>
  </si>
  <si>
    <t xml:space="preserve">Lønn</t>
  </si>
  <si>
    <t xml:space="preserve">2 montører à 560 000, eier 700 000</t>
  </si>
  <si>
    <t xml:space="preserve">Sosiale kostnader</t>
  </si>
  <si>
    <t xml:space="preserve">46,8 % av lønn (bokas tabell 2.4)</t>
  </si>
  <si>
    <t xml:space="preserve">Montør, timer på jobb</t>
  </si>
  <si>
    <t xml:space="preserve">1 800, hvorav 1 400 fakturerbare</t>
  </si>
  <si>
    <t xml:space="preserve">Eier, fakturerbare timer</t>
  </si>
  <si>
    <t xml:space="preserve">700 (til sammen 3 500 i bedriften)</t>
  </si>
  <si>
    <t xml:space="preserve">Andre driftskostnader</t>
  </si>
  <si>
    <t xml:space="preserve">519 000 kr</t>
  </si>
  <si>
    <t xml:space="preserve">Avskrivninger</t>
  </si>
  <si>
    <t xml:space="preserve">60 000 kr (300 000 over 5 år)</t>
  </si>
  <si>
    <t xml:space="preserve">Påslag på materiell</t>
  </si>
  <si>
    <t xml:space="preserve">280 000 kr (20 % av 1 400 000)</t>
  </si>
  <si>
    <t xml:space="preserve">Timepris i dag</t>
  </si>
  <si>
    <t xml:space="preserve">890 kr uten mva</t>
  </si>
  <si>
    <t xml:space="preserve">a)  Lønnskostnaden for én montør per år, i kroner: lønn ganger 1 pluss sosiale kostnader (46,8 %).</t>
  </si>
  <si>
    <t xml:space="preserve">Lønnskostnad = lønn × (1 + 46,8 %) etter bokas tabell 2.4 (Økonomistyring 2.4.1).</t>
  </si>
  <si>
    <t xml:space="preserve">b)  Lønnskostnaden per fakturerbar time for én montør, i kroner med to desimaler: lønnskostnaden delt på timene kunden betaler for.</t>
  </si>
  <si>
    <t xml:space="preserve">Timelønn = lønnskostnad / antall timer; faktureringsgrad = fakturerbare timer / fakturerbar normaltid (Formelsamlingen kap. 5).</t>
  </si>
  <si>
    <t xml:space="preserve">c)  Selvkost per fakturerbar time for hele bedriften, i kroner med to desimaler: all lønnskostnad (også eierens) pluss andre driftskostnader og avskrivninger, minus det materiellpåslaget dekker, delt på 3 500 fakturerbare timer.</t>
  </si>
  <si>
    <t xml:space="preserve">Enhetskostnad (per time) = totale kostnader / total produksjonsmengde (Formelsamlingen kap. 5). Selvkost for tjeneste: 5.2.</t>
  </si>
  <si>
    <t xml:space="preserve">d)  Hvilke av disse hører hjemme i de sosiale kostnadene i bokas tabell 2.4, og hvilke kommer i stedet inn ved at lønnskostnaden deles på færre fakturerbare timer?</t>
  </si>
  <si>
    <t xml:space="preserve">      Feriepenger   (Ja eller Nei)</t>
  </si>
  <si>
    <t xml:space="preserve">      Arbeidsgiveravgift på lønn   (Ja eller Nei)</t>
  </si>
  <si>
    <t xml:space="preserve">      Pensjonspremie   (Ja eller Nei)</t>
  </si>
  <si>
    <t xml:space="preserve">      Sykepenger i arbeidsgiverperioden   (Ja eller Nei)</t>
  </si>
  <si>
    <t xml:space="preserve">      Kjøring mellom oppdragene   (Ja eller Nei)</t>
  </si>
  <si>
    <t xml:space="preserve">      Opplæring og kurs   (Ja eller Nei)</t>
  </si>
  <si>
    <t xml:space="preserve">e)  Det første året viser at montørene bare fakturerer 1 200 timer hver, ikke 1 400. Holder timeprisen på 890 kr? Regn selvkost per fakturerbar time på nytt (2 × 1 200 + 700 = 3 100 timer), og skriv hva dere gjør først. To setninger.</t>
  </si>
  <si>
    <t xml:space="preserve">Enhetskostnad = totale kostnader / produksjonsmengde; faktureringsgrad (Formelsamlingen kap. 5). Kostnadsbasert prissetting og markedet: 5.1.</t>
  </si>
  <si>
    <t xml:space="preserve">Del på riktige timer</t>
  </si>
  <si>
    <t xml:space="preserve">Lønn × 1,468 først. Del så på de 1 400 timene kunden betaler for, ikke på 1 800. De 400 timene er betalt, men gir ingen faktura.</t>
  </si>
  <si>
    <t xml:space="preserve">Hele bedriften</t>
  </si>
  <si>
    <t xml:space="preserve">All lønn: 2 × 560 000 + 700 000 = 1 820 000, × 1,468. Legg til 519 000 og 60 000, trekk fra 280 000 fra materiellpåslaget, del på 3 500.</t>
  </si>
  <si>
    <t xml:space="preserve">Kilde: Hjertnes, J. og Skorpen, K.: Økonomistyring for LØM-emnet, kap. 5.2 (selvkostkalkyle for tjeneste) og formelsamlingen kap. 5 (timelønn, faktureringsgrad). Lønnskostnader og tabell 2.4: kap. 2.4.1.</t>
  </si>
  <si>
    <t xml:space="preserve">B1 · Nordlys: 20 sikringsskap til 22 000 kr i en stille januar</t>
  </si>
  <si>
    <t xml:space="preserve">Kort oppsummert: En bidragskalkyle tar bare med de kostnadene som påløper fordi jobben blir tatt: direkte kostnader pluss indirekte variable kostnader. Det er merkost, også kalt minimumskost. Alt kunden betaler ut over merkost, er dekningsbidrag til de faste kostnadene. Håndverksbedrifter regner de indirekte kostnadene som faste, så merkost er de direkte kostnadene. Bidragsmetoden er riktig ved ledig kapasitet, i lavsesong og i krisetid, men de faste kostnadene må dekkes av alt arbeidet i løpet av året.</t>
  </si>
  <si>
    <t xml:space="preserve">Casen er lagt til januar 2027. Ordreboka er tynn, og fire montører har lite å gjøre de neste tre ukene. Et boligbyggelag vil ha byttet 20 sikringsskap av samme type som i A1, og tilbyr 22 000 kr uten mva per skap. Idas kalkyle fra A1 gjelder per skap: direkte kostnader 19 560 kr (14 timer à 640, materiell 9 800, kjøring 800), indirekte kostnader 4 200 kr og selvkost 23 760 kr. Nordlys regner de indirekte kostnadene som faste: husleie, kontor og biler blir ikke dyrere av at boligbyggelaget får skapene sine. Gå fram slik: resultat per skap etter selvkostkalkylen, så dekningsbidraget per skap og for hele oppdraget.</t>
  </si>
  <si>
    <t xml:space="preserve">Kundens pris</t>
  </si>
  <si>
    <t xml:space="preserve">22 000 kr uten mva per skap</t>
  </si>
  <si>
    <t xml:space="preserve">Antall skap</t>
  </si>
  <si>
    <t xml:space="preserve">20 (14 timer hver, 280 timer)</t>
  </si>
  <si>
    <t xml:space="preserve">Direkte kostnader per skap</t>
  </si>
  <si>
    <t xml:space="preserve">19 560 kr</t>
  </si>
  <si>
    <t xml:space="preserve">Indirekte kostnader per skap</t>
  </si>
  <si>
    <t xml:space="preserve">4 200 kr (faste)</t>
  </si>
  <si>
    <t xml:space="preserve">Selvkost per skap</t>
  </si>
  <si>
    <t xml:space="preserve">23 760 kr</t>
  </si>
  <si>
    <t xml:space="preserve">Kapasitet i januar</t>
  </si>
  <si>
    <t xml:space="preserve">Fire montører har lite å gjøre</t>
  </si>
  <si>
    <t xml:space="preserve">a)  Resultatet per skap hvis du bruker selvkostkalkylen, i kroner: kundens pris minus selvkost. Negativt tall betyr tap.</t>
  </si>
  <si>
    <t xml:space="preserve">Selvkostkalkyle: selvkost = direkte + indirekte kostnader (Økonomistyring 5.2). Resultat = pris − selvkost.</t>
  </si>
  <si>
    <t xml:space="preserve">b)  Dekningsbidraget per skap, i kroner: kundens pris minus merkost. Merkost er de direkte kostnadene, fordi Nordlys regner de indirekte som faste.</t>
  </si>
  <si>
    <t xml:space="preserve">Merkost (minimumskost) = direkte kostnader + indirekte variable kostnader; pris − merkost = dekningsbidrag (Økonomistyring 5.2 og 5.2.2).</t>
  </si>
  <si>
    <t xml:space="preserve">c)  Samlet dekningsbidrag for hele oppdraget på 20 skap, i kroner.</t>
  </si>
  <si>
    <t xml:space="preserve">Samlet dekningsbidrag = antall × dekningsbidrag per enhet (Økonomistyring 5.2.2).</t>
  </si>
  <si>
    <t xml:space="preserve">d)  Samme forespørsel kommer i mai, når alle montørene er booket på jobber til normalpris i seks uker. Hva bør Nordlys gjøre?   A: Ja til 22 000: dekningsbidraget er positivt, og det er nok   B: Nei til 22 000: uten ledig kapasitet fortrenger jobben en jobb til full pris, og prisen må bygge på selvkost   C: Ja, hvis boligbyggelaget betaler kontant   (skriv bokstaven)</t>
  </si>
  <si>
    <t xml:space="preserve">e)  Etter januar vil Tom bruke 22 000 kr som fast pris på alle sikringsskapbytter resten av året, siden «dekningsbidraget er positivt». Hva sier du til ham? To setninger.</t>
  </si>
  <si>
    <t xml:space="preserve">De faste kostnadene må dekkes gjennom alt arbeidet i løpet av året (Økonomistyring 5.2.2). Regel for pristilbud (Formelsamlingen kap. 5).</t>
  </si>
  <si>
    <t xml:space="preserve">Selvkost eller merkost</t>
  </si>
  <si>
    <t xml:space="preserve">Resultat etter selvkost = pris − 23 760. Merkost er de direkte kostnadene, 19 560, fordi Nordlys regner de indirekte som faste. DB = pris − merkost.</t>
  </si>
  <si>
    <t xml:space="preserve">Hva er alternativet?</t>
  </si>
  <si>
    <t xml:space="preserve">Spør hva montørtimene ellers ville gått til. I januar: ingenting. I mai: en jobb til 26 611,20. Regel for pristilbud: formelsamlingen.</t>
  </si>
  <si>
    <t xml:space="preserve">Kilde: Hjertnes, J. og Skorpen, K.: Økonomistyring for LØM-emnet, kap. 5, avsnitt 5.2 (bidragskalkyle for tjeneste) og 5.2.2 (selvkostkalkyle versus bidragskalkyle). Regel for pristilbud: formelsamlingen kap. 5. Nordlys Elektro AS er en konstruert casebedrift.</t>
  </si>
  <si>
    <t xml:space="preserve">B2 · Din egen el-bedrift: holdt forkalkylen?</t>
  </si>
  <si>
    <t xml:space="preserve">Kort oppsummert: Forkalkylen er det beste anslaget før jobben, og blir til tilbudet. Etterkalkylen er den samme oppstillingen med det som faktisk gikk med. Avviket regnes linje for linje: for en kostnad er avviket forkalkyle minus etterkalkyle, slik at minus betyr dårligere enn kalkulert. Avvik i prosent er avviket delt på forkalkylen. Ved fastpris går hvert negativt avvik rett ut av fortjenesten.</t>
  </si>
  <si>
    <t xml:space="preserve">Fjell Elektro AS (samme bedrift som i A2) ga en kunde i Oslo øst fastpris på å fornye el-anlegget i en enebolig. Fjell bruker 590 kr per montørtime som direkte lønnskostnad, legger indirekte kostnader på med 22 % av direkte lønn, og la på om lag 10 % fortjeneste: fastprisen ble 74 800 kr uten mva. Jobben er ferdig, og timelistene og fakturaene er samlet. Montørene brukte 60 timer, ikke 50. Materiellet ble 1 400 kr billigere enn anslått, og andre direkte kostnader (kjøring og container) 600 kr dyrere. Sett opp etterkalkylen og regn avvikene.</t>
  </si>
  <si>
    <t xml:space="preserve">Kr</t>
  </si>
  <si>
    <t xml:space="preserve">Forkalkyle</t>
  </si>
  <si>
    <t xml:space="preserve">Etterkalkyle</t>
  </si>
  <si>
    <t xml:space="preserve">Direkte lønn (50 t / 60 t × 590)</t>
  </si>
  <si>
    <t xml:space="preserve">Andre direkte (kjøring, container)</t>
  </si>
  <si>
    <t xml:space="preserve">= Sum direkte kostnader</t>
  </si>
  <si>
    <t xml:space="preserve">Indirekte (22 % av direkte lønn)</t>
  </si>
  <si>
    <t xml:space="preserve">= Selvkost</t>
  </si>
  <si>
    <t xml:space="preserve">Fastpris uten mva</t>
  </si>
  <si>
    <t xml:space="preserve">= Fortjeneste</t>
  </si>
  <si>
    <t xml:space="preserve">Gule celler med spørsmålstegn kan du fylle inn selv mens du regner.</t>
  </si>
  <si>
    <t xml:space="preserve">a)  Avviket i direkte lønn, i kroner. For en kostnad: forkalkyle minus etterkalkyle. Ble kostnaden større enn kalkulert, er svaret negativt.</t>
  </si>
  <si>
    <t xml:space="preserve">Avvik for en kostnad = forkalkyle − etterkalkyle; negativt avvik når kostnaden ble høyere enn kalkulert (Økonomistyring 5.2.3, tabell 5.1).</t>
  </si>
  <si>
    <t xml:space="preserve">b)  Avviket i direkte lønn i prosent av forkalkylen, med én desimal og fortegn.</t>
  </si>
  <si>
    <t xml:space="preserve">Avvik i % = avvik i kr / forkalkyle × 100 (Økonomistyring 5.2.3, tabell 5.1).</t>
  </si>
  <si>
    <t xml:space="preserve">c)  Fortjenesten på jobben etter etterkalkylen, i kroner: fastpris minus selvkost i etterkalkylen.</t>
  </si>
  <si>
    <t xml:space="preserve">Etterkalkyle med samme oppstilling som forkalkylen; fortjeneste = fast pris − selvkost (Økonomistyring 5.2.3, eksempel 4).</t>
  </si>
  <si>
    <t xml:space="preserve">d)  Materiellet ble 1 400 kr billigere enn kalkulert. Hvorfor ble likevel de indirekte kostnadene 1 298 kr høyere?   A: Fordi indirekte kostnader alltid øker når materiellet blir billigere   B: Fordi Fjell legger de indirekte på som 22 % av direkte lønn: ti timer mer gir mer indirekte   C: Fordi forkalkylen hadde en regnefeil   (skriv bokstaven)</t>
  </si>
  <si>
    <t xml:space="preserve">e)  Hva gjør Fjell med neste tilbud på en lignende jobb? Skriv to setninger med tall: én om forkalkylen og én om hvordan jobben gjennomføres.</t>
  </si>
  <si>
    <t xml:space="preserve">Forkalkyle og etterkalkyle (Økonomistyring 5.2.3), selvkostkalkyle for tjeneste (5.2).</t>
  </si>
  <si>
    <t xml:space="preserve">Fortegnet</t>
  </si>
  <si>
    <t xml:space="preserve">Kostnad: forkalkyle − etterkalkyle. Ble kostnaden større enn kalkulert, er avviket negativt. Prosent: avviket delt på forkalkylen.</t>
  </si>
  <si>
    <t xml:space="preserve">De indirekte</t>
  </si>
  <si>
    <t xml:space="preserve">Fjell legger på 22 % av direkte lønn. Flere timer gir derfor mer indirekte, selv om materiellet ble billigere. Selvkost = sum direkte + indirekte.</t>
  </si>
  <si>
    <t xml:space="preserve">Kilde: Hjertnes, J. og Skorpen, K.: Økonomistyring for LØM-emnet, kap. 5, avsnitt 5.2.3 (forkalkyle versus etterkalkyle, eksempel 4 og tabell 5.1). Kalkylesatsene for Fjell Elektro er nye fakta i OK05.</t>
  </si>
</sst>
</file>

<file path=xl/styles.xml><?xml version="1.0" encoding="utf-8"?>
<styleSheet xmlns="http://schemas.openxmlformats.org/spreadsheetml/2006/main">
  <numFmts count="2">
    <numFmt numFmtId="164" formatCode="General"/>
    <numFmt numFmtId="165" formatCode="#,##0.##;\−#,##0.##;\0"/>
  </numFmts>
  <fonts count="13">
    <font>
      <sz val="11"/>
      <color theme="1"/>
      <name val="Calibri"/>
      <family val="2"/>
      <charset val="1"/>
    </font>
    <font>
      <sz val="10"/>
      <name val="Arial"/>
      <family val="0"/>
    </font>
    <font>
      <sz val="10"/>
      <name val="Arial"/>
      <family val="0"/>
    </font>
    <font>
      <sz val="10"/>
      <name val="Arial"/>
      <family val="0"/>
    </font>
    <font>
      <b val="true"/>
      <sz val="14"/>
      <color rgb="FF2F4A6D"/>
      <name val="Arial"/>
      <family val="0"/>
      <charset val="1"/>
    </font>
    <font>
      <i val="true"/>
      <sz val="10"/>
      <color rgb="FF5E6670"/>
      <name val="Arial"/>
      <family val="0"/>
      <charset val="1"/>
    </font>
    <font>
      <b val="true"/>
      <sz val="11"/>
      <name val="Arial"/>
      <family val="0"/>
      <charset val="1"/>
    </font>
    <font>
      <sz val="11"/>
      <name val="Arial"/>
      <family val="0"/>
      <charset val="1"/>
    </font>
    <font>
      <b val="true"/>
      <sz val="11"/>
      <color rgb="FFFFFFFF"/>
      <name val="Arial"/>
      <family val="0"/>
      <charset val="1"/>
    </font>
    <font>
      <sz val="11"/>
      <color rgb="FF0000FF"/>
      <name val="Arial"/>
      <family val="0"/>
      <charset val="1"/>
    </font>
    <font>
      <b val="true"/>
      <sz val="10"/>
      <color rgb="FF2F4A6D"/>
      <name val="Arial"/>
      <family val="0"/>
      <charset val="1"/>
    </font>
    <font>
      <sz val="10"/>
      <name val="Arial"/>
      <family val="0"/>
      <charset val="1"/>
    </font>
    <font>
      <b val="true"/>
      <sz val="10"/>
      <color rgb="FFFFFFFF"/>
      <name val="Arial"/>
      <family val="0"/>
      <charset val="1"/>
    </font>
  </fonts>
  <fills count="8">
    <fill>
      <patternFill patternType="none"/>
    </fill>
    <fill>
      <patternFill patternType="gray125"/>
    </fill>
    <fill>
      <patternFill patternType="solid">
        <fgColor rgb="FF2F4A6D"/>
        <bgColor rgb="FF333333"/>
      </patternFill>
    </fill>
    <fill>
      <patternFill patternType="solid">
        <fgColor rgb="FFFFFF00"/>
        <bgColor rgb="FFFFFF00"/>
      </patternFill>
    </fill>
    <fill>
      <patternFill patternType="solid">
        <fgColor rgb="FFEEF2F8"/>
        <bgColor rgb="FFF4F6FA"/>
      </patternFill>
    </fill>
    <fill>
      <patternFill patternType="solid">
        <fgColor rgb="FFB8954A"/>
        <bgColor rgb="FF808080"/>
      </patternFill>
    </fill>
    <fill>
      <patternFill patternType="solid">
        <fgColor rgb="FFFBF6EA"/>
        <bgColor rgb="FFF4F6FA"/>
      </patternFill>
    </fill>
    <fill>
      <patternFill patternType="solid">
        <fgColor rgb="FFF4F6FA"/>
        <bgColor rgb="FFEEF2F8"/>
      </patternFill>
    </fill>
  </fills>
  <borders count="2">
    <border diagonalUp="false" diagonalDown="false">
      <left/>
      <right/>
      <top/>
      <bottom/>
      <diagonal/>
    </border>
    <border diagonalUp="false" diagonalDown="false">
      <left style="thin">
        <color rgb="FFDDE3EA"/>
      </left>
      <right style="thin">
        <color rgb="FFDDE3EA"/>
      </right>
      <top style="thin">
        <color rgb="FFDDE3EA"/>
      </top>
      <bottom style="thin">
        <color rgb="FFDD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10" fillId="4" borderId="0" xfId="0" applyFont="true" applyBorder="false" applyAlignment="true" applyProtection="false">
      <alignment horizontal="general" vertical="top" textRotation="0" wrapText="true" indent="0" shrinkToFit="false"/>
      <protection locked="true" hidden="false"/>
    </xf>
    <xf numFmtId="164" fontId="11" fillId="4" borderId="0"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12" fillId="5" borderId="0" xfId="0" applyFont="true" applyBorder="true" applyAlignment="false" applyProtection="false">
      <alignment horizontal="general" vertical="bottom" textRotation="0" wrapText="false" indent="0" shrinkToFit="false"/>
      <protection locked="true" hidden="false"/>
    </xf>
    <xf numFmtId="164" fontId="10" fillId="6" borderId="0" xfId="0" applyFont="true" applyBorder="false" applyAlignment="true" applyProtection="false">
      <alignment horizontal="general" vertical="top" textRotation="0" wrapText="true" indent="0" shrinkToFit="false"/>
      <protection locked="true" hidden="false"/>
    </xf>
    <xf numFmtId="164" fontId="11" fillId="6"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bottom" textRotation="0" wrapText="true" indent="0" shrinkToFit="false"/>
      <protection locked="true" hidden="false"/>
    </xf>
    <xf numFmtId="164" fontId="8" fillId="2" borderId="1" xfId="0" applyFont="true" applyBorder="true" applyAlignment="true" applyProtection="false">
      <alignment horizontal="right" vertical="bottom" textRotation="0" wrapText="tru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5" fontId="7" fillId="0" borderId="1" xfId="0" applyFont="true" applyBorder="true" applyAlignment="true" applyProtection="false">
      <alignment horizontal="right" vertical="bottom" textRotation="0" wrapText="false" indent="0" shrinkToFit="false"/>
      <protection locked="true" hidden="false"/>
    </xf>
    <xf numFmtId="164" fontId="7" fillId="7" borderId="1" xfId="0" applyFont="true" applyBorder="true" applyAlignment="true" applyProtection="false">
      <alignment horizontal="left" vertical="bottom" textRotation="0" wrapText="true" indent="0" shrinkToFit="false"/>
      <protection locked="true" hidden="false"/>
    </xf>
    <xf numFmtId="165" fontId="7" fillId="7" borderId="1" xfId="0" applyFont="true" applyBorder="true" applyAlignment="true" applyProtection="false">
      <alignment horizontal="right" vertical="bottom" textRotation="0" wrapText="false" indent="0" shrinkToFit="false"/>
      <protection locked="true" hidden="false"/>
    </xf>
    <xf numFmtId="164" fontId="6" fillId="7" borderId="1" xfId="0" applyFont="true" applyBorder="true" applyAlignment="true" applyProtection="false">
      <alignment horizontal="left" vertical="bottom" textRotation="0" wrapText="true" indent="0" shrinkToFit="false"/>
      <protection locked="true" hidden="false"/>
    </xf>
    <xf numFmtId="165" fontId="6" fillId="7" borderId="1"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F6EA"/>
      <rgbColor rgb="FFEEF2F8"/>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F4F6FA"/>
      <rgbColor rgb="FFCCFFCC"/>
      <rgbColor rgb="FFFFFF99"/>
      <rgbColor rgb="FF99CCFF"/>
      <rgbColor rgb="FFFF99CC"/>
      <rgbColor rgb="FFCC99FF"/>
      <rgbColor rgb="FFFFCC99"/>
      <rgbColor rgb="FF3366FF"/>
      <rgbColor rgb="FF33CCCC"/>
      <rgbColor rgb="FF99CC00"/>
      <rgbColor rgb="FFFFCC00"/>
      <rgbColor rgb="FFFF9900"/>
      <rgbColor rgb="FFFF6600"/>
      <rgbColor rgb="FF5E6670"/>
      <rgbColor rgb="FFB8954A"/>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15" hidden="false" customHeight="false" outlineLevel="0" collapsed="false">
      <c r="A6" s="5" t="s">
        <v>5</v>
      </c>
      <c r="B6" s="4" t="s">
        <v>6</v>
      </c>
    </row>
    <row r="7" customFormat="false" ht="15" hidden="false" customHeight="false" outlineLevel="0" collapsed="false">
      <c r="A7" s="3" t="s">
        <v>7</v>
      </c>
      <c r="B7" s="4"/>
    </row>
    <row r="8" customFormat="false" ht="15" hidden="false" customHeight="false" outlineLevel="0" collapsed="false">
      <c r="A8" s="5" t="s">
        <v>8</v>
      </c>
      <c r="B8" s="4" t="s">
        <v>9</v>
      </c>
    </row>
    <row r="9" customFormat="false" ht="15" hidden="false" customHeight="false" outlineLevel="0" collapsed="false">
      <c r="A9" s="5" t="s">
        <v>10</v>
      </c>
      <c r="B9" s="4" t="s">
        <v>11</v>
      </c>
    </row>
    <row r="10" customFormat="false" ht="15" hidden="false" customHeight="false" outlineLevel="0" collapsed="false">
      <c r="A10" s="5" t="s">
        <v>12</v>
      </c>
      <c r="B10" s="4" t="s">
        <v>13</v>
      </c>
    </row>
    <row r="11" customFormat="false" ht="15" hidden="false" customHeight="false" outlineLevel="0" collapsed="false">
      <c r="A11" s="5" t="s">
        <v>14</v>
      </c>
      <c r="B11" s="4" t="s">
        <v>15</v>
      </c>
    </row>
    <row r="12" customFormat="false" ht="15" hidden="false" customHeight="false" outlineLevel="0" collapsed="false">
      <c r="A12" s="3" t="s">
        <v>16</v>
      </c>
      <c r="B12" s="4" t="s">
        <v>17</v>
      </c>
    </row>
    <row r="13" customFormat="false" ht="15" hidden="false" customHeight="false" outlineLevel="0" collapsed="false">
      <c r="A13" s="3" t="s">
        <v>18</v>
      </c>
      <c r="B13" s="4" t="s">
        <v>19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20</v>
      </c>
    </row>
    <row r="2" customFormat="false" ht="15" hidden="false" customHeight="false" outlineLevel="0" collapsed="false">
      <c r="A2" s="2" t="s">
        <v>21</v>
      </c>
    </row>
    <row r="4" customFormat="false" ht="63.75" hidden="false" customHeight="true" outlineLevel="0" collapsed="false">
      <c r="A4" s="6" t="s">
        <v>22</v>
      </c>
      <c r="B4" s="6"/>
      <c r="C4" s="6"/>
      <c r="D4" s="6"/>
      <c r="E4" s="6"/>
      <c r="F4" s="6"/>
      <c r="G4" s="6"/>
    </row>
    <row r="5" customFormat="false" ht="93.75" hidden="false" customHeight="true" outlineLevel="0" collapsed="false">
      <c r="A5" s="7" t="s">
        <v>23</v>
      </c>
      <c r="B5" s="7"/>
      <c r="C5" s="7"/>
      <c r="D5" s="7"/>
      <c r="E5" s="7"/>
      <c r="F5" s="7"/>
      <c r="G5" s="7"/>
    </row>
    <row r="7" customFormat="false" ht="15" hidden="false" customHeight="false" outlineLevel="0" collapsed="false">
      <c r="A7" s="8" t="s">
        <v>24</v>
      </c>
      <c r="B7" s="8" t="s">
        <v>25</v>
      </c>
      <c r="C7" s="8"/>
      <c r="D7" s="8"/>
      <c r="E7" s="8"/>
      <c r="F7" s="8"/>
      <c r="G7" s="8"/>
    </row>
    <row r="8" customFormat="false" ht="18.75" hidden="false" customHeight="true" outlineLevel="0" collapsed="false">
      <c r="A8" s="9" t="s">
        <v>26</v>
      </c>
      <c r="B8" s="7" t="s">
        <v>27</v>
      </c>
      <c r="C8" s="7"/>
      <c r="D8" s="7"/>
      <c r="E8" s="7"/>
      <c r="F8" s="7"/>
      <c r="G8" s="7"/>
    </row>
    <row r="9" customFormat="false" ht="18.75" hidden="false" customHeight="true" outlineLevel="0" collapsed="false">
      <c r="A9" s="9" t="s">
        <v>28</v>
      </c>
      <c r="B9" s="7" t="s">
        <v>29</v>
      </c>
      <c r="C9" s="7"/>
      <c r="D9" s="7"/>
      <c r="E9" s="7"/>
      <c r="F9" s="7"/>
      <c r="G9" s="7"/>
    </row>
    <row r="10" customFormat="false" ht="18.75" hidden="false" customHeight="true" outlineLevel="0" collapsed="false">
      <c r="A10" s="9" t="s">
        <v>30</v>
      </c>
      <c r="B10" s="7" t="s">
        <v>31</v>
      </c>
      <c r="C10" s="7"/>
      <c r="D10" s="7"/>
      <c r="E10" s="7"/>
      <c r="F10" s="7"/>
      <c r="G10" s="7"/>
    </row>
    <row r="11" customFormat="false" ht="18.75" hidden="false" customHeight="true" outlineLevel="0" collapsed="false">
      <c r="A11" s="9" t="s">
        <v>32</v>
      </c>
      <c r="B11" s="7" t="s">
        <v>33</v>
      </c>
      <c r="C11" s="7"/>
      <c r="D11" s="7"/>
      <c r="E11" s="7"/>
      <c r="F11" s="7"/>
      <c r="G11" s="7"/>
    </row>
    <row r="12" customFormat="false" ht="18.75" hidden="false" customHeight="true" outlineLevel="0" collapsed="false">
      <c r="A12" s="9" t="s">
        <v>34</v>
      </c>
      <c r="B12" s="7" t="s">
        <v>35</v>
      </c>
      <c r="C12" s="7"/>
      <c r="D12" s="7"/>
      <c r="E12" s="7"/>
      <c r="F12" s="7"/>
      <c r="G12" s="7"/>
    </row>
    <row r="13" customFormat="false" ht="18.75" hidden="false" customHeight="true" outlineLevel="0" collapsed="false">
      <c r="A13" s="9" t="s">
        <v>36</v>
      </c>
      <c r="B13" s="7" t="s">
        <v>37</v>
      </c>
      <c r="C13" s="7"/>
      <c r="D13" s="7"/>
      <c r="E13" s="7"/>
      <c r="F13" s="7"/>
      <c r="G13" s="7"/>
    </row>
    <row r="14" customFormat="false" ht="18.75" hidden="false" customHeight="true" outlineLevel="0" collapsed="false">
      <c r="A14" s="9" t="s">
        <v>38</v>
      </c>
      <c r="B14" s="7" t="s">
        <v>39</v>
      </c>
      <c r="C14" s="7"/>
      <c r="D14" s="7"/>
      <c r="E14" s="7"/>
      <c r="F14" s="7"/>
      <c r="G14" s="7"/>
    </row>
    <row r="16" customFormat="false" ht="15" hidden="false" customHeight="false" outlineLevel="0" collapsed="false">
      <c r="A16" s="8" t="s">
        <v>40</v>
      </c>
      <c r="B16" s="8"/>
      <c r="C16" s="8"/>
      <c r="D16" s="8"/>
      <c r="E16" s="8"/>
      <c r="F16" s="8" t="s">
        <v>41</v>
      </c>
      <c r="G16" s="8" t="s">
        <v>42</v>
      </c>
    </row>
    <row r="17" customFormat="false" ht="33.75" hidden="false" customHeight="true" outlineLevel="0" collapsed="false">
      <c r="A17" s="7" t="s">
        <v>43</v>
      </c>
      <c r="B17" s="7"/>
      <c r="C17" s="7"/>
      <c r="D17" s="7"/>
      <c r="E17" s="7"/>
      <c r="F17" s="10"/>
      <c r="G17" s="11" t="str">
        <f aca="false">IF(F17="","",IF(ABS(F17-(19560))&lt;=0.000000001,"Riktig","Prøv igjen"))</f>
        <v/>
      </c>
    </row>
    <row r="18" customFormat="false" ht="30" hidden="false" customHeight="true" outlineLevel="0" collapsed="false">
      <c r="A18" s="12" t="s">
        <v>44</v>
      </c>
      <c r="B18" s="13" t="s">
        <v>45</v>
      </c>
      <c r="C18" s="13"/>
      <c r="D18" s="13"/>
      <c r="E18" s="13"/>
      <c r="F18" s="13"/>
      <c r="G18" s="13"/>
    </row>
    <row r="20" customFormat="false" ht="33.75" hidden="false" customHeight="true" outlineLevel="0" collapsed="false">
      <c r="A20" s="7" t="s">
        <v>46</v>
      </c>
      <c r="B20" s="7"/>
      <c r="C20" s="7"/>
      <c r="D20" s="7"/>
      <c r="E20" s="7"/>
      <c r="F20" s="10"/>
      <c r="G20" s="11" t="str">
        <f aca="false">IF(F20="","",IF(ABS(F20-(23760))&lt;=0.000000001,"Riktig","Prøv igjen"))</f>
        <v/>
      </c>
    </row>
    <row r="21" customFormat="false" ht="30" hidden="false" customHeight="true" outlineLevel="0" collapsed="false">
      <c r="A21" s="12" t="s">
        <v>44</v>
      </c>
      <c r="B21" s="13" t="s">
        <v>47</v>
      </c>
      <c r="C21" s="13"/>
      <c r="D21" s="13"/>
      <c r="E21" s="13"/>
      <c r="F21" s="13"/>
      <c r="G21" s="13"/>
    </row>
    <row r="23" customFormat="false" ht="33.75" hidden="false" customHeight="true" outlineLevel="0" collapsed="false">
      <c r="A23" s="7" t="s">
        <v>48</v>
      </c>
      <c r="B23" s="7"/>
      <c r="C23" s="7"/>
      <c r="D23" s="7"/>
      <c r="E23" s="7"/>
      <c r="F23" s="10"/>
      <c r="G23" s="11" t="str">
        <f aca="false">IF(F23="","",IF(ABS(F23-(33264))&lt;=1,"Riktig","Prøv igjen"))</f>
        <v/>
      </c>
    </row>
    <row r="24" customFormat="false" ht="30" hidden="false" customHeight="true" outlineLevel="0" collapsed="false">
      <c r="A24" s="12" t="s">
        <v>44</v>
      </c>
      <c r="B24" s="13" t="s">
        <v>49</v>
      </c>
      <c r="C24" s="13"/>
      <c r="D24" s="13"/>
      <c r="E24" s="13"/>
      <c r="F24" s="13"/>
      <c r="G24" s="13"/>
    </row>
    <row r="26" customFormat="false" ht="33.75" hidden="false" customHeight="true" outlineLevel="0" collapsed="false">
      <c r="A26" s="7" t="s">
        <v>50</v>
      </c>
      <c r="B26" s="7"/>
      <c r="C26" s="7"/>
      <c r="D26" s="7"/>
      <c r="E26" s="7"/>
    </row>
    <row r="27" customFormat="false" ht="15" hidden="false" customHeight="true" outlineLevel="0" collapsed="false">
      <c r="A27" s="7" t="s">
        <v>51</v>
      </c>
      <c r="B27" s="7"/>
      <c r="C27" s="7"/>
      <c r="D27" s="7"/>
      <c r="E27" s="7"/>
      <c r="F27" s="14"/>
      <c r="G27" s="11" t="str">
        <f aca="false">IF(F27="","",IF(UPPER(TRIM(F27))="JA","Riktig","Prøv igjen"))</f>
        <v/>
      </c>
    </row>
    <row r="28" customFormat="false" ht="15" hidden="false" customHeight="true" outlineLevel="0" collapsed="false">
      <c r="A28" s="7" t="s">
        <v>52</v>
      </c>
      <c r="B28" s="7"/>
      <c r="C28" s="7"/>
      <c r="D28" s="7"/>
      <c r="E28" s="7"/>
      <c r="F28" s="14"/>
      <c r="G28" s="11" t="str">
        <f aca="false">IF(F28="","",IF(UPPER(TRIM(F28))="JA","Riktig","Prøv igjen"))</f>
        <v/>
      </c>
    </row>
    <row r="29" customFormat="false" ht="15" hidden="false" customHeight="true" outlineLevel="0" collapsed="false">
      <c r="A29" s="7" t="s">
        <v>53</v>
      </c>
      <c r="B29" s="7"/>
      <c r="C29" s="7"/>
      <c r="D29" s="7"/>
      <c r="E29" s="7"/>
      <c r="F29" s="14"/>
      <c r="G29" s="11" t="str">
        <f aca="false">IF(F29="","",IF(UPPER(TRIM(F29))="JA","Riktig","Prøv igjen"))</f>
        <v/>
      </c>
    </row>
    <row r="30" customFormat="false" ht="15" hidden="false" customHeight="true" outlineLevel="0" collapsed="false">
      <c r="A30" s="7" t="s">
        <v>54</v>
      </c>
      <c r="B30" s="7"/>
      <c r="C30" s="7"/>
      <c r="D30" s="7"/>
      <c r="E30" s="7"/>
      <c r="F30" s="14"/>
      <c r="G30" s="11" t="str">
        <f aca="false">IF(F30="","",IF(UPPER(TRIM(F30))="NEI","Riktig","Prøv igjen"))</f>
        <v/>
      </c>
    </row>
    <row r="31" customFormat="false" ht="15" hidden="false" customHeight="true" outlineLevel="0" collapsed="false">
      <c r="A31" s="7" t="s">
        <v>55</v>
      </c>
      <c r="B31" s="7"/>
      <c r="C31" s="7"/>
      <c r="D31" s="7"/>
      <c r="E31" s="7"/>
      <c r="F31" s="14"/>
      <c r="G31" s="11" t="str">
        <f aca="false">IF(F31="","",IF(UPPER(TRIM(F31))="NEI","Riktig","Prøv igjen"))</f>
        <v/>
      </c>
    </row>
    <row r="32" customFormat="false" ht="15" hidden="false" customHeight="true" outlineLevel="0" collapsed="false">
      <c r="A32" s="7" t="s">
        <v>56</v>
      </c>
      <c r="B32" s="7"/>
      <c r="C32" s="7"/>
      <c r="D32" s="7"/>
      <c r="E32" s="7"/>
      <c r="F32" s="14"/>
      <c r="G32" s="11" t="str">
        <f aca="false">IF(F32="","",IF(UPPER(TRIM(F32))="NEI","Riktig","Prøv igjen"))</f>
        <v/>
      </c>
    </row>
    <row r="33" customFormat="false" ht="33.75" hidden="false" customHeight="true" outlineLevel="0" collapsed="false">
      <c r="A33" s="7" t="s">
        <v>57</v>
      </c>
      <c r="B33" s="7"/>
      <c r="C33" s="7"/>
      <c r="D33" s="7"/>
      <c r="E33" s="7"/>
    </row>
    <row r="34" customFormat="false" ht="15" hidden="false" customHeight="false" outlineLevel="0" collapsed="false">
      <c r="A34" s="15"/>
      <c r="B34" s="15"/>
      <c r="C34" s="15"/>
      <c r="D34" s="15"/>
      <c r="E34" s="15"/>
      <c r="F34" s="15"/>
      <c r="G34" s="15"/>
    </row>
    <row r="35" customFormat="false" ht="15" hidden="false" customHeight="false" outlineLevel="0" collapsed="false">
      <c r="A35" s="15"/>
      <c r="B35" s="15"/>
      <c r="C35" s="15"/>
      <c r="D35" s="15"/>
      <c r="E35" s="15"/>
      <c r="F35" s="15"/>
      <c r="G35" s="15"/>
    </row>
    <row r="36" customFormat="false" ht="15" hidden="false" customHeight="false" outlineLevel="0" collapsed="false">
      <c r="A36" s="15"/>
      <c r="B36" s="15"/>
      <c r="C36" s="15"/>
      <c r="D36" s="15"/>
      <c r="E36" s="15"/>
      <c r="F36" s="15"/>
      <c r="G36" s="15"/>
    </row>
    <row r="37" customFormat="false" ht="30" hidden="false" customHeight="true" outlineLevel="0" collapsed="false">
      <c r="A37" s="12" t="s">
        <v>44</v>
      </c>
      <c r="B37" s="13" t="s">
        <v>58</v>
      </c>
      <c r="C37" s="13"/>
      <c r="D37" s="13"/>
      <c r="E37" s="13"/>
      <c r="F37" s="13"/>
      <c r="G37" s="13"/>
    </row>
    <row r="40" customFormat="false" ht="15" hidden="false" customHeight="false" outlineLevel="0" collapsed="false">
      <c r="A40" s="16" t="s">
        <v>59</v>
      </c>
      <c r="B40" s="16"/>
      <c r="C40" s="16"/>
      <c r="D40" s="16"/>
      <c r="E40" s="16"/>
      <c r="F40" s="16"/>
      <c r="G40" s="16"/>
    </row>
    <row r="41" customFormat="false" ht="30" hidden="false" customHeight="true" outlineLevel="0" collapsed="false">
      <c r="A41" s="17" t="s">
        <v>60</v>
      </c>
      <c r="B41" s="18" t="s">
        <v>61</v>
      </c>
      <c r="C41" s="18"/>
      <c r="D41" s="18"/>
      <c r="E41" s="18"/>
      <c r="F41" s="18"/>
      <c r="G41" s="18"/>
    </row>
    <row r="42" customFormat="false" ht="30" hidden="false" customHeight="true" outlineLevel="0" collapsed="false">
      <c r="A42" s="17" t="s">
        <v>62</v>
      </c>
      <c r="B42" s="18" t="s">
        <v>63</v>
      </c>
      <c r="C42" s="18"/>
      <c r="D42" s="18"/>
      <c r="E42" s="18"/>
      <c r="F42" s="18"/>
      <c r="G42" s="18"/>
    </row>
    <row r="44" customFormat="false" ht="48.75" hidden="false" customHeight="true" outlineLevel="0" collapsed="false">
      <c r="A44" s="6" t="s">
        <v>64</v>
      </c>
      <c r="B44" s="6"/>
      <c r="C44" s="6"/>
      <c r="D44" s="6"/>
      <c r="E44" s="6"/>
      <c r="F44" s="6"/>
      <c r="G44" s="6"/>
    </row>
    <row r="45" customFormat="false" ht="15" hidden="false" customHeight="true" outlineLevel="0" collapsed="false">
      <c r="A45" s="6" t="s">
        <v>65</v>
      </c>
      <c r="B45" s="6"/>
      <c r="C45" s="6"/>
      <c r="D45" s="6"/>
      <c r="E45" s="6"/>
      <c r="F45" s="6"/>
      <c r="G45" s="6"/>
    </row>
  </sheetData>
  <mergeCells count="32">
    <mergeCell ref="A4:G4"/>
    <mergeCell ref="A5:G5"/>
    <mergeCell ref="B7:G7"/>
    <mergeCell ref="B8:G8"/>
    <mergeCell ref="B9:G9"/>
    <mergeCell ref="B10:G10"/>
    <mergeCell ref="B11:G11"/>
    <mergeCell ref="B12:G12"/>
    <mergeCell ref="B13:G13"/>
    <mergeCell ref="B14:G14"/>
    <mergeCell ref="A16:E16"/>
    <mergeCell ref="A17:E17"/>
    <mergeCell ref="B18:G18"/>
    <mergeCell ref="A20:E20"/>
    <mergeCell ref="B21:G21"/>
    <mergeCell ref="A23:E23"/>
    <mergeCell ref="B24:G24"/>
    <mergeCell ref="A26:E26"/>
    <mergeCell ref="A27:E27"/>
    <mergeCell ref="A28:E28"/>
    <mergeCell ref="A29:E29"/>
    <mergeCell ref="A30:E30"/>
    <mergeCell ref="A31:E31"/>
    <mergeCell ref="A32:E32"/>
    <mergeCell ref="A33:E33"/>
    <mergeCell ref="A34:G36"/>
    <mergeCell ref="B37:G37"/>
    <mergeCell ref="A40:G40"/>
    <mergeCell ref="B41:G41"/>
    <mergeCell ref="B42:G42"/>
    <mergeCell ref="A44:G44"/>
    <mergeCell ref="A45:G45"/>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66</v>
      </c>
    </row>
    <row r="2" customFormat="false" ht="15" hidden="false" customHeight="false" outlineLevel="0" collapsed="false">
      <c r="A2" s="2" t="s">
        <v>21</v>
      </c>
    </row>
    <row r="4" customFormat="false" ht="78.75" hidden="false" customHeight="true" outlineLevel="0" collapsed="false">
      <c r="A4" s="6" t="s">
        <v>67</v>
      </c>
      <c r="B4" s="6"/>
      <c r="C4" s="6"/>
      <c r="D4" s="6"/>
      <c r="E4" s="6"/>
      <c r="F4" s="6"/>
      <c r="G4" s="6"/>
    </row>
    <row r="5" customFormat="false" ht="108.75" hidden="false" customHeight="true" outlineLevel="0" collapsed="false">
      <c r="A5" s="7" t="s">
        <v>68</v>
      </c>
      <c r="B5" s="7"/>
      <c r="C5" s="7"/>
      <c r="D5" s="7"/>
      <c r="E5" s="7"/>
      <c r="F5" s="7"/>
      <c r="G5" s="7"/>
    </row>
    <row r="7" customFormat="false" ht="15" hidden="false" customHeight="false" outlineLevel="0" collapsed="false">
      <c r="A7" s="8" t="s">
        <v>24</v>
      </c>
      <c r="B7" s="8" t="s">
        <v>25</v>
      </c>
      <c r="C7" s="8"/>
      <c r="D7" s="8"/>
      <c r="E7" s="8"/>
      <c r="F7" s="8"/>
      <c r="G7" s="8"/>
    </row>
    <row r="8" customFormat="false" ht="18.75" hidden="false" customHeight="true" outlineLevel="0" collapsed="false">
      <c r="A8" s="9" t="s">
        <v>69</v>
      </c>
      <c r="B8" s="7" t="s">
        <v>70</v>
      </c>
      <c r="C8" s="7"/>
      <c r="D8" s="7"/>
      <c r="E8" s="7"/>
      <c r="F8" s="7"/>
      <c r="G8" s="7"/>
    </row>
    <row r="9" customFormat="false" ht="18.75" hidden="false" customHeight="true" outlineLevel="0" collapsed="false">
      <c r="A9" s="9" t="s">
        <v>71</v>
      </c>
      <c r="B9" s="7" t="s">
        <v>72</v>
      </c>
      <c r="C9" s="7"/>
      <c r="D9" s="7"/>
      <c r="E9" s="7"/>
      <c r="F9" s="7"/>
      <c r="G9" s="7"/>
    </row>
    <row r="10" customFormat="false" ht="18.75" hidden="false" customHeight="true" outlineLevel="0" collapsed="false">
      <c r="A10" s="9" t="s">
        <v>73</v>
      </c>
      <c r="B10" s="7" t="s">
        <v>74</v>
      </c>
      <c r="C10" s="7"/>
      <c r="D10" s="7"/>
      <c r="E10" s="7"/>
      <c r="F10" s="7"/>
      <c r="G10" s="7"/>
    </row>
    <row r="11" customFormat="false" ht="18.75" hidden="false" customHeight="true" outlineLevel="0" collapsed="false">
      <c r="A11" s="9" t="s">
        <v>75</v>
      </c>
      <c r="B11" s="7" t="s">
        <v>76</v>
      </c>
      <c r="C11" s="7"/>
      <c r="D11" s="7"/>
      <c r="E11" s="7"/>
      <c r="F11" s="7"/>
      <c r="G11" s="7"/>
    </row>
    <row r="12" customFormat="false" ht="18.75" hidden="false" customHeight="true" outlineLevel="0" collapsed="false">
      <c r="A12" s="9" t="s">
        <v>77</v>
      </c>
      <c r="B12" s="7" t="s">
        <v>78</v>
      </c>
      <c r="C12" s="7"/>
      <c r="D12" s="7"/>
      <c r="E12" s="7"/>
      <c r="F12" s="7"/>
      <c r="G12" s="7"/>
    </row>
    <row r="13" customFormat="false" ht="18.75" hidden="false" customHeight="true" outlineLevel="0" collapsed="false">
      <c r="A13" s="9" t="s">
        <v>79</v>
      </c>
      <c r="B13" s="7" t="s">
        <v>80</v>
      </c>
      <c r="C13" s="7"/>
      <c r="D13" s="7"/>
      <c r="E13" s="7"/>
      <c r="F13" s="7"/>
      <c r="G13" s="7"/>
    </row>
    <row r="14" customFormat="false" ht="18.75" hidden="false" customHeight="true" outlineLevel="0" collapsed="false">
      <c r="A14" s="9" t="s">
        <v>81</v>
      </c>
      <c r="B14" s="7" t="s">
        <v>82</v>
      </c>
      <c r="C14" s="7"/>
      <c r="D14" s="7"/>
      <c r="E14" s="7"/>
      <c r="F14" s="7"/>
      <c r="G14" s="7"/>
    </row>
    <row r="15" customFormat="false" ht="18.75" hidden="false" customHeight="true" outlineLevel="0" collapsed="false">
      <c r="A15" s="9" t="s">
        <v>83</v>
      </c>
      <c r="B15" s="7" t="s">
        <v>84</v>
      </c>
      <c r="C15" s="7"/>
      <c r="D15" s="7"/>
      <c r="E15" s="7"/>
      <c r="F15" s="7"/>
      <c r="G15" s="7"/>
    </row>
    <row r="17" customFormat="false" ht="15" hidden="false" customHeight="false" outlineLevel="0" collapsed="false">
      <c r="A17" s="8" t="s">
        <v>40</v>
      </c>
      <c r="B17" s="8"/>
      <c r="C17" s="8"/>
      <c r="D17" s="8"/>
      <c r="E17" s="8"/>
      <c r="F17" s="8" t="s">
        <v>41</v>
      </c>
      <c r="G17" s="8" t="s">
        <v>42</v>
      </c>
    </row>
    <row r="18" customFormat="false" ht="33.75" hidden="false" customHeight="true" outlineLevel="0" collapsed="false">
      <c r="A18" s="7" t="s">
        <v>85</v>
      </c>
      <c r="B18" s="7"/>
      <c r="C18" s="7"/>
      <c r="D18" s="7"/>
      <c r="E18" s="7"/>
      <c r="F18" s="10"/>
      <c r="G18" s="11" t="str">
        <f aca="false">IF(F18="","",IF(ABS(F18-(822080))&lt;=0.000000001,"Riktig","Prøv igjen"))</f>
        <v/>
      </c>
    </row>
    <row r="19" customFormat="false" ht="16.5" hidden="false" customHeight="true" outlineLevel="0" collapsed="false">
      <c r="A19" s="12" t="s">
        <v>44</v>
      </c>
      <c r="B19" s="13" t="s">
        <v>86</v>
      </c>
      <c r="C19" s="13"/>
      <c r="D19" s="13"/>
      <c r="E19" s="13"/>
      <c r="F19" s="13"/>
      <c r="G19" s="13"/>
    </row>
    <row r="21" customFormat="false" ht="33.75" hidden="false" customHeight="true" outlineLevel="0" collapsed="false">
      <c r="A21" s="7" t="s">
        <v>87</v>
      </c>
      <c r="B21" s="7"/>
      <c r="C21" s="7"/>
      <c r="D21" s="7"/>
      <c r="E21" s="7"/>
      <c r="F21" s="10"/>
      <c r="G21" s="11" t="str">
        <f aca="false">IF(F21="","",IF(ABS(F21-(587.2))&lt;=0.05,"Riktig","Prøv igjen"))</f>
        <v/>
      </c>
    </row>
    <row r="22" customFormat="false" ht="30" hidden="false" customHeight="true" outlineLevel="0" collapsed="false">
      <c r="A22" s="12" t="s">
        <v>44</v>
      </c>
      <c r="B22" s="13" t="s">
        <v>88</v>
      </c>
      <c r="C22" s="13"/>
      <c r="D22" s="13"/>
      <c r="E22" s="13"/>
      <c r="F22" s="13"/>
      <c r="G22" s="13"/>
    </row>
    <row r="24" customFormat="false" ht="48.75" hidden="false" customHeight="true" outlineLevel="0" collapsed="false">
      <c r="A24" s="7" t="s">
        <v>89</v>
      </c>
      <c r="B24" s="7"/>
      <c r="C24" s="7"/>
      <c r="D24" s="7"/>
      <c r="E24" s="7"/>
      <c r="F24" s="10"/>
      <c r="G24" s="11" t="str">
        <f aca="false">IF(F24="","",IF(ABS(F24-(848.79))&lt;=0.05,"Riktig","Prøv igjen"))</f>
        <v/>
      </c>
    </row>
    <row r="25" customFormat="false" ht="30" hidden="false" customHeight="true" outlineLevel="0" collapsed="false">
      <c r="A25" s="12" t="s">
        <v>44</v>
      </c>
      <c r="B25" s="13" t="s">
        <v>90</v>
      </c>
      <c r="C25" s="13"/>
      <c r="D25" s="13"/>
      <c r="E25" s="13"/>
      <c r="F25" s="13"/>
      <c r="G25" s="13"/>
    </row>
    <row r="27" customFormat="false" ht="33.75" hidden="false" customHeight="true" outlineLevel="0" collapsed="false">
      <c r="A27" s="7" t="s">
        <v>91</v>
      </c>
      <c r="B27" s="7"/>
      <c r="C27" s="7"/>
      <c r="D27" s="7"/>
      <c r="E27" s="7"/>
    </row>
    <row r="28" customFormat="false" ht="15" hidden="false" customHeight="true" outlineLevel="0" collapsed="false">
      <c r="A28" s="7" t="s">
        <v>92</v>
      </c>
      <c r="B28" s="7"/>
      <c r="C28" s="7"/>
      <c r="D28" s="7"/>
      <c r="E28" s="7"/>
      <c r="F28" s="14"/>
      <c r="G28" s="11" t="str">
        <f aca="false">IF(F28="","",IF(UPPER(TRIM(F28))="JA","Riktig","Prøv igjen"))</f>
        <v/>
      </c>
    </row>
    <row r="29" customFormat="false" ht="15" hidden="false" customHeight="true" outlineLevel="0" collapsed="false">
      <c r="A29" s="7" t="s">
        <v>93</v>
      </c>
      <c r="B29" s="7"/>
      <c r="C29" s="7"/>
      <c r="D29" s="7"/>
      <c r="E29" s="7"/>
      <c r="F29" s="14"/>
      <c r="G29" s="11" t="str">
        <f aca="false">IF(F29="","",IF(UPPER(TRIM(F29))="JA","Riktig","Prøv igjen"))</f>
        <v/>
      </c>
    </row>
    <row r="30" customFormat="false" ht="15" hidden="false" customHeight="true" outlineLevel="0" collapsed="false">
      <c r="A30" s="7" t="s">
        <v>94</v>
      </c>
      <c r="B30" s="7"/>
      <c r="C30" s="7"/>
      <c r="D30" s="7"/>
      <c r="E30" s="7"/>
      <c r="F30" s="14"/>
      <c r="G30" s="11" t="str">
        <f aca="false">IF(F30="","",IF(UPPER(TRIM(F30))="JA","Riktig","Prøv igjen"))</f>
        <v/>
      </c>
    </row>
    <row r="31" customFormat="false" ht="15" hidden="false" customHeight="true" outlineLevel="0" collapsed="false">
      <c r="A31" s="7" t="s">
        <v>95</v>
      </c>
      <c r="B31" s="7"/>
      <c r="C31" s="7"/>
      <c r="D31" s="7"/>
      <c r="E31" s="7"/>
      <c r="F31" s="14"/>
      <c r="G31" s="11" t="str">
        <f aca="false">IF(F31="","",IF(UPPER(TRIM(F31))="JA","Riktig","Prøv igjen"))</f>
        <v/>
      </c>
    </row>
    <row r="32" customFormat="false" ht="15" hidden="false" customHeight="true" outlineLevel="0" collapsed="false">
      <c r="A32" s="7" t="s">
        <v>96</v>
      </c>
      <c r="B32" s="7"/>
      <c r="C32" s="7"/>
      <c r="D32" s="7"/>
      <c r="E32" s="7"/>
      <c r="F32" s="14"/>
      <c r="G32" s="11" t="str">
        <f aca="false">IF(F32="","",IF(UPPER(TRIM(F32))="NEI","Riktig","Prøv igjen"))</f>
        <v/>
      </c>
    </row>
    <row r="33" customFormat="false" ht="15" hidden="false" customHeight="true" outlineLevel="0" collapsed="false">
      <c r="A33" s="7" t="s">
        <v>97</v>
      </c>
      <c r="B33" s="7"/>
      <c r="C33" s="7"/>
      <c r="D33" s="7"/>
      <c r="E33" s="7"/>
      <c r="F33" s="14"/>
      <c r="G33" s="11" t="str">
        <f aca="false">IF(F33="","",IF(UPPER(TRIM(F33))="NEI","Riktig","Prøv igjen"))</f>
        <v/>
      </c>
    </row>
    <row r="34" customFormat="false" ht="48.75" hidden="false" customHeight="true" outlineLevel="0" collapsed="false">
      <c r="A34" s="7" t="s">
        <v>98</v>
      </c>
      <c r="B34" s="7"/>
      <c r="C34" s="7"/>
      <c r="D34" s="7"/>
      <c r="E34" s="7"/>
    </row>
    <row r="35" customFormat="false" ht="15" hidden="false" customHeight="false" outlineLevel="0" collapsed="false">
      <c r="A35" s="15"/>
      <c r="B35" s="15"/>
      <c r="C35" s="15"/>
      <c r="D35" s="15"/>
      <c r="E35" s="15"/>
      <c r="F35" s="15"/>
      <c r="G35" s="15"/>
    </row>
    <row r="36" customFormat="false" ht="15" hidden="false" customHeight="false" outlineLevel="0" collapsed="false">
      <c r="A36" s="15"/>
      <c r="B36" s="15"/>
      <c r="C36" s="15"/>
      <c r="D36" s="15"/>
      <c r="E36" s="15"/>
      <c r="F36" s="15"/>
      <c r="G36" s="15"/>
    </row>
    <row r="37" customFormat="false" ht="15" hidden="false" customHeight="false" outlineLevel="0" collapsed="false">
      <c r="A37" s="15"/>
      <c r="B37" s="15"/>
      <c r="C37" s="15"/>
      <c r="D37" s="15"/>
      <c r="E37" s="15"/>
      <c r="F37" s="15"/>
      <c r="G37" s="15"/>
    </row>
    <row r="38" customFormat="false" ht="30" hidden="false" customHeight="true" outlineLevel="0" collapsed="false">
      <c r="A38" s="12" t="s">
        <v>44</v>
      </c>
      <c r="B38" s="13" t="s">
        <v>99</v>
      </c>
      <c r="C38" s="13"/>
      <c r="D38" s="13"/>
      <c r="E38" s="13"/>
      <c r="F38" s="13"/>
      <c r="G38" s="13"/>
    </row>
    <row r="41" customFormat="false" ht="15" hidden="false" customHeight="false" outlineLevel="0" collapsed="false">
      <c r="A41" s="16" t="s">
        <v>59</v>
      </c>
      <c r="B41" s="16"/>
      <c r="C41" s="16"/>
      <c r="D41" s="16"/>
      <c r="E41" s="16"/>
      <c r="F41" s="16"/>
      <c r="G41" s="16"/>
    </row>
    <row r="42" customFormat="false" ht="30" hidden="false" customHeight="true" outlineLevel="0" collapsed="false">
      <c r="A42" s="17" t="s">
        <v>100</v>
      </c>
      <c r="B42" s="18" t="s">
        <v>101</v>
      </c>
      <c r="C42" s="18"/>
      <c r="D42" s="18"/>
      <c r="E42" s="18"/>
      <c r="F42" s="18"/>
      <c r="G42" s="18"/>
    </row>
    <row r="43" customFormat="false" ht="30" hidden="false" customHeight="true" outlineLevel="0" collapsed="false">
      <c r="A43" s="17" t="s">
        <v>102</v>
      </c>
      <c r="B43" s="18" t="s">
        <v>103</v>
      </c>
      <c r="C43" s="18"/>
      <c r="D43" s="18"/>
      <c r="E43" s="18"/>
      <c r="F43" s="18"/>
      <c r="G43" s="18"/>
    </row>
    <row r="45" customFormat="false" ht="33.75" hidden="false" customHeight="true" outlineLevel="0" collapsed="false">
      <c r="A45" s="6" t="s">
        <v>104</v>
      </c>
      <c r="B45" s="6"/>
      <c r="C45" s="6"/>
      <c r="D45" s="6"/>
      <c r="E45" s="6"/>
      <c r="F45" s="6"/>
      <c r="G45" s="6"/>
    </row>
    <row r="46" customFormat="false" ht="15" hidden="false" customHeight="true" outlineLevel="0" collapsed="false">
      <c r="A46" s="6" t="s">
        <v>65</v>
      </c>
      <c r="B46" s="6"/>
      <c r="C46" s="6"/>
      <c r="D46" s="6"/>
      <c r="E46" s="6"/>
      <c r="F46" s="6"/>
      <c r="G46" s="6"/>
    </row>
  </sheetData>
  <mergeCells count="33">
    <mergeCell ref="A4:G4"/>
    <mergeCell ref="A5:G5"/>
    <mergeCell ref="B7:G7"/>
    <mergeCell ref="B8:G8"/>
    <mergeCell ref="B9:G9"/>
    <mergeCell ref="B10:G10"/>
    <mergeCell ref="B11:G11"/>
    <mergeCell ref="B12:G12"/>
    <mergeCell ref="B13:G13"/>
    <mergeCell ref="B14:G14"/>
    <mergeCell ref="B15:G15"/>
    <mergeCell ref="A17:E17"/>
    <mergeCell ref="A18:E18"/>
    <mergeCell ref="B19:G19"/>
    <mergeCell ref="A21:E21"/>
    <mergeCell ref="B22:G22"/>
    <mergeCell ref="A24:E24"/>
    <mergeCell ref="B25:G25"/>
    <mergeCell ref="A27:E27"/>
    <mergeCell ref="A28:E28"/>
    <mergeCell ref="A29:E29"/>
    <mergeCell ref="A30:E30"/>
    <mergeCell ref="A31:E31"/>
    <mergeCell ref="A32:E32"/>
    <mergeCell ref="A33:E33"/>
    <mergeCell ref="A34:E34"/>
    <mergeCell ref="A35:G37"/>
    <mergeCell ref="B38:G38"/>
    <mergeCell ref="A41:G41"/>
    <mergeCell ref="B42:G42"/>
    <mergeCell ref="B43:G43"/>
    <mergeCell ref="A45:G45"/>
    <mergeCell ref="A46:G46"/>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105</v>
      </c>
    </row>
    <row r="2" customFormat="false" ht="15" hidden="false" customHeight="false" outlineLevel="0" collapsed="false">
      <c r="A2" s="2" t="s">
        <v>21</v>
      </c>
    </row>
    <row r="4" customFormat="false" ht="78.75" hidden="false" customHeight="true" outlineLevel="0" collapsed="false">
      <c r="A4" s="6" t="s">
        <v>106</v>
      </c>
      <c r="B4" s="6"/>
      <c r="C4" s="6"/>
      <c r="D4" s="6"/>
      <c r="E4" s="6"/>
      <c r="F4" s="6"/>
      <c r="G4" s="6"/>
    </row>
    <row r="5" customFormat="false" ht="93.75" hidden="false" customHeight="true" outlineLevel="0" collapsed="false">
      <c r="A5" s="7" t="s">
        <v>107</v>
      </c>
      <c r="B5" s="7"/>
      <c r="C5" s="7"/>
      <c r="D5" s="7"/>
      <c r="E5" s="7"/>
      <c r="F5" s="7"/>
      <c r="G5" s="7"/>
    </row>
    <row r="7" customFormat="false" ht="15" hidden="false" customHeight="false" outlineLevel="0" collapsed="false">
      <c r="A7" s="8" t="s">
        <v>24</v>
      </c>
      <c r="B7" s="8" t="s">
        <v>25</v>
      </c>
      <c r="C7" s="8"/>
      <c r="D7" s="8"/>
      <c r="E7" s="8"/>
      <c r="F7" s="8"/>
      <c r="G7" s="8"/>
    </row>
    <row r="8" customFormat="false" ht="18.75" hidden="false" customHeight="true" outlineLevel="0" collapsed="false">
      <c r="A8" s="9" t="s">
        <v>108</v>
      </c>
      <c r="B8" s="7" t="s">
        <v>109</v>
      </c>
      <c r="C8" s="7"/>
      <c r="D8" s="7"/>
      <c r="E8" s="7"/>
      <c r="F8" s="7"/>
      <c r="G8" s="7"/>
    </row>
    <row r="9" customFormat="false" ht="18.75" hidden="false" customHeight="true" outlineLevel="0" collapsed="false">
      <c r="A9" s="9" t="s">
        <v>110</v>
      </c>
      <c r="B9" s="7" t="s">
        <v>111</v>
      </c>
      <c r="C9" s="7"/>
      <c r="D9" s="7"/>
      <c r="E9" s="7"/>
      <c r="F9" s="7"/>
      <c r="G9" s="7"/>
    </row>
    <row r="10" customFormat="false" ht="18.75" hidden="false" customHeight="true" outlineLevel="0" collapsed="false">
      <c r="A10" s="9" t="s">
        <v>112</v>
      </c>
      <c r="B10" s="7" t="s">
        <v>113</v>
      </c>
      <c r="C10" s="7"/>
      <c r="D10" s="7"/>
      <c r="E10" s="7"/>
      <c r="F10" s="7"/>
      <c r="G10" s="7"/>
    </row>
    <row r="11" customFormat="false" ht="18.75" hidden="false" customHeight="true" outlineLevel="0" collapsed="false">
      <c r="A11" s="9" t="s">
        <v>114</v>
      </c>
      <c r="B11" s="7" t="s">
        <v>115</v>
      </c>
      <c r="C11" s="7"/>
      <c r="D11" s="7"/>
      <c r="E11" s="7"/>
      <c r="F11" s="7"/>
      <c r="G11" s="7"/>
    </row>
    <row r="12" customFormat="false" ht="18.75" hidden="false" customHeight="true" outlineLevel="0" collapsed="false">
      <c r="A12" s="9" t="s">
        <v>116</v>
      </c>
      <c r="B12" s="7" t="s">
        <v>117</v>
      </c>
      <c r="C12" s="7"/>
      <c r="D12" s="7"/>
      <c r="E12" s="7"/>
      <c r="F12" s="7"/>
      <c r="G12" s="7"/>
    </row>
    <row r="13" customFormat="false" ht="18.75" hidden="false" customHeight="true" outlineLevel="0" collapsed="false">
      <c r="A13" s="9" t="s">
        <v>118</v>
      </c>
      <c r="B13" s="7" t="s">
        <v>119</v>
      </c>
      <c r="C13" s="7"/>
      <c r="D13" s="7"/>
      <c r="E13" s="7"/>
      <c r="F13" s="7"/>
      <c r="G13" s="7"/>
    </row>
    <row r="15" customFormat="false" ht="15" hidden="false" customHeight="false" outlineLevel="0" collapsed="false">
      <c r="A15" s="8" t="s">
        <v>40</v>
      </c>
      <c r="B15" s="8"/>
      <c r="C15" s="8"/>
      <c r="D15" s="8"/>
      <c r="E15" s="8"/>
      <c r="F15" s="8" t="s">
        <v>41</v>
      </c>
      <c r="G15" s="8" t="s">
        <v>42</v>
      </c>
    </row>
    <row r="16" customFormat="false" ht="33.75" hidden="false" customHeight="true" outlineLevel="0" collapsed="false">
      <c r="A16" s="7" t="s">
        <v>120</v>
      </c>
      <c r="B16" s="7"/>
      <c r="C16" s="7"/>
      <c r="D16" s="7"/>
      <c r="E16" s="7"/>
      <c r="F16" s="10"/>
      <c r="G16" s="11" t="str">
        <f aca="false">IF(F16="","",IF(ABS(F16-(-1760))&lt;=0.000000001,"Riktig","Prøv igjen"))</f>
        <v/>
      </c>
    </row>
    <row r="17" customFormat="false" ht="30" hidden="false" customHeight="true" outlineLevel="0" collapsed="false">
      <c r="A17" s="12" t="s">
        <v>44</v>
      </c>
      <c r="B17" s="13" t="s">
        <v>121</v>
      </c>
      <c r="C17" s="13"/>
      <c r="D17" s="13"/>
      <c r="E17" s="13"/>
      <c r="F17" s="13"/>
      <c r="G17" s="13"/>
    </row>
    <row r="19" customFormat="false" ht="33.75" hidden="false" customHeight="true" outlineLevel="0" collapsed="false">
      <c r="A19" s="7" t="s">
        <v>122</v>
      </c>
      <c r="B19" s="7"/>
      <c r="C19" s="7"/>
      <c r="D19" s="7"/>
      <c r="E19" s="7"/>
      <c r="F19" s="10"/>
      <c r="G19" s="11" t="str">
        <f aca="false">IF(F19="","",IF(ABS(F19-(2440))&lt;=0.000000001,"Riktig","Prøv igjen"))</f>
        <v/>
      </c>
    </row>
    <row r="20" customFormat="false" ht="30" hidden="false" customHeight="true" outlineLevel="0" collapsed="false">
      <c r="A20" s="12" t="s">
        <v>44</v>
      </c>
      <c r="B20" s="13" t="s">
        <v>123</v>
      </c>
      <c r="C20" s="13"/>
      <c r="D20" s="13"/>
      <c r="E20" s="13"/>
      <c r="F20" s="13"/>
      <c r="G20" s="13"/>
    </row>
    <row r="22" customFormat="false" ht="18.75" hidden="false" customHeight="true" outlineLevel="0" collapsed="false">
      <c r="A22" s="7" t="s">
        <v>124</v>
      </c>
      <c r="B22" s="7"/>
      <c r="C22" s="7"/>
      <c r="D22" s="7"/>
      <c r="E22" s="7"/>
      <c r="F22" s="10"/>
      <c r="G22" s="11" t="str">
        <f aca="false">IF(F22="","",IF(ABS(F22-(48800))&lt;=0.000000001,"Riktig","Prøv igjen"))</f>
        <v/>
      </c>
    </row>
    <row r="23" customFormat="false" ht="16.5" hidden="false" customHeight="true" outlineLevel="0" collapsed="false">
      <c r="A23" s="12" t="s">
        <v>44</v>
      </c>
      <c r="B23" s="13" t="s">
        <v>125</v>
      </c>
      <c r="C23" s="13"/>
      <c r="D23" s="13"/>
      <c r="E23" s="13"/>
      <c r="F23" s="13"/>
      <c r="G23" s="13"/>
    </row>
    <row r="25" customFormat="false" ht="63.75" hidden="false" customHeight="true" outlineLevel="0" collapsed="false">
      <c r="A25" s="7" t="s">
        <v>126</v>
      </c>
      <c r="B25" s="7"/>
      <c r="C25" s="7"/>
      <c r="D25" s="7"/>
      <c r="E25" s="7"/>
      <c r="F25" s="14"/>
      <c r="G25" s="11" t="str">
        <f aca="false">IF(F25="","",IF(UPPER(TRIM(F25))="B","Riktig","Prøv igjen"))</f>
        <v/>
      </c>
    </row>
    <row r="26" customFormat="false" ht="33.75" hidden="false" customHeight="true" outlineLevel="0" collapsed="false">
      <c r="A26" s="7" t="s">
        <v>127</v>
      </c>
      <c r="B26" s="7"/>
      <c r="C26" s="7"/>
      <c r="D26" s="7"/>
      <c r="E26" s="7"/>
    </row>
    <row r="27" customFormat="false" ht="15" hidden="false" customHeight="false" outlineLevel="0" collapsed="false">
      <c r="A27" s="15"/>
      <c r="B27" s="15"/>
      <c r="C27" s="15"/>
      <c r="D27" s="15"/>
      <c r="E27" s="15"/>
      <c r="F27" s="15"/>
      <c r="G27" s="15"/>
    </row>
    <row r="28" customFormat="false" ht="15" hidden="false" customHeight="false" outlineLevel="0" collapsed="false">
      <c r="A28" s="15"/>
      <c r="B28" s="15"/>
      <c r="C28" s="15"/>
      <c r="D28" s="15"/>
      <c r="E28" s="15"/>
      <c r="F28" s="15"/>
      <c r="G28" s="15"/>
    </row>
    <row r="29" customFormat="false" ht="15" hidden="false" customHeight="false" outlineLevel="0" collapsed="false">
      <c r="A29" s="15"/>
      <c r="B29" s="15"/>
      <c r="C29" s="15"/>
      <c r="D29" s="15"/>
      <c r="E29" s="15"/>
      <c r="F29" s="15"/>
      <c r="G29" s="15"/>
    </row>
    <row r="30" customFormat="false" ht="30" hidden="false" customHeight="true" outlineLevel="0" collapsed="false">
      <c r="A30" s="12" t="s">
        <v>44</v>
      </c>
      <c r="B30" s="13" t="s">
        <v>128</v>
      </c>
      <c r="C30" s="13"/>
      <c r="D30" s="13"/>
      <c r="E30" s="13"/>
      <c r="F30" s="13"/>
      <c r="G30" s="13"/>
    </row>
    <row r="33" customFormat="false" ht="15" hidden="false" customHeight="false" outlineLevel="0" collapsed="false">
      <c r="A33" s="16" t="s">
        <v>59</v>
      </c>
      <c r="B33" s="16"/>
      <c r="C33" s="16"/>
      <c r="D33" s="16"/>
      <c r="E33" s="16"/>
      <c r="F33" s="16"/>
      <c r="G33" s="16"/>
    </row>
    <row r="34" customFormat="false" ht="30" hidden="false" customHeight="true" outlineLevel="0" collapsed="false">
      <c r="A34" s="17" t="s">
        <v>129</v>
      </c>
      <c r="B34" s="18" t="s">
        <v>130</v>
      </c>
      <c r="C34" s="18"/>
      <c r="D34" s="18"/>
      <c r="E34" s="18"/>
      <c r="F34" s="18"/>
      <c r="G34" s="18"/>
    </row>
    <row r="35" customFormat="false" ht="30" hidden="false" customHeight="true" outlineLevel="0" collapsed="false">
      <c r="A35" s="17" t="s">
        <v>131</v>
      </c>
      <c r="B35" s="18" t="s">
        <v>132</v>
      </c>
      <c r="C35" s="18"/>
      <c r="D35" s="18"/>
      <c r="E35" s="18"/>
      <c r="F35" s="18"/>
      <c r="G35" s="18"/>
    </row>
    <row r="37" customFormat="false" ht="48.75" hidden="false" customHeight="true" outlineLevel="0" collapsed="false">
      <c r="A37" s="6" t="s">
        <v>133</v>
      </c>
      <c r="B37" s="6"/>
      <c r="C37" s="6"/>
      <c r="D37" s="6"/>
      <c r="E37" s="6"/>
      <c r="F37" s="6"/>
      <c r="G37" s="6"/>
    </row>
    <row r="38" customFormat="false" ht="15" hidden="false" customHeight="true" outlineLevel="0" collapsed="false">
      <c r="A38" s="6" t="s">
        <v>65</v>
      </c>
      <c r="B38" s="6"/>
      <c r="C38" s="6"/>
      <c r="D38" s="6"/>
      <c r="E38" s="6"/>
      <c r="F38" s="6"/>
      <c r="G38" s="6"/>
    </row>
  </sheetData>
  <mergeCells count="25">
    <mergeCell ref="A4:G4"/>
    <mergeCell ref="A5:G5"/>
    <mergeCell ref="B7:G7"/>
    <mergeCell ref="B8:G8"/>
    <mergeCell ref="B9:G9"/>
    <mergeCell ref="B10:G10"/>
    <mergeCell ref="B11:G11"/>
    <mergeCell ref="B12:G12"/>
    <mergeCell ref="B13:G13"/>
    <mergeCell ref="A15:E15"/>
    <mergeCell ref="A16:E16"/>
    <mergeCell ref="B17:G17"/>
    <mergeCell ref="A19:E19"/>
    <mergeCell ref="B20:G20"/>
    <mergeCell ref="A22:E22"/>
    <mergeCell ref="B23:G23"/>
    <mergeCell ref="A25:E25"/>
    <mergeCell ref="A26:E26"/>
    <mergeCell ref="A27:G29"/>
    <mergeCell ref="B30:G30"/>
    <mergeCell ref="A33:G33"/>
    <mergeCell ref="B34:G34"/>
    <mergeCell ref="B35:G35"/>
    <mergeCell ref="A37:G37"/>
    <mergeCell ref="A38:G38"/>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134</v>
      </c>
    </row>
    <row r="2" customFormat="false" ht="15" hidden="false" customHeight="false" outlineLevel="0" collapsed="false">
      <c r="A2" s="2" t="s">
        <v>21</v>
      </c>
    </row>
    <row r="4" customFormat="false" ht="63.75" hidden="false" customHeight="true" outlineLevel="0" collapsed="false">
      <c r="A4" s="6" t="s">
        <v>135</v>
      </c>
      <c r="B4" s="6"/>
      <c r="C4" s="6"/>
      <c r="D4" s="6"/>
      <c r="E4" s="6"/>
      <c r="F4" s="6"/>
      <c r="G4" s="6"/>
    </row>
    <row r="5" customFormat="false" ht="78.75" hidden="false" customHeight="true" outlineLevel="0" collapsed="false">
      <c r="A5" s="7" t="s">
        <v>136</v>
      </c>
      <c r="B5" s="7"/>
      <c r="C5" s="7"/>
      <c r="D5" s="7"/>
      <c r="E5" s="7"/>
      <c r="F5" s="7"/>
      <c r="G5" s="7"/>
    </row>
    <row r="7" customFormat="false" ht="15" hidden="false" customHeight="false" outlineLevel="0" collapsed="false">
      <c r="A7" s="19" t="s">
        <v>137</v>
      </c>
      <c r="B7" s="20" t="s">
        <v>138</v>
      </c>
      <c r="C7" s="20" t="s">
        <v>139</v>
      </c>
    </row>
    <row r="8" customFormat="false" ht="15" hidden="false" customHeight="false" outlineLevel="0" collapsed="false">
      <c r="A8" s="21" t="s">
        <v>140</v>
      </c>
      <c r="B8" s="22" t="n">
        <v>29500</v>
      </c>
      <c r="C8" s="22" t="n">
        <v>35400</v>
      </c>
    </row>
    <row r="9" customFormat="false" ht="15" hidden="false" customHeight="false" outlineLevel="0" collapsed="false">
      <c r="A9" s="23" t="s">
        <v>28</v>
      </c>
      <c r="B9" s="24" t="n">
        <v>30000</v>
      </c>
      <c r="C9" s="24" t="n">
        <v>28600</v>
      </c>
    </row>
    <row r="10" customFormat="false" ht="15" hidden="false" customHeight="false" outlineLevel="0" collapsed="false">
      <c r="A10" s="21" t="s">
        <v>141</v>
      </c>
      <c r="B10" s="22" t="n">
        <v>2000</v>
      </c>
      <c r="C10" s="22" t="n">
        <v>2600</v>
      </c>
    </row>
    <row r="11" customFormat="false" ht="15" hidden="false" customHeight="false" outlineLevel="0" collapsed="false">
      <c r="A11" s="25" t="s">
        <v>142</v>
      </c>
      <c r="B11" s="26" t="n">
        <v>61500</v>
      </c>
      <c r="C11" s="10"/>
    </row>
    <row r="12" customFormat="false" ht="15" hidden="false" customHeight="false" outlineLevel="0" collapsed="false">
      <c r="A12" s="21" t="s">
        <v>143</v>
      </c>
      <c r="B12" s="22" t="n">
        <v>6490</v>
      </c>
      <c r="C12" s="22" t="n">
        <v>7788</v>
      </c>
    </row>
    <row r="13" customFormat="false" ht="15" hidden="false" customHeight="false" outlineLevel="0" collapsed="false">
      <c r="A13" s="25" t="s">
        <v>144</v>
      </c>
      <c r="B13" s="26" t="n">
        <v>67990</v>
      </c>
      <c r="C13" s="10"/>
    </row>
    <row r="14" customFormat="false" ht="15" hidden="false" customHeight="false" outlineLevel="0" collapsed="false">
      <c r="A14" s="21" t="s">
        <v>145</v>
      </c>
      <c r="B14" s="22" t="n">
        <v>74800</v>
      </c>
      <c r="C14" s="22" t="n">
        <v>74800</v>
      </c>
    </row>
    <row r="15" customFormat="false" ht="15" hidden="false" customHeight="false" outlineLevel="0" collapsed="false">
      <c r="A15" s="25" t="s">
        <v>146</v>
      </c>
      <c r="B15" s="26" t="n">
        <v>6810</v>
      </c>
      <c r="C15" s="10"/>
    </row>
    <row r="16" customFormat="false" ht="15" hidden="false" customHeight="true" outlineLevel="0" collapsed="false">
      <c r="A16" s="6" t="s">
        <v>147</v>
      </c>
      <c r="B16" s="6"/>
      <c r="C16" s="6"/>
      <c r="D16" s="6"/>
      <c r="E16" s="6"/>
      <c r="F16" s="6"/>
      <c r="G16" s="6"/>
    </row>
    <row r="18" customFormat="false" ht="15" hidden="false" customHeight="false" outlineLevel="0" collapsed="false">
      <c r="A18" s="8" t="s">
        <v>40</v>
      </c>
      <c r="B18" s="8"/>
      <c r="C18" s="8"/>
      <c r="D18" s="8"/>
      <c r="E18" s="8"/>
      <c r="F18" s="8" t="s">
        <v>41</v>
      </c>
      <c r="G18" s="8" t="s">
        <v>42</v>
      </c>
    </row>
    <row r="19" customFormat="false" ht="33.75" hidden="false" customHeight="true" outlineLevel="0" collapsed="false">
      <c r="A19" s="7" t="s">
        <v>148</v>
      </c>
      <c r="B19" s="7"/>
      <c r="C19" s="7"/>
      <c r="D19" s="7"/>
      <c r="E19" s="7"/>
      <c r="F19" s="10"/>
      <c r="G19" s="11" t="str">
        <f aca="false">IF(F19="","",IF(ABS(F19-(-5900))&lt;=0.000000001,"Riktig","Prøv igjen"))</f>
        <v/>
      </c>
    </row>
    <row r="20" customFormat="false" ht="30" hidden="false" customHeight="true" outlineLevel="0" collapsed="false">
      <c r="A20" s="12" t="s">
        <v>44</v>
      </c>
      <c r="B20" s="13" t="s">
        <v>149</v>
      </c>
      <c r="C20" s="13"/>
      <c r="D20" s="13"/>
      <c r="E20" s="13"/>
      <c r="F20" s="13"/>
      <c r="G20" s="13"/>
    </row>
    <row r="22" customFormat="false" ht="18.75" hidden="false" customHeight="true" outlineLevel="0" collapsed="false">
      <c r="A22" s="7" t="s">
        <v>150</v>
      </c>
      <c r="B22" s="7"/>
      <c r="C22" s="7"/>
      <c r="D22" s="7"/>
      <c r="E22" s="7"/>
      <c r="F22" s="10"/>
      <c r="G22" s="11" t="str">
        <f aca="false">IF(F22="","",IF(ABS(F22-(-20))&lt;=0.1,"Riktig","Prøv igjen"))</f>
        <v/>
      </c>
    </row>
    <row r="23" customFormat="false" ht="16.5" hidden="false" customHeight="true" outlineLevel="0" collapsed="false">
      <c r="A23" s="12" t="s">
        <v>44</v>
      </c>
      <c r="B23" s="13" t="s">
        <v>151</v>
      </c>
      <c r="C23" s="13"/>
      <c r="D23" s="13"/>
      <c r="E23" s="13"/>
      <c r="F23" s="13"/>
      <c r="G23" s="13"/>
    </row>
    <row r="25" customFormat="false" ht="33.75" hidden="false" customHeight="true" outlineLevel="0" collapsed="false">
      <c r="A25" s="7" t="s">
        <v>152</v>
      </c>
      <c r="B25" s="7"/>
      <c r="C25" s="7"/>
      <c r="D25" s="7"/>
      <c r="E25" s="7"/>
      <c r="F25" s="10"/>
      <c r="G25" s="11" t="str">
        <f aca="false">IF(F25="","",IF(ABS(F25-(412))&lt;=0.000000001,"Riktig","Prøv igjen"))</f>
        <v/>
      </c>
    </row>
    <row r="26" customFormat="false" ht="30" hidden="false" customHeight="true" outlineLevel="0" collapsed="false">
      <c r="A26" s="12" t="s">
        <v>44</v>
      </c>
      <c r="B26" s="13" t="s">
        <v>153</v>
      </c>
      <c r="C26" s="13"/>
      <c r="D26" s="13"/>
      <c r="E26" s="13"/>
      <c r="F26" s="13"/>
      <c r="G26" s="13"/>
    </row>
    <row r="28" customFormat="false" ht="63.75" hidden="false" customHeight="true" outlineLevel="0" collapsed="false">
      <c r="A28" s="7" t="s">
        <v>154</v>
      </c>
      <c r="B28" s="7"/>
      <c r="C28" s="7"/>
      <c r="D28" s="7"/>
      <c r="E28" s="7"/>
      <c r="F28" s="14"/>
      <c r="G28" s="11" t="str">
        <f aca="false">IF(F28="","",IF(UPPER(TRIM(F28))="B","Riktig","Prøv igjen"))</f>
        <v/>
      </c>
    </row>
    <row r="29" customFormat="false" ht="33.75" hidden="false" customHeight="true" outlineLevel="0" collapsed="false">
      <c r="A29" s="7" t="s">
        <v>155</v>
      </c>
      <c r="B29" s="7"/>
      <c r="C29" s="7"/>
      <c r="D29" s="7"/>
      <c r="E29" s="7"/>
    </row>
    <row r="30" customFormat="false" ht="15" hidden="false" customHeight="false" outlineLevel="0" collapsed="false">
      <c r="A30" s="15"/>
      <c r="B30" s="15"/>
      <c r="C30" s="15"/>
      <c r="D30" s="15"/>
      <c r="E30" s="15"/>
      <c r="F30" s="15"/>
      <c r="G30" s="15"/>
    </row>
    <row r="31" customFormat="false" ht="15" hidden="false" customHeight="false" outlineLevel="0" collapsed="false">
      <c r="A31" s="15"/>
      <c r="B31" s="15"/>
      <c r="C31" s="15"/>
      <c r="D31" s="15"/>
      <c r="E31" s="15"/>
      <c r="F31" s="15"/>
      <c r="G31" s="15"/>
    </row>
    <row r="32" customFormat="false" ht="15" hidden="false" customHeight="false" outlineLevel="0" collapsed="false">
      <c r="A32" s="15"/>
      <c r="B32" s="15"/>
      <c r="C32" s="15"/>
      <c r="D32" s="15"/>
      <c r="E32" s="15"/>
      <c r="F32" s="15"/>
      <c r="G32" s="15"/>
    </row>
    <row r="33" customFormat="false" ht="16.5" hidden="false" customHeight="true" outlineLevel="0" collapsed="false">
      <c r="A33" s="12" t="s">
        <v>44</v>
      </c>
      <c r="B33" s="13" t="s">
        <v>156</v>
      </c>
      <c r="C33" s="13"/>
      <c r="D33" s="13"/>
      <c r="E33" s="13"/>
      <c r="F33" s="13"/>
      <c r="G33" s="13"/>
    </row>
    <row r="36" customFormat="false" ht="15" hidden="false" customHeight="false" outlineLevel="0" collapsed="false">
      <c r="A36" s="16" t="s">
        <v>59</v>
      </c>
      <c r="B36" s="16"/>
      <c r="C36" s="16"/>
      <c r="D36" s="16"/>
      <c r="E36" s="16"/>
      <c r="F36" s="16"/>
      <c r="G36" s="16"/>
    </row>
    <row r="37" customFormat="false" ht="30" hidden="false" customHeight="true" outlineLevel="0" collapsed="false">
      <c r="A37" s="17" t="s">
        <v>157</v>
      </c>
      <c r="B37" s="18" t="s">
        <v>158</v>
      </c>
      <c r="C37" s="18"/>
      <c r="D37" s="18"/>
      <c r="E37" s="18"/>
      <c r="F37" s="18"/>
      <c r="G37" s="18"/>
    </row>
    <row r="38" customFormat="false" ht="30" hidden="false" customHeight="true" outlineLevel="0" collapsed="false">
      <c r="A38" s="17" t="s">
        <v>159</v>
      </c>
      <c r="B38" s="18" t="s">
        <v>160</v>
      </c>
      <c r="C38" s="18"/>
      <c r="D38" s="18"/>
      <c r="E38" s="18"/>
      <c r="F38" s="18"/>
      <c r="G38" s="18"/>
    </row>
    <row r="40" customFormat="false" ht="33.75" hidden="false" customHeight="true" outlineLevel="0" collapsed="false">
      <c r="A40" s="6" t="s">
        <v>161</v>
      </c>
      <c r="B40" s="6"/>
      <c r="C40" s="6"/>
      <c r="D40" s="6"/>
      <c r="E40" s="6"/>
      <c r="F40" s="6"/>
      <c r="G40" s="6"/>
    </row>
    <row r="41" customFormat="false" ht="15" hidden="false" customHeight="true" outlineLevel="0" collapsed="false">
      <c r="A41" s="6" t="s">
        <v>65</v>
      </c>
      <c r="B41" s="6"/>
      <c r="C41" s="6"/>
      <c r="D41" s="6"/>
      <c r="E41" s="6"/>
      <c r="F41" s="6"/>
      <c r="G41" s="6"/>
    </row>
  </sheetData>
  <mergeCells count="19">
    <mergeCell ref="A4:G4"/>
    <mergeCell ref="A5:G5"/>
    <mergeCell ref="A16:G16"/>
    <mergeCell ref="A18:E18"/>
    <mergeCell ref="A19:E19"/>
    <mergeCell ref="B20:G20"/>
    <mergeCell ref="A22:E22"/>
    <mergeCell ref="B23:G23"/>
    <mergeCell ref="A25:E25"/>
    <mergeCell ref="B26:G26"/>
    <mergeCell ref="A28:E28"/>
    <mergeCell ref="A29:E29"/>
    <mergeCell ref="A30:G32"/>
    <mergeCell ref="B33:G33"/>
    <mergeCell ref="A36:G36"/>
    <mergeCell ref="B37:G37"/>
    <mergeCell ref="B38:G38"/>
    <mergeCell ref="A40:G40"/>
    <mergeCell ref="A41:G41"/>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2026-10-11T09:59:18Z</dcterms:created>
  <dc:creator>openpyxl</dc:creator>
  <dc:description/>
  <dc:language>en-US</dc:language>
  <cp:lastModifiedBy/>
  <dcterms:modified xsi:type="dcterms:W3CDTF">2026-10-11T09:59:18Z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