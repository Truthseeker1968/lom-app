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<sst xmlns="http://schemas.openxmlformats.org/spreadsheetml/2006/main" count="190" uniqueCount="163">
  <si>
    <t xml:space="preserve">Klasseoppgaver til Organisasjon og ledelse kapittel 11: Hva er en organisasjon?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</si>
  <si>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</si>
  <si>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</si>
  <si>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</si>
  <si>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</si>
  <si>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</si>
  <si>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</si>
  <si>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</si>
  <si>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</si>
  <si>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18 ansatte, men hvem bestemmer? (Nordlys)</t>
  </si>
  <si>
    <t xml:space="preserve">A2</t>
  </si>
  <si>
    <t xml:space="preserve">Fjell Elektro: tre i dag, fem neste år (Fjell Elektro)</t>
  </si>
  <si>
    <t xml:space="preserve">B1</t>
  </si>
  <si>
    <t xml:space="preserve">Nordlys: én fredag, tre perspektiver (Nordlys)</t>
  </si>
  <si>
    <t xml:space="preserve">B2</t>
  </si>
  <si>
    <t xml:space="preserve">Fjell Elektro: ute og inne på ett halvår (Fjell Elektro)</t>
  </si>
  <si>
    <t xml:space="preserve">Læreboka</t>
  </si>
  <si>
    <t xml:space="preserve">Hjertnes, F.: Markedsføring, organisasjon og ledelse for LØM-emnet, 4. utgave, kapittel 11.</t>
  </si>
  <si>
    <t xml:space="preserve">Appen</t>
  </si>
  <si>
    <t xml:space="preserve">Organisasjon og ledelse kap. 11 → Øv → Klasseoppgaver gir fasit per deloppgave.</t>
  </si>
  <si>
    <t xml:space="preserve">A1 · Nordlys: 18 ansatte, men hvem bestemmer?</t>
  </si>
  <si>
    <t xml:space="preserve">25 minutter · Helst alene. Sammen med sidemannen eller flere hvis du vil. Ark og blyant, appen (PC eller mobil) eller læreboka.</t>
  </si>
  <si>
    <t xml:space="preserve">Kort oppsummert: Boka gir seks kjennetegn på en formell organisasjon: hierarkisk oppbygning, klare ansvars- og myndighetsforhold internt, detaljerte stillingsinstrukser, målstyring, kontrakter som spesifiserer rettigheter og plikter, og sanksjoner ved kontraktsbrudd. Uformelle organisasjoner, som familien, bridgeklubben og sangkoret, mangler disse kjennetegnene eller er mye mindre preget av dem; de bindes sammen av slektskap, tradisjoner, felles interesser og følelser. Antall ansatte står ikke på lista.</t>
  </si>
  <si>
    <t xml:space="preserve">Nordlys har vokst fra to personer i 2019 til 18 ansatte i tre avdelinger. Forrige måned skjedde tre ting: to montører bestilte materiell til samme jobb hos Polarlys uten at noen visste om det, en samsvarserklæring lå usignert i tre uker fordi ingen visste hvem som skulle signere, og lærlingen Sara Lien gjennomførte vernerunden fordi hun sto nærmest da spørsmålet kom. Tabellen viser hvordan Nordlys er organisert. Gå fram slik: tegn organisasjonskartet ut fra tabellen, gå gjennom bokas seks kjennetegn ett for ett, og spør for hver hendelse hvem som på forhånd hadde fått oppgaven.</t>
  </si>
  <si>
    <t xml:space="preserve">Hos Nordlys</t>
  </si>
  <si>
    <t xml:space="preserve">Slik er det i dag</t>
  </si>
  <si>
    <t xml:space="preserve">Ansatte</t>
  </si>
  <si>
    <t xml:space="preserve">18: 12 montører, 2 lærlinger, 4 i administrasjonen</t>
  </si>
  <si>
    <t xml:space="preserve">Service</t>
  </si>
  <si>
    <t xml:space="preserve">Tom (driftsleder): 4 montører, 1 lærling</t>
  </si>
  <si>
    <t xml:space="preserve">Prosjekt og nybygg</t>
  </si>
  <si>
    <t xml:space="preserve">Ronny (formann): 6 montører, 1 lærling</t>
  </si>
  <si>
    <t xml:space="preserve">Solcelle og lading</t>
  </si>
  <si>
    <t xml:space="preserve">2 montører, ingen leder; ringer Kari</t>
  </si>
  <si>
    <t xml:space="preserve">Ida (kalkulatør)</t>
  </si>
  <si>
    <t xml:space="preserve">Svarer til Kari</t>
  </si>
  <si>
    <t xml:space="preserve">Avtaler og instrukser</t>
  </si>
  <si>
    <t xml:space="preserve">Arbeidsavtale med alle; ingen stillingsinstrukser</t>
  </si>
  <si>
    <t xml:space="preserve">Mål</t>
  </si>
  <si>
    <t xml:space="preserve">Budsjett for 2027; ingen avdeling har eget mål</t>
  </si>
  <si>
    <t xml:space="preserve">Gule celler med spørsmålstegn kan du fylle inn selv mens du regner.</t>
  </si>
  <si>
    <t xml:space="preserve">Deloppgave</t>
  </si>
  <si>
    <t xml:space="preserve">Ditt svar</t>
  </si>
  <si>
    <t xml:space="preserve">Sjekk</t>
  </si>
  <si>
    <t xml:space="preserve">a)  Tegn organisasjonskartet ut fra tabellen. Hvor mange personer har Kari, som daglig leder, direkte under seg?</t>
  </si>
  <si>
    <t xml:space="preserve">Formel og begrep</t>
  </si>
  <si>
    <t xml:space="preserve">Linjeorganisasjon: hver ansatt har én overordnet, og kartet viser hvem som svarer til hvem (figur 11.1; kap. 14).</t>
  </si>
  <si>
    <t xml:space="preserve">b)  Gå gjennom fire av bokas seks kjennetegn på en formell organisasjon. Hvilke er helt på plass hos Nordlys? Svar ja eller nei for hvert, og begrunn med tabellen.</t>
  </si>
  <si>
    <t xml:space="preserve">      Kontrakter som spesifiserer rettigheter og plikter   (Ja eller Nei)</t>
  </si>
  <si>
    <t xml:space="preserve">      Detaljerte stillingsinstrukser   (Ja eller Nei)</t>
  </si>
  <si>
    <t xml:space="preserve">      Målstyring   (Ja eller Nei)</t>
  </si>
  <si>
    <t xml:space="preserve">      Hierarkisk oppbygning   (Ja eller Nei)</t>
  </si>
  <si>
    <t xml:space="preserve">c)  Dobbeltbestillingen, den usignerte samsvarserklæringen og vernerunden som havnet hos lærlingen: hva er den felles årsaken?   A: For få ansatte i forhold til oppdragsmengden   B: Ingen har fått ansvaret og myndigheten for oppgavene på forhånd   C: Montørene er for dårlig opplært   (skriv bokstaven)</t>
  </si>
  <si>
    <t xml:space="preserve">d)  Tom sier: «Vi er 18 ansatte, så da er vi en formell organisasjon.» Stemmer begrunnelsen?   A: Ja: over ti ansatte er alltid en formell organisasjon   B: Nei: det er kjennetegnene som avgjør, og antall ansatte står ikke på lista   C: Nei: et aksjeselskap kan aldri være formelt før det har stillingsinstrukser   (skriv bokstaven)</t>
  </si>
  <si>
    <t xml:space="preserve">e)  Kari vil rette opp etter de tre hendelsene, uten å ansette noen. Foreslå to tiltak hun bør gjøre først, si hvilket kjennetegn hvert tiltak gir innhold, og hva det koster.</t>
  </si>
  <si>
    <t xml:space="preserve">De seks kjennetegnene (Organisasjon og ledelse 11.1); i kap. 14 sier Fayol at ansvar og myndighet må stå i forhold til hverandre.</t>
  </si>
  <si>
    <t xml:space="preserve">Hint, hvis du står fast</t>
  </si>
  <si>
    <t xml:space="preserve">Tegn kartet først</t>
  </si>
  <si>
    <t xml:space="preserve">Sett Kari øverst. Hvem har en leder mellom seg og henne, og hvem har det ikke? Tell bare de som står rett under henne (slide 11).</t>
  </si>
  <si>
    <t xml:space="preserve">Hvem hadde fått oppgaven?</t>
  </si>
  <si>
    <t xml:space="preserve">Spør for hver hendelse: hvem hadde fått oppgaven på forhånd, skriftlig? Gå så gjennom de seks kjennetegnene (slide 10).</t>
  </si>
  <si>
    <t xml:space="preserve">Kilde: Hjertnes, F.: Markedsføring, organisasjon og ledelse for LØM-emnet, kap. 11.1 (formelle og uformelle organisasjoner, figur 11.1). Nordlys Elektro AS er en konstruert casebedrift.</t>
  </si>
  <si>
    <t xml:space="preserve">Regnearket er øvingsstøtte. Det kan ikke siteres eller vises til i besvarelser, prosjektoppgaver eller eksamen; der gjelder læreboka og oppgitte primærkilder.</t>
  </si>
  <si>
    <t xml:space="preserve">A2 · Fjell Elektro: tre i dag, fem neste år</t>
  </si>
  <si>
    <t xml:space="preserve">Kort oppsummert: En organisasjon er mennesker som arbeider sammen, i samspill med omgivelsene, for å nå mål effektivt gjennom arbeidsdeling og ved hjelp av ulike former for samordning, og som har til hensikt å bestå over tid (Sølvi Dahl, gjengitt i kap. 12). Formelle trekk er de nedskrevne: kontrakter, mål, over- og underordning, stillingsinstrukser. Uformelle trekk finnes i alle organisasjoner, og boka sier at formelle ordninger like gjerne kan bidra til økt effektivitet og trivsel.</t>
  </si>
  <si>
    <t xml:space="preserve">Fjell Elektro AS har gått et år. Mona Fjell er daglig leder og faglig ansvarlig, og har to montører med skriftlig arbeidsavtale. Hver morgen fordeler de tre jobbene over kaffen, og «alle gjør alt». Mona har satt som mål at Fjell skal ha 5 % av ladepunktene i boliger i Oslo øst, og hun følger det opp hver måned. Neste år vil hun ansette én lærling og én montør til. Gå fram slik: tell de mulige forbindelsene, sorter Fjells trekk i formelle og uformelle med bokas kjennetegn, og tenk gjennom hva som må skrives ned før to nye begynner.</t>
  </si>
  <si>
    <t xml:space="preserve">Forutsetning</t>
  </si>
  <si>
    <t xml:space="preserve">Verdi</t>
  </si>
  <si>
    <t xml:space="preserve">Folk i dag</t>
  </si>
  <si>
    <t xml:space="preserve">Mona (daglig leder, faglig ansvarlig) og 2 montører</t>
  </si>
  <si>
    <t xml:space="preserve">Neste år</t>
  </si>
  <si>
    <t xml:space="preserve">Én lærling og én montør til: 5 personer</t>
  </si>
  <si>
    <t xml:space="preserve">Avtaler</t>
  </si>
  <si>
    <t xml:space="preserve">Skriftlig arbeidsavtale med begge montørene</t>
  </si>
  <si>
    <t xml:space="preserve">5 % av ladepunktmarkedet, fulgt opp hver måned</t>
  </si>
  <si>
    <t xml:space="preserve">Arbeidsdeling</t>
  </si>
  <si>
    <t xml:space="preserve">Jobbene fordeles over kaffen hver morgen</t>
  </si>
  <si>
    <t xml:space="preserve">Instrukser</t>
  </si>
  <si>
    <t xml:space="preserve">Ingen; «alle gjør alt»</t>
  </si>
  <si>
    <t xml:space="preserve">Mulige forbindelser</t>
  </si>
  <si>
    <t xml:space="preserve">antall personer × (antall personer − 1) / 2</t>
  </si>
  <si>
    <t xml:space="preserve">a)  Med tre personer er det 3 mulige forbindelser. Hvor mange blir det når Fjell er fem personer? Bruk antall personer × (antall personer − 1) / 2.</t>
  </si>
  <si>
    <t xml:space="preserve">Mulige forbindelser = antall personer × (antall personer − 1) / 2. Det er en telleregel for antall mulige forbindelser mellom to personer, ikke en formel i boka. Den brukes til å vise hvorfor arbeidsdeling og samordning må bestemmes (definisjonen i kap. 12).</t>
  </si>
  <si>
    <t xml:space="preserve">b)  Hvilke av disse trekkene ved Fjell er formelle, etter bokas kjennetegn? Svar ja eller nei for hvert, og si hvilket kjennetegn de formelle hører til.</t>
  </si>
  <si>
    <t xml:space="preserve">      Skriftlig arbeidsavtale med montørene   (Ja eller Nei)</t>
  </si>
  <si>
    <t xml:space="preserve">      Målet om 5 %, fulgt opp hver måned   (Ja eller Nei)</t>
  </si>
  <si>
    <t xml:space="preserve">      Jobbene fordeles over kaffen   (Ja eller Nei)</t>
  </si>
  <si>
    <t xml:space="preserve">      Montørene svarer til Mona som daglig leder   (Ja eller Nei)</t>
  </si>
  <si>
    <t xml:space="preserve">      «Alle gjør alt»   (Ja eller Nei)</t>
  </si>
  <si>
    <t xml:space="preserve">c)  Er Fjell Elektro AS, med tre personer, en formell eller en uformell organisasjon?   A: Formell: den har flere av de seks kjennetegnene, selv om den er liten   B: Uformell: tre personer er for få til å være formelt   C: Uformell: de fordeler jobbene over kaffen   (skriv bokstaven)</t>
  </si>
  <si>
    <t xml:space="preserve">d)  Mona sier: «Hvis vi begynner å skrive instrukser, forsvinner det gode samholdet vi har.» Hva sier boka?   A: Riktig: formelle og uformelle trekk kan ikke finnes samtidig   B: Formelle ordninger kan like gjerne bidra til økt effektivitet og trivsel, og de uformelle trekkene finnes fortsatt   C: Samholdet er bare viktig i uformelle organisasjoner som familien   (skriv bokstaven)</t>
  </si>
  <si>
    <t xml:space="preserve">e)  Lærlingen og den nye montøren begynner neste år. Hvilke to ting bør Mona skrive ned før de begynner? Begrunn med bokas kjennetegn, og si hva hun bør beholde av det uformelle.</t>
  </si>
  <si>
    <t xml:space="preserve">De seks kjennetegnene (Organisasjon og ledelse 11.1), definisjonen med arbeidsdeling og samordning (kap. 12) og formelle og uformelle trekk (12.4).</t>
  </si>
  <si>
    <t xml:space="preserve">Telleregelen</t>
  </si>
  <si>
    <t xml:space="preserve">Ganger antall personer med én mindre, og del på 2, fordi samtalen mellom to bare telles én gang (slide 7).</t>
  </si>
  <si>
    <t xml:space="preserve">Skrevet ned eller avtalt muntlig?</t>
  </si>
  <si>
    <t xml:space="preserve">Det formelle er det som står i avtaler, mål og instrukser. Det uformelle er det som bare skjer. Størrelse er ikke et kjennetegn (slide 9–10).</t>
  </si>
  <si>
    <t xml:space="preserve">Kilde: Hjertnes, F.: Markedsføring, organisasjon og ledelse for LØM-emnet, kap. 11.1; definisjonen i kap. 12 (innledningen) og formelle og uformelle trekk i 12.4. Fjell Elektro AS er en konstruert casebedrift.</t>
  </si>
  <si>
    <t xml:space="preserve">B1 · Nordlys: én fredag, tre perspektiver</t>
  </si>
  <si>
    <t xml:space="preserve">Kort oppsummert: Boka gir tre bilder av organisasjonen. Som maskin: presisjon, tempo, regularitet og effektivitet, med rutiner, regler og prosedyrer som virkemidler (11.2). Som menneskelig fellesskap: ledelse, organisasjonskultur, motivasjon, kommunikasjon og konflikt, etter Hawthorne-eksperimentene (11.3). Som åpent, miljøavhengig system: bedriften henter produksjonsfaktorer fra omgivelsene og leverer ferdige produkter tilbake, og de fleste bedrifter kan best håpe på vellykket tilpasning (11.4).</t>
  </si>
  <si>
    <t xml:space="preserve">Et solcelleanlegg på et rekkehus skulle vært ferdig fredag. Vekselretteren ble bestilt hos Polarlys i mars, men leveringstiden har økt fra 6 til 14 uker. Montøren på taket ringer Kari fire ganger uten svar, fordi hun sitter i et anbudsmøte. Han sier ikke fra til Ronny, for solcelle er ikke Ronnys avdeling. Det finnes ingen rutine for hva montøren gjør når materiellet ikke kommer. Kunden får beskjed mandag. Gå fram slik: se på hendelsen med hvert av de tre perspektivene, og skill mellom det som ligger i omgivelsene og det Nordlys selv rår over.</t>
  </si>
  <si>
    <t xml:space="preserve">Hva</t>
  </si>
  <si>
    <t xml:space="preserve">Fredagen hos Nordlys</t>
  </si>
  <si>
    <t xml:space="preserve">Mars</t>
  </si>
  <si>
    <t xml:space="preserve">Vekselretter bestilt hos Polarlys</t>
  </si>
  <si>
    <t xml:space="preserve">Leveringstid</t>
  </si>
  <si>
    <t xml:space="preserve">Økt fra 6 til 14 uker</t>
  </si>
  <si>
    <t xml:space="preserve">Fredag</t>
  </si>
  <si>
    <t xml:space="preserve">Anlegget skulle vært ferdig</t>
  </si>
  <si>
    <t xml:space="preserve">Montøren</t>
  </si>
  <si>
    <t xml:space="preserve">Ringer Kari 4 ganger; hun er i møte</t>
  </si>
  <si>
    <t xml:space="preserve">Ronny</t>
  </si>
  <si>
    <t xml:space="preserve">Får ikke beskjed: «ikke hans avdeling»</t>
  </si>
  <si>
    <t xml:space="preserve">Rutine</t>
  </si>
  <si>
    <t xml:space="preserve">Ingen for materiell som ikke kommer</t>
  </si>
  <si>
    <t xml:space="preserve">Kunden</t>
  </si>
  <si>
    <t xml:space="preserve">Får beskjed mandag</t>
  </si>
  <si>
    <t xml:space="preserve">a)  Hvilke av disse forholdene ligger i omgivelsene, utenfor det Nordlys selv rår over? Svar ja eller nei for hvert.</t>
  </si>
  <si>
    <t xml:space="preserve">      Leveringstiden på 14 uker   (Ja eller Nei)</t>
  </si>
  <si>
    <t xml:space="preserve">      Når Nordlys bestilte vekselretteren   (Ja eller Nei)</t>
  </si>
  <si>
    <t xml:space="preserve">      At det ikke finnes rutine for manglende materiell   (Ja eller Nei)</t>
  </si>
  <si>
    <t xml:space="preserve">      At montøren ikke ringer Ronny   (Ja eller Nei)</t>
  </si>
  <si>
    <t xml:space="preserve">b)  Montøren ringer ikke Ronny, fordi solcelle «ikke er hans avdeling». Hvilket perspektiv forklarer dette best?   A: Organisasjonen som maskin   B: Organisasjonen som menneskelig fellesskap   C: Organisasjonen som åpent system   (skriv bokstaven)</t>
  </si>
  <si>
    <t xml:space="preserve">c)  Det finnes ingen rutine for hva montøren gjør når materiellet ikke kommer, og ingen sier hvem han ringer når Kari ikke svarer. Hvilket perspektiv ser dette?   A: Organisasjonen som maskin   B: Organisasjonen som menneskelig fellesskap   C: Organisasjonen som åpent system   (skriv bokstaven)</t>
  </si>
  <si>
    <t xml:space="preserve">d)  Kari sier: «Leveringstiden er Polarlys' sak. Der kan vi ikke gjøre noe.» Hva sier boka om forholdet til omgivelsene?   A: Riktig: omgivelsene er utenfor bedriften, så den kan bare vente   B: Bedriften kan presse leverandøren med markedsføring til å levere raskere   C: De fleste bedrifter er for små til å endre omgivelsene, men kan håpe på vellykket tilpasning, for eksempel å bestille tidligere   (skriv bokstaven)</t>
  </si>
  <si>
    <t xml:space="preserve">e)  Foreslå ett tiltak per perspektiv som kan gjøres uten å ansette noen. Ranger dem etter hva de koster, og si hvilket som virker allerede samme uke.</t>
  </si>
  <si>
    <t xml:space="preserve">De tre perspektivene (Organisasjon og ledelse 11.2–11.4).</t>
  </si>
  <si>
    <t xml:space="preserve">Rår Nordlys over det?</t>
  </si>
  <si>
    <t xml:space="preserve">Skill mellom det leverandøren bestemmer og det Nordlys bestemmer selv. Når de bestiller, er deres eget valg (slide 28).</t>
  </si>
  <si>
    <t xml:space="preserve">Rutine, norm eller omgivelser?</t>
  </si>
  <si>
    <t xml:space="preserve">Maskin ser etter rutinen. Fellesskapet ser etter normen. Åpent system ser etter det bedriften ikke rår over (slide 29).</t>
  </si>
  <si>
    <t xml:space="preserve">Kilde: Hjertnes, F.: Markedsføring, organisasjon og ledelse for LØM-emnet, kap. 11.2–11.4. Nordlys Elektro AS er en konstruert casebedrift.</t>
  </si>
  <si>
    <t xml:space="preserve">B2 · Fjell Elektro: ute og inne på ett halvår</t>
  </si>
  <si>
    <t xml:space="preserve">Kort oppsummert: Organisasjonen som åpent system lever i gjensidig avhengighet med omgivelsene: tilgang på råvarer, arbeidskraft og andre produksjonsfaktorer, moter og trender, kjøpekraft og etterspørsel fører til endringer i organisasjonen (11.4). Maskinperspektivet bruker rutiner, regler og prosedyrer, og boka sier at utfordringen har vært og fortsatt er å få arbeidsfellesskapet til å fungere med maskinens presisjon (11.2). Fellesskapsperspektivet ser behovene ut over de materielle; Hawthorne viste at oppmerksomhet betyr noe (11.3; 15.1).</t>
  </si>
  <si>
    <t xml:space="preserve">Fjell Elektro har gått et halvår til. En landsdekkende kjede annonserer 10 % lavere pris på ladeboks i Oslo øst. Grossisten har økt leveringstiden på sikringsskap fra 1 til 6 uker. Flere borettslag spør etter felles ladeanlegg. Den ene montøren sier: «Mona spør aldri hvordan det går med oss.» Den andre hopper over sjekklista før spenningssetting når det haster. Mona sier: «Rutiner er for store bedrifter. Vi er bare tre.» Gå fram slik: skill mellom det som skjer i omgivelsene og det som skjer inne i Fjell, og bruk perspektivene på hvert av dem.</t>
  </si>
  <si>
    <t xml:space="preserve">1 Konkurrent</t>
  </si>
  <si>
    <t xml:space="preserve">Landsdekkende kjede: 10 % lavere pris på ladeboks</t>
  </si>
  <si>
    <t xml:space="preserve">2 Grossisten</t>
  </si>
  <si>
    <t xml:space="preserve">Leveringstid på sikringsskap fra 1 til 6 uker</t>
  </si>
  <si>
    <t xml:space="preserve">3 Etterspørsel</t>
  </si>
  <si>
    <t xml:space="preserve">Flere borettslag vil ha felles ladeanlegg</t>
  </si>
  <si>
    <t xml:space="preserve">4 Montør 1</t>
  </si>
  <si>
    <t xml:space="preserve">«Mona spør aldri hvordan det går med oss»</t>
  </si>
  <si>
    <t xml:space="preserve">5 Montør 2</t>
  </si>
  <si>
    <t xml:space="preserve">Hopper over sjekklista når det haster</t>
  </si>
  <si>
    <t xml:space="preserve">6 Mona</t>
  </si>
  <si>
    <t xml:space="preserve">«Rutiner er for store bedrifter. Vi er bare tre.»</t>
  </si>
  <si>
    <t xml:space="preserve">a)  Hvilke av sak 1–5 er endringer i omgivelsene, og hvilke skjer inne i Fjell? Svar ja (omgivelsene) eller nei for hver.</t>
  </si>
  <si>
    <t xml:space="preserve">      1 Kjeden med lavere pris   (Ja eller Nei)</t>
  </si>
  <si>
    <t xml:space="preserve">      2 Lengre leveringstid   (Ja eller Nei)</t>
  </si>
  <si>
    <t xml:space="preserve">      3 Borettslag vil ha ladeanlegg   (Ja eller Nei)</t>
  </si>
  <si>
    <t xml:space="preserve">      4 Mona spør aldri   (Ja eller Nei)</t>
  </si>
  <si>
    <t xml:space="preserve">      5 Sjekklista hoppes over   (Ja eller Nei)</t>
  </si>
  <si>
    <t xml:space="preserve">b)  Montør 1 sier: «Mona spør aldri hvordan det går med oss.» Hva viste Hawthorne-eksperimentene som er relevant her?   A: At bedre lys gir bedre produktivitet   B: At produktiviteten steg uansett hva som ble endret, fordi arbeiderne fikk oppmerksomhet   C: At lønn er det eneste som motiverer   (skriv bokstaven)</t>
  </si>
  <si>
    <t xml:space="preserve">c)  Hva er det beste en liten bedrift som Fjell kan håpe på overfor endringer som sak 1–3, ifølge boka?   A: Å endre omgivelsene med markedsføring   B: Vellykket tilpasning   C: Å se bort fra dem, fordi de ligger utenfor bedriften   (skriv bokstaven)</t>
  </si>
  <si>
    <t xml:space="preserve">d)  Mona sier: «Rutiner er for store bedrifter. Vi er bare tre.» Stemmer det?   A: Ja: maskinperspektivet er gammeldags og gjelder bare fabrikker   B: Ja: med tre ansatte holder det å snakke sammen   C: Nei: rutiner, regler og prosedyrer er fortsatt virkemidler, og sjekklista før spenningssetting er en slik rutine   (skriv bokstaven)</t>
  </si>
  <si>
    <t xml:space="preserve">e)  Mona har én dag til ledelse neste uke. Foreslå ett tiltak per perspektiv, og si hvilket hun bør gjøre først og hvorfor.</t>
  </si>
  <si>
    <t xml:space="preserve">De tre perspektivene (Organisasjon og ledelse 11.2–11.4) og Hawthorne (15.1).</t>
  </si>
  <si>
    <t xml:space="preserve">Ute eller inne?</t>
  </si>
  <si>
    <t xml:space="preserve">Konkurrenter, leverandører og kunder er omgivelsene. Det montørene sier og gjør, skjer inne i Fjell (slide 28).</t>
  </si>
  <si>
    <t xml:space="preserve">Hawthorne og sjekklista</t>
  </si>
  <si>
    <t xml:space="preserve">Hawthorne handlet om oppmerksomhet, ikke om lys (slide 26). Sjekklista er en rutine, og rutiner er maskinperspektivets virkemiddel (slide 25).</t>
  </si>
  <si>
    <t xml:space="preserve">Kilde: Hjertnes, F.: Markedsføring, organisasjon og ledelse for LØM-emnet, kap. 11.2–11.4; Hawthorne i 15.1.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</si>
</sst>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9" t="s">
        <v>25</v>
      </c>
    </row>
    <row r="8" customFormat="false" ht="52.2" hidden="false" customHeight="false" outlineLevel="0" collapsed="false">
      <c r="A8" s="10" t="s">
        <v>26</v>
      </c>
      <c r="B8" s="11" t="s">
        <v>27</v>
      </c>
    </row>
    <row r="9" customFormat="false" ht="52.2" hidden="false" customHeight="false" outlineLevel="0" collapsed="false">
      <c r="A9" s="12" t="s">
        <v>28</v>
      </c>
      <c r="B9" s="13" t="s">
        <v>29</v>
      </c>
    </row>
    <row r="10" customFormat="false" ht="52.2" hidden="false" customHeight="false" outlineLevel="0" collapsed="false">
      <c r="A10" s="10" t="s">
        <v>30</v>
      </c>
      <c r="B10" s="11" t="s">
        <v>31</v>
      </c>
    </row>
    <row r="11" customFormat="false" ht="39.55" hidden="false" customHeight="false" outlineLevel="0" collapsed="false">
      <c r="A11" s="12" t="s">
        <v>32</v>
      </c>
      <c r="B11" s="13" t="s">
        <v>33</v>
      </c>
    </row>
    <row r="12" customFormat="false" ht="15" hidden="false" customHeight="false" outlineLevel="0" collapsed="false">
      <c r="A12" s="10" t="s">
        <v>34</v>
      </c>
      <c r="B12" s="11" t="s">
        <v>35</v>
      </c>
    </row>
    <row r="13" customFormat="false" ht="52.2" hidden="false" customHeight="false" outlineLevel="0" collapsed="false">
      <c r="A13" s="12" t="s">
        <v>36</v>
      </c>
      <c r="B13" s="13" t="s">
        <v>37</v>
      </c>
    </row>
    <row r="14" customFormat="false" ht="52.2" hidden="false" customHeight="false" outlineLevel="0" collapsed="false">
      <c r="A14" s="10" t="s">
        <v>38</v>
      </c>
      <c r="B14" s="11" t="s">
        <v>39</v>
      </c>
    </row>
    <row r="15" customFormat="false" ht="15" hidden="false" customHeight="true" outlineLevel="0" collapsed="false">
      <c r="A15" s="6" t="s">
        <v>40</v>
      </c>
      <c r="B15" s="6"/>
      <c r="C15" s="6"/>
      <c r="D15" s="6"/>
      <c r="E15" s="6"/>
      <c r="F15" s="6"/>
      <c r="G15" s="6"/>
    </row>
    <row r="17" customFormat="false" ht="15" hidden="false" customHeight="false" outlineLevel="0" collapsed="false">
      <c r="A17" s="14" t="s">
        <v>41</v>
      </c>
      <c r="B17" s="14"/>
      <c r="C17" s="14"/>
      <c r="D17" s="14"/>
      <c r="E17" s="14"/>
      <c r="F17" s="14" t="s">
        <v>42</v>
      </c>
      <c r="G17" s="14" t="s">
        <v>43</v>
      </c>
    </row>
    <row r="18" customFormat="false" ht="33.75" hidden="false" customHeight="true" outlineLevel="0" collapsed="false">
      <c r="A18" s="7" t="s">
        <v>44</v>
      </c>
      <c r="B18" s="7"/>
      <c r="C18" s="7"/>
      <c r="D18" s="7"/>
      <c r="E18" s="7"/>
      <c r="F18" s="15"/>
      <c r="G18" s="16" t="str">
        <f aca="false">IF(F18="","",IF(ABS(F18-(5))&lt;=0.000000001,"Riktig","Prøv igjen"))</f>
        <v/>
      </c>
    </row>
    <row r="19" customFormat="false" ht="30" hidden="false" customHeight="true" outlineLevel="0" collapsed="false">
      <c r="A19" s="17" t="s">
        <v>45</v>
      </c>
      <c r="B19" s="18" t="s">
        <v>46</v>
      </c>
      <c r="C19" s="18"/>
      <c r="D19" s="18"/>
      <c r="E19" s="18"/>
      <c r="F19" s="18"/>
      <c r="G19" s="18"/>
    </row>
    <row r="21" customFormat="false" ht="33.75" hidden="false" customHeight="true" outlineLevel="0" collapsed="false">
      <c r="A21" s="7" t="s">
        <v>47</v>
      </c>
      <c r="B21" s="7"/>
      <c r="C21" s="7"/>
      <c r="D21" s="7"/>
      <c r="E21" s="7"/>
    </row>
    <row r="22" customFormat="false" ht="15" hidden="false" customHeight="true" outlineLevel="0" collapsed="false">
      <c r="A22" s="7" t="s">
        <v>48</v>
      </c>
      <c r="B22" s="7"/>
      <c r="C22" s="7"/>
      <c r="D22" s="7"/>
      <c r="E22" s="7"/>
      <c r="F22" s="19"/>
      <c r="G22" s="16" t="str">
        <f aca="false">IF(F22="","",IF(UPPER(TRIM(F22))="JA","Riktig","Prøv igjen"))</f>
        <v/>
      </c>
    </row>
    <row r="23" customFormat="false" ht="15" hidden="false" customHeight="true" outlineLevel="0" collapsed="false">
      <c r="A23" s="7" t="s">
        <v>49</v>
      </c>
      <c r="B23" s="7"/>
      <c r="C23" s="7"/>
      <c r="D23" s="7"/>
      <c r="E23" s="7"/>
      <c r="F23" s="19"/>
      <c r="G23" s="16" t="str">
        <f aca="false">IF(F23="","",IF(UPPER(TRIM(F23))="NEI","Riktig","Prøv igjen"))</f>
        <v/>
      </c>
    </row>
    <row r="24" customFormat="false" ht="15" hidden="false" customHeight="true" outlineLevel="0" collapsed="false">
      <c r="A24" s="7" t="s">
        <v>50</v>
      </c>
      <c r="B24" s="7"/>
      <c r="C24" s="7"/>
      <c r="D24" s="7"/>
      <c r="E24" s="7"/>
      <c r="F24" s="19"/>
      <c r="G24" s="16" t="str">
        <f aca="false">IF(F24="","",IF(UPPER(TRIM(F24))="NEI","Riktig","Prøv igjen"))</f>
        <v/>
      </c>
    </row>
    <row r="25" customFormat="false" ht="15" hidden="false" customHeight="true" outlineLevel="0" collapsed="false">
      <c r="A25" s="7" t="s">
        <v>51</v>
      </c>
      <c r="B25" s="7"/>
      <c r="C25" s="7"/>
      <c r="D25" s="7"/>
      <c r="E25" s="7"/>
      <c r="F25" s="19"/>
      <c r="G25" s="16" t="str">
        <f aca="false">IF(F25="","",IF(UPPER(TRIM(F25))="NEI","Riktig","Prøv igjen"))</f>
        <v/>
      </c>
    </row>
    <row r="26" customFormat="false" ht="63.75" hidden="false" customHeight="true" outlineLevel="0" collapsed="false">
      <c r="A26" s="7" t="s">
        <v>52</v>
      </c>
      <c r="B26" s="7"/>
      <c r="C26" s="7"/>
      <c r="D26" s="7"/>
      <c r="E26" s="7"/>
      <c r="F26" s="19"/>
      <c r="G26" s="16" t="str">
        <f aca="false">IF(F26="","",IF(UPPER(TRIM(F26))="B","Riktig","Prøv igjen"))</f>
        <v/>
      </c>
    </row>
    <row r="27" customFormat="false" ht="63.75" hidden="false" customHeight="true" outlineLevel="0" collapsed="false">
      <c r="A27" s="7" t="s">
        <v>53</v>
      </c>
      <c r="B27" s="7"/>
      <c r="C27" s="7"/>
      <c r="D27" s="7"/>
      <c r="E27" s="7"/>
      <c r="F27" s="19"/>
      <c r="G27" s="16" t="str">
        <f aca="false">IF(F27="","",IF(UPPER(TRIM(F27))="B","Riktig","Prøv igjen"))</f>
        <v/>
      </c>
    </row>
    <row r="28" customFormat="false" ht="33.75" hidden="false" customHeight="true" outlineLevel="0" collapsed="false">
      <c r="A28" s="7" t="s">
        <v>54</v>
      </c>
      <c r="B28" s="7"/>
      <c r="C28" s="7"/>
      <c r="D28" s="7"/>
      <c r="E28" s="7"/>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30" hidden="false" customHeight="true" outlineLevel="0" collapsed="false">
      <c r="A32" s="17" t="s">
        <v>45</v>
      </c>
      <c r="B32" s="18" t="s">
        <v>55</v>
      </c>
      <c r="C32" s="18"/>
      <c r="D32" s="18"/>
      <c r="E32" s="18"/>
      <c r="F32" s="18"/>
      <c r="G32" s="18"/>
    </row>
    <row r="35" customFormat="false" ht="15" hidden="false" customHeight="false" outlineLevel="0" collapsed="false">
      <c r="A35" s="21" t="s">
        <v>56</v>
      </c>
      <c r="B35" s="21"/>
      <c r="C35" s="21"/>
      <c r="D35" s="21"/>
      <c r="E35" s="21"/>
      <c r="F35" s="21"/>
      <c r="G35" s="21"/>
    </row>
    <row r="36" customFormat="false" ht="30" hidden="false" customHeight="true" outlineLevel="0" collapsed="false">
      <c r="A36" s="22" t="s">
        <v>57</v>
      </c>
      <c r="B36" s="23" t="s">
        <v>58</v>
      </c>
      <c r="C36" s="23"/>
      <c r="D36" s="23"/>
      <c r="E36" s="23"/>
      <c r="F36" s="23"/>
      <c r="G36" s="23"/>
    </row>
    <row r="37" customFormat="false" ht="30" hidden="false" customHeight="true" outlineLevel="0" collapsed="false">
      <c r="A37" s="22" t="s">
        <v>59</v>
      </c>
      <c r="B37" s="23" t="s">
        <v>60</v>
      </c>
      <c r="C37" s="23"/>
      <c r="D37" s="23"/>
      <c r="E37" s="23"/>
      <c r="F37" s="23"/>
      <c r="G37" s="23"/>
    </row>
    <row r="39" customFormat="false" ht="33.75" hidden="false" customHeight="true" outlineLevel="0" collapsed="false">
      <c r="A39" s="6" t="s">
        <v>61</v>
      </c>
      <c r="B39" s="6"/>
      <c r="C39" s="6"/>
      <c r="D39" s="6"/>
      <c r="E39" s="6"/>
      <c r="F39" s="6"/>
      <c r="G39" s="6"/>
    </row>
    <row r="40" customFormat="false" ht="15" hidden="false" customHeight="true" outlineLevel="0" collapsed="false">
      <c r="A40" s="6" t="s">
        <v>62</v>
      </c>
      <c r="B40" s="6"/>
      <c r="C40" s="6"/>
      <c r="D40" s="6"/>
      <c r="E40" s="6"/>
      <c r="F40" s="6"/>
      <c r="G40" s="6"/>
    </row>
  </sheetData>
  <mergeCells count="21">
    <mergeCell ref="A4:G4"/>
    <mergeCell ref="A5:G5"/>
    <mergeCell ref="A15:G15"/>
    <mergeCell ref="A17:E17"/>
    <mergeCell ref="A18:E18"/>
    <mergeCell ref="B19:G19"/>
    <mergeCell ref="A21:E21"/>
    <mergeCell ref="A22:E22"/>
    <mergeCell ref="A23:E23"/>
    <mergeCell ref="A24:E24"/>
    <mergeCell ref="A25:E25"/>
    <mergeCell ref="A26:E26"/>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63</v>
      </c>
    </row>
    <row r="2" customFormat="false" ht="15" hidden="false" customHeight="false" outlineLevel="0" collapsed="false">
      <c r="A2" s="2" t="s">
        <v>21</v>
      </c>
    </row>
    <row r="4" customFormat="false" ht="78.75" hidden="false" customHeight="true" outlineLevel="0" collapsed="false">
      <c r="A4" s="6" t="s">
        <v>64</v>
      </c>
      <c r="B4" s="6"/>
      <c r="C4" s="6"/>
      <c r="D4" s="6"/>
      <c r="E4" s="6"/>
      <c r="F4" s="6"/>
      <c r="G4" s="6"/>
    </row>
    <row r="5" customFormat="false" ht="78.75" hidden="false" customHeight="true" outlineLevel="0" collapsed="false">
      <c r="A5" s="7" t="s">
        <v>65</v>
      </c>
      <c r="B5" s="7"/>
      <c r="C5" s="7"/>
      <c r="D5" s="7"/>
      <c r="E5" s="7"/>
      <c r="F5" s="7"/>
      <c r="G5" s="7"/>
    </row>
    <row r="7" customFormat="false" ht="15" hidden="false" customHeight="false" outlineLevel="0" collapsed="false">
      <c r="A7" s="14" t="s">
        <v>66</v>
      </c>
      <c r="B7" s="14" t="s">
        <v>67</v>
      </c>
      <c r="C7" s="14"/>
      <c r="D7" s="14"/>
      <c r="E7" s="14"/>
      <c r="F7" s="14"/>
      <c r="G7" s="14"/>
    </row>
    <row r="8" customFormat="false" ht="18.75" hidden="false" customHeight="true" outlineLevel="0" collapsed="false">
      <c r="A8" s="24" t="s">
        <v>68</v>
      </c>
      <c r="B8" s="7" t="s">
        <v>69</v>
      </c>
      <c r="C8" s="7"/>
      <c r="D8" s="7"/>
      <c r="E8" s="7"/>
      <c r="F8" s="7"/>
      <c r="G8" s="7"/>
    </row>
    <row r="9" customFormat="false" ht="18.75" hidden="false" customHeight="true" outlineLevel="0" collapsed="false">
      <c r="A9" s="24" t="s">
        <v>70</v>
      </c>
      <c r="B9" s="7" t="s">
        <v>71</v>
      </c>
      <c r="C9" s="7"/>
      <c r="D9" s="7"/>
      <c r="E9" s="7"/>
      <c r="F9" s="7"/>
      <c r="G9" s="7"/>
    </row>
    <row r="10" customFormat="false" ht="18.75" hidden="false" customHeight="true" outlineLevel="0" collapsed="false">
      <c r="A10" s="24" t="s">
        <v>72</v>
      </c>
      <c r="B10" s="7" t="s">
        <v>73</v>
      </c>
      <c r="C10" s="7"/>
      <c r="D10" s="7"/>
      <c r="E10" s="7"/>
      <c r="F10" s="7"/>
      <c r="G10" s="7"/>
    </row>
    <row r="11" customFormat="false" ht="18.75" hidden="false" customHeight="true" outlineLevel="0" collapsed="false">
      <c r="A11" s="24" t="s">
        <v>38</v>
      </c>
      <c r="B11" s="7" t="s">
        <v>74</v>
      </c>
      <c r="C11" s="7"/>
      <c r="D11" s="7"/>
      <c r="E11" s="7"/>
      <c r="F11" s="7"/>
      <c r="G11" s="7"/>
    </row>
    <row r="12" customFormat="false" ht="18.75" hidden="false" customHeight="true" outlineLevel="0" collapsed="false">
      <c r="A12" s="24" t="s">
        <v>75</v>
      </c>
      <c r="B12" s="7" t="s">
        <v>76</v>
      </c>
      <c r="C12" s="7"/>
      <c r="D12" s="7"/>
      <c r="E12" s="7"/>
      <c r="F12" s="7"/>
      <c r="G12" s="7"/>
    </row>
    <row r="13" customFormat="false" ht="18.75" hidden="false" customHeight="true" outlineLevel="0" collapsed="false">
      <c r="A13" s="24" t="s">
        <v>77</v>
      </c>
      <c r="B13" s="7" t="s">
        <v>78</v>
      </c>
      <c r="C13" s="7"/>
      <c r="D13" s="7"/>
      <c r="E13" s="7"/>
      <c r="F13" s="7"/>
      <c r="G13" s="7"/>
    </row>
    <row r="14" customFormat="false" ht="18.75" hidden="false" customHeight="true" outlineLevel="0" collapsed="false">
      <c r="A14" s="24" t="s">
        <v>79</v>
      </c>
      <c r="B14" s="7" t="s">
        <v>80</v>
      </c>
      <c r="C14" s="7"/>
      <c r="D14" s="7"/>
      <c r="E14" s="7"/>
      <c r="F14" s="7"/>
      <c r="G14" s="7"/>
    </row>
    <row r="16" customFormat="false" ht="15" hidden="false" customHeight="false" outlineLevel="0" collapsed="false">
      <c r="A16" s="14" t="s">
        <v>41</v>
      </c>
      <c r="B16" s="14"/>
      <c r="C16" s="14"/>
      <c r="D16" s="14"/>
      <c r="E16" s="14"/>
      <c r="F16" s="14" t="s">
        <v>42</v>
      </c>
      <c r="G16" s="14" t="s">
        <v>43</v>
      </c>
    </row>
    <row r="17" customFormat="false" ht="33.75" hidden="false" customHeight="true" outlineLevel="0" collapsed="false">
      <c r="A17" s="7" t="s">
        <v>81</v>
      </c>
      <c r="B17" s="7"/>
      <c r="C17" s="7"/>
      <c r="D17" s="7"/>
      <c r="E17" s="7"/>
      <c r="F17" s="15"/>
      <c r="G17" s="16" t="str">
        <f aca="false">IF(F17="","",IF(ABS(F17-(10))&lt;=0.000000001,"Riktig","Prøv igjen"))</f>
        <v/>
      </c>
    </row>
    <row r="18" customFormat="false" ht="42.75" hidden="false" customHeight="true" outlineLevel="0" collapsed="false">
      <c r="A18" s="17" t="s">
        <v>45</v>
      </c>
      <c r="B18" s="18" t="s">
        <v>82</v>
      </c>
      <c r="C18" s="18"/>
      <c r="D18" s="18"/>
      <c r="E18" s="18"/>
      <c r="F18" s="18"/>
      <c r="G18" s="18"/>
    </row>
    <row r="20" customFormat="false" ht="33.75" hidden="false" customHeight="true" outlineLevel="0" collapsed="false">
      <c r="A20" s="7" t="s">
        <v>83</v>
      </c>
      <c r="B20" s="7"/>
      <c r="C20" s="7"/>
      <c r="D20" s="7"/>
      <c r="E20" s="7"/>
    </row>
    <row r="21" customFormat="false" ht="15" hidden="false" customHeight="true" outlineLevel="0" collapsed="false">
      <c r="A21" s="7" t="s">
        <v>84</v>
      </c>
      <c r="B21" s="7"/>
      <c r="C21" s="7"/>
      <c r="D21" s="7"/>
      <c r="E21" s="7"/>
      <c r="F21" s="19"/>
      <c r="G21" s="16" t="str">
        <f aca="false">IF(F21="","",IF(UPPER(TRIM(F21))="JA","Riktig","Prøv igjen"))</f>
        <v/>
      </c>
    </row>
    <row r="22" customFormat="false" ht="15" hidden="false" customHeight="true" outlineLevel="0" collapsed="false">
      <c r="A22" s="7" t="s">
        <v>85</v>
      </c>
      <c r="B22" s="7"/>
      <c r="C22" s="7"/>
      <c r="D22" s="7"/>
      <c r="E22" s="7"/>
      <c r="F22" s="19"/>
      <c r="G22" s="16" t="str">
        <f aca="false">IF(F22="","",IF(UPPER(TRIM(F22))="JA","Riktig","Prøv igjen"))</f>
        <v/>
      </c>
    </row>
    <row r="23" customFormat="false" ht="15" hidden="false" customHeight="true" outlineLevel="0" collapsed="false">
      <c r="A23" s="7" t="s">
        <v>86</v>
      </c>
      <c r="B23" s="7"/>
      <c r="C23" s="7"/>
      <c r="D23" s="7"/>
      <c r="E23" s="7"/>
      <c r="F23" s="19"/>
      <c r="G23" s="16" t="str">
        <f aca="false">IF(F23="","",IF(UPPER(TRIM(F23))="NEI","Riktig","Prøv igjen"))</f>
        <v/>
      </c>
    </row>
    <row r="24" customFormat="false" ht="15" hidden="false" customHeight="true" outlineLevel="0" collapsed="false">
      <c r="A24" s="7" t="s">
        <v>87</v>
      </c>
      <c r="B24" s="7"/>
      <c r="C24" s="7"/>
      <c r="D24" s="7"/>
      <c r="E24" s="7"/>
      <c r="F24" s="19"/>
      <c r="G24" s="16" t="str">
        <f aca="false">IF(F24="","",IF(UPPER(TRIM(F24))="JA","Riktig","Prøv igjen"))</f>
        <v/>
      </c>
    </row>
    <row r="25" customFormat="false" ht="15" hidden="false" customHeight="true" outlineLevel="0" collapsed="false">
      <c r="A25" s="7" t="s">
        <v>88</v>
      </c>
      <c r="B25" s="7"/>
      <c r="C25" s="7"/>
      <c r="D25" s="7"/>
      <c r="E25" s="7"/>
      <c r="F25" s="19"/>
      <c r="G25" s="16" t="str">
        <f aca="false">IF(F25="","",IF(UPPER(TRIM(F25))="NEI","Riktig","Prøv igjen"))</f>
        <v/>
      </c>
    </row>
    <row r="26" customFormat="false" ht="48.75" hidden="false" customHeight="true" outlineLevel="0" collapsed="false">
      <c r="A26" s="7" t="s">
        <v>89</v>
      </c>
      <c r="B26" s="7"/>
      <c r="C26" s="7"/>
      <c r="D26" s="7"/>
      <c r="E26" s="7"/>
      <c r="F26" s="19"/>
      <c r="G26" s="16" t="str">
        <f aca="false">IF(F26="","",IF(UPPER(TRIM(F26))="A","Riktig","Prøv igjen"))</f>
        <v/>
      </c>
    </row>
    <row r="27" customFormat="false" ht="78.75" hidden="false" customHeight="true" outlineLevel="0" collapsed="false">
      <c r="A27" s="7" t="s">
        <v>90</v>
      </c>
      <c r="B27" s="7"/>
      <c r="C27" s="7"/>
      <c r="D27" s="7"/>
      <c r="E27" s="7"/>
      <c r="F27" s="19"/>
      <c r="G27" s="16" t="str">
        <f aca="false">IF(F27="","",IF(UPPER(TRIM(F27))="B","Riktig","Prøv igjen"))</f>
        <v/>
      </c>
    </row>
    <row r="28" customFormat="false" ht="33.75" hidden="false" customHeight="true" outlineLevel="0" collapsed="false">
      <c r="A28" s="7" t="s">
        <v>91</v>
      </c>
      <c r="B28" s="7"/>
      <c r="C28" s="7"/>
      <c r="D28" s="7"/>
      <c r="E28" s="7"/>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30" hidden="false" customHeight="true" outlineLevel="0" collapsed="false">
      <c r="A32" s="17" t="s">
        <v>45</v>
      </c>
      <c r="B32" s="18" t="s">
        <v>92</v>
      </c>
      <c r="C32" s="18"/>
      <c r="D32" s="18"/>
      <c r="E32" s="18"/>
      <c r="F32" s="18"/>
      <c r="G32" s="18"/>
    </row>
    <row r="35" customFormat="false" ht="15" hidden="false" customHeight="false" outlineLevel="0" collapsed="false">
      <c r="A35" s="21" t="s">
        <v>56</v>
      </c>
      <c r="B35" s="21"/>
      <c r="C35" s="21"/>
      <c r="D35" s="21"/>
      <c r="E35" s="21"/>
      <c r="F35" s="21"/>
      <c r="G35" s="21"/>
    </row>
    <row r="36" customFormat="false" ht="30" hidden="false" customHeight="true" outlineLevel="0" collapsed="false">
      <c r="A36" s="22" t="s">
        <v>93</v>
      </c>
      <c r="B36" s="23" t="s">
        <v>94</v>
      </c>
      <c r="C36" s="23"/>
      <c r="D36" s="23"/>
      <c r="E36" s="23"/>
      <c r="F36" s="23"/>
      <c r="G36" s="23"/>
    </row>
    <row r="37" customFormat="false" ht="30" hidden="false" customHeight="true" outlineLevel="0" collapsed="false">
      <c r="A37" s="22" t="s">
        <v>95</v>
      </c>
      <c r="B37" s="23" t="s">
        <v>96</v>
      </c>
      <c r="C37" s="23"/>
      <c r="D37" s="23"/>
      <c r="E37" s="23"/>
      <c r="F37" s="23"/>
      <c r="G37" s="23"/>
    </row>
    <row r="39" customFormat="false" ht="33.75" hidden="false" customHeight="true" outlineLevel="0" collapsed="false">
      <c r="A39" s="6" t="s">
        <v>97</v>
      </c>
      <c r="B39" s="6"/>
      <c r="C39" s="6"/>
      <c r="D39" s="6"/>
      <c r="E39" s="6"/>
      <c r="F39" s="6"/>
      <c r="G39" s="6"/>
    </row>
    <row r="40" customFormat="false" ht="15" hidden="false" customHeight="true" outlineLevel="0" collapsed="false">
      <c r="A40" s="6" t="s">
        <v>62</v>
      </c>
      <c r="B40" s="6"/>
      <c r="C40" s="6"/>
      <c r="D40" s="6"/>
      <c r="E40" s="6"/>
      <c r="F40" s="6"/>
      <c r="G40" s="6"/>
    </row>
  </sheetData>
  <mergeCells count="29">
    <mergeCell ref="A4:G4"/>
    <mergeCell ref="A5:G5"/>
    <mergeCell ref="B7:G7"/>
    <mergeCell ref="B8:G8"/>
    <mergeCell ref="B9:G9"/>
    <mergeCell ref="B10:G10"/>
    <mergeCell ref="B11:G11"/>
    <mergeCell ref="B12:G12"/>
    <mergeCell ref="B13:G13"/>
    <mergeCell ref="B14:G14"/>
    <mergeCell ref="A16:E16"/>
    <mergeCell ref="A17:E17"/>
    <mergeCell ref="B18:G18"/>
    <mergeCell ref="A20:E20"/>
    <mergeCell ref="A21:E21"/>
    <mergeCell ref="A22:E22"/>
    <mergeCell ref="A23:E23"/>
    <mergeCell ref="A24:E24"/>
    <mergeCell ref="A25:E25"/>
    <mergeCell ref="A26:E26"/>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98</v>
      </c>
    </row>
    <row r="2" customFormat="false" ht="15" hidden="false" customHeight="false" outlineLevel="0" collapsed="false">
      <c r="A2" s="2" t="s">
        <v>21</v>
      </c>
    </row>
    <row r="4" customFormat="false" ht="78.75" hidden="false" customHeight="true" outlineLevel="0" collapsed="false">
      <c r="A4" s="6" t="s">
        <v>99</v>
      </c>
      <c r="B4" s="6"/>
      <c r="C4" s="6"/>
      <c r="D4" s="6"/>
      <c r="E4" s="6"/>
      <c r="F4" s="6"/>
      <c r="G4" s="6"/>
    </row>
    <row r="5" customFormat="false" ht="78.75" hidden="false" customHeight="true" outlineLevel="0" collapsed="false">
      <c r="A5" s="7" t="s">
        <v>100</v>
      </c>
      <c r="B5" s="7"/>
      <c r="C5" s="7"/>
      <c r="D5" s="7"/>
      <c r="E5" s="7"/>
      <c r="F5" s="7"/>
      <c r="G5" s="7"/>
    </row>
    <row r="7" customFormat="false" ht="26.85" hidden="false" customHeight="false" outlineLevel="0" collapsed="false">
      <c r="A7" s="8" t="s">
        <v>101</v>
      </c>
      <c r="B7" s="9" t="s">
        <v>102</v>
      </c>
    </row>
    <row r="8" customFormat="false" ht="39.55" hidden="false" customHeight="false" outlineLevel="0" collapsed="false">
      <c r="A8" s="10" t="s">
        <v>103</v>
      </c>
      <c r="B8" s="11" t="s">
        <v>104</v>
      </c>
    </row>
    <row r="9" customFormat="false" ht="26.85" hidden="false" customHeight="false" outlineLevel="0" collapsed="false">
      <c r="A9" s="12" t="s">
        <v>105</v>
      </c>
      <c r="B9" s="13" t="s">
        <v>106</v>
      </c>
    </row>
    <row r="10" customFormat="false" ht="26.85" hidden="false" customHeight="false" outlineLevel="0" collapsed="false">
      <c r="A10" s="10" t="s">
        <v>107</v>
      </c>
      <c r="B10" s="11" t="s">
        <v>108</v>
      </c>
    </row>
    <row r="11" customFormat="false" ht="39.55" hidden="false" customHeight="false" outlineLevel="0" collapsed="false">
      <c r="A11" s="12" t="s">
        <v>109</v>
      </c>
      <c r="B11" s="13" t="s">
        <v>110</v>
      </c>
    </row>
    <row r="12" customFormat="false" ht="39.55" hidden="false" customHeight="false" outlineLevel="0" collapsed="false">
      <c r="A12" s="10" t="s">
        <v>111</v>
      </c>
      <c r="B12" s="11" t="s">
        <v>112</v>
      </c>
    </row>
    <row r="13" customFormat="false" ht="39.55" hidden="false" customHeight="false" outlineLevel="0" collapsed="false">
      <c r="A13" s="12" t="s">
        <v>113</v>
      </c>
      <c r="B13" s="13" t="s">
        <v>114</v>
      </c>
    </row>
    <row r="14" customFormat="false" ht="26.85" hidden="false" customHeight="false" outlineLevel="0" collapsed="false">
      <c r="A14" s="10" t="s">
        <v>115</v>
      </c>
      <c r="B14" s="11" t="s">
        <v>116</v>
      </c>
    </row>
    <row r="15" customFormat="false" ht="15" hidden="false" customHeight="true" outlineLevel="0" collapsed="false">
      <c r="A15" s="6" t="s">
        <v>40</v>
      </c>
      <c r="B15" s="6"/>
      <c r="C15" s="6"/>
      <c r="D15" s="6"/>
      <c r="E15" s="6"/>
      <c r="F15" s="6"/>
      <c r="G15" s="6"/>
    </row>
    <row r="17" customFormat="false" ht="15" hidden="false" customHeight="false" outlineLevel="0" collapsed="false">
      <c r="A17" s="14" t="s">
        <v>41</v>
      </c>
      <c r="B17" s="14"/>
      <c r="C17" s="14"/>
      <c r="D17" s="14"/>
      <c r="E17" s="14"/>
      <c r="F17" s="14" t="s">
        <v>42</v>
      </c>
      <c r="G17" s="14" t="s">
        <v>43</v>
      </c>
    </row>
    <row r="18" customFormat="false" ht="33.75" hidden="false" customHeight="true" outlineLevel="0" collapsed="false">
      <c r="A18" s="7" t="s">
        <v>117</v>
      </c>
      <c r="B18" s="7"/>
      <c r="C18" s="7"/>
      <c r="D18" s="7"/>
      <c r="E18" s="7"/>
    </row>
    <row r="19" customFormat="false" ht="15" hidden="false" customHeight="true" outlineLevel="0" collapsed="false">
      <c r="A19" s="7" t="s">
        <v>118</v>
      </c>
      <c r="B19" s="7"/>
      <c r="C19" s="7"/>
      <c r="D19" s="7"/>
      <c r="E19" s="7"/>
      <c r="F19" s="19"/>
      <c r="G19" s="16" t="str">
        <f aca="false">IF(F19="","",IF(UPPER(TRIM(F19))="JA","Riktig","Prøv igjen"))</f>
        <v/>
      </c>
    </row>
    <row r="20" customFormat="false" ht="15" hidden="false" customHeight="true" outlineLevel="0" collapsed="false">
      <c r="A20" s="7" t="s">
        <v>119</v>
      </c>
      <c r="B20" s="7"/>
      <c r="C20" s="7"/>
      <c r="D20" s="7"/>
      <c r="E20" s="7"/>
      <c r="F20" s="19"/>
      <c r="G20" s="16" t="str">
        <f aca="false">IF(F20="","",IF(UPPER(TRIM(F20))="NEI","Riktig","Prøv igjen"))</f>
        <v/>
      </c>
    </row>
    <row r="21" customFormat="false" ht="15" hidden="false" customHeight="true" outlineLevel="0" collapsed="false">
      <c r="A21" s="7" t="s">
        <v>120</v>
      </c>
      <c r="B21" s="7"/>
      <c r="C21" s="7"/>
      <c r="D21" s="7"/>
      <c r="E21" s="7"/>
      <c r="F21" s="19"/>
      <c r="G21" s="16" t="str">
        <f aca="false">IF(F21="","",IF(UPPER(TRIM(F21))="NEI","Riktig","Prøv igjen"))</f>
        <v/>
      </c>
    </row>
    <row r="22" customFormat="false" ht="15" hidden="false" customHeight="true" outlineLevel="0" collapsed="false">
      <c r="A22" s="7" t="s">
        <v>121</v>
      </c>
      <c r="B22" s="7"/>
      <c r="C22" s="7"/>
      <c r="D22" s="7"/>
      <c r="E22" s="7"/>
      <c r="F22" s="19"/>
      <c r="G22" s="16" t="str">
        <f aca="false">IF(F22="","",IF(UPPER(TRIM(F22))="NEI","Riktig","Prøv igjen"))</f>
        <v/>
      </c>
    </row>
    <row r="23" customFormat="false" ht="48.75" hidden="false" customHeight="true" outlineLevel="0" collapsed="false">
      <c r="A23" s="7" t="s">
        <v>122</v>
      </c>
      <c r="B23" s="7"/>
      <c r="C23" s="7"/>
      <c r="D23" s="7"/>
      <c r="E23" s="7"/>
      <c r="F23" s="19"/>
      <c r="G23" s="16" t="str">
        <f aca="false">IF(F23="","",IF(UPPER(TRIM(F23))="B","Riktig","Prøv igjen"))</f>
        <v/>
      </c>
    </row>
    <row r="24" customFormat="false" ht="63.75" hidden="false" customHeight="true" outlineLevel="0" collapsed="false">
      <c r="A24" s="7" t="s">
        <v>123</v>
      </c>
      <c r="B24" s="7"/>
      <c r="C24" s="7"/>
      <c r="D24" s="7"/>
      <c r="E24" s="7"/>
      <c r="F24" s="19"/>
      <c r="G24" s="16" t="str">
        <f aca="false">IF(F24="","",IF(UPPER(TRIM(F24))="A","Riktig","Prøv igjen"))</f>
        <v/>
      </c>
    </row>
    <row r="25" customFormat="false" ht="78.75" hidden="false" customHeight="true" outlineLevel="0" collapsed="false">
      <c r="A25" s="7" t="s">
        <v>124</v>
      </c>
      <c r="B25" s="7"/>
      <c r="C25" s="7"/>
      <c r="D25" s="7"/>
      <c r="E25" s="7"/>
      <c r="F25" s="19"/>
      <c r="G25" s="16" t="str">
        <f aca="false">IF(F25="","",IF(UPPER(TRIM(F25))="C","Riktig","Prøv igjen"))</f>
        <v/>
      </c>
    </row>
    <row r="26" customFormat="false" ht="33.75" hidden="false" customHeight="true" outlineLevel="0" collapsed="false">
      <c r="A26" s="7" t="s">
        <v>125</v>
      </c>
      <c r="B26" s="7"/>
      <c r="C26" s="7"/>
      <c r="D26" s="7"/>
      <c r="E26" s="7"/>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29" customFormat="false" ht="15" hidden="false" customHeight="false" outlineLevel="0" collapsed="false">
      <c r="A29" s="20"/>
      <c r="B29" s="20"/>
      <c r="C29" s="20"/>
      <c r="D29" s="20"/>
      <c r="E29" s="20"/>
      <c r="F29" s="20"/>
      <c r="G29" s="20"/>
    </row>
    <row r="30" customFormat="false" ht="16.5" hidden="false" customHeight="true" outlineLevel="0" collapsed="false">
      <c r="A30" s="17" t="s">
        <v>45</v>
      </c>
      <c r="B30" s="18" t="s">
        <v>126</v>
      </c>
      <c r="C30" s="18"/>
      <c r="D30" s="18"/>
      <c r="E30" s="18"/>
      <c r="F30" s="18"/>
      <c r="G30" s="18"/>
    </row>
    <row r="33" customFormat="false" ht="15" hidden="false" customHeight="false" outlineLevel="0" collapsed="false">
      <c r="A33" s="21" t="s">
        <v>56</v>
      </c>
      <c r="B33" s="21"/>
      <c r="C33" s="21"/>
      <c r="D33" s="21"/>
      <c r="E33" s="21"/>
      <c r="F33" s="21"/>
      <c r="G33" s="21"/>
    </row>
    <row r="34" customFormat="false" ht="30" hidden="false" customHeight="true" outlineLevel="0" collapsed="false">
      <c r="A34" s="22" t="s">
        <v>127</v>
      </c>
      <c r="B34" s="23" t="s">
        <v>128</v>
      </c>
      <c r="C34" s="23"/>
      <c r="D34" s="23"/>
      <c r="E34" s="23"/>
      <c r="F34" s="23"/>
      <c r="G34" s="23"/>
    </row>
    <row r="35" customFormat="false" ht="30" hidden="false" customHeight="true" outlineLevel="0" collapsed="false">
      <c r="A35" s="22" t="s">
        <v>129</v>
      </c>
      <c r="B35" s="23" t="s">
        <v>130</v>
      </c>
      <c r="C35" s="23"/>
      <c r="D35" s="23"/>
      <c r="E35" s="23"/>
      <c r="F35" s="23"/>
      <c r="G35" s="23"/>
    </row>
    <row r="37" customFormat="false" ht="33.75" hidden="false" customHeight="true" outlineLevel="0" collapsed="false">
      <c r="A37" s="6" t="s">
        <v>131</v>
      </c>
      <c r="B37" s="6"/>
      <c r="C37" s="6"/>
      <c r="D37" s="6"/>
      <c r="E37" s="6"/>
      <c r="F37" s="6"/>
      <c r="G37" s="6"/>
    </row>
    <row r="38" customFormat="false" ht="15" hidden="false" customHeight="true" outlineLevel="0" collapsed="false">
      <c r="A38" s="6" t="s">
        <v>62</v>
      </c>
      <c r="B38" s="6"/>
      <c r="C38" s="6"/>
      <c r="D38" s="6"/>
      <c r="E38" s="6"/>
      <c r="F38" s="6"/>
      <c r="G38" s="6"/>
    </row>
  </sheetData>
  <mergeCells count="20">
    <mergeCell ref="A4:G4"/>
    <mergeCell ref="A5:G5"/>
    <mergeCell ref="A15:G15"/>
    <mergeCell ref="A17:E17"/>
    <mergeCell ref="A18:E18"/>
    <mergeCell ref="A19:E19"/>
    <mergeCell ref="A20:E20"/>
    <mergeCell ref="A21:E21"/>
    <mergeCell ref="A22:E22"/>
    <mergeCell ref="A23:E23"/>
    <mergeCell ref="A24:E24"/>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132</v>
      </c>
    </row>
    <row r="2" customFormat="false" ht="15" hidden="false" customHeight="false" outlineLevel="0" collapsed="false">
      <c r="A2" s="2" t="s">
        <v>21</v>
      </c>
    </row>
    <row r="4" customFormat="false" ht="78.75" hidden="false" customHeight="true" outlineLevel="0" collapsed="false">
      <c r="A4" s="6" t="s">
        <v>133</v>
      </c>
      <c r="B4" s="6"/>
      <c r="C4" s="6"/>
      <c r="D4" s="6"/>
      <c r="E4" s="6"/>
      <c r="F4" s="6"/>
      <c r="G4" s="6"/>
    </row>
    <row r="5" customFormat="false" ht="78.75" hidden="false" customHeight="true" outlineLevel="0" collapsed="false">
      <c r="A5" s="7" t="s">
        <v>134</v>
      </c>
      <c r="B5" s="7"/>
      <c r="C5" s="7"/>
      <c r="D5" s="7"/>
      <c r="E5" s="7"/>
      <c r="F5" s="7"/>
      <c r="G5" s="7"/>
    </row>
    <row r="7" customFormat="false" ht="15" hidden="false" customHeight="false" outlineLevel="0" collapsed="false">
      <c r="A7" s="14" t="s">
        <v>66</v>
      </c>
      <c r="B7" s="14" t="s">
        <v>67</v>
      </c>
      <c r="C7" s="14"/>
      <c r="D7" s="14"/>
      <c r="E7" s="14"/>
      <c r="F7" s="14"/>
      <c r="G7" s="14"/>
    </row>
    <row r="8" customFormat="false" ht="18.75" hidden="false" customHeight="true" outlineLevel="0" collapsed="false">
      <c r="A8" s="24" t="s">
        <v>135</v>
      </c>
      <c r="B8" s="7" t="s">
        <v>136</v>
      </c>
      <c r="C8" s="7"/>
      <c r="D8" s="7"/>
      <c r="E8" s="7"/>
      <c r="F8" s="7"/>
      <c r="G8" s="7"/>
    </row>
    <row r="9" customFormat="false" ht="18.75" hidden="false" customHeight="true" outlineLevel="0" collapsed="false">
      <c r="A9" s="24" t="s">
        <v>137</v>
      </c>
      <c r="B9" s="7" t="s">
        <v>138</v>
      </c>
      <c r="C9" s="7"/>
      <c r="D9" s="7"/>
      <c r="E9" s="7"/>
      <c r="F9" s="7"/>
      <c r="G9" s="7"/>
    </row>
    <row r="10" customFormat="false" ht="18.75" hidden="false" customHeight="true" outlineLevel="0" collapsed="false">
      <c r="A10" s="24" t="s">
        <v>139</v>
      </c>
      <c r="B10" s="7" t="s">
        <v>140</v>
      </c>
      <c r="C10" s="7"/>
      <c r="D10" s="7"/>
      <c r="E10" s="7"/>
      <c r="F10" s="7"/>
      <c r="G10" s="7"/>
    </row>
    <row r="11" customFormat="false" ht="18.75" hidden="false" customHeight="true" outlineLevel="0" collapsed="false">
      <c r="A11" s="24" t="s">
        <v>141</v>
      </c>
      <c r="B11" s="7" t="s">
        <v>142</v>
      </c>
      <c r="C11" s="7"/>
      <c r="D11" s="7"/>
      <c r="E11" s="7"/>
      <c r="F11" s="7"/>
      <c r="G11" s="7"/>
    </row>
    <row r="12" customFormat="false" ht="18.75" hidden="false" customHeight="true" outlineLevel="0" collapsed="false">
      <c r="A12" s="24" t="s">
        <v>143</v>
      </c>
      <c r="B12" s="7" t="s">
        <v>144</v>
      </c>
      <c r="C12" s="7"/>
      <c r="D12" s="7"/>
      <c r="E12" s="7"/>
      <c r="F12" s="7"/>
      <c r="G12" s="7"/>
    </row>
    <row r="13" customFormat="false" ht="18.75" hidden="false" customHeight="true" outlineLevel="0" collapsed="false">
      <c r="A13" s="24" t="s">
        <v>145</v>
      </c>
      <c r="B13" s="7" t="s">
        <v>146</v>
      </c>
      <c r="C13" s="7"/>
      <c r="D13" s="7"/>
      <c r="E13" s="7"/>
      <c r="F13" s="7"/>
      <c r="G13" s="7"/>
    </row>
    <row r="15" customFormat="false" ht="15" hidden="false" customHeight="false" outlineLevel="0" collapsed="false">
      <c r="A15" s="14" t="s">
        <v>41</v>
      </c>
      <c r="B15" s="14"/>
      <c r="C15" s="14"/>
      <c r="D15" s="14"/>
      <c r="E15" s="14"/>
      <c r="F15" s="14" t="s">
        <v>42</v>
      </c>
      <c r="G15" s="14" t="s">
        <v>43</v>
      </c>
    </row>
    <row r="16" customFormat="false" ht="33.75" hidden="false" customHeight="true" outlineLevel="0" collapsed="false">
      <c r="A16" s="7" t="s">
        <v>147</v>
      </c>
      <c r="B16" s="7"/>
      <c r="C16" s="7"/>
      <c r="D16" s="7"/>
      <c r="E16" s="7"/>
    </row>
    <row r="17" customFormat="false" ht="15" hidden="false" customHeight="true" outlineLevel="0" collapsed="false">
      <c r="A17" s="7" t="s">
        <v>148</v>
      </c>
      <c r="B17" s="7"/>
      <c r="C17" s="7"/>
      <c r="D17" s="7"/>
      <c r="E17" s="7"/>
      <c r="F17" s="19"/>
      <c r="G17" s="16" t="str">
        <f aca="false">IF(F17="","",IF(UPPER(TRIM(F17))="JA","Riktig","Prøv igjen"))</f>
        <v/>
      </c>
    </row>
    <row r="18" customFormat="false" ht="15" hidden="false" customHeight="true" outlineLevel="0" collapsed="false">
      <c r="A18" s="7" t="s">
        <v>149</v>
      </c>
      <c r="B18" s="7"/>
      <c r="C18" s="7"/>
      <c r="D18" s="7"/>
      <c r="E18" s="7"/>
      <c r="F18" s="19"/>
      <c r="G18" s="16" t="str">
        <f aca="false">IF(F18="","",IF(UPPER(TRIM(F18))="JA","Riktig","Prøv igjen"))</f>
        <v/>
      </c>
    </row>
    <row r="19" customFormat="false" ht="15" hidden="false" customHeight="true" outlineLevel="0" collapsed="false">
      <c r="A19" s="7" t="s">
        <v>150</v>
      </c>
      <c r="B19" s="7"/>
      <c r="C19" s="7"/>
      <c r="D19" s="7"/>
      <c r="E19" s="7"/>
      <c r="F19" s="19"/>
      <c r="G19" s="16" t="str">
        <f aca="false">IF(F19="","",IF(UPPER(TRIM(F19))="JA","Riktig","Prøv igjen"))</f>
        <v/>
      </c>
    </row>
    <row r="20" customFormat="false" ht="15" hidden="false" customHeight="true" outlineLevel="0" collapsed="false">
      <c r="A20" s="7" t="s">
        <v>151</v>
      </c>
      <c r="B20" s="7"/>
      <c r="C20" s="7"/>
      <c r="D20" s="7"/>
      <c r="E20" s="7"/>
      <c r="F20" s="19"/>
      <c r="G20" s="16" t="str">
        <f aca="false">IF(F20="","",IF(UPPER(TRIM(F20))="NEI","Riktig","Prøv igjen"))</f>
        <v/>
      </c>
    </row>
    <row r="21" customFormat="false" ht="15" hidden="false" customHeight="true" outlineLevel="0" collapsed="false">
      <c r="A21" s="7" t="s">
        <v>152</v>
      </c>
      <c r="B21" s="7"/>
      <c r="C21" s="7"/>
      <c r="D21" s="7"/>
      <c r="E21" s="7"/>
      <c r="F21" s="19"/>
      <c r="G21" s="16" t="str">
        <f aca="false">IF(F21="","",IF(UPPER(TRIM(F21))="NEI","Riktig","Prøv igjen"))</f>
        <v/>
      </c>
    </row>
    <row r="22" customFormat="false" ht="63.75" hidden="false" customHeight="true" outlineLevel="0" collapsed="false">
      <c r="A22" s="7" t="s">
        <v>153</v>
      </c>
      <c r="B22" s="7"/>
      <c r="C22" s="7"/>
      <c r="D22" s="7"/>
      <c r="E22" s="7"/>
      <c r="F22" s="19"/>
      <c r="G22" s="16" t="str">
        <f aca="false">IF(F22="","",IF(UPPER(TRIM(F22))="B","Riktig","Prøv igjen"))</f>
        <v/>
      </c>
    </row>
    <row r="23" customFormat="false" ht="48.75" hidden="false" customHeight="true" outlineLevel="0" collapsed="false">
      <c r="A23" s="7" t="s">
        <v>154</v>
      </c>
      <c r="B23" s="7"/>
      <c r="C23" s="7"/>
      <c r="D23" s="7"/>
      <c r="E23" s="7"/>
      <c r="F23" s="19"/>
      <c r="G23" s="16" t="str">
        <f aca="false">IF(F23="","",IF(UPPER(TRIM(F23))="B","Riktig","Prøv igjen"))</f>
        <v/>
      </c>
    </row>
    <row r="24" customFormat="false" ht="63.75" hidden="false" customHeight="true" outlineLevel="0" collapsed="false">
      <c r="A24" s="7" t="s">
        <v>155</v>
      </c>
      <c r="B24" s="7"/>
      <c r="C24" s="7"/>
      <c r="D24" s="7"/>
      <c r="E24" s="7"/>
      <c r="F24" s="19"/>
      <c r="G24" s="16" t="str">
        <f aca="false">IF(F24="","",IF(UPPER(TRIM(F24))="C","Riktig","Prøv igjen"))</f>
        <v/>
      </c>
    </row>
    <row r="25" customFormat="false" ht="33.75" hidden="false" customHeight="true" outlineLevel="0" collapsed="false">
      <c r="A25" s="7" t="s">
        <v>156</v>
      </c>
      <c r="B25" s="7"/>
      <c r="C25" s="7"/>
      <c r="D25" s="7"/>
      <c r="E25" s="7"/>
    </row>
    <row r="26" customFormat="false" ht="15" hidden="false" customHeight="false" outlineLevel="0" collapsed="false">
      <c r="A26" s="20"/>
      <c r="B26" s="20"/>
      <c r="C26" s="20"/>
      <c r="D26" s="20"/>
      <c r="E26" s="20"/>
      <c r="F26" s="20"/>
      <c r="G26" s="20"/>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29" customFormat="false" ht="16.5" hidden="false" customHeight="true" outlineLevel="0" collapsed="false">
      <c r="A29" s="17" t="s">
        <v>45</v>
      </c>
      <c r="B29" s="18" t="s">
        <v>157</v>
      </c>
      <c r="C29" s="18"/>
      <c r="D29" s="18"/>
      <c r="E29" s="18"/>
      <c r="F29" s="18"/>
      <c r="G29" s="18"/>
    </row>
    <row r="32" customFormat="false" ht="15" hidden="false" customHeight="false" outlineLevel="0" collapsed="false">
      <c r="A32" s="21" t="s">
        <v>56</v>
      </c>
      <c r="B32" s="21"/>
      <c r="C32" s="21"/>
      <c r="D32" s="21"/>
      <c r="E32" s="21"/>
      <c r="F32" s="21"/>
      <c r="G32" s="21"/>
    </row>
    <row r="33" customFormat="false" ht="30" hidden="false" customHeight="true" outlineLevel="0" collapsed="false">
      <c r="A33" s="22" t="s">
        <v>158</v>
      </c>
      <c r="B33" s="23" t="s">
        <v>159</v>
      </c>
      <c r="C33" s="23"/>
      <c r="D33" s="23"/>
      <c r="E33" s="23"/>
      <c r="F33" s="23"/>
      <c r="G33" s="23"/>
    </row>
    <row r="34" customFormat="false" ht="30" hidden="false" customHeight="true" outlineLevel="0" collapsed="false">
      <c r="A34" s="22" t="s">
        <v>160</v>
      </c>
      <c r="B34" s="23" t="s">
        <v>161</v>
      </c>
      <c r="C34" s="23"/>
      <c r="D34" s="23"/>
      <c r="E34" s="23"/>
      <c r="F34" s="23"/>
      <c r="G34" s="23"/>
    </row>
    <row r="36" customFormat="false" ht="33.75" hidden="false" customHeight="true" outlineLevel="0" collapsed="false">
      <c r="A36" s="6" t="s">
        <v>162</v>
      </c>
      <c r="B36" s="6"/>
      <c r="C36" s="6"/>
      <c r="D36" s="6"/>
      <c r="E36" s="6"/>
      <c r="F36" s="6"/>
      <c r="G36" s="6"/>
    </row>
    <row r="37" customFormat="false" ht="15" hidden="false" customHeight="true" outlineLevel="0" collapsed="false">
      <c r="A37" s="6" t="s">
        <v>62</v>
      </c>
      <c r="B37" s="6"/>
      <c r="C37" s="6"/>
      <c r="D37" s="6"/>
      <c r="E37" s="6"/>
      <c r="F37" s="6"/>
      <c r="G37" s="6"/>
    </row>
  </sheetData>
  <mergeCells count="27">
    <mergeCell ref="A4:G4"/>
    <mergeCell ref="A5:G5"/>
    <mergeCell ref="B7:G7"/>
    <mergeCell ref="B8:G8"/>
    <mergeCell ref="B9:G9"/>
    <mergeCell ref="B10:G10"/>
    <mergeCell ref="B11:G11"/>
    <mergeCell ref="B12:G12"/>
    <mergeCell ref="B13:G13"/>
    <mergeCell ref="A15:E15"/>
    <mergeCell ref="A16:E16"/>
    <mergeCell ref="A17:E17"/>
    <mergeCell ref="A18:E18"/>
    <mergeCell ref="A19:E19"/>
    <mergeCell ref="A20:E20"/>
    <mergeCell ref="A21:E21"/>
    <mergeCell ref="A22:E22"/>
    <mergeCell ref="A23:E23"/>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2026-10-12T12:41:57Z</dcterms:created>
  <dc:creator>openpyxl</dc:creator>
  <dc:description/>
  <dc:language>en-US</dc:language>
  <cp:lastModifiedBy/>
  <dcterms:modified xsi:type="dcterms:W3CDTF">2026-10-12T12:41:57Z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