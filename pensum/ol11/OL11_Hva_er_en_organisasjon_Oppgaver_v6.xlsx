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<sst xmlns="http://schemas.openxmlformats.org/spreadsheetml/2006/main" count="248" uniqueCount="143">
  <si>
    <t xml:space="preserve">Hva er en organisasjon? Oppgaver til kapittel 11</t>
  </si>
  <si>
    <t xml:space="preserve">Markedsføring, organisasjon og ledelse for LØM-emnet (Hjertnes), kapittel 11. Versjon 6, oktober 2026. Nordlys Elektro AS og Fjell Elektro AS er konstruerte casebedrifter; bemanningen og hendelsene er faktaarkets og casefakta for kapittel 11.</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</si>
  <si>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</si>
  <si>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</si>
  <si>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</si>
  <si>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</si>
  <si>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</si>
  <si>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</si>
  <si>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Formelt eller uformelt? Åtte trekk og fem organisasjoner</t>
  </si>
  <si>
    <t xml:space="preserve">1B  Nordlys' organisasjonskart som tabell: hvem rapporterer til hvem?</t>
  </si>
  <si>
    <t xml:space="preserve">1C  Fredagen hos Nordlys: tre briller, omgivelsene og produktiviteten</t>
  </si>
  <si>
    <t xml:space="preserve">Fasit  Alle svar med regnestykket skrevet ut</t>
  </si>
  <si>
    <t xml:space="preserve">Dette er øvingsmateriell til repetisjons- og øvingsstøtte. I besvarelser, caser, prosjektoppgaver og eksamen gjelder lærebøkene og oppgitte primærkilder.</t>
  </si>
  <si>
    <t xml:space="preserve">Formelt trekk</t>
  </si>
  <si>
    <t xml:space="preserve">Oppgave 1A: Formelt eller uformelt? Åtte trekk og fem organisasjoner</t>
  </si>
  <si>
    <t xml:space="preserve">Uformelt trekk</t>
  </si>
  <si>
    <t xml:space="preserve">Alene, i par eller i gruppe, slik du vil.</t>
  </si>
  <si>
    <t xml:space="preserve">Situasjonen</t>
  </si>
  <si>
    <t xml:space="preserve">Da Kari Nordlund og Tom Berg startet Nordlys Elektro AS i 2019, var de to og ble enige over kaffen. I dag er de 18. I mai 2026 bestilte to montører det samme materiellet hos Polarlys, en samsvarserklæring lå usignert i tre uker, og vernerunden 20. mai ble ikke holdt: verneombudet sluttet i mars, ikke noe nytt var valgt, og alle trodde at noen andre hadde ansvaret. Fjell Elektro AS er tre personer: eieren, som er faglig ansvarlig, og to montører. Sorter trekkene og organisasjonene, og skriv til Kari.</t>
  </si>
  <si>
    <t xml:space="preserve">Begrepene du trenger</t>
  </si>
  <si>
    <t xml:space="preserve">Boka gir seks kjennetegn på en formell organisasjon: hierarkisk oppbygning, klare ansvars- og myndighetsforhold internt, detaljerte stillingsinstrukser, målstyring, kontrakter som spesifiserer rettigheter og plikter, og sanksjoner ved brudd på kontraktsbetingelsene (11.1). Uformelle organisasjoner mangler disse kjennetegnene eller er mye mindre preget av dem; de bindes sammen av slektskap, tradisjoner, felles interesser og følelser. Alle organisasjoner har også uformelle trekk, som tillit, kommunikasjon og sosiale aktiviteter (12.4).</t>
  </si>
  <si>
    <t xml:space="preserve">Testen</t>
  </si>
  <si>
    <t xml:space="preserve">Spør for hvert trekk: er det skrevet ned og vedtatt, slik at det kan leses ut av bedriftens egne dokumenter, og kan brudd få følger? Da er det et formelt trekk (bokas seks kjennetegn: hierarki, klare ansvars- og myndighetsforhold, stillingsinstrukser, målstyring, kontrakter, sanksjoner). Holdes det sammen av vane, felles interesser, tillit eller følelser, er det et uformelt trekk.</t>
  </si>
  <si>
    <t xml:space="preserve">Åtte trekk hos Nordlys og Fjell Elektro: formelt eller uformelt? (velg i nedtrekksmenyen)</t>
  </si>
  <si>
    <t xml:space="preserve">1 Alle 18 ansatte hos Nordlys har skriftlig arbeidsavtale</t>
  </si>
  <si>
    <t xml:space="preserve">2 Hos Fjell Elektro fordeles jobbene over kaffen hver morgen; ingenting skrives ned</t>
  </si>
  <si>
    <t xml:space="preserve">3 Ronny Fjeld, formann, bestemmer over montørene på bygget, og Kari bestemmer over Ronny</t>
  </si>
  <si>
    <t xml:space="preserve">4 Montørene spiser lunsj sammen i servicebilen hver fredag</t>
  </si>
  <si>
    <t xml:space="preserve">5 Nordlys har et budsjett med mål for omsetningen</t>
  </si>
  <si>
    <t xml:space="preserve">Formell organisasjon</t>
  </si>
  <si>
    <t xml:space="preserve">6 En montør som bryter sikkerhetsreglene ved arbeid på anlegg, får skriftlig advarsel</t>
  </si>
  <si>
    <t xml:space="preserve">Uformell organisasjon</t>
  </si>
  <si>
    <t xml:space="preserve">7 Montøren på solcellejobben ringer ikke Ronny, fordi solcelle «ikke er hans avdeling»</t>
  </si>
  <si>
    <t xml:space="preserve">8 Sara, lærling, spør alltid Ronny først, fordi han forklarer best</t>
  </si>
  <si>
    <t xml:space="preserve">Formell eller uformell organisasjon?</t>
  </si>
  <si>
    <t xml:space="preserve">Boka sier at uformelle organisasjoner, som familien, bridgeklubben og sangkoret, mangler de seks kjennetegnene eller er mye mindre preget av dem. Størrelse står ikke på lista. Velg for hver.</t>
  </si>
  <si>
    <t xml:space="preserve">Familien</t>
  </si>
  <si>
    <t xml:space="preserve">Bridgeklubben</t>
  </si>
  <si>
    <t xml:space="preserve">Bergen tingrett</t>
  </si>
  <si>
    <t xml:space="preserve">En liten tømrerbedrift med tre ansatte</t>
  </si>
  <si>
    <t xml:space="preserve">Et forsikringsselskap</t>
  </si>
  <si>
    <t xml:space="preserve">Nordlys mangler to av de seks kjennetegnene: klare ansvars- og myndighetsforhold (ingen har skrevet hvem som bestiller materiell, eller hvor stor jobb Tom kan si ja til) og stillingsinstrukser. Skriv to–tre setninger til Kari om hva hun bør skrive ned først, og hvilken av hendelsene forrige måned det ville hindret.</t>
  </si>
  <si>
    <t xml:space="preserve">Står du fast? Skriv JA i den gule cellen:</t>
  </si>
  <si>
    <t xml:space="preserve">Gule celler fyller du inn. Grønne regnes ut av arket. Sjekken til høyre forteller om svaret stemmer, og hva du bør se på hvis ikke.</t>
  </si>
  <si>
    <t xml:space="preserve">Kari Nordlund</t>
  </si>
  <si>
    <t xml:space="preserve">Oppgave 1B: Nordlys' organisasjonskart som tabell: hvem rapporterer til hvem?</t>
  </si>
  <si>
    <t xml:space="preserve">Tom Berg</t>
  </si>
  <si>
    <t xml:space="preserve">Ronny Fjeld</t>
  </si>
  <si>
    <t xml:space="preserve">Kari skal tegne organisasjonskartet for Nordlys for første gang, til banken og til den nye nettsiden. Boka kaller formen en linjeorganisasjon: hver ansatt har én leder over seg, og beskjedene går opp og ned samme linje (11.1, figur 11.1). Fyll ut kartet som tabell, tell hvor mange hver leder har direkte under seg, og finn hullet.</t>
  </si>
  <si>
    <t xml:space="preserve">Linjeorganisasjon: hierarkiet i figur 11.1, der hver ansatt rapporterer til én leder. Faglig ansvarlig: den personen et elektroforetak ikke kan drive uten; forskrift om elektroforetak og kvalifikasjonskrav (FEK) § 7 krever fagskole eller tilsvarende, fagbrev og tre års relevant praksis. Hos Nordlys er det Kari, som er elektroinstallatør.</t>
  </si>
  <si>
    <t xml:space="preserve">Bemanningen</t>
  </si>
  <si>
    <t xml:space="preserve">Nordlys har 18 ansatte: 12 montører, 2 lærlinger og 4 i administrasjonen (Kari Nordlund, daglig leder; Tom Berg, driftsleder service; Ronny Fjeld, formann prosjekt og nybygg; Ida Haugen, kalkulatør). Service har 4 montører og 1 lærling. Prosjekt og nybygg har 6 montører og 1 lærling, Sara Lien. Solcelle og lading har 2 montører og ingen egen leder; de ringer Kari. Ida regner på anbud og rapporterer til Kari.</t>
  </si>
  <si>
    <t xml:space="preserve">Oppgaven, trinn for trinn</t>
  </si>
  <si>
    <t xml:space="preserve">1. Fyll ut kartet som tabell: velg for hver rad hvem personen eller gruppen rapporterer til (nærmeste leder).
2. Tell hvor mange Kari, Tom og Ronny har direkte under seg (a, b, c). Den grønne cellen summerer: Kari selv + a + b + c skal bli 18.
3. Velg hvem som er faglig ansvarlig etter forskrift om elektroforetak og kvalifikasjonskrav (FEK) § 7 (d).
4. Skriv hva hullet i kartet er, og hva Kari bør gjøre med det (e).</t>
  </si>
  <si>
    <t xml:space="preserve">Organisasjonskartet som tabell: hvem rapporterer til hvem? (velg i nedtrekksmenyen)</t>
  </si>
  <si>
    <t xml:space="preserve">Tom Berg, driftsleder service</t>
  </si>
  <si>
    <t xml:space="preserve">Ronny Fjeld, formann prosjekt og nybygg</t>
  </si>
  <si>
    <t xml:space="preserve">Ida Haugen, kalkulatør</t>
  </si>
  <si>
    <t xml:space="preserve">De 4 montørene på service</t>
  </si>
  <si>
    <t xml:space="preserve">Lærlingen på service</t>
  </si>
  <si>
    <t xml:space="preserve">De 6 montørene på prosjekt og nybygg</t>
  </si>
  <si>
    <t xml:space="preserve">Sara Lien, lærling på prosjekt og nybygg</t>
  </si>
  <si>
    <t xml:space="preserve">De 2 montørene på solcelle og lading</t>
  </si>
  <si>
    <t xml:space="preserve">a) Hvor mange har Kari direkte under seg?</t>
  </si>
  <si>
    <t xml:space="preserve">personer</t>
  </si>
  <si>
    <t xml:space="preserve">b) Hvor mange har Tom direkte under seg?</t>
  </si>
  <si>
    <t xml:space="preserve">c) Hvor mange har Ronny direkte under seg?</t>
  </si>
  <si>
    <t xml:space="preserve">Kontroll: Kari selv + a + b + c (arket regner)</t>
  </si>
  <si>
    <t xml:space="preserve">Ida Haugen</t>
  </si>
  <si>
    <t xml:space="preserve">d) Hvem er faglig ansvarlig hos Nordlys etter forskrift om elektroforetak og kvalifikasjonskrav (FEK) § 7?</t>
  </si>
  <si>
    <t xml:space="preserve">e) Hva er hullet i kartet, og hva bør Kari gjøre med det? To–tre setninger. Bruk ordene solcelle og leder.</t>
  </si>
  <si>
    <t xml:space="preserve">Maskin</t>
  </si>
  <si>
    <t xml:space="preserve">Oppgave 1C: Fredagen hos Nordlys: tre briller, omgivelsene og produktiviteten</t>
  </si>
  <si>
    <t xml:space="preserve">Menneskelig fellesskap</t>
  </si>
  <si>
    <t xml:space="preserve">Åpent system</t>
  </si>
  <si>
    <t xml:space="preserve">Kapitlet gir tre briller å se den samme bedriften gjennom: organisasjonen som maskin (11.2), som menneskelig fellesskap (11.3) og som åpent, miljøavhengig system (11.4). Fredagen med vekselretteren har alle tre i seg. Etterpå regner du hvor produktiv Nordlys er, målt som omsetning per årsverk, mot bransjen.</t>
  </si>
  <si>
    <t xml:space="preserve">Maskin: presisjon, tempo, regularitet og effektivitet gjennom rutiner, regler og prosedyrer. Menneskelig fellesskap: ledelse, organisasjonskultur, motivasjon, kommunikasjon og konflikt; Hawthorne-undersøkelsene viste at oppmerksomhet i seg selv økte produktiviteten. Åpent system: bedriften henter råvarer, arbeidskraft og andre produksjonsfaktorer fra omgivelsene og leverer ferdige produkter tilbake; det beste de fleste kan håpe på, er vellykket tilpasning. Produktivitet: hvor mye som kommer ut per innsats, her omsetning per årsverk. Et årsverk er én person i full stilling et helt år.</t>
  </si>
  <si>
    <t xml:space="preserve">Fredagen hos Nordlys</t>
  </si>
  <si>
    <t xml:space="preserve">Et solcelleanlegg skulle vært ferdig fredag. Vekselretteren ble bestilt hos Polarlys Elektro Grossist AS i mai, men Polarlys hadde tømt lageret, og neste forsendelse fra produsenten kom tre uker for sent. Montøren som er ansvarlig for arbeidet (AFA) på taket har ringt Kari fire ganger uten svar; hun sitter i møte. Han sier ikke fra til Ronny, for solcelle er ikke Ronnys avdeling. Det finnes ingen rutine for hva montøren gjør når materiellet ikke kommer. Kunden får beskjed mandag.</t>
  </si>
  <si>
    <t xml:space="preserve">1. Seks utsagn om fredagen: velg hvilken brille som ser akkurat det (maskin, menneskelig fellesskap, åpent system).
2. Omgivelsene: velg for hver av de seks hva de vil ha fra Nordlys.
3. Regn produktiviteten målt som omsetning per årsverk, for bransjen (a) og for Nordlys (b), og omsetning per fakturert time hos Nordlys (c).
4. Skriv til Kari hvorfor Nordlys ligger under bransjen per årsverk, men likt per time (d).</t>
  </si>
  <si>
    <t xml:space="preserve">Seks utsagn om fredagen: hvilken brille ser dette? (velg i nedtrekksmenyen)</t>
  </si>
  <si>
    <t xml:space="preserve">1 Det finnes ingen rutine for hva montøren gjør når materiellet ikke kommer</t>
  </si>
  <si>
    <t xml:space="preserve">2 Montøren ringer ikke Ronny, fordi solcelle «ikke er hans avdeling»</t>
  </si>
  <si>
    <t xml:space="preserve">3 Polarlys har tømt lageret, og vekselretteren fra produsenten kom tre uker for sent</t>
  </si>
  <si>
    <t xml:space="preserve">4 Montøren har ringt fire ganger uten svar og merker at ingen bryr seg</t>
  </si>
  <si>
    <t xml:space="preserve">5 Solkraft på tak falt om lag 70 % i første del av 2026, og færre bestiller anlegg</t>
  </si>
  <si>
    <t xml:space="preserve">Anlegget ferdig til avtalt tid og pris</t>
  </si>
  <si>
    <t xml:space="preserve">6 Ida lager en sjekkliste: materiellet sjekkes hos Polarlys to uker før montasje, og kunden varsles samme dag</t>
  </si>
  <si>
    <t xml:space="preserve">Bestillinger i god tid og betaling ved forfall</t>
  </si>
  <si>
    <t xml:space="preserve">Lønn og en leder som svarer</t>
  </si>
  <si>
    <t xml:space="preserve">Omgivelsene: hva vil de ha fra Nordlys? (velg i nedtrekksmenyen)</t>
  </si>
  <si>
    <t xml:space="preserve">Forskriftsmessig arbeid og faglig ansvarlig</t>
  </si>
  <si>
    <t xml:space="preserve">Kunden: borettslaget som venter på solcelleanlegget</t>
  </si>
  <si>
    <t xml:space="preserve">Renter og avdrag betalt</t>
  </si>
  <si>
    <t xml:space="preserve">Polarlys Elektro Grossist AS, leverandøren</t>
  </si>
  <si>
    <t xml:space="preserve">Å vinne de samme kundene</t>
  </si>
  <si>
    <t xml:space="preserve">Montørene og lærlingene</t>
  </si>
  <si>
    <t xml:space="preserve">Direktoratet for samfunnssikkerhet og beredskap (DSB), tilsynet</t>
  </si>
  <si>
    <t xml:space="preserve">Banken som har gitt Nordlys lån</t>
  </si>
  <si>
    <t xml:space="preserve">Konkurrenten: en annen installatør i byen</t>
  </si>
  <si>
    <t xml:space="preserve">Produktivitet: hvor mye omsetning per årsverk?</t>
  </si>
  <si>
    <t xml:space="preserve">Produktivitet er hvor mye som kommer ut per innsats; her omsetning per årsverk. NHO Elektro (bransjeforeningen for elektrobedriftene i Næringslivets Hovedorganisasjon), lønnsomhetsrapport 2025: 809 bedrifter, 28 500 årsverk, 54,5 milliarder kroner i omsetning, 1 503 fakturerte timer per elektriker/hjelpearbeider/lærling av 1 725 mulige, 1 534 kr i estimert snitt timepris inkl. materiell (omsetning per fakturert time). Tallene gjelder utvalget, ikke hele bransjen. Nordlys: 22 400 000 kr i salgsinntekt, 18 ansatte regnet som 18 årsverk (forutsetning: alle på heltid), 14 400 fakturerte timer (12 montører × 1 200). Hele kroner.</t>
  </si>
  <si>
    <t xml:space="preserve">a) Bransjen: omsetning per årsverk. 54 500 000 000 kr / 28 500 årsverk</t>
  </si>
  <si>
    <t xml:space="preserve">kr per årsverk</t>
  </si>
  <si>
    <t xml:space="preserve">b) Nordlys: omsetning per årsverk. 22 400 000 kr / 18 årsverk</t>
  </si>
  <si>
    <t xml:space="preserve">c) Nordlys: omsetning per fakturert time. 22 400 000 kr / 14 400 timer</t>
  </si>
  <si>
    <t xml:space="preserve">kr per time</t>
  </si>
  <si>
    <t xml:space="preserve">d) Nordlys ligger under bransjen per årsverk, men likt per fakturert time. Forklar Kari hvorfor, med tallene fra a–c og de fakturerte timene per montør (Nordlys 1 200, bransjen 1 503). Si også hva produktivitet ikke sier noe om.</t>
  </si>
  <si>
    <t xml:space="preserve">Fasit, kapittel 11</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</si>
  <si>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</si>
  <si>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</si>
  <si>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</si>
  <si>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</si>
  <si>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Åtte trekk</t>
  </si>
  <si>
    <t xml:space="preserve">Formelt: 1 arbeidsavtalene (kontrakter), 3 Ronny over montørene (hierarki), 5 budsjettet (målstyring), 6 advarselen (sanksjon). Uformelt: 2 kaffen hos Fjell, 4 lunsjen, 7 grensen mellom avdelingene, 8 tilliten til Ronny.</t>
  </si>
  <si>
    <t xml:space="preserve">1A Organisasjonene</t>
  </si>
  <si>
    <t xml:space="preserve">Uformell: familien, bridgeklubben. Formell: Bergen tingrett, tømrerbedriften med tre ansatte, forsikringsselskapet. Størrelse står ikke på lista.</t>
  </si>
  <si>
    <t xml:space="preserve">1A Svaret til Kari</t>
  </si>
  <si>
    <t xml:space="preserve">Skriv ned hvem som bestiller materiell og hvem som gjør samsvarserklæringen klar til Kari, som faglig ansvarlig signerer (klare ansvars- og myndighetsforhold), og korte stillingsinstrukser for alle, også lærlingen. Det hadde hindret dobbeltbestillingen, den usignerte erklæringen og vernerunden. Det koster en ettermiddag, ikke en ny stilling.</t>
  </si>
  <si>
    <t xml:space="preserve">1B Kartet</t>
  </si>
  <si>
    <t xml:space="preserve">Til Kari: Tom, Ronny, Ida og de 2 montørene på solcelle og lading. Til Tom: 4 montører og lærlingen på service. Til Ronny: 6 montører og Sara.</t>
  </si>
  <si>
    <t xml:space="preserve">1B a) Direkte under Kari</t>
  </si>
  <si>
    <t xml:space="preserve">Tom, Ronny, Ida og 2 montører = 5</t>
  </si>
  <si>
    <t xml:space="preserve">1B b) Direkte under Tom</t>
  </si>
  <si>
    <t xml:space="preserve">4 montører + 1 lærling = 5</t>
  </si>
  <si>
    <t xml:space="preserve">1B c) Direkte under Ronny</t>
  </si>
  <si>
    <t xml:space="preserve">6 montører + 1 lærling (Sara) = 7. Kontroll: 1 + 5 + 5 + 7 = 18</t>
  </si>
  <si>
    <t xml:space="preserve">1B d) Faglig ansvarlig</t>
  </si>
  <si>
    <t xml:space="preserve">Kari Nordlund, elektroinstallatør, etter forskrift om elektroforetak og kvalifikasjonskrav § 7.</t>
  </si>
  <si>
    <t xml:space="preserve">1B e) Hullet</t>
  </si>
  <si>
    <t xml:space="preserve">Solcelle og lading har ingen leder; montørene ringer Kari, som sitter i møte. Gi avdelingen en leder, eller legg den under Tom eller Ronny, og tegn det inn i kartet.</t>
  </si>
  <si>
    <t xml:space="preserve">1C Brillene</t>
  </si>
  <si>
    <t xml:space="preserve">Maskin: 1 ingen rutine, 6 sjekklista. Menneskelig fellesskap: 2 grensen mellom avdelingene, 4 fire anrop uten svar. Åpent system: 3 det tomme lageret, 5 solmarkedet.</t>
  </si>
  <si>
    <t xml:space="preserve">1C Omgivelsene</t>
  </si>
  <si>
    <t xml:space="preserve">Kunden: anlegget ferdig til avtalt tid og pris. Polarlys: bestillinger i god tid og betaling ved forfall. Montørene: lønn, trygghet og en leder som svarer. DSB: forskriftsmessig arbeid og faglig ansvarlig i registeret. Banken: renter og avdrag, og regnskap. Konkurrenten: å vinne de samme kundene.</t>
  </si>
  <si>
    <t xml:space="preserve">1C a) Bransjen per årsverk</t>
  </si>
  <si>
    <t xml:space="preserve">54 500 000 000 / 28 500 = 1 912 281 kr, om lag 1,9 millioner</t>
  </si>
  <si>
    <t xml:space="preserve">1C b) Nordlys per årsverk</t>
  </si>
  <si>
    <t xml:space="preserve">22 400 000 / 18 = 1 244 444 kr, om lag 1,24 millioner</t>
  </si>
  <si>
    <t xml:space="preserve">1C c) Nordlys per fakturert time</t>
  </si>
  <si>
    <t xml:space="preserve">22 400 000 / 14 400 = 1 556 kr. Bransjen: 1 534 kr</t>
  </si>
  <si>
    <t xml:space="preserve">1C d) Svaret til Kari</t>
  </si>
  <si>
    <t xml:space="preserve">Per time er Nordlys på bransjenivå. Per årsverk ligger Nordlys 35 % under, fordi hver montør fakturerer 1 200 timer mot bransjens 1 503, og fordi 6 av 18 ikke fakturerer. Produktivitet sier hvor mye som kommer ut per innsats, ikke om det er lønnsomt: Nordlys hadde 6,0 % driftsresultat (1 344 000 / 22 400 000) mot bransjens 7,5 %.</t>
  </si>
</sst>
</file>

<file path=xl/styles.xml><?xml version="1.0" encoding="utf-8"?>
<styleSheet xmlns="http://schemas.openxmlformats.org/spreadsheetml/2006/main">
  <numFmts count="3">
    <numFmt numFmtId="164" formatCode="General"/>
    <numFmt numFmtId="165" formatCode="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
      <patternFill patternType="solid">
        <fgColor rgb="FF2F4A6D"/>
        <bgColor rgb="FF33333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ht="17.25" customHeight="true" r="5" customFormat="false" hidden="fals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ht="17.25" customHeight="true" r="11" customFormat="false" hidden="false" outlineLevel="0" collapsed="false">
      <c r="B11" s="3" t="s">
        <v>7</v>
      </c>
    </row>
    <row ht="17.25" customHeight="true" r="12" customFormat="false" hidden="false" outlineLevel="0" collapsed="false">
      <c r="B12" s="2" t="s">
        <v>8</v>
      </c>
    </row>
    <row ht="17.25" customHeight="true" r="13" customFormat="false" hidden="false" outlineLevel="0" collapsed="false">
      <c r="B13" s="2" t="s">
        <v>9</v>
      </c>
    </row>
    <row ht="17.25" customHeight="true" r="14" customFormat="false" hidden="false" outlineLevel="0" collapsed="false">
      <c r="B14" s="2" t="s">
        <v>10</v>
      </c>
    </row>
    <row ht="17.25" customHeight="true" r="15" customFormat="false" hidden="fals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13</v>
      </c>
    </row>
    <row r="4" customFormat="false" ht="15.75" hidden="false" customHeight="true" outlineLevel="0" collapsed="false">
      <c r="B4" s="8" t="s">
        <v>17</v>
      </c>
      <c r="C4" s="8"/>
      <c r="D4" s="8"/>
      <c r="E4" s="8"/>
      <c r="F4" s="8"/>
      <c r="G4" s="8"/>
      <c r="Z4" s="6" t="s">
        <v>15</v>
      </c>
    </row>
    <row r="5" customFormat="false" ht="75" hidden="false" customHeight="true" outlineLevel="0" collapsed="false">
      <c r="B5" s="9" t="s">
        <v>18</v>
      </c>
      <c r="C5" s="9"/>
      <c r="D5" s="9"/>
      <c r="E5" s="9"/>
      <c r="F5" s="9"/>
      <c r="G5" s="9"/>
      <c r="Z5" s="6" t="s">
        <v>13</v>
      </c>
    </row>
    <row r="6" customFormat="false" ht="15.75" hidden="false" customHeight="true" outlineLevel="0" collapsed="false">
      <c r="B6" s="8" t="s">
        <v>19</v>
      </c>
      <c r="C6" s="8"/>
      <c r="D6" s="8"/>
      <c r="E6" s="8"/>
      <c r="F6" s="8"/>
      <c r="G6" s="8"/>
      <c r="Z6" s="6" t="s">
        <v>15</v>
      </c>
    </row>
    <row r="7" customFormat="false" ht="75" hidden="false" customHeight="true" outlineLevel="0" collapsed="false">
      <c r="B7" s="9" t="s">
        <v>20</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21</v>
      </c>
      <c r="C9" s="8"/>
      <c r="D9" s="8"/>
      <c r="E9" s="8"/>
      <c r="F9" s="8"/>
      <c r="G9" s="8"/>
      <c r="Z9" s="6" t="s">
        <v>13</v>
      </c>
    </row>
    <row r="10" customFormat="false" ht="60" hidden="false" customHeight="true" outlineLevel="0" collapsed="false">
      <c r="B10" s="9" t="s">
        <v>22</v>
      </c>
      <c r="C10" s="9"/>
      <c r="D10" s="9"/>
      <c r="E10" s="9"/>
      <c r="F10" s="9"/>
      <c r="G10" s="9"/>
      <c r="Z10" s="6" t="s">
        <v>15</v>
      </c>
    </row>
    <row r="11" customFormat="false" ht="15" hidden="false" customHeight="false" outlineLevel="0" collapsed="false">
      <c r="Z11" s="0" t="s">
        <v>13</v>
      </c>
    </row>
    <row ht="17.25" customHeight="true" r="12" customFormat="false" hidden="false" outlineLevel="0" collapsed="false">
      <c r="B12" s="10" t="s">
        <v>23</v>
      </c>
      <c r="C12" s="10"/>
      <c r="D12" s="10"/>
      <c r="E12" s="10"/>
      <c r="F12" s="10"/>
      <c r="G12" s="10"/>
      <c r="Z12" s="6" t="s">
        <v>15</v>
      </c>
    </row>
    <row r="13" customFormat="false" ht="39.75" hidden="false" customHeight="true" outlineLevel="0" collapsed="false">
      <c r="B13" s="11" t="s">
        <v>24</v>
      </c>
      <c r="C13" s="12"/>
      <c r="G13" s="13" t="str">
        <f aca="false">IF(C13="","Velg i nedtrekksmenyen.",IF(C13="Formelt trekk","Riktig. Kontrakter som spesifiserer rettigheter og plikter, er ett av de seks kjennetegnene (11.1).","Ikke riktig. Kontrakter som spesifiserer rettigheter og plikter, er ett av de seks kjennetegnene (11.1)."))</f>
        <v>Velg i nedtrekksmenyen.</v>
      </c>
      <c r="Z13" s="6" t="s">
        <v>13</v>
      </c>
    </row>
    <row r="14" customFormat="false" ht="39.75" hidden="false" customHeight="true" outlineLevel="0" collapsed="false">
      <c r="B14" s="11" t="s">
        <v>25</v>
      </c>
      <c r="C14" s="12"/>
      <c r="G14" s="13" t="str">
        <f aca="false">IF(C14="","Velg i nedtrekksmenyen.",IF(C14="Uformelt trekk","Riktig. Det er vane og samtale, ikke en vedtatt ordning. Uformelle organisasjoner bindes sammen av tradisjoner, felles interesser og følelser (11.1).","Ikke riktig. Det er vane og samtale, ikke en vedtatt ordning. Uformelle organisasjoner bindes sammen av tradisjoner, felles interesser og følelser (11.1)."))</f>
        <v>Velg i nedtrekksmenyen.</v>
      </c>
      <c r="Z14" s="6" t="s">
        <v>15</v>
      </c>
    </row>
    <row ht="46.5" customHeight="true" r="15" customFormat="false" hidden="false" outlineLevel="0" collapsed="false">
      <c r="B15" s="11" t="s">
        <v>26</v>
      </c>
      <c r="C15" s="12"/>
      <c r="G15" s="13" t="str">
        <f aca="false">IF(C15="","Velg i nedtrekksmenyen.",IF(C15="Formelt trekk","Riktig. Hierarkisk oppbygning: over- og underordning i en linje (11.1, figur 11.1).","Ikke riktig. Hierarkisk oppbygning: over- og underordning i en linje (11.1, figur 11.1)."))</f>
        <v>Velg i nedtrekksmenyen.</v>
      </c>
      <c r="Z15" s="6" t="s">
        <v>13</v>
      </c>
    </row>
    <row r="16" customFormat="false" ht="39.75" hidden="false" customHeight="true" outlineLevel="0" collapsed="false">
      <c r="B16" s="11" t="s">
        <v>27</v>
      </c>
      <c r="C16" s="12"/>
      <c r="G16" s="13" t="str">
        <f aca="false">IF(C16="","Velg i nedtrekksmenyen.",IF(C16="Uformelt trekk","Riktig. Sosiale aktiviteter og samhold er uformelle trekk; de står ikke i noe dokument (11.1 og 12.4).","Ikke riktig. Sosiale aktiviteter og samhold er uformelle trekk; de står ikke i noe dokument (11.1 og 12.4)."))</f>
        <v>Velg i nedtrekksmenyen.</v>
      </c>
      <c r="Z16" s="6" t="s">
        <v>15</v>
      </c>
    </row>
    <row r="17" customFormat="false" ht="39.75" hidden="false" customHeight="true" outlineLevel="0" collapsed="false">
      <c r="B17" s="11" t="s">
        <v>28</v>
      </c>
      <c r="C17" s="12"/>
      <c r="G17" s="13" t="str">
        <f aca="false">IF(C17="","Velg i nedtrekksmenyen.",IF(C17="Formelt trekk","Riktig. Målstyring er ett av kjennetegnene (11.1). At ingen avdeling har eget mål ennå, gjør ikke budsjettet uformelt.","Ikke riktig. Målstyring er ett av kjennetegnene (11.1). At ingen avdeling har eget mål ennå, gjør ikke budsjettet uformelt."))</f>
        <v>Velg i nedtrekksmenyen.</v>
      </c>
      <c r="Z17" s="6" t="s">
        <v>29</v>
      </c>
    </row>
    <row r="18" customFormat="false" ht="39.75" hidden="false" customHeight="true" outlineLevel="0" collapsed="false">
      <c r="B18" s="11" t="s">
        <v>30</v>
      </c>
      <c r="C18" s="12"/>
      <c r="G18" s="13" t="str">
        <f aca="false">IF(C18="","Velg i nedtrekksmenyen.",IF(C18="Formelt trekk","Riktig. Sanksjoner ved brudd på kontraktsbetingelsene er ett av kjennetegnene (11.1).","Ikke riktig. Sanksjoner ved brudd på kontraktsbetingelsene er ett av kjennetegnene (11.1)."))</f>
        <v>Velg i nedtrekksmenyen.</v>
      </c>
      <c r="Z18" s="6" t="s">
        <v>31</v>
      </c>
    </row>
    <row r="19" customFormat="false" ht="39.75" hidden="false" customHeight="true" outlineLevel="0" collapsed="false">
      <c r="B19" s="11" t="s">
        <v>32</v>
      </c>
      <c r="C19" s="12"/>
      <c r="G19" s="13" t="str">
        <f aca="false">IF(C19="","Velg i nedtrekksmenyen.",IF(C19="Uformelt trekk","Riktig. Grensen står ikke i noe kart. Det er en uformell norm i kulturen (12.4: uformelle trekk).","Ikke riktig. Grensen står ikke i noe kart. Det er en uformell norm i kulturen (12.4: uformelle trekk)."))</f>
        <v>Velg i nedtrekksmenyen.</v>
      </c>
      <c r="Z19" s="6" t="s">
        <v>29</v>
      </c>
    </row>
    <row r="20" customFormat="false" ht="39.75" hidden="false" customHeight="true" outlineLevel="0" collapsed="false">
      <c r="B20" s="11" t="s">
        <v>33</v>
      </c>
      <c r="C20" s="12"/>
      <c r="G20" s="13" t="str">
        <f aca="false">IF(C20="","Velg i nedtrekksmenyen.",IF(C20="Uformelt trekk","Riktig. Tillit mellom over- og underordnede er et uformelt trekk (12.4). Det er verdifullt, men det er ikke skrevet ned.","Ikke riktig. Tillit mellom over- og underordnede er et uformelt trekk (12.4). Det er verdifullt, men det er ikke skrevet ned."))</f>
        <v>Velg i nedtrekksmenyen.</v>
      </c>
      <c r="Z20" s="6" t="s">
        <v>31</v>
      </c>
    </row>
    <row r="21" customFormat="false" ht="15" hidden="false" customHeight="false" outlineLevel="0" collapsed="false">
      <c r="Z21" s="0" t="s">
        <v>29</v>
      </c>
    </row>
    <row r="22" customFormat="false" ht="15.75" hidden="false" customHeight="true" outlineLevel="0" collapsed="false">
      <c r="B22" s="8" t="s">
        <v>34</v>
      </c>
      <c r="C22" s="8"/>
      <c r="D22" s="8"/>
      <c r="E22" s="8"/>
      <c r="F22" s="8"/>
      <c r="G22" s="8"/>
      <c r="Z22" s="6" t="s">
        <v>31</v>
      </c>
    </row>
    <row r="23" customFormat="false" ht="30" hidden="false" customHeight="true" outlineLevel="0" collapsed="false">
      <c r="B23" s="9" t="s">
        <v>35</v>
      </c>
      <c r="C23" s="9"/>
      <c r="D23" s="9"/>
      <c r="E23" s="9"/>
      <c r="F23" s="9"/>
      <c r="G23" s="9"/>
      <c r="Z23" s="6" t="s">
        <v>29</v>
      </c>
    </row>
    <row r="24" customFormat="false" ht="39.75" hidden="false" customHeight="true" outlineLevel="0" collapsed="false">
      <c r="B24" s="11" t="s">
        <v>36</v>
      </c>
      <c r="C24" s="12"/>
      <c r="G24" s="13" t="str">
        <f aca="false">IF(C24="","Velg i nedtrekksmenyen.",IF(C24="Uformell organisasjon","Riktig. Bokas eget eksempel: bundet sammen av slektskap og følelser, ikke av kontrakter og instrukser (11.1).","Ikke riktig. Bokas eget eksempel: bundet sammen av slektskap og følelser, ikke av kontrakter og instrukser (11.1)."))</f>
        <v>Velg i nedtrekksmenyen.</v>
      </c>
      <c r="Z24" s="6" t="s">
        <v>31</v>
      </c>
    </row>
    <row r="25" customFormat="false" ht="39.75" hidden="false" customHeight="true" outlineLevel="0" collapsed="false">
      <c r="B25" s="11" t="s">
        <v>37</v>
      </c>
      <c r="C25" s="12"/>
      <c r="G25" s="13" t="str">
        <f aca="false">IF(C25="","Velg i nedtrekksmenyen.",IF(C25="Uformell organisasjon","Riktig. Bokas eget eksempel: felles interesse holder den sammen (11.1).","Ikke riktig. Bokas eget eksempel: felles interesse holder den sammen (11.1)."))</f>
        <v>Velg i nedtrekksmenyen.</v>
      </c>
      <c r="Z25" s="6" t="s">
        <v>29</v>
      </c>
    </row>
    <row r="26" customFormat="false" ht="39.75" hidden="false" customHeight="true" outlineLevel="0" collapsed="false">
      <c r="B26" s="11" t="s">
        <v>38</v>
      </c>
      <c r="C26" s="12"/>
      <c r="G26" s="13" t="str">
        <f aca="false">IF(C26="","Velg i nedtrekksmenyen.",IF(C26="Formell organisasjon","Riktig. Hierarki, klare myndighetsforhold, instrukser og sanksjoner; en del av statsforvaltningen (11.1).","Ikke riktig. Hierarki, klare myndighetsforhold, instrukser og sanksjoner; en del av statsforvaltningen (11.1)."))</f>
        <v>Velg i nedtrekksmenyen.</v>
      </c>
      <c r="Z26" s="6" t="s">
        <v>31</v>
      </c>
    </row>
    <row r="27" customFormat="false" ht="39.75" hidden="false" customHeight="true" outlineLevel="0" collapsed="false">
      <c r="B27" s="11" t="s">
        <v>39</v>
      </c>
      <c r="C27" s="12"/>
      <c r="G27" s="13" t="str">
        <f aca="false">IF(C27="","Velg i nedtrekksmenyen.",IF(C27="Formell organisasjon","Riktig. Arbeidsavtaler, en leder, et økonomisk mål. Størrelse står ikke på lista over kjennetegnene (11.1).","Ikke riktig. Arbeidsavtaler, en leder, et økonomisk mål. Størrelse står ikke på lista over kjennetegnene (11.1)."))</f>
        <v>Velg i nedtrekksmenyen.</v>
      </c>
    </row>
    <row r="28" customFormat="false" ht="39.75" hidden="false" customHeight="true" outlineLevel="0" collapsed="false">
      <c r="B28" s="11" t="s">
        <v>40</v>
      </c>
      <c r="C28" s="12"/>
      <c r="G28" s="13" t="str">
        <f aca="false">IF(C28="","Velg i nedtrekksmenyen.",IF(C28="Formell organisasjon","Riktig. Alle seks kjennetegn, fra hierarki til sanksjoner (11.1).","Ikke riktig. Alle seks kjennetegn, fra hierarki til sanksjoner (11.1)."))</f>
        <v>Velg i nedtrekksmenyen.</v>
      </c>
    </row>
    <row r="30" customFormat="false" ht="45" hidden="false" customHeight="true" outlineLevel="0" collapsed="false">
      <c r="B30" s="9" t="s">
        <v>41</v>
      </c>
      <c r="C30" s="9"/>
      <c r="D30" s="9"/>
      <c r="E30" s="9"/>
      <c r="F30" s="9"/>
      <c r="G30" s="9"/>
    </row>
    <row r="31" customFormat="false" ht="21.75" hidden="false" customHeight="true" outlineLevel="0" collapsed="false">
      <c r="B31" s="14"/>
      <c r="C31" s="14"/>
      <c r="D31" s="14"/>
      <c r="E31" s="14"/>
      <c r="F31" s="14"/>
      <c r="G31" s="14"/>
    </row>
    <row r="32" customFormat="false" ht="21.75" hidden="false" customHeight="true" outlineLevel="0" collapsed="false">
      <c r="B32" s="14"/>
      <c r="C32" s="14"/>
      <c r="D32" s="14"/>
      <c r="E32" s="14"/>
      <c r="F32" s="14"/>
      <c r="G32" s="14"/>
    </row>
    <row r="33" customFormat="false" ht="21.75" hidden="false" customHeight="true" outlineLevel="0" collapsed="false">
      <c r="B33" s="14"/>
      <c r="C33" s="14"/>
      <c r="D33" s="14"/>
      <c r="E33" s="14"/>
      <c r="F33" s="14"/>
      <c r="G33" s="14"/>
    </row>
    <row r="34" customFormat="false" ht="39.75" hidden="false" customHeight="true" outlineLevel="0" collapsed="false">
      <c r="B34" s="15" t="str">
        <f aca="false">IF(LEN(B31)&lt;40,"",IF(AND(ISNUMBER(SEARCH("stillingsinstruks",B31)),ISNUMBER(SEARCH("ansvar",B31))),"Bra: du bruker både stillingsinstruks og ansvar. Sjekk at du kobler det til en hendelse: dobbeltbestillingen, den usignerte samsvarserklæringen eller vernerunden.",IF(OR(ISNUMBER(SEARCH("stillingsinstruks",B31)),ISNUMBER(SEARCH("ansvar",B31))),"Du er på sporet. De to som mangler, er klare ansvars- og myndighetsforhold og stillingsinstrukser. Bruk begge ordene, og si hvilken hendelse som ville vært unngått.","Tips: skriv ned hvem som har ansvar for å bestille materiell (da forsvinner dobbeltbestillingen) og hvem som gjør samsvarserklæringen klar til Kari, som faglig ansvarlig signerer. Korte stillingsinstrukser hadde sagt hvem som sørger for at et nytt verneombud blir valgt, så vernerunden ble holdt. Alle virksomheter skal ha verneombud (arbeidsmiljøloven § 6-1).")))</f>
        <v/>
      </c>
      <c r="C34" s="15"/>
      <c r="D34" s="15"/>
      <c r="E34" s="15"/>
      <c r="F34" s="15"/>
      <c r="G34" s="15"/>
    </row>
    <row r="35" customFormat="false" ht="15" hidden="false" customHeight="false" outlineLevel="0" collapsed="false">
      <c r="B35" s="16" t="s">
        <v>42</v>
      </c>
      <c r="C35" s="12"/>
    </row>
    <row r="36" customFormat="false" ht="60" hidden="false" customHeight="true" outlineLevel="0" collapsed="false">
      <c r="B36" s="17" t="str">
        <f aca="false">IF(C35="JA","Hint: Spør: er det skrevet ned og vedtatt, og kan brudd få følger? Arbeidsavtaler, linjen Kari–Ronny–montør, budsjettet og advarselen er formelle. Kaffen, lunsjen, grensen mellom avdelingene og tilliten til Ronny er uformelle. Familien og bridgeklubben er bokas eksempler på uformelle organisasjoner; tingretten, tømrerbedriften og forsikringsselskapet har kjennetegnene, uansett størrelse.","")</f>
        <v/>
      </c>
      <c r="C36" s="17"/>
      <c r="D36" s="17"/>
      <c r="E36" s="17"/>
      <c r="F36" s="17"/>
      <c r="G36" s="17"/>
    </row>
    <row r="38" customFormat="false" ht="30" hidden="false" customHeight="true" outlineLevel="0" collapsed="false">
      <c r="B38" s="7" t="s">
        <v>43</v>
      </c>
      <c r="C38" s="7"/>
      <c r="D38" s="7"/>
      <c r="E38" s="7"/>
      <c r="F38" s="7"/>
      <c r="G38" s="7"/>
    </row>
  </sheetData>
  <mergeCells count="16">
    <mergeCell ref="B2:G2"/>
    <mergeCell ref="B3:G3"/>
    <mergeCell ref="B4:G4"/>
    <mergeCell ref="B5:G5"/>
    <mergeCell ref="B6:G6"/>
    <mergeCell ref="B7:G7"/>
    <mergeCell ref="B9:G9"/>
    <mergeCell ref="B10:G10"/>
    <mergeCell ref="B12:G12"/>
    <mergeCell ref="B22:G22"/>
    <mergeCell ref="B23:G23"/>
    <mergeCell ref="B30:G30"/>
    <mergeCell ref="B31:G33"/>
    <mergeCell ref="B34:G34"/>
    <mergeCell ref="B36:G36"/>
    <mergeCell ref="B38:G38"/>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LEFT(G24,4)="Ikke"</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LEFT(G25,4)="Ikke"</formula>
    </cfRule>
  </conditionalFormatting>
  <conditionalFormatting sqref="G26">
    <cfRule type="expression" priority="22" aboveAverage="0" equalAverage="0" bottom="0" percent="0" rank="0" text="" dxfId="0">
      <formula>LEFT(G26,6)="Riktig"</formula>
    </cfRule>
    <cfRule type="expression" priority="23" aboveAverage="0" equalAverage="0" bottom="0" percent="0" rank="0" text="" dxfId="1">
      <formula>LEFT(G26,4)="Ikke"</formula>
    </cfRule>
  </conditionalFormatting>
  <conditionalFormatting sqref="G27">
    <cfRule type="expression" priority="24" aboveAverage="0" equalAverage="0" bottom="0" percent="0" rank="0" text="" dxfId="0">
      <formula>LEFT(G27,6)="Riktig"</formula>
    </cfRule>
    <cfRule type="expression" priority="25" aboveAverage="0" equalAverage="0" bottom="0" percent="0" rank="0" text="" dxfId="1">
      <formula>LEFT(G27,4)="Ikke"</formula>
    </cfRule>
  </conditionalFormatting>
  <conditionalFormatting sqref="G28">
    <cfRule type="expression" priority="26" aboveAverage="0" equalAverage="0" bottom="0" percent="0" rank="0" text="" dxfId="0">
      <formula>LEFT(G28,6)="Riktig"</formula>
    </cfRule>
    <cfRule type="expression" priority="27" aboveAverage="0" equalAverage="0" bottom="0" percent="0" rank="0" text="" dxfId="1">
      <formula>LEFT(G28,4)="Ikke"</formula>
    </cfRule>
  </conditionalFormatting>
  <dataValidations count="14">
    <dataValidation allowBlank="true" errorStyle="stop" operator="between" showDropDown="false" showErrorMessage="false" showInputMessage="false" sqref="C13" type="list">
      <formula1>$Z$1:$Z$2</formula1>
      <formula2>0</formula2>
    </dataValidation>
    <dataValidation allowBlank="true" errorStyle="stop" operator="between" showDropDown="false" showErrorMessage="false" showInputMessage="false" sqref="C14" type="list">
      <formula1>$Z$3:$Z$4</formula1>
      <formula2>0</formula2>
    </dataValidation>
    <dataValidation allowBlank="true" errorStyle="stop" operator="between" showDropDown="false" showErrorMessage="false" showInputMessage="false" sqref="C15" type="list">
      <formula1>$Z$5:$Z$6</formula1>
      <formula2>0</formula2>
    </dataValidation>
    <dataValidation allowBlank="true" errorStyle="stop" operator="between" showDropDown="false" showErrorMessage="false" showInputMessage="false" sqref="C16" type="list">
      <formula1>$Z$7:$Z$8</formula1>
      <formula2>0</formula2>
    </dataValidation>
    <dataValidation allowBlank="true" errorStyle="stop" operator="between" showDropDown="false" showErrorMessage="false" showInputMessage="false" sqref="C17" type="list">
      <formula1>$Z$9:$Z$10</formula1>
      <formula2>0</formula2>
    </dataValidation>
    <dataValidation allowBlank="true" errorStyle="stop" operator="between" showDropDown="false" showErrorMessage="false" showInputMessage="false" sqref="C18" type="list">
      <formula1>$Z$11:$Z$12</formula1>
      <formula2>0</formula2>
    </dataValidation>
    <dataValidation allowBlank="true" errorStyle="stop" operator="between" showDropDown="false" showErrorMessage="false" showInputMessage="false" sqref="C19" type="list">
      <formula1>$Z$13:$Z$14</formula1>
      <formula2>0</formula2>
    </dataValidation>
    <dataValidation allowBlank="true" errorStyle="stop" operator="between" showDropDown="false" showErrorMessage="false" showInputMessage="false" sqref="C20" type="list">
      <formula1>$Z$15:$Z$16</formula1>
      <formula2>0</formula2>
    </dataValidation>
    <dataValidation allowBlank="true" errorStyle="stop" operator="between" showDropDown="false" showErrorMessage="false" showInputMessage="false" sqref="C24" type="list">
      <formula1>$Z$17:$Z$18</formula1>
      <formula2>0</formula2>
    </dataValidation>
    <dataValidation allowBlank="true" errorStyle="stop" operator="between" showDropDown="false" showErrorMessage="false" showInputMessage="false" sqref="C25" type="list">
      <formula1>$Z$19:$Z$20</formula1>
      <formula2>0</formula2>
    </dataValidation>
    <dataValidation allowBlank="true" errorStyle="stop" operator="between" showDropDown="false" showErrorMessage="false" showInputMessage="false" sqref="C26" type="list">
      <formula1>$Z$21:$Z$22</formula1>
      <formula2>0</formula2>
    </dataValidation>
    <dataValidation allowBlank="true" errorStyle="stop" operator="between" showDropDown="false" showErrorMessage="false" showInputMessage="false" sqref="C27" type="list">
      <formula1>$Z$23:$Z$24</formula1>
      <formula2>0</formula2>
    </dataValidation>
    <dataValidation allowBlank="true" errorStyle="stop" operator="between" showDropDown="false" showErrorMessage="false" showInputMessage="false" sqref="C28" type="list">
      <formula1>$Z$25:$Z$26</formula1>
      <formula2>0</formula2>
    </dataValidation>
    <dataValidation allowBlank="true" errorStyle="stop" operator="between" showDropDown="false" showErrorMessage="false" showInputMessage="false" sqref="C3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44</v>
      </c>
    </row>
    <row r="2" customFormat="false" ht="25.5" hidden="false" customHeight="true" outlineLevel="0" collapsed="false">
      <c r="B2" s="5" t="s">
        <v>45</v>
      </c>
      <c r="C2" s="5"/>
      <c r="D2" s="5"/>
      <c r="E2" s="5"/>
      <c r="F2" s="5"/>
      <c r="G2" s="5"/>
      <c r="Z2" s="6" t="s">
        <v>46</v>
      </c>
    </row>
    <row r="3" customFormat="false" ht="15" hidden="false" customHeight="true" outlineLevel="0" collapsed="false">
      <c r="B3" s="7" t="s">
        <v>16</v>
      </c>
      <c r="C3" s="7"/>
      <c r="D3" s="7"/>
      <c r="E3" s="7"/>
      <c r="F3" s="7"/>
      <c r="G3" s="7"/>
      <c r="Z3" s="6" t="s">
        <v>47</v>
      </c>
    </row>
    <row r="4" customFormat="false" ht="15.75" hidden="false" customHeight="true" outlineLevel="0" collapsed="false">
      <c r="B4" s="8" t="s">
        <v>17</v>
      </c>
      <c r="C4" s="8"/>
      <c r="D4" s="8"/>
      <c r="E4" s="8"/>
      <c r="F4" s="8"/>
      <c r="G4" s="8"/>
      <c r="Z4" s="6" t="s">
        <v>44</v>
      </c>
    </row>
    <row r="5" customFormat="false" ht="45" hidden="false" customHeight="true" outlineLevel="0" collapsed="false">
      <c r="B5" s="9" t="s">
        <v>48</v>
      </c>
      <c r="C5" s="9"/>
      <c r="D5" s="9"/>
      <c r="E5" s="9"/>
      <c r="F5" s="9"/>
      <c r="G5" s="9"/>
      <c r="Z5" s="6" t="s">
        <v>46</v>
      </c>
    </row>
    <row r="6" customFormat="false" ht="15.75" hidden="false" customHeight="true" outlineLevel="0" collapsed="false">
      <c r="B6" s="8" t="s">
        <v>19</v>
      </c>
      <c r="C6" s="8"/>
      <c r="D6" s="8"/>
      <c r="E6" s="8"/>
      <c r="F6" s="8"/>
      <c r="G6" s="8"/>
      <c r="Z6" s="6" t="s">
        <v>47</v>
      </c>
    </row>
    <row r="7" customFormat="false" ht="45" hidden="false" customHeight="true" outlineLevel="0" collapsed="false">
      <c r="B7" s="9" t="s">
        <v>49</v>
      </c>
      <c r="C7" s="9"/>
      <c r="D7" s="9"/>
      <c r="E7" s="9"/>
      <c r="F7" s="9"/>
      <c r="G7" s="9"/>
      <c r="Z7" s="6" t="s">
        <v>44</v>
      </c>
    </row>
    <row r="8" customFormat="false" ht="15" hidden="false" customHeight="false" outlineLevel="0" collapsed="false">
      <c r="Z8" s="0" t="s">
        <v>46</v>
      </c>
    </row>
    <row r="9" customFormat="false" ht="15.75" hidden="false" customHeight="true" outlineLevel="0" collapsed="false">
      <c r="B9" s="8" t="s">
        <v>50</v>
      </c>
      <c r="C9" s="8"/>
      <c r="D9" s="8"/>
      <c r="E9" s="8"/>
      <c r="F9" s="8"/>
      <c r="G9" s="8"/>
      <c r="Z9" s="6" t="s">
        <v>47</v>
      </c>
    </row>
    <row r="10" customFormat="false" ht="60" hidden="false" customHeight="true" outlineLevel="0" collapsed="false">
      <c r="B10" s="9" t="s">
        <v>51</v>
      </c>
      <c r="C10" s="9"/>
      <c r="D10" s="9"/>
      <c r="E10" s="9"/>
      <c r="F10" s="9"/>
      <c r="G10" s="9"/>
      <c r="Z10" s="6" t="s">
        <v>44</v>
      </c>
    </row>
    <row r="11" customFormat="false" ht="15" hidden="false" customHeight="false" outlineLevel="0" collapsed="false">
      <c r="Z11" s="0" t="s">
        <v>46</v>
      </c>
    </row>
    <row r="12" customFormat="false" ht="15.75" hidden="false" customHeight="true" outlineLevel="0" collapsed="false">
      <c r="B12" s="8" t="s">
        <v>52</v>
      </c>
      <c r="C12" s="8"/>
      <c r="D12" s="8"/>
      <c r="E12" s="8"/>
      <c r="F12" s="8"/>
      <c r="G12" s="8"/>
      <c r="Z12" s="6" t="s">
        <v>47</v>
      </c>
    </row>
    <row r="13" customFormat="false" ht="60" hidden="false" customHeight="true" outlineLevel="0" collapsed="false">
      <c r="B13" s="9" t="s">
        <v>53</v>
      </c>
      <c r="C13" s="9"/>
      <c r="D13" s="9"/>
      <c r="E13" s="9"/>
      <c r="F13" s="9"/>
      <c r="G13" s="9"/>
      <c r="Z13" s="6" t="s">
        <v>44</v>
      </c>
    </row>
    <row r="14" customFormat="false" ht="15" hidden="false" customHeight="false" outlineLevel="0" collapsed="false">
      <c r="Z14" s="0" t="s">
        <v>46</v>
      </c>
    </row>
    <row ht="17.25" customHeight="true" r="15" customFormat="false" hidden="false" outlineLevel="0" collapsed="false">
      <c r="B15" s="10" t="s">
        <v>54</v>
      </c>
      <c r="C15" s="10"/>
      <c r="D15" s="10"/>
      <c r="E15" s="10"/>
      <c r="F15" s="10"/>
      <c r="G15" s="10"/>
      <c r="Z15" s="6" t="s">
        <v>47</v>
      </c>
    </row>
    <row r="16" customFormat="false" ht="39.75" hidden="false" customHeight="true" outlineLevel="0" collapsed="false">
      <c r="B16" s="11" t="s">
        <v>55</v>
      </c>
      <c r="C16" s="12"/>
      <c r="G16" s="13" t="str">
        <f aca="false">IF(C16="","Velg i nedtrekksmenyen.",IF(C16="Kari Nordlund","Riktig. Tom leder en avdeling og står rett under daglig leder.","Ikke riktig. Tom leder en avdeling og står rett under daglig leder."))</f>
        <v>Velg i nedtrekksmenyen.</v>
      </c>
      <c r="Z16" s="6" t="s">
        <v>44</v>
      </c>
    </row>
    <row r="17" customFormat="false" ht="39.75" hidden="false" customHeight="true" outlineLevel="0" collapsed="false">
      <c r="B17" s="11" t="s">
        <v>56</v>
      </c>
      <c r="C17" s="12"/>
      <c r="G17" s="13" t="str">
        <f aca="false">IF(C17="","Velg i nedtrekksmenyen.",IF(C17="Kari Nordlund","Riktig. Ronny leder en avdeling og står rett under daglig leder.","Ikke riktig. Ronny leder en avdeling og står rett under daglig leder."))</f>
        <v>Velg i nedtrekksmenyen.</v>
      </c>
      <c r="Z17" s="6" t="s">
        <v>46</v>
      </c>
    </row>
    <row r="18" customFormat="false" ht="39.75" hidden="false" customHeight="true" outlineLevel="0" collapsed="false">
      <c r="B18" s="11" t="s">
        <v>57</v>
      </c>
      <c r="C18" s="12"/>
      <c r="G18" s="13" t="str">
        <f aca="false">IF(C18="","Velg i nedtrekksmenyen.",IF(C18="Kari Nordlund","Riktig. Ida har ingen avdeling under seg og rapporterer til Kari. Ordet for en slik stilling, stab, kommer i kapittel 14.","Ikke riktig. Ida har ingen avdeling under seg og rapporterer til Kari. Ordet for en slik stilling, stab, kommer i kapittel 14."))</f>
        <v>Velg i nedtrekksmenyen.</v>
      </c>
      <c r="Z18" s="6" t="s">
        <v>47</v>
      </c>
    </row>
    <row r="19" customFormat="false" ht="39.75" hidden="false" customHeight="true" outlineLevel="0" collapsed="false">
      <c r="B19" s="11" t="s">
        <v>58</v>
      </c>
      <c r="C19" s="12"/>
      <c r="G19" s="13" t="str">
        <f aca="false">IF(C19="","Velg i nedtrekksmenyen.",IF(C19="Tom Berg","Riktig. Tom er driftsleder for service.","Ikke riktig. Tom er driftsleder for service."))</f>
        <v>Velg i nedtrekksmenyen.</v>
      </c>
      <c r="Z19" s="6" t="s">
        <v>44</v>
      </c>
    </row>
    <row r="20" customFormat="false" ht="39.75" hidden="false" customHeight="true" outlineLevel="0" collapsed="false">
      <c r="B20" s="11" t="s">
        <v>59</v>
      </c>
      <c r="C20" s="12"/>
      <c r="G20" s="13" t="str">
        <f aca="false">IF(C20="","Velg i nedtrekksmenyen.",IF(C20="Tom Berg","Riktig. Lærlingen følger avdelingens leder, Tom.","Ikke riktig. Lærlingen følger avdelingens leder, Tom."))</f>
        <v>Velg i nedtrekksmenyen.</v>
      </c>
      <c r="Z20" s="6" t="s">
        <v>46</v>
      </c>
    </row>
    <row r="21" customFormat="false" ht="39.75" hidden="false" customHeight="true" outlineLevel="0" collapsed="false">
      <c r="B21" s="11" t="s">
        <v>60</v>
      </c>
      <c r="C21" s="12"/>
      <c r="G21" s="13" t="str">
        <f aca="false">IF(C21="","Velg i nedtrekksmenyen.",IF(C21="Ronny Fjeld","Riktig. Ronny er formann og leder montørene på bygget.","Ikke riktig. Ronny er formann og leder montørene på bygget."))</f>
        <v>Velg i nedtrekksmenyen.</v>
      </c>
      <c r="Z21" s="6" t="s">
        <v>47</v>
      </c>
    </row>
    <row r="22" customFormat="false" ht="39.75" hidden="false" customHeight="true" outlineLevel="0" collapsed="false">
      <c r="B22" s="11" t="s">
        <v>61</v>
      </c>
      <c r="C22" s="12"/>
      <c r="G22" s="13" t="str">
        <f aca="false">IF(C22="","Velg i nedtrekksmenyen.",IF(C22="Ronny Fjeld","Riktig. Sara følger Ronny, som leder avdelingen.","Ikke riktig. Sara følger Ronny, som leder avdelingen."))</f>
        <v>Velg i nedtrekksmenyen.</v>
      </c>
      <c r="Z22" s="6" t="s">
        <v>44</v>
      </c>
    </row>
    <row r="23" customFormat="false" ht="39.75" hidden="false" customHeight="true" outlineLevel="0" collapsed="false">
      <c r="B23" s="11" t="s">
        <v>62</v>
      </c>
      <c r="C23" s="12"/>
      <c r="G23" s="13" t="str">
        <f aca="false">IF(C23="","Velg i nedtrekksmenyen.",IF(C23="Kari Nordlund","Riktig. Avdelingen har ingen egen leder, så de to rapporterer rett til Kari. Det er hullet i kartet.","Ikke riktig. Avdelingen har ingen egen leder, så de to rapporterer rett til Kari. Det er hullet i kartet."))</f>
        <v>Velg i nedtrekksmenyen.</v>
      </c>
      <c r="Z23" s="6" t="s">
        <v>46</v>
      </c>
    </row>
    <row r="24" customFormat="false" ht="15" hidden="false" customHeight="false" outlineLevel="0" collapsed="false">
      <c r="Z24" s="0" t="s">
        <v>47</v>
      </c>
    </row>
    <row r="25" customFormat="false" ht="43.5" hidden="false" customHeight="true" outlineLevel="0" collapsed="false">
      <c r="B25" s="11" t="s">
        <v>63</v>
      </c>
      <c r="C25" s="18"/>
      <c r="D25" s="19" t="s">
        <v>64</v>
      </c>
      <c r="G25" s="13" t="str">
        <f aca="false">IF(C25="","Skriv svaret i den gule cellen.",IF(C25=(5),"Riktig.",IF(ABS(C25-(3))&lt;=0,"Du har telt Tom, Ronny og Ida. De to montørene på solcelle og lading har ingen leder mellom seg og Kari, så de teller også.",IF(ABS(C25-(4))&lt;=0,"Nesten. Tom, Ronny, Ida og begge de to solcellemontørene; sjekk om du mangler én.",IF(ABS(C25-(17))&lt;=0,"Det er alle de andre i bedriften. Her teller vi bare dem som rapporterer rett til Kari.","Ikke riktig ennå. Se på regnestykket øverst på fanen, og sjekk at du har med alle leddene.")))))</f>
        <v>Skriv svaret i den gule cellen.</v>
      </c>
      <c r="Z25" s="6" t="s">
        <v>44</v>
      </c>
    </row>
    <row r="26" customFormat="false" ht="43.5" hidden="false" customHeight="true" outlineLevel="0" collapsed="false">
      <c r="B26" s="11" t="s">
        <v>65</v>
      </c>
      <c r="C26" s="18"/>
      <c r="D26" s="19" t="s">
        <v>64</v>
      </c>
      <c r="G26" s="13" t="str">
        <f aca="false">IF(C26="","Skriv svaret i den gule cellen.",IF(C26=(5),"Riktig.",IF(ABS(C26-(4))&lt;=0,"Du har telt montørene, men glemt lærlingen på service.",IF(ABS(C26-(2))&lt;=0,"Det er faktaarkets «Tom og to montører» på sikringsskapbytter. I kartet her har service 4 montører og 1 lærling.","Ikke riktig ennå. Se på regnestykket øverst på fanen, og sjekk at du har med alle leddene."))))</f>
        <v>Skriv svaret i den gule cellen.</v>
      </c>
      <c r="Z26" s="6" t="s">
        <v>46</v>
      </c>
    </row>
    <row r="27" customFormat="false" ht="43.5" hidden="false" customHeight="true" outlineLevel="0" collapsed="false">
      <c r="B27" s="11" t="s">
        <v>66</v>
      </c>
      <c r="C27" s="18"/>
      <c r="D27" s="19" t="s">
        <v>64</v>
      </c>
      <c r="G27" s="13" t="str">
        <f aca="false">IF(C27="","Skriv svaret i den gule cellen.",IF(C27=(7),"Riktig.",IF(ABS(C27-(6))&lt;=0,"Du har telt montørene, men glemt Sara, lærlingen.",IF(ABS(C27-(8))&lt;=0,"Du har telt én for mye. Ronny har 6 montører og 1 lærling.","Ikke riktig ennå. Se på regnestykket øverst på fanen, og sjekk at du har med alle leddene."))))</f>
        <v>Skriv svaret i den gule cellen.</v>
      </c>
      <c r="Z27" s="6" t="s">
        <v>47</v>
      </c>
    </row>
    <row r="28" customFormat="false" ht="39.75" hidden="false" customHeight="true" outlineLevel="0" collapsed="false">
      <c r="B28" s="0" t="s">
        <v>67</v>
      </c>
      <c r="C28" s="20" t="n">
        <f aca="false">1+C25+C26+C27</f>
        <v>1</v>
      </c>
      <c r="G28" s="11" t="str">
        <f aca="false">IF(OR(C25="",C26="",C27=""),"",IF(1+C25+C26+C27=18,"Riktig. Alle 18 er plassert: Kari, 5 under henne, 5 under Tom og 7 under Ronny.","Summen er ikke 18. Noen er telt to ganger eller glemt. Montørene er 4 + 6 + 2 = 12, lærlingene 1 + 1 = 2, og Ida teller under Kari."))</f>
        <v/>
      </c>
      <c r="Z28" s="6" t="s">
        <v>68</v>
      </c>
    </row>
    <row ht="46.5" customHeight="true" r="30" customFormat="false" hidden="false" outlineLevel="0" collapsed="false">
      <c r="B30" s="11" t="s">
        <v>69</v>
      </c>
      <c r="C30" s="12"/>
      <c r="G30" s="13" t="str">
        <f aca="false">IF(C30="","Velg i nedtrekksmenyen.",IF(C30="Kari Nordlund","Riktig. Kari er elektroinstallatør og står i Elvirksomhetsregisteret. FEK § 7 krever fagskole eller tilsvarende, fagbrev og tre års relevant praksis. Tom er elektriker, Ronny formann, Ida kalkulatør.","Ikke riktig. Kari er elektroinstallatør og står i Elvirksomhetsregisteret. FEK § 7 krever fagskole eller tilsvarende, fagbrev og tre års relevant praksis. Tom er elektriker, Ronny formann, Ida kalkulatør."))</f>
        <v>Velg i nedtrekksmenyen.</v>
      </c>
    </row>
    <row ht="17.25" customHeight="true" r="32" customFormat="false" hidden="false" outlineLevel="0" collapsed="false">
      <c r="B32" s="9" t="s">
        <v>70</v>
      </c>
      <c r="C32" s="9"/>
      <c r="D32" s="9"/>
      <c r="E32" s="9"/>
      <c r="F32" s="9"/>
      <c r="G32" s="9"/>
    </row>
    <row r="33" customFormat="false" ht="21.75" hidden="false" customHeight="true" outlineLevel="0" collapsed="false">
      <c r="B33" s="14"/>
      <c r="C33" s="14"/>
      <c r="D33" s="14"/>
      <c r="E33" s="14"/>
      <c r="F33" s="14"/>
      <c r="G33" s="14"/>
    </row>
    <row r="34" customFormat="false" ht="21.75" hidden="false" customHeight="true" outlineLevel="0" collapsed="false">
      <c r="B34" s="14"/>
      <c r="C34" s="14"/>
      <c r="D34" s="14"/>
      <c r="E34" s="14"/>
      <c r="F34" s="14"/>
      <c r="G34" s="14"/>
    </row>
    <row r="35" customFormat="false" ht="21.75" hidden="false" customHeight="true" outlineLevel="0" collapsed="false">
      <c r="B35" s="14"/>
      <c r="C35" s="14"/>
      <c r="D35" s="14"/>
      <c r="E35" s="14"/>
      <c r="F35" s="14"/>
      <c r="G35" s="14"/>
    </row>
    <row r="36" customFormat="false" ht="39.75" hidden="false" customHeight="true" outlineLevel="0" collapsed="false">
      <c r="B36" s="15" t="str">
        <f aca="false">IF(LEN(B33)&lt;40,"",IF(AND(ISNUMBER(SEARCH("solcelle",B33)),ISNUMBER(SEARCH("leder",B33))),"Bra: du har funnet hullet og foreslår en leder. Sjekk at du også sier hva det koster montøren i dag: han ringer Kari, og Kari sitter i møte.",IF(OR(ISNUMBER(SEARCH("solcelle",B33)),ISNUMBER(SEARCH("leder",B33))),"Du er på sporet. Hullet er avdelingen uten leder. Si hvilken, og si hva Kari kan gjøre: gi avdelingen en leder, eller legge den under Tom eller Ronny.","Tips: solcelle og lading har ingen leder. De to montørene ringer Kari, og Kari sitter i møte. Kari kan gi avdelingen en leder, eller legge den under Tom eller Ronny, og skrive det i kartet.")))</f>
        <v/>
      </c>
      <c r="C36" s="15"/>
      <c r="D36" s="15"/>
      <c r="E36" s="15"/>
      <c r="F36" s="15"/>
      <c r="G36" s="15"/>
    </row>
    <row r="37" customFormat="false" ht="15" hidden="false" customHeight="false" outlineLevel="0" collapsed="false">
      <c r="B37" s="16" t="s">
        <v>42</v>
      </c>
      <c r="C37" s="12"/>
    </row>
    <row r="38" customFormat="false" ht="45" hidden="false" customHeight="true" outlineLevel="0" collapsed="false">
      <c r="B38" s="17" t="str">
        <f aca="false">IF(C37="JA","Hint: Følg linjen: Tom, Ronny og Ida står rett under Kari, og det gjør også de to solcellemontørene, fordi ingen leder står mellom. Kari: 3 + 2 = 5. Tom: 4 montører + 1 lærling = 5. Ronny: 6 montører + Sara = 7. Kontroll: 1 + 5 + 5 + 7 = 18. Faglig ansvarlig er installatøren, Kari.","")</f>
        <v/>
      </c>
      <c r="C38" s="17"/>
      <c r="D38" s="17"/>
      <c r="E38" s="17"/>
      <c r="F38" s="17"/>
      <c r="G38" s="17"/>
    </row>
    <row r="40" customFormat="false" ht="30" hidden="false" customHeight="true" outlineLevel="0" collapsed="false">
      <c r="B40" s="7" t="s">
        <v>43</v>
      </c>
      <c r="C40" s="7"/>
      <c r="D40" s="7"/>
      <c r="E40" s="7"/>
      <c r="F40" s="7"/>
      <c r="G40" s="7"/>
    </row>
  </sheetData>
  <mergeCells count="16">
    <mergeCell ref="B2:G2"/>
    <mergeCell ref="B3:G3"/>
    <mergeCell ref="B4:G4"/>
    <mergeCell ref="B5:G5"/>
    <mergeCell ref="B6:G6"/>
    <mergeCell ref="B7:G7"/>
    <mergeCell ref="B9:G9"/>
    <mergeCell ref="B10:G10"/>
    <mergeCell ref="B12:G12"/>
    <mergeCell ref="B13:G13"/>
    <mergeCell ref="B15:G15"/>
    <mergeCell ref="B32:G32"/>
    <mergeCell ref="B33:G35"/>
    <mergeCell ref="B36:G36"/>
    <mergeCell ref="B38:G38"/>
    <mergeCell ref="B40:G40"/>
  </mergeCells>
  <conditionalFormatting sqref="G16">
    <cfRule type="expression" priority="2" aboveAverage="0" equalAverage="0" bottom="0" percent="0" rank="0" text="" dxfId="0">
      <formula>LEFT(G16,6)="Riktig"</formula>
    </cfRule>
    <cfRule type="expression" priority="3" aboveAverage="0" equalAverage="0" bottom="0" percent="0" rank="0" text="" dxfId="1">
      <formula>LEFT(G16,4)="Ikke"</formula>
    </cfRule>
  </conditionalFormatting>
  <conditionalFormatting sqref="G17">
    <cfRule type="expression" priority="4" aboveAverage="0" equalAverage="0" bottom="0" percent="0" rank="0" text="" dxfId="0">
      <formula>LEFT(G17,6)="Riktig"</formula>
    </cfRule>
    <cfRule type="expression" priority="5" aboveAverage="0" equalAverage="0" bottom="0" percent="0" rank="0" text="" dxfId="1">
      <formula>LEFT(G17,4)="Ikke"</formula>
    </cfRule>
  </conditionalFormatting>
  <conditionalFormatting sqref="G18">
    <cfRule type="expression" priority="6" aboveAverage="0" equalAverage="0" bottom="0" percent="0" rank="0" text="" dxfId="0">
      <formula>LEFT(G18,6)="Riktig"</formula>
    </cfRule>
    <cfRule type="expression" priority="7" aboveAverage="0" equalAverage="0" bottom="0" percent="0" rank="0" text="" dxfId="1">
      <formula>LEFT(G18,4)="Ikke"</formula>
    </cfRule>
  </conditionalFormatting>
  <conditionalFormatting sqref="G19">
    <cfRule type="expression" priority="8" aboveAverage="0" equalAverage="0" bottom="0" percent="0" rank="0" text="" dxfId="0">
      <formula>LEFT(G19,6)="Riktig"</formula>
    </cfRule>
    <cfRule type="expression" priority="9" aboveAverage="0" equalAverage="0" bottom="0" percent="0" rank="0" text="" dxfId="1">
      <formula>LEFT(G19,4)="Ikke"</formula>
    </cfRule>
  </conditionalFormatting>
  <conditionalFormatting sqref="G20">
    <cfRule type="expression" priority="10" aboveAverage="0" equalAverage="0" bottom="0" percent="0" rank="0" text="" dxfId="0">
      <formula>LEFT(G20,6)="Riktig"</formula>
    </cfRule>
    <cfRule type="expression" priority="11" aboveAverage="0" equalAverage="0" bottom="0" percent="0" rank="0" text="" dxfId="1">
      <formula>LEFT(G20,4)="Ikke"</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LEFT(G21,4)="Ikke"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LEFT(G22,4)="Ikke"</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LEFT(G23,4)="Ikke"</formula>
    </cfRule>
  </conditionalFormatting>
  <conditionalFormatting sqref="G25">
    <cfRule type="expression" priority="18" aboveAverage="0" equalAverage="0" bottom="0" percent="0" rank="0" text="" dxfId="0">
      <formula>LEFT(G25,6)="Riktig"</formula>
    </cfRule>
    <cfRule type="expression" priority="19" aboveAverage="0" equalAverage="0" bottom="0" percent="0" rank="0" text="" dxfId="1">
      <formula>AND(G25&lt;&gt;"",LEFT(G25,6)&lt;&gt;"Riktig",LEFT(G25,5)&lt;&gt;"Skriv")</formula>
    </cfRule>
  </conditionalFormatting>
  <conditionalFormatting sqref="G26">
    <cfRule type="expression" priority="20" aboveAverage="0" equalAverage="0" bottom="0" percent="0" rank="0" text="" dxfId="0">
      <formula>LEFT(G26,6)="Riktig"</formula>
    </cfRule>
    <cfRule type="expression" priority="21" aboveAverage="0" equalAverage="0" bottom="0" percent="0" rank="0" text="" dxfId="1">
      <formula>AND(G26&lt;&gt;"",LEFT(G26,6)&lt;&gt;"Riktig",LEFT(G26,5)&lt;&gt;"Skriv")</formula>
    </cfRule>
  </conditionalFormatting>
  <conditionalFormatting sqref="G27">
    <cfRule type="expression" priority="22" aboveAverage="0" equalAverage="0" bottom="0" percent="0" rank="0" text="" dxfId="0">
      <formula>LEFT(G27,6)="Riktig"</formula>
    </cfRule>
    <cfRule type="expression" priority="23" aboveAverage="0" equalAverage="0" bottom="0" percent="0" rank="0" text="" dxfId="1">
      <formula>AND(G27&lt;&gt;"",LEFT(G27,6)&lt;&gt;"Riktig",LEFT(G27,5)&lt;&gt;"Skriv")</formula>
    </cfRule>
  </conditionalFormatting>
  <conditionalFormatting sqref="G30">
    <cfRule type="expression" priority="24" aboveAverage="0" equalAverage="0" bottom="0" percent="0" rank="0" text="" dxfId="0">
      <formula>LEFT(G30,6)="Riktig"</formula>
    </cfRule>
    <cfRule type="expression" priority="25" aboveAverage="0" equalAverage="0" bottom="0" percent="0" rank="0" text="" dxfId="1">
      <formula>LEFT(G30,4)="Ikke"</formula>
    </cfRule>
  </conditionalFormatting>
  <dataValidations count="10">
    <dataValidation allowBlank="true" errorStyle="stop" operator="between" showDropDown="false" showErrorMessage="false" showInputMessage="false" sqref="C16" type="list">
      <formula1>$Z$1:$Z$3</formula1>
      <formula2>0</formula2>
    </dataValidation>
    <dataValidation allowBlank="true" errorStyle="stop" operator="between" showDropDown="false" showErrorMessage="false" showInputMessage="false" sqref="C17" type="list">
      <formula1>$Z$4:$Z$6</formula1>
      <formula2>0</formula2>
    </dataValidation>
    <dataValidation allowBlank="true" errorStyle="stop" operator="between" showDropDown="false" showErrorMessage="false" showInputMessage="false" sqref="C18" type="list">
      <formula1>$Z$7:$Z$9</formula1>
      <formula2>0</formula2>
    </dataValidation>
    <dataValidation allowBlank="true" errorStyle="stop" operator="between" showDropDown="false" showErrorMessage="false" showInputMessage="false" sqref="C19" type="list">
      <formula1>$Z$10:$Z$12</formula1>
      <formula2>0</formula2>
    </dataValidation>
    <dataValidation allowBlank="true" errorStyle="stop" operator="between" showDropDown="false" showErrorMessage="false" showInputMessage="false" sqref="C20" type="list">
      <formula1>$Z$13:$Z$15</formula1>
      <formula2>0</formula2>
    </dataValidation>
    <dataValidation allowBlank="true" errorStyle="stop" operator="between" showDropDown="false" showErrorMessage="false" showInputMessage="false" sqref="C21" type="list">
      <formula1>$Z$16:$Z$18</formula1>
      <formula2>0</formula2>
    </dataValidation>
    <dataValidation allowBlank="true" errorStyle="stop" operator="between" showDropDown="false" showErrorMessage="false" showInputMessage="false" sqref="C22" type="list">
      <formula1>$Z$19:$Z$21</formula1>
      <formula2>0</formula2>
    </dataValidation>
    <dataValidation allowBlank="true" errorStyle="stop" operator="between" showDropDown="false" showErrorMessage="false" showInputMessage="false" sqref="C23" type="list">
      <formula1>$Z$22:$Z$24</formula1>
      <formula2>0</formula2>
    </dataValidation>
    <dataValidation allowBlank="true" errorStyle="stop" operator="between" showDropDown="false" showErrorMessage="false" showInputMessage="false" sqref="C30" type="list">
      <formula1>$Z$25:$Z$28</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71</v>
      </c>
    </row>
    <row r="2" customFormat="false" ht="25.5" hidden="false" customHeight="true" outlineLevel="0" collapsed="false">
      <c r="B2" s="5" t="s">
        <v>72</v>
      </c>
      <c r="C2" s="5"/>
      <c r="D2" s="5"/>
      <c r="E2" s="5"/>
      <c r="F2" s="5"/>
      <c r="G2" s="5"/>
      <c r="Z2" s="6" t="s">
        <v>73</v>
      </c>
    </row>
    <row r="3" customFormat="false" ht="15" hidden="false" customHeight="true" outlineLevel="0" collapsed="false">
      <c r="B3" s="7" t="s">
        <v>16</v>
      </c>
      <c r="C3" s="7"/>
      <c r="D3" s="7"/>
      <c r="E3" s="7"/>
      <c r="F3" s="7"/>
      <c r="G3" s="7"/>
      <c r="Z3" s="6" t="s">
        <v>74</v>
      </c>
    </row>
    <row r="4" customFormat="false" ht="15.75" hidden="false" customHeight="true" outlineLevel="0" collapsed="false">
      <c r="B4" s="8" t="s">
        <v>17</v>
      </c>
      <c r="C4" s="8"/>
      <c r="D4" s="8"/>
      <c r="E4" s="8"/>
      <c r="F4" s="8"/>
      <c r="G4" s="8"/>
      <c r="Z4" s="6" t="s">
        <v>71</v>
      </c>
    </row>
    <row r="5" customFormat="false" ht="45" hidden="false" customHeight="true" outlineLevel="0" collapsed="false">
      <c r="B5" s="9" t="s">
        <v>75</v>
      </c>
      <c r="C5" s="9"/>
      <c r="D5" s="9"/>
      <c r="E5" s="9"/>
      <c r="F5" s="9"/>
      <c r="G5" s="9"/>
      <c r="Z5" s="6" t="s">
        <v>73</v>
      </c>
    </row>
    <row r="6" customFormat="false" ht="15.75" hidden="false" customHeight="true" outlineLevel="0" collapsed="false">
      <c r="B6" s="8" t="s">
        <v>19</v>
      </c>
      <c r="C6" s="8"/>
      <c r="D6" s="8"/>
      <c r="E6" s="8"/>
      <c r="F6" s="8"/>
      <c r="G6" s="8"/>
      <c r="Z6" s="6" t="s">
        <v>74</v>
      </c>
    </row>
    <row r="7" customFormat="false" ht="75" hidden="false" customHeight="true" outlineLevel="0" collapsed="false">
      <c r="B7" s="9" t="s">
        <v>76</v>
      </c>
      <c r="C7" s="9"/>
      <c r="D7" s="9"/>
      <c r="E7" s="9"/>
      <c r="F7" s="9"/>
      <c r="G7" s="9"/>
      <c r="Z7" s="6" t="s">
        <v>71</v>
      </c>
    </row>
    <row r="8" customFormat="false" ht="15" hidden="false" customHeight="false" outlineLevel="0" collapsed="false">
      <c r="Z8" s="0" t="s">
        <v>73</v>
      </c>
    </row>
    <row r="9" customFormat="false" ht="15.75" hidden="false" customHeight="true" outlineLevel="0" collapsed="false">
      <c r="B9" s="8" t="s">
        <v>77</v>
      </c>
      <c r="C9" s="8"/>
      <c r="D9" s="8"/>
      <c r="E9" s="8"/>
      <c r="F9" s="8"/>
      <c r="G9" s="8"/>
      <c r="Z9" s="6" t="s">
        <v>74</v>
      </c>
    </row>
    <row r="10" customFormat="false" ht="75" hidden="false" customHeight="true" outlineLevel="0" collapsed="false">
      <c r="B10" s="9" t="s">
        <v>78</v>
      </c>
      <c r="C10" s="9"/>
      <c r="D10" s="9"/>
      <c r="E10" s="9"/>
      <c r="F10" s="9"/>
      <c r="G10" s="9"/>
      <c r="Z10" s="6" t="s">
        <v>71</v>
      </c>
    </row>
    <row r="11" customFormat="false" ht="15.75" hidden="false" customHeight="true" outlineLevel="0" collapsed="false">
      <c r="B11" s="8" t="s">
        <v>52</v>
      </c>
      <c r="C11" s="8"/>
      <c r="D11" s="8"/>
      <c r="E11" s="8"/>
      <c r="F11" s="8"/>
      <c r="G11" s="8"/>
      <c r="Z11" s="6" t="s">
        <v>73</v>
      </c>
    </row>
    <row r="12" customFormat="false" ht="60" hidden="false" customHeight="true" outlineLevel="0" collapsed="false">
      <c r="B12" s="9" t="s">
        <v>79</v>
      </c>
      <c r="C12" s="9"/>
      <c r="D12" s="9"/>
      <c r="E12" s="9"/>
      <c r="F12" s="9"/>
      <c r="G12" s="9"/>
      <c r="Z12" s="6" t="s">
        <v>74</v>
      </c>
    </row>
    <row r="13" customFormat="false" ht="15" hidden="false" customHeight="false" outlineLevel="0" collapsed="false">
      <c r="Z13" s="0" t="s">
        <v>71</v>
      </c>
    </row>
    <row ht="17.25" customHeight="true" r="14" customFormat="false" hidden="false" outlineLevel="0" collapsed="false">
      <c r="B14" s="10" t="s">
        <v>80</v>
      </c>
      <c r="C14" s="10"/>
      <c r="D14" s="10"/>
      <c r="E14" s="10"/>
      <c r="F14" s="10"/>
      <c r="G14" s="10"/>
      <c r="Z14" s="6" t="s">
        <v>73</v>
      </c>
    </row>
    <row r="15" customFormat="false" ht="39.75" hidden="false" customHeight="true" outlineLevel="0" collapsed="false">
      <c r="B15" s="11" t="s">
        <v>81</v>
      </c>
      <c r="C15" s="12"/>
      <c r="G15" s="13" t="str">
        <f aca="false">IF(C15="","Velg i nedtrekksmenyen.",IF(C15="Maskin","Riktig. Maskinbrillen ser etter rutiner, regler og prosedyrer som gir presisjon og regularitet (11.2).","Ikke riktig. Maskinbrillen ser etter rutiner, regler og prosedyrer som gir presisjon og regularitet (11.2)."))</f>
        <v>Velg i nedtrekksmenyen.</v>
      </c>
      <c r="Z15" s="6" t="s">
        <v>74</v>
      </c>
    </row>
    <row r="16" customFormat="false" ht="39.75" hidden="false" customHeight="true" outlineLevel="0" collapsed="false">
      <c r="B16" s="11" t="s">
        <v>82</v>
      </c>
      <c r="C16" s="12"/>
      <c r="G16" s="13" t="str">
        <f aca="false">IF(C16="","Velg i nedtrekksmenyen.",IF(C16="Menneskelig fellesskap","Riktig. En grense i kulturen, ikke i kartet. Ledelse, kultur og kommunikasjon er fellesskapsbrillen (11.3).","Ikke riktig. En grense i kulturen, ikke i kartet. Ledelse, kultur og kommunikasjon er fellesskapsbrillen (11.3)."))</f>
        <v>Velg i nedtrekksmenyen.</v>
      </c>
      <c r="Z16" s="6" t="s">
        <v>71</v>
      </c>
    </row>
    <row r="17" customFormat="false" ht="39.75" hidden="false" customHeight="true" outlineLevel="0" collapsed="false">
      <c r="B17" s="11" t="s">
        <v>83</v>
      </c>
      <c r="C17" s="12"/>
      <c r="G17" s="13" t="str">
        <f aca="false">IF(C17="","Velg i nedtrekksmenyen.",IF(C17="Åpent system","Riktig. En produksjonsfaktor Nordlys henter fra omgivelsene og ikke rår over (11.4).","Ikke riktig. En produksjonsfaktor Nordlys henter fra omgivelsene og ikke rår over (11.4)."))</f>
        <v>Velg i nedtrekksmenyen.</v>
      </c>
      <c r="Z17" s="6" t="s">
        <v>73</v>
      </c>
    </row>
    <row r="18" customFormat="false" ht="39.75" hidden="false" customHeight="true" outlineLevel="0" collapsed="false">
      <c r="B18" s="11" t="s">
        <v>84</v>
      </c>
      <c r="C18" s="12"/>
      <c r="G18" s="13" t="str">
        <f aca="false">IF(C18="","Velg i nedtrekksmenyen.",IF(C18="Menneskelig fellesskap","Riktig. Oppmerksomhet og om noen bryr seg: det Hawthorne-undersøkelsene viste (11.3).","Ikke riktig. Oppmerksomhet og om noen bryr seg: det Hawthorne-undersøkelsene viste (11.3)."))</f>
        <v>Velg i nedtrekksmenyen.</v>
      </c>
      <c r="Z18" s="6" t="s">
        <v>74</v>
      </c>
    </row>
    <row r="19" customFormat="false" ht="39.75" hidden="false" customHeight="true" outlineLevel="0" collapsed="false">
      <c r="B19" s="11" t="s">
        <v>85</v>
      </c>
      <c r="C19" s="12"/>
      <c r="G19" s="13" t="str">
        <f aca="false">IF(C19="","Velg i nedtrekksmenyen.",IF(C19="Åpent system","Riktig. Etterspørselen endres i omgivelsene, og bedriften må tilpasse seg (11.4).","Ikke riktig. Etterspørselen endres i omgivelsene, og bedriften må tilpasse seg (11.4)."))</f>
        <v>Velg i nedtrekksmenyen.</v>
      </c>
      <c r="Z19" s="6" t="s">
        <v>86</v>
      </c>
    </row>
    <row ht="46.5" customHeight="true" r="20" customFormat="false" hidden="false" outlineLevel="0" collapsed="false">
      <c r="B20" s="11" t="s">
        <v>87</v>
      </c>
      <c r="C20" s="12"/>
      <c r="G20" s="13" t="str">
        <f aca="false">IF(C20="","Velg i nedtrekksmenyen.",IF(C20="Maskin","Riktig. En prosedyre som gir regularitet. Leveransen er ekstern, men å sjekke den i tide er Nordlys' eget (11.2 og 11.4).","Ikke riktig. En prosedyre som gir regularitet. Leveransen er ekstern, men å sjekke den i tide er Nordlys' eget (11.2 og 11.4)."))</f>
        <v>Velg i nedtrekksmenyen.</v>
      </c>
      <c r="Z20" s="6" t="s">
        <v>88</v>
      </c>
    </row>
    <row r="21" customFormat="false" ht="15" hidden="false" customHeight="false" outlineLevel="0" collapsed="false">
      <c r="Z21" s="0" t="s">
        <v>89</v>
      </c>
    </row>
    <row ht="17.25" customHeight="true" r="22" customFormat="false" hidden="false" outlineLevel="0" collapsed="false">
      <c r="B22" s="10" t="s">
        <v>90</v>
      </c>
      <c r="C22" s="10"/>
      <c r="D22" s="10"/>
      <c r="E22" s="10"/>
      <c r="F22" s="10"/>
      <c r="G22" s="10"/>
      <c r="Z22" s="6" t="s">
        <v>91</v>
      </c>
    </row>
    <row r="23" customFormat="false" ht="39.75" hidden="false" customHeight="true" outlineLevel="0" collapsed="false">
      <c r="B23" s="11" t="s">
        <v>92</v>
      </c>
      <c r="C23" s="12"/>
      <c r="G23" s="13" t="str">
        <f aca="false">IF(C23="","Velg i nedtrekksmenyen.",IF(C23="Anlegget ferdig til avtalt tid og pris","Riktig. Kunden kjøper et ferdig produkt til avtalt tid og pris (11.4: til omgivelsene leverer bedriften ferdige produkter).","Ikke riktig. Kunden kjøper et ferdig produkt til avtalt tid og pris (11.4: til omgivelsene leverer bedriften ferdige produkter)."))</f>
        <v>Velg i nedtrekksmenyen.</v>
      </c>
      <c r="Z23" s="6" t="s">
        <v>93</v>
      </c>
    </row>
    <row r="24" customFormat="false" ht="39.75" hidden="false" customHeight="true" outlineLevel="0" collapsed="false">
      <c r="B24" s="11" t="s">
        <v>94</v>
      </c>
      <c r="C24" s="12"/>
      <c r="G24" s="13" t="str">
        <f aca="false">IF(C24="","Velg i nedtrekksmenyen.",IF(C24="Bestillinger i god tid og betaling ved forfall","Riktig. Leverandøren vil ha forutsigbare bestillinger og pengene sine ved forfall (11.4: råvarer hentes fra omgivelsene).","Ikke riktig. Leverandøren vil ha forutsigbare bestillinger og pengene sine ved forfall (11.4: råvarer hentes fra omgivelsene)."))</f>
        <v>Velg i nedtrekksmenyen.</v>
      </c>
      <c r="Z24" s="6" t="s">
        <v>95</v>
      </c>
    </row>
    <row r="25" customFormat="false" ht="39.75" hidden="false" customHeight="true" outlineLevel="0" collapsed="false">
      <c r="B25" s="11" t="s">
        <v>96</v>
      </c>
      <c r="C25" s="12"/>
      <c r="G25" s="13" t="str">
        <f aca="false">IF(C25="","Velg i nedtrekksmenyen.",IF(C25="Lønn og en leder som svarer","Riktig. Arbeidskraften hentes fra omgivelsene (11.4). Den blir hvis lønn, trygghet og ledelse er på plass; fredagen viste hva som mangler.","Ikke riktig. Arbeidskraften hentes fra omgivelsene (11.4). Den blir hvis lønn, trygghet og ledelse er på plass; fredagen viste hva som mangler."))</f>
        <v>Velg i nedtrekksmenyen.</v>
      </c>
      <c r="Z25" s="6" t="s">
        <v>86</v>
      </c>
    </row>
    <row r="26" customFormat="false" ht="39.75" hidden="false" customHeight="true" outlineLevel="0" collapsed="false">
      <c r="B26" s="11" t="s">
        <v>97</v>
      </c>
      <c r="C26" s="12"/>
      <c r="G26" s="13" t="str">
        <f aca="false">IF(C26="","Velg i nedtrekksmenyen.",IF(C26="Forskriftsmessig arbeid og faglig ansvarlig","Riktig. Offentlige myndigheter er en del av omgivelsene (kapittel 12, innledningen). DSB fører tilsyn med elektroforetak og krever en faglig ansvarlig i registeret.","Ikke riktig. Offentlige myndigheter er en del av omgivelsene (kapittel 12, innledningen). DSB fører tilsyn med elektroforetak og krever en faglig ansvarlig i registeret."))</f>
        <v>Velg i nedtrekksmenyen.</v>
      </c>
      <c r="Z26" s="6" t="s">
        <v>88</v>
      </c>
    </row>
    <row r="27" customFormat="false" ht="39.75" hidden="false" customHeight="true" outlineLevel="0" collapsed="false">
      <c r="B27" s="11" t="s">
        <v>98</v>
      </c>
      <c r="C27" s="12"/>
      <c r="G27" s="13" t="str">
        <f aca="false">IF(C27="","Velg i nedtrekksmenyen.",IF(C27="Renter og avdrag betalt","Riktig. Banken har penger i bedriften og vil ha dem tilbake med renter, og regnskap som viser at det går.","Ikke riktig. Banken har penger i bedriften og vil ha dem tilbake med renter, og regnskap som viser at det går."))</f>
        <v>Velg i nedtrekksmenyen.</v>
      </c>
      <c r="Z27" s="6" t="s">
        <v>89</v>
      </c>
    </row>
    <row r="28" customFormat="false" ht="39.75" hidden="false" customHeight="true" outlineLevel="0" collapsed="false">
      <c r="B28" s="11" t="s">
        <v>99</v>
      </c>
      <c r="C28" s="12"/>
      <c r="G28" s="13" t="str">
        <f aca="false">IF(C28="","Velg i nedtrekksmenyen.",IF(C28="Å vinne de samme kundene","Riktig. Konkurrentene er en del av omgivelsene (kapittel 12, innledningen). De vinner kunden som ikke fikk beskjed før mandag.","Ikke riktig. Konkurrentene er en del av omgivelsene (kapittel 12, innledningen). De vinner kunden som ikke fikk beskjed før mandag."))</f>
        <v>Velg i nedtrekksmenyen.</v>
      </c>
      <c r="Z28" s="6" t="s">
        <v>91</v>
      </c>
    </row>
    <row r="29" customFormat="false" ht="15" hidden="false" customHeight="false" outlineLevel="0" collapsed="false">
      <c r="Z29" s="0" t="s">
        <v>93</v>
      </c>
    </row>
    <row r="30" customFormat="false" ht="15.75" hidden="false" customHeight="true" outlineLevel="0" collapsed="false">
      <c r="B30" s="8" t="s">
        <v>100</v>
      </c>
      <c r="C30" s="8"/>
      <c r="D30" s="8"/>
      <c r="E30" s="8"/>
      <c r="F30" s="8"/>
      <c r="G30" s="8"/>
      <c r="Z30" s="6" t="s">
        <v>95</v>
      </c>
    </row>
    <row r="31" customFormat="false" ht="90" hidden="false" customHeight="true" outlineLevel="0" collapsed="false">
      <c r="B31" s="9" t="s">
        <v>101</v>
      </c>
      <c r="C31" s="9"/>
      <c r="D31" s="9"/>
      <c r="E31" s="9"/>
      <c r="F31" s="9"/>
      <c r="G31" s="9"/>
      <c r="Z31" s="6" t="s">
        <v>86</v>
      </c>
    </row>
    <row r="32" customFormat="false" ht="43.5" hidden="false" customHeight="true" outlineLevel="0" collapsed="false">
      <c r="B32" s="11" t="s">
        <v>102</v>
      </c>
      <c r="C32" s="21"/>
      <c r="D32" s="19" t="s">
        <v>103</v>
      </c>
      <c r="G32" s="13" t="str">
        <f aca="false">IF(C32="","Skriv svaret i den gule cellen.",IF(ABS(C32-(ROUND(54500000000/28500,0)))&lt;=1,"Riktig.",IF(ABS(C32-(ROUND(54500000000/809,0)))&lt;=1,"Du har delt på antall bedrifter. Det gir omsetning per bedrift, ikke per årsverk.",IF(ABS(C32-(ROUND(54500000/28500,0)))&lt;=1,"Tallet er for lite: 54,5 milliarder er 54 500 000 000, ikke 54 500 000.","Ikke riktig ennå. Se på regnestykket øverst på fanen, og sjekk at du har med alle leddene."))))</f>
        <v>Skriv svaret i den gule cellen.</v>
      </c>
      <c r="Z32" s="6" t="s">
        <v>88</v>
      </c>
    </row>
    <row r="33" customFormat="false" ht="43.5" hidden="false" customHeight="true" outlineLevel="0" collapsed="false">
      <c r="B33" s="11" t="s">
        <v>104</v>
      </c>
      <c r="C33" s="21"/>
      <c r="D33" s="19" t="s">
        <v>103</v>
      </c>
      <c r="G33" s="13" t="str">
        <f aca="false">IF(C33="","Skriv svaret i den gule cellen.",IF(ABS(C33-(ROUND(22400000/18,0)))&lt;=1,"Riktig.",IF(ABS(C33-(ROUND(22400000/12,0)))&lt;=1,"Du har delt på montørene alene. Årsverk er alle 18, også lærlingene og administrasjonen.",IF(ABS(C33-(ROUND(22400000/14400,0)))&lt;=1,"Du har delt på timene. Det er omsetning per fakturert time, som er spørsmål c.","Ikke riktig ennå. Se på regnestykket øverst på fanen, og sjekk at du har med alle leddene."))))</f>
        <v>Skriv svaret i den gule cellen.</v>
      </c>
      <c r="Z33" s="6" t="s">
        <v>89</v>
      </c>
    </row>
    <row r="34" customFormat="false" ht="43.5" hidden="false" customHeight="true" outlineLevel="0" collapsed="false">
      <c r="B34" s="11" t="s">
        <v>105</v>
      </c>
      <c r="C34" s="21"/>
      <c r="D34" s="19" t="s">
        <v>106</v>
      </c>
      <c r="G34" s="13" t="str">
        <f aca="false">IF(C34="","Skriv svaret i den gule cellen.",IF(ABS(C34-(ROUND(22400000/14400,0)))&lt;=1,"Riktig.",IF(ABS(C34-(ROUND(12816000/14400,0)))&lt;=1,"Du har brukt timeinntekten alene, 890 kr. Omsetningen på 22 400 000 har materiellet med, slik bransjetallet 1 534 også har.","Ikke riktig ennå. Se på regnestykket øverst på fanen, og sjekk at du har med alle leddene.")))</f>
        <v>Skriv svaret i den gule cellen.</v>
      </c>
      <c r="Z34" s="6" t="s">
        <v>91</v>
      </c>
    </row>
    <row r="35" customFormat="false" ht="15" hidden="false" customHeight="false" outlineLevel="0" collapsed="false">
      <c r="Z35" s="0" t="s">
        <v>93</v>
      </c>
    </row>
    <row r="36" customFormat="false" ht="30" hidden="false" customHeight="true" outlineLevel="0" collapsed="false">
      <c r="B36" s="9" t="s">
        <v>107</v>
      </c>
      <c r="C36" s="9"/>
      <c r="D36" s="9"/>
      <c r="E36" s="9"/>
      <c r="F36" s="9"/>
      <c r="G36" s="9"/>
      <c r="Z36" s="6" t="s">
        <v>95</v>
      </c>
    </row>
    <row r="37" customFormat="false" ht="21.75" hidden="false" customHeight="true" outlineLevel="0" collapsed="false">
      <c r="B37" s="14"/>
      <c r="C37" s="14"/>
      <c r="D37" s="14"/>
      <c r="E37" s="14"/>
      <c r="F37" s="14"/>
      <c r="G37" s="14"/>
      <c r="Z37" s="6" t="s">
        <v>86</v>
      </c>
    </row>
    <row r="38" customFormat="false" ht="21.75" hidden="false" customHeight="true" outlineLevel="0" collapsed="false">
      <c r="B38" s="14"/>
      <c r="C38" s="14"/>
      <c r="D38" s="14"/>
      <c r="E38" s="14"/>
      <c r="F38" s="14"/>
      <c r="G38" s="14"/>
      <c r="Z38" s="6" t="s">
        <v>88</v>
      </c>
    </row>
    <row r="39" customFormat="false" ht="21.75" hidden="false" customHeight="true" outlineLevel="0" collapsed="false">
      <c r="B39" s="14"/>
      <c r="C39" s="14"/>
      <c r="D39" s="14"/>
      <c r="E39" s="14"/>
      <c r="F39" s="14"/>
      <c r="G39" s="14"/>
      <c r="Z39" s="6" t="s">
        <v>89</v>
      </c>
    </row>
    <row r="40" customFormat="false" ht="39.75" hidden="false" customHeight="true" outlineLevel="0" collapsed="false">
      <c r="B40" s="15" t="str">
        <f aca="false">IF(LEN(B37)&lt;40,"",IF(AND(ISNUMBER(SEARCH("timer",B37)),ISNUMBER(SEARCH("lønnsom",B37))),"Bra: du peker på timene per montør og skiller produktivitet fra lønnsomhet. Sjekk at tallene står: 1 200 mot 1 503 timer, og 1 244 444 mot 1 912 281 kr per årsverk.",IF(OR(ISNUMBER(SEARCH("timer",B37)),ISNUMBER(SEARCH("lønnsom",B37))),"Du er på sporet. Bruk begge: forskjellen ligger i fakturerte timer per montør (1 200 mot 1 503), ikke i prisen per time (1 556 mot 1 534). Og si at omsetning per årsverk ikke sier om bedriften er lønnsom.","Tips: per time er Nordlys på bransjenivå (1 556 mot 1 534 kr). Per årsverk ligger Nordlys på 1 244 444 mot 1 912 281 kr, fordi hver montør fakturerer 1 200 timer mot bransjens 1 503, og fordi 6 av 18 ikke fakturerer. Produktivitet sier hvor mye som kommer ut per innsats, ikke om det er lønnsomt: Nordlys hadde 6,0 % driftsresultat mot bransjens 7,5 %.")))</f>
        <v/>
      </c>
      <c r="C40" s="15"/>
      <c r="D40" s="15"/>
      <c r="E40" s="15"/>
      <c r="F40" s="15"/>
      <c r="G40" s="15"/>
      <c r="Z40" s="6" t="s">
        <v>91</v>
      </c>
    </row>
    <row r="41" customFormat="false" ht="15" hidden="false" customHeight="false" outlineLevel="0" collapsed="false">
      <c r="B41" s="16" t="s">
        <v>42</v>
      </c>
      <c r="C41" s="12"/>
      <c r="Z41" s="6" t="s">
        <v>93</v>
      </c>
    </row>
    <row r="42" customFormat="false" ht="75" hidden="false" customHeight="true" outlineLevel="0" collapsed="false">
      <c r="B42" s="17" t="str">
        <f aca="false">IF(C41="JA","Hint: Rutine og sjekkliste er maskin. Grensen mellom avdelingene og de fire ubesvarte anropene er fellesskap. Grossistens tomme lager og solmarkedet er omgivelsene. Omgivelsene vil ha hvert sitt: kunden produktet, leverandøren bestillinger og betaling, de ansatte lønn og ledelse, tilsynet forskriftsmessig arbeid, banken renter og avdrag, konkurrenten kundene. Produktivitet: 54 500 000 000 / 28 500 = 1 912 281 kr. Nordlys: 22 400 000 / 18 = 1 244 444 kr. Per time: 22 400 000 / 14 400 = 1 556 kr.","")</f>
        <v/>
      </c>
      <c r="C42" s="17"/>
      <c r="D42" s="17"/>
      <c r="E42" s="17"/>
      <c r="F42" s="17"/>
      <c r="G42" s="17"/>
      <c r="Z42" s="6" t="s">
        <v>95</v>
      </c>
    </row>
    <row r="43" customFormat="false" ht="15" hidden="false" customHeight="false" outlineLevel="0" collapsed="false">
      <c r="Z43" s="0" t="s">
        <v>86</v>
      </c>
    </row>
    <row r="44" customFormat="false" ht="30" hidden="false" customHeight="true" outlineLevel="0" collapsed="false">
      <c r="B44" s="7" t="s">
        <v>43</v>
      </c>
      <c r="C44" s="7"/>
      <c r="D44" s="7"/>
      <c r="E44" s="7"/>
      <c r="F44" s="7"/>
      <c r="G44" s="7"/>
      <c r="Z44" s="6" t="s">
        <v>88</v>
      </c>
    </row>
    <row r="45" customFormat="false" ht="15" hidden="false" customHeight="false" outlineLevel="0" collapsed="false">
      <c r="Z45" s="0" t="s">
        <v>89</v>
      </c>
    </row>
    <row r="46" customFormat="false" ht="15" hidden="false" customHeight="false" outlineLevel="0" collapsed="false">
      <c r="Z46" s="0" t="s">
        <v>91</v>
      </c>
    </row>
    <row r="47" customFormat="false" ht="15" hidden="false" customHeight="false" outlineLevel="0" collapsed="false">
      <c r="Z47" s="0" t="s">
        <v>93</v>
      </c>
    </row>
    <row r="48" customFormat="false" ht="15" hidden="false" customHeight="false" outlineLevel="0" collapsed="false">
      <c r="Z48" s="0" t="s">
        <v>95</v>
      </c>
    </row>
    <row r="49" customFormat="false" ht="15" hidden="false" customHeight="false" outlineLevel="0" collapsed="false">
      <c r="Z49" s="0" t="s">
        <v>86</v>
      </c>
    </row>
    <row r="50" customFormat="false" ht="15" hidden="false" customHeight="false" outlineLevel="0" collapsed="false">
      <c r="Z50" s="0" t="s">
        <v>88</v>
      </c>
    </row>
    <row r="51" customFormat="false" ht="15" hidden="false" customHeight="false" outlineLevel="0" collapsed="false">
      <c r="Z51" s="0" t="s">
        <v>89</v>
      </c>
    </row>
    <row r="52" customFormat="false" ht="15" hidden="false" customHeight="false" outlineLevel="0" collapsed="false">
      <c r="Z52" s="0" t="s">
        <v>91</v>
      </c>
    </row>
    <row r="53" customFormat="false" ht="15" hidden="false" customHeight="false" outlineLevel="0" collapsed="false">
      <c r="Z53" s="0" t="s">
        <v>93</v>
      </c>
    </row>
    <row r="54" customFormat="false" ht="15" hidden="false" customHeight="false" outlineLevel="0" collapsed="false">
      <c r="Z54" s="0" t="s">
        <v>95</v>
      </c>
    </row>
  </sheetData>
  <mergeCells count="19">
    <mergeCell ref="B2:G2"/>
    <mergeCell ref="B3:G3"/>
    <mergeCell ref="B4:G4"/>
    <mergeCell ref="B5:G5"/>
    <mergeCell ref="B6:G6"/>
    <mergeCell ref="B7:G7"/>
    <mergeCell ref="B9:G9"/>
    <mergeCell ref="B10:G10"/>
    <mergeCell ref="B11:G11"/>
    <mergeCell ref="B12:G12"/>
    <mergeCell ref="B14:G14"/>
    <mergeCell ref="B22:G22"/>
    <mergeCell ref="B30:G30"/>
    <mergeCell ref="B31:G31"/>
    <mergeCell ref="B36:G36"/>
    <mergeCell ref="B37:G39"/>
    <mergeCell ref="B40:G40"/>
    <mergeCell ref="B42:G42"/>
    <mergeCell ref="B44:G44"/>
  </mergeCells>
  <conditionalFormatting sqref="G15">
    <cfRule type="expression" priority="2" aboveAverage="0" equalAverage="0" bottom="0" percent="0" rank="0" text="" dxfId="0">
      <formula>LEFT(G15,6)="Riktig"</formula>
    </cfRule>
    <cfRule type="expression" priority="3" aboveAverage="0" equalAverage="0" bottom="0" percent="0" rank="0" text="" dxfId="1">
      <formula>LEFT(G15,4)="Ikke"</formula>
    </cfRule>
  </conditionalFormatting>
  <conditionalFormatting sqref="G16">
    <cfRule type="expression" priority="4" aboveAverage="0" equalAverage="0" bottom="0" percent="0" rank="0" text="" dxfId="0">
      <formula>LEFT(G16,6)="Riktig"</formula>
    </cfRule>
    <cfRule type="expression" priority="5" aboveAverage="0" equalAverage="0" bottom="0" percent="0" rank="0" text="" dxfId="1">
      <formula>LEFT(G16,4)="Ikke"</formula>
    </cfRule>
  </conditionalFormatting>
  <conditionalFormatting sqref="G17">
    <cfRule type="expression" priority="6" aboveAverage="0" equalAverage="0" bottom="0" percent="0" rank="0" text="" dxfId="0">
      <formula>LEFT(G17,6)="Riktig"</formula>
    </cfRule>
    <cfRule type="expression" priority="7" aboveAverage="0" equalAverage="0" bottom="0" percent="0" rank="0" text="" dxfId="1">
      <formula>LEFT(G17,4)="Ikke"</formula>
    </cfRule>
  </conditionalFormatting>
  <conditionalFormatting sqref="G18">
    <cfRule type="expression" priority="8" aboveAverage="0" equalAverage="0" bottom="0" percent="0" rank="0" text="" dxfId="0">
      <formula>LEFT(G18,6)="Riktig"</formula>
    </cfRule>
    <cfRule type="expression" priority="9" aboveAverage="0" equalAverage="0" bottom="0" percent="0" rank="0" text="" dxfId="1">
      <formula>LEFT(G18,4)="Ikke"</formula>
    </cfRule>
  </conditionalFormatting>
  <conditionalFormatting sqref="G19">
    <cfRule type="expression" priority="10" aboveAverage="0" equalAverage="0" bottom="0" percent="0" rank="0" text="" dxfId="0">
      <formula>LEFT(G19,6)="Riktig"</formula>
    </cfRule>
    <cfRule type="expression" priority="11" aboveAverage="0" equalAverage="0" bottom="0" percent="0" rank="0" text="" dxfId="1">
      <formula>LEFT(G19,4)="Ikke"</formula>
    </cfRule>
  </conditionalFormatting>
  <conditionalFormatting sqref="G20">
    <cfRule type="expression" priority="12" aboveAverage="0" equalAverage="0" bottom="0" percent="0" rank="0" text="" dxfId="0">
      <formula>LEFT(G20,6)="Riktig"</formula>
    </cfRule>
    <cfRule type="expression" priority="13" aboveAverage="0" equalAverage="0" bottom="0" percent="0" rank="0" text="" dxfId="1">
      <formula>LEFT(G20,4)="Ikke"</formula>
    </cfRule>
  </conditionalFormatting>
  <conditionalFormatting sqref="G23">
    <cfRule type="expression" priority="14" aboveAverage="0" equalAverage="0" bottom="0" percent="0" rank="0" text="" dxfId="0">
      <formula>LEFT(G23,6)="Riktig"</formula>
    </cfRule>
    <cfRule type="expression" priority="15" aboveAverage="0" equalAverage="0" bottom="0" percent="0" rank="0" text="" dxfId="1">
      <formula>LEFT(G23,4)="Ikke"</formula>
    </cfRule>
  </conditionalFormatting>
  <conditionalFormatting sqref="G24">
    <cfRule type="expression" priority="16" aboveAverage="0" equalAverage="0" bottom="0" percent="0" rank="0" text="" dxfId="0">
      <formula>LEFT(G24,6)="Riktig"</formula>
    </cfRule>
    <cfRule type="expression" priority="17" aboveAverage="0" equalAverage="0" bottom="0" percent="0" rank="0" text="" dxfId="1">
      <formula>LEFT(G24,4)="Ikke"</formula>
    </cfRule>
  </conditionalFormatting>
  <conditionalFormatting sqref="G25">
    <cfRule type="expression" priority="18" aboveAverage="0" equalAverage="0" bottom="0" percent="0" rank="0" text="" dxfId="0">
      <formula>LEFT(G25,6)="Riktig"</formula>
    </cfRule>
    <cfRule type="expression" priority="19" aboveAverage="0" equalAverage="0" bottom="0" percent="0" rank="0" text="" dxfId="1">
      <formula>LEFT(G25,4)="Ikke"</formula>
    </cfRule>
  </conditionalFormatting>
  <conditionalFormatting sqref="G26">
    <cfRule type="expression" priority="20" aboveAverage="0" equalAverage="0" bottom="0" percent="0" rank="0" text="" dxfId="0">
      <formula>LEFT(G26,6)="Riktig"</formula>
    </cfRule>
    <cfRule type="expression" priority="21" aboveAverage="0" equalAverage="0" bottom="0" percent="0" rank="0" text="" dxfId="1">
      <formula>LEFT(G26,4)="Ikke"</formula>
    </cfRule>
  </conditionalFormatting>
  <conditionalFormatting sqref="G27">
    <cfRule type="expression" priority="22" aboveAverage="0" equalAverage="0" bottom="0" percent="0" rank="0" text="" dxfId="0">
      <formula>LEFT(G27,6)="Riktig"</formula>
    </cfRule>
    <cfRule type="expression" priority="23" aboveAverage="0" equalAverage="0" bottom="0" percent="0" rank="0" text="" dxfId="1">
      <formula>LEFT(G27,4)="Ikke"</formula>
    </cfRule>
  </conditionalFormatting>
  <conditionalFormatting sqref="G28">
    <cfRule type="expression" priority="24" aboveAverage="0" equalAverage="0" bottom="0" percent="0" rank="0" text="" dxfId="0">
      <formula>LEFT(G28,6)="Riktig"</formula>
    </cfRule>
    <cfRule type="expression" priority="25" aboveAverage="0" equalAverage="0" bottom="0" percent="0" rank="0" text="" dxfId="1">
      <formula>LEFT(G28,4)="Ikke"</formula>
    </cfRule>
  </conditionalFormatting>
  <conditionalFormatting sqref="G32">
    <cfRule type="expression" priority="26" aboveAverage="0" equalAverage="0" bottom="0" percent="0" rank="0" text="" dxfId="0">
      <formula>LEFT(G32,6)="Riktig"</formula>
    </cfRule>
    <cfRule type="expression" priority="27" aboveAverage="0" equalAverage="0" bottom="0" percent="0" rank="0" text="" dxfId="1">
      <formula>AND(G32&lt;&gt;"",LEFT(G32,6)&lt;&gt;"Riktig",LEFT(G32,5)&lt;&gt;"Skriv")</formula>
    </cfRule>
  </conditionalFormatting>
  <conditionalFormatting sqref="G33">
    <cfRule type="expression" priority="28" aboveAverage="0" equalAverage="0" bottom="0" percent="0" rank="0" text="" dxfId="0">
      <formula>LEFT(G33,6)="Riktig"</formula>
    </cfRule>
    <cfRule type="expression" priority="29" aboveAverage="0" equalAverage="0" bottom="0" percent="0" rank="0" text="" dxfId="1">
      <formula>AND(G33&lt;&gt;"",LEFT(G33,6)&lt;&gt;"Riktig",LEFT(G33,5)&lt;&gt;"Skriv")</formula>
    </cfRule>
  </conditionalFormatting>
  <conditionalFormatting sqref="G34">
    <cfRule type="expression" priority="30" aboveAverage="0" equalAverage="0" bottom="0" percent="0" rank="0" text="" dxfId="0">
      <formula>LEFT(G34,6)="Riktig"</formula>
    </cfRule>
    <cfRule type="expression" priority="31" aboveAverage="0" equalAverage="0" bottom="0" percent="0" rank="0" text="" dxfId="1">
      <formula>AND(G34&lt;&gt;"",LEFT(G34,6)&lt;&gt;"Riktig",LEFT(G34,5)&lt;&gt;"Skriv")</formula>
    </cfRule>
  </conditionalFormatting>
  <dataValidations count="13">
    <dataValidation allowBlank="true" errorStyle="stop" operator="between" showDropDown="false" showErrorMessage="false" showInputMessage="false" sqref="C15" type="list">
      <formula1>$Z$1:$Z$3</formula1>
      <formula2>0</formula2>
    </dataValidation>
    <dataValidation allowBlank="true" errorStyle="stop" operator="between" showDropDown="false" showErrorMessage="false" showInputMessage="false" sqref="C16" type="list">
      <formula1>$Z$4:$Z$6</formula1>
      <formula2>0</formula2>
    </dataValidation>
    <dataValidation allowBlank="true" errorStyle="stop" operator="between" showDropDown="false" showErrorMessage="false" showInputMessage="false" sqref="C17" type="list">
      <formula1>$Z$7:$Z$9</formula1>
      <formula2>0</formula2>
    </dataValidation>
    <dataValidation allowBlank="true" errorStyle="stop" operator="between" showDropDown="false" showErrorMessage="false" showInputMessage="false" sqref="C18" type="list">
      <formula1>$Z$10:$Z$12</formula1>
      <formula2>0</formula2>
    </dataValidation>
    <dataValidation allowBlank="true" errorStyle="stop" operator="between" showDropDown="false" showErrorMessage="false" showInputMessage="false" sqref="C19" type="list">
      <formula1>$Z$13:$Z$15</formula1>
      <formula2>0</formula2>
    </dataValidation>
    <dataValidation allowBlank="true" errorStyle="stop" operator="between" showDropDown="false" showErrorMessage="false" showInputMessage="false" sqref="C20" type="list">
      <formula1>$Z$16:$Z$18</formula1>
      <formula2>0</formula2>
    </dataValidation>
    <dataValidation allowBlank="true" errorStyle="stop" operator="between" showDropDown="false" showErrorMessage="false" showInputMessage="false" sqref="C23" type="list">
      <formula1>$Z$19:$Z$24</formula1>
      <formula2>0</formula2>
    </dataValidation>
    <dataValidation allowBlank="true" errorStyle="stop" operator="between" showDropDown="false" showErrorMessage="false" showInputMessage="false" sqref="C24" type="list">
      <formula1>$Z$25:$Z$30</formula1>
      <formula2>0</formula2>
    </dataValidation>
    <dataValidation allowBlank="true" errorStyle="stop" operator="between" showDropDown="false" showErrorMessage="false" showInputMessage="false" sqref="C25" type="list">
      <formula1>$Z$31:$Z$36</formula1>
      <formula2>0</formula2>
    </dataValidation>
    <dataValidation allowBlank="true" errorStyle="stop" operator="between" showDropDown="false" showErrorMessage="false" showInputMessage="false" sqref="C26" type="list">
      <formula1>$Z$37:$Z$42</formula1>
      <formula2>0</formula2>
    </dataValidation>
    <dataValidation allowBlank="true" errorStyle="stop" operator="between" showDropDown="false" showErrorMessage="false" showInputMessage="false" sqref="C27" type="list">
      <formula1>$Z$43:$Z$48</formula1>
      <formula2>0</formula2>
    </dataValidation>
    <dataValidation allowBlank="true" errorStyle="stop" operator="between" showDropDown="false" showErrorMessage="false" showInputMessage="false" sqref="C28" type="list">
      <formula1>$Z$49:$Z$54</formula1>
      <formula2>0</formula2>
    </dataValidation>
    <dataValidation allowBlank="true" errorStyle="stop" operator="between" showDropDown="false" showErrorMessage="false" showInputMessage="false" sqref="C4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2" t="s">
        <v>108</v>
      </c>
    </row>
    <row r="3" customFormat="false" ht="30" hidden="false" customHeight="true" outlineLevel="0" collapsed="false">
      <c r="B3" s="7" t="s">
        <v>109</v>
      </c>
      <c r="C3" s="7"/>
      <c r="D3" s="7"/>
    </row>
    <row r="5" customFormat="false" ht="15" hidden="false" customHeight="false" outlineLevel="0" collapsed="false">
      <c r="B5" s="23" t="s">
        <v>110</v>
      </c>
      <c r="C5" s="23" t="s">
        <v>111</v>
      </c>
      <c r="D5" s="23" t="s">
        <v>112</v>
      </c>
    </row>
    <row r="6" customFormat="false" ht="45" hidden="false" customHeight="true" outlineLevel="0" collapsed="false">
      <c r="B6" s="24" t="s">
        <v>113</v>
      </c>
      <c r="C6" s="25"/>
      <c r="D6" s="24" t="s">
        <v>114</v>
      </c>
    </row>
    <row r="7" customFormat="false" ht="30" hidden="false" customHeight="true" outlineLevel="0" collapsed="false">
      <c r="B7" s="24" t="s">
        <v>115</v>
      </c>
      <c r="C7" s="25"/>
      <c r="D7" s="24" t="s">
        <v>116</v>
      </c>
    </row>
    <row r="8" customFormat="false" ht="75" hidden="false" customHeight="true" outlineLevel="0" collapsed="false">
      <c r="B8" s="24" t="s">
        <v>117</v>
      </c>
      <c r="C8" s="25"/>
      <c r="D8" s="24" t="s">
        <v>118</v>
      </c>
    </row>
    <row r="9" customFormat="false" ht="30" hidden="false" customHeight="true" outlineLevel="0" collapsed="false">
      <c r="B9" s="24" t="s">
        <v>119</v>
      </c>
      <c r="C9" s="25"/>
      <c r="D9" s="24" t="s">
        <v>120</v>
      </c>
    </row>
    <row r="10" customFormat="false" ht="30" hidden="false" customHeight="true" outlineLevel="0" collapsed="false">
      <c r="B10" s="24" t="s">
        <v>121</v>
      </c>
      <c r="C10" s="25" t="n">
        <v>5</v>
      </c>
      <c r="D10" s="24" t="s">
        <v>122</v>
      </c>
    </row>
    <row r="11" customFormat="false" ht="30" hidden="false" customHeight="true" outlineLevel="0" collapsed="false">
      <c r="B11" s="24" t="s">
        <v>123</v>
      </c>
      <c r="C11" s="25" t="n">
        <v>5</v>
      </c>
      <c r="D11" s="24" t="s">
        <v>124</v>
      </c>
    </row>
    <row r="12" customFormat="false" ht="30" hidden="false" customHeight="true" outlineLevel="0" collapsed="false">
      <c r="B12" s="24" t="s">
        <v>125</v>
      </c>
      <c r="C12" s="25" t="n">
        <v>7</v>
      </c>
      <c r="D12" s="24" t="s">
        <v>126</v>
      </c>
    </row>
    <row r="13" customFormat="false" ht="30" hidden="false" customHeight="true" outlineLevel="0" collapsed="false">
      <c r="B13" s="24" t="s">
        <v>127</v>
      </c>
      <c r="C13" s="25"/>
      <c r="D13" s="24" t="s">
        <v>128</v>
      </c>
    </row>
    <row r="14" customFormat="false" ht="30" hidden="false" customHeight="true" outlineLevel="0" collapsed="false">
      <c r="B14" s="24" t="s">
        <v>129</v>
      </c>
      <c r="C14" s="25"/>
      <c r="D14" s="24" t="s">
        <v>130</v>
      </c>
    </row>
    <row r="15" customFormat="false" ht="30" hidden="false" customHeight="true" outlineLevel="0" collapsed="false">
      <c r="B15" s="24" t="s">
        <v>131</v>
      </c>
      <c r="C15" s="25"/>
      <c r="D15" s="24" t="s">
        <v>132</v>
      </c>
    </row>
    <row r="16" customFormat="false" ht="60" hidden="false" customHeight="true" outlineLevel="0" collapsed="false">
      <c r="B16" s="24" t="s">
        <v>133</v>
      </c>
      <c r="C16" s="25"/>
      <c r="D16" s="24" t="s">
        <v>134</v>
      </c>
    </row>
    <row r="17" customFormat="false" ht="30" hidden="false" customHeight="true" outlineLevel="0" collapsed="false">
      <c r="B17" s="24" t="s">
        <v>135</v>
      </c>
      <c r="C17" s="25" t="n">
        <v>1912281</v>
      </c>
      <c r="D17" s="24" t="s">
        <v>136</v>
      </c>
    </row>
    <row r="18" customFormat="false" ht="30" hidden="false" customHeight="true" outlineLevel="0" collapsed="false">
      <c r="B18" s="24" t="s">
        <v>137</v>
      </c>
      <c r="C18" s="25" t="n">
        <v>1244444</v>
      </c>
      <c r="D18" s="24" t="s">
        <v>138</v>
      </c>
    </row>
    <row r="19" customFormat="false" ht="30" hidden="false" customHeight="true" outlineLevel="0" collapsed="false">
      <c r="B19" s="24" t="s">
        <v>139</v>
      </c>
      <c r="C19" s="25" t="n">
        <v>1556</v>
      </c>
      <c r="D19" s="24" t="s">
        <v>140</v>
      </c>
    </row>
    <row r="20" customFormat="false" ht="60" hidden="false" customHeight="true" outlineLevel="0" collapsed="false">
      <c r="B20" s="24" t="s">
        <v>141</v>
      </c>
      <c r="C20" s="25"/>
      <c r="D20" s="24" t="s">
        <v>142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2026-10-22T17:48:17Z</dcterms:created>
  <dc:creator>openpyxl</dc:creator>
  <dc:description/>
  <dc:language>en-US</dc:language>
  <cp:lastModifiedBy/>
  <dcterms:modified xsi:type="dcterms:W3CDTF">2026-10-22T17:48:17Z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