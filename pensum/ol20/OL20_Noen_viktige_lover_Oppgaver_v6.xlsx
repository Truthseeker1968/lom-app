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2A" sheetId="5" state="visible" r:id="rId7"/>
    <sheet name="2B" sheetId="6" state="visible" r:id="rId8"/>
    <sheet name="2C" sheetId="7" state="visible" r:id="rId9"/>
    <sheet name="Fasit"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<sst xmlns="http://schemas.openxmlformats.org/spreadsheetml/2006/main" count="366" uniqueCount="249">
  <si>
    <t xml:space="preserve">Noen viktige lover: oppgaver til kapittel 20</t>
  </si>
  <si>
    <t xml:space="preserve">Markedsføring, organisasjon og ledelse for LØM-emnet (Hjertnes), kapittel 20. Versjon 6, oktober 2026. Nordlys Elektro AS og Fjell Elektro AS er konstruerte casebedrifter; tallene er faktaarkene.</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</si>
  <si>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</si>
  <si>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</si>
  <si>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</si>
  <si>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</si>
  <si>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</si>
  <si>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</si>
  <si>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Fjell Elektro: den første arbeidsavtalen Mona skriver</t>
  </si>
  <si>
    <t xml:space="preserve">1B  Nordlys: uka til Ronnys lag, og montøren med 212 overtidstimer</t>
  </si>
  <si>
    <t xml:space="preserve">1C  Nordlys: en oppsigelse som skal holde</t>
  </si>
  <si>
    <t xml:space="preserve">2A  Nordlys: fakturaen som sprakk</t>
  </si>
  <si>
    <t xml:space="preserve">2B  Fjell Elektro: tre måter å si prisen på</t>
  </si>
  <si>
    <t xml:space="preserve">2C  Nordlys: Idas ni tiltak, og tre måter å spørre etisk på</t>
  </si>
  <si>
    <t xml:space="preserve">Fasit  Alle svar med regnestykket skrevet ut</t>
  </si>
  <si>
    <t xml:space="preserve">Dette er øvingsmateriell til repetisjons- og øvingsstøtte. I besvarelser, caser, prosjektoppgaver og eksamen gjelder lærebøkene og oppgitte primærkilder (Lovdata).</t>
  </si>
  <si>
    <t xml:space="preserve">Lovlig</t>
  </si>
  <si>
    <t xml:space="preserve">Oppgave 1A: Fjell Elektro: den første arbeidsavtalen Mona skriver</t>
  </si>
  <si>
    <t xml:space="preserve">Ikke lovlig</t>
  </si>
  <si>
    <t xml:space="preserve">Alene, i par eller i gruppe, slik du vil.</t>
  </si>
  <si>
    <t xml:space="preserve">Situasjonen</t>
  </si>
  <si>
    <t xml:space="preserve">Fjell Elektro ansetter en tredje montør, fast, fra 1. august. Mona har skrevet arbeidsavtalen selv etter en gammel mal fra en bekjent, og den ble signert 20. august. Montøren får samme lønn som de to andre: 560 000 kr i året for 1 800 betalte timer. Fjell er ikke bundet av tariffavtale. Mona spør deg om avtalen holder, og om hun kan la de to montørene ta 300 overtidstimer hver i stedet for å ansette den tredje.</t>
  </si>
  <si>
    <t xml:space="preserve">Begrepene du trenger</t>
  </si>
  <si>
    <t xml:space="preserve">Arbeidsmiljøloven er et minstekrav: en avtale kan gi bedre vilkår enn loven, aldri svakere. Skriftlig arbeidsavtale senest sju dager etter oppstart (§ 14-5). Endringer inn i avtalen senest den dagen de trer i kraft (§ 14-8). Alminnelig arbeidstid høyst 9 timer i døgnet og 40 i uka (§ 10-4). Overtid krever et særlig og tidsavgrenset behov, høyst 200 timer i 52 uker uten avtale, og minst 40 % tillegg (§ 10-6).</t>
  </si>
  <si>
    <t xml:space="preserve">Tallene</t>
  </si>
  <si>
    <t xml:space="preserve">Montøren begynte 1. august. Arbeidsavtalen ble signert 20. august. Loven krever skriftlig avtale senest sju dager etter at arbeidsforholdet begynte (arbeidsmiljøloven § 14-5 andre ledd), altså senest 8. august. Lønn 560 000 kr i året for 1 800 betalte timer. Overtid skal lønnes med et tillegg på minst 40 prosent (§ 10-6 ellevte ledd).</t>
  </si>
  <si>
    <t xml:space="preserve">Post</t>
  </si>
  <si>
    <t xml:space="preserve">Verdi</t>
  </si>
  <si>
    <t xml:space="preserve">Første arbeidsdag (dag i august)</t>
  </si>
  <si>
    <t xml:space="preserve">Fristen for skriftlig avtale, dager etter oppstart (§ 14-5)</t>
  </si>
  <si>
    <t xml:space="preserve">Avtalen signert (dag i august)</t>
  </si>
  <si>
    <t xml:space="preserve">Årslønn, kroner</t>
  </si>
  <si>
    <t xml:space="preserve">Betalte timer i året</t>
  </si>
  <si>
    <t xml:space="preserve">Minste overtidstillegg, prosent (§ 10-6)</t>
  </si>
  <si>
    <t xml:space="preserve">Oppgaven, trinn for trinn</t>
  </si>
  <si>
    <t xml:space="preserve">1. Regn hvor mange dager for sent avtalen ble signert: fristen gikk ut 1 + 7 = 8. august.
2. Regn timelønna: årslønn delt på betalte timer. Hele kroner.
3. Regn hva en overtidstime minst skal koste Fjell: timelønn ganger 1,40. Hele kroner.
4. Gå gjennom seks punkter i Monas utkast og velg Lovlig eller Ikke lovlig. Sjekken forklarer med paragraf.
5. Skriv svaret til Mona i e.</t>
  </si>
  <si>
    <t xml:space="preserve">a) Dager for sent etter § 14-5 (signert 20. august, frist 8. august)</t>
  </si>
  <si>
    <t xml:space="preserve">dager</t>
  </si>
  <si>
    <t xml:space="preserve">b) Timelønn: 560 000 kr delt på 1 800 betalte timer</t>
  </si>
  <si>
    <t xml:space="preserve">kr per time</t>
  </si>
  <si>
    <t xml:space="preserve">c) Minste overtidslønn per time: timelønn × 1,40 (§ 10-6 ellevte ledd)</t>
  </si>
  <si>
    <t xml:space="preserve">d) Punktene i Monas utkast til arbeidsavtale: velg Lovlig eller Ikke lovlig</t>
  </si>
  <si>
    <t xml:space="preserve">Alminnelig arbeidstid 42 timer i uka</t>
  </si>
  <si>
    <t xml:space="preserve">Overtid ved behov, uten noe om tillegg</t>
  </si>
  <si>
    <t xml:space="preserve">Endringer i arbeidsforholdet tas inn i avtalen innen én måned</t>
  </si>
  <si>
    <t xml:space="preserve">Prøvetid seks måneder</t>
  </si>
  <si>
    <t xml:space="preserve">Gjensidig oppsigelsesfrist én måned</t>
  </si>
  <si>
    <t xml:space="preserve">Lønn: «etter avtale», uten beløp</t>
  </si>
  <si>
    <t xml:space="preserve">e) Mona vil heller la de to montørene ta 300 overtidstimer hver i året enn å ansette den tredje. Hva sier du til henne? Bruk grensen i loven og vilkåret for overtid. To–tre setninger.</t>
  </si>
  <si>
    <t xml:space="preserve">Står du fast? Skriv JA i den gule cellen:</t>
  </si>
  <si>
    <t xml:space="preserve">Gule celler fyller du inn. Grønne regnes ut av arket. Sjekken til høyre forteller om svaret stemmer, og hva du bør se på hvis ikke.</t>
  </si>
  <si>
    <t xml:space="preserve">Drøfte behovet for overtid med de tillitsvalgte før den settes i gang (§ 10-6 tredje ledd)</t>
  </si>
  <si>
    <t xml:space="preserve">Oppgave 1B: Nordlys: uka til Ronnys lag, og montøren med 212 overtidstimer</t>
  </si>
  <si>
    <t xml:space="preserve">Be montørene jobbe inn timene uten tillegg</t>
  </si>
  <si>
    <t xml:space="preserve">Ingenting, så lenge montørene selv vil</t>
  </si>
  <si>
    <t xml:space="preserve">Ronny er formann på nybygg hos Nordlys. Laget hans hadde en travel uke: 7,5, 9, 11,5, 8, 10, 6 og 0 timer. Kari har også sett at en montør i laget har 212 overtidstimer de siste 52 ukene, og hun sier: «Så lenge de får betalt, er det vel greit?» Nordlys har avtalt 37,5 timers uke og har ingen avtale med tillitsvalgte om utvidet overtid.</t>
  </si>
  <si>
    <t xml:space="preserve">Alminnelig arbeidstid: høyst 9 timer i døgnet og 40 timer i uka (§ 10-4). Overtid er arbeid utover lovens grense (§ 10-6 andre ledd) og krever et særlig og tidsavgrenset behov (første ledd). Uten avtale: høyst 10 timer per sju dager, 25 per fire uker og 200 per 52 uker (fjerde ledd). Samlet arbeidstid høyst 13 timer i døgnet (åttende ledd). Tillegg minst 40 % (ellevte ledd).</t>
  </si>
  <si>
    <t xml:space="preserve">Ronnys lag hadde en travel uke på et nybygg. Timene per dag står i tabellen; arket summerer dem. Alminnelig arbeidstid er høyst 9 timer i døgnet og 40 timer i uka (arbeidsmiljøloven § 10-4 første ledd). Alt over lovens grense er overtid (§ 10-6 andre ledd). Uten skriftlig avtale med tillitsvalgte er overtid begrenset til 10 timer per sju dager, 25 timer per fire uker og 200 timer per 52 uker (§ 10-6 fjerde ledd). Nordlys har avtalt 37,5 timers uke, men ingen avtale om utvidet overtid. En montør i laget har 212 overtidstimer de siste 52 ukene.</t>
  </si>
  <si>
    <t xml:space="preserve">Dag</t>
  </si>
  <si>
    <t xml:space="preserve">Timer</t>
  </si>
  <si>
    <t xml:space="preserve">Mandag</t>
  </si>
  <si>
    <t xml:space="preserve">Tirsdag</t>
  </si>
  <si>
    <t xml:space="preserve">Onsdag</t>
  </si>
  <si>
    <t xml:space="preserve">Torsdag</t>
  </si>
  <si>
    <t xml:space="preserve">Fredag</t>
  </si>
  <si>
    <t xml:space="preserve">Lørdag</t>
  </si>
  <si>
    <t xml:space="preserve">Søndag</t>
  </si>
  <si>
    <t xml:space="preserve">Sum for uka</t>
  </si>
  <si>
    <t xml:space="preserve">1. Finn timene over 9 i ett døgn, og legg dem sammen.
2. Regn overtiden for uka etter loven: timer utover 40. Timene over 9 per dag ligger allerede inni det tallet; tell dem ikke to ganger.
3. Sammenlikn med grensen på 10 overtidstimer per sju dager.
4. Regn hvor mange timer montøren med 212 timer ligger over årsgrensen.
5. Velg hva Ronny skal gjøre før neste travle uke, og skriv forklaringen til Kari.</t>
  </si>
  <si>
    <t xml:space="preserve">a) Timer over 9 i ett døgn, lagt sammen for uka (onsdag og fredag)</t>
  </si>
  <si>
    <t xml:space="preserve">timer</t>
  </si>
  <si>
    <t xml:space="preserve">b) Overtid i uka etter loven: timer utover 40</t>
  </si>
  <si>
    <t xml:space="preserve">c) Hvor mange timer over grensen på 10 overtidstimer per sju dager?</t>
  </si>
  <si>
    <t xml:space="preserve">d) Montøren med 212 overtidstimer: hvor mange timer over årsgrensen uten avtale?</t>
  </si>
  <si>
    <t xml:space="preserve">e) Hva skal Ronny gjøre før neste travle uke?</t>
  </si>
  <si>
    <t xml:space="preserve">f) Kari sier: «Så lenge montørene får betalt, er det vel greit?» Forklar henne hvorfor det ikke holder. Bruk vilkåret for overtid og årsgrensen. To–tre setninger.</t>
  </si>
  <si>
    <t xml:space="preserve">20. mai</t>
  </si>
  <si>
    <t xml:space="preserve">Oppgave 1C: Nordlys: en oppsigelse som skal holde</t>
  </si>
  <si>
    <t xml:space="preserve">31. mai</t>
  </si>
  <si>
    <t xml:space="preserve">30. april</t>
  </si>
  <si>
    <t xml:space="preserve">Ja</t>
  </si>
  <si>
    <t xml:space="preserve">En entreprenørkunde som sto for mye av arbeidet i prosjekt og nybygg, har gått konkurs. Kari må si opp én montør der. Hun har vurdert annet passende arbeid i service og i solceller og lading uten å finne noe. Valget faller på Jonas, 41 år, ansatt siden august 2020. Oppsigelsen gis 20. mars 2027. Ronny foreslår å «bare si det i bilen».</t>
  </si>
  <si>
    <t xml:space="preserve">Nei</t>
  </si>
  <si>
    <t xml:space="preserve">Oppsigelse skal drøftes med arbeidstakeren og den tillitsvalgte før beslutningen (§ 15-1), være skriftlig med rettigheter og frister (§ 15-4), ellers kan den kjennes ugyldig (§ 15-5), og være saklig begrunnet i virksomhetens, arbeidsgivers eller arbeidstakers forhold (§ 15-7). Fristene står i § 15-3 og løper fra første dag i måneden etter. Arbeidstakeren kan som hovedregel fortsette i stillingen mens saken går (§ 15-11).</t>
  </si>
  <si>
    <t xml:space="preserve">Jonas er 41 år og har vært montør hos Nordlys siden august 2020. Oppsigelsen gis 20. mars 2027. Grunnen er virksomhetens forhold: en entreprenørkunde har gått konkurs. Kari har vurdert annet passende arbeid i service og i solceller og lading uten å finne noe. Ingen avtale eller tariffavtale gir andre frister enn loven. Oppsigelsesfristene etter arbeidsmiljøloven § 15-3: én måned (første ledd), minst to måneder etter fem års sammenhengende ansettelse og minst tre etter ti år (andre ledd). Fristen løper fra og med første dag i måneden etter at oppsigelsen fant sted (fjerde ledd).</t>
  </si>
  <si>
    <t xml:space="preserve">Fakta</t>
  </si>
  <si>
    <t xml:space="preserve">Ansatt fra (år)</t>
  </si>
  <si>
    <t xml:space="preserve">Oppsigelsen gis (år)</t>
  </si>
  <si>
    <t xml:space="preserve">Alder</t>
  </si>
  <si>
    <t xml:space="preserve">Frist fra 5 års ansettelse, måneder</t>
  </si>
  <si>
    <t xml:space="preserve">Frist fra 10 års ansettelse, måneder</t>
  </si>
  <si>
    <t xml:space="preserve">Ja, oppsigelsestiden er ute 31. mai</t>
  </si>
  <si>
    <t xml:space="preserve">Nei, han kan som hovedregel fortsette i stillingen til saken er avgjort</t>
  </si>
  <si>
    <t xml:space="preserve">Nei, en oppsigelse han bestrider er automatisk ugyldig</t>
  </si>
  <si>
    <t xml:space="preserve">1. Regn hvor mange hele år Jonas har vært ansatt når oppsigelsen gis.
2. Finn oppsigelsesfristen i måneder etter § 15-3.
3. Velg hvilken dag som er hans siste dag; husk fjerde ledd.
4. Gå gjennom seks påstander om hva en gyldig oppsigelse krever: Ja eller Nei.
5. Ta stilling til hva som skjer hvis Jonas går til sak, og skriv rekkefølgen Kari skal følge.</t>
  </si>
  <si>
    <t xml:space="preserve">a) Hele år ansatt når oppsigelsen gis (august 2020 til mars 2027)</t>
  </si>
  <si>
    <t xml:space="preserve">år</t>
  </si>
  <si>
    <t xml:space="preserve">b) Oppsigelsesfrist i måneder etter § 15-3</t>
  </si>
  <si>
    <t xml:space="preserve">måneder</t>
  </si>
  <si>
    <t xml:space="preserve">c) Oppsigelsen gis 20. mars, fristen er to måneder. Siste dag?</t>
  </si>
  <si>
    <t xml:space="preserve">d) Hva krever loven for at oppsigelsen skal være gyldig? Velg Ja eller Nei</t>
  </si>
  <si>
    <t xml:space="preserve">Drøftingsmøte med Jonas og den tillitsvalgte før beslutningen tas</t>
  </si>
  <si>
    <t xml:space="preserve">Skriftlig oppsigelse, levert personlig eller rekommandert, med rett til forhandling, søksmål og å stå i stillingen, og fristene</t>
  </si>
  <si>
    <t xml:space="preserve">Det holder å si det muntlig i bilen når grunnen er saklig</t>
  </si>
  <si>
    <t xml:space="preserve">Annet passende arbeid i bedriften er vurdert</t>
  </si>
  <si>
    <t xml:space="preserve">Bedriftsøkonomisk begrunnelse for nedbemanningen, og avveining mot ulempene for Jonas</t>
  </si>
  <si>
    <t xml:space="preserve">Jonas må ha fått en skriftlig advarsel først</t>
  </si>
  <si>
    <t xml:space="preserve">e) Jonas mener oppsigelsen er usaklig, krever forhandling og reiser sak i tide. Må han slutte 31. mai?</t>
  </si>
  <si>
    <t xml:space="preserve">f) Hva gjør Kari, i hvilken rekkefølge, før og når hun skriver oppsigelsen? Tre setninger med paragraf.</t>
  </si>
  <si>
    <t xml:space="preserve">§ 5 første ledd: utføre tjenesten fagmessig</t>
  </si>
  <si>
    <t xml:space="preserve">Oppgave 2A: Nordlys: fakturaen som sprakk</t>
  </si>
  <si>
    <t xml:space="preserve">§ 7 andre ledd: kontakte forbrukeren når prisen blir betydelig høyere enn hun måtte vente</t>
  </si>
  <si>
    <t xml:space="preserve">§ 32 første ledd: ta gjengs pris</t>
  </si>
  <si>
    <t xml:space="preserve">Nordlys skulle bytte sikringsskapet og trekke nye kurser i en enebolig. Kunden er en familie, altså en forbruker. Ida ga et skriftlig prisoverslag på 36 000 kr inkludert merverdiavgift. Underveis måtte flere kurser trekkes om, innenfor det som var avtalt. Montøren så at timene løp, men ringte ikke kunden. Fakturaen ble 42 300 kr, og kunden sier hun bare betaler 36 000.</t>
  </si>
  <si>
    <t xml:space="preserve">Håndverkertjenesteloven gjelder tjenester til forbrukere. Prisoverslag: prisen skal ikke overstige det oppgitte beløpet vesentlig, og i alle fall ikke med mer enn 15 prosent (§ 32 andre ledd). Prosenten regnes av overslaget. Blir prisen betydelig høyere enn forbrukeren måtte vente, skal tjenesteyteren kontakte henne (§ 7 andre ledd); brytes plikten, kan hun slippe å betale fullt ut.</t>
  </si>
  <si>
    <t xml:space="preserve">Kunden er en familie i en enebolig, altså en forbruker: håndverkertjenesteloven gjelder. Ida ga et skriftlig prisoverslag på 36 000 kr inkludert merverdiavgift. Fakturaen ble 42 300 kr. Er det gitt prisoverslag, skal prisen ikke overstige det oppgitte beløpet vesentlig, og i alle fall ikke med mer enn 15 prosent (§ 32 andre ledd). Montøren så at timene løp, men ringte ikke kunden.</t>
  </si>
  <si>
    <t xml:space="preserve">Kroner</t>
  </si>
  <si>
    <t xml:space="preserve">Prisoverslag, inkludert merverdiavgift</t>
  </si>
  <si>
    <t xml:space="preserve">Faktura, inkludert merverdiavgift</t>
  </si>
  <si>
    <t xml:space="preserve">Høyeste overskridelse etter § 32 andre ledd, prosent</t>
  </si>
  <si>
    <t xml:space="preserve">1. Regn taket: prisoverslaget pluss 15 prosent.
2. Regn hvor mange prosent over overslaget fakturaen ligger. Del overskridelsen i kroner på overslaget, ikke på fakturaen. Én desimal.
3. Regn hvor mye kunden i alle fall kan avvise: fakturaen minus taket.
4. Velg hvilken plikt montøren brøt underveis.
5. Skriv hva Kari svarer kunden, og hvilken rutine hun innfører.</t>
  </si>
  <si>
    <t xml:space="preserve">a) Det høyeste Nordlys kan kreve etter § 32 andre ledd: 36 000 × 1,15</t>
  </si>
  <si>
    <t xml:space="preserve">kr</t>
  </si>
  <si>
    <t xml:space="preserve">b) Hvor mange prosent over overslaget ligger fakturaen? (42 300 − 36 000) / 36 000, i prosent med én desimal</t>
  </si>
  <si>
    <t xml:space="preserve">prosent</t>
  </si>
  <si>
    <t xml:space="preserve">c) Hvor mye kan kunden i alle fall avvise? Faktura minus taket</t>
  </si>
  <si>
    <t xml:space="preserve">d) Montøren så underveis at prisen ville bli mye høyere enn overslaget, men ringte ikke. Hvilken plikt brøt han?</t>
  </si>
  <si>
    <t xml:space="preserve">e) Kunden sier: «Jeg betaler 36 000, ikke en krone mer.» Hva svarer Kari, og hvilken rutine innfører hun så det ikke skjer igjen? Tre setninger med paragraf.</t>
  </si>
  <si>
    <t xml:space="preserve">Montere vernet og legge det på fakturaen; det er praktisk å gjøre samtidig</t>
  </si>
  <si>
    <t xml:space="preserve">Oppgave 2B: Fjell Elektro: tre måter å si prisen på</t>
  </si>
  <si>
    <t xml:space="preserve">Kontakte kunden før han gjør tilleggsarbeidet (§ 9 første ledd)</t>
  </si>
  <si>
    <t xml:space="preserve">Ingenting; fast pris betyr at alt nødvendig arbeid er inkludert</t>
  </si>
  <si>
    <t xml:space="preserve">Ja, 15 % over overslaget er alltid lov</t>
  </si>
  <si>
    <t xml:space="preserve">Mona selger «ladeboks med installasjon» for 15 300 kr inkludert merverdiavgift og har brukt tre ulike formuleringer om prisen i tilbudene. Hos kunde 1 finner montøren at laderen trenger et nytt vern i sikringsskapet, utenfor oppdraget, 2 500 kr. Mona spør hva hun kan fakturere, og hva tilbudsmalen bør si.</t>
  </si>
  <si>
    <t xml:space="preserve">Nei, 15 % er et tak; prisen skal ikke overstige overslaget vesentlig, og overskridelsen må kunne begrunnes</t>
  </si>
  <si>
    <t xml:space="preserve">Nei, et prisoverslag er det samme som fast pris</t>
  </si>
  <si>
    <t xml:space="preserve">Fire prisformer, fra mest til minst bindende: fast pris, høyeste pris, prisoverslag (høyst 15 % over, § 32 andre ledd) og uforpliktende prisantydning. Er prisen ikke avtalt: gjengs pris (§ 32 første ledd). Tilleggsarbeid: kontakt forbrukeren først (§ 9); avtalt tilleggsarbeid kan kreves betalt (§ 33). Det er håndverkeren som må godtgjøre hvilken prisform som ble gitt.</t>
  </si>
  <si>
    <t xml:space="preserve">Fast pris</t>
  </si>
  <si>
    <t xml:space="preserve">Høyeste pris</t>
  </si>
  <si>
    <t xml:space="preserve">Prisoverslag</t>
  </si>
  <si>
    <t xml:space="preserve">Fjell Elektro selger «ladeboks med installasjon» for 15 300 kr inkludert merverdiavgift. Mona har brukt tre formuleringer i tilbudene: «fast pris 15 300 kr» (kunde 1), «prisoverslag 15 300 kr» (kunde 2) og «ca. 15 000 kr, avhengig av hva vi finner» (kunde 3). Hos kunde 1 finner montøren at laderen trenger et nytt vern i sikringsskapet, utenfor oppdraget: 2 500 kr inkludert merverdiavgift. Alle kundene er forbrukere.</t>
  </si>
  <si>
    <t xml:space="preserve">Uforpliktende prisantydning</t>
  </si>
  <si>
    <t xml:space="preserve">Gjengs pris</t>
  </si>
  <si>
    <t xml:space="preserve">Ladeboks med installasjon, inkludert merverdiavgift</t>
  </si>
  <si>
    <t xml:space="preserve">Nytt vern utenfor oppdraget (tilleggsarbeid), inkludert merverdiavgift</t>
  </si>
  <si>
    <t xml:space="preserve">Høyeste overskridelse av et prisoverslag, prosent (§ 32 andre ledd)</t>
  </si>
  <si>
    <t xml:space="preserve">1. Regn taket for kunde 2, som fikk prisoverslag.
2. Velg hva montøren skal gjøre først hos kunde 1 når han finner vernet.
3. Kunde 1 sier ja på telefon. Regn hva Fjell kan fakturere i alt.
4. Ta stilling til om 15 prosent er et fribeløp.
5. Sorter fem prisformuleringer til riktig prisform, og skriv hva tilbudsmalen bør si.</t>
  </si>
  <si>
    <t xml:space="preserve">a) Kunde 2 fikk prisoverslag på 15 300 kr. Det høyeste Fjell kan fakturere for oppdraget</t>
  </si>
  <si>
    <t xml:space="preserve">b) Hos kunde 1 finner montøren at laderen trenger et nytt vern, utenfor oppdraget. Det er praktisk å gjøre det nå. Hva først?</t>
  </si>
  <si>
    <t xml:space="preserve">c) Kunde 1 sier ja til vernet på telefon. Hva kan Fjell fakturere i alt? Fast pris pluss tilleggsarbeidet</t>
  </si>
  <si>
    <t xml:space="preserve">d) Hos kunde 2 tok jobben lengre tid enn Mona regnet med, uten at noe uforutsett dukket opp. Kan Fjell fakturere 17 595 kr «fordi det er innenfor 15 %»?</t>
  </si>
  <si>
    <t xml:space="preserve">e) Hvilken prisform er dette? Velg i nedtrekksmenyen</t>
  </si>
  <si>
    <t xml:space="preserve">«Fast pris 15 300 kr inkludert merverdiavgift»</t>
  </si>
  <si>
    <t xml:space="preserve">«Prisoverslag 15 300 kr»</t>
  </si>
  <si>
    <t xml:space="preserve">«Ca. 15 000 kr, avhengig av hva vi finner»</t>
  </si>
  <si>
    <t xml:space="preserve">«Det blir ikke mer enn 16 000 kr»</t>
  </si>
  <si>
    <t xml:space="preserve">Ingen pris nevnt i tilbudet</t>
  </si>
  <si>
    <t xml:space="preserve">f) Hvilken prisform bør Mona bruke i tilbudsmalen for ladeboks med installasjon, og hvordan skal den formuleres? To–tre setninger.</t>
  </si>
  <si>
    <t xml:space="preserve">Oppgave 2C: Nordlys: Idas ni tiltak, og tre måter å spørre etisk på</t>
  </si>
  <si>
    <t xml:space="preserve">Endret siden boka</t>
  </si>
  <si>
    <t xml:space="preserve">Ida har laget en liste med ni markedsføringstiltak for Nordlys, fra annonser til konkurranser og et kundekort. Kari vil vite hva som er lovlig etter markedsføringsloven før noe går i trykken. Etterpå diskuterer Kari, Tom og Ida hvorfor de egentlig vil holde seg til loven, og de begrunner det på tre ulike måter.</t>
  </si>
  <si>
    <t xml:space="preserve">Markedsføringsloven § 3: reklame skal kunne sees som reklame, og påstander skal kunne dokumenteres når markedsføringen skjer. § 6: urimelig handelspraksis er forbudt, og den er alltid urimelig hvis den er villedende (§§ 7 og 8) eller aggressiv (§ 9). § 18: salgsfremmende tiltak; endret i 2013. Etikk: pliktetikk, dydsetikk (sinnelagsetikk) og konsekvensetikk; lovens bokstav og lovens ånd.</t>
  </si>
  <si>
    <t xml:space="preserve">Testene</t>
  </si>
  <si>
    <t xml:space="preserve">Markedsføringsloven, slik boka gjengir den: påstander om egenskaper og virkninger skal kunne dokumenteres i det øyeblikket markedsføringen skjer (§ 3). Villedende handlinger (§ 7), villedende utelatelser (§ 8) og aggressiv handelspraksis (§ 9) er alltid urimelig (§ 6). Salgsfremmende tiltak reguleres av § 18. Boka sier at det fortsatt er forbudt å gjøre deltakelse i en konkurranse betinget av kjøp. Det var riktig da loven kom i 2009, men § 18 ble endret i 2013: i dag kreves bare at vilkårene for en tilleggsfordel er klare og lett tilgjengelige, og konkurransen vurderes etter §§ 6–9. Velg «Endret siden boka» der boka og loven i dag gir ulikt svar.</t>
  </si>
  <si>
    <t xml:space="preserve">Idas ni tiltak: Lovlig, Ikke lovlig eller Endret siden boka</t>
  </si>
  <si>
    <t xml:space="preserve">Annonse: «Vi kutter strømregningen din med 40 %». Ingen har regnet på det</t>
  </si>
  <si>
    <t xml:space="preserve">Slagord: «Oslos hyggeligste elektrikere»</t>
  </si>
  <si>
    <t xml:space="preserve">Trekning av en ladeboks blant alle som ber om befaring, med vilkårene på nettsiden</t>
  </si>
  <si>
    <t xml:space="preserve">Trekning bare blant dem som kjøper skapbytte</t>
  </si>
  <si>
    <t xml:space="preserve">Montøren setter ikke på strømmen igjen før kunden har signert et nytt tilbud</t>
  </si>
  <si>
    <t xml:space="preserve">«Godkjent av Fjellkraft Nett AS» i annonsen, når Nordlys bare har en rammeavtale med nettselskapet</t>
  </si>
  <si>
    <t xml:space="preserve">«Ladeboks 9 900 kr» med «montering kommer i tillegg» i bitteliten skrift nederst</t>
  </si>
  <si>
    <t xml:space="preserve">Reklamen er satt opp så den ser ut som en nyhetsartikkel i lokalavisa</t>
  </si>
  <si>
    <t xml:space="preserve">Et kort som stemples ved hvert serviceoppdrag og gir en gratis el-kontroll etter fem stempler</t>
  </si>
  <si>
    <t xml:space="preserve">Tre måter å spørre etisk på</t>
  </si>
  <si>
    <t xml:space="preserve">Boka skiller mellom pliktetikk (er selve handlingen riktig? Kants kategoriske imperativ), dydsetikk, som boka også kaller sinnelagsetikk (hva slags menneske handler?), og konsekvensetikk (hva blir resultatet?). Velg hvilken retning hvert utsagn hører til.</t>
  </si>
  <si>
    <t xml:space="preserve">Kari: «Vi lover aldri noe vi ikke kan dokumentere, uansett hva det koster oss i salg»</t>
  </si>
  <si>
    <t xml:space="preserve">Tom: «Hvis annonsen gir oss ti nye kunder og ingen klager, er den god»</t>
  </si>
  <si>
    <t xml:space="preserve">Ida: «Jeg vil være en kalkulatør folk stoler på, så jeg skriver ikke 40 % uten å ha regnet»</t>
  </si>
  <si>
    <t xml:space="preserve">Pliktetikk</t>
  </si>
  <si>
    <t xml:space="preserve">Lovens bokstav og lovens ånd: § 3 krever dokumentasjon når annonsen trykkes. Hva krever lovens ånd av Ida før hun skriver «40 %»? Og hva sier det om kjøpsbetingede konkurranser, som loven ikke lenger forbyr? To–tre setninger.</t>
  </si>
  <si>
    <t xml:space="preserve">Dydsetikk (sinnelagsetikk)</t>
  </si>
  <si>
    <t xml:space="preserve">Konsekvensetikk</t>
  </si>
  <si>
    <t xml:space="preserve">Fasit, kapittel 20</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</si>
  <si>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</si>
  <si>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</si>
  <si>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</si>
  <si>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</si>
  <si>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Dager for sent</t>
  </si>
  <si>
    <t xml:space="preserve">Frist 1. august + 7 dager = 8. august. Signert 20. august: 20 − 8 = 12 dager for sent (§ 14-5 andre ledd). Boka skriver «innen én måned»; det gjaldt før 1. juli 2024</t>
  </si>
  <si>
    <t xml:space="preserve">1A b) Timelønn</t>
  </si>
  <si>
    <t xml:space="preserve">560 000 / 1 800 = 311 kr</t>
  </si>
  <si>
    <t xml:space="preserve">1A c) Overtidslønn per time, minst</t>
  </si>
  <si>
    <t xml:space="preserve">311,11 × 1,40 = 435,56, avrundet 436 kr (§ 10-6 ellevte ledd: tillegg minst 40 %). En tariffavtale kan gi mer, aldri mindre</t>
  </si>
  <si>
    <t xml:space="preserve">1A d) Monas utkast</t>
  </si>
  <si>
    <t xml:space="preserve">Ikke lovlig: 42 timer (§ 10-4), overtid uten tillegg (§ 10-6), endringer innen én måned (§ 14-8), lønn uten beløp (§ 14-6). Lovlig: prøvetid seks måneder (§ 15-6), gjensidig frist én måned (§ 15-3)</t>
  </si>
  <si>
    <t xml:space="preserve">1A e) 300 overtidstimer</t>
  </si>
  <si>
    <t xml:space="preserve">Ikke lovlig: grensen uten avtale er 200 timer i 52 uker (§ 10-6 fjerde ledd); 300 krever skriftlig avtale med tillitsvalgte i tariffbundet virksomhet (femte ledd). Overtid krever et særlig og tidsavgrenset behov (første ledd). To montører med 300 timer hver er 600 timer, en tredjedel av en ny montørs 1 800 timer</t>
  </si>
  <si>
    <t xml:space="preserve">1B a) Over 9 timer i døgnet</t>
  </si>
  <si>
    <t xml:space="preserve">Onsdag 11,5 − 9 = 2,5. Fredag 10 − 9 = 1. Til sammen 3,5 timer (§ 10-4 første ledd)</t>
  </si>
  <si>
    <t xml:space="preserve">1B b) Overtid i uka</t>
  </si>
  <si>
    <t xml:space="preserve">52 − 40 = 12 timer (§ 10-6 andre ledd). Den vanligste feilen: 12 + 3,5 = 15,5, som teller onsdag og fredag to ganger</t>
  </si>
  <si>
    <t xml:space="preserve">1B c) Over ukegrensen</t>
  </si>
  <si>
    <t xml:space="preserve">12 − 10 = 2 timer over grensen på 10 overtidstimer per sju dager (§ 10-6 fjerde ledd)</t>
  </si>
  <si>
    <t xml:space="preserve">1B d) Over årsgrensen</t>
  </si>
  <si>
    <t xml:space="preserve">212 − 200 = 12 timer (§ 10-6 fjerde ledd). 300 timer krever skriftlig avtale med tillitsvalgte i tariffbundet virksomhet (femte ledd)</t>
  </si>
  <si>
    <t xml:space="preserve">1B e) Ronny</t>
  </si>
  <si>
    <t xml:space="preserve">Drøfte behovet med de tillitsvalgte før overtiden settes i gang (§ 10-6 tredje ledd)</t>
  </si>
  <si>
    <t xml:space="preserve">1B f) Til Kari</t>
  </si>
  <si>
    <t xml:space="preserve">Overtid krever et særlig og tidsavgrenset behov (§ 10-6 første ledd). Grensene 10 timer per sju dager og 200 timer per 52 uker gjelder uansett betaling (fjerde ledd). Fullt forsvarlig arbeidsmiljø (§ 4-1); arbeidsmengde og tidspress er psykososialt arbeidsmiljø (§ 4-3 andre ledd)</t>
  </si>
  <si>
    <t xml:space="preserve">1C a) Hele år ansatt</t>
  </si>
  <si>
    <t xml:space="preserve">August 2020 til mars 2027: 6 år og 7 måneder, altså 6 hele år</t>
  </si>
  <si>
    <t xml:space="preserve">1C b) Oppsigelsesfrist</t>
  </si>
  <si>
    <t xml:space="preserve">Minst fem år, under ti: minst to måneder (§ 15-3 andre ledd)</t>
  </si>
  <si>
    <t xml:space="preserve">1C c) Siste dag</t>
  </si>
  <si>
    <t xml:space="preserve">31. mai. Fristen løper fra 1. april (§ 15-3 fjerde ledd); april og mai</t>
  </si>
  <si>
    <t xml:space="preserve">1C d) Krav til gyldig oppsigelse</t>
  </si>
  <si>
    <t xml:space="preserve">Ja: drøfting (§ 15-1), skriftlig med rettigheter og frister (§ 15-4), annet passende arbeid vurdert (§ 15-7 andre ledd), bedriftsøkonomisk begrunnelse og avveining (§ 15-7). Nei: muntlig i bilen (§ 15-4), krav om advarsel (gjelder arbeidstakers forhold)</t>
  </si>
  <si>
    <t xml:space="preserve">1C e) Går til sak</t>
  </si>
  <si>
    <t xml:space="preserve">Han kan fortsette i stillingen til saken er avgjort (§ 15-11); arbeidsgiver må kreve fratreden for retten. Usaklig oppsigelse er ugyldig og gir erstatning (§ 15-12)</t>
  </si>
  <si>
    <t xml:space="preserve">1C f) Rekkefølgen</t>
  </si>
  <si>
    <t xml:space="preserve">Saklighet og omplassering (§ 15-7), drøftingsmøte (§ 15-1), skriftlig oppsigelse (§ 15-4), attest (§ 15-15)</t>
  </si>
  <si>
    <t xml:space="preserve">2A a) Taket</t>
  </si>
  <si>
    <t xml:space="preserve">36 000 × 1,15 = 41 400 kr (§ 32 andre ledd). Et tak, ikke et beløp Nordlys har krav på</t>
  </si>
  <si>
    <t xml:space="preserve">2A b) Overskridelse i prosent</t>
  </si>
  <si>
    <t xml:space="preserve">(42 300 − 36 000) / 36 000 = 17,5 %. Over grensen på 15 %</t>
  </si>
  <si>
    <t xml:space="preserve">2A c) Kan i alle fall avvises</t>
  </si>
  <si>
    <t xml:space="preserve">42 300 − 41 400 = 900 kr. Mer kan avvises hvis overskridelsen var vesentlig, og fordi § 7 andre ledd ble brutt</t>
  </si>
  <si>
    <t xml:space="preserve">2A d) Plikten</t>
  </si>
  <si>
    <t xml:space="preserve">2A e) Til kunden og rutinen</t>
  </si>
  <si>
    <t xml:space="preserve">Høyst 41 400 kr, og kunden kan slippe å betale fullt ut fordi § 7 andre ledd ble brutt. Rutine: prisformen med ord i tilbudsmalen, og én telefon når timene løper, notert på arbeidsordren</t>
  </si>
  <si>
    <t xml:space="preserve">2B a) Taket for kunde 2</t>
  </si>
  <si>
    <t xml:space="preserve">15 300 × 1,15 = 17 595 kr (§ 32 andre ledd)</t>
  </si>
  <si>
    <t xml:space="preserve">2B b) Vernet hos kunde 1</t>
  </si>
  <si>
    <t xml:space="preserve">Kontakte kunden først (§ 9 første ledd). Bare fare for vesentlig skade gir rett til å gjøre det uten videre (tredje ledd)</t>
  </si>
  <si>
    <t xml:space="preserve">2B c) Kunde 1 i alt</t>
  </si>
  <si>
    <t xml:space="preserve">15 300 + 2 500 = 17 800 kr. Fast pris for oppdraget pluss tilleggsarbeid etter §§ 9 og 33</t>
  </si>
  <si>
    <t xml:space="preserve">2B d) 15 % som fribeløp</t>
  </si>
  <si>
    <t xml:space="preserve">Nei. 15 % er yttergrensen; prisen skal ikke overstige overslaget vesentlig, og overskridelsen må kunne begrunnes</t>
  </si>
  <si>
    <t xml:space="preserve">2B e) Prisformene</t>
  </si>
  <si>
    <t xml:space="preserve">Fast pris, prisoverslag, uforpliktende prisantydning, høyeste pris, gjengs pris</t>
  </si>
  <si>
    <t xml:space="preserve">2B f) Tilbudsmalen</t>
  </si>
  <si>
    <t xml:space="preserve">Fast pris, skriftlig, med ord, og med det som ikke er med. Tilleggsarbeid avtales før det gjøres (§ 9)</t>
  </si>
  <si>
    <t xml:space="preserve">2C Idas tiltak</t>
  </si>
  <si>
    <t xml:space="preserve">Lovlig: slagordet, trekningen blant alle som ber om befaring, samlemerket (§§ 3 og 18). Ikke lovlig: 40 % uten dokumentasjon (§ 3), strømmen som holdes tilbake (§ 9), «Godkjent av Fjellkraft Nett AS» (§ 7), liten skrift om montering (§ 8), reklame som nyhetsartikkel (§ 3). Endret siden boka: trekning bare blant kjøpere (§ 18, endret 2013)</t>
  </si>
  <si>
    <t xml:space="preserve">2C Etikken</t>
  </si>
  <si>
    <t xml:space="preserve">Kari: pliktetikk. Tom: konsekvensetikk. Ida: dydsetikk, som boka også kaller sinnelagsetikk</t>
  </si>
  <si>
    <t xml:space="preserve">2C Lovens ånd</t>
  </si>
  <si>
    <t xml:space="preserve">Bokstaven: dokumentasjon når annonsen trykkes. Ånden: Ida skal kunne stå for tallet overfor kunden, og en konkurranse skal ikke få kunden til å kjøpe noe hun ikke trenger (boka 20.6)</t>
  </si>
</sst>
</file>

<file path=xl/styles.xml><?xml version="1.0" encoding="utf-8"?>
<styleSheet xmlns="http://schemas.openxmlformats.org/spreadsheetml/2006/main">
  <numFmts count="3">
    <numFmt numFmtId="164" formatCode="General"/>
    <numFmt numFmtId="165" formatCode="#,##0"/>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b val="true"/>
      <sz val="11"/>
      <color theme="1"/>
      <name val="Calibri"/>
      <family val="2"/>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FFF2CC"/>
        <bgColor rgb="FFE2EFDA"/>
      </patternFill>
    </fill>
    <fill>
      <patternFill patternType="solid">
        <fgColor rgb="FFDDEBF7"/>
        <bgColor rgb="FFE2EFDA"/>
      </patternFill>
    </fill>
    <fill>
      <patternFill patternType="solid">
        <fgColor rgb="FFE2EFDA"/>
        <bgColor rgb="FFDDEBF7"/>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5" borderId="1" xfId="0" applyFont="fals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5" fontId="0" fillId="5" borderId="1" xfId="0" applyFont="fals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30"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6" customFormat="false" ht="15" hidden="false" customHeight="true" outlineLevel="0" collapsed="false">
      <c r="B16" s="2" t="s">
        <v>12</v>
      </c>
    </row>
    <row r="17" customFormat="false" ht="15" hidden="false" customHeight="true" outlineLevel="0" collapsed="false">
      <c r="B17" s="2" t="s">
        <v>13</v>
      </c>
    </row>
    <row r="18" customFormat="false" ht="15" hidden="false" customHeight="true" outlineLevel="0" collapsed="false">
      <c r="B18" s="2" t="s">
        <v>14</v>
      </c>
    </row>
    <row r="20" customFormat="false" ht="30" hidden="false" customHeight="true" outlineLevel="0" collapsed="false">
      <c r="B20" s="4" t="s">
        <v>15</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16</v>
      </c>
    </row>
    <row r="2" customFormat="false" ht="25.5" hidden="false" customHeight="true" outlineLevel="0" collapsed="false">
      <c r="B2" s="5" t="s">
        <v>17</v>
      </c>
      <c r="C2" s="5"/>
      <c r="D2" s="5"/>
      <c r="E2" s="5"/>
      <c r="F2" s="5"/>
      <c r="G2" s="5"/>
      <c r="Z2" s="6" t="s">
        <v>18</v>
      </c>
    </row>
    <row r="3" customFormat="false" ht="15" hidden="false" customHeight="true" outlineLevel="0" collapsed="false">
      <c r="B3" s="7" t="s">
        <v>19</v>
      </c>
      <c r="C3" s="7"/>
      <c r="D3" s="7"/>
      <c r="E3" s="7"/>
      <c r="F3" s="7"/>
      <c r="G3" s="7"/>
      <c r="Z3" s="6" t="s">
        <v>16</v>
      </c>
    </row>
    <row r="4" customFormat="false" ht="15.75" hidden="false" customHeight="true" outlineLevel="0" collapsed="false">
      <c r="B4" s="8" t="s">
        <v>20</v>
      </c>
      <c r="C4" s="8"/>
      <c r="D4" s="8"/>
      <c r="E4" s="8"/>
      <c r="F4" s="8"/>
      <c r="G4" s="8"/>
      <c r="Z4" s="6" t="s">
        <v>18</v>
      </c>
    </row>
    <row r="5" customFormat="false" ht="60" hidden="false" customHeight="true" outlineLevel="0" collapsed="false">
      <c r="B5" s="9" t="s">
        <v>21</v>
      </c>
      <c r="C5" s="9"/>
      <c r="D5" s="9"/>
      <c r="E5" s="9"/>
      <c r="F5" s="9"/>
      <c r="G5" s="9"/>
      <c r="Z5" s="6" t="s">
        <v>16</v>
      </c>
    </row>
    <row r="6" customFormat="false" ht="15.75" hidden="false" customHeight="true" outlineLevel="0" collapsed="false">
      <c r="B6" s="8" t="s">
        <v>22</v>
      </c>
      <c r="C6" s="8"/>
      <c r="D6" s="8"/>
      <c r="E6" s="8"/>
      <c r="F6" s="8"/>
      <c r="G6" s="8"/>
      <c r="Z6" s="6" t="s">
        <v>18</v>
      </c>
    </row>
    <row r="7" customFormat="false" ht="60" hidden="false" customHeight="true" outlineLevel="0" collapsed="false">
      <c r="B7" s="9" t="s">
        <v>23</v>
      </c>
      <c r="C7" s="9"/>
      <c r="D7" s="9"/>
      <c r="E7" s="9"/>
      <c r="F7" s="9"/>
      <c r="G7" s="9"/>
      <c r="Z7" s="6" t="s">
        <v>16</v>
      </c>
    </row>
    <row r="8" customFormat="false" ht="15" hidden="false" customHeight="false" outlineLevel="0" collapsed="false">
      <c r="Z8" s="0" t="s">
        <v>18</v>
      </c>
    </row>
    <row r="9" customFormat="false" ht="15.75" hidden="false" customHeight="true" outlineLevel="0" collapsed="false">
      <c r="B9" s="8" t="s">
        <v>24</v>
      </c>
      <c r="C9" s="8"/>
      <c r="D9" s="8"/>
      <c r="E9" s="8"/>
      <c r="F9" s="8"/>
      <c r="G9" s="8"/>
      <c r="Z9" s="6" t="s">
        <v>16</v>
      </c>
    </row>
    <row r="10" customFormat="false" ht="45" hidden="false" customHeight="true" outlineLevel="0" collapsed="false">
      <c r="B10" s="9" t="s">
        <v>25</v>
      </c>
      <c r="C10" s="9"/>
      <c r="D10" s="9"/>
      <c r="E10" s="9"/>
      <c r="F10" s="9"/>
      <c r="G10" s="9"/>
      <c r="Z10" s="6" t="s">
        <v>18</v>
      </c>
    </row>
    <row r="11" customFormat="false" ht="15" hidden="false" customHeight="false" outlineLevel="0" collapsed="false">
      <c r="B11" s="10" t="s">
        <v>26</v>
      </c>
      <c r="C11" s="11" t="s">
        <v>27</v>
      </c>
      <c r="Z11" s="6" t="s">
        <v>16</v>
      </c>
    </row>
    <row r="12" customFormat="false" ht="15" hidden="false" customHeight="false" outlineLevel="0" collapsed="false">
      <c r="B12" s="12" t="s">
        <v>28</v>
      </c>
      <c r="C12" s="13" t="n">
        <v>1</v>
      </c>
      <c r="Z12" s="6" t="s">
        <v>18</v>
      </c>
    </row>
    <row r="13" customFormat="false" ht="15" hidden="false" customHeight="false" outlineLevel="0" collapsed="false">
      <c r="B13" s="12" t="s">
        <v>29</v>
      </c>
      <c r="C13" s="13" t="n">
        <v>7</v>
      </c>
    </row>
    <row r="14" customFormat="false" ht="15" hidden="false" customHeight="false" outlineLevel="0" collapsed="false">
      <c r="B14" s="12" t="s">
        <v>30</v>
      </c>
      <c r="C14" s="13" t="n">
        <v>20</v>
      </c>
    </row>
    <row r="15" customFormat="false" ht="15" hidden="false" customHeight="false" outlineLevel="0" collapsed="false">
      <c r="B15" s="12" t="s">
        <v>31</v>
      </c>
      <c r="C15" s="13" t="n">
        <v>560000</v>
      </c>
    </row>
    <row r="16" customFormat="false" ht="15" hidden="false" customHeight="false" outlineLevel="0" collapsed="false">
      <c r="B16" s="12" t="s">
        <v>32</v>
      </c>
      <c r="C16" s="13" t="n">
        <v>1800</v>
      </c>
    </row>
    <row r="17" customFormat="false" ht="15" hidden="false" customHeight="false" outlineLevel="0" collapsed="false">
      <c r="B17" s="12" t="s">
        <v>33</v>
      </c>
      <c r="C17" s="13" t="n">
        <v>40</v>
      </c>
    </row>
    <row r="19" customFormat="false" ht="15.75" hidden="false" customHeight="true" outlineLevel="0" collapsed="false">
      <c r="B19" s="8" t="s">
        <v>34</v>
      </c>
      <c r="C19" s="8"/>
      <c r="D19" s="8"/>
      <c r="E19" s="8"/>
      <c r="F19" s="8"/>
      <c r="G19" s="8"/>
    </row>
    <row r="20" customFormat="false" ht="60" hidden="false" customHeight="true" outlineLevel="0" collapsed="false">
      <c r="B20" s="9" t="s">
        <v>35</v>
      </c>
      <c r="C20" s="9"/>
      <c r="D20" s="9"/>
      <c r="E20" s="9"/>
      <c r="F20" s="9"/>
      <c r="G20" s="9"/>
    </row>
    <row r="22" customFormat="false" ht="43.5" hidden="false" customHeight="true" outlineLevel="0" collapsed="false">
      <c r="B22" s="14" t="s">
        <v>36</v>
      </c>
      <c r="C22" s="15"/>
      <c r="D22" s="16" t="s">
        <v>37</v>
      </c>
      <c r="G22" s="17" t="str">
        <f aca="false">IF(C22="","Skriv svaret i den gule cellen.",IF(C22=(20-8),"Riktig.",IF(ABS(C22-(20-1))&lt;=0,"Du har telt fra første arbeidsdag. Fristen er sju dager etter oppstart, så den gikk ut 8. august.",IF(ABS(C22-(20-7))&lt;=0,"Du har trukket fra sju dager, men fristen regnes fra 1. august: 1 + 7 = 8. august. Tell fra den 8.","Ikke riktig ennå. Se på regnestykket øverst på fanen, og sjekk at du har med alle leddene."))))</f>
        <v>Skriv svaret i den gule cellen.</v>
      </c>
    </row>
    <row r="23" customFormat="false" ht="43.5" hidden="false" customHeight="true" outlineLevel="0" collapsed="false">
      <c r="B23" s="14" t="s">
        <v>38</v>
      </c>
      <c r="C23" s="15"/>
      <c r="D23" s="16" t="s">
        <v>39</v>
      </c>
      <c r="G23" s="17" t="str">
        <f aca="false">IF(C23="","Skriv svaret i den gule cellen.",IF(ABS(C23-(ROUND(560000/1800,0)))&lt;=1,"Riktig.",IF(ABS(C23-(ROUND(560000/1400,0)))&lt;=1,"Du har delt på fakturerbare timer. Timelønna regnes på alle betalte timer, 1 800.","Ikke riktig ennå. Se på regnestykket øverst på fanen, og sjekk at du har med alle leddene.")))</f>
        <v>Skriv svaret i den gule cellen.</v>
      </c>
    </row>
    <row r="24" customFormat="false" ht="43.5" hidden="false" customHeight="true" outlineLevel="0" collapsed="false">
      <c r="B24" s="14" t="s">
        <v>40</v>
      </c>
      <c r="C24" s="15"/>
      <c r="D24" s="16" t="s">
        <v>39</v>
      </c>
      <c r="G24" s="17" t="str">
        <f aca="false">IF(C24="","Skriv svaret i den gule cellen.",IF(ABS(C24-(ROUND(560000/1800*1.4,0)))&lt;=1,"Riktig.",IF(ABS(C24-(ROUND(560000/1800*0.4,0)))&lt;=1,"Du har regnet bare tillegget. Overtidslønna er timelønna pluss tillegget: timelønn × 1,40.",IF(ABS(C24-(ROUND(560000/1800,0)))&lt;=1,"Det er vanlig timelønn. Overtid skal ha et tillegg på minst 40 prosent.","Ikke riktig ennå. Se på regnestykket øverst på fanen, og sjekk at du har med alle leddene."))))</f>
        <v>Skriv svaret i den gule cellen.</v>
      </c>
    </row>
    <row r="26" customFormat="false" ht="15" hidden="false" customHeight="true" outlineLevel="0" collapsed="false">
      <c r="B26" s="18" t="s">
        <v>41</v>
      </c>
      <c r="C26" s="18"/>
      <c r="D26" s="18"/>
      <c r="E26" s="18"/>
      <c r="F26" s="18"/>
      <c r="G26" s="18"/>
    </row>
    <row r="27" customFormat="false" ht="39.75" hidden="false" customHeight="true" outlineLevel="0" collapsed="false">
      <c r="B27" s="14" t="s">
        <v>42</v>
      </c>
      <c r="C27" s="19"/>
      <c r="G27" s="17" t="str">
        <f aca="false">IF(C27="","Velg i nedtrekksmenyen.",IF(C27="Ikke lovlig","Riktig. Alminnelig arbeidstid er høyst 9 timer i døgnet og 40 timer i uka (§ 10-4 første ledd). Loven er et minstekrav; montøren kan ikke avtale seg bort fra den.","Ikke riktig. Alminnelig arbeidstid er høyst 9 timer i døgnet og 40 timer i uka (§ 10-4 første ledd). Loven er et minstekrav; montøren kan ikke avtale seg bort fra den."))</f>
        <v>Velg i nedtrekksmenyen.</v>
      </c>
    </row>
    <row r="28" customFormat="false" ht="39.75" hidden="false" customHeight="true" outlineLevel="0" collapsed="false">
      <c r="B28" s="14" t="s">
        <v>43</v>
      </c>
      <c r="C28" s="19"/>
      <c r="G28" s="17" t="str">
        <f aca="false">IF(C28="","Velg i nedtrekksmenyen.",IF(C28="Ikke lovlig","Riktig. Overtid skal betales med et tillegg på minst 40 prosent (§ 10-6 ellevte ledd), og avtalen skal si hvordan arbeid utover avtalt tid betales (§ 14-6 første ledd bokstav m).","Ikke riktig. Overtid skal betales med et tillegg på minst 40 prosent (§ 10-6 ellevte ledd), og avtalen skal si hvordan arbeid utover avtalt tid betales (§ 14-6 første ledd bokstav m)."))</f>
        <v>Velg i nedtrekksmenyen.</v>
      </c>
    </row>
    <row r="29" customFormat="false" ht="39.75" hidden="false" customHeight="true" outlineLevel="0" collapsed="false">
      <c r="B29" s="14" t="s">
        <v>44</v>
      </c>
      <c r="C29" s="19"/>
      <c r="G29" s="17" t="str">
        <f aca="false">IF(C29="","Velg i nedtrekksmenyen.",IF(C29="Ikke lovlig","Riktig. Endringer skal inn tidligst mulig og senest den dagen de trer i kraft (§ 14-8). «Innen én måned» er bokas gamle frist, opphevet 1. juli 2024.","Ikke riktig. Endringer skal inn tidligst mulig og senest den dagen de trer i kraft (§ 14-8). «Innen én måned» er bokas gamle frist, opphevet 1. juli 2024."))</f>
        <v>Velg i nedtrekksmenyen.</v>
      </c>
    </row>
    <row r="30" customFormat="false" ht="39.75" hidden="false" customHeight="true" outlineLevel="0" collapsed="false">
      <c r="B30" s="14" t="s">
        <v>45</v>
      </c>
      <c r="C30" s="19"/>
      <c r="G30" s="17" t="str">
        <f aca="false">IF(C30="","Velg i nedtrekksmenyen.",IF(C30="Lovlig","Riktig. Prøvetid kan avtales skriftlig for inntil seks måneder (§ 15-6 tredje ledd). I prøvetiden er oppsigelsesfristen 14 dager (§ 15-3 sjuende ledd).","Ikke riktig. Prøvetid kan avtales skriftlig for inntil seks måneder (§ 15-6 tredje ledd). I prøvetiden er oppsigelsesfristen 14 dager (§ 15-3 sjuende ledd)."))</f>
        <v>Velg i nedtrekksmenyen.</v>
      </c>
    </row>
    <row r="31" customFormat="false" ht="39.75" hidden="false" customHeight="true" outlineLevel="0" collapsed="false">
      <c r="B31" s="14" t="s">
        <v>46</v>
      </c>
      <c r="C31" s="19"/>
      <c r="G31" s="17" t="str">
        <f aca="false">IF(C31="","Velg i nedtrekksmenyen.",IF(C31="Lovlig","Riktig. Hovedregelen er én måned (§ 15-3 første ledd). Etter fem års ansettelse blir fristen minst to måneder etter loven, uansett hva avtalen sier.","Ikke riktig. Hovedregelen er én måned (§ 15-3 første ledd). Etter fem års ansettelse blir fristen minst to måneder etter loven, uansett hva avtalen sier."))</f>
        <v>Velg i nedtrekksmenyen.</v>
      </c>
    </row>
    <row r="32" customFormat="false" ht="39.75" hidden="false" customHeight="true" outlineLevel="0" collapsed="false">
      <c r="B32" s="14" t="s">
        <v>47</v>
      </c>
      <c r="C32" s="19"/>
      <c r="G32" s="17" t="str">
        <f aca="false">IF(C32="","Velg i nedtrekksmenyen.",IF(C32="Ikke lovlig","Riktig. Avtalen skal oppgi lønnen ved arbeidsforholdets begynnelse, tillegg, utbetalingsmåte og tidspunkt (§ 14-6 første ledd bokstav i).","Ikke riktig. Avtalen skal oppgi lønnen ved arbeidsforholdets begynnelse, tillegg, utbetalingsmåte og tidspunkt (§ 14-6 første ledd bokstav i)."))</f>
        <v>Velg i nedtrekksmenyen.</v>
      </c>
    </row>
    <row r="34" customFormat="false" ht="30" hidden="false" customHeight="true" outlineLevel="0" collapsed="false">
      <c r="B34" s="9" t="s">
        <v>48</v>
      </c>
      <c r="C34" s="9"/>
      <c r="D34" s="9"/>
      <c r="E34" s="9"/>
      <c r="F34" s="9"/>
      <c r="G34" s="9"/>
    </row>
    <row r="35" customFormat="false" ht="21.75" hidden="false" customHeight="true" outlineLevel="0" collapsed="false">
      <c r="B35" s="20"/>
      <c r="C35" s="20"/>
      <c r="D35" s="20"/>
      <c r="E35" s="20"/>
      <c r="F35" s="20"/>
      <c r="G35" s="20"/>
    </row>
    <row r="36" customFormat="false" ht="21.75" hidden="false" customHeight="true" outlineLevel="0" collapsed="false">
      <c r="B36" s="20"/>
      <c r="C36" s="20"/>
      <c r="D36" s="20"/>
      <c r="E36" s="20"/>
      <c r="F36" s="20"/>
      <c r="G36" s="20"/>
    </row>
    <row r="37" customFormat="false" ht="21.75" hidden="false" customHeight="true" outlineLevel="0" collapsed="false">
      <c r="B37" s="20"/>
      <c r="C37" s="20"/>
      <c r="D37" s="20"/>
      <c r="E37" s="20"/>
      <c r="F37" s="20"/>
      <c r="G37" s="20"/>
    </row>
    <row r="38" customFormat="false" ht="39.75" hidden="false" customHeight="true" outlineLevel="0" collapsed="false">
      <c r="B38" s="21" t="str">
        <f aca="false">IF(LEN(B35)&lt;40,"",IF(AND(ISNUMBER(SEARCH("200",B35)),ISNUMBER(SEARCH("behov",B35))),"Bra: du har med både grensen på 200 timer i 52 uker og at overtid krever et særlig og tidsavgrenset behov. Fast overtid hele året er underbemanning, ikke et tidsavgrenset behov.",IF(OR(ISNUMBER(SEARCH("200",B35)),ISNUMBER(SEARCH("behov",B35))),"Du er på sporet. Ta med både grensen (200 timer i 52 uker uten avtale med tillitsvalgte i tariffbundet virksomhet, § 10-6 fjerde og femte ledd) og vilkåret: overtid krever et særlig og tidsavgrenset behov (§ 10-6 første ledd).","Tips: uten tariffavtale er grensen 200 overtidstimer i 52 uker (§ 10-6 fjerde ledd); 300 krever skriftlig avtale med tillitsvalgte i en tariffbundet virksomhet, og det er Fjell ikke. Overtid krever dessuten et særlig og tidsavgrenset behov (§ 10-6 første ledd). Et helt år med overtid er ikke tidsavgrenset.")))</f>
        <v/>
      </c>
      <c r="C38" s="21"/>
      <c r="D38" s="21"/>
      <c r="E38" s="21"/>
      <c r="F38" s="21"/>
      <c r="G38" s="21"/>
    </row>
    <row r="39" customFormat="false" ht="15" hidden="false" customHeight="false" outlineLevel="0" collapsed="false">
      <c r="B39" s="22" t="s">
        <v>49</v>
      </c>
      <c r="C39" s="19"/>
    </row>
    <row r="40" customFormat="false" ht="45" hidden="false" customHeight="true" outlineLevel="0" collapsed="false">
      <c r="B40" s="23" t="str">
        <f aca="false">IF(C39="JA","Hint: a: fristen gikk ut 1 + 7 = 8. august; 20 − 8 = 12 dager. b: 560 000 / 1 800 = 311 kr. c: 311,11 × 1,40 = 436 kr. d: 42 timer, overtid uten tillegg, «innen én måned» og «lønn etter avtale» er ikke lovlige; prøvetid seks måneder og én måneds frist er lovlige.","")</f>
        <v/>
      </c>
      <c r="C40" s="23"/>
      <c r="D40" s="23"/>
      <c r="E40" s="23"/>
      <c r="F40" s="23"/>
      <c r="G40" s="23"/>
    </row>
    <row r="42" customFormat="false" ht="30" hidden="false" customHeight="true" outlineLevel="0" collapsed="false">
      <c r="B42" s="7" t="s">
        <v>50</v>
      </c>
      <c r="C42" s="7"/>
      <c r="D42" s="7"/>
      <c r="E42" s="7"/>
      <c r="F42" s="7"/>
      <c r="G42" s="7"/>
    </row>
  </sheetData>
  <mergeCells count="16">
    <mergeCell ref="B2:G2"/>
    <mergeCell ref="B3:G3"/>
    <mergeCell ref="B4:G4"/>
    <mergeCell ref="B5:G5"/>
    <mergeCell ref="B6:G6"/>
    <mergeCell ref="B7:G7"/>
    <mergeCell ref="B9:G9"/>
    <mergeCell ref="B10:G10"/>
    <mergeCell ref="B19:G19"/>
    <mergeCell ref="B20:G20"/>
    <mergeCell ref="B26:G26"/>
    <mergeCell ref="B34:G34"/>
    <mergeCell ref="B35:G37"/>
    <mergeCell ref="B38:G38"/>
    <mergeCell ref="B40:G40"/>
    <mergeCell ref="B42:G42"/>
  </mergeCells>
  <conditionalFormatting sqref="G22">
    <cfRule type="expression" priority="2" aboveAverage="0" equalAverage="0" bottom="0" percent="0" rank="0" text="" dxfId="0">
      <formula>LEFT(G22,6)="Riktig"</formula>
    </cfRule>
    <cfRule type="expression" priority="3" aboveAverage="0" equalAverage="0" bottom="0" percent="0" rank="0" text="" dxfId="1">
      <formula>AND(G22&lt;&gt;"",LEFT(G22,6)&lt;&gt;"Riktig",LEFT(G22,5)&lt;&gt;"Skriv")</formula>
    </cfRule>
  </conditionalFormatting>
  <conditionalFormatting sqref="G23">
    <cfRule type="expression" priority="4" aboveAverage="0" equalAverage="0" bottom="0" percent="0" rank="0" text="" dxfId="0">
      <formula>LEFT(G23,6)="Riktig"</formula>
    </cfRule>
    <cfRule type="expression" priority="5" aboveAverage="0" equalAverage="0" bottom="0" percent="0" rank="0" text="" dxfId="1">
      <formula>AND(G23&lt;&gt;"",LEFT(G23,6)&lt;&gt;"Riktig",LEFT(G23,5)&lt;&gt;"Skriv")</formula>
    </cfRule>
  </conditionalFormatting>
  <conditionalFormatting sqref="G24">
    <cfRule type="expression" priority="6" aboveAverage="0" equalAverage="0" bottom="0" percent="0" rank="0" text="" dxfId="0">
      <formula>LEFT(G24,6)="Riktig"</formula>
    </cfRule>
    <cfRule type="expression" priority="7" aboveAverage="0" equalAverage="0" bottom="0" percent="0" rank="0" text="" dxfId="1">
      <formula>AND(G24&lt;&gt;"",LEFT(G24,6)&lt;&gt;"Riktig",LEFT(G24,5)&lt;&gt;"Skriv")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dataValidations count="7">
    <dataValidation allowBlank="true" errorStyle="stop" operator="between" showDropDown="false" showErrorMessage="false" showInputMessage="false" sqref="C27" type="list">
      <formula1>$Z$1:$Z$2</formula1>
      <formula2>0</formula2>
    </dataValidation>
    <dataValidation allowBlank="true" errorStyle="stop" operator="between" showDropDown="false" showErrorMessage="false" showInputMessage="false" sqref="C28" type="list">
      <formula1>$Z$3:$Z$4</formula1>
      <formula2>0</formula2>
    </dataValidation>
    <dataValidation allowBlank="true" errorStyle="stop" operator="between" showDropDown="false" showErrorMessage="false" showInputMessage="false" sqref="C29" type="list">
      <formula1>$Z$5:$Z$6</formula1>
      <formula2>0</formula2>
    </dataValidation>
    <dataValidation allowBlank="true" errorStyle="stop" operator="between" showDropDown="false" showErrorMessage="false" showInputMessage="false" sqref="C30" type="list">
      <formula1>$Z$7:$Z$8</formula1>
      <formula2>0</formula2>
    </dataValidation>
    <dataValidation allowBlank="true" errorStyle="stop" operator="between" showDropDown="false" showErrorMessage="false" showInputMessage="false" sqref="C31" type="list">
      <formula1>$Z$9:$Z$10</formula1>
      <formula2>0</formula2>
    </dataValidation>
    <dataValidation allowBlank="true" errorStyle="stop" operator="between" showDropDown="false" showErrorMessage="false" showInputMessage="false" sqref="C32" type="list">
      <formula1>$Z$11:$Z$12</formula1>
      <formula2>0</formula2>
    </dataValidation>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51</v>
      </c>
    </row>
    <row r="2" customFormat="false" ht="25.5" hidden="false" customHeight="true" outlineLevel="0" collapsed="false">
      <c r="B2" s="5" t="s">
        <v>52</v>
      </c>
      <c r="C2" s="5"/>
      <c r="D2" s="5"/>
      <c r="E2" s="5"/>
      <c r="F2" s="5"/>
      <c r="G2" s="5"/>
      <c r="Z2" s="6" t="s">
        <v>53</v>
      </c>
    </row>
    <row r="3" customFormat="false" ht="15" hidden="false" customHeight="true" outlineLevel="0" collapsed="false">
      <c r="B3" s="7" t="s">
        <v>19</v>
      </c>
      <c r="C3" s="7"/>
      <c r="D3" s="7"/>
      <c r="E3" s="7"/>
      <c r="F3" s="7"/>
      <c r="G3" s="7"/>
      <c r="Z3" s="6" t="s">
        <v>54</v>
      </c>
    </row>
    <row r="4" customFormat="false" ht="15.75" hidden="false" customHeight="true" outlineLevel="0" collapsed="false">
      <c r="B4" s="8" t="s">
        <v>20</v>
      </c>
      <c r="C4" s="8"/>
      <c r="D4" s="8"/>
      <c r="E4" s="8"/>
      <c r="F4" s="8"/>
      <c r="G4" s="8"/>
    </row>
    <row r="5" customFormat="false" ht="45" hidden="false" customHeight="true" outlineLevel="0" collapsed="false">
      <c r="B5" s="9" t="s">
        <v>55</v>
      </c>
      <c r="C5" s="9"/>
      <c r="D5" s="9"/>
      <c r="E5" s="9"/>
      <c r="F5" s="9"/>
      <c r="G5" s="9"/>
    </row>
    <row r="6" customFormat="false" ht="15.75" hidden="false" customHeight="true" outlineLevel="0" collapsed="false">
      <c r="B6" s="8" t="s">
        <v>22</v>
      </c>
      <c r="C6" s="8"/>
      <c r="D6" s="8"/>
      <c r="E6" s="8"/>
      <c r="F6" s="8"/>
      <c r="G6" s="8"/>
    </row>
    <row r="7" customFormat="false" ht="60" hidden="false" customHeight="true" outlineLevel="0" collapsed="false">
      <c r="B7" s="9" t="s">
        <v>56</v>
      </c>
      <c r="C7" s="9"/>
      <c r="D7" s="9"/>
      <c r="E7" s="9"/>
      <c r="F7" s="9"/>
      <c r="G7" s="9"/>
    </row>
    <row r="9" customFormat="false" ht="15.75" hidden="false" customHeight="true" outlineLevel="0" collapsed="false">
      <c r="B9" s="8" t="s">
        <v>24</v>
      </c>
      <c r="C9" s="8"/>
      <c r="D9" s="8"/>
      <c r="E9" s="8"/>
      <c r="F9" s="8"/>
      <c r="G9" s="8"/>
    </row>
    <row r="10" customFormat="false" ht="75" hidden="false" customHeight="true" outlineLevel="0" collapsed="false">
      <c r="B10" s="9" t="s">
        <v>57</v>
      </c>
      <c r="C10" s="9"/>
      <c r="D10" s="9"/>
      <c r="E10" s="9"/>
      <c r="F10" s="9"/>
      <c r="G10" s="9"/>
    </row>
    <row r="11" customFormat="false" ht="15" hidden="false" customHeight="false" outlineLevel="0" collapsed="false">
      <c r="B11" s="10" t="s">
        <v>58</v>
      </c>
      <c r="C11" s="11" t="s">
        <v>59</v>
      </c>
    </row>
    <row r="12" customFormat="false" ht="15" hidden="false" customHeight="false" outlineLevel="0" collapsed="false">
      <c r="B12" s="12" t="s">
        <v>60</v>
      </c>
      <c r="C12" s="24" t="n">
        <v>7.5</v>
      </c>
    </row>
    <row r="13" customFormat="false" ht="15" hidden="false" customHeight="false" outlineLevel="0" collapsed="false">
      <c r="B13" s="12" t="s">
        <v>61</v>
      </c>
      <c r="C13" s="24" t="n">
        <v>9</v>
      </c>
    </row>
    <row r="14" customFormat="false" ht="15" hidden="false" customHeight="false" outlineLevel="0" collapsed="false">
      <c r="B14" s="12" t="s">
        <v>62</v>
      </c>
      <c r="C14" s="24" t="n">
        <v>11.5</v>
      </c>
    </row>
    <row r="15" customFormat="false" ht="15" hidden="false" customHeight="false" outlineLevel="0" collapsed="false">
      <c r="B15" s="12" t="s">
        <v>63</v>
      </c>
      <c r="C15" s="24" t="n">
        <v>8</v>
      </c>
    </row>
    <row r="16" customFormat="false" ht="15" hidden="false" customHeight="false" outlineLevel="0" collapsed="false">
      <c r="B16" s="12" t="s">
        <v>64</v>
      </c>
      <c r="C16" s="24" t="n">
        <v>10</v>
      </c>
    </row>
    <row r="17" customFormat="false" ht="15" hidden="false" customHeight="false" outlineLevel="0" collapsed="false">
      <c r="B17" s="12" t="s">
        <v>65</v>
      </c>
      <c r="C17" s="24" t="n">
        <v>6</v>
      </c>
    </row>
    <row r="18" customFormat="false" ht="15" hidden="false" customHeight="false" outlineLevel="0" collapsed="false">
      <c r="B18" s="12" t="s">
        <v>66</v>
      </c>
      <c r="C18" s="24" t="n">
        <v>0</v>
      </c>
    </row>
    <row r="19" customFormat="false" ht="15" hidden="false" customHeight="false" outlineLevel="0" collapsed="false">
      <c r="B19" s="12" t="s">
        <v>67</v>
      </c>
      <c r="C19" s="25" t="n">
        <f aca="false">SUM(C12:C18)</f>
        <v>52</v>
      </c>
    </row>
    <row r="21" customFormat="false" ht="15.75" hidden="false" customHeight="true" outlineLevel="0" collapsed="false">
      <c r="B21" s="8" t="s">
        <v>34</v>
      </c>
      <c r="C21" s="8"/>
      <c r="D21" s="8"/>
      <c r="E21" s="8"/>
      <c r="F21" s="8"/>
      <c r="G21" s="8"/>
    </row>
    <row r="22" customFormat="false" ht="60" hidden="false" customHeight="true" outlineLevel="0" collapsed="false">
      <c r="B22" s="9" t="s">
        <v>68</v>
      </c>
      <c r="C22" s="9"/>
      <c r="D22" s="9"/>
      <c r="E22" s="9"/>
      <c r="F22" s="9"/>
      <c r="G22" s="9"/>
    </row>
    <row r="24" customFormat="false" ht="43.5" hidden="false" customHeight="true" outlineLevel="0" collapsed="false">
      <c r="B24" s="14" t="s">
        <v>69</v>
      </c>
      <c r="C24" s="26"/>
      <c r="D24" s="16" t="s">
        <v>70</v>
      </c>
      <c r="G24" s="17" t="str">
        <f aca="false">IF(C24="","Skriv svaret i den gule cellen.",IF(C24=(2.5+1),"Riktig.",IF(ABS(C24-(2.5))&lt;=0,"Du har bare onsdag (11,5 − 9 = 2,5). Fredag var 10 timer, altså 1 time over.",IF(ABS(C24-(12))&lt;=0,"Det er overtiden for hele uka (52 − 40). Her spør vi bare om timene over 9 i ett døgn.","Ikke riktig ennå. Se på regnestykket øverst på fanen, og sjekk at du har med alle leddene."))))</f>
        <v>Skriv svaret i den gule cellen.</v>
      </c>
    </row>
    <row r="25" customFormat="false" ht="43.5" hidden="false" customHeight="true" outlineLevel="0" collapsed="false">
      <c r="B25" s="14" t="s">
        <v>71</v>
      </c>
      <c r="C25" s="26"/>
      <c r="D25" s="16" t="s">
        <v>70</v>
      </c>
      <c r="G25" s="17" t="str">
        <f aca="false">IF(C25="","Skriv svaret i den gule cellen.",IF(C25=(52-40),"Riktig.",IF(ABS(C25-(52-40+3.5))&lt;=0,"Du har telt timene over 9 per dag én gang til. De ligger allerede inni de 52 timene. Overtiden er 52 − 40 = 12.",IF(ABS(C25-(52-37.5))&lt;=0,"Du har regnet fra avtalt arbeidstid, 37,5. Lovens overtid regnes fra lovens grense, 40 timer (§ 10-6 andre ledd). Timene mellom 37,5 og 40 er arbeid utover avtalt tid, men ikke overtid etter loven.",IF(ABS(C25-(3.5))&lt;=0,"Det er bare timene over 9 per dag. Uka er på 52 timer, og alt over 40 er overtid.","Ikke riktig ennå. Se på regnestykket øverst på fanen, og sjekk at du har med alle leddene.")))))</f>
        <v>Skriv svaret i den gule cellen.</v>
      </c>
    </row>
    <row r="26" customFormat="false" ht="43.5" hidden="false" customHeight="true" outlineLevel="0" collapsed="false">
      <c r="B26" s="14" t="s">
        <v>72</v>
      </c>
      <c r="C26" s="26"/>
      <c r="D26" s="16" t="s">
        <v>70</v>
      </c>
      <c r="G26" s="17" t="str">
        <f aca="false">IF(C26="","Skriv svaret i den gule cellen.",IF(C26=(52-40-10),"Riktig.",IF(ABS(C26-(12))&lt;=0,"Det er overtiden. Grensen er 10 timer per sju dager; svar hvor mye som ligger over den.","Ikke riktig ennå. Se på regnestykket øverst på fanen, og sjekk at du har med alle leddene.")))</f>
        <v>Skriv svaret i den gule cellen.</v>
      </c>
    </row>
    <row r="27" customFormat="false" ht="43.5" hidden="false" customHeight="true" outlineLevel="0" collapsed="false">
      <c r="B27" s="14" t="s">
        <v>73</v>
      </c>
      <c r="C27" s="15"/>
      <c r="D27" s="16" t="s">
        <v>70</v>
      </c>
      <c r="G27" s="17" t="str">
        <f aca="false">IF(C27="","Skriv svaret i den gule cellen.",IF(C27=(212-200),"Riktig.",IF(ABS(C27-(212-300))&lt;=0,"Du har brukt 300 timer. Det krever skriftlig avtale med tillitsvalgte i en virksomhet bundet av tariffavtale (§ 10-6 femte ledd). Nordlys har ingen slik avtale, så grensen er 200.","Ikke riktig ennå. Se på regnestykket øverst på fanen, og sjekk at du har med alle leddene.")))</f>
        <v>Skriv svaret i den gule cellen.</v>
      </c>
    </row>
    <row r="29" customFormat="false" ht="39.75" hidden="false" customHeight="true" outlineLevel="0" collapsed="false">
      <c r="B29" s="14" t="s">
        <v>74</v>
      </c>
      <c r="C29" s="19"/>
      <c r="G29" s="17" t="str">
        <f aca="false">IF(C29="","Velg i nedtrekksmenyen.",IF(C29="Drøfte behovet for overtid med de tillitsvalgte før den settes i gang (§ 10-6 tredje ledd)","Riktig. Før overtid settes i gang, skal arbeidsgiver drøfte nødvendigheten med de tillitsvalgte når det er mulig (§ 10-6 tredje ledd). Overtid gir dessuten minst 40 % tillegg (ellevte ledd), og den som ber om det av helsemessige eller vektige sosiale grunner, skal fritas (tiende ledd).","Ikke riktig. Før overtid settes i gang, skal arbeidsgiver drøfte nødvendigheten med de tillitsvalgte når det er mulig (§ 10-6 tredje ledd). Overtid gir dessuten minst 40 % tillegg (ellevte ledd), og den som ber om det av helsemessige eller vektige sosiale grunner, skal fritas (tiende ledd)."))</f>
        <v>Velg i nedtrekksmenyen.</v>
      </c>
    </row>
    <row r="31" customFormat="false" ht="30" hidden="false" customHeight="true" outlineLevel="0" collapsed="false">
      <c r="B31" s="9" t="s">
        <v>75</v>
      </c>
      <c r="C31" s="9"/>
      <c r="D31" s="9"/>
      <c r="E31" s="9"/>
      <c r="F31" s="9"/>
      <c r="G31" s="9"/>
    </row>
    <row r="32" customFormat="false" ht="21.75" hidden="false" customHeight="true" outlineLevel="0" collapsed="false">
      <c r="B32" s="20"/>
      <c r="C32" s="20"/>
      <c r="D32" s="20"/>
      <c r="E32" s="20"/>
      <c r="F32" s="20"/>
      <c r="G32" s="20"/>
    </row>
    <row r="33" customFormat="false" ht="21.75" hidden="false" customHeight="true" outlineLevel="0" collapsed="false">
      <c r="B33" s="20"/>
      <c r="C33" s="20"/>
      <c r="D33" s="20"/>
      <c r="E33" s="20"/>
      <c r="F33" s="20"/>
      <c r="G33" s="20"/>
    </row>
    <row r="34" customFormat="false" ht="21.75" hidden="false" customHeight="true" outlineLevel="0" collapsed="false">
      <c r="B34" s="20"/>
      <c r="C34" s="20"/>
      <c r="D34" s="20"/>
      <c r="E34" s="20"/>
      <c r="F34" s="20"/>
      <c r="G34" s="20"/>
    </row>
    <row r="35" customFormat="false" ht="39.75" hidden="false" customHeight="true" outlineLevel="0" collapsed="false">
      <c r="B35" s="21" t="str">
        <f aca="false">IF(LEN(B32)&lt;40,"",IF(AND(ISNUMBER(SEARCH("200",B32)),ISNUMBER(SEARCH("behov",B32))),"Bra: du har med både at overtid krever et særlig og tidsavgrenset behov, og grensen på 200 timer i 52 uker. Betaling gjør ikke ulovlig overtid lovlig.",IF(OR(ISNUMBER(SEARCH("200",B32)),ISNUMBER(SEARCH("behov",B32))),"Du er på sporet. Ta med både vilkåret (særlig og tidsavgrenset behov, § 10-6 første ledd) og grensen (200 timer i 52 uker uten avtale, fjerde ledd).","Tips: overtid er lov bare når det er et særlig og tidsavgrenset behov (§ 10-6 første ledd). Fast overtid hver uke er underbemanning. Og grensene gjelder uansett lønn: 10 timer per sju dager og 200 timer per 52 uker (fjerde ledd). Arbeidsmiljøet skal være fullt forsvarlig, og arbeidsmengde og tidspress er en del av det psykososiale arbeidsmiljøet (§§ 4-1 og 4-3).")))</f>
        <v/>
      </c>
      <c r="C35" s="21"/>
      <c r="D35" s="21"/>
      <c r="E35" s="21"/>
      <c r="F35" s="21"/>
      <c r="G35" s="21"/>
    </row>
    <row r="36" customFormat="false" ht="15" hidden="false" customHeight="false" outlineLevel="0" collapsed="false">
      <c r="B36" s="22" t="s">
        <v>49</v>
      </c>
      <c r="C36" s="19"/>
    </row>
    <row r="37" customFormat="false" ht="31.5" hidden="false" customHeight="true" outlineLevel="0" collapsed="false">
      <c r="B37" s="23" t="str">
        <f aca="false">IF(C36="JA","Hint: a: onsdag 11,5 − 9 = 2,5 og fredag 10 − 9 = 1, til sammen 3,5. b: 52 − 40 = 12 (ikke 12 + 3,5 = 15,5). c: 12 − 10 = 2. d: 212 − 200 = 12.","")</f>
        <v/>
      </c>
      <c r="C37" s="23"/>
      <c r="D37" s="23"/>
      <c r="E37" s="23"/>
      <c r="F37" s="23"/>
      <c r="G37" s="23"/>
    </row>
    <row r="39" customFormat="false" ht="30" hidden="false" customHeight="true" outlineLevel="0" collapsed="false">
      <c r="B39" s="7" t="s">
        <v>50</v>
      </c>
      <c r="C39" s="7"/>
      <c r="D39" s="7"/>
      <c r="E39" s="7"/>
      <c r="F39" s="7"/>
      <c r="G39" s="7"/>
    </row>
  </sheetData>
  <mergeCells count="15">
    <mergeCell ref="B2:G2"/>
    <mergeCell ref="B3:G3"/>
    <mergeCell ref="B4:G4"/>
    <mergeCell ref="B5:G5"/>
    <mergeCell ref="B6:G6"/>
    <mergeCell ref="B7:G7"/>
    <mergeCell ref="B9:G9"/>
    <mergeCell ref="B10:G10"/>
    <mergeCell ref="B21:G21"/>
    <mergeCell ref="B22:G22"/>
    <mergeCell ref="B31:G31"/>
    <mergeCell ref="B32:G34"/>
    <mergeCell ref="B35:G35"/>
    <mergeCell ref="B37:G37"/>
    <mergeCell ref="B39:G39"/>
  </mergeCells>
  <conditionalFormatting sqref="G24">
    <cfRule type="expression" priority="2" aboveAverage="0" equalAverage="0" bottom="0" percent="0" rank="0" text="" dxfId="0">
      <formula>LEFT(G24,6)="Riktig"</formula>
    </cfRule>
    <cfRule type="expression" priority="3" aboveAverage="0" equalAverage="0" bottom="0" percent="0" rank="0" text="" dxfId="1">
      <formula>AND(G24&lt;&gt;"",LEFT(G24,6)&lt;&gt;"Riktig",LEFT(G24,5)&lt;&gt;"Skriv")</formula>
    </cfRule>
  </conditionalFormatting>
  <conditionalFormatting sqref="G25">
    <cfRule type="expression" priority="4" aboveAverage="0" equalAverage="0" bottom="0" percent="0" rank="0" text="" dxfId="0">
      <formula>LEFT(G25,6)="Riktig"</formula>
    </cfRule>
    <cfRule type="expression" priority="5" aboveAverage="0" equalAverage="0" bottom="0" percent="0" rank="0" text="" dxfId="1">
      <formula>AND(G25&lt;&gt;"",LEFT(G25,6)&lt;&gt;"Riktig",LEFT(G25,5)&lt;&gt;"Skriv")</formula>
    </cfRule>
  </conditionalFormatting>
  <conditionalFormatting sqref="G26">
    <cfRule type="expression" priority="6" aboveAverage="0" equalAverage="0" bottom="0" percent="0" rank="0" text="" dxfId="0">
      <formula>LEFT(G26,6)="Riktig"</formula>
    </cfRule>
    <cfRule type="expression" priority="7" aboveAverage="0" equalAverage="0" bottom="0" percent="0" rank="0" text="" dxfId="1">
      <formula>AND(G26&lt;&gt;"",LEFT(G26,6)&lt;&gt;"Riktig",LEFT(G26,5)&lt;&gt;"Skriv")</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AND(G27&lt;&gt;"",LEFT(G27,6)&lt;&gt;"Riktig",LEFT(G27,5)&lt;&gt;"Skriv")</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LEFT(G29,4)="Ikke"</formula>
    </cfRule>
  </conditionalFormatting>
  <dataValidations count="2">
    <dataValidation allowBlank="true" errorStyle="stop" operator="between" showDropDown="false" showErrorMessage="false" showInputMessage="false" sqref="C29" type="list">
      <formula1>$Z$1:$Z$3</formula1>
      <formula2>0</formula2>
    </dataValidation>
    <dataValidation allowBlank="true" errorStyle="stop" operator="between" showDropDown="false" showErrorMessage="false" showInputMessage="false" sqref="C3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76</v>
      </c>
    </row>
    <row r="2" customFormat="false" ht="25.5" hidden="false" customHeight="true" outlineLevel="0" collapsed="false">
      <c r="B2" s="5" t="s">
        <v>77</v>
      </c>
      <c r="C2" s="5"/>
      <c r="D2" s="5"/>
      <c r="E2" s="5"/>
      <c r="F2" s="5"/>
      <c r="G2" s="5"/>
      <c r="Z2" s="6" t="s">
        <v>78</v>
      </c>
    </row>
    <row r="3" customFormat="false" ht="15" hidden="false" customHeight="true" outlineLevel="0" collapsed="false">
      <c r="B3" s="7" t="s">
        <v>19</v>
      </c>
      <c r="C3" s="7"/>
      <c r="D3" s="7"/>
      <c r="E3" s="7"/>
      <c r="F3" s="7"/>
      <c r="G3" s="7"/>
      <c r="Z3" s="6" t="s">
        <v>79</v>
      </c>
    </row>
    <row r="4" customFormat="false" ht="15.75" hidden="false" customHeight="true" outlineLevel="0" collapsed="false">
      <c r="B4" s="8" t="s">
        <v>20</v>
      </c>
      <c r="C4" s="8"/>
      <c r="D4" s="8"/>
      <c r="E4" s="8"/>
      <c r="F4" s="8"/>
      <c r="G4" s="8"/>
      <c r="Z4" s="6" t="s">
        <v>80</v>
      </c>
    </row>
    <row r="5" customFormat="false" ht="45" hidden="false" customHeight="true" outlineLevel="0" collapsed="false">
      <c r="B5" s="9" t="s">
        <v>81</v>
      </c>
      <c r="C5" s="9"/>
      <c r="D5" s="9"/>
      <c r="E5" s="9"/>
      <c r="F5" s="9"/>
      <c r="G5" s="9"/>
      <c r="Z5" s="6" t="s">
        <v>82</v>
      </c>
    </row>
    <row r="6" customFormat="false" ht="15.75" hidden="false" customHeight="true" outlineLevel="0" collapsed="false">
      <c r="B6" s="8" t="s">
        <v>22</v>
      </c>
      <c r="C6" s="8"/>
      <c r="D6" s="8"/>
      <c r="E6" s="8"/>
      <c r="F6" s="8"/>
      <c r="G6" s="8"/>
      <c r="Z6" s="6" t="s">
        <v>80</v>
      </c>
    </row>
    <row r="7" customFormat="false" ht="60" hidden="false" customHeight="true" outlineLevel="0" collapsed="false">
      <c r="B7" s="9" t="s">
        <v>83</v>
      </c>
      <c r="C7" s="9"/>
      <c r="D7" s="9"/>
      <c r="E7" s="9"/>
      <c r="F7" s="9"/>
      <c r="G7" s="9"/>
      <c r="Z7" s="6" t="s">
        <v>82</v>
      </c>
    </row>
    <row r="8" customFormat="false" ht="15" hidden="false" customHeight="false" outlineLevel="0" collapsed="false">
      <c r="Z8" s="0" t="s">
        <v>80</v>
      </c>
    </row>
    <row r="9" customFormat="false" ht="15.75" hidden="false" customHeight="true" outlineLevel="0" collapsed="false">
      <c r="B9" s="8" t="s">
        <v>24</v>
      </c>
      <c r="C9" s="8"/>
      <c r="D9" s="8"/>
      <c r="E9" s="8"/>
      <c r="F9" s="8"/>
      <c r="G9" s="8"/>
      <c r="Z9" s="6" t="s">
        <v>82</v>
      </c>
    </row>
    <row r="10" customFormat="false" ht="75" hidden="false" customHeight="true" outlineLevel="0" collapsed="false">
      <c r="B10" s="9" t="s">
        <v>84</v>
      </c>
      <c r="C10" s="9"/>
      <c r="D10" s="9"/>
      <c r="E10" s="9"/>
      <c r="F10" s="9"/>
      <c r="G10" s="9"/>
      <c r="Z10" s="6" t="s">
        <v>80</v>
      </c>
    </row>
    <row r="11" customFormat="false" ht="15" hidden="false" customHeight="false" outlineLevel="0" collapsed="false">
      <c r="B11" s="10" t="s">
        <v>85</v>
      </c>
      <c r="C11" s="11" t="s">
        <v>27</v>
      </c>
      <c r="Z11" s="6" t="s">
        <v>82</v>
      </c>
    </row>
    <row r="12" customFormat="false" ht="15" hidden="false" customHeight="false" outlineLevel="0" collapsed="false">
      <c r="B12" s="12" t="s">
        <v>86</v>
      </c>
      <c r="C12" s="13" t="n">
        <v>2020</v>
      </c>
      <c r="Z12" s="6" t="s">
        <v>80</v>
      </c>
    </row>
    <row r="13" customFormat="false" ht="15" hidden="false" customHeight="false" outlineLevel="0" collapsed="false">
      <c r="B13" s="12" t="s">
        <v>87</v>
      </c>
      <c r="C13" s="13" t="n">
        <v>2027</v>
      </c>
      <c r="Z13" s="6" t="s">
        <v>82</v>
      </c>
    </row>
    <row r="14" customFormat="false" ht="15" hidden="false" customHeight="false" outlineLevel="0" collapsed="false">
      <c r="B14" s="12" t="s">
        <v>88</v>
      </c>
      <c r="C14" s="13" t="n">
        <v>41</v>
      </c>
      <c r="Z14" s="6" t="s">
        <v>80</v>
      </c>
    </row>
    <row r="15" customFormat="false" ht="15" hidden="false" customHeight="false" outlineLevel="0" collapsed="false">
      <c r="B15" s="12" t="s">
        <v>89</v>
      </c>
      <c r="C15" s="13" t="n">
        <v>2</v>
      </c>
      <c r="Z15" s="6" t="s">
        <v>82</v>
      </c>
    </row>
    <row r="16" customFormat="false" ht="15" hidden="false" customHeight="false" outlineLevel="0" collapsed="false">
      <c r="B16" s="12" t="s">
        <v>90</v>
      </c>
      <c r="C16" s="13" t="n">
        <v>3</v>
      </c>
      <c r="Z16" s="6" t="s">
        <v>91</v>
      </c>
    </row>
    <row r="17" customFormat="false" ht="15" hidden="false" customHeight="false" outlineLevel="0" collapsed="false">
      <c r="Z17" s="0" t="s">
        <v>92</v>
      </c>
    </row>
    <row r="18" customFormat="false" ht="15.75" hidden="false" customHeight="true" outlineLevel="0" collapsed="false">
      <c r="B18" s="8" t="s">
        <v>34</v>
      </c>
      <c r="C18" s="8"/>
      <c r="D18" s="8"/>
      <c r="E18" s="8"/>
      <c r="F18" s="8"/>
      <c r="G18" s="8"/>
      <c r="Z18" s="6" t="s">
        <v>93</v>
      </c>
    </row>
    <row r="19" customFormat="false" ht="45" hidden="false" customHeight="true" outlineLevel="0" collapsed="false">
      <c r="B19" s="9" t="s">
        <v>94</v>
      </c>
      <c r="C19" s="9"/>
      <c r="D19" s="9"/>
      <c r="E19" s="9"/>
      <c r="F19" s="9"/>
      <c r="G19" s="9"/>
    </row>
    <row r="21" customFormat="false" ht="43.5" hidden="false" customHeight="true" outlineLevel="0" collapsed="false">
      <c r="B21" s="14" t="s">
        <v>95</v>
      </c>
      <c r="C21" s="15"/>
      <c r="D21" s="16" t="s">
        <v>96</v>
      </c>
      <c r="G21" s="17" t="str">
        <f aca="false">IF(C21="","Skriv svaret i den gule cellen.",IF(C21=(6),"Riktig.",IF(ABS(C21-(7))&lt;=0,"Fra august 2020 til mars 2027 er det 6 år og 7 måneder. Det sjuende året er ikke fullt før august 2027.",IF(ABS(C21-(5))&lt;=0,"Tell en gang til: august 2020 til august 2026 er seks år, og mars 2027 er etter det.","Ikke riktig ennå. Se på regnestykket øverst på fanen, og sjekk at du har med alle leddene."))))</f>
        <v>Skriv svaret i den gule cellen.</v>
      </c>
    </row>
    <row r="22" customFormat="false" ht="43.5" hidden="false" customHeight="true" outlineLevel="0" collapsed="false">
      <c r="B22" s="14" t="s">
        <v>97</v>
      </c>
      <c r="C22" s="15"/>
      <c r="D22" s="16" t="s">
        <v>98</v>
      </c>
      <c r="G22" s="17" t="str">
        <f aca="false">IF(C22="","Skriv svaret i den gule cellen.",IF(C22=(2),"Riktig.",IF(ABS(C22-(1))&lt;=0,"Én måned er hovedregelen under fem års ansettelse. Jonas har over fem år: minst to måneder (andre ledd).",IF(ABS(C22-(3))&lt;=0,"Tre måneder gjelder fra ti års sammenhengende ansettelse. Nordlys startet i 2019, så ingen har ti år ennå.","Ikke riktig ennå. Se på regnestykket øverst på fanen, og sjekk at du har med alle leddene."))))</f>
        <v>Skriv svaret i den gule cellen.</v>
      </c>
    </row>
    <row r="24" customFormat="false" ht="39.75" hidden="false" customHeight="true" outlineLevel="0" collapsed="false">
      <c r="B24" s="14" t="s">
        <v>99</v>
      </c>
      <c r="C24" s="19"/>
      <c r="G24" s="17" t="str">
        <f aca="false">IF(C24="","Velg i nedtrekksmenyen.",IF(C24="31. mai","Riktig. Fristen løper fra og med første dag i måneden etter at oppsigelsen fant sted (§ 15-3 fjerde ledd), altså 1. april. April og mai: siste dag er 31. mai. Den vanligste feilen er å telle fra 20. mars.","Ikke riktig. Fristen løper fra og med første dag i måneden etter at oppsigelsen fant sted (§ 15-3 fjerde ledd), altså 1. april. April og mai: siste dag er 31. mai. Den vanligste feilen er å telle fra 20. mars."))</f>
        <v>Velg i nedtrekksmenyen.</v>
      </c>
    </row>
    <row r="26" customFormat="false" ht="15" hidden="false" customHeight="true" outlineLevel="0" collapsed="false">
      <c r="B26" s="18" t="s">
        <v>100</v>
      </c>
      <c r="C26" s="18"/>
      <c r="D26" s="18"/>
      <c r="E26" s="18"/>
      <c r="F26" s="18"/>
      <c r="G26" s="18"/>
    </row>
    <row r="27" customFormat="false" ht="39.75" hidden="false" customHeight="true" outlineLevel="0" collapsed="false">
      <c r="B27" s="14" t="s">
        <v>101</v>
      </c>
      <c r="C27" s="19"/>
      <c r="G27" s="17" t="str">
        <f aca="false">IF(C27="","Velg i nedtrekksmenyen.",IF(C27="Ja","Riktig. Så langt det er praktisk mulig, med mindre Jonas selv ikke vil. Både grunnlaget og utvelgelsen skal drøftes (§ 15-1).","Ikke riktig. Så langt det er praktisk mulig, med mindre Jonas selv ikke vil. Både grunnlaget og utvelgelsen skal drøftes (§ 15-1)."))</f>
        <v>Velg i nedtrekksmenyen.</v>
      </c>
    </row>
    <row r="28" customFormat="false" ht="39.75" hidden="false" customHeight="true" outlineLevel="0" collapsed="false">
      <c r="B28" s="14" t="s">
        <v>102</v>
      </c>
      <c r="C28" s="19"/>
      <c r="G28" s="17" t="str">
        <f aca="false">IF(C28="","Velg i nedtrekksmenyen.",IF(C28="Ja","Riktig. Formkravene i § 15-4. Mangler de, kan oppsigelsen kjennes ugyldig hvis Jonas går til sak innen fire måneder (§ 15-5).","Ikke riktig. Formkravene i § 15-4. Mangler de, kan oppsigelsen kjennes ugyldig hvis Jonas går til sak innen fire måneder (§ 15-5)."))</f>
        <v>Velg i nedtrekksmenyen.</v>
      </c>
    </row>
    <row r="29" customFormat="false" ht="39.75" hidden="false" customHeight="true" outlineLevel="0" collapsed="false">
      <c r="B29" s="14" t="s">
        <v>103</v>
      </c>
      <c r="C29" s="19"/>
      <c r="G29" s="17" t="str">
        <f aca="false">IF(C29="","Velg i nedtrekksmenyen.",IF(C29="Nei","Riktig. Oppsigelse skal skje skriftlig (§ 15-4 første ledd). En muntlig oppsigelse er en formfeil (§ 15-5).","Ikke riktig. Oppsigelse skal skje skriftlig (§ 15-4 første ledd). En muntlig oppsigelse er en formfeil (§ 15-5)."))</f>
        <v>Velg i nedtrekksmenyen.</v>
      </c>
    </row>
    <row r="30" customFormat="false" ht="39.75" hidden="false" customHeight="true" outlineLevel="0" collapsed="false">
      <c r="B30" s="14" t="s">
        <v>104</v>
      </c>
      <c r="C30" s="19"/>
      <c r="G30" s="17" t="str">
        <f aca="false">IF(C30="","Velg i nedtrekksmenyen.",IF(C30="Ja","Riktig. Ved driftsinnskrenkning er oppsigelsen ikke saklig hvis arbeidsgiver har annet passende arbeid å tilby (§ 15-7 andre ledd).","Ikke riktig. Ved driftsinnskrenkning er oppsigelsen ikke saklig hvis arbeidsgiver har annet passende arbeid å tilby (§ 15-7 andre ledd)."))</f>
        <v>Velg i nedtrekksmenyen.</v>
      </c>
    </row>
    <row r="31" customFormat="false" ht="39.75" hidden="false" customHeight="true" outlineLevel="0" collapsed="false">
      <c r="B31" s="14" t="s">
        <v>105</v>
      </c>
      <c r="C31" s="19"/>
      <c r="G31" s="17" t="str">
        <f aca="false">IF(C31="","Velg i nedtrekksmenyen.",IF(C31="Ja","Riktig. Nedbemanning kan være saklig grunn i virksomhetens forhold, men det kreves en bedriftsøkonomisk begrunnelse (boka 20.3.15) og en avveining mellom bedriftens behov og ulempene for den enkelte (§ 15-7 andre ledd).","Ikke riktig. Nedbemanning kan være saklig grunn i virksomhetens forhold, men det kreves en bedriftsøkonomisk begrunnelse (boka 20.3.15) og en avveining mellom bedriftens behov og ulempene for den enkelte (§ 15-7 andre ledd)."))</f>
        <v>Velg i nedtrekksmenyen.</v>
      </c>
    </row>
    <row r="32" customFormat="false" ht="39.75" hidden="false" customHeight="true" outlineLevel="0" collapsed="false">
      <c r="B32" s="14" t="s">
        <v>106</v>
      </c>
      <c r="C32" s="19"/>
      <c r="G32" s="17" t="str">
        <f aca="false">IF(C32="","Velg i nedtrekksmenyen.",IF(C32="Nei","Riktig. Advarsel er sentralt når grunnen er arbeidstakerens forhold. Her er grunnen virksomhetens forhold (boka 20.3.15).","Ikke riktig. Advarsel er sentralt når grunnen er arbeidstakerens forhold. Her er grunnen virksomhetens forhold (boka 20.3.15)."))</f>
        <v>Velg i nedtrekksmenyen.</v>
      </c>
    </row>
    <row r="34" customFormat="false" ht="39.75" hidden="false" customHeight="true" outlineLevel="0" collapsed="false">
      <c r="B34" s="14" t="s">
        <v>107</v>
      </c>
      <c r="C34" s="19"/>
      <c r="G34" s="17" t="str">
        <f aca="false">IF(C34="","Velg i nedtrekksmenyen.",IF(C34="Nei, han kan som hovedregel fortsette i stillingen til saken er avgjort","Riktig. Ved tvist kan arbeidstakeren fortsette i stillingen mens forhandlinger pågår og når søksmål er reist i tide (§ 15-11 første og andre ledd). Vil arbeidsgiver ha ham ut før, må arbeidsgiver kreve det for retten. Er oppsigelsen usaklig, kjennes den ugyldig, og Jonas kan kreve erstatning (§ 15-12).","Ikke riktig. Ved tvist kan arbeidstakeren fortsette i stillingen mens forhandlinger pågår og når søksmål er reist i tide (§ 15-11 første og andre ledd). Vil arbeidsgiver ha ham ut før, må arbeidsgiver kreve det for retten. Er oppsigelsen usaklig, kjennes den ugyldig, og Jonas kan kreve erstatning (§ 15-12)."))</f>
        <v>Velg i nedtrekksmenyen.</v>
      </c>
    </row>
    <row r="36" customFormat="false" ht="15" hidden="false" customHeight="true" outlineLevel="0" collapsed="false">
      <c r="B36" s="9" t="s">
        <v>108</v>
      </c>
      <c r="C36" s="9"/>
      <c r="D36" s="9"/>
      <c r="E36" s="9"/>
      <c r="F36" s="9"/>
      <c r="G36" s="9"/>
    </row>
    <row r="37" customFormat="false" ht="21.75" hidden="false" customHeight="true" outlineLevel="0" collapsed="false">
      <c r="B37" s="20"/>
      <c r="C37" s="20"/>
      <c r="D37" s="20"/>
      <c r="E37" s="20"/>
      <c r="F37" s="20"/>
      <c r="G37" s="20"/>
    </row>
    <row r="38" customFormat="false" ht="21.75" hidden="false" customHeight="true" outlineLevel="0" collapsed="false">
      <c r="B38" s="20"/>
      <c r="C38" s="20"/>
      <c r="D38" s="20"/>
      <c r="E38" s="20"/>
      <c r="F38" s="20"/>
      <c r="G38" s="20"/>
    </row>
    <row r="39" customFormat="false" ht="21.75" hidden="false" customHeight="true" outlineLevel="0" collapsed="false">
      <c r="B39" s="20"/>
      <c r="C39" s="20"/>
      <c r="D39" s="20"/>
      <c r="E39" s="20"/>
      <c r="F39" s="20"/>
      <c r="G39" s="20"/>
    </row>
    <row r="40" customFormat="false" ht="39.75" hidden="false" customHeight="true" outlineLevel="0" collapsed="false">
      <c r="B40" s="21" t="str">
        <f aca="false">IF(LEN(B37)&lt;40,"",IF(AND(ISNUMBER(SEARCH("drøft",B37)),ISNUMBER(SEARCH("skriftlig",B37))),"Bra: du har med drøftingen før beslutningen og den skriftlige oppsigelsen. Sjekk at du også har omplassering (§ 15-7 andre ledd) og attesten når han fratrer (§ 15-15).",IF(OR(ISNUMBER(SEARCH("drøft",B37)),ISNUMBER(SEARCH("skriftlig",B37))),"Du har med noe av det. Rekkefølgen er: vurdere annet passende arbeid (§ 15-7), drøftingsmøte med Jonas og den tillitsvalgte (§ 15-1), skriftlig oppsigelse med rettigheter og frister (§ 15-4), attest ved fratreden (§ 15-15).","Tips: først sakligheten: bedriftsøkonomisk begrunnelse, saklig utvelgelse og vurdering av annet passende arbeid (§ 15-7). Så drøftingsmøte med Jonas og den tillitsvalgte før beslutningen (§ 15-1). Så skriftlig oppsigelse levert personlig eller rekommandert, med rett til forhandling, søksmål og å stå i stillingen, og fristene (§ 15-4). Til slutt attest (§ 15-15).")))</f>
        <v/>
      </c>
      <c r="C40" s="21"/>
      <c r="D40" s="21"/>
      <c r="E40" s="21"/>
      <c r="F40" s="21"/>
      <c r="G40" s="21"/>
    </row>
    <row r="41" customFormat="false" ht="15" hidden="false" customHeight="false" outlineLevel="0" collapsed="false">
      <c r="B41" s="22" t="s">
        <v>49</v>
      </c>
      <c r="C41" s="19"/>
    </row>
    <row r="42" customFormat="false" ht="45" hidden="false" customHeight="true" outlineLevel="0" collapsed="false">
      <c r="B42" s="23" t="str">
        <f aca="false">IF(C41="JA","Hint: a: august 2020 til mars 2027 er 6 år og 7 måneder, altså 6 hele år. b: minst fem år, under ti: to måneder. c: fristen løper fra 1. april; april og mai gir 31. mai. d: ja, ja, nei, ja, ja, nei. e: han kan stå i stillingen (§ 15-11).","")</f>
        <v/>
      </c>
      <c r="C42" s="23"/>
      <c r="D42" s="23"/>
      <c r="E42" s="23"/>
      <c r="F42" s="23"/>
      <c r="G42" s="23"/>
    </row>
    <row r="44" customFormat="false" ht="30" hidden="false" customHeight="true" outlineLevel="0" collapsed="false">
      <c r="B44" s="7" t="s">
        <v>50</v>
      </c>
      <c r="C44" s="7"/>
      <c r="D44" s="7"/>
      <c r="E44" s="7"/>
      <c r="F44" s="7"/>
      <c r="G44" s="7"/>
    </row>
  </sheetData>
  <mergeCells count="16">
    <mergeCell ref="B2:G2"/>
    <mergeCell ref="B3:G3"/>
    <mergeCell ref="B4:G4"/>
    <mergeCell ref="B5:G5"/>
    <mergeCell ref="B6:G6"/>
    <mergeCell ref="B7:G7"/>
    <mergeCell ref="B9:G9"/>
    <mergeCell ref="B10:G10"/>
    <mergeCell ref="B18:G18"/>
    <mergeCell ref="B19:G19"/>
    <mergeCell ref="B26:G26"/>
    <mergeCell ref="B36:G36"/>
    <mergeCell ref="B37:G39"/>
    <mergeCell ref="B40:G40"/>
    <mergeCell ref="B42:G42"/>
    <mergeCell ref="B44:G44"/>
  </mergeCells>
  <conditionalFormatting sqref="G21">
    <cfRule type="expression" priority="2" aboveAverage="0" equalAverage="0" bottom="0" percent="0" rank="0" text="" dxfId="0">
      <formula>LEFT(G21,6)="Riktig"</formula>
    </cfRule>
    <cfRule type="expression" priority="3" aboveAverage="0" equalAverage="0" bottom="0" percent="0" rank="0" text="" dxfId="1">
      <formula>AND(G21&lt;&gt;"",LEFT(G21,6)&lt;&gt;"Riktig",LEFT(G21,5)&lt;&gt;"Skriv")</formula>
    </cfRule>
  </conditionalFormatting>
  <conditionalFormatting sqref="G22">
    <cfRule type="expression" priority="4" aboveAverage="0" equalAverage="0" bottom="0" percent="0" rank="0" text="" dxfId="0">
      <formula>LEFT(G22,6)="Riktig"</formula>
    </cfRule>
    <cfRule type="expression" priority="5" aboveAverage="0" equalAverage="0" bottom="0" percent="0" rank="0" text="" dxfId="1">
      <formula>AND(G22&lt;&gt;"",LEFT(G22,6)&lt;&gt;"Riktig",LEFT(G22,5)&lt;&gt;"Skriv")</formula>
    </cfRule>
  </conditionalFormatting>
  <conditionalFormatting sqref="G24">
    <cfRule type="expression" priority="6" aboveAverage="0" equalAverage="0" bottom="0" percent="0" rank="0" text="" dxfId="0">
      <formula>LEFT(G24,6)="Riktig"</formula>
    </cfRule>
    <cfRule type="expression" priority="7" aboveAverage="0" equalAverage="0" bottom="0" percent="0" rank="0" text="" dxfId="1">
      <formula>LEFT(G24,4)="Ikke"</formula>
    </cfRule>
  </conditionalFormatting>
  <conditionalFormatting sqref="G27">
    <cfRule type="expression" priority="8" aboveAverage="0" equalAverage="0" bottom="0" percent="0" rank="0" text="" dxfId="0">
      <formula>LEFT(G27,6)="Riktig"</formula>
    </cfRule>
    <cfRule type="expression" priority="9" aboveAverage="0" equalAverage="0" bottom="0" percent="0" rank="0" text="" dxfId="1">
      <formula>LEFT(G27,4)="Ikke"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conditionalFormatting sqref="G34">
    <cfRule type="expression" priority="20" aboveAverage="0" equalAverage="0" bottom="0" percent="0" rank="0" text="" dxfId="0">
      <formula>LEFT(G34,6)="Riktig"</formula>
    </cfRule>
    <cfRule type="expression" priority="21" aboveAverage="0" equalAverage="0" bottom="0" percent="0" rank="0" text="" dxfId="1">
      <formula>LEFT(G34,4)="Ikke"</formula>
    </cfRule>
  </conditionalFormatting>
  <dataValidations count="9">
    <dataValidation allowBlank="true" errorStyle="stop" operator="between" showDropDown="false" showErrorMessage="false" showInputMessage="false" sqref="C24" type="list">
      <formula1>$Z$1:$Z$3</formula1>
      <formula2>0</formula2>
    </dataValidation>
    <dataValidation allowBlank="true" errorStyle="stop" operator="between" showDropDown="false" showErrorMessage="false" showInputMessage="false" sqref="C27" type="list">
      <formula1>$Z$4:$Z$5</formula1>
      <formula2>0</formula2>
    </dataValidation>
    <dataValidation allowBlank="true" errorStyle="stop" operator="between" showDropDown="false" showErrorMessage="false" showInputMessage="false" sqref="C28" type="list">
      <formula1>$Z$6:$Z$7</formula1>
      <formula2>0</formula2>
    </dataValidation>
    <dataValidation allowBlank="true" errorStyle="stop" operator="between" showDropDown="false" showErrorMessage="false" showInputMessage="false" sqref="C29" type="list">
      <formula1>$Z$8:$Z$9</formula1>
      <formula2>0</formula2>
    </dataValidation>
    <dataValidation allowBlank="true" errorStyle="stop" operator="between" showDropDown="false" showErrorMessage="false" showInputMessage="false" sqref="C30" type="list">
      <formula1>$Z$10:$Z$11</formula1>
      <formula2>0</formula2>
    </dataValidation>
    <dataValidation allowBlank="true" errorStyle="stop" operator="between" showDropDown="false" showErrorMessage="false" showInputMessage="false" sqref="C31" type="list">
      <formula1>$Z$12:$Z$13</formula1>
      <formula2>0</formula2>
    </dataValidation>
    <dataValidation allowBlank="true" errorStyle="stop" operator="between" showDropDown="false" showErrorMessage="false" showInputMessage="false" sqref="C32" type="list">
      <formula1>$Z$14:$Z$15</formula1>
      <formula2>0</formula2>
    </dataValidation>
    <dataValidation allowBlank="true" errorStyle="stop" operator="between" showDropDown="false" showErrorMessage="false" showInputMessage="false" sqref="C34" type="list">
      <formula1>$Z$16:$Z$18</formula1>
      <formula2>0</formula2>
    </dataValidation>
    <dataValidation allowBlank="true" errorStyle="stop" operator="between" showDropDown="false" showErrorMessage="false" showInputMessage="false" sqref="C41"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109</v>
      </c>
    </row>
    <row r="2" customFormat="false" ht="25.5" hidden="false" customHeight="true" outlineLevel="0" collapsed="false">
      <c r="B2" s="5" t="s">
        <v>110</v>
      </c>
      <c r="C2" s="5"/>
      <c r="D2" s="5"/>
      <c r="E2" s="5"/>
      <c r="F2" s="5"/>
      <c r="G2" s="5"/>
      <c r="Z2" s="6" t="s">
        <v>111</v>
      </c>
    </row>
    <row r="3" customFormat="false" ht="15" hidden="false" customHeight="true" outlineLevel="0" collapsed="false">
      <c r="B3" s="7" t="s">
        <v>19</v>
      </c>
      <c r="C3" s="7"/>
      <c r="D3" s="7"/>
      <c r="E3" s="7"/>
      <c r="F3" s="7"/>
      <c r="G3" s="7"/>
      <c r="Z3" s="6" t="s">
        <v>112</v>
      </c>
    </row>
    <row r="4" customFormat="false" ht="15.75" hidden="false" customHeight="true" outlineLevel="0" collapsed="false">
      <c r="B4" s="8" t="s">
        <v>20</v>
      </c>
      <c r="C4" s="8"/>
      <c r="D4" s="8"/>
      <c r="E4" s="8"/>
      <c r="F4" s="8"/>
      <c r="G4" s="8"/>
    </row>
    <row r="5" customFormat="false" ht="60" hidden="false" customHeight="true" outlineLevel="0" collapsed="false">
      <c r="B5" s="9" t="s">
        <v>113</v>
      </c>
      <c r="C5" s="9"/>
      <c r="D5" s="9"/>
      <c r="E5" s="9"/>
      <c r="F5" s="9"/>
      <c r="G5" s="9"/>
    </row>
    <row r="6" customFormat="false" ht="15.75" hidden="false" customHeight="true" outlineLevel="0" collapsed="false">
      <c r="B6" s="8" t="s">
        <v>22</v>
      </c>
      <c r="C6" s="8"/>
      <c r="D6" s="8"/>
      <c r="E6" s="8"/>
      <c r="F6" s="8"/>
      <c r="G6" s="8"/>
    </row>
    <row r="7" customFormat="false" ht="60" hidden="false" customHeight="true" outlineLevel="0" collapsed="false">
      <c r="B7" s="9" t="s">
        <v>114</v>
      </c>
      <c r="C7" s="9"/>
      <c r="D7" s="9"/>
      <c r="E7" s="9"/>
      <c r="F7" s="9"/>
      <c r="G7" s="9"/>
    </row>
    <row r="9" customFormat="false" ht="15.75" hidden="false" customHeight="true" outlineLevel="0" collapsed="false">
      <c r="B9" s="8" t="s">
        <v>24</v>
      </c>
      <c r="C9" s="8"/>
      <c r="D9" s="8"/>
      <c r="E9" s="8"/>
      <c r="F9" s="8"/>
      <c r="G9" s="8"/>
    </row>
    <row r="10" customFormat="false" ht="60" hidden="false" customHeight="true" outlineLevel="0" collapsed="false">
      <c r="B10" s="9" t="s">
        <v>115</v>
      </c>
      <c r="C10" s="9"/>
      <c r="D10" s="9"/>
      <c r="E10" s="9"/>
      <c r="F10" s="9"/>
      <c r="G10" s="9"/>
    </row>
    <row r="11" customFormat="false" ht="15" hidden="false" customHeight="false" outlineLevel="0" collapsed="false">
      <c r="B11" s="10" t="s">
        <v>26</v>
      </c>
      <c r="C11" s="11" t="s">
        <v>116</v>
      </c>
    </row>
    <row r="12" customFormat="false" ht="15" hidden="false" customHeight="false" outlineLevel="0" collapsed="false">
      <c r="B12" s="12" t="s">
        <v>117</v>
      </c>
      <c r="C12" s="13" t="n">
        <v>36000</v>
      </c>
    </row>
    <row r="13" customFormat="false" ht="15" hidden="false" customHeight="false" outlineLevel="0" collapsed="false">
      <c r="B13" s="12" t="s">
        <v>118</v>
      </c>
      <c r="C13" s="13" t="n">
        <v>42300</v>
      </c>
    </row>
    <row r="14" customFormat="false" ht="15" hidden="false" customHeight="false" outlineLevel="0" collapsed="false">
      <c r="B14" s="12" t="s">
        <v>119</v>
      </c>
      <c r="C14" s="13" t="n">
        <v>15</v>
      </c>
    </row>
    <row r="16" customFormat="false" ht="15.75" hidden="false" customHeight="true" outlineLevel="0" collapsed="false">
      <c r="B16" s="8" t="s">
        <v>34</v>
      </c>
      <c r="C16" s="8"/>
      <c r="D16" s="8"/>
      <c r="E16" s="8"/>
      <c r="F16" s="8"/>
      <c r="G16" s="8"/>
    </row>
    <row r="17" customFormat="false" ht="60" hidden="false" customHeight="true" outlineLevel="0" collapsed="false">
      <c r="B17" s="9" t="s">
        <v>120</v>
      </c>
      <c r="C17" s="9"/>
      <c r="D17" s="9"/>
      <c r="E17" s="9"/>
      <c r="F17" s="9"/>
      <c r="G17" s="9"/>
    </row>
    <row r="19" customFormat="false" ht="43.5" hidden="false" customHeight="true" outlineLevel="0" collapsed="false">
      <c r="B19" s="14" t="s">
        <v>121</v>
      </c>
      <c r="C19" s="15"/>
      <c r="D19" s="16" t="s">
        <v>122</v>
      </c>
      <c r="G19" s="17" t="str">
        <f aca="false">IF(C19="","Skriv svaret i den gule cellen.",IF(C19=(36000*1.15),"Riktig.",IF(ABS(C19-(42300*1.15))&lt;=0,"Du har lagt 15 prosent på fakturaen. Prosenten regnes av prisoverslaget.",IF(ABS(C19-(36000*0.15))&lt;=0,"Du har regnet bare tillegget. Taket er overslaget pluss 15 prosent.","Ikke riktig ennå. Se på regnestykket øverst på fanen, og sjekk at du har med alle leddene."))))</f>
        <v>Skriv svaret i den gule cellen.</v>
      </c>
    </row>
    <row r="20" customFormat="false" ht="43.5" hidden="false" customHeight="true" outlineLevel="0" collapsed="false">
      <c r="B20" s="14" t="s">
        <v>123</v>
      </c>
      <c r="C20" s="26"/>
      <c r="D20" s="16" t="s">
        <v>124</v>
      </c>
      <c r="G20" s="17" t="str">
        <f aca="false">IF(C20="","Skriv svaret i den gule cellen.",IF(ABS(C20-(ROUND((42300-36000)/36000*100,1)))&lt;=0.1,"Riktig.",IF(ABS(C20-(ROUND((42300-36000)/42300*100,1)))&lt;=0.1,"Du har delt på fakturaen. Overskridelsen skal måles mot prisoverslaget, 36 000.","Ikke riktig ennå. Se på regnestykket øverst på fanen, og sjekk at du har med alle leddene.")))</f>
        <v>Skriv svaret i den gule cellen.</v>
      </c>
    </row>
    <row r="21" customFormat="false" ht="43.5" hidden="false" customHeight="true" outlineLevel="0" collapsed="false">
      <c r="B21" s="14" t="s">
        <v>125</v>
      </c>
      <c r="C21" s="15"/>
      <c r="D21" s="16" t="s">
        <v>122</v>
      </c>
      <c r="G21" s="17" t="str">
        <f aca="false">IF(C21="","Skriv svaret i den gule cellen.",IF(C21=(42300-36000*1.15),"Riktig.",IF(ABS(C21-(42300-36000))&lt;=0,"Det er hele overskridelsen. Hvor mye av den kunden slipper, avhenger av om overskridelsen var vesentlig og av bruddet på § 7. Det hun i alle fall slipper, er det som ligger over taket.",IF(ABS(C21-(36000*0.15))&lt;=0,"Det er 15 prosent av overslaget, altså rommet opp til taket, ikke det som ligger over.","Ikke riktig ennå. Se på regnestykket øverst på fanen, og sjekk at du har med alle leddene."))))</f>
        <v>Skriv svaret i den gule cellen.</v>
      </c>
    </row>
    <row r="23" customFormat="false" ht="39.75" hidden="false" customHeight="true" outlineLevel="0" collapsed="false">
      <c r="B23" s="14" t="s">
        <v>126</v>
      </c>
      <c r="C23" s="19"/>
      <c r="G23" s="17" t="str">
        <f aca="false">IF(C23="","Velg i nedtrekksmenyen.",IF(C23="§ 7 andre ledd: kontakte forbrukeren når prisen blir betydelig høyere enn hun måtte vente","Riktig. Får tjenesteyteren under utføringen grunn til å anta at prisen blir betydelig høyere enn forbrukeren måtte vente, skal han kontakte forbrukeren (§ 7 andre ledd). Brytes plikten, kan resultatet bli at forbrukeren ikke plikter å betale fullt ut (boka 20.2.2). Arbeidet var fagmessig, og prisen var avtalt som overslag.","Ikke riktig. Får tjenesteyteren under utføringen grunn til å anta at prisen blir betydelig høyere enn forbrukeren måtte vente, skal han kontakte forbrukeren (§ 7 andre ledd). Brytes plikten, kan resultatet bli at forbrukeren ikke plikter å betale fullt ut (boka 20.2.2). Arbeidet var fagmessig, og prisen var avtalt som overslag."))</f>
        <v>Velg i nedtrekksmenyen.</v>
      </c>
    </row>
    <row r="25" customFormat="false" ht="30" hidden="false" customHeight="true" outlineLevel="0" collapsed="false">
      <c r="B25" s="9" t="s">
        <v>127</v>
      </c>
      <c r="C25" s="9"/>
      <c r="D25" s="9"/>
      <c r="E25" s="9"/>
      <c r="F25" s="9"/>
      <c r="G25" s="9"/>
    </row>
    <row r="26" customFormat="false" ht="21.75" hidden="false" customHeight="true" outlineLevel="0" collapsed="false">
      <c r="B26" s="20"/>
      <c r="C26" s="20"/>
      <c r="D26" s="20"/>
      <c r="E26" s="20"/>
      <c r="F26" s="20"/>
      <c r="G26" s="20"/>
    </row>
    <row r="27" customFormat="false" ht="21.75" hidden="false" customHeight="true" outlineLevel="0" collapsed="false">
      <c r="B27" s="20"/>
      <c r="C27" s="20"/>
      <c r="D27" s="20"/>
      <c r="E27" s="20"/>
      <c r="F27" s="20"/>
      <c r="G27" s="20"/>
    </row>
    <row r="28" customFormat="false" ht="21.75" hidden="false" customHeight="true" outlineLevel="0" collapsed="false">
      <c r="B28" s="20"/>
      <c r="C28" s="20"/>
      <c r="D28" s="20"/>
      <c r="E28" s="20"/>
      <c r="F28" s="20"/>
      <c r="G28" s="20"/>
    </row>
    <row r="29" customFormat="false" ht="39.75" hidden="false" customHeight="true" outlineLevel="0" collapsed="false">
      <c r="B29" s="21" t="str">
        <f aca="false">IF(LEN(B26)&lt;40,"",IF(AND(ISNUMBER(SEARCH("15",B26)),ISNUMBER(SEARCH("kontakt",B26))),"Bra: du har med 15-prosentgrensen og kontakten med kunden underveis. Sjekk at du også sier at 41 400 er et tak, ikke et beløp Nordlys har krav på.",IF(OR(ISNUMBER(SEARCH("15",B26)),ISNUMBER(SEARCH("kontakt",B26))),"Du har med noe av det. Ta med både grensen (ikke vesentlig over overslaget, i alle fall ikke over 15 %, § 32 andre ledd) og rutinen: montøren skal kontakte kunden når prisen løper (§ 7 andre ledd).","Tips: Kari kan ikke kreve mer enn 41 400 kr, og fordi montøren ikke kontaktet kunden (§ 7 andre ledd), kan kunden slippe å betale fullt ut. Rutinen: skriftlig prisform i tilbudsmalen, og én telefon til kunden når montøren ser at timene løper, notert på arbeidsordren.")))</f>
        <v/>
      </c>
      <c r="C29" s="21"/>
      <c r="D29" s="21"/>
      <c r="E29" s="21"/>
      <c r="F29" s="21"/>
      <c r="G29" s="21"/>
    </row>
    <row r="30" customFormat="false" ht="15" hidden="false" customHeight="false" outlineLevel="0" collapsed="false">
      <c r="B30" s="22" t="s">
        <v>49</v>
      </c>
      <c r="C30" s="19"/>
    </row>
    <row r="31" customFormat="false" ht="31.5" hidden="false" customHeight="true" outlineLevel="0" collapsed="false">
      <c r="B31" s="23" t="str">
        <f aca="false">IF(C30="JA","Hint: a: 36 000 × 1,15 = 41 400. b: 42 300 − 36 000 = 6 300; 6 300 / 36 000 = 17,5 %. c: 42 300 − 41 400 = 900. d: § 7 andre ledd.","")</f>
        <v/>
      </c>
      <c r="C31" s="23"/>
      <c r="D31" s="23"/>
      <c r="E31" s="23"/>
      <c r="F31" s="23"/>
      <c r="G31" s="23"/>
    </row>
    <row r="33" customFormat="false" ht="30" hidden="false" customHeight="true" outlineLevel="0" collapsed="false">
      <c r="B33" s="7" t="s">
        <v>50</v>
      </c>
      <c r="C33" s="7"/>
      <c r="D33" s="7"/>
      <c r="E33" s="7"/>
      <c r="F33" s="7"/>
      <c r="G33" s="7"/>
    </row>
  </sheetData>
  <mergeCells count="15">
    <mergeCell ref="B2:G2"/>
    <mergeCell ref="B3:G3"/>
    <mergeCell ref="B4:G4"/>
    <mergeCell ref="B5:G5"/>
    <mergeCell ref="B6:G6"/>
    <mergeCell ref="B7:G7"/>
    <mergeCell ref="B9:G9"/>
    <mergeCell ref="B10:G10"/>
    <mergeCell ref="B16:G16"/>
    <mergeCell ref="B17:G17"/>
    <mergeCell ref="B25:G25"/>
    <mergeCell ref="B26:G28"/>
    <mergeCell ref="B29:G29"/>
    <mergeCell ref="B31:G31"/>
    <mergeCell ref="B33:G33"/>
  </mergeCells>
  <conditionalFormatting sqref="G19">
    <cfRule type="expression" priority="2" aboveAverage="0" equalAverage="0" bottom="0" percent="0" rank="0" text="" dxfId="0">
      <formula>LEFT(G19,6)="Riktig"</formula>
    </cfRule>
    <cfRule type="expression" priority="3" aboveAverage="0" equalAverage="0" bottom="0" percent="0" rank="0" text="" dxfId="1">
      <formula>AND(G19&lt;&gt;"",LEFT(G19,6)&lt;&gt;"Riktig",LEFT(G19,5)&lt;&gt;"Skriv")</formula>
    </cfRule>
  </conditionalFormatting>
  <conditionalFormatting sqref="G20">
    <cfRule type="expression" priority="4" aboveAverage="0" equalAverage="0" bottom="0" percent="0" rank="0" text="" dxfId="0">
      <formula>LEFT(G20,6)="Riktig"</formula>
    </cfRule>
    <cfRule type="expression" priority="5" aboveAverage="0" equalAverage="0" bottom="0" percent="0" rank="0" text="" dxfId="1">
      <formula>AND(G20&lt;&gt;"",LEFT(G20,6)&lt;&gt;"Riktig",LEFT(G20,5)&lt;&gt;"Skriv")</formula>
    </cfRule>
  </conditionalFormatting>
  <conditionalFormatting sqref="G21">
    <cfRule type="expression" priority="6" aboveAverage="0" equalAverage="0" bottom="0" percent="0" rank="0" text="" dxfId="0">
      <formula>LEFT(G21,6)="Riktig"</formula>
    </cfRule>
    <cfRule type="expression" priority="7" aboveAverage="0" equalAverage="0" bottom="0" percent="0" rank="0" text="" dxfId="1">
      <formula>AND(G21&lt;&gt;"",LEFT(G21,6)&lt;&gt;"Riktig",LEFT(G21,5)&lt;&gt;"Skriv")</formula>
    </cfRule>
  </conditionalFormatting>
  <conditionalFormatting sqref="G23">
    <cfRule type="expression" priority="8" aboveAverage="0" equalAverage="0" bottom="0" percent="0" rank="0" text="" dxfId="0">
      <formula>LEFT(G23,6)="Riktig"</formula>
    </cfRule>
    <cfRule type="expression" priority="9" aboveAverage="0" equalAverage="0" bottom="0" percent="0" rank="0" text="" dxfId="1">
      <formula>LEFT(G23,4)="Ikke"</formula>
    </cfRule>
  </conditionalFormatting>
  <dataValidations count="2">
    <dataValidation allowBlank="true" errorStyle="stop" operator="between" showDropDown="false" showErrorMessage="false" showInputMessage="false" sqref="C23" type="list">
      <formula1>$Z$1:$Z$3</formula1>
      <formula2>0</formula2>
    </dataValidation>
    <dataValidation allowBlank="true" errorStyle="stop" operator="between" showDropDown="false" showErrorMessage="false" showInputMessage="false" sqref="C3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128</v>
      </c>
    </row>
    <row r="2" customFormat="false" ht="25.5" hidden="false" customHeight="true" outlineLevel="0" collapsed="false">
      <c r="B2" s="5" t="s">
        <v>129</v>
      </c>
      <c r="C2" s="5"/>
      <c r="D2" s="5"/>
      <c r="E2" s="5"/>
      <c r="F2" s="5"/>
      <c r="G2" s="5"/>
      <c r="Z2" s="6" t="s">
        <v>130</v>
      </c>
    </row>
    <row r="3" customFormat="false" ht="15" hidden="false" customHeight="true" outlineLevel="0" collapsed="false">
      <c r="B3" s="7" t="s">
        <v>19</v>
      </c>
      <c r="C3" s="7"/>
      <c r="D3" s="7"/>
      <c r="E3" s="7"/>
      <c r="F3" s="7"/>
      <c r="G3" s="7"/>
      <c r="Z3" s="6" t="s">
        <v>131</v>
      </c>
    </row>
    <row r="4" customFormat="false" ht="15.75" hidden="false" customHeight="true" outlineLevel="0" collapsed="false">
      <c r="B4" s="8" t="s">
        <v>20</v>
      </c>
      <c r="C4" s="8"/>
      <c r="D4" s="8"/>
      <c r="E4" s="8"/>
      <c r="F4" s="8"/>
      <c r="G4" s="8"/>
      <c r="Z4" s="6" t="s">
        <v>132</v>
      </c>
    </row>
    <row r="5" customFormat="false" ht="45" hidden="false" customHeight="true" outlineLevel="0" collapsed="false">
      <c r="B5" s="9" t="s">
        <v>133</v>
      </c>
      <c r="C5" s="9"/>
      <c r="D5" s="9"/>
      <c r="E5" s="9"/>
      <c r="F5" s="9"/>
      <c r="G5" s="9"/>
      <c r="Z5" s="6" t="s">
        <v>134</v>
      </c>
    </row>
    <row r="6" customFormat="false" ht="15.75" hidden="false" customHeight="true" outlineLevel="0" collapsed="false">
      <c r="B6" s="8" t="s">
        <v>22</v>
      </c>
      <c r="C6" s="8"/>
      <c r="D6" s="8"/>
      <c r="E6" s="8"/>
      <c r="F6" s="8"/>
      <c r="G6" s="8"/>
      <c r="Z6" s="6" t="s">
        <v>135</v>
      </c>
    </row>
    <row r="7" customFormat="false" ht="60" hidden="false" customHeight="true" outlineLevel="0" collapsed="false">
      <c r="B7" s="9" t="s">
        <v>136</v>
      </c>
      <c r="C7" s="9"/>
      <c r="D7" s="9"/>
      <c r="E7" s="9"/>
      <c r="F7" s="9"/>
      <c r="G7" s="9"/>
      <c r="Z7" s="6" t="s">
        <v>137</v>
      </c>
    </row>
    <row r="8" customFormat="false" ht="15" hidden="false" customHeight="false" outlineLevel="0" collapsed="false">
      <c r="Z8" s="0" t="s">
        <v>138</v>
      </c>
    </row>
    <row r="9" customFormat="false" ht="15.75" hidden="false" customHeight="true" outlineLevel="0" collapsed="false">
      <c r="B9" s="8" t="s">
        <v>24</v>
      </c>
      <c r="C9" s="8"/>
      <c r="D9" s="8"/>
      <c r="E9" s="8"/>
      <c r="F9" s="8"/>
      <c r="G9" s="8"/>
      <c r="Z9" s="6" t="s">
        <v>139</v>
      </c>
    </row>
    <row r="10" customFormat="false" ht="60" hidden="false" customHeight="true" outlineLevel="0" collapsed="false">
      <c r="B10" s="9" t="s">
        <v>140</v>
      </c>
      <c r="C10" s="9"/>
      <c r="D10" s="9"/>
      <c r="E10" s="9"/>
      <c r="F10" s="9"/>
      <c r="G10" s="9"/>
      <c r="Z10" s="6" t="s">
        <v>141</v>
      </c>
    </row>
    <row r="11" customFormat="false" ht="15" hidden="false" customHeight="false" outlineLevel="0" collapsed="false">
      <c r="B11" s="10" t="s">
        <v>26</v>
      </c>
      <c r="C11" s="11" t="s">
        <v>116</v>
      </c>
      <c r="Z11" s="6" t="s">
        <v>142</v>
      </c>
    </row>
    <row r="12" customFormat="false" ht="15" hidden="false" customHeight="false" outlineLevel="0" collapsed="false">
      <c r="B12" s="12" t="s">
        <v>143</v>
      </c>
      <c r="C12" s="13" t="n">
        <v>15300</v>
      </c>
      <c r="Z12" s="6" t="s">
        <v>137</v>
      </c>
    </row>
    <row r="13" customFormat="false" ht="15" hidden="false" customHeight="false" outlineLevel="0" collapsed="false">
      <c r="B13" s="12" t="s">
        <v>144</v>
      </c>
      <c r="C13" s="13" t="n">
        <v>2500</v>
      </c>
      <c r="Z13" s="6" t="s">
        <v>138</v>
      </c>
    </row>
    <row r="14" customFormat="false" ht="15" hidden="false" customHeight="false" outlineLevel="0" collapsed="false">
      <c r="B14" s="12" t="s">
        <v>145</v>
      </c>
      <c r="C14" s="13" t="n">
        <v>15</v>
      </c>
      <c r="Z14" s="6" t="s">
        <v>139</v>
      </c>
    </row>
    <row r="15" customFormat="false" ht="15" hidden="false" customHeight="false" outlineLevel="0" collapsed="false">
      <c r="Z15" s="0" t="s">
        <v>141</v>
      </c>
    </row>
    <row r="16" customFormat="false" ht="15.75" hidden="false" customHeight="true" outlineLevel="0" collapsed="false">
      <c r="B16" s="8" t="s">
        <v>34</v>
      </c>
      <c r="C16" s="8"/>
      <c r="D16" s="8"/>
      <c r="E16" s="8"/>
      <c r="F16" s="8"/>
      <c r="G16" s="8"/>
      <c r="Z16" s="6" t="s">
        <v>142</v>
      </c>
    </row>
    <row r="17" customFormat="false" ht="45" hidden="false" customHeight="true" outlineLevel="0" collapsed="false">
      <c r="B17" s="9" t="s">
        <v>146</v>
      </c>
      <c r="C17" s="9"/>
      <c r="D17" s="9"/>
      <c r="E17" s="9"/>
      <c r="F17" s="9"/>
      <c r="G17" s="9"/>
      <c r="Z17" s="6" t="s">
        <v>137</v>
      </c>
    </row>
    <row r="18" customFormat="false" ht="15" hidden="false" customHeight="false" outlineLevel="0" collapsed="false">
      <c r="Z18" s="0" t="s">
        <v>138</v>
      </c>
    </row>
    <row r="19" customFormat="false" ht="43.5" hidden="false" customHeight="true" outlineLevel="0" collapsed="false">
      <c r="B19" s="14" t="s">
        <v>147</v>
      </c>
      <c r="C19" s="15"/>
      <c r="D19" s="16" t="s">
        <v>122</v>
      </c>
      <c r="G19" s="17" t="str">
        <f aca="false">IF(C19="","Skriv svaret i den gule cellen.",IF(C19=(15300*1.15),"Riktig.",IF(ABS(C19-(15300))&lt;=0,"Det er overslaget. Et prisoverslag kan overskrides noe, men ikke vesentlig, og i alle fall ikke med mer enn 15 prosent.",IF(ABS(C19-(15300*0.15))&lt;=0,"Du har regnet bare tillegget. Taket er overslaget pluss 15 prosent.","Ikke riktig ennå. Se på regnestykket øverst på fanen, og sjekk at du har med alle leddene."))))</f>
        <v>Skriv svaret i den gule cellen.</v>
      </c>
      <c r="Z19" s="6" t="s">
        <v>139</v>
      </c>
    </row>
    <row r="20" customFormat="false" ht="15" hidden="false" customHeight="false" outlineLevel="0" collapsed="false">
      <c r="Z20" s="0" t="s">
        <v>141</v>
      </c>
    </row>
    <row r="21" customFormat="false" ht="39.75" hidden="false" customHeight="true" outlineLevel="0" collapsed="false">
      <c r="B21" s="14" t="s">
        <v>148</v>
      </c>
      <c r="C21" s="19"/>
      <c r="G21" s="17" t="str">
        <f aca="false">IF(C21="","Velg i nedtrekksmenyen.",IF(C21="Kontakte kunden før han gjør tilleggsarbeidet (§ 9 første ledd)","Riktig. Viser det seg behov for arbeid utenfor oppdraget som er praktisk å utføre sammen med oppdraget, skal tjenesteyteren kontakte forbrukeren (§ 9 første ledd). Bare tilleggsarbeid som ikke kan utsettes uten fare for vesentlig skade, skal gjøres i rimelig utstrekning uten videre (§ 9 tredje ledd). Fast pris gjelder det avtalte oppdraget, ikke arbeid utenfor det.","Ikke riktig. Viser det seg behov for arbeid utenfor oppdraget som er praktisk å utføre sammen med oppdraget, skal tjenesteyteren kontakte forbrukeren (§ 9 første ledd). Bare tilleggsarbeid som ikke kan utsettes uten fare for vesentlig skade, skal gjøres i rimelig utstrekning uten videre (§ 9 tredje ledd). Fast pris gjelder det avtalte oppdraget, ikke arbeid utenfor det."))</f>
        <v>Velg i nedtrekksmenyen.</v>
      </c>
      <c r="Z21" s="6" t="s">
        <v>142</v>
      </c>
    </row>
    <row r="22" customFormat="false" ht="15" hidden="false" customHeight="false" outlineLevel="0" collapsed="false">
      <c r="Z22" s="0" t="s">
        <v>137</v>
      </c>
    </row>
    <row r="23" customFormat="false" ht="43.5" hidden="false" customHeight="true" outlineLevel="0" collapsed="false">
      <c r="B23" s="14" t="s">
        <v>149</v>
      </c>
      <c r="C23" s="15"/>
      <c r="D23" s="16" t="s">
        <v>122</v>
      </c>
      <c r="G23" s="17" t="str">
        <f aca="false">IF(C23="","Skriv svaret i den gule cellen.",IF(C23=(15300+2500),"Riktig.",IF(ABS(C23-(15300*1.15+2500))&lt;=0,"Du har lagt 15 prosent på en fast pris. Fast pris er fast; 15 prosent gjelder bare prisoverslag.",IF(ABS(C23-(15300))&lt;=0,"Du har glemt tilleggsarbeidet. Tilleggsarbeid som er avtalt etter § 9, kan kreves betalt (§ 33).","Ikke riktig ennå. Se på regnestykket øverst på fanen, og sjekk at du har med alle leddene."))))</f>
        <v>Skriv svaret i den gule cellen.</v>
      </c>
      <c r="Z23" s="6" t="s">
        <v>138</v>
      </c>
    </row>
    <row r="24" customFormat="false" ht="15" hidden="false" customHeight="false" outlineLevel="0" collapsed="false">
      <c r="Z24" s="0" t="s">
        <v>139</v>
      </c>
    </row>
    <row r="25" customFormat="false" ht="39.75" hidden="false" customHeight="true" outlineLevel="0" collapsed="false">
      <c r="B25" s="14" t="s">
        <v>150</v>
      </c>
      <c r="C25" s="19"/>
      <c r="G25" s="17" t="str">
        <f aca="false">IF(C25="","Velg i nedtrekksmenyen.",IF(C25="Nei, 15 % er et tak; prisen skal ikke overstige overslaget vesentlig, og overskridelsen må kunne begrunnes","Riktig. Prisen skal ikke overstige overslaget vesentlig, og i alle fall ikke med mer enn 15 prosent (§ 32 andre ledd). 15 prosent er yttergrensen, ikke et fribeløp. Et overslag er heller ikke en fast pris; det kan overskrides noe når det er grunn til det (boka 20.2.4).","Ikke riktig. Prisen skal ikke overstige overslaget vesentlig, og i alle fall ikke med mer enn 15 prosent (§ 32 andre ledd). 15 prosent er yttergrensen, ikke et fribeløp. Et overslag er heller ikke en fast pris; det kan overskrides noe når det er grunn til det (boka 20.2.4)."))</f>
        <v>Velg i nedtrekksmenyen.</v>
      </c>
      <c r="Z25" s="6" t="s">
        <v>141</v>
      </c>
    </row>
    <row r="26" customFormat="false" ht="15" hidden="false" customHeight="false" outlineLevel="0" collapsed="false">
      <c r="Z26" s="0" t="s">
        <v>142</v>
      </c>
    </row>
    <row r="27" customFormat="false" ht="15" hidden="false" customHeight="true" outlineLevel="0" collapsed="false">
      <c r="B27" s="18" t="s">
        <v>151</v>
      </c>
      <c r="C27" s="18"/>
      <c r="D27" s="18"/>
      <c r="E27" s="18"/>
      <c r="F27" s="18"/>
      <c r="G27" s="18"/>
      <c r="Z27" s="6" t="s">
        <v>137</v>
      </c>
    </row>
    <row r="28" customFormat="false" ht="39.75" hidden="false" customHeight="true" outlineLevel="0" collapsed="false">
      <c r="B28" s="14" t="s">
        <v>152</v>
      </c>
      <c r="C28" s="19"/>
      <c r="G28" s="17" t="str">
        <f aca="false">IF(C28="","Velg i nedtrekksmenyen.",IF(C28="Fast pris","Riktig. Bindende fast pris: aldri mer for det avtalte oppdraget. Tilleggsarbeid utenfor oppdraget kommer i tillegg (§ 33).","Ikke riktig. Bindende fast pris: aldri mer for det avtalte oppdraget. Tilleggsarbeid utenfor oppdraget kommer i tillegg (§ 33)."))</f>
        <v>Velg i nedtrekksmenyen.</v>
      </c>
      <c r="Z28" s="6" t="s">
        <v>138</v>
      </c>
    </row>
    <row r="29" customFormat="false" ht="39.75" hidden="false" customHeight="true" outlineLevel="0" collapsed="false">
      <c r="B29" s="14" t="s">
        <v>153</v>
      </c>
      <c r="C29" s="19"/>
      <c r="G29" s="17" t="str">
        <f aca="false">IF(C29="","Velg i nedtrekksmenyen.",IF(C29="Prisoverslag","Riktig. Prisen skal ikke overstige overslaget vesentlig, og i alle fall ikke med mer enn 15 prosent (§ 32 andre ledd).","Ikke riktig. Prisen skal ikke overstige overslaget vesentlig, og i alle fall ikke med mer enn 15 prosent (§ 32 andre ledd)."))</f>
        <v>Velg i nedtrekksmenyen.</v>
      </c>
      <c r="Z29" s="6" t="s">
        <v>139</v>
      </c>
    </row>
    <row r="30" customFormat="false" ht="39.75" hidden="false" customHeight="true" outlineLevel="0" collapsed="false">
      <c r="B30" s="14" t="s">
        <v>154</v>
      </c>
      <c r="C30" s="19"/>
      <c r="G30" s="17" t="str">
        <f aca="false">IF(C30="","Velg i nedtrekksmenyen.",IF(C30="Uforpliktende prisantydning","Riktig. Den friest formulerte prisformen. Da gjelder gjengs pris, så lenge den ikke er urimelig (§ 32 første ledd). Det er håndverkeren som må godtgjøre hvilken prisform som ble gitt.","Ikke riktig. Den friest formulerte prisformen. Da gjelder gjengs pris, så lenge den ikke er urimelig (§ 32 første ledd). Det er håndverkeren som må godtgjøre hvilken prisform som ble gitt."))</f>
        <v>Velg i nedtrekksmenyen.</v>
      </c>
      <c r="Z30" s="6" t="s">
        <v>141</v>
      </c>
    </row>
    <row r="31" customFormat="false" ht="39.75" hidden="false" customHeight="true" outlineLevel="0" collapsed="false">
      <c r="B31" s="14" t="s">
        <v>155</v>
      </c>
      <c r="C31" s="19"/>
      <c r="G31" s="17" t="str">
        <f aca="false">IF(C31="","Velg i nedtrekksmenyen.",IF(C31="Høyeste pris","Riktig. Høyeste pris kan bli lavere, aldri høyere (boka 20.2.4).","Ikke riktig. Høyeste pris kan bli lavere, aldri høyere (boka 20.2.4)."))</f>
        <v>Velg i nedtrekksmenyen.</v>
      </c>
      <c r="Z31" s="6" t="s">
        <v>142</v>
      </c>
    </row>
    <row r="32" customFormat="false" ht="39.75" hidden="false" customHeight="true" outlineLevel="0" collapsed="false">
      <c r="B32" s="14" t="s">
        <v>156</v>
      </c>
      <c r="C32" s="19"/>
      <c r="G32" s="17" t="str">
        <f aca="false">IF(C32="","Velg i nedtrekksmenyen.",IF(C32="Gjengs pris","Riktig. Er prisen ikke avtalt, skal den regnes ut på vanlig måte for tilsvarende tjenester på avtaletiden, gjengs pris, dersom den ikke er urimelig (§ 32 første ledd).","Ikke riktig. Er prisen ikke avtalt, skal den regnes ut på vanlig måte for tilsvarende tjenester på avtaletiden, gjengs pris, dersom den ikke er urimelig (§ 32 første ledd)."))</f>
        <v>Velg i nedtrekksmenyen.</v>
      </c>
    </row>
    <row r="34" customFormat="false" ht="30" hidden="false" customHeight="true" outlineLevel="0" collapsed="false">
      <c r="B34" s="9" t="s">
        <v>157</v>
      </c>
      <c r="C34" s="9"/>
      <c r="D34" s="9"/>
      <c r="E34" s="9"/>
      <c r="F34" s="9"/>
      <c r="G34" s="9"/>
    </row>
    <row r="35" customFormat="false" ht="21.75" hidden="false" customHeight="true" outlineLevel="0" collapsed="false">
      <c r="B35" s="20"/>
      <c r="C35" s="20"/>
      <c r="D35" s="20"/>
      <c r="E35" s="20"/>
      <c r="F35" s="20"/>
      <c r="G35" s="20"/>
    </row>
    <row r="36" customFormat="false" ht="21.75" hidden="false" customHeight="true" outlineLevel="0" collapsed="false">
      <c r="B36" s="20"/>
      <c r="C36" s="20"/>
      <c r="D36" s="20"/>
      <c r="E36" s="20"/>
      <c r="F36" s="20"/>
      <c r="G36" s="20"/>
    </row>
    <row r="37" customFormat="false" ht="21.75" hidden="false" customHeight="true" outlineLevel="0" collapsed="false">
      <c r="B37" s="20"/>
      <c r="C37" s="20"/>
      <c r="D37" s="20"/>
      <c r="E37" s="20"/>
      <c r="F37" s="20"/>
      <c r="G37" s="20"/>
    </row>
    <row r="38" customFormat="false" ht="39.75" hidden="false" customHeight="true" outlineLevel="0" collapsed="false">
      <c r="B38" s="21" t="str">
        <f aca="false">IF(LEN(B35)&lt;40,"",IF(AND(ISNUMBER(SEARCH("fast",B35)),ISNUMBER(SEARCH("skriftlig",B35))),"Bra: du velger fast pris og sier at den skal stå skriftlig. Si også hva som ikke er med i prisen, og at slikt avtales med kunden før det gjøres (§ 9).",IF(OR(ISNUMBER(SEARCH("fast",B35)),ISNUMBER(SEARCH("skriftlig",B35))),"Du er på sporet. En standardpakke med kjent tidsbruk passer for fast pris, og prisformen må stå skriftlig med ord, fordi det er håndverkeren som må godtgjøre hva som ble lovet.","Tips: en standardpakke med kjent tidsbruk passer for fast pris: kunden vet hva hun får, og Fjell bærer risikoen for tiden. Skriv «fast pris, inkludert merverdiavgift» med ord, og si hva som ikke er med (nytt vern, ny kurs) og at det avtales med kunden før det gjøres (§ 9). «Ca. 15 000» bør ut av malen.")))</f>
        <v/>
      </c>
      <c r="C38" s="21"/>
      <c r="D38" s="21"/>
      <c r="E38" s="21"/>
      <c r="F38" s="21"/>
      <c r="G38" s="21"/>
    </row>
    <row r="39" customFormat="false" ht="15" hidden="false" customHeight="false" outlineLevel="0" collapsed="false">
      <c r="B39" s="22" t="s">
        <v>49</v>
      </c>
      <c r="C39" s="19"/>
    </row>
    <row r="40" customFormat="false" ht="31.5" hidden="false" customHeight="true" outlineLevel="0" collapsed="false">
      <c r="B40" s="23" t="str">
        <f aca="false">IF(C39="JA","Hint: a: 15 300 × 1,15 = 17 595. b: kontakt kunden først (§ 9 første ledd). c: 15 300 + 2 500 = 17 800. d: nei, 15 % er et tak. e: fast pris, prisoverslag, uforpliktende prisantydning, høyeste pris, gjengs pris.","")</f>
        <v/>
      </c>
      <c r="C40" s="23"/>
      <c r="D40" s="23"/>
      <c r="E40" s="23"/>
      <c r="F40" s="23"/>
      <c r="G40" s="23"/>
    </row>
    <row r="42" customFormat="false" ht="30" hidden="false" customHeight="true" outlineLevel="0" collapsed="false">
      <c r="B42" s="7" t="s">
        <v>50</v>
      </c>
      <c r="C42" s="7"/>
      <c r="D42" s="7"/>
      <c r="E42" s="7"/>
      <c r="F42" s="7"/>
      <c r="G42" s="7"/>
    </row>
  </sheetData>
  <mergeCells count="16">
    <mergeCell ref="B2:G2"/>
    <mergeCell ref="B3:G3"/>
    <mergeCell ref="B4:G4"/>
    <mergeCell ref="B5:G5"/>
    <mergeCell ref="B6:G6"/>
    <mergeCell ref="B7:G7"/>
    <mergeCell ref="B9:G9"/>
    <mergeCell ref="B10:G10"/>
    <mergeCell ref="B16:G16"/>
    <mergeCell ref="B17:G17"/>
    <mergeCell ref="B27:G27"/>
    <mergeCell ref="B34:G34"/>
    <mergeCell ref="B35:G37"/>
    <mergeCell ref="B38:G38"/>
    <mergeCell ref="B40:G40"/>
    <mergeCell ref="B42:G42"/>
  </mergeCells>
  <conditionalFormatting sqref="G19">
    <cfRule type="expression" priority="2" aboveAverage="0" equalAverage="0" bottom="0" percent="0" rank="0" text="" dxfId="0">
      <formula>LEFT(G19,6)="Riktig"</formula>
    </cfRule>
    <cfRule type="expression" priority="3" aboveAverage="0" equalAverage="0" bottom="0" percent="0" rank="0" text="" dxfId="1">
      <formula>AND(G19&lt;&gt;"",LEFT(G19,6)&lt;&gt;"Riktig",LEFT(G19,5)&lt;&gt;"Skriv")</formula>
    </cfRule>
  </conditionalFormatting>
  <conditionalFormatting sqref="G21">
    <cfRule type="expression" priority="4" aboveAverage="0" equalAverage="0" bottom="0" percent="0" rank="0" text="" dxfId="0">
      <formula>LEFT(G21,6)="Riktig"</formula>
    </cfRule>
    <cfRule type="expression" priority="5" aboveAverage="0" equalAverage="0" bottom="0" percent="0" rank="0" text="" dxfId="1">
      <formula>LEFT(G21,4)="Ikke"</formula>
    </cfRule>
  </conditionalFormatting>
  <conditionalFormatting sqref="G23">
    <cfRule type="expression" priority="6" aboveAverage="0" equalAverage="0" bottom="0" percent="0" rank="0" text="" dxfId="0">
      <formula>LEFT(G23,6)="Riktig"</formula>
    </cfRule>
    <cfRule type="expression" priority="7" aboveAverage="0" equalAverage="0" bottom="0" percent="0" rank="0" text="" dxfId="1">
      <formula>AND(G23&lt;&gt;"",LEFT(G23,6)&lt;&gt;"Riktig",LEFT(G23,5)&lt;&gt;"Skriv")</formula>
    </cfRule>
  </conditionalFormatting>
  <conditionalFormatting sqref="G25">
    <cfRule type="expression" priority="8" aboveAverage="0" equalAverage="0" bottom="0" percent="0" rank="0" text="" dxfId="0">
      <formula>LEFT(G25,6)="Riktig"</formula>
    </cfRule>
    <cfRule type="expression" priority="9" aboveAverage="0" equalAverage="0" bottom="0" percent="0" rank="0" text="" dxfId="1">
      <formula>LEFT(G25,4)="Ikke"</formula>
    </cfRule>
  </conditionalFormatting>
  <conditionalFormatting sqref="G28">
    <cfRule type="expression" priority="10" aboveAverage="0" equalAverage="0" bottom="0" percent="0" rank="0" text="" dxfId="0">
      <formula>LEFT(G28,6)="Riktig"</formula>
    </cfRule>
    <cfRule type="expression" priority="11" aboveAverage="0" equalAverage="0" bottom="0" percent="0" rank="0" text="" dxfId="1">
      <formula>LEFT(G28,4)="Ikke"</formula>
    </cfRule>
  </conditionalFormatting>
  <conditionalFormatting sqref="G29">
    <cfRule type="expression" priority="12" aboveAverage="0" equalAverage="0" bottom="0" percent="0" rank="0" text="" dxfId="0">
      <formula>LEFT(G29,6)="Riktig"</formula>
    </cfRule>
    <cfRule type="expression" priority="13" aboveAverage="0" equalAverage="0" bottom="0" percent="0" rank="0" text="" dxfId="1">
      <formula>LEFT(G29,4)="Ikke"</formula>
    </cfRule>
  </conditionalFormatting>
  <conditionalFormatting sqref="G30">
    <cfRule type="expression" priority="14" aboveAverage="0" equalAverage="0" bottom="0" percent="0" rank="0" text="" dxfId="0">
      <formula>LEFT(G30,6)="Riktig"</formula>
    </cfRule>
    <cfRule type="expression" priority="15" aboveAverage="0" equalAverage="0" bottom="0" percent="0" rank="0" text="" dxfId="1">
      <formula>LEFT(G30,4)="Ikke"</formula>
    </cfRule>
  </conditionalFormatting>
  <conditionalFormatting sqref="G31">
    <cfRule type="expression" priority="16" aboveAverage="0" equalAverage="0" bottom="0" percent="0" rank="0" text="" dxfId="0">
      <formula>LEFT(G31,6)="Riktig"</formula>
    </cfRule>
    <cfRule type="expression" priority="17" aboveAverage="0" equalAverage="0" bottom="0" percent="0" rank="0" text="" dxfId="1">
      <formula>LEFT(G31,4)="Ikke"</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dataValidations count="8">
    <dataValidation allowBlank="true" errorStyle="stop" operator="between" showDropDown="false" showErrorMessage="false" showInputMessage="false" sqref="C21" type="list">
      <formula1>$Z$1:$Z$3</formula1>
      <formula2>0</formula2>
    </dataValidation>
    <dataValidation allowBlank="true" errorStyle="stop" operator="between" showDropDown="false" showErrorMessage="false" showInputMessage="false" sqref="C25" type="list">
      <formula1>$Z$4:$Z$6</formula1>
      <formula2>0</formula2>
    </dataValidation>
    <dataValidation allowBlank="true" errorStyle="stop" operator="between" showDropDown="false" showErrorMessage="false" showInputMessage="false" sqref="C28" type="list">
      <formula1>$Z$7:$Z$11</formula1>
      <formula2>0</formula2>
    </dataValidation>
    <dataValidation allowBlank="true" errorStyle="stop" operator="between" showDropDown="false" showErrorMessage="false" showInputMessage="false" sqref="C29" type="list">
      <formula1>$Z$12:$Z$16</formula1>
      <formula2>0</formula2>
    </dataValidation>
    <dataValidation allowBlank="true" errorStyle="stop" operator="between" showDropDown="false" showErrorMessage="false" showInputMessage="false" sqref="C30" type="list">
      <formula1>$Z$17:$Z$21</formula1>
      <formula2>0</formula2>
    </dataValidation>
    <dataValidation allowBlank="true" errorStyle="stop" operator="between" showDropDown="false" showErrorMessage="false" showInputMessage="false" sqref="C31" type="list">
      <formula1>$Z$22:$Z$26</formula1>
      <formula2>0</formula2>
    </dataValidation>
    <dataValidation allowBlank="true" errorStyle="stop" operator="between" showDropDown="false" showErrorMessage="false" showInputMessage="false" sqref="C32" type="list">
      <formula1>$Z$27:$Z$31</formula1>
      <formula2>0</formula2>
    </dataValidation>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16</v>
      </c>
    </row>
    <row r="2" customFormat="false" ht="25.5" hidden="false" customHeight="true" outlineLevel="0" collapsed="false">
      <c r="B2" s="5" t="s">
        <v>158</v>
      </c>
      <c r="C2" s="5"/>
      <c r="D2" s="5"/>
      <c r="E2" s="5"/>
      <c r="F2" s="5"/>
      <c r="G2" s="5"/>
      <c r="Z2" s="6" t="s">
        <v>18</v>
      </c>
    </row>
    <row r="3" customFormat="false" ht="15" hidden="false" customHeight="true" outlineLevel="0" collapsed="false">
      <c r="B3" s="7" t="s">
        <v>19</v>
      </c>
      <c r="C3" s="7"/>
      <c r="D3" s="7"/>
      <c r="E3" s="7"/>
      <c r="F3" s="7"/>
      <c r="G3" s="7"/>
      <c r="Z3" s="6" t="s">
        <v>159</v>
      </c>
    </row>
    <row r="4" customFormat="false" ht="15.75" hidden="false" customHeight="true" outlineLevel="0" collapsed="false">
      <c r="B4" s="8" t="s">
        <v>20</v>
      </c>
      <c r="C4" s="8"/>
      <c r="D4" s="8"/>
      <c r="E4" s="8"/>
      <c r="F4" s="8"/>
      <c r="G4" s="8"/>
      <c r="Z4" s="6" t="s">
        <v>16</v>
      </c>
    </row>
    <row r="5" customFormat="false" ht="45" hidden="false" customHeight="true" outlineLevel="0" collapsed="false">
      <c r="B5" s="9" t="s">
        <v>160</v>
      </c>
      <c r="C5" s="9"/>
      <c r="D5" s="9"/>
      <c r="E5" s="9"/>
      <c r="F5" s="9"/>
      <c r="G5" s="9"/>
      <c r="Z5" s="6" t="s">
        <v>18</v>
      </c>
    </row>
    <row r="6" customFormat="false" ht="15.75" hidden="false" customHeight="true" outlineLevel="0" collapsed="false">
      <c r="B6" s="8" t="s">
        <v>22</v>
      </c>
      <c r="C6" s="8"/>
      <c r="D6" s="8"/>
      <c r="E6" s="8"/>
      <c r="F6" s="8"/>
      <c r="G6" s="8"/>
      <c r="Z6" s="6" t="s">
        <v>159</v>
      </c>
    </row>
    <row r="7" customFormat="false" ht="60" hidden="false" customHeight="true" outlineLevel="0" collapsed="false">
      <c r="B7" s="9" t="s">
        <v>161</v>
      </c>
      <c r="C7" s="9"/>
      <c r="D7" s="9"/>
      <c r="E7" s="9"/>
      <c r="F7" s="9"/>
      <c r="G7" s="9"/>
      <c r="Z7" s="6" t="s">
        <v>16</v>
      </c>
    </row>
    <row r="8" customFormat="false" ht="15" hidden="false" customHeight="false" outlineLevel="0" collapsed="false">
      <c r="Z8" s="0" t="s">
        <v>18</v>
      </c>
    </row>
    <row r="9" customFormat="false" ht="15.75" hidden="false" customHeight="true" outlineLevel="0" collapsed="false">
      <c r="B9" s="8" t="s">
        <v>162</v>
      </c>
      <c r="C9" s="8"/>
      <c r="D9" s="8"/>
      <c r="E9" s="8"/>
      <c r="F9" s="8"/>
      <c r="G9" s="8"/>
      <c r="Z9" s="6" t="s">
        <v>159</v>
      </c>
    </row>
    <row r="10" customFormat="false" ht="90" hidden="false" customHeight="true" outlineLevel="0" collapsed="false">
      <c r="B10" s="9" t="s">
        <v>163</v>
      </c>
      <c r="C10" s="9"/>
      <c r="D10" s="9"/>
      <c r="E10" s="9"/>
      <c r="F10" s="9"/>
      <c r="G10" s="9"/>
      <c r="Z10" s="6" t="s">
        <v>16</v>
      </c>
    </row>
    <row r="11" customFormat="false" ht="15" hidden="false" customHeight="false" outlineLevel="0" collapsed="false">
      <c r="Z11" s="0" t="s">
        <v>18</v>
      </c>
    </row>
    <row r="12" customFormat="false" ht="15" hidden="false" customHeight="true" outlineLevel="0" collapsed="false">
      <c r="B12" s="18" t="s">
        <v>164</v>
      </c>
      <c r="C12" s="18"/>
      <c r="D12" s="18"/>
      <c r="E12" s="18"/>
      <c r="F12" s="18"/>
      <c r="G12" s="18"/>
      <c r="Z12" s="6" t="s">
        <v>159</v>
      </c>
    </row>
    <row r="13" customFormat="false" ht="39.75" hidden="false" customHeight="true" outlineLevel="0" collapsed="false">
      <c r="B13" s="14" t="s">
        <v>165</v>
      </c>
      <c r="C13" s="19"/>
      <c r="G13" s="17" t="str">
        <f aca="false">IF(C13="","Velg i nedtrekksmenyen.",IF(C13="Ikke lovlig","Riktig. Påstander om virkninger skal kunne dokumenteres, og dokumentasjonen skal foreligge i det øyeblikket markedsføringen skjer (§ 3, boka 20.1.1).","Ikke riktig. Påstander om virkninger skal kunne dokumenteres, og dokumentasjonen skal foreligge i det øyeblikket markedsføringen skjer (§ 3, boka 20.1.1)."))</f>
        <v>Velg i nedtrekksmenyen.</v>
      </c>
      <c r="Z13" s="6" t="s">
        <v>16</v>
      </c>
    </row>
    <row r="14" customFormat="false" ht="39.75" hidden="false" customHeight="true" outlineLevel="0" collapsed="false">
      <c r="B14" s="14" t="s">
        <v>166</v>
      </c>
      <c r="C14" s="19"/>
      <c r="G14" s="17" t="str">
        <f aca="false">IF(C14="","Velg i nedtrekksmenyen.",IF(C14="Lovlig","Riktig. Åpenbare overdrivelser er tillatt; folk flest tar dem for hva de er (§ 3, bokas «verdens beste kjøttboller»).","Ikke riktig. Åpenbare overdrivelser er tillatt; folk flest tar dem for hva de er (§ 3, bokas «verdens beste kjøttboller»)."))</f>
        <v>Velg i nedtrekksmenyen.</v>
      </c>
      <c r="Z14" s="6" t="s">
        <v>18</v>
      </c>
    </row>
    <row r="15" customFormat="false" ht="39.75" hidden="false" customHeight="true" outlineLevel="0" collapsed="false">
      <c r="B15" s="14" t="s">
        <v>167</v>
      </c>
      <c r="C15" s="19"/>
      <c r="G15" s="17" t="str">
        <f aca="false">IF(C15="","Velg i nedtrekksmenyen.",IF(C15="Lovlig","Riktig. Forbudet mot utlodninger er opphevet, og vilkårene er klare og lett tilgjengelige (§ 18, boka 20.1.3).","Ikke riktig. Forbudet mot utlodninger er opphevet, og vilkårene er klare og lett tilgjengelige (§ 18, boka 20.1.3)."))</f>
        <v>Velg i nedtrekksmenyen.</v>
      </c>
      <c r="Z15" s="6" t="s">
        <v>159</v>
      </c>
    </row>
    <row r="16" customFormat="false" ht="39.75" hidden="false" customHeight="true" outlineLevel="0" collapsed="false">
      <c r="B16" s="14" t="s">
        <v>168</v>
      </c>
      <c r="C16" s="19"/>
      <c r="G16" s="17" t="str">
        <f aca="false">IF(C16="","Velg i nedtrekksmenyen.",IF(C16="Endret siden boka","Riktig. Boka: forbudt å gjøre deltakelse betinget av kjøp (§ 18 slik den lød i 2009). Loven i dag: § 18 ble endret i 2013 og krever bare klare og lett tilgjengelige vilkår; kjøpsbetingede konkurranser er ikke forbudt i seg selv, men vurderes etter §§ 6–9. I en besvarelse: svar etter boka, og nevn endringen.","Ikke riktig. Boka: forbudt å gjøre deltakelse betinget av kjøp (§ 18 slik den lød i 2009). Loven i dag: § 18 ble endret i 2013 og krever bare klare og lett tilgjengelige vilkår; kjøpsbetingede konkurranser er ikke forbudt i seg selv, men vurderes etter §§ 6–9. I en besvarelse: svar etter boka, og nevn endringen."))</f>
        <v>Velg i nedtrekksmenyen.</v>
      </c>
      <c r="Z16" s="6" t="s">
        <v>16</v>
      </c>
    </row>
    <row r="17" customFormat="false" ht="39.75" hidden="false" customHeight="true" outlineLevel="0" collapsed="false">
      <c r="B17" s="14" t="s">
        <v>169</v>
      </c>
      <c r="C17" s="19"/>
      <c r="G17" s="17" t="str">
        <f aca="false">IF(C17="","Velg i nedtrekksmenyen.",IF(C17="Ikke lovlig","Riktig. Press ut fra en maktposisjon som begrenser forbrukerens handlefrihet, selv uten trusler, er aggressiv handelspraksis (§ 9, boka 20.1.2).","Ikke riktig. Press ut fra en maktposisjon som begrenser forbrukerens handlefrihet, selv uten trusler, er aggressiv handelspraksis (§ 9, boka 20.1.2)."))</f>
        <v>Velg i nedtrekksmenyen.</v>
      </c>
      <c r="Z17" s="6" t="s">
        <v>18</v>
      </c>
    </row>
    <row r="18" customFormat="false" ht="39.75" hidden="false" customHeight="true" outlineLevel="0" collapsed="false">
      <c r="B18" s="14" t="s">
        <v>170</v>
      </c>
      <c r="C18" s="19"/>
      <c r="G18" s="17" t="str">
        <f aca="false">IF(C18="","Velg i nedtrekksmenyen.",IF(C18="Ikke lovlig","Riktig. Uriktige opplysninger som er egnet til å påvirke kjøpsbeslutningen, er villedende handlinger (§ 7).","Ikke riktig. Uriktige opplysninger som er egnet til å påvirke kjøpsbeslutningen, er villedende handlinger (§ 7)."))</f>
        <v>Velg i nedtrekksmenyen.</v>
      </c>
      <c r="Z18" s="6" t="s">
        <v>159</v>
      </c>
    </row>
    <row r="19" customFormat="false" ht="39.75" hidden="false" customHeight="true" outlineLevel="0" collapsed="false">
      <c r="B19" s="14" t="s">
        <v>171</v>
      </c>
      <c r="C19" s="19"/>
      <c r="G19" s="17" t="str">
        <f aca="false">IF(C19="","Velg i nedtrekksmenyen.",IF(C19="Ikke lovlig","Riktig. Vesentlige opplysninger gitt på en uklar eller uhensiktsmessig måte er villedende utelatelse (§ 8).","Ikke riktig. Vesentlige opplysninger gitt på en uklar eller uhensiktsmessig måte er villedende utelatelse (§ 8)."))</f>
        <v>Velg i nedtrekksmenyen.</v>
      </c>
      <c r="Z19" s="6" t="s">
        <v>16</v>
      </c>
    </row>
    <row r="20" customFormat="false" ht="39.75" hidden="false" customHeight="true" outlineLevel="0" collapsed="false">
      <c r="B20" s="14" t="s">
        <v>172</v>
      </c>
      <c r="C20" s="19"/>
      <c r="G20" s="17" t="str">
        <f aca="false">IF(C20="","Velg i nedtrekksmenyen.",IF(C20="Ikke lovlig","Riktig. Markedsføring skal utformes slik at forbrukerne lett ser at det er markedsføring (§ 3, boka 20.1.1).","Ikke riktig. Markedsføring skal utformes slik at forbrukerne lett ser at det er markedsføring (§ 3, boka 20.1.1)."))</f>
        <v>Velg i nedtrekksmenyen.</v>
      </c>
      <c r="Z20" s="6" t="s">
        <v>18</v>
      </c>
    </row>
    <row r="21" customFormat="false" ht="39.75" hidden="false" customHeight="true" outlineLevel="0" collapsed="false">
      <c r="B21" s="14" t="s">
        <v>173</v>
      </c>
      <c r="C21" s="19"/>
      <c r="G21" s="17" t="str">
        <f aca="false">IF(C21="","Velg i nedtrekksmenyen.",IF(C21="Lovlig","Riktig. Et samlemerke som gir mer av den samme ytelsen er tillatt; vilkårene skal stå klart (§ 18, bokas bilvaskeksempel).","Ikke riktig. Et samlemerke som gir mer av den samme ytelsen er tillatt; vilkårene skal stå klart (§ 18, bokas bilvaskeksempel)."))</f>
        <v>Velg i nedtrekksmenyen.</v>
      </c>
      <c r="Z21" s="6" t="s">
        <v>159</v>
      </c>
    </row>
    <row r="22" customFormat="false" ht="15" hidden="false" customHeight="false" outlineLevel="0" collapsed="false">
      <c r="Z22" s="0" t="s">
        <v>16</v>
      </c>
    </row>
    <row r="23" customFormat="false" ht="15.75" hidden="false" customHeight="true" outlineLevel="0" collapsed="false">
      <c r="B23" s="8" t="s">
        <v>174</v>
      </c>
      <c r="C23" s="8"/>
      <c r="D23" s="8"/>
      <c r="E23" s="8"/>
      <c r="F23" s="8"/>
      <c r="G23" s="8"/>
      <c r="Z23" s="6" t="s">
        <v>18</v>
      </c>
    </row>
    <row r="24" customFormat="false" ht="45" hidden="false" customHeight="true" outlineLevel="0" collapsed="false">
      <c r="B24" s="9" t="s">
        <v>175</v>
      </c>
      <c r="C24" s="9"/>
      <c r="D24" s="9"/>
      <c r="E24" s="9"/>
      <c r="F24" s="9"/>
      <c r="G24" s="9"/>
      <c r="Z24" s="6" t="s">
        <v>159</v>
      </c>
    </row>
    <row r="25" customFormat="false" ht="39.75" hidden="false" customHeight="true" outlineLevel="0" collapsed="false">
      <c r="B25" s="14" t="s">
        <v>176</v>
      </c>
      <c r="C25" s="19"/>
      <c r="G25" s="17" t="str">
        <f aca="false">IF(C25="","Velg i nedtrekksmenyen.",IF(C25="Pliktetikk","Riktig. Handlingen vurderes i seg selv, som en regel som kan gjelde for alle: Kants kategoriske imperativ (boka 20.5.1).","Ikke riktig. Handlingen vurderes i seg selv, som en regel som kan gjelde for alle: Kants kategoriske imperativ (boka 20.5.1)."))</f>
        <v>Velg i nedtrekksmenyen.</v>
      </c>
      <c r="Z25" s="6" t="s">
        <v>16</v>
      </c>
    </row>
    <row r="26" customFormat="false" ht="39.75" hidden="false" customHeight="true" outlineLevel="0" collapsed="false">
      <c r="B26" s="14" t="s">
        <v>177</v>
      </c>
      <c r="C26" s="19"/>
      <c r="G26" s="17" t="str">
        <f aca="false">IF(C26="","Velg i nedtrekksmenyen.",IF(C26="Konsekvensetikk","Riktig. Handlingen vurderes etter resultatet. Svakheten: målet kan hellige middelet (boka 20.5.3).","Ikke riktig. Handlingen vurderes etter resultatet. Svakheten: målet kan hellige middelet (boka 20.5.3)."))</f>
        <v>Velg i nedtrekksmenyen.</v>
      </c>
      <c r="Z26" s="6" t="s">
        <v>18</v>
      </c>
    </row>
    <row r="27" customFormat="false" ht="39.75" hidden="false" customHeight="true" outlineLevel="0" collapsed="false">
      <c r="B27" s="14" t="s">
        <v>178</v>
      </c>
      <c r="C27" s="19"/>
      <c r="G27" s="17" t="str">
        <f aca="false">IF(C27="","Velg i nedtrekksmenyen.",IF(C27="Dydsetikk (sinnelagsetikk)","Riktig. Handlingen springer ut av karakteregenskapene til den som handler; dyd betyr å duge (boka 20.5.2, kalt sinnelagsetikk i 20.6).","Ikke riktig. Handlingen springer ut av karakteregenskapene til den som handler; dyd betyr å duge (boka 20.5.2, kalt sinnelagsetikk i 20.6)."))</f>
        <v>Velg i nedtrekksmenyen.</v>
      </c>
      <c r="Z27" s="6" t="s">
        <v>159</v>
      </c>
    </row>
    <row r="28" customFormat="false" ht="15" hidden="false" customHeight="false" outlineLevel="0" collapsed="false">
      <c r="Z28" s="0" t="s">
        <v>179</v>
      </c>
    </row>
    <row r="29" customFormat="false" ht="30" hidden="false" customHeight="true" outlineLevel="0" collapsed="false">
      <c r="B29" s="9" t="s">
        <v>180</v>
      </c>
      <c r="C29" s="9"/>
      <c r="D29" s="9"/>
      <c r="E29" s="9"/>
      <c r="F29" s="9"/>
      <c r="G29" s="9"/>
      <c r="Z29" s="6" t="s">
        <v>181</v>
      </c>
    </row>
    <row r="30" customFormat="false" ht="21.75" hidden="false" customHeight="true" outlineLevel="0" collapsed="false">
      <c r="B30" s="20"/>
      <c r="C30" s="20"/>
      <c r="D30" s="20"/>
      <c r="E30" s="20"/>
      <c r="F30" s="20"/>
      <c r="G30" s="20"/>
      <c r="Z30" s="6" t="s">
        <v>182</v>
      </c>
    </row>
    <row r="31" customFormat="false" ht="21.75" hidden="false" customHeight="true" outlineLevel="0" collapsed="false">
      <c r="B31" s="20"/>
      <c r="C31" s="20"/>
      <c r="D31" s="20"/>
      <c r="E31" s="20"/>
      <c r="F31" s="20"/>
      <c r="G31" s="20"/>
      <c r="Z31" s="6" t="s">
        <v>179</v>
      </c>
    </row>
    <row r="32" customFormat="false" ht="21.75" hidden="false" customHeight="true" outlineLevel="0" collapsed="false">
      <c r="B32" s="20"/>
      <c r="C32" s="20"/>
      <c r="D32" s="20"/>
      <c r="E32" s="20"/>
      <c r="F32" s="20"/>
      <c r="G32" s="20"/>
      <c r="Z32" s="6" t="s">
        <v>181</v>
      </c>
    </row>
    <row r="33" customFormat="false" ht="39.75" hidden="false" customHeight="true" outlineLevel="0" collapsed="false">
      <c r="B33" s="21" t="str">
        <f aca="false">IF(LEN(B30)&lt;40,"",IF(AND(ISNUMBER(SEARCH("ånd",B30)),ISNUMBER(SEARCH("dokument",B30))),"Bra: du bruker lovens ånd og dokumentasjonen. Sjekk at du også sier at det som er lovlig etter bokstaven (kjøpsbetinget konkurranse) likevel kan vurderes etter ånden: får kunden tenke fritt?",IF(OR(ISNUMBER(SEARCH("ånd",B30)),ISNUMBER(SEARCH("dokument",B30))),"Du er på sporet. Lovens ånd er det loven skulle oppnå: at kunden kan stole på det som påstås, og velge fritt. Den krever mer av Ida enn bokstaven, aldri mindre (boka 20.6).","Tips: bokstaven krever at dokumentasjonen finnes når annonsen trykkes (§ 3). Ånden krever at Ida faktisk tror på tallet og kan forklare det til en kunde. Kjøpsbetingede konkurranser er ikke lenger forbudt i seg selv, men ånden spør likevel om kunden kjøper for å vinne i stedet for fordi hun trenger jobben (boka 20.6).")))</f>
        <v/>
      </c>
      <c r="C33" s="21"/>
      <c r="D33" s="21"/>
      <c r="E33" s="21"/>
      <c r="F33" s="21"/>
      <c r="G33" s="21"/>
      <c r="Z33" s="6" t="s">
        <v>182</v>
      </c>
    </row>
    <row r="34" customFormat="false" ht="15" hidden="false" customHeight="false" outlineLevel="0" collapsed="false">
      <c r="B34" s="22" t="s">
        <v>49</v>
      </c>
      <c r="C34" s="19"/>
      <c r="Z34" s="6" t="s">
        <v>179</v>
      </c>
    </row>
    <row r="35" customFormat="false" ht="60" hidden="false" customHeight="true" outlineLevel="0" collapsed="false">
      <c r="B35" s="23" t="str">
        <f aca="false">IF(C34="JA","Hint: Lovlig: slagordet, trekningen blant alle som ber om befaring, samlemerket. Ikke lovlig: 40 %-annonsen (§ 3), strømmen som holdes tilbake (§ 9), «Godkjent av» (§ 7), liten skrift (§ 8), reklamen som nyhetsartikkel (§ 3). Endret siden boka: trekningen som krever kjøp (§ 18, endret 2013). Etikk: Kari pliktetikk, Tom konsekvensetikk, Ida dydsetikk.","")</f>
        <v/>
      </c>
      <c r="C35" s="23"/>
      <c r="D35" s="23"/>
      <c r="E35" s="23"/>
      <c r="F35" s="23"/>
      <c r="G35" s="23"/>
      <c r="Z35" s="6" t="s">
        <v>181</v>
      </c>
    </row>
    <row r="36" customFormat="false" ht="15" hidden="false" customHeight="false" outlineLevel="0" collapsed="false">
      <c r="Z36" s="0" t="s">
        <v>182</v>
      </c>
    </row>
    <row r="37" customFormat="false" ht="30" hidden="false" customHeight="true" outlineLevel="0" collapsed="false">
      <c r="B37" s="7" t="s">
        <v>50</v>
      </c>
      <c r="C37" s="7"/>
      <c r="D37" s="7"/>
      <c r="E37" s="7"/>
      <c r="F37" s="7"/>
      <c r="G37" s="7"/>
    </row>
  </sheetData>
  <mergeCells count="16">
    <mergeCell ref="B2:G2"/>
    <mergeCell ref="B3:G3"/>
    <mergeCell ref="B4:G4"/>
    <mergeCell ref="B5:G5"/>
    <mergeCell ref="B6:G6"/>
    <mergeCell ref="B7:G7"/>
    <mergeCell ref="B9:G9"/>
    <mergeCell ref="B10:G10"/>
    <mergeCell ref="B12:G12"/>
    <mergeCell ref="B23:G23"/>
    <mergeCell ref="B24:G24"/>
    <mergeCell ref="B29:G29"/>
    <mergeCell ref="B30:G32"/>
    <mergeCell ref="B33:G33"/>
    <mergeCell ref="B35:G35"/>
    <mergeCell ref="B37:G37"/>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1">
    <cfRule type="expression" priority="18" aboveAverage="0" equalAverage="0" bottom="0" percent="0" rank="0" text="" dxfId="0">
      <formula>LEFT(G21,6)="Riktig"</formula>
    </cfRule>
    <cfRule type="expression" priority="19" aboveAverage="0" equalAverage="0" bottom="0" percent="0" rank="0" text="" dxfId="1">
      <formula>LEFT(G21,4)="Ikke"</formula>
    </cfRule>
  </conditionalFormatting>
  <conditionalFormatting sqref="G25">
    <cfRule type="expression" priority="20" aboveAverage="0" equalAverage="0" bottom="0" percent="0" rank="0" text="" dxfId="0">
      <formula>LEFT(G25,6)="Riktig"</formula>
    </cfRule>
    <cfRule type="expression" priority="21" aboveAverage="0" equalAverage="0" bottom="0" percent="0" rank="0" text="" dxfId="1">
      <formula>LEFT(G25,4)="Ikke"</formula>
    </cfRule>
  </conditionalFormatting>
  <conditionalFormatting sqref="G26">
    <cfRule type="expression" priority="22" aboveAverage="0" equalAverage="0" bottom="0" percent="0" rank="0" text="" dxfId="0">
      <formula>LEFT(G26,6)="Riktig"</formula>
    </cfRule>
    <cfRule type="expression" priority="23" aboveAverage="0" equalAverage="0" bottom="0" percent="0" rank="0" text="" dxfId="1">
      <formula>LEFT(G26,4)="Ikke"</formula>
    </cfRule>
  </conditionalFormatting>
  <conditionalFormatting sqref="G27">
    <cfRule type="expression" priority="24" aboveAverage="0" equalAverage="0" bottom="0" percent="0" rank="0" text="" dxfId="0">
      <formula>LEFT(G27,6)="Riktig"</formula>
    </cfRule>
    <cfRule type="expression" priority="25" aboveAverage="0" equalAverage="0" bottom="0" percent="0" rank="0" text="" dxfId="1">
      <formula>LEFT(G27,4)="Ikke"</formula>
    </cfRule>
  </conditionalFormatting>
  <dataValidations count="13">
    <dataValidation allowBlank="true" errorStyle="stop" operator="between" showDropDown="false" showErrorMessage="false" showInputMessage="false" sqref="C13" type="list">
      <formula1>$Z$1:$Z$3</formula1>
      <formula2>0</formula2>
    </dataValidation>
    <dataValidation allowBlank="true" errorStyle="stop" operator="between" showDropDown="false" showErrorMessage="false" showInputMessage="false" sqref="C14" type="list">
      <formula1>$Z$4:$Z$6</formula1>
      <formula2>0</formula2>
    </dataValidation>
    <dataValidation allowBlank="true" errorStyle="stop" operator="between" showDropDown="false" showErrorMessage="false" showInputMessage="false" sqref="C15" type="list">
      <formula1>$Z$7:$Z$9</formula1>
      <formula2>0</formula2>
    </dataValidation>
    <dataValidation allowBlank="true" errorStyle="stop" operator="between" showDropDown="false" showErrorMessage="false" showInputMessage="false" sqref="C16" type="list">
      <formula1>$Z$10:$Z$12</formula1>
      <formula2>0</formula2>
    </dataValidation>
    <dataValidation allowBlank="true" errorStyle="stop" operator="between" showDropDown="false" showErrorMessage="false" showInputMessage="false" sqref="C17" type="list">
      <formula1>$Z$13:$Z$15</formula1>
      <formula2>0</formula2>
    </dataValidation>
    <dataValidation allowBlank="true" errorStyle="stop" operator="between" showDropDown="false" showErrorMessage="false" showInputMessage="false" sqref="C18" type="list">
      <formula1>$Z$16:$Z$18</formula1>
      <formula2>0</formula2>
    </dataValidation>
    <dataValidation allowBlank="true" errorStyle="stop" operator="between" showDropDown="false" showErrorMessage="false" showInputMessage="false" sqref="C19" type="list">
      <formula1>$Z$19:$Z$21</formula1>
      <formula2>0</formula2>
    </dataValidation>
    <dataValidation allowBlank="true" errorStyle="stop" operator="between" showDropDown="false" showErrorMessage="false" showInputMessage="false" sqref="C20" type="list">
      <formula1>$Z$22:$Z$24</formula1>
      <formula2>0</formula2>
    </dataValidation>
    <dataValidation allowBlank="true" errorStyle="stop" operator="between" showDropDown="false" showErrorMessage="false" showInputMessage="false" sqref="C21" type="list">
      <formula1>$Z$25:$Z$27</formula1>
      <formula2>0</formula2>
    </dataValidation>
    <dataValidation allowBlank="true" errorStyle="stop" operator="between" showDropDown="false" showErrorMessage="false" showInputMessage="false" sqref="C25" type="list">
      <formula1>$Z$28:$Z$30</formula1>
      <formula2>0</formula2>
    </dataValidation>
    <dataValidation allowBlank="true" errorStyle="stop" operator="between" showDropDown="false" showErrorMessage="false" showInputMessage="false" sqref="C26" type="list">
      <formula1>$Z$31:$Z$33</formula1>
      <formula2>0</formula2>
    </dataValidation>
    <dataValidation allowBlank="true" errorStyle="stop" operator="between" showDropDown="false" showErrorMessage="false" showInputMessage="false" sqref="C27" type="list">
      <formula1>$Z$34:$Z$36</formula1>
      <formula2>0</formula2>
    </dataValidation>
    <dataValidation allowBlank="true" errorStyle="stop" operator="between" showDropDown="false" showErrorMessage="false" showInputMessage="false" sqref="C3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7" t="s">
        <v>183</v>
      </c>
    </row>
    <row r="3" customFormat="false" ht="30" hidden="false" customHeight="true" outlineLevel="0" collapsed="false">
      <c r="B3" s="7" t="s">
        <v>184</v>
      </c>
      <c r="C3" s="7"/>
      <c r="D3" s="7"/>
    </row>
    <row r="5" customFormat="false" ht="15" hidden="false" customHeight="false" outlineLevel="0" collapsed="false">
      <c r="B5" s="28" t="s">
        <v>185</v>
      </c>
      <c r="C5" s="28" t="s">
        <v>186</v>
      </c>
      <c r="D5" s="28" t="s">
        <v>187</v>
      </c>
    </row>
    <row r="6" customFormat="false" ht="30" hidden="false" customHeight="true" outlineLevel="0" collapsed="false">
      <c r="B6" s="29" t="s">
        <v>188</v>
      </c>
      <c r="C6" s="30" t="n">
        <v>12</v>
      </c>
      <c r="D6" s="29" t="s">
        <v>189</v>
      </c>
    </row>
    <row r="7" customFormat="false" ht="30" hidden="false" customHeight="true" outlineLevel="0" collapsed="false">
      <c r="B7" s="29" t="s">
        <v>190</v>
      </c>
      <c r="C7" s="30" t="n">
        <v>311</v>
      </c>
      <c r="D7" s="29" t="s">
        <v>191</v>
      </c>
    </row>
    <row r="8" customFormat="false" ht="30" hidden="false" customHeight="true" outlineLevel="0" collapsed="false">
      <c r="B8" s="29" t="s">
        <v>192</v>
      </c>
      <c r="C8" s="30" t="n">
        <v>436</v>
      </c>
      <c r="D8" s="29" t="s">
        <v>193</v>
      </c>
    </row>
    <row r="9" customFormat="false" ht="45" hidden="false" customHeight="true" outlineLevel="0" collapsed="false">
      <c r="B9" s="29" t="s">
        <v>194</v>
      </c>
      <c r="C9" s="30"/>
      <c r="D9" s="29" t="s">
        <v>195</v>
      </c>
    </row>
    <row r="10" customFormat="false" ht="60" hidden="false" customHeight="true" outlineLevel="0" collapsed="false">
      <c r="B10" s="29" t="s">
        <v>196</v>
      </c>
      <c r="C10" s="30"/>
      <c r="D10" s="29" t="s">
        <v>197</v>
      </c>
    </row>
    <row r="11" customFormat="false" ht="30" hidden="false" customHeight="true" outlineLevel="0" collapsed="false">
      <c r="B11" s="29" t="s">
        <v>198</v>
      </c>
      <c r="C11" s="30" t="n">
        <v>3.5</v>
      </c>
      <c r="D11" s="29" t="s">
        <v>199</v>
      </c>
    </row>
    <row r="12" customFormat="false" ht="30" hidden="false" customHeight="true" outlineLevel="0" collapsed="false">
      <c r="B12" s="29" t="s">
        <v>200</v>
      </c>
      <c r="C12" s="30" t="n">
        <v>12</v>
      </c>
      <c r="D12" s="29" t="s">
        <v>201</v>
      </c>
    </row>
    <row r="13" customFormat="false" ht="30" hidden="false" customHeight="true" outlineLevel="0" collapsed="false">
      <c r="B13" s="29" t="s">
        <v>202</v>
      </c>
      <c r="C13" s="30" t="n">
        <v>2</v>
      </c>
      <c r="D13" s="29" t="s">
        <v>203</v>
      </c>
    </row>
    <row r="14" customFormat="false" ht="30" hidden="false" customHeight="true" outlineLevel="0" collapsed="false">
      <c r="B14" s="29" t="s">
        <v>204</v>
      </c>
      <c r="C14" s="30" t="n">
        <v>12</v>
      </c>
      <c r="D14" s="29" t="s">
        <v>205</v>
      </c>
    </row>
    <row r="15" customFormat="false" ht="30" hidden="false" customHeight="true" outlineLevel="0" collapsed="false">
      <c r="B15" s="29" t="s">
        <v>206</v>
      </c>
      <c r="C15" s="30"/>
      <c r="D15" s="29" t="s">
        <v>207</v>
      </c>
    </row>
    <row r="16" customFormat="false" ht="60" hidden="false" customHeight="true" outlineLevel="0" collapsed="false">
      <c r="B16" s="29" t="s">
        <v>208</v>
      </c>
      <c r="C16" s="30"/>
      <c r="D16" s="29" t="s">
        <v>209</v>
      </c>
    </row>
    <row r="17" customFormat="false" ht="30" hidden="false" customHeight="true" outlineLevel="0" collapsed="false">
      <c r="B17" s="29" t="s">
        <v>210</v>
      </c>
      <c r="C17" s="30" t="n">
        <v>6</v>
      </c>
      <c r="D17" s="29" t="s">
        <v>211</v>
      </c>
    </row>
    <row r="18" customFormat="false" ht="30" hidden="false" customHeight="true" outlineLevel="0" collapsed="false">
      <c r="B18" s="29" t="s">
        <v>212</v>
      </c>
      <c r="C18" s="30" t="n">
        <v>2</v>
      </c>
      <c r="D18" s="29" t="s">
        <v>213</v>
      </c>
    </row>
    <row r="19" customFormat="false" ht="30" hidden="false" customHeight="true" outlineLevel="0" collapsed="false">
      <c r="B19" s="29" t="s">
        <v>214</v>
      </c>
      <c r="C19" s="30"/>
      <c r="D19" s="29" t="s">
        <v>215</v>
      </c>
    </row>
    <row r="20" customFormat="false" ht="45" hidden="false" customHeight="true" outlineLevel="0" collapsed="false">
      <c r="B20" s="29" t="s">
        <v>216</v>
      </c>
      <c r="C20" s="30"/>
      <c r="D20" s="29" t="s">
        <v>217</v>
      </c>
    </row>
    <row r="21" customFormat="false" ht="30" hidden="false" customHeight="true" outlineLevel="0" collapsed="false">
      <c r="B21" s="29" t="s">
        <v>218</v>
      </c>
      <c r="C21" s="30"/>
      <c r="D21" s="29" t="s">
        <v>219</v>
      </c>
    </row>
    <row r="22" customFormat="false" ht="30" hidden="false" customHeight="true" outlineLevel="0" collapsed="false">
      <c r="B22" s="29" t="s">
        <v>220</v>
      </c>
      <c r="C22" s="30"/>
      <c r="D22" s="29" t="s">
        <v>221</v>
      </c>
    </row>
    <row r="23" customFormat="false" ht="30" hidden="false" customHeight="true" outlineLevel="0" collapsed="false">
      <c r="B23" s="29" t="s">
        <v>222</v>
      </c>
      <c r="C23" s="30" t="n">
        <v>41400</v>
      </c>
      <c r="D23" s="29" t="s">
        <v>223</v>
      </c>
    </row>
    <row r="24" customFormat="false" ht="30" hidden="false" customHeight="true" outlineLevel="0" collapsed="false">
      <c r="B24" s="29" t="s">
        <v>224</v>
      </c>
      <c r="C24" s="30" t="n">
        <v>17.5</v>
      </c>
      <c r="D24" s="29" t="s">
        <v>225</v>
      </c>
    </row>
    <row r="25" customFormat="false" ht="30" hidden="false" customHeight="true" outlineLevel="0" collapsed="false">
      <c r="B25" s="29" t="s">
        <v>226</v>
      </c>
      <c r="C25" s="30" t="n">
        <v>900</v>
      </c>
      <c r="D25" s="29" t="s">
        <v>227</v>
      </c>
    </row>
    <row r="26" customFormat="false" ht="30" hidden="false" customHeight="true" outlineLevel="0" collapsed="false">
      <c r="B26" s="29" t="s">
        <v>228</v>
      </c>
      <c r="C26" s="30"/>
      <c r="D26" s="29" t="s">
        <v>111</v>
      </c>
    </row>
    <row r="27" customFormat="false" ht="45" hidden="false" customHeight="true" outlineLevel="0" collapsed="false">
      <c r="B27" s="29" t="s">
        <v>229</v>
      </c>
      <c r="C27" s="30"/>
      <c r="D27" s="29" t="s">
        <v>230</v>
      </c>
    </row>
    <row r="28" customFormat="false" ht="30" hidden="false" customHeight="true" outlineLevel="0" collapsed="false">
      <c r="B28" s="29" t="s">
        <v>231</v>
      </c>
      <c r="C28" s="30" t="n">
        <v>17595</v>
      </c>
      <c r="D28" s="29" t="s">
        <v>232</v>
      </c>
    </row>
    <row r="29" customFormat="false" ht="30" hidden="false" customHeight="true" outlineLevel="0" collapsed="false">
      <c r="B29" s="29" t="s">
        <v>233</v>
      </c>
      <c r="C29" s="30"/>
      <c r="D29" s="29" t="s">
        <v>234</v>
      </c>
    </row>
    <row r="30" customFormat="false" ht="30" hidden="false" customHeight="true" outlineLevel="0" collapsed="false">
      <c r="B30" s="29" t="s">
        <v>235</v>
      </c>
      <c r="C30" s="30" t="n">
        <v>17800</v>
      </c>
      <c r="D30" s="29" t="s">
        <v>236</v>
      </c>
    </row>
    <row r="31" customFormat="false" ht="30" hidden="false" customHeight="true" outlineLevel="0" collapsed="false">
      <c r="B31" s="29" t="s">
        <v>237</v>
      </c>
      <c r="C31" s="30"/>
      <c r="D31" s="29" t="s">
        <v>238</v>
      </c>
    </row>
    <row r="32" customFormat="false" ht="30" hidden="false" customHeight="true" outlineLevel="0" collapsed="false">
      <c r="B32" s="29" t="s">
        <v>239</v>
      </c>
      <c r="C32" s="30"/>
      <c r="D32" s="29" t="s">
        <v>240</v>
      </c>
    </row>
    <row r="33" customFormat="false" ht="30" hidden="false" customHeight="true" outlineLevel="0" collapsed="false">
      <c r="B33" s="29" t="s">
        <v>241</v>
      </c>
      <c r="C33" s="30"/>
      <c r="D33" s="29" t="s">
        <v>242</v>
      </c>
    </row>
    <row r="34" customFormat="false" ht="75" hidden="false" customHeight="true" outlineLevel="0" collapsed="false">
      <c r="B34" s="29" t="s">
        <v>243</v>
      </c>
      <c r="C34" s="30"/>
      <c r="D34" s="29" t="s">
        <v>244</v>
      </c>
    </row>
    <row r="35" customFormat="false" ht="30" hidden="false" customHeight="true" outlineLevel="0" collapsed="false">
      <c r="B35" s="29" t="s">
        <v>245</v>
      </c>
      <c r="C35" s="30"/>
      <c r="D35" s="29" t="s">
        <v>246</v>
      </c>
    </row>
    <row r="36" customFormat="false" ht="45" hidden="false" customHeight="true" outlineLevel="0" collapsed="false">
      <c r="B36" s="29" t="s">
        <v>247</v>
      </c>
      <c r="C36" s="30"/>
      <c r="D36" s="29" t="s">
        <v>248</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2026-10-14T17:46:34Z</dcterms:created>
  <dc:creator>openpyxl</dc:creator>
  <dc:description/>
  <dc:language>en-US</dc:language>
  <cp:lastModifiedBy/>
  <dcterms:modified xsi:type="dcterms:W3CDTF">2026-10-14T17:46:34Z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