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sharedStrings.xml" ContentType="application/vnd.openxmlformats-officedocument.spreadsheetml.sharedStrings+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Veiledning" sheetId="1" state="visible" r:id="rId3"/>
    <sheet name="A1" sheetId="2" state="visible" r:id="rId4"/>
    <sheet name="A2" sheetId="3" state="visible" r:id="rId5"/>
    <sheet name="B1" sheetId="4" state="visible" r:id="rId6"/>
    <sheet name="B2" sheetId="5" state="visible" r:id="rId7"/>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<sst xmlns="http://schemas.openxmlformats.org/spreadsheetml/2006/main" count="162" uniqueCount="142">
  <si>
    <t xml:space="preserve">Klasseoppgaver til Organisasjon og ledelse kapittel 20: Noen viktige lover (V5)</t>
  </si>
  <si>
    <t xml:space="preserve">LØM · Fagskolen Oslo, Avdeling Elkraft · versjon 5, oktober 2026</t>
  </si>
  <si>
    <t xml:space="preserve">Slik bruker du arbeidsboka</t>
  </si>
  <si>
    <t xml:space="preserve">Gule celler med blå skrift</t>
  </si>
  <si>
    <t xml:space="preserve">Her skriver du svaret ditt.</t>
  </si>
  <si>
    <t xml:space="preserve">Kolonnen «Sjekk»</t>
  </si>
  <si>
    <t xml:space="preserve">Viser «Riktig» eller «Prøv igjen» når du har svart. Løsningen får du i appen etter levering, eller i plenum.</t>
  </si>
  <si>
    <t xml:space="preserve">Arkene</t>
  </si>
  <si>
    <t xml:space="preserve">A1</t>
  </si>
  <si>
    <t xml:space="preserve">Nordlys: fakturaen som sprakk, og annonsene Ida vil bruke (Nordlys)</t>
  </si>
  <si>
    <t xml:space="preserve">A2</t>
  </si>
  <si>
    <t xml:space="preserve">Fjell Elektro: fast pris, prisoverslag eller prisantydning? (Egen el-bedrift)</t>
  </si>
  <si>
    <t xml:space="preserve">B1</t>
  </si>
  <si>
    <t xml:space="preserve">Nordlys: en oppsigelse som skal holde (Nordlys)</t>
  </si>
  <si>
    <t xml:space="preserve">B2</t>
  </si>
  <si>
    <t xml:space="preserve">Fjell Elektro: den første arbeidsavtalen Mona skriver (Egen el-bedrift)</t>
  </si>
  <si>
    <t xml:space="preserve">Læreboka</t>
  </si>
  <si>
    <t xml:space="preserve">Hjertnes, F.: Markedsføring, organisasjon og ledelse for LØM-emnet, kapittel 20.</t>
  </si>
  <si>
    <t xml:space="preserve">Appen</t>
  </si>
  <si>
    <t xml:space="preserve">Organisasjon og ledelse kap. 20 → Øv → Klasseoppgaver gir fasit per deloppgave.</t>
  </si>
  <si>
    <t xml:space="preserve">A1 · Nordlys: fakturaen som sprakk, og annonsene Ida vil bruke</t>
  </si>
  <si>
    <t xml:space="preserve">25 minutter · Helst alene. Sammen med sidemannen eller flere hvis du vil. Ark og blyant, appen (PC eller mobil) eller læreboka.</t>
  </si>
  <si>
    <t xml:space="preserve">Kort oppsummert: Håndverkertjenesteloven gjelder tjenester til forbrukere. Er det gitt prisoverslag, skal prisen ikke overstige det vesentlig, og i alle fall ikke med mer enn 15 prosent (§ 32 andre ledd). Prosenten regnes av overslaget. Ser håndverkeren underveis at prisen blir betydelig høyere enn kunden måtte vente, skal han kontakte forbrukeren (§ 7 andre ledd). Brytes plikten, kan kunden slippe å betale fullt ut. Markedsføringsloven krever at påstander kan dokumenteres når markedsføringen skjer (§ 3), forbyr aggressiv handelspraksis (§ 9) og forbyr å gjøre deltakelse i en trekning betinget av kjøp (§ 18, slik boka gjengir den).</t>
  </si>
  <si>
    <t xml:space="preserve">Nordlys skulle bytte sikringsskapet og trekke nye kurser i en enebolig. Kunden er en familie, altså en forbruker. Ida ga et skriftlig prisoverslag på 36 000 kr inkl. mva. Underveis viste det seg at flere kurser måtte trekkes om, innenfor det som var avtalt. Montøren så at timene løp, men ringte ikke kunden. Fakturaen ble 42 300 kr inkl. mva, og kunden sier hun bare betaler 36 000. Samme uke legger Ida fram fire markedsføringstiltak for Kari. Gå fram slik: regn taket etter § 32 andre ledd, regn overskridelsen i prosent av overslaget, finn plikten montøren brøt, og vurder Idas tiltak etter markedsføringsloven.</t>
  </si>
  <si>
    <t xml:space="preserve">Forutsetning</t>
  </si>
  <si>
    <t xml:space="preserve">Verdi</t>
  </si>
  <si>
    <t xml:space="preserve">Kunden</t>
  </si>
  <si>
    <t xml:space="preserve">Familie i enebolig (forbruker): håndverkertjenesteloven gjelder</t>
  </si>
  <si>
    <t xml:space="preserve">Prisoverslag</t>
  </si>
  <si>
    <t xml:space="preserve">36 000 kr inkl. mva, skriftlig</t>
  </si>
  <si>
    <t xml:space="preserve">Faktura</t>
  </si>
  <si>
    <t xml:space="preserve">42 300 kr inkl. mva</t>
  </si>
  <si>
    <t xml:space="preserve">Underveis</t>
  </si>
  <si>
    <t xml:space="preserve">Flere kurser trukket om innenfor oppdraget</t>
  </si>
  <si>
    <t xml:space="preserve">Kontakt</t>
  </si>
  <si>
    <t xml:space="preserve">Montøren ringte ikke kunden</t>
  </si>
  <si>
    <t xml:space="preserve">§ 32 (2)</t>
  </si>
  <si>
    <t xml:space="preserve">Ikke vesentlig over, i alle fall ikke over 15 %</t>
  </si>
  <si>
    <t xml:space="preserve">Kunden sier</t>
  </si>
  <si>
    <t xml:space="preserve">«Jeg betaler 36 000, ikke en krone mer»</t>
  </si>
  <si>
    <t xml:space="preserve">Deloppgave</t>
  </si>
  <si>
    <t xml:space="preserve">Ditt svar</t>
  </si>
  <si>
    <t xml:space="preserve">Sjekk</t>
  </si>
  <si>
    <t xml:space="preserve">a)  Hva er det høyeste Nordlys kan kreve for oppdraget etter håndverkertjenesteloven § 32 andre ledd? Regn prisoverslaget pluss 15 prosent.</t>
  </si>
  <si>
    <t xml:space="preserve">b)  Hvor mange prosent over prisoverslaget ligger fakturaen? Regn overskridelsen i kroner og del på prisoverslaget, ikke på fakturaen. Én desimal.</t>
  </si>
  <si>
    <t xml:space="preserve">c)  Montøren så underveis at prisen ville bli mye høyere enn overslaget, men ringte ikke kunden. Hvilken plikt i håndverkertjenesteloven brøt han?   A: § 5 første ledd: utføre tjenesten fagmessig   B: § 7 andre ledd: kontakte forbrukeren når prisen blir betydelig høyere enn hun måtte vente   C: § 32 første ledd: ta gjengs pris   (skriv bokstaven)</t>
  </si>
  <si>
    <t xml:space="preserve">d)  Ida legger fram fem tiltak. Ja eller nei: er tiltaket lovlig etter markedsføringsloven, slik boka gjengir den? Begrunn med paragraf.</t>
  </si>
  <si>
    <t xml:space="preserve">      Annonse: «Vi kutter strømregningen din med 40 %». Ingen har regnet på det.   (Ja eller Nei)</t>
  </si>
  <si>
    <t xml:space="preserve">      Slagord: «Oslos hyggeligste elektrikere»   (Ja eller Nei)</t>
  </si>
  <si>
    <t xml:space="preserve">      Trekning av en ladeboks blant alle som ber om befaring, vilkårene på nettsiden   (Ja eller Nei)</t>
  </si>
  <si>
    <t xml:space="preserve">      Trekning bare blant dem som kjøper skapbytte   (Ja eller Nei)</t>
  </si>
  <si>
    <t xml:space="preserve">      Montøren setter ikke på strømmen igjen før kunden har signert et nytt tilbud   (Ja eller Nei)</t>
  </si>
  <si>
    <t xml:space="preserve">e)  Kunden vil bare betale 36 000 kr. Hva bør Kari svare kunden, og hvilken rutine bør Nordlys innføre så det ikke skjer igjen? Tre setninger med paragraf.</t>
  </si>
  <si>
    <t xml:space="preserve">Kilde: Hjertnes, F.: Markedsføring, organisasjon og ledelse for LØM-emnet, kap. 20, avsnitt 20.1 (markedsføringsloven §§ 3, 9 og 18) og 20.2 (håndverkertjenesteloven §§ 7 og 32). Nordlys Elektro AS er en konstruert casebedrift.</t>
  </si>
  <si>
    <t xml:space="preserve">Regnearket er øvingsstøtte. Det kan ikke siteres eller vises til i besvarelser, prosjektoppgaver eller eksamen; der gjelder læreboka og oppgitte primærkilder.</t>
  </si>
  <si>
    <t xml:space="preserve">A2 · Fjell Elektro: fast pris, prisoverslag eller prisantydning?</t>
  </si>
  <si>
    <t xml:space="preserve">Kort oppsummert: Boka skiller mellom fire prisformer: bindende fast pris, høyeste pris, prisoverslag og uforpliktende prisantydning. Det er håndverkeren som må godtgjøre hvilken som ble gitt (20.2.4). Et prisoverslag skal ikke overskrides vesentlig, og i alle fall ikke med mer enn 15 % (§ 32 andre ledd). Tilleggsarbeid er arbeid utenfor oppdraget: håndverkeren skal kontakte forbrukeren (§ 9 første ledd), og tilleggsarbeid utført i samsvar med § 9 kan kreves betalt (§ 33).</t>
  </si>
  <si>
    <t xml:space="preserve">Fjell Elektro selger «ladeboks med installasjon» til boligeiere i Oslo øst for 15 300 kr inkl. mva. Mona skriver tilbudene selv, og har brukt tre formuleringer til tre kunder: kunde 1 fikk «fast pris 15 300 kr», kunde 2 fikk «prisoverslag 15 300 kr», og kunde 3 fikk «ca. 15 000 kr, avhengig av hva vi finner». Hos kunde 1 viser det seg at laderen trenger et nytt vern i sikringsskapet som ikke var med i oppdraget: 2 500 kr inkl. mva. Gå fram slik: regn taket for kunde 2, finn ut hva montøren skal gjøre med vernet, regn hva kunde 1 kan faktureres hvis hun sier ja, og ta stilling til hva 15 %-grensen betyr.</t>
  </si>
  <si>
    <t xml:space="preserve">Pakken</t>
  </si>
  <si>
    <t xml:space="preserve">Ladeboks med installasjon, 15 300 kr inkl. mva</t>
  </si>
  <si>
    <t xml:space="preserve">Kunde 1</t>
  </si>
  <si>
    <t xml:space="preserve">«Fast pris 15 300 kr»</t>
  </si>
  <si>
    <t xml:space="preserve">Kunde 2</t>
  </si>
  <si>
    <t xml:space="preserve">«Prisoverslag 15 300 kr»</t>
  </si>
  <si>
    <t xml:space="preserve">Kunde 3</t>
  </si>
  <si>
    <t xml:space="preserve">«Ca. 15 000 kr, avhengig av hva vi finner»</t>
  </si>
  <si>
    <t xml:space="preserve">Hos kunde 1</t>
  </si>
  <si>
    <t xml:space="preserve">Nytt vern utenfor oppdraget, 2 500 kr inkl. mva</t>
  </si>
  <si>
    <t xml:space="preserve">§ 9 og § 33</t>
  </si>
  <si>
    <t xml:space="preserve">Tilleggsarbeid: kontakt kunden; betaling etter § 33</t>
  </si>
  <si>
    <t xml:space="preserve">Overslag: ikke vesentlig over, høyst 15 %</t>
  </si>
  <si>
    <t xml:space="preserve">a)  Kunde 2 fikk prisoverslag på 15 300 kr. Hva er det høyeste Fjell kan fakturere for selve oppdraget etter § 32 andre ledd?</t>
  </si>
  <si>
    <t xml:space="preserve">b)  Hos kunde 1 finner montøren at laderen trenger et nytt vern i sikringsskapet, utenfor oppdraget. Det er praktisk å gjøre det samtidig. Hva skal han gjøre først etter håndverkertjenesteloven?   A: Montere vernet og legge det på fakturaen; det er praktisk å gjøre samtidig   B: Kontakte kunden før han gjør tilleggsarbeidet (§ 9 første ledd)   C: Ingenting; fast pris betyr at alt nødvendig arbeid er inkludert   (skriv bokstaven)</t>
  </si>
  <si>
    <t xml:space="preserve">c)  Montøren ringer, og kunde 1 sier ja til vernet. Hva kan Fjell fakturere kunde 1 i alt, inkl. mva? Fast pris for oppdraget pluss tilleggsarbeidet.</t>
  </si>
  <si>
    <t xml:space="preserve">d)  Hos kunde 2 tok jobben lengre tid enn Mona regnet med, uten at noe uforutsett dukket opp. Kan Fjell fakturere 17 595 kr fordi det er innenfor 15 %?   A: Ja, 15 % over overslaget er alltid lov   B: Nei, 15 % er et tak; prisen skal ikke overstige overslaget vesentlig, og overskridelsen må kunne begrunnes   C: Nei, et prisoverslag er det samme som fast pris   (skriv bokstaven)</t>
  </si>
  <si>
    <t xml:space="preserve">e)  Hvilken prisform bør Mona bruke i tilbudsmalen for ladeboks med installasjon, og hvordan skal hun formulere den? Ta stilling til kunde 3 også. To–tre setninger.</t>
  </si>
  <si>
    <t xml:space="preserve">Kilde: Hjertnes, F.: Markedsføring, organisasjon og ledelse for LØM-emnet, kap. 20, avsnitt 20.2.3–20.2.5 (håndverkertjenesteloven §§ 9, 32 og 33). Pakkeprisen bygger på OK07 og MA06. Fjell Elektro AS er en konstruert casebedrift.</t>
  </si>
  <si>
    <t xml:space="preserve">B1 · Nordlys: en oppsigelse som skal holde</t>
  </si>
  <si>
    <t xml:space="preserve">Kort oppsummert: Oppsigelse er et svært alvorlig skritt. Arbeidsgiver skal så langt det er praktisk mulig drøfte saken med arbeidstakeren og den tillitsvalgte før beslutningen (§ 15-1). Oppsigelsen skal være skriftlig og opplyse om retten til å kreve forhandling, reise søksmål og fortsette i stillingen, med fristene (§ 15-4). Den må være saklig begrunnet i virksomhetens, arbeidsgivers eller arbeidstakers forhold, og annet passende arbeid skal vurderes (§ 15-7). Arbeidstakeren har som hovedregel rett til å stå i stillingen til saken er avgjort (§ 15-11). Oppsigelsesfristen er én måned, to måneder etter fem års ansettelse og tre etter ti år (§ 15-3), og den løper fra den første dagen i måneden etter oppsigelsen.</t>
  </si>
  <si>
    <t xml:space="preserve">En entreprenørkunde som sto for mye av arbeidet i prosjekt og nybygg, har gått konkurs. Kari må si opp én montør der. Hun har vurdert annet passende arbeid i service og i solcelle og lading, uten å finne noe. Valget faller på Jonas. Oppsigelsen gis 20. mars. Ingen avtale eller tariffavtale gir andre frister enn loven. Gå fram slik: finn Jonas' ansettelsestid og oppsigelsesfrist, finn når fristen begynner å løpe og hans siste dag, sjekk hva en gyldig oppsigelse krever, og ta stilling til hva som skjer hvis han går til sak.</t>
  </si>
  <si>
    <t xml:space="preserve">Fakta</t>
  </si>
  <si>
    <t xml:space="preserve">Jonas, montør</t>
  </si>
  <si>
    <t xml:space="preserve">Nordlys</t>
  </si>
  <si>
    <t xml:space="preserve">Ansatt fra</t>
  </si>
  <si>
    <t xml:space="preserve">august 2020</t>
  </si>
  <si>
    <t xml:space="preserve">startet 2019</t>
  </si>
  <si>
    <t xml:space="preserve">Alder</t>
  </si>
  <si>
    <t xml:space="preserve">41 år</t>
  </si>
  <si>
    <t xml:space="preserve">Oppsigelsen gis</t>
  </si>
  <si>
    <t xml:space="preserve">20. mars</t>
  </si>
  <si>
    <t xml:space="preserve">Grunn</t>
  </si>
  <si>
    <t xml:space="preserve">virksomhetens forhold</t>
  </si>
  <si>
    <t xml:space="preserve">kunde konkurs</t>
  </si>
  <si>
    <t xml:space="preserve">Annet arbeid vurdert</t>
  </si>
  <si>
    <t xml:space="preserve">ja, ikke funnet</t>
  </si>
  <si>
    <t xml:space="preserve">§ 15-3: fra 5 år</t>
  </si>
  <si>
    <t xml:space="preserve">2 måneder</t>
  </si>
  <si>
    <t xml:space="preserve">§ 15-3: fra 10 år</t>
  </si>
  <si>
    <t xml:space="preserve">3 måneder</t>
  </si>
  <si>
    <t xml:space="preserve">Gule celler med spørsmålstegn kan du fylle inn selv mens du regner.</t>
  </si>
  <si>
    <t xml:space="preserve">a)  Hvor mange måneders oppsigelsestid har Jonas etter arbeidsmiljøloven § 15-3? Regn ansettelsestiden fra august 2020 til mars i budsjettåret 2027.</t>
  </si>
  <si>
    <t xml:space="preserve">b)  Oppsigelsen gis 20. mars, og fristen er to måneder. Hvilken dag er Jonas' siste dag i arbeidsforholdet?   A: 20. mai   B: 31. mai   C: 30. april   (skriv bokstaven)</t>
  </si>
  <si>
    <t xml:space="preserve">c)  Hva krever loven for at oppsigelsen av Jonas skal være gyldig? Ja eller nei for hver påstand, med paragraf.</t>
  </si>
  <si>
    <t xml:space="preserve">      Drøftingsmøte med Jonas og den tillitsvalgte før beslutningen tas   (Ja eller Nei)</t>
  </si>
  <si>
    <t xml:space="preserve">      Skriftlig oppsigelse, med retten til forhandling, søksmål og å stå i stillingen, og fristene   (Ja eller Nei)</t>
  </si>
  <si>
    <t xml:space="preserve">      Det holder å si det muntlig i bilen, når grunnen er saklig   (Ja eller Nei)</t>
  </si>
  <si>
    <t xml:space="preserve">      Annet passende arbeid i bedriften er vurdert   (Ja eller Nei)</t>
  </si>
  <si>
    <t xml:space="preserve">      Bedriftsøkonomisk begrunnelse for nedbemanningen   (Ja eller Nei)</t>
  </si>
  <si>
    <t xml:space="preserve">      Jonas må ha fått en skriftlig advarsel først   (Ja eller Nei)</t>
  </si>
  <si>
    <t xml:space="preserve">d)  Jonas mener oppsigelsen er usaklig, krever forhandling og reiser sak i tide. Må han slutte 31. mai?   A: Ja, oppsigelsestiden er ute 31. mai   B: Nei, han har som hovedregel rett til å stå i stillingen til saken er avgjort   C: Nei, en oppsigelse han bestrider er automatisk ugyldig   (skriv bokstaven)</t>
  </si>
  <si>
    <t xml:space="preserve">e)  Hvordan sikrer Kari at valget av Jonas er saklig, og hva gjør hun i hvilken rekkefølge før hun skriver oppsigelsen? Tre setninger med paragraf.</t>
  </si>
  <si>
    <t xml:space="preserve">Kilde: Hjertnes, F.: Markedsføring, organisasjon og ledelse for LØM-emnet, kap. 20, avsnitt 20.3.10–20.3.17 (aml. §§ 15-1, 15-4, 15-5, 15-7, 15-11 og 15-12). Oppsigelsesfristene (§ 15-3) mangler i bokas digitale kopi og er hentet fra Arbeidstilsynet, «Oppsigelse» (hentet 26.09.2026). Nordlys Elektro AS er en konstruert casebedrift.</t>
  </si>
  <si>
    <t xml:space="preserve">B2 · Fjell Elektro: den første arbeidsavtalen Mona skriver</t>
  </si>
  <si>
    <t xml:space="preserve">Kort oppsummert: Varer arbeidsforholdet mer enn én måned, skal skriftlig arbeidsavtale foreligge snarest mulig og senest sju dager etter at det begynte (§ 14-5, endret 1.7.2024; boka skriver én måned). Endringer skal inn senest den dagen de trer i kraft (§ 14-8). Alminnelig arbeidstid er høyst 9 timer i døgnet og 40 i uka (§ 10-4), overtid gir minst 40 % tillegg (§ 10-6), og uten tariffavtale er grensen 200 overtidstimer i 52 uker. Allmenngjøringen for elektrofagene gir 37,5 timer og 50 % overtidstillegg. Ferieloven gir 10,2 % feriepenger; avtalt femte ferieuke gir 12 %.</t>
  </si>
  <si>
    <t xml:space="preserve">Fjell Elektro ansetter en tredje montør, fast, fra 1. august. Mona har skrevet arbeidsavtalen selv etter en gammel mal, og den ble signert 20. august. Montøren får samme lønn som de to andre: 560 000 kr i året for 1 800 betalte timer. Fjell har avtalt fem ukers ferie og 12 % feriepenger. Fjell er ikke bundet av tariffavtale, men allmenngjøringen for elektrofagene gjelder, med 50 % overtidstillegg. Gå fram slik: tell dagene til signering, regn timelønn og overtidslønn, regn feriepengene, og gå gjennom punktene i Monas utkast.</t>
  </si>
  <si>
    <t xml:space="preserve">Oppstart</t>
  </si>
  <si>
    <t xml:space="preserve">1. august, fast stilling</t>
  </si>
  <si>
    <t xml:space="preserve">Avtalen signert</t>
  </si>
  <si>
    <t xml:space="preserve">20. august</t>
  </si>
  <si>
    <t xml:space="preserve">§ 14-5</t>
  </si>
  <si>
    <t xml:space="preserve">Senest sju dager etter oppstart</t>
  </si>
  <si>
    <t xml:space="preserve">Lønn</t>
  </si>
  <si>
    <t xml:space="preserve">560 000 kr i året for 1 800 betalte timer</t>
  </si>
  <si>
    <t xml:space="preserve">Overtidstillegg</t>
  </si>
  <si>
    <t xml:space="preserve">Loven minst 40 %; allmenngjøringen 50 %</t>
  </si>
  <si>
    <t xml:space="preserve">Feriepenger</t>
  </si>
  <si>
    <t xml:space="preserve">Avtalt 12 % (loven: 10,2 %)</t>
  </si>
  <si>
    <t xml:space="preserve">Utkastet sier</t>
  </si>
  <si>
    <t xml:space="preserve">42 t/uke · overtid uten tillegg · endringer innen 1 mnd</t>
  </si>
  <si>
    <t xml:space="preserve">Utkastet sier også</t>
  </si>
  <si>
    <t xml:space="preserve">Prøvetid 6 mnd · gjensidig frist 1 mnd</t>
  </si>
  <si>
    <t xml:space="preserve">a)  Montøren begynte 1. august, og avtalen ble signert 20. august. Fristen er sju dager etter oppstart. Hvor mange dager for sent ble avtalen signert?</t>
  </si>
  <si>
    <t xml:space="preserve">b)  Hva er minste overtidslønn per time for montøren? Timelønn er 560 000 / 1 800. Loven krever minst 40 % tillegg, allmenngjøringen for elektrofagene 50 %; den høyeste gjelder. To desimaler.</t>
  </si>
  <si>
    <t xml:space="preserve">c)  Hvor mye får montøren i feriepenger for et helt opptjeningsår med Fjells avtalte 12 % av 560 000 kr? Hvor mye ville det vært etter ferieloven (10,2 %)?</t>
  </si>
  <si>
    <t xml:space="preserve">d)  Gå gjennom punktene i Monas utkast. Ja eller nei: er punktet lovlig? Begrunn med paragraf.</t>
  </si>
  <si>
    <t xml:space="preserve">      Alminnelig arbeidstid 42 timer i uka   (Ja eller Nei)</t>
  </si>
  <si>
    <t xml:space="preserve">      Plikt til overtid ved behov, uten noe om tillegg   (Ja eller Nei)</t>
  </si>
  <si>
    <t xml:space="preserve">      Endringer tas inn i avtalen innen én måned   (Ja eller Nei)</t>
  </si>
  <si>
    <t xml:space="preserve">      Prøvetid seks måneder   (Ja eller Nei)</t>
  </si>
  <si>
    <t xml:space="preserve">      Gjensidig oppsigelsesfrist én måned   (Ja eller Nei)</t>
  </si>
  <si>
    <t xml:space="preserve">e)  Mona vurderer å la de to montørene ta 300 overtidstimer hver i året i stedet for å ansette den tredje. Er det lovlig, og hva sier etikken? Tre setninger.</t>
  </si>
  <si>
    <t xml:space="preserve">Kilde: Hjertnes, F.: Markedsføring, organisasjon og ledelse for LØM-emnet, kap. 20, avsnitt 20.3.4–20.3.7 (aml. §§ 14-5, 14-6, 14-8 og 14-9, med gjeldende rett fra 1.7.2024). Arbeidstid, overtid og ferie står ikke i boka: aml. §§ 10-4 og 10-6, ferieloven § 10, og forskrift om delvis allmenngjøring av Landsoverenskomsten for elektrofagene (Arbeidstilsynet). Lønn og timer: OK02 og OL13. Fjell Elektro AS er en konstruert casebedrift.</t>
  </si>
</sst>
</file>

<file path=xl/styles.xml><?xml version="1.0" encoding="utf-8"?>
<styleSheet xmlns="http://schemas.openxmlformats.org/spreadsheetml/2006/main">
  <numFmts count="2">
    <numFmt numFmtId="164" formatCode="General"/>
    <numFmt numFmtId="165" formatCode="#,##0.##;\−#,##0.##;\0"/>
  </numFmts>
  <fonts count="10">
    <font>
      <sz val="11"/>
      <color theme="1"/>
      <name val="Calibri"/>
      <family val="2"/>
      <charset val="1"/>
    </font>
    <font>
      <sz val="10"/>
      <name val="Arial"/>
      <family val="0"/>
    </font>
    <font>
      <sz val="10"/>
      <name val="Arial"/>
      <family val="0"/>
    </font>
    <font>
      <sz val="10"/>
      <name val="Arial"/>
      <family val="0"/>
    </font>
    <font>
      <b val="true"/>
      <sz val="14"/>
      <color rgb="FF2F4A6D"/>
      <name val="Arial"/>
      <family val="0"/>
      <charset val="1"/>
    </font>
    <font>
      <i val="true"/>
      <sz val="10"/>
      <color rgb="FF5E6670"/>
      <name val="Arial"/>
      <family val="0"/>
      <charset val="1"/>
    </font>
    <font>
      <b val="true"/>
      <sz val="11"/>
      <name val="Arial"/>
      <family val="0"/>
      <charset val="1"/>
    </font>
    <font>
      <sz val="11"/>
      <name val="Arial"/>
      <family val="0"/>
      <charset val="1"/>
    </font>
    <font>
      <b val="true"/>
      <sz val="11"/>
      <color rgb="FFFFFFFF"/>
      <name val="Arial"/>
      <family val="0"/>
      <charset val="1"/>
    </font>
    <font>
      <sz val="11"/>
      <color rgb="FF0000FF"/>
      <name val="Arial"/>
      <family val="0"/>
      <charset val="1"/>
    </font>
  </fonts>
  <fills count="5">
    <fill>
      <patternFill patternType="none"/>
    </fill>
    <fill>
      <patternFill patternType="gray125"/>
    </fill>
    <fill>
      <patternFill patternType="solid">
        <fgColor rgb="FF2F4A6D"/>
        <bgColor rgb="FF333333"/>
      </patternFill>
    </fill>
    <fill>
      <patternFill patternType="solid">
        <fgColor rgb="FFFFFF00"/>
        <bgColor rgb="FFFFFF00"/>
      </patternFill>
    </fill>
    <fill>
      <patternFill patternType="solid">
        <fgColor rgb="FFF4F6FA"/>
        <bgColor rgb="FFFFFFFF"/>
      </patternFill>
    </fill>
  </fills>
  <borders count="2">
    <border diagonalUp="false" diagonalDown="false">
      <left/>
      <right/>
      <top/>
      <bottom/>
      <diagonal/>
    </border>
    <border diagonalUp="false" diagonalDown="false">
      <left style="thin">
        <color rgb="FFDDE3EA"/>
      </left>
      <right style="thin">
        <color rgb="FFDDE3EA"/>
      </right>
      <top style="thin">
        <color rgb="FFDDE3EA"/>
      </top>
      <bottom style="thin">
        <color rgb="FFDDE3EA"/>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20">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0" borderId="0" xfId="0" applyFont="true" applyBorder="false" applyAlignment="false" applyProtection="false">
      <alignment horizontal="general" vertical="bottom" textRotation="0" wrapText="false" indent="0" shrinkToFit="false"/>
      <protection locked="true" hidden="false"/>
    </xf>
    <xf numFmtId="164" fontId="5" fillId="0" borderId="0" xfId="0" applyFont="true" applyBorder="false" applyAlignment="false" applyProtection="false">
      <alignment horizontal="general" vertical="bottom" textRotation="0" wrapText="false" indent="0" shrinkToFit="false"/>
      <protection locked="true" hidden="false"/>
    </xf>
    <xf numFmtId="164" fontId="6" fillId="0" borderId="0" xfId="0" applyFont="true" applyBorder="false" applyAlignment="false" applyProtection="false">
      <alignment horizontal="general" vertical="bottom" textRotation="0" wrapText="false" indent="0" shrinkToFit="false"/>
      <protection locked="true" hidden="false"/>
    </xf>
    <xf numFmtId="164" fontId="7" fillId="0" borderId="0" xfId="0" applyFont="true" applyBorder="false" applyAlignment="true" applyProtection="false">
      <alignment horizontal="general" vertical="top" textRotation="0" wrapText="true" indent="0" shrinkToFit="false"/>
      <protection locked="true" hidden="false"/>
    </xf>
    <xf numFmtId="164" fontId="7" fillId="0" borderId="0" xfId="0" applyFont="true" applyBorder="false" applyAlignment="false" applyProtection="false">
      <alignment horizontal="general" vertical="bottom" textRotation="0" wrapText="false" indent="0" shrinkToFit="false"/>
      <protection locked="true" hidden="false"/>
    </xf>
    <xf numFmtId="164" fontId="5" fillId="0" borderId="0" xfId="0" applyFont="true" applyBorder="true" applyAlignment="true" applyProtection="false">
      <alignment horizontal="general" vertical="top" textRotation="0" wrapText="true" indent="0" shrinkToFit="false"/>
      <protection locked="true" hidden="false"/>
    </xf>
    <xf numFmtId="164" fontId="7" fillId="0" borderId="0" xfId="0" applyFont="true" applyBorder="true" applyAlignment="true" applyProtection="false">
      <alignment horizontal="general" vertical="top" textRotation="0" wrapText="true" indent="0" shrinkToFit="false"/>
      <protection locked="true" hidden="false"/>
    </xf>
    <xf numFmtId="164" fontId="8" fillId="2" borderId="1" xfId="0" applyFont="true" applyBorder="true" applyAlignment="false" applyProtection="false">
      <alignment horizontal="general" vertical="bottom" textRotation="0" wrapText="false" indent="0" shrinkToFit="false"/>
      <protection locked="true" hidden="false"/>
    </xf>
    <xf numFmtId="164" fontId="7" fillId="0" borderId="1" xfId="0" applyFont="true" applyBorder="true" applyAlignment="false" applyProtection="false">
      <alignment horizontal="general" vertical="bottom" textRotation="0" wrapText="false" indent="0" shrinkToFit="false"/>
      <protection locked="true" hidden="false"/>
    </xf>
    <xf numFmtId="165" fontId="9" fillId="3" borderId="1" xfId="0" applyFont="true" applyBorder="true" applyAlignment="false" applyProtection="false">
      <alignment horizontal="general" vertical="bottom" textRotation="0" wrapText="false" indent="0" shrinkToFit="false"/>
      <protection locked="true" hidden="false"/>
    </xf>
    <xf numFmtId="164" fontId="5" fillId="0" borderId="1" xfId="0" applyFont="true" applyBorder="true" applyAlignment="true" applyProtection="false">
      <alignment horizontal="center" vertical="bottom" textRotation="0" wrapText="false" indent="0" shrinkToFit="false"/>
      <protection locked="true" hidden="false"/>
    </xf>
    <xf numFmtId="164" fontId="9" fillId="3" borderId="1" xfId="0" applyFont="true" applyBorder="true" applyAlignment="false" applyProtection="false">
      <alignment horizontal="general" vertical="bottom" textRotation="0" wrapText="false" indent="0" shrinkToFit="false"/>
      <protection locked="true" hidden="false"/>
    </xf>
    <xf numFmtId="164" fontId="9" fillId="3" borderId="1" xfId="0" applyFont="true" applyBorder="true" applyAlignment="true" applyProtection="false">
      <alignment horizontal="general" vertical="top" textRotation="0" wrapText="true" indent="0" shrinkToFit="false"/>
      <protection locked="true" hidden="false"/>
    </xf>
    <xf numFmtId="164" fontId="8" fillId="2" borderId="1" xfId="0" applyFont="true" applyBorder="true" applyAlignment="true" applyProtection="false">
      <alignment horizontal="left" vertical="bottom" textRotation="0" wrapText="true" indent="0" shrinkToFit="false"/>
      <protection locked="true" hidden="false"/>
    </xf>
    <xf numFmtId="164" fontId="8" fillId="2" borderId="1" xfId="0" applyFont="true" applyBorder="true" applyAlignment="true" applyProtection="false">
      <alignment horizontal="right" vertical="bottom" textRotation="0" wrapText="true" indent="0" shrinkToFit="false"/>
      <protection locked="true" hidden="false"/>
    </xf>
    <xf numFmtId="164" fontId="7" fillId="0" borderId="1" xfId="0" applyFont="true" applyBorder="true" applyAlignment="true" applyProtection="false">
      <alignment horizontal="left" vertical="bottom" textRotation="0" wrapText="true" indent="0" shrinkToFit="false"/>
      <protection locked="true" hidden="false"/>
    </xf>
    <xf numFmtId="164" fontId="7" fillId="0" borderId="1" xfId="0" applyFont="true" applyBorder="true" applyAlignment="true" applyProtection="false">
      <alignment horizontal="right" vertical="bottom" textRotation="0" wrapText="true" indent="0" shrinkToFit="false"/>
      <protection locked="true" hidden="false"/>
    </xf>
    <xf numFmtId="164" fontId="7" fillId="4" borderId="1" xfId="0" applyFont="true" applyBorder="true" applyAlignment="true" applyProtection="false">
      <alignment horizontal="left" vertical="bottom" textRotation="0" wrapText="true" indent="0" shrinkToFit="false"/>
      <protection locked="true" hidden="false"/>
    </xf>
    <xf numFmtId="164" fontId="7" fillId="4" borderId="1" xfId="0" applyFont="true" applyBorder="true" applyAlignment="true" applyProtection="false">
      <alignment horizontal="right" vertical="bottom" textRotation="0" wrapText="tru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0C0C0"/>
      <rgbColor rgb="FF808080"/>
      <rgbColor rgb="FF9999FF"/>
      <rgbColor rgb="FF993366"/>
      <rgbColor rgb="FFF4F6FA"/>
      <rgbColor rgb="FFCCFFFF"/>
      <rgbColor rgb="FF660066"/>
      <rgbColor rgb="FFFF8080"/>
      <rgbColor rgb="FF0066CC"/>
      <rgbColor rgb="FFDDE3EA"/>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CC00"/>
      <rgbColor rgb="FFFF9900"/>
      <rgbColor rgb="FFFF6600"/>
      <rgbColor rgb="FF5E6670"/>
      <rgbColor rgb="FF969696"/>
      <rgbColor rgb="FF003366"/>
      <rgbColor rgb="FF339966"/>
      <rgbColor rgb="FF003300"/>
      <rgbColor rgb="FF333300"/>
      <rgbColor rgb="FF993300"/>
      <rgbColor rgb="FF993366"/>
      <rgbColor rgb="FF2F4A6D"/>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B13"/>
  <sheetViews>
    <sheetView showFormulas="false" showGridLines="fals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28"/>
    <col collapsed="false" customWidth="true" hidden="false" outlineLevel="0" max="2" min="2" style="0" width="100"/>
  </cols>
  <sheetData>
    <row r="1" customFormat="false" ht="17.35" hidden="false" customHeight="false" outlineLevel="0" collapsed="false">
      <c r="A1" s="1" t="s">
        <v>0</v>
      </c>
    </row>
    <row r="2" customFormat="false" ht="15" hidden="false" customHeight="false" outlineLevel="0" collapsed="false">
      <c r="A2" s="2" t="s">
        <v>1</v>
      </c>
    </row>
    <row r="4" customFormat="false" ht="15" hidden="false" customHeight="false" outlineLevel="0" collapsed="false">
      <c r="A4" s="3" t="s">
        <v>2</v>
      </c>
      <c r="B4" s="4"/>
    </row>
    <row r="5" customFormat="false" ht="15" hidden="false" customHeight="false" outlineLevel="0" collapsed="false">
      <c r="A5" s="5" t="s">
        <v>3</v>
      </c>
      <c r="B5" s="4" t="s">
        <v>4</v>
      </c>
    </row>
    <row r="6" customFormat="false" ht="15" hidden="false" customHeight="false" outlineLevel="0" collapsed="false">
      <c r="A6" s="5" t="s">
        <v>5</v>
      </c>
      <c r="B6" s="4" t="s">
        <v>6</v>
      </c>
    </row>
    <row r="7" customFormat="false" ht="15" hidden="false" customHeight="false" outlineLevel="0" collapsed="false">
      <c r="A7" s="3" t="s">
        <v>7</v>
      </c>
      <c r="B7" s="4"/>
    </row>
    <row r="8" customFormat="false" ht="15" hidden="false" customHeight="false" outlineLevel="0" collapsed="false">
      <c r="A8" s="5" t="s">
        <v>8</v>
      </c>
      <c r="B8" s="4" t="s">
        <v>9</v>
      </c>
    </row>
    <row r="9" customFormat="false" ht="15" hidden="false" customHeight="false" outlineLevel="0" collapsed="false">
      <c r="A9" s="5" t="s">
        <v>10</v>
      </c>
      <c r="B9" s="4" t="s">
        <v>11</v>
      </c>
    </row>
    <row r="10" customFormat="false" ht="15" hidden="false" customHeight="false" outlineLevel="0" collapsed="false">
      <c r="A10" s="5" t="s">
        <v>12</v>
      </c>
      <c r="B10" s="4" t="s">
        <v>13</v>
      </c>
    </row>
    <row r="11" customFormat="false" ht="15" hidden="false" customHeight="false" outlineLevel="0" collapsed="false">
      <c r="A11" s="5" t="s">
        <v>14</v>
      </c>
      <c r="B11" s="4" t="s">
        <v>15</v>
      </c>
    </row>
    <row r="12" customFormat="false" ht="15" hidden="false" customHeight="false" outlineLevel="0" collapsed="false">
      <c r="A12" s="3" t="s">
        <v>16</v>
      </c>
      <c r="B12" s="4" t="s">
        <v>17</v>
      </c>
    </row>
    <row r="13" customFormat="false" ht="15" hidden="false" customHeight="false" outlineLevel="0" collapsed="false">
      <c r="A13" s="3" t="s">
        <v>18</v>
      </c>
      <c r="B13" s="4" t="s">
        <v>19</v>
      </c>
    </row>
  </sheetData>
  <printOptions headings="false" gridLines="false" gridLinesSet="true" horizontalCentered="false" verticalCentered="false"/>
  <pageMargins left="0.75" right="0.75" top="1" bottom="1" header="0.511811023622047" footer="0.511811023622047"/>
  <pageSetup paperSize="9" scale="100" fitToWidth="1" fitToHeight="0"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G32"/>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34"/>
    <col collapsed="false" customWidth="true" hidden="false" outlineLevel="0" max="5" min="2" style="0" width="16"/>
    <col collapsed="false" customWidth="true" hidden="false" outlineLevel="0" max="6" min="6" style="0" width="18"/>
    <col collapsed="false" customWidth="true" hidden="false" outlineLevel="0" max="7" min="7" style="0" width="14"/>
  </cols>
  <sheetData>
    <row r="1" customFormat="false" ht="17.35" hidden="false" customHeight="false" outlineLevel="0" collapsed="false">
      <c r="A1" s="1" t="s">
        <v>20</v>
      </c>
    </row>
    <row r="2" customFormat="false" ht="15" hidden="false" customHeight="false" outlineLevel="0" collapsed="false">
      <c r="A2" s="2" t="s">
        <v>21</v>
      </c>
    </row>
    <row r="4" customFormat="false" ht="93.75" hidden="false" customHeight="true" outlineLevel="0" collapsed="false">
      <c r="A4" s="6" t="s">
        <v>22</v>
      </c>
      <c r="B4" s="6"/>
      <c r="C4" s="6"/>
      <c r="D4" s="6"/>
      <c r="E4" s="6"/>
      <c r="F4" s="6"/>
      <c r="G4" s="6"/>
    </row>
    <row r="5" customFormat="false" ht="93.75" hidden="false" customHeight="true" outlineLevel="0" collapsed="false">
      <c r="A5" s="7" t="s">
        <v>23</v>
      </c>
      <c r="B5" s="7"/>
      <c r="C5" s="7"/>
      <c r="D5" s="7"/>
      <c r="E5" s="7"/>
      <c r="F5" s="7"/>
      <c r="G5" s="7"/>
    </row>
    <row r="7" customFormat="false" ht="15" hidden="false" customHeight="false" outlineLevel="0" collapsed="false">
      <c r="A7" s="8" t="s">
        <v>24</v>
      </c>
      <c r="B7" s="8" t="s">
        <v>25</v>
      </c>
      <c r="C7" s="8"/>
      <c r="D7" s="8"/>
      <c r="E7" s="8"/>
      <c r="F7" s="8"/>
      <c r="G7" s="8"/>
    </row>
    <row r="8" customFormat="false" ht="18.75" hidden="false" customHeight="true" outlineLevel="0" collapsed="false">
      <c r="A8" s="9" t="s">
        <v>26</v>
      </c>
      <c r="B8" s="7" t="s">
        <v>27</v>
      </c>
      <c r="C8" s="7"/>
      <c r="D8" s="7"/>
      <c r="E8" s="7"/>
      <c r="F8" s="7"/>
      <c r="G8" s="7"/>
    </row>
    <row r="9" customFormat="false" ht="18.75" hidden="false" customHeight="true" outlineLevel="0" collapsed="false">
      <c r="A9" s="9" t="s">
        <v>28</v>
      </c>
      <c r="B9" s="7" t="s">
        <v>29</v>
      </c>
      <c r="C9" s="7"/>
      <c r="D9" s="7"/>
      <c r="E9" s="7"/>
      <c r="F9" s="7"/>
      <c r="G9" s="7"/>
    </row>
    <row r="10" customFormat="false" ht="18.75" hidden="false" customHeight="true" outlineLevel="0" collapsed="false">
      <c r="A10" s="9" t="s">
        <v>30</v>
      </c>
      <c r="B10" s="7" t="s">
        <v>31</v>
      </c>
      <c r="C10" s="7"/>
      <c r="D10" s="7"/>
      <c r="E10" s="7"/>
      <c r="F10" s="7"/>
      <c r="G10" s="7"/>
    </row>
    <row r="11" customFormat="false" ht="18.75" hidden="false" customHeight="true" outlineLevel="0" collapsed="false">
      <c r="A11" s="9" t="s">
        <v>32</v>
      </c>
      <c r="B11" s="7" t="s">
        <v>33</v>
      </c>
      <c r="C11" s="7"/>
      <c r="D11" s="7"/>
      <c r="E11" s="7"/>
      <c r="F11" s="7"/>
      <c r="G11" s="7"/>
    </row>
    <row r="12" customFormat="false" ht="18.75" hidden="false" customHeight="true" outlineLevel="0" collapsed="false">
      <c r="A12" s="9" t="s">
        <v>34</v>
      </c>
      <c r="B12" s="7" t="s">
        <v>35</v>
      </c>
      <c r="C12" s="7"/>
      <c r="D12" s="7"/>
      <c r="E12" s="7"/>
      <c r="F12" s="7"/>
      <c r="G12" s="7"/>
    </row>
    <row r="13" customFormat="false" ht="18.75" hidden="false" customHeight="true" outlineLevel="0" collapsed="false">
      <c r="A13" s="9" t="s">
        <v>36</v>
      </c>
      <c r="B13" s="7" t="s">
        <v>37</v>
      </c>
      <c r="C13" s="7"/>
      <c r="D13" s="7"/>
      <c r="E13" s="7"/>
      <c r="F13" s="7"/>
      <c r="G13" s="7"/>
    </row>
    <row r="14" customFormat="false" ht="18.75" hidden="false" customHeight="true" outlineLevel="0" collapsed="false">
      <c r="A14" s="9" t="s">
        <v>38</v>
      </c>
      <c r="B14" s="7" t="s">
        <v>39</v>
      </c>
      <c r="C14" s="7"/>
      <c r="D14" s="7"/>
      <c r="E14" s="7"/>
      <c r="F14" s="7"/>
      <c r="G14" s="7"/>
    </row>
    <row r="16" customFormat="false" ht="15" hidden="false" customHeight="false" outlineLevel="0" collapsed="false">
      <c r="A16" s="8" t="s">
        <v>40</v>
      </c>
      <c r="B16" s="8"/>
      <c r="C16" s="8"/>
      <c r="D16" s="8"/>
      <c r="E16" s="8"/>
      <c r="F16" s="8" t="s">
        <v>41</v>
      </c>
      <c r="G16" s="8" t="s">
        <v>42</v>
      </c>
    </row>
    <row r="17" customFormat="false" ht="33.75" hidden="false" customHeight="true" outlineLevel="0" collapsed="false">
      <c r="A17" s="7" t="s">
        <v>43</v>
      </c>
      <c r="B17" s="7"/>
      <c r="C17" s="7"/>
      <c r="D17" s="7"/>
      <c r="E17" s="7"/>
      <c r="F17" s="10"/>
      <c r="G17" s="11" t="str">
        <f aca="false">IF(F17="","",IF(ABS(F17-(41400))&lt;=0.000000001,"Riktig","Prøv igjen"))</f>
        <v/>
      </c>
    </row>
    <row r="18" customFormat="false" ht="33.75" hidden="false" customHeight="true" outlineLevel="0" collapsed="false">
      <c r="A18" s="7" t="s">
        <v>44</v>
      </c>
      <c r="B18" s="7"/>
      <c r="C18" s="7"/>
      <c r="D18" s="7"/>
      <c r="E18" s="7"/>
      <c r="F18" s="10"/>
      <c r="G18" s="11" t="str">
        <f aca="false">IF(F18="","",IF(ABS(F18-(17.5))&lt;=0.1,"Riktig","Prøv igjen"))</f>
        <v/>
      </c>
    </row>
    <row r="19" customFormat="false" ht="63.75" hidden="false" customHeight="true" outlineLevel="0" collapsed="false">
      <c r="A19" s="7" t="s">
        <v>45</v>
      </c>
      <c r="B19" s="7"/>
      <c r="C19" s="7"/>
      <c r="D19" s="7"/>
      <c r="E19" s="7"/>
      <c r="F19" s="12"/>
      <c r="G19" s="11" t="str">
        <f aca="false">IF(F19="","",IF(UPPER(TRIM(F19))="B","Riktig","Prøv igjen"))</f>
        <v/>
      </c>
    </row>
    <row r="20" customFormat="false" ht="33.75" hidden="false" customHeight="true" outlineLevel="0" collapsed="false">
      <c r="A20" s="7" t="s">
        <v>46</v>
      </c>
      <c r="B20" s="7"/>
      <c r="C20" s="7"/>
      <c r="D20" s="7"/>
      <c r="E20" s="7"/>
    </row>
    <row r="21" customFormat="false" ht="15" hidden="false" customHeight="true" outlineLevel="0" collapsed="false">
      <c r="A21" s="7" t="s">
        <v>47</v>
      </c>
      <c r="B21" s="7"/>
      <c r="C21" s="7"/>
      <c r="D21" s="7"/>
      <c r="E21" s="7"/>
      <c r="F21" s="12"/>
      <c r="G21" s="11" t="str">
        <f aca="false">IF(F21="","",IF(UPPER(TRIM(F21))="NEI","Riktig","Prøv igjen"))</f>
        <v/>
      </c>
    </row>
    <row r="22" customFormat="false" ht="15" hidden="false" customHeight="true" outlineLevel="0" collapsed="false">
      <c r="A22" s="7" t="s">
        <v>48</v>
      </c>
      <c r="B22" s="7"/>
      <c r="C22" s="7"/>
      <c r="D22" s="7"/>
      <c r="E22" s="7"/>
      <c r="F22" s="12"/>
      <c r="G22" s="11" t="str">
        <f aca="false">IF(F22="","",IF(UPPER(TRIM(F22))="JA","Riktig","Prøv igjen"))</f>
        <v/>
      </c>
    </row>
    <row r="23" customFormat="false" ht="15" hidden="false" customHeight="true" outlineLevel="0" collapsed="false">
      <c r="A23" s="7" t="s">
        <v>49</v>
      </c>
      <c r="B23" s="7"/>
      <c r="C23" s="7"/>
      <c r="D23" s="7"/>
      <c r="E23" s="7"/>
      <c r="F23" s="12"/>
      <c r="G23" s="11" t="str">
        <f aca="false">IF(F23="","",IF(UPPER(TRIM(F23))="JA","Riktig","Prøv igjen"))</f>
        <v/>
      </c>
    </row>
    <row r="24" customFormat="false" ht="15" hidden="false" customHeight="true" outlineLevel="0" collapsed="false">
      <c r="A24" s="7" t="s">
        <v>50</v>
      </c>
      <c r="B24" s="7"/>
      <c r="C24" s="7"/>
      <c r="D24" s="7"/>
      <c r="E24" s="7"/>
      <c r="F24" s="12"/>
      <c r="G24" s="11" t="str">
        <f aca="false">IF(F24="","",IF(UPPER(TRIM(F24))="NEI","Riktig","Prøv igjen"))</f>
        <v/>
      </c>
    </row>
    <row r="25" customFormat="false" ht="15" hidden="false" customHeight="true" outlineLevel="0" collapsed="false">
      <c r="A25" s="7" t="s">
        <v>51</v>
      </c>
      <c r="B25" s="7"/>
      <c r="C25" s="7"/>
      <c r="D25" s="7"/>
      <c r="E25" s="7"/>
      <c r="F25" s="12"/>
      <c r="G25" s="11" t="str">
        <f aca="false">IF(F25="","",IF(UPPER(TRIM(F25))="NEI","Riktig","Prøv igjen"))</f>
        <v/>
      </c>
    </row>
    <row r="26" customFormat="false" ht="33.75" hidden="false" customHeight="true" outlineLevel="0" collapsed="false">
      <c r="A26" s="7" t="s">
        <v>52</v>
      </c>
      <c r="B26" s="7"/>
      <c r="C26" s="7"/>
      <c r="D26" s="7"/>
      <c r="E26" s="7"/>
    </row>
    <row r="27" customFormat="false" ht="15" hidden="false" customHeight="false" outlineLevel="0" collapsed="false">
      <c r="A27" s="13"/>
      <c r="B27" s="13"/>
      <c r="C27" s="13"/>
      <c r="D27" s="13"/>
      <c r="E27" s="13"/>
      <c r="F27" s="13"/>
      <c r="G27" s="13"/>
    </row>
    <row r="28" customFormat="false" ht="15" hidden="false" customHeight="false" outlineLevel="0" collapsed="false">
      <c r="A28" s="13"/>
      <c r="B28" s="13"/>
      <c r="C28" s="13"/>
      <c r="D28" s="13"/>
      <c r="E28" s="13"/>
      <c r="F28" s="13"/>
      <c r="G28" s="13"/>
    </row>
    <row r="29" customFormat="false" ht="15" hidden="false" customHeight="false" outlineLevel="0" collapsed="false">
      <c r="A29" s="13"/>
      <c r="B29" s="13"/>
      <c r="C29" s="13"/>
      <c r="D29" s="13"/>
      <c r="E29" s="13"/>
      <c r="F29" s="13"/>
      <c r="G29" s="13"/>
    </row>
    <row r="31" customFormat="false" ht="33.75" hidden="false" customHeight="true" outlineLevel="0" collapsed="false">
      <c r="A31" s="6" t="s">
        <v>53</v>
      </c>
      <c r="B31" s="6"/>
      <c r="C31" s="6"/>
      <c r="D31" s="6"/>
      <c r="E31" s="6"/>
      <c r="F31" s="6"/>
      <c r="G31" s="6"/>
    </row>
    <row r="32" customFormat="false" ht="15" hidden="false" customHeight="true" outlineLevel="0" collapsed="false">
      <c r="A32" s="6" t="s">
        <v>54</v>
      </c>
      <c r="B32" s="6"/>
      <c r="C32" s="6"/>
      <c r="D32" s="6"/>
      <c r="E32" s="6"/>
      <c r="F32" s="6"/>
      <c r="G32" s="6"/>
    </row>
  </sheetData>
  <mergeCells count="24">
    <mergeCell ref="A4:G4"/>
    <mergeCell ref="A5:G5"/>
    <mergeCell ref="B7:G7"/>
    <mergeCell ref="B8:G8"/>
    <mergeCell ref="B9:G9"/>
    <mergeCell ref="B10:G10"/>
    <mergeCell ref="B11:G11"/>
    <mergeCell ref="B12:G12"/>
    <mergeCell ref="B13:G13"/>
    <mergeCell ref="B14:G14"/>
    <mergeCell ref="A16:E16"/>
    <mergeCell ref="A17:E17"/>
    <mergeCell ref="A18:E18"/>
    <mergeCell ref="A19:E19"/>
    <mergeCell ref="A20:E20"/>
    <mergeCell ref="A21:E21"/>
    <mergeCell ref="A22:E22"/>
    <mergeCell ref="A23:E23"/>
    <mergeCell ref="A24:E24"/>
    <mergeCell ref="A25:E25"/>
    <mergeCell ref="A26:E26"/>
    <mergeCell ref="A27:G29"/>
    <mergeCell ref="A31:G31"/>
    <mergeCell ref="A32:G32"/>
  </mergeCells>
  <printOptions headings="false" gridLines="false" gridLinesSet="true" horizontalCentered="false" verticalCentered="false"/>
  <pageMargins left="0.75" right="0.75" top="1" bottom="1" header="0.511811023622047" footer="0.511811023622047"/>
  <pageSetup paperSize="9" scale="100" fitToWidth="1" fitToHeight="0" pageOrder="downThenOver" orientation="portrait"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G27"/>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34"/>
    <col collapsed="false" customWidth="true" hidden="false" outlineLevel="0" max="5" min="2" style="0" width="16"/>
    <col collapsed="false" customWidth="true" hidden="false" outlineLevel="0" max="6" min="6" style="0" width="18"/>
    <col collapsed="false" customWidth="true" hidden="false" outlineLevel="0" max="7" min="7" style="0" width="14"/>
  </cols>
  <sheetData>
    <row r="1" customFormat="false" ht="17.35" hidden="false" customHeight="false" outlineLevel="0" collapsed="false">
      <c r="A1" s="1" t="s">
        <v>55</v>
      </c>
    </row>
    <row r="2" customFormat="false" ht="15" hidden="false" customHeight="false" outlineLevel="0" collapsed="false">
      <c r="A2" s="2" t="s">
        <v>21</v>
      </c>
    </row>
    <row r="4" customFormat="false" ht="78.75" hidden="false" customHeight="true" outlineLevel="0" collapsed="false">
      <c r="A4" s="6" t="s">
        <v>56</v>
      </c>
      <c r="B4" s="6"/>
      <c r="C4" s="6"/>
      <c r="D4" s="6"/>
      <c r="E4" s="6"/>
      <c r="F4" s="6"/>
      <c r="G4" s="6"/>
    </row>
    <row r="5" customFormat="false" ht="93.75" hidden="false" customHeight="true" outlineLevel="0" collapsed="false">
      <c r="A5" s="7" t="s">
        <v>57</v>
      </c>
      <c r="B5" s="7"/>
      <c r="C5" s="7"/>
      <c r="D5" s="7"/>
      <c r="E5" s="7"/>
      <c r="F5" s="7"/>
      <c r="G5" s="7"/>
    </row>
    <row r="7" customFormat="false" ht="15" hidden="false" customHeight="false" outlineLevel="0" collapsed="false">
      <c r="A7" s="8" t="s">
        <v>24</v>
      </c>
      <c r="B7" s="8" t="s">
        <v>25</v>
      </c>
      <c r="C7" s="8"/>
      <c r="D7" s="8"/>
      <c r="E7" s="8"/>
      <c r="F7" s="8"/>
      <c r="G7" s="8"/>
    </row>
    <row r="8" customFormat="false" ht="18.75" hidden="false" customHeight="true" outlineLevel="0" collapsed="false">
      <c r="A8" s="9" t="s">
        <v>58</v>
      </c>
      <c r="B8" s="7" t="s">
        <v>59</v>
      </c>
      <c r="C8" s="7"/>
      <c r="D8" s="7"/>
      <c r="E8" s="7"/>
      <c r="F8" s="7"/>
      <c r="G8" s="7"/>
    </row>
    <row r="9" customFormat="false" ht="18.75" hidden="false" customHeight="true" outlineLevel="0" collapsed="false">
      <c r="A9" s="9" t="s">
        <v>60</v>
      </c>
      <c r="B9" s="7" t="s">
        <v>61</v>
      </c>
      <c r="C9" s="7"/>
      <c r="D9" s="7"/>
      <c r="E9" s="7"/>
      <c r="F9" s="7"/>
      <c r="G9" s="7"/>
    </row>
    <row r="10" customFormat="false" ht="18.75" hidden="false" customHeight="true" outlineLevel="0" collapsed="false">
      <c r="A10" s="9" t="s">
        <v>62</v>
      </c>
      <c r="B10" s="7" t="s">
        <v>63</v>
      </c>
      <c r="C10" s="7"/>
      <c r="D10" s="7"/>
      <c r="E10" s="7"/>
      <c r="F10" s="7"/>
      <c r="G10" s="7"/>
    </row>
    <row r="11" customFormat="false" ht="18.75" hidden="false" customHeight="true" outlineLevel="0" collapsed="false">
      <c r="A11" s="9" t="s">
        <v>64</v>
      </c>
      <c r="B11" s="7" t="s">
        <v>65</v>
      </c>
      <c r="C11" s="7"/>
      <c r="D11" s="7"/>
      <c r="E11" s="7"/>
      <c r="F11" s="7"/>
      <c r="G11" s="7"/>
    </row>
    <row r="12" customFormat="false" ht="18.75" hidden="false" customHeight="true" outlineLevel="0" collapsed="false">
      <c r="A12" s="9" t="s">
        <v>66</v>
      </c>
      <c r="B12" s="7" t="s">
        <v>67</v>
      </c>
      <c r="C12" s="7"/>
      <c r="D12" s="7"/>
      <c r="E12" s="7"/>
      <c r="F12" s="7"/>
      <c r="G12" s="7"/>
    </row>
    <row r="13" customFormat="false" ht="18.75" hidden="false" customHeight="true" outlineLevel="0" collapsed="false">
      <c r="A13" s="9" t="s">
        <v>68</v>
      </c>
      <c r="B13" s="7" t="s">
        <v>69</v>
      </c>
      <c r="C13" s="7"/>
      <c r="D13" s="7"/>
      <c r="E13" s="7"/>
      <c r="F13" s="7"/>
      <c r="G13" s="7"/>
    </row>
    <row r="14" customFormat="false" ht="18.75" hidden="false" customHeight="true" outlineLevel="0" collapsed="false">
      <c r="A14" s="9" t="s">
        <v>36</v>
      </c>
      <c r="B14" s="7" t="s">
        <v>70</v>
      </c>
      <c r="C14" s="7"/>
      <c r="D14" s="7"/>
      <c r="E14" s="7"/>
      <c r="F14" s="7"/>
      <c r="G14" s="7"/>
    </row>
    <row r="16" customFormat="false" ht="15" hidden="false" customHeight="false" outlineLevel="0" collapsed="false">
      <c r="A16" s="8" t="s">
        <v>40</v>
      </c>
      <c r="B16" s="8"/>
      <c r="C16" s="8"/>
      <c r="D16" s="8"/>
      <c r="E16" s="8"/>
      <c r="F16" s="8" t="s">
        <v>41</v>
      </c>
      <c r="G16" s="8" t="s">
        <v>42</v>
      </c>
    </row>
    <row r="17" customFormat="false" ht="33.75" hidden="false" customHeight="true" outlineLevel="0" collapsed="false">
      <c r="A17" s="7" t="s">
        <v>71</v>
      </c>
      <c r="B17" s="7"/>
      <c r="C17" s="7"/>
      <c r="D17" s="7"/>
      <c r="E17" s="7"/>
      <c r="F17" s="10"/>
      <c r="G17" s="11" t="str">
        <f aca="false">IF(F17="","",IF(ABS(F17-(17595))&lt;=0.000000001,"Riktig","Prøv igjen"))</f>
        <v/>
      </c>
    </row>
    <row r="18" customFormat="false" ht="78.75" hidden="false" customHeight="true" outlineLevel="0" collapsed="false">
      <c r="A18" s="7" t="s">
        <v>72</v>
      </c>
      <c r="B18" s="7"/>
      <c r="C18" s="7"/>
      <c r="D18" s="7"/>
      <c r="E18" s="7"/>
      <c r="F18" s="12"/>
      <c r="G18" s="11" t="str">
        <f aca="false">IF(F18="","",IF(UPPER(TRIM(F18))="B","Riktig","Prøv igjen"))</f>
        <v/>
      </c>
    </row>
    <row r="19" customFormat="false" ht="33.75" hidden="false" customHeight="true" outlineLevel="0" collapsed="false">
      <c r="A19" s="7" t="s">
        <v>73</v>
      </c>
      <c r="B19" s="7"/>
      <c r="C19" s="7"/>
      <c r="D19" s="7"/>
      <c r="E19" s="7"/>
      <c r="F19" s="10"/>
      <c r="G19" s="11" t="str">
        <f aca="false">IF(F19="","",IF(ABS(F19-(17800))&lt;=0.000000001,"Riktig","Prøv igjen"))</f>
        <v/>
      </c>
    </row>
    <row r="20" customFormat="false" ht="63.75" hidden="false" customHeight="true" outlineLevel="0" collapsed="false">
      <c r="A20" s="7" t="s">
        <v>74</v>
      </c>
      <c r="B20" s="7"/>
      <c r="C20" s="7"/>
      <c r="D20" s="7"/>
      <c r="E20" s="7"/>
      <c r="F20" s="12"/>
      <c r="G20" s="11" t="str">
        <f aca="false">IF(F20="","",IF(UPPER(TRIM(F20))="B","Riktig","Prøv igjen"))</f>
        <v/>
      </c>
    </row>
    <row r="21" customFormat="false" ht="33.75" hidden="false" customHeight="true" outlineLevel="0" collapsed="false">
      <c r="A21" s="7" t="s">
        <v>75</v>
      </c>
      <c r="B21" s="7"/>
      <c r="C21" s="7"/>
      <c r="D21" s="7"/>
      <c r="E21" s="7"/>
    </row>
    <row r="22" customFormat="false" ht="15" hidden="false" customHeight="false" outlineLevel="0" collapsed="false">
      <c r="A22" s="13"/>
      <c r="B22" s="13"/>
      <c r="C22" s="13"/>
      <c r="D22" s="13"/>
      <c r="E22" s="13"/>
      <c r="F22" s="13"/>
      <c r="G22" s="13"/>
    </row>
    <row r="23" customFormat="false" ht="15" hidden="false" customHeight="false" outlineLevel="0" collapsed="false">
      <c r="A23" s="13"/>
      <c r="B23" s="13"/>
      <c r="C23" s="13"/>
      <c r="D23" s="13"/>
      <c r="E23" s="13"/>
      <c r="F23" s="13"/>
      <c r="G23" s="13"/>
    </row>
    <row r="24" customFormat="false" ht="15" hidden="false" customHeight="false" outlineLevel="0" collapsed="false">
      <c r="A24" s="13"/>
      <c r="B24" s="13"/>
      <c r="C24" s="13"/>
      <c r="D24" s="13"/>
      <c r="E24" s="13"/>
      <c r="F24" s="13"/>
      <c r="G24" s="13"/>
    </row>
    <row r="26" customFormat="false" ht="48.75" hidden="false" customHeight="true" outlineLevel="0" collapsed="false">
      <c r="A26" s="6" t="s">
        <v>76</v>
      </c>
      <c r="B26" s="6"/>
      <c r="C26" s="6"/>
      <c r="D26" s="6"/>
      <c r="E26" s="6"/>
      <c r="F26" s="6"/>
      <c r="G26" s="6"/>
    </row>
    <row r="27" customFormat="false" ht="15" hidden="false" customHeight="true" outlineLevel="0" collapsed="false">
      <c r="A27" s="6" t="s">
        <v>54</v>
      </c>
      <c r="B27" s="6"/>
      <c r="C27" s="6"/>
      <c r="D27" s="6"/>
      <c r="E27" s="6"/>
      <c r="F27" s="6"/>
      <c r="G27" s="6"/>
    </row>
  </sheetData>
  <mergeCells count="19">
    <mergeCell ref="A4:G4"/>
    <mergeCell ref="A5:G5"/>
    <mergeCell ref="B7:G7"/>
    <mergeCell ref="B8:G8"/>
    <mergeCell ref="B9:G9"/>
    <mergeCell ref="B10:G10"/>
    <mergeCell ref="B11:G11"/>
    <mergeCell ref="B12:G12"/>
    <mergeCell ref="B13:G13"/>
    <mergeCell ref="B14:G14"/>
    <mergeCell ref="A16:E16"/>
    <mergeCell ref="A17:E17"/>
    <mergeCell ref="A18:E18"/>
    <mergeCell ref="A19:E19"/>
    <mergeCell ref="A20:E20"/>
    <mergeCell ref="A21:E21"/>
    <mergeCell ref="A22:G24"/>
    <mergeCell ref="A26:G26"/>
    <mergeCell ref="A27:G27"/>
  </mergeCells>
  <printOptions headings="false" gridLines="false" gridLinesSet="true" horizontalCentered="false" verticalCentered="false"/>
  <pageMargins left="0.75" right="0.75" top="1" bottom="1" header="0.511811023622047" footer="0.511811023622047"/>
  <pageSetup paperSize="9" scale="100" fitToWidth="1" fitToHeight="0" pageOrder="downThenOver" orientation="portrait" blackAndWhite="false" draft="false" cellComments="none" horizontalDpi="300" verticalDpi="300" copies="1"/>
  <headerFooter differentFirst="false" differentOddEven="false">
    <oddHeader/>
    <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G34"/>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34"/>
    <col collapsed="false" customWidth="true" hidden="false" outlineLevel="0" max="5" min="2" style="0" width="16"/>
    <col collapsed="false" customWidth="true" hidden="false" outlineLevel="0" max="6" min="6" style="0" width="18"/>
    <col collapsed="false" customWidth="true" hidden="false" outlineLevel="0" max="7" min="7" style="0" width="14"/>
  </cols>
  <sheetData>
    <row r="1" customFormat="false" ht="17.35" hidden="false" customHeight="false" outlineLevel="0" collapsed="false">
      <c r="A1" s="1" t="s">
        <v>77</v>
      </c>
    </row>
    <row r="2" customFormat="false" ht="15" hidden="false" customHeight="false" outlineLevel="0" collapsed="false">
      <c r="A2" s="2" t="s">
        <v>21</v>
      </c>
    </row>
    <row r="4" customFormat="false" ht="108.75" hidden="false" customHeight="true" outlineLevel="0" collapsed="false">
      <c r="A4" s="6" t="s">
        <v>78</v>
      </c>
      <c r="B4" s="6"/>
      <c r="C4" s="6"/>
      <c r="D4" s="6"/>
      <c r="E4" s="6"/>
      <c r="F4" s="6"/>
      <c r="G4" s="6"/>
    </row>
    <row r="5" customFormat="false" ht="78.75" hidden="false" customHeight="true" outlineLevel="0" collapsed="false">
      <c r="A5" s="7" t="s">
        <v>79</v>
      </c>
      <c r="B5" s="7"/>
      <c r="C5" s="7"/>
      <c r="D5" s="7"/>
      <c r="E5" s="7"/>
      <c r="F5" s="7"/>
      <c r="G5" s="7"/>
    </row>
    <row r="7" customFormat="false" ht="15" hidden="false" customHeight="false" outlineLevel="0" collapsed="false">
      <c r="A7" s="14" t="s">
        <v>80</v>
      </c>
      <c r="B7" s="15" t="s">
        <v>81</v>
      </c>
      <c r="C7" s="15" t="s">
        <v>82</v>
      </c>
    </row>
    <row r="8" customFormat="false" ht="15" hidden="false" customHeight="false" outlineLevel="0" collapsed="false">
      <c r="A8" s="16" t="s">
        <v>83</v>
      </c>
      <c r="B8" s="17" t="s">
        <v>84</v>
      </c>
      <c r="C8" s="17" t="s">
        <v>85</v>
      </c>
    </row>
    <row r="9" customFormat="false" ht="15" hidden="false" customHeight="false" outlineLevel="0" collapsed="false">
      <c r="A9" s="18" t="s">
        <v>86</v>
      </c>
      <c r="B9" s="19" t="s">
        <v>87</v>
      </c>
      <c r="C9" s="19"/>
    </row>
    <row r="10" customFormat="false" ht="15" hidden="false" customHeight="false" outlineLevel="0" collapsed="false">
      <c r="A10" s="16" t="s">
        <v>88</v>
      </c>
      <c r="B10" s="17" t="s">
        <v>89</v>
      </c>
      <c r="C10" s="17"/>
    </row>
    <row r="11" customFormat="false" ht="26.85" hidden="false" customHeight="false" outlineLevel="0" collapsed="false">
      <c r="A11" s="18" t="s">
        <v>90</v>
      </c>
      <c r="B11" s="19" t="s">
        <v>91</v>
      </c>
      <c r="C11" s="19" t="s">
        <v>92</v>
      </c>
    </row>
    <row r="12" customFormat="false" ht="15" hidden="false" customHeight="false" outlineLevel="0" collapsed="false">
      <c r="A12" s="16" t="s">
        <v>93</v>
      </c>
      <c r="B12" s="17" t="s">
        <v>94</v>
      </c>
      <c r="C12" s="17"/>
    </row>
    <row r="13" customFormat="false" ht="15" hidden="false" customHeight="false" outlineLevel="0" collapsed="false">
      <c r="A13" s="18" t="s">
        <v>95</v>
      </c>
      <c r="B13" s="19" t="s">
        <v>96</v>
      </c>
      <c r="C13" s="19"/>
    </row>
    <row r="14" customFormat="false" ht="15" hidden="false" customHeight="false" outlineLevel="0" collapsed="false">
      <c r="A14" s="16" t="s">
        <v>97</v>
      </c>
      <c r="B14" s="17" t="s">
        <v>98</v>
      </c>
      <c r="C14" s="17"/>
    </row>
    <row r="15" customFormat="false" ht="15" hidden="false" customHeight="true" outlineLevel="0" collapsed="false">
      <c r="A15" s="6" t="s">
        <v>99</v>
      </c>
      <c r="B15" s="6"/>
      <c r="C15" s="6"/>
      <c r="D15" s="6"/>
      <c r="E15" s="6"/>
      <c r="F15" s="6"/>
      <c r="G15" s="6"/>
    </row>
    <row r="17" customFormat="false" ht="15" hidden="false" customHeight="false" outlineLevel="0" collapsed="false">
      <c r="A17" s="8" t="s">
        <v>40</v>
      </c>
      <c r="B17" s="8"/>
      <c r="C17" s="8"/>
      <c r="D17" s="8"/>
      <c r="E17" s="8"/>
      <c r="F17" s="8" t="s">
        <v>41</v>
      </c>
      <c r="G17" s="8" t="s">
        <v>42</v>
      </c>
    </row>
    <row r="18" customFormat="false" ht="33.75" hidden="false" customHeight="true" outlineLevel="0" collapsed="false">
      <c r="A18" s="7" t="s">
        <v>100</v>
      </c>
      <c r="B18" s="7"/>
      <c r="C18" s="7"/>
      <c r="D18" s="7"/>
      <c r="E18" s="7"/>
      <c r="F18" s="10"/>
      <c r="G18" s="11" t="str">
        <f aca="false">IF(F18="","",IF(ABS(F18-(2))&lt;=0.000000001,"Riktig","Prøv igjen"))</f>
        <v/>
      </c>
    </row>
    <row r="19" customFormat="false" ht="33.75" hidden="false" customHeight="true" outlineLevel="0" collapsed="false">
      <c r="A19" s="7" t="s">
        <v>101</v>
      </c>
      <c r="B19" s="7"/>
      <c r="C19" s="7"/>
      <c r="D19" s="7"/>
      <c r="E19" s="7"/>
      <c r="F19" s="12"/>
      <c r="G19" s="11" t="str">
        <f aca="false">IF(F19="","",IF(UPPER(TRIM(F19))="B","Riktig","Prøv igjen"))</f>
        <v/>
      </c>
    </row>
    <row r="20" customFormat="false" ht="33.75" hidden="false" customHeight="true" outlineLevel="0" collapsed="false">
      <c r="A20" s="7" t="s">
        <v>102</v>
      </c>
      <c r="B20" s="7"/>
      <c r="C20" s="7"/>
      <c r="D20" s="7"/>
      <c r="E20" s="7"/>
    </row>
    <row r="21" customFormat="false" ht="15" hidden="false" customHeight="true" outlineLevel="0" collapsed="false">
      <c r="A21" s="7" t="s">
        <v>103</v>
      </c>
      <c r="B21" s="7"/>
      <c r="C21" s="7"/>
      <c r="D21" s="7"/>
      <c r="E21" s="7"/>
      <c r="F21" s="12"/>
      <c r="G21" s="11" t="str">
        <f aca="false">IF(F21="","",IF(UPPER(TRIM(F21))="JA","Riktig","Prøv igjen"))</f>
        <v/>
      </c>
    </row>
    <row r="22" customFormat="false" ht="15" hidden="false" customHeight="true" outlineLevel="0" collapsed="false">
      <c r="A22" s="7" t="s">
        <v>104</v>
      </c>
      <c r="B22" s="7"/>
      <c r="C22" s="7"/>
      <c r="D22" s="7"/>
      <c r="E22" s="7"/>
      <c r="F22" s="12"/>
      <c r="G22" s="11" t="str">
        <f aca="false">IF(F22="","",IF(UPPER(TRIM(F22))="JA","Riktig","Prøv igjen"))</f>
        <v/>
      </c>
    </row>
    <row r="23" customFormat="false" ht="15" hidden="false" customHeight="true" outlineLevel="0" collapsed="false">
      <c r="A23" s="7" t="s">
        <v>105</v>
      </c>
      <c r="B23" s="7"/>
      <c r="C23" s="7"/>
      <c r="D23" s="7"/>
      <c r="E23" s="7"/>
      <c r="F23" s="12"/>
      <c r="G23" s="11" t="str">
        <f aca="false">IF(F23="","",IF(UPPER(TRIM(F23))="NEI","Riktig","Prøv igjen"))</f>
        <v/>
      </c>
    </row>
    <row r="24" customFormat="false" ht="15" hidden="false" customHeight="true" outlineLevel="0" collapsed="false">
      <c r="A24" s="7" t="s">
        <v>106</v>
      </c>
      <c r="B24" s="7"/>
      <c r="C24" s="7"/>
      <c r="D24" s="7"/>
      <c r="E24" s="7"/>
      <c r="F24" s="12"/>
      <c r="G24" s="11" t="str">
        <f aca="false">IF(F24="","",IF(UPPER(TRIM(F24))="JA","Riktig","Prøv igjen"))</f>
        <v/>
      </c>
    </row>
    <row r="25" customFormat="false" ht="15" hidden="false" customHeight="true" outlineLevel="0" collapsed="false">
      <c r="A25" s="7" t="s">
        <v>107</v>
      </c>
      <c r="B25" s="7"/>
      <c r="C25" s="7"/>
      <c r="D25" s="7"/>
      <c r="E25" s="7"/>
      <c r="F25" s="12"/>
      <c r="G25" s="11" t="str">
        <f aca="false">IF(F25="","",IF(UPPER(TRIM(F25))="JA","Riktig","Prøv igjen"))</f>
        <v/>
      </c>
    </row>
    <row r="26" customFormat="false" ht="15" hidden="false" customHeight="true" outlineLevel="0" collapsed="false">
      <c r="A26" s="7" t="s">
        <v>108</v>
      </c>
      <c r="B26" s="7"/>
      <c r="C26" s="7"/>
      <c r="D26" s="7"/>
      <c r="E26" s="7"/>
      <c r="F26" s="12"/>
      <c r="G26" s="11" t="str">
        <f aca="false">IF(F26="","",IF(UPPER(TRIM(F26))="NEI","Riktig","Prøv igjen"))</f>
        <v/>
      </c>
    </row>
    <row r="27" customFormat="false" ht="63.75" hidden="false" customHeight="true" outlineLevel="0" collapsed="false">
      <c r="A27" s="7" t="s">
        <v>109</v>
      </c>
      <c r="B27" s="7"/>
      <c r="C27" s="7"/>
      <c r="D27" s="7"/>
      <c r="E27" s="7"/>
      <c r="F27" s="12"/>
      <c r="G27" s="11" t="str">
        <f aca="false">IF(F27="","",IF(UPPER(TRIM(F27))="B","Riktig","Prøv igjen"))</f>
        <v/>
      </c>
    </row>
    <row r="28" customFormat="false" ht="33.75" hidden="false" customHeight="true" outlineLevel="0" collapsed="false">
      <c r="A28" s="7" t="s">
        <v>110</v>
      </c>
      <c r="B28" s="7"/>
      <c r="C28" s="7"/>
      <c r="D28" s="7"/>
      <c r="E28" s="7"/>
    </row>
    <row r="29" customFormat="false" ht="15" hidden="false" customHeight="false" outlineLevel="0" collapsed="false">
      <c r="A29" s="13"/>
      <c r="B29" s="13"/>
      <c r="C29" s="13"/>
      <c r="D29" s="13"/>
      <c r="E29" s="13"/>
      <c r="F29" s="13"/>
      <c r="G29" s="13"/>
    </row>
    <row r="30" customFormat="false" ht="15" hidden="false" customHeight="false" outlineLevel="0" collapsed="false">
      <c r="A30" s="13"/>
      <c r="B30" s="13"/>
      <c r="C30" s="13"/>
      <c r="D30" s="13"/>
      <c r="E30" s="13"/>
      <c r="F30" s="13"/>
      <c r="G30" s="13"/>
    </row>
    <row r="31" customFormat="false" ht="15" hidden="false" customHeight="false" outlineLevel="0" collapsed="false">
      <c r="A31" s="13"/>
      <c r="B31" s="13"/>
      <c r="C31" s="13"/>
      <c r="D31" s="13"/>
      <c r="E31" s="13"/>
      <c r="F31" s="13"/>
      <c r="G31" s="13"/>
    </row>
    <row r="33" customFormat="false" ht="48.75" hidden="false" customHeight="true" outlineLevel="0" collapsed="false">
      <c r="A33" s="6" t="s">
        <v>111</v>
      </c>
      <c r="B33" s="6"/>
      <c r="C33" s="6"/>
      <c r="D33" s="6"/>
      <c r="E33" s="6"/>
      <c r="F33" s="6"/>
      <c r="G33" s="6"/>
    </row>
    <row r="34" customFormat="false" ht="15" hidden="false" customHeight="true" outlineLevel="0" collapsed="false">
      <c r="A34" s="6" t="s">
        <v>54</v>
      </c>
      <c r="B34" s="6"/>
      <c r="C34" s="6"/>
      <c r="D34" s="6"/>
      <c r="E34" s="6"/>
      <c r="F34" s="6"/>
      <c r="G34" s="6"/>
    </row>
  </sheetData>
  <mergeCells count="18">
    <mergeCell ref="A4:G4"/>
    <mergeCell ref="A5:G5"/>
    <mergeCell ref="A15:G15"/>
    <mergeCell ref="A17:E17"/>
    <mergeCell ref="A18:E18"/>
    <mergeCell ref="A19:E19"/>
    <mergeCell ref="A20:E20"/>
    <mergeCell ref="A21:E21"/>
    <mergeCell ref="A22:E22"/>
    <mergeCell ref="A23:E23"/>
    <mergeCell ref="A24:E24"/>
    <mergeCell ref="A25:E25"/>
    <mergeCell ref="A26:E26"/>
    <mergeCell ref="A27:E27"/>
    <mergeCell ref="A28:E28"/>
    <mergeCell ref="A29:G31"/>
    <mergeCell ref="A33:G33"/>
    <mergeCell ref="A34:G34"/>
  </mergeCells>
  <printOptions headings="false" gridLines="false" gridLinesSet="true" horizontalCentered="false" verticalCentered="false"/>
  <pageMargins left="0.75" right="0.75" top="1" bottom="1" header="0.511811023622047" footer="0.511811023622047"/>
  <pageSetup paperSize="9" scale="100" fitToWidth="1" fitToHeight="0" pageOrder="downThenOver" orientation="portrait" blackAndWhite="false" draft="false" cellComments="none" horizontalDpi="300" verticalDpi="300" copies="1"/>
  <headerFooter differentFirst="false" differentOddEven="false">
    <oddHeader/>
    <oddFooter/>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G33"/>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34"/>
    <col collapsed="false" customWidth="true" hidden="false" outlineLevel="0" max="5" min="2" style="0" width="16"/>
    <col collapsed="false" customWidth="true" hidden="false" outlineLevel="0" max="6" min="6" style="0" width="18"/>
    <col collapsed="false" customWidth="true" hidden="false" outlineLevel="0" max="7" min="7" style="0" width="14"/>
  </cols>
  <sheetData>
    <row r="1" customFormat="false" ht="17.35" hidden="false" customHeight="false" outlineLevel="0" collapsed="false">
      <c r="A1" s="1" t="s">
        <v>112</v>
      </c>
    </row>
    <row r="2" customFormat="false" ht="15" hidden="false" customHeight="false" outlineLevel="0" collapsed="false">
      <c r="A2" s="2" t="s">
        <v>21</v>
      </c>
    </row>
    <row r="4" customFormat="false" ht="93.75" hidden="false" customHeight="true" outlineLevel="0" collapsed="false">
      <c r="A4" s="6" t="s">
        <v>113</v>
      </c>
      <c r="B4" s="6"/>
      <c r="C4" s="6"/>
      <c r="D4" s="6"/>
      <c r="E4" s="6"/>
      <c r="F4" s="6"/>
      <c r="G4" s="6"/>
    </row>
    <row r="5" customFormat="false" ht="78.75" hidden="false" customHeight="true" outlineLevel="0" collapsed="false">
      <c r="A5" s="7" t="s">
        <v>114</v>
      </c>
      <c r="B5" s="7"/>
      <c r="C5" s="7"/>
      <c r="D5" s="7"/>
      <c r="E5" s="7"/>
      <c r="F5" s="7"/>
      <c r="G5" s="7"/>
    </row>
    <row r="7" customFormat="false" ht="15" hidden="false" customHeight="false" outlineLevel="0" collapsed="false">
      <c r="A7" s="8" t="s">
        <v>24</v>
      </c>
      <c r="B7" s="8" t="s">
        <v>25</v>
      </c>
      <c r="C7" s="8"/>
      <c r="D7" s="8"/>
      <c r="E7" s="8"/>
      <c r="F7" s="8"/>
      <c r="G7" s="8"/>
    </row>
    <row r="8" customFormat="false" ht="18.75" hidden="false" customHeight="true" outlineLevel="0" collapsed="false">
      <c r="A8" s="9" t="s">
        <v>115</v>
      </c>
      <c r="B8" s="7" t="s">
        <v>116</v>
      </c>
      <c r="C8" s="7"/>
      <c r="D8" s="7"/>
      <c r="E8" s="7"/>
      <c r="F8" s="7"/>
      <c r="G8" s="7"/>
    </row>
    <row r="9" customFormat="false" ht="18.75" hidden="false" customHeight="true" outlineLevel="0" collapsed="false">
      <c r="A9" s="9" t="s">
        <v>117</v>
      </c>
      <c r="B9" s="7" t="s">
        <v>118</v>
      </c>
      <c r="C9" s="7"/>
      <c r="D9" s="7"/>
      <c r="E9" s="7"/>
      <c r="F9" s="7"/>
      <c r="G9" s="7"/>
    </row>
    <row r="10" customFormat="false" ht="18.75" hidden="false" customHeight="true" outlineLevel="0" collapsed="false">
      <c r="A10" s="9" t="s">
        <v>119</v>
      </c>
      <c r="B10" s="7" t="s">
        <v>120</v>
      </c>
      <c r="C10" s="7"/>
      <c r="D10" s="7"/>
      <c r="E10" s="7"/>
      <c r="F10" s="7"/>
      <c r="G10" s="7"/>
    </row>
    <row r="11" customFormat="false" ht="18.75" hidden="false" customHeight="true" outlineLevel="0" collapsed="false">
      <c r="A11" s="9" t="s">
        <v>121</v>
      </c>
      <c r="B11" s="7" t="s">
        <v>122</v>
      </c>
      <c r="C11" s="7"/>
      <c r="D11" s="7"/>
      <c r="E11" s="7"/>
      <c r="F11" s="7"/>
      <c r="G11" s="7"/>
    </row>
    <row r="12" customFormat="false" ht="18.75" hidden="false" customHeight="true" outlineLevel="0" collapsed="false">
      <c r="A12" s="9" t="s">
        <v>123</v>
      </c>
      <c r="B12" s="7" t="s">
        <v>124</v>
      </c>
      <c r="C12" s="7"/>
      <c r="D12" s="7"/>
      <c r="E12" s="7"/>
      <c r="F12" s="7"/>
      <c r="G12" s="7"/>
    </row>
    <row r="13" customFormat="false" ht="18.75" hidden="false" customHeight="true" outlineLevel="0" collapsed="false">
      <c r="A13" s="9" t="s">
        <v>125</v>
      </c>
      <c r="B13" s="7" t="s">
        <v>126</v>
      </c>
      <c r="C13" s="7"/>
      <c r="D13" s="7"/>
      <c r="E13" s="7"/>
      <c r="F13" s="7"/>
      <c r="G13" s="7"/>
    </row>
    <row r="14" customFormat="false" ht="18.75" hidden="false" customHeight="true" outlineLevel="0" collapsed="false">
      <c r="A14" s="9" t="s">
        <v>127</v>
      </c>
      <c r="B14" s="7" t="s">
        <v>128</v>
      </c>
      <c r="C14" s="7"/>
      <c r="D14" s="7"/>
      <c r="E14" s="7"/>
      <c r="F14" s="7"/>
      <c r="G14" s="7"/>
    </row>
    <row r="15" customFormat="false" ht="18.75" hidden="false" customHeight="true" outlineLevel="0" collapsed="false">
      <c r="A15" s="9" t="s">
        <v>129</v>
      </c>
      <c r="B15" s="7" t="s">
        <v>130</v>
      </c>
      <c r="C15" s="7"/>
      <c r="D15" s="7"/>
      <c r="E15" s="7"/>
      <c r="F15" s="7"/>
      <c r="G15" s="7"/>
    </row>
    <row r="17" customFormat="false" ht="15" hidden="false" customHeight="false" outlineLevel="0" collapsed="false">
      <c r="A17" s="8" t="s">
        <v>40</v>
      </c>
      <c r="B17" s="8"/>
      <c r="C17" s="8"/>
      <c r="D17" s="8"/>
      <c r="E17" s="8"/>
      <c r="F17" s="8" t="s">
        <v>41</v>
      </c>
      <c r="G17" s="8" t="s">
        <v>42</v>
      </c>
    </row>
    <row r="18" customFormat="false" ht="33.75" hidden="false" customHeight="true" outlineLevel="0" collapsed="false">
      <c r="A18" s="7" t="s">
        <v>131</v>
      </c>
      <c r="B18" s="7"/>
      <c r="C18" s="7"/>
      <c r="D18" s="7"/>
      <c r="E18" s="7"/>
      <c r="F18" s="10"/>
      <c r="G18" s="11" t="str">
        <f aca="false">IF(F18="","",IF(ABS(F18-(12))&lt;=0.000000001,"Riktig","Prøv igjen"))</f>
        <v/>
      </c>
    </row>
    <row r="19" customFormat="false" ht="48.75" hidden="false" customHeight="true" outlineLevel="0" collapsed="false">
      <c r="A19" s="7" t="s">
        <v>132</v>
      </c>
      <c r="B19" s="7"/>
      <c r="C19" s="7"/>
      <c r="D19" s="7"/>
      <c r="E19" s="7"/>
      <c r="F19" s="10"/>
      <c r="G19" s="11" t="str">
        <f aca="false">IF(F19="","",IF(ABS(F19-(466.67))&lt;=0.01,"Riktig","Prøv igjen"))</f>
        <v/>
      </c>
    </row>
    <row r="20" customFormat="false" ht="33.75" hidden="false" customHeight="true" outlineLevel="0" collapsed="false">
      <c r="A20" s="7" t="s">
        <v>133</v>
      </c>
      <c r="B20" s="7"/>
      <c r="C20" s="7"/>
      <c r="D20" s="7"/>
      <c r="E20" s="7"/>
      <c r="F20" s="10"/>
      <c r="G20" s="11" t="str">
        <f aca="false">IF(F20="","",IF(ABS(F20-(67200))&lt;=0.000000001,"Riktig","Prøv igjen"))</f>
        <v/>
      </c>
    </row>
    <row r="21" customFormat="false" ht="18.75" hidden="false" customHeight="true" outlineLevel="0" collapsed="false">
      <c r="A21" s="7" t="s">
        <v>134</v>
      </c>
      <c r="B21" s="7"/>
      <c r="C21" s="7"/>
      <c r="D21" s="7"/>
      <c r="E21" s="7"/>
    </row>
    <row r="22" customFormat="false" ht="15" hidden="false" customHeight="true" outlineLevel="0" collapsed="false">
      <c r="A22" s="7" t="s">
        <v>135</v>
      </c>
      <c r="B22" s="7"/>
      <c r="C22" s="7"/>
      <c r="D22" s="7"/>
      <c r="E22" s="7"/>
      <c r="F22" s="12"/>
      <c r="G22" s="11" t="str">
        <f aca="false">IF(F22="","",IF(UPPER(TRIM(F22))="NEI","Riktig","Prøv igjen"))</f>
        <v/>
      </c>
    </row>
    <row r="23" customFormat="false" ht="15" hidden="false" customHeight="true" outlineLevel="0" collapsed="false">
      <c r="A23" s="7" t="s">
        <v>136</v>
      </c>
      <c r="B23" s="7"/>
      <c r="C23" s="7"/>
      <c r="D23" s="7"/>
      <c r="E23" s="7"/>
      <c r="F23" s="12"/>
      <c r="G23" s="11" t="str">
        <f aca="false">IF(F23="","",IF(UPPER(TRIM(F23))="NEI","Riktig","Prøv igjen"))</f>
        <v/>
      </c>
    </row>
    <row r="24" customFormat="false" ht="15" hidden="false" customHeight="true" outlineLevel="0" collapsed="false">
      <c r="A24" s="7" t="s">
        <v>137</v>
      </c>
      <c r="B24" s="7"/>
      <c r="C24" s="7"/>
      <c r="D24" s="7"/>
      <c r="E24" s="7"/>
      <c r="F24" s="12"/>
      <c r="G24" s="11" t="str">
        <f aca="false">IF(F24="","",IF(UPPER(TRIM(F24))="NEI","Riktig","Prøv igjen"))</f>
        <v/>
      </c>
    </row>
    <row r="25" customFormat="false" ht="15" hidden="false" customHeight="true" outlineLevel="0" collapsed="false">
      <c r="A25" s="7" t="s">
        <v>138</v>
      </c>
      <c r="B25" s="7"/>
      <c r="C25" s="7"/>
      <c r="D25" s="7"/>
      <c r="E25" s="7"/>
      <c r="F25" s="12"/>
      <c r="G25" s="11" t="str">
        <f aca="false">IF(F25="","",IF(UPPER(TRIM(F25))="JA","Riktig","Prøv igjen"))</f>
        <v/>
      </c>
    </row>
    <row r="26" customFormat="false" ht="15" hidden="false" customHeight="true" outlineLevel="0" collapsed="false">
      <c r="A26" s="7" t="s">
        <v>139</v>
      </c>
      <c r="B26" s="7"/>
      <c r="C26" s="7"/>
      <c r="D26" s="7"/>
      <c r="E26" s="7"/>
      <c r="F26" s="12"/>
      <c r="G26" s="11" t="str">
        <f aca="false">IF(F26="","",IF(UPPER(TRIM(F26))="JA","Riktig","Prøv igjen"))</f>
        <v/>
      </c>
    </row>
    <row r="27" customFormat="false" ht="33.75" hidden="false" customHeight="true" outlineLevel="0" collapsed="false">
      <c r="A27" s="7" t="s">
        <v>140</v>
      </c>
      <c r="B27" s="7"/>
      <c r="C27" s="7"/>
      <c r="D27" s="7"/>
      <c r="E27" s="7"/>
    </row>
    <row r="28" customFormat="false" ht="15" hidden="false" customHeight="false" outlineLevel="0" collapsed="false">
      <c r="A28" s="13"/>
      <c r="B28" s="13"/>
      <c r="C28" s="13"/>
      <c r="D28" s="13"/>
      <c r="E28" s="13"/>
      <c r="F28" s="13"/>
      <c r="G28" s="13"/>
    </row>
    <row r="29" customFormat="false" ht="15" hidden="false" customHeight="false" outlineLevel="0" collapsed="false">
      <c r="A29" s="13"/>
      <c r="B29" s="13"/>
      <c r="C29" s="13"/>
      <c r="D29" s="13"/>
      <c r="E29" s="13"/>
      <c r="F29" s="13"/>
      <c r="G29" s="13"/>
    </row>
    <row r="30" customFormat="false" ht="15" hidden="false" customHeight="false" outlineLevel="0" collapsed="false">
      <c r="A30" s="13"/>
      <c r="B30" s="13"/>
      <c r="C30" s="13"/>
      <c r="D30" s="13"/>
      <c r="E30" s="13"/>
      <c r="F30" s="13"/>
      <c r="G30" s="13"/>
    </row>
    <row r="32" customFormat="false" ht="63.75" hidden="false" customHeight="true" outlineLevel="0" collapsed="false">
      <c r="A32" s="6" t="s">
        <v>141</v>
      </c>
      <c r="B32" s="6"/>
      <c r="C32" s="6"/>
      <c r="D32" s="6"/>
      <c r="E32" s="6"/>
      <c r="F32" s="6"/>
      <c r="G32" s="6"/>
    </row>
    <row r="33" customFormat="false" ht="15" hidden="false" customHeight="true" outlineLevel="0" collapsed="false">
      <c r="A33" s="6" t="s">
        <v>54</v>
      </c>
      <c r="B33" s="6"/>
      <c r="C33" s="6"/>
      <c r="D33" s="6"/>
      <c r="E33" s="6"/>
      <c r="F33" s="6"/>
      <c r="G33" s="6"/>
    </row>
  </sheetData>
  <mergeCells count="25">
    <mergeCell ref="A4:G4"/>
    <mergeCell ref="A5:G5"/>
    <mergeCell ref="B7:G7"/>
    <mergeCell ref="B8:G8"/>
    <mergeCell ref="B9:G9"/>
    <mergeCell ref="B10:G10"/>
    <mergeCell ref="B11:G11"/>
    <mergeCell ref="B12:G12"/>
    <mergeCell ref="B13:G13"/>
    <mergeCell ref="B14:G14"/>
    <mergeCell ref="B15:G15"/>
    <mergeCell ref="A17:E17"/>
    <mergeCell ref="A18:E18"/>
    <mergeCell ref="A19:E19"/>
    <mergeCell ref="A20:E20"/>
    <mergeCell ref="A21:E21"/>
    <mergeCell ref="A22:E22"/>
    <mergeCell ref="A23:E23"/>
    <mergeCell ref="A24:E24"/>
    <mergeCell ref="A25:E25"/>
    <mergeCell ref="A26:E26"/>
    <mergeCell ref="A27:E27"/>
    <mergeCell ref="A28:G30"/>
    <mergeCell ref="A32:G32"/>
    <mergeCell ref="A33:G33"/>
  </mergeCells>
  <printOptions headings="false" gridLines="false" gridLinesSet="true" horizontalCentered="false" verticalCentered="false"/>
  <pageMargins left="0.75" right="0.75" top="1" bottom="1" header="0.511811023622047" footer="0.511811023622047"/>
  <pageSetup paperSize="9" scale="100" fitToWidth="1" fitToHeight="0"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2026-10-11T06:34:34Z</dcterms:created>
  <dc:creator>openpyxl</dc:creator>
  <dc:description/>
  <dc:language>en-US</dc:language>
  <cp:lastModifiedBy/>
  <dcterms:modified xsi:type="dcterms:W3CDTF">2026-10-11T06:34:34Z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