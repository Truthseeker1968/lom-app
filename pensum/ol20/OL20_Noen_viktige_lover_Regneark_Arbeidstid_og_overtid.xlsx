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Uka og grensene" sheetId="3" state="visible" r:id="rId5"/>
    <sheet name="Hva overtidstimen koster" sheetId="4" state="visible" r:id="rId6"/>
    <sheet name="Overtid eller ny montør" sheetId="5" state="visible" r:id="rId7"/>
    <sheet name="Feriepenger" sheetId="6" state="visible" r:id="rId8"/>
    <sheet name="Scenario" sheetId="7" state="visible" r:id="rId9"/>
    <sheet name="Din egen uke"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<sst xmlns="http://schemas.openxmlformats.org/spreadsheetml/2006/main" count="380" uniqueCount="327">
  <si>
    <t xml:space="preserve">Hva koster en overtidstime? Den enkle versjonen</t>
  </si>
  <si>
    <t xml:space="preserve">Fyll inn de seks gule cellene. Svaret står i den grønne. Alt annet regner seg selv. Vil du gå dypere, ligger hele modellen i arkene bak.</t>
  </si>
  <si>
    <t xml:space="preserve">Det du vet</t>
  </si>
  <si>
    <t xml:space="preserve">Hva tjener montøren i måneden, før skatt?</t>
  </si>
  <si>
    <t xml:space="preserve">40 000 kroner er beløpet i oppgave 6, kapittel 2 i Økonomistyring for LØM-emnet. Satsene står i tabell 2.4.</t>
  </si>
  <si>
    <t xml:space="preserve">Hvor mange timer i uka er avtalt?</t>
  </si>
  <si>
    <t xml:space="preserve">Nordlys har avtalt 37,5 timer. Loven setter taket på 40 (arbeidsmiljøloven § 10-4).</t>
  </si>
  <si>
    <t xml:space="preserve">Hvor mye kommer på toppen av lønna for en vanlig time?</t>
  </si>
  <si>
    <t xml:space="preserve">Feriepenger, arbeidsgiveravgift, pensjon, helligdager, yrkesskade og sykepenger. Til sammen 46,8 prosent.</t>
  </si>
  <si>
    <t xml:space="preserve">Hvor stort er overtidstillegget?</t>
  </si>
  <si>
    <t xml:space="preserve">Loven sier minst 40 prosent (arbeidsmiljøloven § 10-6).</t>
  </si>
  <si>
    <t xml:space="preserve">Hvor mye kommer på toppen for en overtidstime?</t>
  </si>
  <si>
    <t xml:space="preserve">Bare feriepenger, arbeidsgiveravgift og pensjon løper på overtid. Til sammen 36,9 prosent.</t>
  </si>
  <si>
    <t xml:space="preserve">Hva betaler kunden for en time?</t>
  </si>
  <si>
    <t xml:space="preserve">Timeprisen uten mva. Den er den samme om timen er overtid eller ikke.</t>
  </si>
  <si>
    <t xml:space="preserve">Regnestykket</t>
  </si>
  <si>
    <t xml:space="preserve">Timelønn</t>
  </si>
  <si>
    <t xml:space="preserve">Årslønn delt på timene i året: 480 000 delt på 1 950.</t>
  </si>
  <si>
    <t xml:space="preserve">Hva en vanlig time koster bedriften</t>
  </si>
  <si>
    <t xml:space="preserve">Timelønn pluss alt som kommer på toppen.</t>
  </si>
  <si>
    <t xml:space="preserve">Overtidslønn, før det som kommer på toppen</t>
  </si>
  <si>
    <t xml:space="preserve">Timelønn pluss overtidstillegget.</t>
  </si>
  <si>
    <t xml:space="preserve">Igjen av kundens pris, vanlig time</t>
  </si>
  <si>
    <t xml:space="preserve">Dette kalles dekningsbidrag: det timen gir igjen til resten av bedriften.</t>
  </si>
  <si>
    <t xml:space="preserve">HVA EN OVERTIDSTIME KOSTER BEDRIFTEN</t>
  </si>
  <si>
    <t xml:space="preserve">Overtidslønn pluss det som løper på overtid.</t>
  </si>
  <si>
    <t xml:space="preserve">Så mye dyrere er overtidstimen</t>
  </si>
  <si>
    <t xml:space="preserve">Rundt 31 prosent, ikke 40, fordi noen av påslagene ikke løper på overtid.</t>
  </si>
  <si>
    <t xml:space="preserve">Igjen av kundens pris, overtidstime</t>
  </si>
  <si>
    <t xml:space="preserve">Kunden betaler det samme. Det som blir igjen, faller.</t>
  </si>
  <si>
    <t xml:space="preserve">Hva svaret betyr</t>
  </si>
  <si>
    <t xml:space="preserve">Prøv selv</t>
  </si>
  <si>
    <t xml:space="preserve">1. Sett overtidstillegget (B8) til 50 %. Hva koster overtidstimen nå?</t>
  </si>
  <si>
    <t xml:space="preserve">2. Tillegget er 40 %, men overtidstimen blir bare rundt 31 % dyrere. Sammenlikn B7 og B9. Hvorfor?</t>
  </si>
  <si>
    <t xml:space="preserve">3. Hva må timeprisen (B10) være for at en overtidstime skal gi like mye igjen som en vanlig time gjør i dag?</t>
  </si>
  <si>
    <t xml:space="preserve">Månedslønnen er fra oppgave 6 og påslagene fra tabell 2.4, begge i kapittel 2 i Økonomistyring for LØM-emnet. Timeprisen 890 kroner er Nordlys Elektro AS sin (faktaarket). Overtidstillegget: arbeidsmiljøloven § 10-6. Nordlys Elektro AS er en konstruert casebedrift.</t>
  </si>
  <si>
    <t xml:space="preserve">Arbeidstid, overtid og feriepenger</t>
  </si>
  <si>
    <t xml:space="preserve">LØM Organisasjon og ledelse kap. 20 · arbeidsregneark · Fagskolen Oslo,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</si>
  <si>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</si>
  <si>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</si>
  <si>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</si>
  <si>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</si>
  <si>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</si>
  <si>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</si>
  <si>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</si>
  <si>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</si>
  <si>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</si>
  <si>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</si>
  <si>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Seks gule celler, ett svar. Hva en overtidstime koster bedriften, regnet på den enkleste måten.</t>
  </si>
  <si>
    <t xml:space="preserve">Uka og grensene</t>
  </si>
  <si>
    <t xml:space="preserve">Legg inn timene for én uke. Arket sier hva som er overtid og hvilke grenser som brytes.</t>
  </si>
  <si>
    <t xml:space="preserve">Hva overtidstimen koster</t>
  </si>
  <si>
    <t xml:space="preserve">DET VIKTIGSTE ARKET. Hva en overtidstime koster bedriften, og hva den gjør med dekningsbidraget.</t>
  </si>
  <si>
    <t xml:space="preserve">Overtid eller én montør til</t>
  </si>
  <si>
    <t xml:space="preserve">Regnestykket ingen gjør: er det billigere å ansette enn å kjøre overtid året rundt?</t>
  </si>
  <si>
    <t xml:space="preserve">Feriepenger</t>
  </si>
  <si>
    <t xml:space="preserve">Satsene i ferieloven og med avtalefestet femte ferieuke, med arbeidsgiveravgift og månedlig avsetning.</t>
  </si>
  <si>
    <t xml:space="preserve">Scenario</t>
  </si>
  <si>
    <t xml:space="preserve">Tre spørsmål: hva skjer når uka blir lengre, når overtidstillegget er høyere enn lovens minstekrav, og når overtidstimene fordeles på flere montører.</t>
  </si>
  <si>
    <t xml:space="preserve">Din egen uke</t>
  </si>
  <si>
    <t xml:space="preserve">Samme oppsett som ark 1, tomt. Legg inn timene fra din egen arbeidsplass.</t>
  </si>
  <si>
    <t xml:space="preserve">Gule celler er inndata. Alt annet regner seg selv.</t>
  </si>
  <si>
    <t xml:space="preserve">Oppgave A2 og oppgave 3 i øvingsheftet til kapittel 20 bruker dette arket.</t>
  </si>
  <si>
    <t xml:space="preserve">HVORFOR DETTE REGNEARKET FINNES:</t>
  </si>
  <si>
    <t xml:space="preserve">Arbeidstid og overtid er IKKE behandlet i lærebokas kapittel 20. Reglene står i</t>
  </si>
  <si>
    <t xml:space="preserve">arbeidsmiljøloven kapittel 10 og i ferieloven, og de er navngitt på hvert ark.</t>
  </si>
  <si>
    <t xml:space="preserve">Kapitlet dekker markedsføringsloven, håndverkertjenesteloven og de delene av</t>
  </si>
  <si>
    <t xml:space="preserve">arbeidsmiljøloven som gjelder arbeidsmiljø, ansettelse og opphør.</t>
  </si>
  <si>
    <t xml:space="preserve">DE TRE TALLENE Å HUSKE:</t>
  </si>
  <si>
    <t xml:space="preserve">1) Alminnelig arbeidstid: 9 timer i løpet av 24 timer og 40 timer i løpet av sju dager (§ 10-4).</t>
  </si>
  <si>
    <t xml:space="preserve">2) Overtid uten avtale: 10 timer per sju dager, 25 timer per fire uker, 200 timer per 52 uker (§ 10-6).</t>
  </si>
  <si>
    <t xml:space="preserve">3) Overtidstillegget skal være på minst 40 prosent (§ 10-6).</t>
  </si>
  <si>
    <t xml:space="preserve">DEN ENE ERKJENNELSEN:</t>
  </si>
  <si>
    <t xml:space="preserve">Overtidstimen koster bedriften mer. Kunden betaler det samme. Marginen faller.</t>
  </si>
  <si>
    <t xml:space="preserve">Det er ikke et argument mot overtid — det er et argument for å vite hva den koster.</t>
  </si>
  <si>
    <t xml:space="preserve">KONSTRUERT FOR UNDERVISNINGEN: timetallene i eksempeluka. Månedslønnen er</t>
  </si>
  <si>
    <t xml:space="preserve">beløpet i oppgave 6 og satsene i tabell 2.4 i Økonomistyring for LØM-emnet, timeprisen og</t>
  </si>
  <si>
    <t xml:space="preserve">bemanningen er Nordlys Elektro AS' egne, og satsene for feriepenger og</t>
  </si>
  <si>
    <t xml:space="preserve">arbeidsgiveravgift er de samme som i budsjettet. Der arket og loven skulle stå mot</t>
  </si>
  <si>
    <t xml:space="preserve">hverandre, gjelder loven. Regnearket er øvingsstøtte, ikke et lønnssystem.</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</si>
  <si>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</si>
  <si>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</si>
  <si>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Hvilken oppgave bruker hvilket ark</t>
  </si>
  <si>
    <t xml:space="preserve">Oppgave i øvingsheftet</t>
  </si>
  <si>
    <t xml:space="preserve">Ark</t>
  </si>
  <si>
    <t xml:space="preserve">Celler du endrer og leser av</t>
  </si>
  <si>
    <t xml:space="preserve">A2 · Bemanningen er for lav</t>
  </si>
  <si>
    <t xml:space="preserve">Overtid eller ny montør</t>
  </si>
  <si>
    <t xml:space="preserve">Endre B5 og B12. Les av B11, B23, B27, B28 og teksten i D30.</t>
  </si>
  <si>
    <t xml:space="preserve">1 · Prisoverslaget som sprakk</t>
  </si>
  <si>
    <t xml:space="preserve">—</t>
  </si>
  <si>
    <t xml:space="preserve">Ingen regning i arket.</t>
  </si>
  <si>
    <t xml:space="preserve">2 · Arbeidsavtalen til den nye lærlingen</t>
  </si>
  <si>
    <t xml:space="preserve">3 · Uka, overtiden og hva den koster</t>
  </si>
  <si>
    <t xml:space="preserve">Uka og grensene, Hva overtidstimen koster, Overtid eller ny montør, Scenario</t>
  </si>
  <si>
    <t xml:space="preserve">Punkt a) og b): legg timene inn i kolonne B på ark 1 og les av blokka «Uka målt mot loven». Punkt c): ark 2, les av kostnad ordinær time, kostnad overtidstime og dekningsbidragene. Punkt d): ark 3, og scenario C.</t>
  </si>
  <si>
    <t xml:space="preserve">4 · Angreretten og de grønne påstandene</t>
  </si>
  <si>
    <t xml:space="preserve">5 · Eksamensnær: kunden som ikke vil betale</t>
  </si>
  <si>
    <t xml:space="preserve">Din egen arbeidsplass</t>
  </si>
  <si>
    <t xml:space="preserve">Din egen uke og Feriepenger</t>
  </si>
  <si>
    <t xml:space="preserve">Legg inn dine egne timer i kolonne B, og din egen årslønn i Feriepenger B5.</t>
  </si>
  <si>
    <t xml:space="preserve">Kontrollradene</t>
  </si>
  <si>
    <t xml:space="preserve">Hvert regneark har en kontrollblokk nederst. Står det OK, henger tallene sammen. Står det AVVIK, farges cellen rød, og teksten sier hva som ikke går opp.</t>
  </si>
  <si>
    <t xml:space="preserve">Ett unntak: arket «Din egen uke» er tomt, og statusraden der sier at uka er innenfor grensene helt til du har lagt inn timer. Det er riktig — en uke uten timer bryter ingen grense.</t>
  </si>
  <si>
    <t xml:space="preserve">Kontroller i arbeidsboka: Uka og grensene F34, Uka og grensene F35, Uka og grensene F36, Hva overtidstimen koster D46, Hva overtidstimen koster D47, Hva overtidstimen koster D48, Overtid eller ny montør D36, Overtid eller ny montør D37, Overtid eller ny montør D38, Feriepenger D33, Feriepenger D34, Feriepenger D35, Scenario F39, Scenario F40, Scenario F41, Scenario F42</t>
  </si>
  <si>
    <t xml:space="preserve">Kilder</t>
  </si>
  <si>
    <t xml:space="preserve">Arbeidsmiljøloven §§ 10-4, 10-6 og 10-8 om arbeidstid, overtid og arbeidsfri. Ferieloven §§ 5 og 10 om feriefritid og feriepenger. Kildestatus for kapitlet er kontrollert 10. september 2026.</t>
  </si>
  <si>
    <t xml:space="preserve">Satsene for sosiale kostnader: Økonomistyring for LØM-emnet, tabell 2.4. Timepris og bemanning: Nordlys Elektro AS' egne tall, jf. kapittel 5 og 14.</t>
  </si>
  <si>
    <t xml:space="preserve">Én uke hos Nordlys — hva er overtid, og hvilke grenser brytes?</t>
  </si>
  <si>
    <t xml:space="preserve">Endre de gule cellene i kolonne B. Alt annet regner seg selv.</t>
  </si>
  <si>
    <t xml:space="preserve">Avtalt og lovbestemt arbeidstid</t>
  </si>
  <si>
    <t xml:space="preserve">Avtalt arbeidstid per uke (timer)</t>
  </si>
  <si>
    <t xml:space="preserve">Nordlys' egen avtale. Loven setter taket, avtalen setter normalen.</t>
  </si>
  <si>
    <t xml:space="preserve">Avtalt arbeidstid per dag, mandag til fredag</t>
  </si>
  <si>
    <t xml:space="preserve">Alminnelig arbeidstid per døgn, lovens grense</t>
  </si>
  <si>
    <t xml:space="preserve">Arbeidsmiljøloven § 10-4. Timer ut over dette er overtid.</t>
  </si>
  <si>
    <t xml:space="preserve">Alminnelig arbeidstid per sju dager, lovens grense</t>
  </si>
  <si>
    <t xml:space="preserve">Arbeidsmiljøloven § 10-4.</t>
  </si>
  <si>
    <t xml:space="preserve">Samlet arbeidstid per døgn, lovens grense</t>
  </si>
  <si>
    <t xml:space="preserve">Arbeidsmiljøloven § 10-6. Alminnelig arbeidstid pluss overtid.</t>
  </si>
  <si>
    <t xml:space="preserve">Samlet arbeidstid per sju dager, lovens grense</t>
  </si>
  <si>
    <t xml:space="preserve">Arbeidsmiljøloven § 10-6.</t>
  </si>
  <si>
    <t xml:space="preserve">Arbeidsfri per døgn, lovens minstekrav</t>
  </si>
  <si>
    <t xml:space="preserve">Arbeidsmiljøloven § 10-8. Sammenhengende arbeidsfri i løpet av 24 timer.</t>
  </si>
  <si>
    <t xml:space="preserve">Overtid per sju dager, grensen uten avtale</t>
  </si>
  <si>
    <t xml:space="preserve">Uka til Ronnys lag</t>
  </si>
  <si>
    <t xml:space="preserve">Dag</t>
  </si>
  <si>
    <t xml:space="preserve">Timer arbeidet</t>
  </si>
  <si>
    <t xml:space="preserve">Ut over avtalt dag</t>
  </si>
  <si>
    <t xml:space="preserve">Overtid etter loven</t>
  </si>
  <si>
    <t xml:space="preserve">Arbeidsfri i døgnet</t>
  </si>
  <si>
    <t xml:space="preserve">Merknad</t>
  </si>
  <si>
    <t xml:space="preserve">Mandag</t>
  </si>
  <si>
    <t xml:space="preserve">Tirsdag</t>
  </si>
  <si>
    <t xml:space="preserve">Onsdag</t>
  </si>
  <si>
    <t xml:space="preserve">Torsdag</t>
  </si>
  <si>
    <t xml:space="preserve">Fredag</t>
  </si>
  <si>
    <t xml:space="preserve">Lørdag</t>
  </si>
  <si>
    <t xml:space="preserve">Søndag</t>
  </si>
  <si>
    <t xml:space="preserve">= Sum uke</t>
  </si>
  <si>
    <t xml:space="preserve">Uka målt mot loven</t>
  </si>
  <si>
    <t xml:space="preserve">= Overtid etter dagsgrensen</t>
  </si>
  <si>
    <t xml:space="preserve">Sum av timene ut over 9 timer i løpet av 24 timer.</t>
  </si>
  <si>
    <t xml:space="preserve">= Overtid etter ukegrensen</t>
  </si>
  <si>
    <t xml:space="preserve">Timene ut over 40 i løpet av sju dager.</t>
  </si>
  <si>
    <t xml:space="preserve">= Overtid i uka (den største av de to)</t>
  </si>
  <si>
    <t xml:space="preserve">De to grensene teller ikke dobbelt. Den strengeste gjelder.</t>
  </si>
  <si>
    <t xml:space="preserve">= Merarbeid ut over avtalt, som ikke er overtid</t>
  </si>
  <si>
    <t xml:space="preserve">Timene mellom avtalt ukentlig arbeidstid og lovens grense. Betales, men er ikke overtid etter loven.</t>
  </si>
  <si>
    <t xml:space="preserve">= Lengste dag i uka</t>
  </si>
  <si>
    <t xml:space="preserve">= Status for uka</t>
  </si>
  <si>
    <t xml:space="preserve">Kontroll</t>
  </si>
  <si>
    <t xml:space="preserve">Er overtiden den strengeste av dags- og ukegrensen?</t>
  </si>
  <si>
    <t xml:space="preserve">Går timene i uka opp?</t>
  </si>
  <si>
    <t xml:space="preserve">Er merarbeidet et positivt tall?</t>
  </si>
  <si>
    <t xml:space="preserve">Overtid krever et særlig og tidsavgrenset behov, og skal drøftes med de tillitsvalgte. Fast overtid året rundt er ikke et særlig og tidsavgrenset behov — det er underbemanning.</t>
  </si>
  <si>
    <t xml:space="preserve">Kilde: arbeidsmiljøloven §§ 10-4, 10-6 og 10-8. Timetallene i uka er konstruert for undervisningen.</t>
  </si>
  <si>
    <t xml:space="preserve">Hva koster én overtidstime — og hva gjør den med dekningsbidraget?</t>
  </si>
  <si>
    <t xml:space="preserve">Endre de gule cellene. Alt annet regner seg selv.</t>
  </si>
  <si>
    <t xml:space="preserve">Lønnsgrunnlaget</t>
  </si>
  <si>
    <t xml:space="preserve">Brutto månedslønn</t>
  </si>
  <si>
    <t xml:space="preserve">Beløpet i oppgave 6, kapittel 2 i Økonomistyring for LØM-emnet. Satsene står i tabell 2.4.</t>
  </si>
  <si>
    <t xml:space="preserve">Uker i året</t>
  </si>
  <si>
    <t xml:space="preserve">= Årslønn</t>
  </si>
  <si>
    <t xml:space="preserve">= Årstimer etter avtalt arbeidstid</t>
  </si>
  <si>
    <t xml:space="preserve">= Timelønn</t>
  </si>
  <si>
    <t xml:space="preserve">Årslønn delt på årstimer. Ikke skrevet inn — regnet ut.</t>
  </si>
  <si>
    <t xml:space="preserve">Sosiale kostnader — påslag på lønnen</t>
  </si>
  <si>
    <t xml:space="preserve">Post</t>
  </si>
  <si>
    <t xml:space="preserve">Sats</t>
  </si>
  <si>
    <t xml:space="preserve">Løper på overtid?</t>
  </si>
  <si>
    <t xml:space="preserve">Feriepenger, inkludert arbeidsgiveravgift</t>
  </si>
  <si>
    <t xml:space="preserve">Ja — løper også på overtidsgodtgjørelsen.</t>
  </si>
  <si>
    <t xml:space="preserve">Arbeidsgiveravgift på lønn</t>
  </si>
  <si>
    <t xml:space="preserve">Pensjonspremie</t>
  </si>
  <si>
    <t xml:space="preserve">Arbeidsgiveravgift på pensjon</t>
  </si>
  <si>
    <t xml:space="preserve">Lønn for bevegelige helligdager, høytidsdager m.m.</t>
  </si>
  <si>
    <t xml:space="preserve">Nei — beregnes av den ordinære lønnen, ikke av overtiden.</t>
  </si>
  <si>
    <t xml:space="preserve">Premie til yrkesskadetrygd</t>
  </si>
  <si>
    <t xml:space="preserve">Sykepenger i arbeidsgiverperioden</t>
  </si>
  <si>
    <t xml:space="preserve">= Fullt påslag, ordinær time</t>
  </si>
  <si>
    <t xml:space="preserve">= Påslag som løper på en overtidstime</t>
  </si>
  <si>
    <t xml:space="preserve">Sett 1 i kolonne C for de postene som skal telle med. Lønn for bevegelige helligdager løper ikke på en overtidstime.</t>
  </si>
  <si>
    <t xml:space="preserve">Timen, ordinær og på overtid</t>
  </si>
  <si>
    <t xml:space="preserve">Overtidstillegg (lovens minstekrav er 40 %)</t>
  </si>
  <si>
    <t xml:space="preserve">Arbeidsmiljøloven § 10-6. Mange tariffavtaler i bransjen har høyere satser — prøv med dem.</t>
  </si>
  <si>
    <t xml:space="preserve">= Kostnad, ordinær time</t>
  </si>
  <si>
    <t xml:space="preserve">= Overtidslønn før sosiale kostnader</t>
  </si>
  <si>
    <t xml:space="preserve">= Kostnad, overtidstime</t>
  </si>
  <si>
    <t xml:space="preserve">= Merkostnad per overtidstime</t>
  </si>
  <si>
    <t xml:space="preserve">= Merkostnad i prosent</t>
  </si>
  <si>
    <t xml:space="preserve">Hva timen gjør med dekningsbidraget</t>
  </si>
  <si>
    <t xml:space="preserve">Timepris til kunden, eksklusive merverdiavgift</t>
  </si>
  <si>
    <t xml:space="preserve">Nordlys' egen timepris. Den er den samme uansett når timen jobbes.</t>
  </si>
  <si>
    <t xml:space="preserve">= Dekningsbidrag, ordinær time</t>
  </si>
  <si>
    <t xml:space="preserve">= Dekningsbidrag, overtidstime</t>
  </si>
  <si>
    <t xml:space="preserve">= Fall i dekningsbidrag per time</t>
  </si>
  <si>
    <t xml:space="preserve">= Fall i prosent</t>
  </si>
  <si>
    <t xml:space="preserve">Over ett år</t>
  </si>
  <si>
    <t xml:space="preserve">Overtidstimer siste tolv måneder, én montør</t>
  </si>
  <si>
    <t xml:space="preserve">= Merkostnad for bedriften, ett år</t>
  </si>
  <si>
    <t xml:space="preserve">= Tapt dekningsbidrag mot ordinære timer</t>
  </si>
  <si>
    <t xml:space="preserve">= Innenfor lovens grense uten avtale?</t>
  </si>
  <si>
    <t xml:space="preserve">Er påslaget på overtid lavere enn det fulle påslaget?</t>
  </si>
  <si>
    <t xml:space="preserve">Koster overtidstimen mer enn den ordinære?</t>
  </si>
  <si>
    <t xml:space="preserve">Gir overtidstimen fortsatt positivt dekningsbidrag?</t>
  </si>
  <si>
    <t xml:space="preserve">Overtidstimen koster mer. Kunden betaler det samme. Marginen faller — og det er derfor overtid er en beslutning og ikke en løsning.</t>
  </si>
  <si>
    <t xml:space="preserve">Kilde: arbeidsmiljøloven § 10-6 om overtidstillegg og grenser. Satsene for sosiale kostnader er fra Økonomistyring for LØM-emnet, tabell 2.4.</t>
  </si>
  <si>
    <t xml:space="preserve">Overtid året rundt, eller én montør til?</t>
  </si>
  <si>
    <t xml:space="preserve">Regnestykket ingen gjør før de sier ja til neste oppdrag.</t>
  </si>
  <si>
    <t xml:space="preserve">Behovet</t>
  </si>
  <si>
    <t xml:space="preserve">Timer som må dekkes ut over ordinær kapasitet, per år</t>
  </si>
  <si>
    <t xml:space="preserve">Sett inn deres eget tall. 1 200 timer er det Nordlys regner som ett montørårsverk i fakturerbare timer.</t>
  </si>
  <si>
    <t xml:space="preserve">Alternativ A — overtid</t>
  </si>
  <si>
    <t xml:space="preserve">Kostnad per overtidstime</t>
  </si>
  <si>
    <t xml:space="preserve">= Lønnskostnad, ett år</t>
  </si>
  <si>
    <t xml:space="preserve">= Fakturert, ett år</t>
  </si>
  <si>
    <t xml:space="preserve">= Dekningsbidrag, ett år</t>
  </si>
  <si>
    <t xml:space="preserve">= Overtidstimer per montør hvis fordelt på antall montører</t>
  </si>
  <si>
    <t xml:space="preserve">Alternativ B — ansette én montør til</t>
  </si>
  <si>
    <t xml:space="preserve">Fullt påslag for sosiale kostnader</t>
  </si>
  <si>
    <t xml:space="preserve">= Lønnskostnad inklusive sosiale kostnader</t>
  </si>
  <si>
    <t xml:space="preserve">Andre kostnader per montør: bil, verktøy, telefon, arbeidstøy, kurs</t>
  </si>
  <si>
    <t xml:space="preserve">Sett inn deres eget tall. Dette er ofte det som glemmes i sammenlikningen.</t>
  </si>
  <si>
    <t xml:space="preserve">= Årskostnad, ny montør</t>
  </si>
  <si>
    <t xml:space="preserve">Fakturerbare timer per montør, per år</t>
  </si>
  <si>
    <t xml:space="preserve">Nordlys' eget tall. Resten av tida går til kjøring, dokumentasjon, møter, kurs og fravær.</t>
  </si>
  <si>
    <t xml:space="preserve">= Kostnad per fakturert time</t>
  </si>
  <si>
    <t xml:space="preserve">Sammenlikningen</t>
  </si>
  <si>
    <t xml:space="preserve">= Kostnad per fakturert time, overtid</t>
  </si>
  <si>
    <t xml:space="preserve">= Kostnad per fakturert time, ny montør</t>
  </si>
  <si>
    <t xml:space="preserve">= Forskjell per time</t>
  </si>
  <si>
    <t xml:space="preserve">= Hva sier tallene?</t>
  </si>
  <si>
    <t xml:space="preserve">Regnestykket avgjør ikke saken alene. En ansettelse binder bedriften i årevis og forutsetter at oppdragsmengden holder seg. Overtid er fleksibelt, men kan ikke være en varig ordning — loven krever et særlig og tidsavgrenset behov.</t>
  </si>
  <si>
    <t xml:space="preserve">Er timebehovet fordelt på minst én montør?</t>
  </si>
  <si>
    <t xml:space="preserve">Gir en ny montør positivt dekningsbidrag?</t>
  </si>
  <si>
    <t xml:space="preserve">Går sammenlikningen opp?</t>
  </si>
  <si>
    <t xml:space="preserve">Kilde: arbeidsmiljøloven § 10-6. Bemanning og fakturerbare timer er Nordlys Elektro AS' egne tall.</t>
  </si>
  <si>
    <t xml:space="preserve">Feriepenger — satsene, avgiften og avsetningen</t>
  </si>
  <si>
    <t xml:space="preserve">Feriepengegrunnlaget</t>
  </si>
  <si>
    <t xml:space="preserve">Arbeidsvederlag utbetalt i opptjeningsåret</t>
  </si>
  <si>
    <t xml:space="preserve">Ferieloven § 10. Grunnlaget er det som faktisk er utbetalt i opptjeningsåret — også overtidsgodtgjørelse.</t>
  </si>
  <si>
    <t xml:space="preserve">Overtidsgodtgjørelse utbetalt i opptjeningsåret</t>
  </si>
  <si>
    <t xml:space="preserve">Overtidsbetalingen inngår i grunnlaget. Feriepenger av feriepenger gjør det ikke.</t>
  </si>
  <si>
    <t xml:space="preserve">= Samlet feriepengegrunnlag</t>
  </si>
  <si>
    <t xml:space="preserve">Satsene</t>
  </si>
  <si>
    <t xml:space="preserve">Prosent</t>
  </si>
  <si>
    <t xml:space="preserve">Hjemmel</t>
  </si>
  <si>
    <t xml:space="preserve">Ferieloven, under 60 år</t>
  </si>
  <si>
    <t xml:space="preserve">Ferieloven § 10 andre ledd. Svarer til 25 virkedager ferie etter § 5.</t>
  </si>
  <si>
    <t xml:space="preserve">Ferieloven, fylt 60 år</t>
  </si>
  <si>
    <t xml:space="preserve">Satsen er 2,3 prosentpoeng høyere.</t>
  </si>
  <si>
    <t xml:space="preserve">Avtalefestet fem ukers ferie, under 60 år</t>
  </si>
  <si>
    <t xml:space="preserve">Nordlys' egen avtale. Loven er et minstekrav — bedre vilkår kan avtales.</t>
  </si>
  <si>
    <t xml:space="preserve">Avtalefestet fem ukers ferie, fylt 60 år</t>
  </si>
  <si>
    <t xml:space="preserve">Samme tillegg på 2,3 prosentpoeng.</t>
  </si>
  <si>
    <t xml:space="preserve">Det Nordlys faktisk avsetter</t>
  </si>
  <si>
    <t xml:space="preserve">Satsen som brukes</t>
  </si>
  <si>
    <t xml:space="preserve">= Feriepenger</t>
  </si>
  <si>
    <t xml:space="preserve">Arbeidsgiveravgift</t>
  </si>
  <si>
    <t xml:space="preserve">= Arbeidsgiveravgift på feriepengene</t>
  </si>
  <si>
    <t xml:space="preserve">= Samlet avsetning</t>
  </si>
  <si>
    <t xml:space="preserve">= Avsetning per måned</t>
  </si>
  <si>
    <t xml:space="preserve">Feriepengene er ikke en kostnad som kommer i juni. De opptjenes hver måned og skal avsettes hver måned.</t>
  </si>
  <si>
    <t xml:space="preserve">= Feriepenger med arbeidsgiveravgift, i prosent av grunnlaget</t>
  </si>
  <si>
    <t xml:space="preserve">Sammenlikn med posten «Feriepenger, inkludert arbeidsgiveravgift» i lønnspåslaget. Den skal stemme.</t>
  </si>
  <si>
    <t xml:space="preserve">Feriefritiden</t>
  </si>
  <si>
    <t xml:space="preserve">Feriedager etter ferieloven (virkedager)</t>
  </si>
  <si>
    <t xml:space="preserve">Ferieloven § 5. Lørdag regnes som virkedag, så 25 virkedager er fire uker og én dag.</t>
  </si>
  <si>
    <t xml:space="preserve">= Tilsvarer, i uker med seks virkedager</t>
  </si>
  <si>
    <t xml:space="preserve">Loven gir fire uker og én dag. Den femte uka er avtalt, og den er grunnen til at satsen er 12 prosent og ikke 10,2.</t>
  </si>
  <si>
    <t xml:space="preserve">Er 60-årssatsen høyere enn hovedsatsen?</t>
  </si>
  <si>
    <t xml:space="preserve">Er den avtalte satsen minst like høy som lovens?</t>
  </si>
  <si>
    <t xml:space="preserve">Stemmer avsetningen med lønnspåslaget?</t>
  </si>
  <si>
    <t xml:space="preserve">Kilde: ferieloven §§ 5 og 10. Arbeidsgiveravgiften er den samme satsen som i budsjettet til Nordlys.</t>
  </si>
  <si>
    <t xml:space="preserve">Tre scenarioer</t>
  </si>
  <si>
    <t xml:space="preserve">Endre de gule cellene og se hva som skjer. Alle tall hentes fra de andre arkene.</t>
  </si>
  <si>
    <t xml:space="preserve">Scenario A · hva skjer når uka blir lengre?</t>
  </si>
  <si>
    <t xml:space="preserve">Samme lag, samme timepris. Det eneste som endrer seg, er hvor mange timer uka inneholder.</t>
  </si>
  <si>
    <t xml:space="preserve">Uker i året med denne belastningen</t>
  </si>
  <si>
    <t xml:space="preserve">Årsverket delt på avtalt ukentlig arbeidstid. Endre det gjerne.</t>
  </si>
  <si>
    <t xml:space="preserve">Timer i uka</t>
  </si>
  <si>
    <t xml:space="preserve">Merkostnad i uka</t>
  </si>
  <si>
    <t xml:space="preserve">Merkostnad på et år</t>
  </si>
  <si>
    <t xml:space="preserve">Innenfor § 10-6?</t>
  </si>
  <si>
    <t xml:space="preserve">Hva raden betyr</t>
  </si>
  <si>
    <t xml:space="preserve">Avtalt arbeidstid. Ingen overtid, ingen merkostnad.</t>
  </si>
  <si>
    <t xml:space="preserve">Lovens grense for alminnelig arbeidstid. Fortsatt ingen overtid.</t>
  </si>
  <si>
    <t xml:space="preserve">Fem timer overtid. Vanlig i en travel periode.</t>
  </si>
  <si>
    <t xml:space="preserve">Taket for samlet arbeidstid i løpet av sju dager. Grensen kan gjennomsnittsberegnes over åtte uker (§ 10-6 åttende ledd).</t>
  </si>
  <si>
    <t xml:space="preserve">Uka til Ronnys lag. Over taket, og over overtidsgrensen.</t>
  </si>
  <si>
    <t xml:space="preserve">Scenario B · hva hvis tillegget er høyere enn lovens minstekrav?</t>
  </si>
  <si>
    <t xml:space="preserve">Mange tariffavtaler i bransjen har høyere satser enn de 40 prosentene loven krever. Prøv med deres egne.</t>
  </si>
  <si>
    <t xml:space="preserve">Overtidstillegg</t>
  </si>
  <si>
    <t xml:space="preserve">Overtidslønn</t>
  </si>
  <si>
    <t xml:space="preserve">Kostnad per time</t>
  </si>
  <si>
    <t xml:space="preserve">Dekningsbidrag</t>
  </si>
  <si>
    <t xml:space="preserve">Fall mot ordinær time</t>
  </si>
  <si>
    <t xml:space="preserve">Lovens minstekrav, jf. § 10-6.</t>
  </si>
  <si>
    <t xml:space="preserve">Vanlig sats for de første timene i mange tariffavtaler.</t>
  </si>
  <si>
    <t xml:space="preserve">Kveld og natt i mange avtaler.</t>
  </si>
  <si>
    <t xml:space="preserve">Søndag og helligdag i mange avtaler.</t>
  </si>
  <si>
    <t xml:space="preserve">Scenario C · hva hvis overtiden fordeles på flere?</t>
  </si>
  <si>
    <t xml:space="preserve">Samme timetall, fordelt på ulikt antall montører. Grensene i § 10-6 gjelder PER ARBEIDSTAKER.</t>
  </si>
  <si>
    <t xml:space="preserve">Montører å fordele på</t>
  </si>
  <si>
    <t xml:space="preserve">Timer per montør</t>
  </si>
  <si>
    <t xml:space="preserve">Merkostnad i året</t>
  </si>
  <si>
    <t xml:space="preserve">Overtidstimer å fordele, ett år</t>
  </si>
  <si>
    <t xml:space="preserve">Sett inn deres eget tall. Nordlys' egen montør hadde 212 timer.</t>
  </si>
  <si>
    <t xml:space="preserve">Én montør tar alt.</t>
  </si>
  <si>
    <t xml:space="preserve">Fordelt på 2 montører.</t>
  </si>
  <si>
    <t xml:space="preserve">Fordelt på 3 montører.</t>
  </si>
  <si>
    <t xml:space="preserve">Fordelt på alle 12 montørene.</t>
  </si>
  <si>
    <t xml:space="preserve">Les tabellene slik</t>
  </si>
  <si>
    <t xml:space="preserve">Scenario A: merkostnaden i uka ser liten ut. Kolonnen ved siden av ganger den med et helt år, og da slutter den å se liten ut.</t>
  </si>
  <si>
    <t xml:space="preserve">Scenario B: overtidstillegget er det eneste tallet i arket bedriften ikke kan forhandle ned — loven setter et minstekrav på 40 prosent, og tariffavtalen kan sette det høyere.</t>
  </si>
  <si>
    <t xml:space="preserve">Scenario C: merkostnaden i kroner er den samme uansett hvor mange som deler timene. Det som endrer seg, er om det er lovlig — og det er nettopp derfor fordeling er det første grepet, ikke det siste.</t>
  </si>
  <si>
    <t xml:space="preserve">Stiger overtiden når uka blir lengre?</t>
  </si>
  <si>
    <t xml:space="preserve">Faller dekningsbidraget når tillegget øker?</t>
  </si>
  <si>
    <t xml:space="preserve">Stemmer 40-prosentraden med arket «Hva overtidstimen koster»?</t>
  </si>
  <si>
    <t xml:space="preserve">Blir timene per montør færre når flere deler?</t>
  </si>
  <si>
    <t xml:space="preserve">Kilde: arbeidsmiljøloven §§ 10-4, 10-6 og 10-8. Timepris og bemanning er Nordlys Elektro AS' egne tall.</t>
  </si>
  <si>
    <t xml:space="preserve">Din egen uke — samme oppsett, tomt</t>
  </si>
  <si>
    <t xml:space="preserve">Legg inn timene fra din egen arbeidsplass. Formlene følger med.</t>
  </si>
  <si>
    <t xml:space="preserve">Din uke</t>
  </si>
  <si>
    <t xml:space="preserve">= Overtid i uka (den strengeste av dags- og ukegrensen)</t>
  </si>
  <si>
    <t xml:space="preserve">Kilde: arbeidsmiljøloven §§ 10-4, 10-6 og 10-8.</t>
  </si>
</sst>
</file>

<file path=xl/styles.xml><?xml version="1.0" encoding="utf-8"?>
<styleSheet xmlns="http://schemas.openxmlformats.org/spreadsheetml/2006/main">
  <numFmts count="7">
    <numFmt numFmtId="164" formatCode="General"/>
    <numFmt numFmtId="165" formatCode="#,##0"/>
    <numFmt numFmtId="166" formatCode="#,##0.00"/>
    <numFmt numFmtId="167" formatCode="0.0\ %"/>
    <numFmt numFmtId="168" formatCode="#,##0&quot; kr&quot;"/>
    <numFmt numFmtId="169" formatCode="#,##0.00&quot; kr&quot;"/>
    <numFmt numFmtId="170" formatCode="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6" fontId="10" fillId="5"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6" fontId="11" fillId="6"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69" fontId="11" fillId="6" borderId="1" xfId="0" applyFont="true" applyBorder="true" applyAlignment="false" applyProtection="false">
      <alignment horizontal="general" vertical="bottom" textRotation="0" wrapText="false" indent="0" shrinkToFit="false"/>
      <protection locked="true" hidden="false"/>
    </xf>
    <xf numFmtId="168" fontId="11"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ht="24.75" customHeight="true" r="5" customFormat="false" hidden="false" outlineLevel="0" collapsed="false">
      <c r="A5" s="5" t="s">
        <v>3</v>
      </c>
      <c r="B5" s="6" t="n">
        <v>40000</v>
      </c>
      <c r="C5" s="7" t="s">
        <v>4</v>
      </c>
    </row>
    <row r="6" customFormat="false" ht="15" hidden="false" customHeight="true" outlineLevel="0" collapsed="false">
      <c r="A6" s="5" t="s">
        <v>5</v>
      </c>
      <c r="B6" s="8" t="n">
        <v>37.5</v>
      </c>
      <c r="C6" s="7" t="s">
        <v>6</v>
      </c>
    </row>
    <row ht="27" customHeight="true" r="7" customFormat="false" hidden="false" outlineLevel="0" collapsed="false">
      <c r="A7" s="5" t="s">
        <v>7</v>
      </c>
      <c r="B7" s="9" t="n">
        <v>0.468</v>
      </c>
      <c r="C7" s="7" t="s">
        <v>8</v>
      </c>
    </row>
    <row r="8" customFormat="false" ht="15" hidden="false" customHeight="true" outlineLevel="0" collapsed="false">
      <c r="A8" s="5" t="s">
        <v>9</v>
      </c>
      <c r="B8" s="9" t="n">
        <v>0.4</v>
      </c>
      <c r="C8" s="7" t="s">
        <v>10</v>
      </c>
    </row>
    <row ht="24.75" customHeight="true" r="9" customFormat="false" hidden="false" outlineLevel="0" collapsed="false">
      <c r="A9" s="5" t="s">
        <v>11</v>
      </c>
      <c r="B9" s="9" t="n">
        <v>0.369</v>
      </c>
      <c r="C9" s="7" t="s">
        <v>12</v>
      </c>
    </row>
    <row r="10" customFormat="false" ht="15" hidden="false" customHeight="true" outlineLevel="0" collapsed="false">
      <c r="A10" s="5" t="s">
        <v>13</v>
      </c>
      <c r="B10" s="6" t="n">
        <v>890</v>
      </c>
      <c r="C10" s="7" t="s">
        <v>14</v>
      </c>
    </row>
    <row r="11" customFormat="false" ht="15" hidden="false" customHeight="true" outlineLevel="0" collapsed="false"/>
    <row r="12" customFormat="false" ht="15" hidden="false" customHeight="true" outlineLevel="0" collapsed="false">
      <c r="A12" s="3" t="s">
        <v>15</v>
      </c>
      <c r="B12" s="4"/>
      <c r="C12" s="4"/>
    </row>
    <row r="13" customFormat="false" ht="15" hidden="false" customHeight="true" outlineLevel="0" collapsed="false">
      <c r="A13" s="5" t="s">
        <v>16</v>
      </c>
      <c r="B13" s="10" t="n">
        <f aca="false">B5*12/(B6*52)</f>
        <v>246.153846153846</v>
      </c>
      <c r="C13" s="7" t="s">
        <v>17</v>
      </c>
    </row>
    <row r="14" customFormat="false" ht="15" hidden="false" customHeight="true" outlineLevel="0" collapsed="false">
      <c r="A14" s="5" t="s">
        <v>18</v>
      </c>
      <c r="B14" s="10" t="n">
        <f aca="false">B13*(1+B7)</f>
        <v>361.353846153846</v>
      </c>
      <c r="C14" s="7" t="s">
        <v>19</v>
      </c>
    </row>
    <row r="15" customFormat="false" ht="15" hidden="false" customHeight="true" outlineLevel="0" collapsed="false">
      <c r="A15" s="5" t="s">
        <v>20</v>
      </c>
      <c r="B15" s="10" t="n">
        <f aca="false">B13*(1+B8)</f>
        <v>344.615384615385</v>
      </c>
      <c r="C15" s="7" t="s">
        <v>21</v>
      </c>
    </row>
    <row r="16" customFormat="false" ht="15" hidden="false" customHeight="true" outlineLevel="0" collapsed="false">
      <c r="A16" s="5" t="s">
        <v>22</v>
      </c>
      <c r="B16" s="10" t="n">
        <f aca="false">B10-B14</f>
        <v>528.646153846154</v>
      </c>
      <c r="C16" s="7" t="s">
        <v>23</v>
      </c>
    </row>
    <row r="17" customFormat="false" ht="15" hidden="false" customHeight="true" outlineLevel="0" collapsed="false"/>
    <row ht="32.25" customHeight="true" r="18" customFormat="false" hidden="false" outlineLevel="0" collapsed="false">
      <c r="A18" s="11" t="s">
        <v>24</v>
      </c>
      <c r="B18" s="12" t="n">
        <f aca="false">B15*(1+B9)</f>
        <v>471.778461538462</v>
      </c>
      <c r="C18" s="7" t="s">
        <v>25</v>
      </c>
    </row>
    <row r="19" customFormat="false" ht="15" hidden="false" customHeight="true" outlineLevel="0" collapsed="false">
      <c r="A19" s="5" t="s">
        <v>26</v>
      </c>
      <c r="B19" s="13" t="n">
        <f aca="false">B18/B14-1</f>
        <v>0.30558583106267</v>
      </c>
      <c r="C19" s="7" t="s">
        <v>27</v>
      </c>
    </row>
    <row r="20" customFormat="false" ht="15" hidden="false" customHeight="true" outlineLevel="0" collapsed="false">
      <c r="A20" s="5" t="s">
        <v>28</v>
      </c>
      <c r="B20" s="10" t="n">
        <f aca="false">B10-B18</f>
        <v>418.221538461539</v>
      </c>
      <c r="C20" s="7" t="s">
        <v>29</v>
      </c>
    </row>
    <row r="21" customFormat="false" ht="15" hidden="false" customHeight="true" outlineLevel="0" collapsed="false"/>
    <row r="22" customFormat="false" ht="15" hidden="false" customHeight="true" outlineLevel="0" collapsed="false">
      <c r="A22" s="3" t="s">
        <v>30</v>
      </c>
      <c r="B22" s="4"/>
      <c r="C22" s="4"/>
    </row>
    <row r="23" customFormat="false" ht="33.75" hidden="false" customHeight="true" outlineLevel="0" collapsed="false">
      <c r="A23" s="14" t="str">
        <f aca="false">"En overtidstime koster bedriften "&amp;TEXT(ROUND(B18,2),"#,##0.00")&amp;" kroner, mot "&amp;TEXT(ROUND(B14,2),"#,##0.00")&amp;" for en vanlig time. Kunden betaler "&amp;TEXT(ROUND(B10,0),"#,##0")&amp;" kroner for begge, så det som blir igjen, faller fra "&amp;TEXT(ROUND(B16,2),"#,##0.00")&amp;" til "&amp;TEXT(ROUND(B20,2),"#,##0.00")&amp;" kroner."</f>
        <v>En overtidstime koster bedriften 471.78 kroner, mot 361.35 for en vanlig time. Kunden betaler 890 kroner for begge, så det som blir igjen, faller fra 528.65 til 418.22 kroner.</v>
      </c>
      <c r="B23" s="14"/>
      <c r="C23" s="14"/>
    </row>
    <row r="24" customFormat="false" ht="15" hidden="false" customHeight="true" outlineLevel="0" collapsed="false"/>
    <row r="25" customFormat="false" ht="15" hidden="false" customHeight="true" outlineLevel="0" collapsed="false">
      <c r="A25" s="3" t="s">
        <v>31</v>
      </c>
      <c r="B25" s="4"/>
      <c r="C25" s="4"/>
    </row>
    <row r="26" customFormat="false" ht="15" hidden="false" customHeight="true" outlineLevel="0" collapsed="false">
      <c r="A26" s="15" t="s">
        <v>32</v>
      </c>
      <c r="B26" s="15"/>
      <c r="C26" s="15"/>
    </row>
    <row r="27" customFormat="false" ht="27" hidden="false" customHeight="true" outlineLevel="0" collapsed="false">
      <c r="A27" s="15" t="s">
        <v>33</v>
      </c>
      <c r="B27" s="15"/>
      <c r="C27" s="15"/>
    </row>
    <row r="28" customFormat="false" ht="27" hidden="false" customHeight="true" outlineLevel="0" collapsed="false">
      <c r="A28" s="15" t="s">
        <v>34</v>
      </c>
      <c r="B28" s="15"/>
      <c r="C28" s="15"/>
    </row>
    <row r="29" customFormat="false" ht="15" hidden="false" customHeight="true" outlineLevel="0" collapsed="false"/>
    <row r="30" customFormat="false" ht="27" hidden="false" customHeight="true" outlineLevel="0" collapsed="false">
      <c r="A30" s="2" t="s">
        <v>35</v>
      </c>
      <c r="B30" s="2"/>
      <c r="C30" s="2"/>
    </row>
  </sheetData>
  <mergeCells count="6">
    <mergeCell ref="A2:C2"/>
    <mergeCell ref="A23:C23"/>
    <mergeCell ref="A26:C26"/>
    <mergeCell ref="A27:C27"/>
    <mergeCell ref="A28:C28"/>
    <mergeCell ref="A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86"/>
    <col collapsed="false" customWidth="true" hidden="false" outlineLevel="0" max="3" min="3" style="0" width="62"/>
  </cols>
  <sheetData>
    <row r="1" customFormat="false" ht="17.35" hidden="false" customHeight="false" outlineLevel="0" collapsed="false">
      <c r="A1" s="1" t="s">
        <v>36</v>
      </c>
    </row>
    <row r="2" customFormat="false" ht="15" hidden="false" customHeight="false" outlineLevel="0" collapsed="false">
      <c r="A2" s="16" t="s">
        <v>37</v>
      </c>
    </row>
    <row r="3" customFormat="false" ht="15" hidden="false" customHeight="false" outlineLevel="0" collapsed="false">
      <c r="A3" s="17" t="s">
        <v>38</v>
      </c>
    </row>
    <row r="4" customFormat="false" ht="15" hidden="false" customHeight="false" outlineLevel="0" collapsed="false">
      <c r="A4" s="18" t="s">
        <v>39</v>
      </c>
    </row>
    <row r="5" customFormat="false" ht="15" hidden="false" customHeight="false" outlineLevel="0" collapsed="false">
      <c r="A5" s="19" t="s">
        <v>40</v>
      </c>
      <c r="B5" s="20" t="s">
        <v>41</v>
      </c>
    </row>
    <row r="6" customFormat="false" ht="15" hidden="false" customHeight="false" outlineLevel="0" collapsed="false">
      <c r="A6" s="21" t="s">
        <v>42</v>
      </c>
      <c r="B6" s="20" t="s">
        <v>43</v>
      </c>
    </row>
    <row r="7" customFormat="false" ht="15" hidden="false" customHeight="false" outlineLevel="0" collapsed="false">
      <c r="A7" s="21" t="s">
        <v>44</v>
      </c>
      <c r="B7" s="20" t="s">
        <v>45</v>
      </c>
    </row>
    <row r="9" customFormat="false" ht="15" hidden="false" customHeight="false" outlineLevel="0" collapsed="false">
      <c r="A9" s="18" t="s">
        <v>46</v>
      </c>
    </row>
    <row r="10" customFormat="false" ht="15" hidden="false" customHeight="false" outlineLevel="0" collapsed="false">
      <c r="A10" s="22" t="s">
        <v>47</v>
      </c>
      <c r="B10" s="20" t="s">
        <v>48</v>
      </c>
    </row>
    <row r="11" customFormat="false" ht="15" hidden="false" customHeight="false" outlineLevel="0" collapsed="false">
      <c r="A11" s="22" t="s">
        <v>49</v>
      </c>
      <c r="B11" s="20" t="s">
        <v>50</v>
      </c>
    </row>
    <row r="12" customFormat="false" ht="15" hidden="false" customHeight="false" outlineLevel="0" collapsed="false">
      <c r="A12" s="22" t="s">
        <v>51</v>
      </c>
      <c r="B12" s="20" t="s">
        <v>52</v>
      </c>
    </row>
    <row r="13" customFormat="false" ht="15" hidden="false" customHeight="false" outlineLevel="0" collapsed="false">
      <c r="A13" s="22" t="s">
        <v>53</v>
      </c>
      <c r="B13" s="20" t="s">
        <v>54</v>
      </c>
    </row>
    <row r="14" customFormat="false" ht="15" hidden="false" customHeight="false" outlineLevel="0" collapsed="false">
      <c r="A14" s="22" t="s">
        <v>55</v>
      </c>
      <c r="B14" s="20" t="s">
        <v>56</v>
      </c>
    </row>
    <row r="15" customFormat="false" ht="15" hidden="false" customHeight="false" outlineLevel="0" collapsed="false">
      <c r="A15" s="22" t="s">
        <v>57</v>
      </c>
      <c r="B15" s="20" t="s">
        <v>58</v>
      </c>
    </row>
    <row r="16" customFormat="false" ht="15" hidden="false" customHeight="false" outlineLevel="0" collapsed="false">
      <c r="A16" s="22" t="s">
        <v>59</v>
      </c>
      <c r="B16" s="20" t="s">
        <v>60</v>
      </c>
    </row>
    <row r="18" customFormat="false" ht="15" hidden="false" customHeight="false" outlineLevel="0" collapsed="false">
      <c r="A18" s="17" t="s">
        <v>61</v>
      </c>
    </row>
    <row r="19" customFormat="false" ht="15" hidden="false" customHeight="false" outlineLevel="0" collapsed="false">
      <c r="A19" s="17"/>
    </row>
    <row r="20" customFormat="false" ht="15" hidden="false" customHeight="false" outlineLevel="0" collapsed="false">
      <c r="A20" s="17" t="s">
        <v>62</v>
      </c>
    </row>
    <row r="21" customFormat="false" ht="15" hidden="false" customHeight="false" outlineLevel="0" collapsed="false">
      <c r="A21" s="17"/>
    </row>
    <row r="22" customFormat="false" ht="15" hidden="false" customHeight="false" outlineLevel="0" collapsed="false">
      <c r="A22" s="17" t="s">
        <v>63</v>
      </c>
    </row>
    <row r="23" customFormat="false" ht="15" hidden="false" customHeight="false" outlineLevel="0" collapsed="false">
      <c r="A23" s="17" t="s">
        <v>64</v>
      </c>
    </row>
    <row r="24" customFormat="false" ht="15" hidden="false" customHeight="false" outlineLevel="0" collapsed="false">
      <c r="A24" s="17" t="s">
        <v>65</v>
      </c>
    </row>
    <row r="25" customFormat="false" ht="15" hidden="false" customHeight="false" outlineLevel="0" collapsed="false">
      <c r="A25" s="17" t="s">
        <v>66</v>
      </c>
    </row>
    <row r="26" customFormat="false" ht="15" hidden="false" customHeight="false" outlineLevel="0" collapsed="false">
      <c r="A26" s="17" t="s">
        <v>67</v>
      </c>
    </row>
    <row r="27" customFormat="false" ht="15" hidden="false" customHeight="false" outlineLevel="0" collapsed="false">
      <c r="A27" s="17"/>
    </row>
    <row r="28" customFormat="false" ht="15" hidden="false" customHeight="false" outlineLevel="0" collapsed="false">
      <c r="A28" s="17" t="s">
        <v>68</v>
      </c>
    </row>
    <row r="29" customFormat="false" ht="15" hidden="false" customHeight="false" outlineLevel="0" collapsed="false">
      <c r="A29" s="17" t="s">
        <v>69</v>
      </c>
    </row>
    <row r="30" customFormat="false" ht="15" hidden="false" customHeight="false" outlineLevel="0" collapsed="false">
      <c r="A30" s="17" t="s">
        <v>70</v>
      </c>
    </row>
    <row r="31" customFormat="false" ht="15" hidden="false" customHeight="false" outlineLevel="0" collapsed="false">
      <c r="A31" s="17" t="s">
        <v>71</v>
      </c>
    </row>
    <row r="32" customFormat="false" ht="15" hidden="false" customHeight="false" outlineLevel="0" collapsed="false">
      <c r="A32" s="17"/>
    </row>
    <row r="33" customFormat="false" ht="15" hidden="false" customHeight="false" outlineLevel="0" collapsed="false">
      <c r="A33" s="17" t="s">
        <v>72</v>
      </c>
    </row>
    <row r="34" customFormat="false" ht="15" hidden="false" customHeight="false" outlineLevel="0" collapsed="false">
      <c r="A34" s="17" t="s">
        <v>73</v>
      </c>
    </row>
    <row r="35" customFormat="false" ht="15" hidden="false" customHeight="false" outlineLevel="0" collapsed="false">
      <c r="A35" s="17" t="s">
        <v>74</v>
      </c>
    </row>
    <row r="36" customFormat="false" ht="15" hidden="false" customHeight="false" outlineLevel="0" collapsed="false">
      <c r="A36" s="17"/>
    </row>
    <row r="37" customFormat="false" ht="15" hidden="false" customHeight="false" outlineLevel="0" collapsed="false">
      <c r="A37" s="17" t="s">
        <v>75</v>
      </c>
    </row>
    <row r="38" customFormat="false" ht="15" hidden="false" customHeight="false" outlineLevel="0" collapsed="false">
      <c r="A38" s="17" t="s">
        <v>76</v>
      </c>
    </row>
    <row r="39" customFormat="false" ht="15" hidden="false" customHeight="false" outlineLevel="0" collapsed="false">
      <c r="A39" s="17" t="s">
        <v>77</v>
      </c>
    </row>
    <row r="40" customFormat="false" ht="15" hidden="false" customHeight="false" outlineLevel="0" collapsed="false">
      <c r="A40" s="17" t="s">
        <v>78</v>
      </c>
    </row>
    <row r="41" customFormat="false" ht="15" hidden="false" customHeight="false" outlineLevel="0" collapsed="false">
      <c r="A41" s="17" t="s">
        <v>79</v>
      </c>
    </row>
    <row r="43" customFormat="false" ht="15" hidden="false" customHeight="false" outlineLevel="0" collapsed="false">
      <c r="A43" s="17" t="s">
        <v>80</v>
      </c>
    </row>
    <row r="44" customFormat="false" ht="15" hidden="false" customHeight="false" outlineLevel="0" collapsed="false">
      <c r="A44" s="17" t="s">
        <v>81</v>
      </c>
    </row>
    <row r="46" customFormat="false" ht="15" hidden="false" customHeight="false" outlineLevel="0" collapsed="false">
      <c r="A46" s="18" t="s">
        <v>82</v>
      </c>
    </row>
    <row r="47" customFormat="false" ht="27.75" hidden="false" customHeight="true" outlineLevel="0" collapsed="false">
      <c r="A47" s="23" t="s">
        <v>83</v>
      </c>
      <c r="B47" s="23" t="s">
        <v>84</v>
      </c>
      <c r="C47" s="23" t="s">
        <v>85</v>
      </c>
    </row>
    <row r="48" customFormat="false" ht="15" hidden="false" customHeight="false" outlineLevel="0" collapsed="false">
      <c r="A48" s="20" t="s">
        <v>86</v>
      </c>
      <c r="B48" s="22" t="s">
        <v>87</v>
      </c>
      <c r="C48" s="20" t="s">
        <v>88</v>
      </c>
    </row>
    <row r="49" customFormat="false" ht="15" hidden="false" customHeight="false" outlineLevel="0" collapsed="false">
      <c r="A49" s="20" t="s">
        <v>89</v>
      </c>
      <c r="B49" s="22" t="s">
        <v>90</v>
      </c>
      <c r="C49" s="20" t="s">
        <v>91</v>
      </c>
    </row>
    <row r="50" customFormat="false" ht="15" hidden="false" customHeight="false" outlineLevel="0" collapsed="false">
      <c r="A50" s="20" t="s">
        <v>92</v>
      </c>
      <c r="B50" s="22" t="s">
        <v>90</v>
      </c>
      <c r="C50" s="20" t="s">
        <v>91</v>
      </c>
    </row>
    <row r="51" customFormat="false" ht="15" hidden="false" customHeight="false" outlineLevel="0" collapsed="false">
      <c r="A51" s="20" t="s">
        <v>93</v>
      </c>
      <c r="B51" s="22" t="s">
        <v>94</v>
      </c>
      <c r="C51" s="20" t="s">
        <v>95</v>
      </c>
    </row>
    <row r="52" customFormat="false" ht="15" hidden="false" customHeight="false" outlineLevel="0" collapsed="false">
      <c r="A52" s="20" t="s">
        <v>96</v>
      </c>
      <c r="B52" s="22" t="s">
        <v>90</v>
      </c>
      <c r="C52" s="20" t="s">
        <v>91</v>
      </c>
    </row>
    <row ht="27" customHeight="true" r="53" customFormat="false" hidden="false" outlineLevel="0" collapsed="false">
      <c s="42" r="A53" t="s">
        <v>97</v>
      </c>
      <c r="B53" s="22" t="s">
        <v>90</v>
      </c>
      <c r="C53" s="20" t="s">
        <v>91</v>
      </c>
    </row>
    <row r="54" customFormat="false" ht="15" hidden="false" customHeight="false" outlineLevel="0" collapsed="false">
      <c r="A54" s="20" t="s">
        <v>98</v>
      </c>
      <c r="B54" s="22" t="s">
        <v>99</v>
      </c>
      <c r="C54" s="20" t="s">
        <v>100</v>
      </c>
    </row>
    <row r="56" customFormat="false" ht="15" hidden="false" customHeight="false" outlineLevel="0" collapsed="false">
      <c r="A56" s="18" t="s">
        <v>101</v>
      </c>
    </row>
    <row r="57" customFormat="false" ht="15" hidden="false" customHeight="false" outlineLevel="0" collapsed="false">
      <c r="A57" s="20" t="s">
        <v>102</v>
      </c>
    </row>
    <row r="58" customFormat="false" ht="15" hidden="false" customHeight="false" outlineLevel="0" collapsed="false">
      <c r="A58" s="20" t="s">
        <v>103</v>
      </c>
    </row>
    <row r="59" customFormat="false" ht="15" hidden="false" customHeight="false" outlineLevel="0" collapsed="false">
      <c r="A59" s="17" t="s">
        <v>104</v>
      </c>
    </row>
    <row r="61" customFormat="false" ht="15" hidden="false" customHeight="false" outlineLevel="0" collapsed="false">
      <c r="A61" s="18" t="s">
        <v>105</v>
      </c>
    </row>
    <row r="62" customFormat="false" ht="15" hidden="false" customHeight="false" outlineLevel="0" collapsed="false">
      <c r="A62" s="17" t="s">
        <v>106</v>
      </c>
    </row>
    <row r="63" customFormat="false" ht="15" hidden="false" customHeight="false" outlineLevel="0" collapsed="false">
      <c r="A63" s="17" t="s">
        <v>107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5" min="3" style="0" width="15"/>
    <col collapsed="false" customWidth="true" hidden="false" outlineLevel="0" max="6" min="6" style="0" width="62"/>
  </cols>
  <sheetData>
    <row r="1" customFormat="false" ht="17.35" hidden="false" customHeight="false" outlineLevel="0" collapsed="false">
      <c r="A1" s="1" t="s">
        <v>108</v>
      </c>
    </row>
    <row r="2" customFormat="false" ht="15" hidden="false" customHeight="false" outlineLevel="0" collapsed="false">
      <c r="A2" s="16" t="s">
        <v>109</v>
      </c>
    </row>
    <row r="4" customFormat="false" ht="15" hidden="false" customHeight="false" outlineLevel="0" collapsed="false">
      <c r="A4" s="18" t="s">
        <v>110</v>
      </c>
    </row>
    <row ht="27" customHeight="true" r="5" customFormat="false" hidden="false" outlineLevel="0" collapsed="false">
      <c s="42" r="A5" t="s">
        <v>111</v>
      </c>
      <c r="B5" s="24" t="n">
        <v>37.5</v>
      </c>
      <c r="F5" s="20" t="s">
        <v>112</v>
      </c>
    </row>
    <row ht="27" customHeight="true" r="6" customFormat="false" hidden="false" outlineLevel="0" collapsed="false">
      <c s="42" r="A6" t="s">
        <v>113</v>
      </c>
      <c r="B6" s="25" t="n">
        <f aca="false">B5/5</f>
        <v>7.5</v>
      </c>
    </row>
    <row ht="39.75" customHeight="true" r="7" customFormat="false" hidden="false" outlineLevel="0" collapsed="false">
      <c s="42" r="A7" t="s">
        <v>114</v>
      </c>
      <c r="B7" s="24" t="n">
        <v>9</v>
      </c>
      <c r="F7" s="20" t="s">
        <v>115</v>
      </c>
    </row>
    <row ht="39.75" customHeight="true" r="8" customFormat="false" hidden="false" outlineLevel="0" collapsed="false">
      <c s="42" r="A8" t="s">
        <v>116</v>
      </c>
      <c r="B8" s="24" t="n">
        <v>40</v>
      </c>
      <c r="F8" s="20" t="s">
        <v>117</v>
      </c>
    </row>
    <row ht="27" customHeight="true" r="9" customFormat="false" hidden="false" outlineLevel="0" collapsed="false">
      <c s="42" r="A9" t="s">
        <v>118</v>
      </c>
      <c r="B9" s="24" t="n">
        <v>13</v>
      </c>
      <c r="F9" s="20" t="s">
        <v>119</v>
      </c>
    </row>
    <row ht="39.75" customHeight="true" r="10" customFormat="false" hidden="false" outlineLevel="0" collapsed="false">
      <c s="42" r="A10" t="s">
        <v>120</v>
      </c>
      <c r="B10" s="24" t="n">
        <v>48</v>
      </c>
      <c r="F10" s="20" t="s">
        <v>121</v>
      </c>
    </row>
    <row ht="27" customHeight="true" r="11" customFormat="false" hidden="false" outlineLevel="0" collapsed="false">
      <c s="42" r="A11" t="s">
        <v>122</v>
      </c>
      <c r="B11" s="24" t="n">
        <v>11</v>
      </c>
      <c r="F11" s="20" t="s">
        <v>123</v>
      </c>
    </row>
    <row ht="27" customHeight="true" r="12" customFormat="false" hidden="false" outlineLevel="0" collapsed="false">
      <c s="42" r="A12" t="s">
        <v>124</v>
      </c>
      <c r="B12" s="24" t="n">
        <v>10</v>
      </c>
      <c r="F12" s="20" t="s">
        <v>121</v>
      </c>
    </row>
    <row r="14" customFormat="false" ht="15" hidden="false" customHeight="false" outlineLevel="0" collapsed="false">
      <c r="A14" s="18" t="s">
        <v>125</v>
      </c>
    </row>
    <row r="15" customFormat="false" ht="27.75" hidden="false" customHeight="true" outlineLevel="0" collapsed="false">
      <c r="A15" s="23" t="s">
        <v>126</v>
      </c>
      <c r="B15" s="23" t="s">
        <v>127</v>
      </c>
      <c r="C15" s="23" t="s">
        <v>128</v>
      </c>
      <c r="D15" s="23" t="s">
        <v>129</v>
      </c>
      <c r="E15" s="23" t="s">
        <v>130</v>
      </c>
      <c r="F15" s="23" t="s">
        <v>131</v>
      </c>
    </row>
    <row r="16" customFormat="false" ht="15" hidden="false" customHeight="false" outlineLevel="0" collapsed="false">
      <c r="A16" s="20" t="s">
        <v>132</v>
      </c>
      <c r="B16" s="24" t="n">
        <v>7.5</v>
      </c>
      <c r="C16" s="25" t="n">
        <f aca="false">MAX(0,B16-$B$6)</f>
        <v>0</v>
      </c>
      <c r="D16" s="25" t="n">
        <f aca="false">MAX(0,B16-$B$7)</f>
        <v>0</v>
      </c>
      <c r="E16" s="25" t="n">
        <f aca="false">24-B16</f>
        <v>16.5</v>
      </c>
      <c r="F16" s="26" t="str">
        <f aca="false">IF(B16&gt;$B$9,"BRUDD: over samlet arbeidstid på "&amp;$B$9&amp;" timer i døgnet (§ 10-6).",IF(E16&lt;$B$11,"BRUDD: mindre enn "&amp;$B$11&amp;" timer arbeidsfri (§ 10-8).",IF(D16&gt;0,"Overtid denne dagen. Krever særlig og tidsavgrenset behov (§ 10-6).",IF(C16&gt;0,"Ut over avtalt arbeidstid, men innenfor lovens grense for alminnelig arbeidstid.","Innenfor avtalt arbeidstid."))))</f>
        <v>Innenfor avtalt arbeidstid.</v>
      </c>
    </row>
    <row r="17" customFormat="false" ht="15" hidden="false" customHeight="false" outlineLevel="0" collapsed="false">
      <c r="A17" s="20" t="s">
        <v>133</v>
      </c>
      <c r="B17" s="24" t="n">
        <v>9</v>
      </c>
      <c r="C17" s="25" t="n">
        <f aca="false">MAX(0,B17-$B$6)</f>
        <v>1.5</v>
      </c>
      <c r="D17" s="25" t="n">
        <f aca="false">MAX(0,B17-$B$7)</f>
        <v>0</v>
      </c>
      <c r="E17" s="25" t="n">
        <f aca="false">24-B17</f>
        <v>15</v>
      </c>
      <c r="F17" s="26" t="str">
        <f aca="false">IF(B17&gt;$B$9,"BRUDD: over samlet arbeidstid på "&amp;$B$9&amp;" timer i døgnet (§ 10-6).",IF(E17&lt;$B$11,"BRUDD: mindre enn "&amp;$B$11&amp;" timer arbeidsfri (§ 10-8).",IF(D17&gt;0,"Overtid denne dagen. Krever særlig og tidsavgrenset behov (§ 10-6).",IF(C17&gt;0,"Ut over avtalt arbeidstid, men innenfor lovens grense for alminnelig arbeidstid.","Innenfor avtalt arbeidstid."))))</f>
        <v>Ut over avtalt arbeidstid, men innenfor lovens grense for alminnelig arbeidstid.</v>
      </c>
    </row>
    <row r="18" customFormat="false" ht="15" hidden="false" customHeight="false" outlineLevel="0" collapsed="false">
      <c r="A18" s="20" t="s">
        <v>134</v>
      </c>
      <c r="B18" s="24" t="n">
        <v>11.5</v>
      </c>
      <c r="C18" s="25" t="n">
        <f aca="false">MAX(0,B18-$B$6)</f>
        <v>4</v>
      </c>
      <c r="D18" s="25" t="n">
        <f aca="false">MAX(0,B18-$B$7)</f>
        <v>2.5</v>
      </c>
      <c r="E18" s="25" t="n">
        <f aca="false">24-B18</f>
        <v>12.5</v>
      </c>
      <c r="F18" s="26" t="str">
        <f aca="false">IF(B18&gt;$B$9,"BRUDD: over samlet arbeidstid på "&amp;$B$9&amp;" timer i døgnet (§ 10-6).",IF(E18&lt;$B$11,"BRUDD: mindre enn "&amp;$B$11&amp;" timer arbeidsfri (§ 10-8).",IF(D18&gt;0,"Overtid denne dagen. Krever særlig og tidsavgrenset behov (§ 10-6).",IF(C18&gt;0,"Ut over avtalt arbeidstid, men innenfor lovens grense for alminnelig arbeidstid.","Innenfor avtalt arbeidstid."))))</f>
        <v>Overtid denne dagen. Krever særlig og tidsavgrenset behov (§ 10-6).</v>
      </c>
    </row>
    <row r="19" customFormat="false" ht="15" hidden="false" customHeight="false" outlineLevel="0" collapsed="false">
      <c r="A19" s="20" t="s">
        <v>135</v>
      </c>
      <c r="B19" s="24" t="n">
        <v>8</v>
      </c>
      <c r="C19" s="25" t="n">
        <f aca="false">MAX(0,B19-$B$6)</f>
        <v>0.5</v>
      </c>
      <c r="D19" s="25" t="n">
        <f aca="false">MAX(0,B19-$B$7)</f>
        <v>0</v>
      </c>
      <c r="E19" s="25" t="n">
        <f aca="false">24-B19</f>
        <v>16</v>
      </c>
      <c r="F19" s="26" t="str">
        <f aca="false">IF(B19&gt;$B$9,"BRUDD: over samlet arbeidstid på "&amp;$B$9&amp;" timer i døgnet (§ 10-6).",IF(E19&lt;$B$11,"BRUDD: mindre enn "&amp;$B$11&amp;" timer arbeidsfri (§ 10-8).",IF(D19&gt;0,"Overtid denne dagen. Krever særlig og tidsavgrenset behov (§ 10-6).",IF(C19&gt;0,"Ut over avtalt arbeidstid, men innenfor lovens grense for alminnelig arbeidstid.","Innenfor avtalt arbeidstid."))))</f>
        <v>Ut over avtalt arbeidstid, men innenfor lovens grense for alminnelig arbeidstid.</v>
      </c>
    </row>
    <row r="20" customFormat="false" ht="15" hidden="false" customHeight="false" outlineLevel="0" collapsed="false">
      <c r="A20" s="20" t="s">
        <v>136</v>
      </c>
      <c r="B20" s="24" t="n">
        <v>10</v>
      </c>
      <c r="C20" s="25" t="n">
        <f aca="false">MAX(0,B20-$B$6)</f>
        <v>2.5</v>
      </c>
      <c r="D20" s="25" t="n">
        <f aca="false">MAX(0,B20-$B$7)</f>
        <v>1</v>
      </c>
      <c r="E20" s="25" t="n">
        <f aca="false">24-B20</f>
        <v>14</v>
      </c>
      <c r="F20" s="26" t="str">
        <f aca="false">IF(B20&gt;$B$9,"BRUDD: over samlet arbeidstid på "&amp;$B$9&amp;" timer i døgnet (§ 10-6).",IF(E20&lt;$B$11,"BRUDD: mindre enn "&amp;$B$11&amp;" timer arbeidsfri (§ 10-8).",IF(D20&gt;0,"Overtid denne dagen. Krever særlig og tidsavgrenset behov (§ 10-6).",IF(C20&gt;0,"Ut over avtalt arbeidstid, men innenfor lovens grense for alminnelig arbeidstid.","Innenfor avtalt arbeidstid."))))</f>
        <v>Overtid denne dagen. Krever særlig og tidsavgrenset behov (§ 10-6).</v>
      </c>
    </row>
    <row r="21" customFormat="false" ht="15" hidden="false" customHeight="false" outlineLevel="0" collapsed="false">
      <c r="A21" s="20" t="s">
        <v>137</v>
      </c>
      <c r="B21" s="24" t="n">
        <v>6</v>
      </c>
      <c r="C21" s="25" t="n">
        <f aca="false">MAX(0,B21-$B$6)</f>
        <v>0</v>
      </c>
      <c r="D21" s="25" t="n">
        <f aca="false">MAX(0,B21-$B$7)</f>
        <v>0</v>
      </c>
      <c r="E21" s="25" t="n">
        <f aca="false">24-B21</f>
        <v>18</v>
      </c>
      <c r="F21" s="26" t="str">
        <f aca="false">IF(B21&gt;$B$9,"BRUDD: over samlet arbeidstid på "&amp;$B$9&amp;" timer i døgnet (§ 10-6).",IF(E21&lt;$B$11,"BRUDD: mindre enn "&amp;$B$11&amp;" timer arbeidsfri (§ 10-8).",IF(D21&gt;0,"Overtid denne dagen. Krever særlig og tidsavgrenset behov (§ 10-6).",IF(C21&gt;0,"Ut over avtalt arbeidstid, men innenfor lovens grense for alminnelig arbeidstid.","Innenfor avtalt arbeidstid."))))</f>
        <v>Innenfor avtalt arbeidstid.</v>
      </c>
    </row>
    <row r="22" customFormat="false" ht="15" hidden="false" customHeight="false" outlineLevel="0" collapsed="false">
      <c r="A22" s="20" t="s">
        <v>138</v>
      </c>
      <c r="B22" s="24" t="n">
        <v>0</v>
      </c>
      <c r="C22" s="25" t="n">
        <f aca="false">MAX(0,B22-$B$6)</f>
        <v>0</v>
      </c>
      <c r="D22" s="25" t="n">
        <f aca="false">MAX(0,B22-$B$7)</f>
        <v>0</v>
      </c>
      <c r="E22" s="25" t="n">
        <f aca="false">24-B22</f>
        <v>24</v>
      </c>
      <c r="F22" s="26" t="str">
        <f aca="false">IF(B22&gt;$B$9,"BRUDD: over samlet arbeidstid på "&amp;$B$9&amp;" timer i døgnet (§ 10-6).",IF(E22&lt;$B$11,"BRUDD: mindre enn "&amp;$B$11&amp;" timer arbeidsfri (§ 10-8).",IF(D22&gt;0,"Overtid denne dagen. Krever særlig og tidsavgrenset behov (§ 10-6).",IF(C22&gt;0,"Ut over avtalt arbeidstid, men innenfor lovens grense for alminnelig arbeidstid.","Innenfor avtalt arbeidstid."))))</f>
        <v>Innenfor avtalt arbeidstid.</v>
      </c>
    </row>
    <row r="23" customFormat="false" ht="15" hidden="false" customHeight="false" outlineLevel="0" collapsed="false">
      <c r="A23" s="22" t="s">
        <v>139</v>
      </c>
      <c r="B23" s="27" t="n">
        <f aca="false">SUM(B16:B22)</f>
        <v>52</v>
      </c>
      <c r="C23" s="27" t="n">
        <f aca="false">SUM(C16:C22)</f>
        <v>8.5</v>
      </c>
      <c r="D23" s="27" t="n">
        <f aca="false">SUM(D16:D22)</f>
        <v>3.5</v>
      </c>
    </row>
    <row r="25" customFormat="false" ht="15" hidden="false" customHeight="false" outlineLevel="0" collapsed="false">
      <c r="A25" s="18" t="s">
        <v>140</v>
      </c>
    </row>
    <row r="26" customFormat="false" ht="15" hidden="false" customHeight="false" outlineLevel="0" collapsed="false">
      <c r="A26" s="20" t="s">
        <v>141</v>
      </c>
      <c r="B26" s="25" t="n">
        <f aca="false">D23</f>
        <v>3.5</v>
      </c>
      <c r="F26" s="20" t="s">
        <v>142</v>
      </c>
    </row>
    <row r="27" customFormat="false" ht="15" hidden="false" customHeight="false" outlineLevel="0" collapsed="false">
      <c r="A27" s="20" t="s">
        <v>143</v>
      </c>
      <c r="B27" s="25" t="n">
        <f aca="false">MAX(0,B23-$B$8)</f>
        <v>12</v>
      </c>
      <c r="F27" s="20" t="s">
        <v>144</v>
      </c>
    </row>
    <row r="28" customFormat="false" ht="15" hidden="false" customHeight="false" outlineLevel="0" collapsed="false">
      <c r="A28" s="20" t="s">
        <v>145</v>
      </c>
      <c r="B28" s="27" t="n">
        <f aca="false">MAX(B26,B27)</f>
        <v>12</v>
      </c>
      <c r="F28" s="20" t="s">
        <v>146</v>
      </c>
    </row>
    <row r="29" customFormat="false" ht="15" hidden="false" customHeight="false" outlineLevel="0" collapsed="false">
      <c r="A29" s="20" t="s">
        <v>147</v>
      </c>
      <c r="B29" s="28" t="n">
        <f aca="false">MAX(0,B23-$B$5-B28)</f>
        <v>2.5</v>
      </c>
      <c r="F29" s="20" t="s">
        <v>148</v>
      </c>
    </row>
    <row r="30" customFormat="false" ht="15" hidden="false" customHeight="false" outlineLevel="0" collapsed="false">
      <c r="A30" s="20" t="s">
        <v>149</v>
      </c>
      <c r="B30" s="28" t="n">
        <f aca="false">MAX(B16:B22)</f>
        <v>11.5</v>
      </c>
    </row>
    <row r="31" customFormat="false" ht="15" hidden="false" customHeight="false" outlineLevel="0" collapsed="false">
      <c r="A31" s="20" t="s">
        <v>150</v>
      </c>
      <c r="F31" s="29" t="str">
        <f aca="false">IF(B30&gt;$B$9,"BRUDD på samlet arbeidstid i døgnet (§ 10-6).",IF(B23&gt;$B$10,"Over 48 timer denne uka. Lovlig bare hvis snittet over åtte uker er høyst 48 (§ 10-6 åttende ledd).",IF(B28&gt;$B$12,"BRUDD på overtidsgrensen for sju dager (§ 10-6). Grensen er "&amp;$B$12&amp;" timer uten avtale.","Uka er innenfor grensene i arbeidsmiljøloven kapittel 10.")))</f>
        <v>Over 48 timer denne uka. Lovlig bare hvis snittet over åtte uker er høyst 48 (§ 10-6 åttende ledd).</v>
      </c>
    </row>
    <row r="33" customFormat="false" ht="15" hidden="false" customHeight="false" outlineLevel="0" collapsed="false">
      <c r="A33" s="18" t="s">
        <v>151</v>
      </c>
    </row>
    <row r="34" customFormat="false" ht="15" hidden="false" customHeight="false" outlineLevel="0" collapsed="false">
      <c r="A34" s="20" t="s">
        <v>152</v>
      </c>
      <c r="F34" s="30" t="str">
        <f aca="false">IF(B28=MAX(B26,B27),"OK — den strengeste av de to grensene gjelder, og timene telles ikke dobbelt","AVVIK: overtiden skal være den STØRSTE av dagsovertid og ukeovertid, ikke summen")</f>
        <v>OK — den strengeste av de to grensene gjelder, og timene telles ikke dobbelt</v>
      </c>
    </row>
    <row r="35" customFormat="false" ht="15" hidden="false" customHeight="false" outlineLevel="0" collapsed="false">
      <c r="A35" s="20" t="s">
        <v>153</v>
      </c>
      <c r="F35" s="30" t="str">
        <f aca="false">IF(ABS(B23-($B$5+B28+B29))&lt;0.01,"OK — avtalt arbeidstid pluss overtid pluss merarbeid er lik sum uke","AVVIK: summen av avtalt tid, overtid og merarbeid stemmer ikke med sum uke")</f>
        <v>OK — avtalt arbeidstid pluss overtid pluss merarbeid er lik sum uke</v>
      </c>
    </row>
    <row r="36" customFormat="false" ht="15" hidden="false" customHeight="false" outlineLevel="0" collapsed="false">
      <c r="A36" s="20" t="s">
        <v>154</v>
      </c>
      <c r="F36" s="30" t="str">
        <f aca="false">IF(B29&gt;=0,"OK","AVVIK: negativt merarbeid betyr at uka er kortere enn avtalt arbeidstid. Sjekk timene i kolonne B")</f>
        <v>OK</v>
      </c>
    </row>
    <row r="38" customFormat="false" ht="15" hidden="false" customHeight="false" outlineLevel="0" collapsed="false">
      <c r="A38" s="22" t="s">
        <v>155</v>
      </c>
    </row>
    <row r="39" customFormat="false" ht="15" hidden="false" customHeight="false" outlineLevel="0" collapsed="false">
      <c r="A39" s="17" t="s">
        <v>156</v>
      </c>
    </row>
  </sheetData>
  <conditionalFormatting sqref="F34">
    <cfRule type="expression" priority="2" aboveAverage="0" equalAverage="0" bottom="0" percent="0" rank="0" text="" dxfId="0">
      <formula>LEFT(F34,5)="AVVIK"</formula>
    </cfRule>
  </conditionalFormatting>
  <conditionalFormatting sqref="F35">
    <cfRule type="expression" priority="3" aboveAverage="0" equalAverage="0" bottom="0" percent="0" rank="0" text="" dxfId="0">
      <formula>LEFT(F35,5)="AVVIK"</formula>
    </cfRule>
  </conditionalFormatting>
  <conditionalFormatting sqref="F36">
    <cfRule type="expression" priority="4" aboveAverage="0" equalAverage="0" bottom="0" percent="0" rank="0" text="" dxfId="0">
      <formula>LEFT(F36,5)="AVVIK"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5"/>
    <col collapsed="false" customWidth="true" hidden="false" outlineLevel="0" max="4" min="4" style="0" width="58"/>
  </cols>
  <sheetData>
    <row r="1" customFormat="false" ht="17.35" hidden="false" customHeight="false" outlineLevel="0" collapsed="false">
      <c r="A1" s="1" t="s">
        <v>157</v>
      </c>
    </row>
    <row r="2" customFormat="false" ht="15" hidden="false" customHeight="false" outlineLevel="0" collapsed="false">
      <c r="A2" s="16" t="s">
        <v>158</v>
      </c>
    </row>
    <row r="4" customFormat="false" ht="15" hidden="false" customHeight="false" outlineLevel="0" collapsed="false">
      <c r="A4" s="18" t="s">
        <v>159</v>
      </c>
    </row>
    <row r="5" customFormat="false" ht="15" hidden="false" customHeight="false" outlineLevel="0" collapsed="false">
      <c r="A5" s="20" t="s">
        <v>160</v>
      </c>
      <c r="B5" s="31" t="n">
        <v>40000</v>
      </c>
      <c r="D5" s="20" t="s">
        <v>161</v>
      </c>
    </row>
    <row r="6" customFormat="false" ht="15" hidden="false" customHeight="false" outlineLevel="0" collapsed="false">
      <c r="A6" s="20" t="s">
        <v>111</v>
      </c>
      <c r="B6" s="24" t="n">
        <v>37.5</v>
      </c>
    </row>
    <row r="7" customFormat="false" ht="15" hidden="false" customHeight="false" outlineLevel="0" collapsed="false">
      <c r="A7" s="20" t="s">
        <v>162</v>
      </c>
      <c r="B7" s="32" t="n">
        <v>52</v>
      </c>
    </row>
    <row r="8" customFormat="false" ht="15" hidden="false" customHeight="false" outlineLevel="0" collapsed="false">
      <c r="A8" s="20" t="s">
        <v>163</v>
      </c>
      <c r="B8" s="33" t="n">
        <f aca="false">B5*12</f>
        <v>480000</v>
      </c>
    </row>
    <row r="9" customFormat="false" ht="15" hidden="false" customHeight="false" outlineLevel="0" collapsed="false">
      <c r="A9" s="20" t="s">
        <v>164</v>
      </c>
      <c r="B9" s="28" t="n">
        <f aca="false">B6*B7</f>
        <v>1950</v>
      </c>
    </row>
    <row r="10" customFormat="false" ht="15" hidden="false" customHeight="false" outlineLevel="0" collapsed="false">
      <c r="A10" s="20" t="s">
        <v>165</v>
      </c>
      <c r="B10" s="34" t="n">
        <f aca="false">B8/B9</f>
        <v>246.153846153846</v>
      </c>
      <c r="D10" s="20" t="s">
        <v>166</v>
      </c>
    </row>
    <row r="12" customFormat="false" ht="15" hidden="false" customHeight="false" outlineLevel="0" collapsed="false">
      <c r="A12" s="18" t="s">
        <v>167</v>
      </c>
    </row>
    <row r="13" customFormat="false" ht="27.75" hidden="false" customHeight="true" outlineLevel="0" collapsed="false">
      <c r="A13" s="23" t="s">
        <v>168</v>
      </c>
      <c r="B13" s="23" t="s">
        <v>169</v>
      </c>
      <c r="C13" s="23" t="s">
        <v>170</v>
      </c>
      <c r="D13" s="23" t="s">
        <v>131</v>
      </c>
    </row>
    <row r="14" customFormat="false" ht="15" hidden="false" customHeight="false" outlineLevel="0" collapsed="false">
      <c r="A14" s="20" t="s">
        <v>171</v>
      </c>
      <c r="B14" s="35" t="n">
        <v>0.137</v>
      </c>
      <c r="C14" s="32" t="n">
        <v>1</v>
      </c>
      <c r="D14" s="20" t="s">
        <v>172</v>
      </c>
    </row>
    <row r="15" customFormat="false" ht="15" hidden="false" customHeight="false" outlineLevel="0" collapsed="false">
      <c r="A15" s="20" t="s">
        <v>173</v>
      </c>
      <c r="B15" s="35" t="n">
        <v>0.141</v>
      </c>
      <c r="C15" s="32" t="n">
        <v>1</v>
      </c>
      <c r="D15" s="20" t="s">
        <v>172</v>
      </c>
    </row>
    <row r="16" customFormat="false" ht="15" hidden="false" customHeight="false" outlineLevel="0" collapsed="false">
      <c r="A16" s="20" t="s">
        <v>174</v>
      </c>
      <c r="B16" s="35" t="n">
        <v>0.08</v>
      </c>
      <c r="C16" s="32" t="n">
        <v>1</v>
      </c>
      <c r="D16" s="20" t="s">
        <v>172</v>
      </c>
    </row>
    <row r="17" customFormat="false" ht="15" hidden="false" customHeight="false" outlineLevel="0" collapsed="false">
      <c r="A17" s="20" t="s">
        <v>175</v>
      </c>
      <c r="B17" s="35" t="n">
        <v>0.011</v>
      </c>
      <c r="C17" s="32" t="n">
        <v>1</v>
      </c>
      <c r="D17" s="20" t="s">
        <v>172</v>
      </c>
    </row>
    <row r="18" customFormat="false" ht="15" hidden="false" customHeight="false" outlineLevel="0" collapsed="false">
      <c r="A18" s="20" t="s">
        <v>176</v>
      </c>
      <c r="B18" s="35" t="n">
        <v>0.045</v>
      </c>
      <c r="C18" s="32" t="n">
        <v>0</v>
      </c>
      <c r="D18" s="20" t="s">
        <v>177</v>
      </c>
    </row>
    <row r="19" customFormat="false" ht="15" hidden="false" customHeight="false" outlineLevel="0" collapsed="false">
      <c r="A19" s="20" t="s">
        <v>178</v>
      </c>
      <c r="B19" s="35" t="n">
        <v>0.004</v>
      </c>
      <c r="C19" s="32" t="n">
        <v>0</v>
      </c>
      <c r="D19" s="20" t="s">
        <v>177</v>
      </c>
    </row>
    <row r="20" customFormat="false" ht="15" hidden="false" customHeight="false" outlineLevel="0" collapsed="false">
      <c r="A20" s="20" t="s">
        <v>179</v>
      </c>
      <c r="B20" s="35" t="n">
        <v>0.05</v>
      </c>
      <c r="C20" s="32" t="n">
        <v>0</v>
      </c>
      <c r="D20" s="20" t="s">
        <v>177</v>
      </c>
    </row>
    <row r="21" customFormat="false" ht="15" hidden="false" customHeight="false" outlineLevel="0" collapsed="false">
      <c r="A21" s="22" t="s">
        <v>180</v>
      </c>
      <c r="B21" s="36" t="n">
        <f aca="false">SUM(B14:B20)</f>
        <v>0.468</v>
      </c>
    </row>
    <row r="22" customFormat="false" ht="15" hidden="false" customHeight="false" outlineLevel="0" collapsed="false">
      <c r="A22" s="22" t="s">
        <v>181</v>
      </c>
      <c r="B22" s="36" t="n">
        <f aca="false">SUMPRODUCT(B14:B20,C14:C20)</f>
        <v>0.369</v>
      </c>
      <c r="D22" s="20" t="s">
        <v>182</v>
      </c>
    </row>
    <row r="24" customFormat="false" ht="15" hidden="false" customHeight="false" outlineLevel="0" collapsed="false">
      <c r="A24" s="18" t="s">
        <v>183</v>
      </c>
    </row>
    <row r="25" customFormat="false" ht="15" hidden="false" customHeight="false" outlineLevel="0" collapsed="false">
      <c r="A25" s="20" t="s">
        <v>184</v>
      </c>
      <c r="B25" s="35" t="n">
        <v>0.4</v>
      </c>
      <c r="D25" s="20" t="s">
        <v>185</v>
      </c>
    </row>
    <row r="26" customFormat="false" ht="15" hidden="false" customHeight="false" outlineLevel="0" collapsed="false">
      <c r="A26" s="20" t="s">
        <v>186</v>
      </c>
      <c r="B26" s="34" t="n">
        <f aca="false">B10*(1+B21)</f>
        <v>361.353846153846</v>
      </c>
    </row>
    <row r="27" customFormat="false" ht="15" hidden="false" customHeight="false" outlineLevel="0" collapsed="false">
      <c r="A27" s="20" t="s">
        <v>187</v>
      </c>
      <c r="B27" s="37" t="n">
        <f aca="false">B10*(1+B25)</f>
        <v>344.615384615385</v>
      </c>
    </row>
    <row r="28" customFormat="false" ht="15" hidden="false" customHeight="false" outlineLevel="0" collapsed="false">
      <c r="A28" s="20" t="s">
        <v>188</v>
      </c>
      <c r="B28" s="34" t="n">
        <f aca="false">B27*(1+B22)</f>
        <v>471.778461538462</v>
      </c>
    </row>
    <row r="29" customFormat="false" ht="15" hidden="false" customHeight="false" outlineLevel="0" collapsed="false">
      <c r="A29" s="20" t="s">
        <v>189</v>
      </c>
      <c r="B29" s="37" t="n">
        <f aca="false">B28-B26</f>
        <v>110.424615384615</v>
      </c>
    </row>
    <row r="30" customFormat="false" ht="15" hidden="false" customHeight="false" outlineLevel="0" collapsed="false">
      <c r="A30" s="20" t="s">
        <v>190</v>
      </c>
      <c r="B30" s="36" t="n">
        <f aca="false">IF(B26=0,0,B28/B26-1)</f>
        <v>0.30558583106267</v>
      </c>
    </row>
    <row r="32" customFormat="false" ht="15" hidden="false" customHeight="false" outlineLevel="0" collapsed="false">
      <c r="A32" s="18" t="s">
        <v>191</v>
      </c>
    </row>
    <row r="33" customFormat="false" ht="15" hidden="false" customHeight="false" outlineLevel="0" collapsed="false">
      <c r="A33" s="20" t="s">
        <v>192</v>
      </c>
      <c r="B33" s="31" t="n">
        <v>890</v>
      </c>
      <c r="D33" s="20" t="s">
        <v>193</v>
      </c>
    </row>
    <row r="34" customFormat="false" ht="15" hidden="false" customHeight="false" outlineLevel="0" collapsed="false">
      <c r="A34" s="20" t="s">
        <v>194</v>
      </c>
      <c r="B34" s="34" t="n">
        <f aca="false">B33-B26</f>
        <v>528.646153846154</v>
      </c>
    </row>
    <row r="35" customFormat="false" ht="15" hidden="false" customHeight="false" outlineLevel="0" collapsed="false">
      <c r="A35" s="20" t="s">
        <v>195</v>
      </c>
      <c r="B35" s="34" t="n">
        <f aca="false">B33-B28</f>
        <v>418.221538461539</v>
      </c>
    </row>
    <row r="36" customFormat="false" ht="15" hidden="false" customHeight="false" outlineLevel="0" collapsed="false">
      <c r="A36" s="20" t="s">
        <v>196</v>
      </c>
      <c r="B36" s="37" t="n">
        <f aca="false">B34-B35</f>
        <v>110.424615384615</v>
      </c>
    </row>
    <row r="37" customFormat="false" ht="15" hidden="false" customHeight="false" outlineLevel="0" collapsed="false">
      <c r="A37" s="20" t="s">
        <v>197</v>
      </c>
      <c r="B37" s="36" t="n">
        <f aca="false">IF(B34=0,0,B36/B34)</f>
        <v>0.208881904429311</v>
      </c>
      <c r="D37" s="29" t="str">
        <f aca="false">IF(B35&lt;0,"Overtidstimen går med tap. Sjekk timeprisen.",IF(B37&gt;0.3,"Marginen faller kraftig. Regn på alternativet i neste ark.","Timen lønner seg fortsatt, men marginen er lavere."))</f>
        <v>Timen lønner seg fortsatt, men marginen er lavere.</v>
      </c>
    </row>
    <row r="39" customFormat="false" ht="15" hidden="false" customHeight="false" outlineLevel="0" collapsed="false">
      <c r="A39" s="18" t="s">
        <v>198</v>
      </c>
    </row>
    <row r="40" customFormat="false" ht="15" hidden="false" customHeight="false" outlineLevel="0" collapsed="false">
      <c r="A40" s="20" t="s">
        <v>199</v>
      </c>
      <c r="B40" s="32" t="n">
        <v>212</v>
      </c>
    </row>
    <row r="41" customFormat="false" ht="15" hidden="false" customHeight="false" outlineLevel="0" collapsed="false">
      <c r="A41" s="20" t="s">
        <v>200</v>
      </c>
      <c r="B41" s="33" t="n">
        <f aca="false">B40*B29</f>
        <v>23410.0184615385</v>
      </c>
    </row>
    <row r="42" customFormat="false" ht="15" hidden="false" customHeight="false" outlineLevel="0" collapsed="false">
      <c r="A42" s="20" t="s">
        <v>201</v>
      </c>
      <c r="B42" s="38" t="n">
        <f aca="false">B40*B36</f>
        <v>23410.0184615384</v>
      </c>
    </row>
    <row r="43" customFormat="false" ht="15" hidden="false" customHeight="false" outlineLevel="0" collapsed="false">
      <c r="A43" s="20" t="s">
        <v>202</v>
      </c>
      <c r="D43" s="29" t="str">
        <f aca="false">IF(B40&gt;300,"OVER 300 timer. Ingen avtale kan hjemle dette (§ 10-6).",IF(B40&gt;200,"Over 200 timer. Krever skriftlig avtale med de tillitsvalgte i tariffbundet virksomhet (§ 10-6).","Innenfor 200 timer (§ 10-6)."))</f>
        <v>Over 200 timer. Krever skriftlig avtale med de tillitsvalgte i tariffbundet virksomhet (§ 10-6).</v>
      </c>
    </row>
    <row r="45" customFormat="false" ht="15" hidden="false" customHeight="false" outlineLevel="0" collapsed="false">
      <c r="A45" s="18" t="s">
        <v>151</v>
      </c>
    </row>
    <row r="46" customFormat="false" ht="15" hidden="false" customHeight="false" outlineLevel="0" collapsed="false">
      <c r="A46" s="20" t="s">
        <v>203</v>
      </c>
      <c r="D46" s="30" t="str">
        <f aca="false">IF(B22&lt;B21,"OK — noen av postene løper ikke på en overtidstime","AVVIK: alle postene er merket som om de løper på overtid. Sett 0 i kolonne C for dem som ikke gjør det")</f>
        <v>OK — noen av postene løper ikke på en overtidstime</v>
      </c>
    </row>
    <row r="47" customFormat="false" ht="15" hidden="false" customHeight="false" outlineLevel="0" collapsed="false">
      <c r="A47" s="20" t="s">
        <v>204</v>
      </c>
      <c r="D47" s="30" t="str">
        <f aca="false">IF(B28&gt;B26,"OK — overtidstimen er dyrest","AVVIK: overtidstimen skal koste mer enn en ordinær time. Sjekk overtidstillegget")</f>
        <v>OK — overtidstimen er dyrest</v>
      </c>
    </row>
    <row r="48" customFormat="false" ht="15" hidden="false" customHeight="false" outlineLevel="0" collapsed="false">
      <c r="A48" s="20" t="s">
        <v>205</v>
      </c>
      <c r="D48" s="30" t="str">
        <f aca="false">IF(B35&gt;0,"OK — timen bidrar fortsatt","AVVIK: overtidstimen går med tap ved denne timeprisen. Da er det ikke overtiden som er problemet, det er prisen")</f>
        <v>OK — timen bidrar fortsatt</v>
      </c>
    </row>
    <row r="50" customFormat="false" ht="15" hidden="false" customHeight="false" outlineLevel="0" collapsed="false">
      <c r="A50" s="22" t="s">
        <v>206</v>
      </c>
    </row>
    <row r="52" customFormat="false" ht="15" hidden="false" customHeight="false" outlineLevel="0" collapsed="false">
      <c r="A52" s="17" t="s">
        <v>207</v>
      </c>
    </row>
  </sheetData>
  <conditionalFormatting sqref="D46">
    <cfRule type="expression" priority="2" aboveAverage="0" equalAverage="0" bottom="0" percent="0" rank="0" text="" dxfId="0">
      <formula>LEFT(D46,5)="AVVIK"</formula>
    </cfRule>
  </conditionalFormatting>
  <conditionalFormatting sqref="D47">
    <cfRule type="expression" priority="3" aboveAverage="0" equalAverage="0" bottom="0" percent="0" rank="0" text="" dxfId="0">
      <formula>LEFT(D47,5)="AVVIK"</formula>
    </cfRule>
  </conditionalFormatting>
  <conditionalFormatting sqref="D48">
    <cfRule type="expression" priority="4" aboveAverage="0" equalAverage="0" bottom="0" percent="0" rank="0" text="" dxfId="0">
      <formula>LEFT(D48,5)="AVVIK"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56"/>
  </cols>
  <sheetData>
    <row r="1" customFormat="false" ht="17.35" hidden="false" customHeight="false" outlineLevel="0" collapsed="false">
      <c r="A1" s="1" t="s">
        <v>208</v>
      </c>
    </row>
    <row r="2" customFormat="false" ht="15" hidden="false" customHeight="false" outlineLevel="0" collapsed="false">
      <c r="A2" s="16" t="s">
        <v>209</v>
      </c>
    </row>
    <row r="4" customFormat="false" ht="15" hidden="false" customHeight="false" outlineLevel="0" collapsed="false">
      <c r="A4" s="18" t="s">
        <v>210</v>
      </c>
    </row>
    <row r="5" customFormat="false" ht="15" hidden="false" customHeight="false" outlineLevel="0" collapsed="false">
      <c r="A5" s="20" t="s">
        <v>211</v>
      </c>
      <c r="B5" s="32" t="n">
        <v>1200</v>
      </c>
      <c r="D5" s="20" t="s">
        <v>212</v>
      </c>
    </row>
    <row r="7" customFormat="false" ht="15" hidden="false" customHeight="false" outlineLevel="0" collapsed="false">
      <c r="A7" s="18" t="s">
        <v>213</v>
      </c>
    </row>
    <row r="8" customFormat="false" ht="15" hidden="false" customHeight="false" outlineLevel="0" collapsed="false">
      <c r="A8" s="20" t="s">
        <v>214</v>
      </c>
      <c r="B8" s="39" t="n">
        <f aca="false">'Hva overtidstimen koster'!$B$28</f>
        <v>471.778461538462</v>
      </c>
    </row>
    <row r="9" customFormat="false" ht="15" hidden="false" customHeight="false" outlineLevel="0" collapsed="false">
      <c r="A9" s="20" t="s">
        <v>215</v>
      </c>
      <c r="B9" s="33" t="n">
        <f aca="false">B5*B8</f>
        <v>566134.153846154</v>
      </c>
    </row>
    <row r="10" customFormat="false" ht="15" hidden="false" customHeight="false" outlineLevel="0" collapsed="false">
      <c r="A10" s="20" t="s">
        <v>216</v>
      </c>
      <c r="B10" s="38" t="n">
        <f aca="false">B5*'Hva overtidstimen koster'!$B$33</f>
        <v>1068000</v>
      </c>
    </row>
    <row r="11" customFormat="false" ht="15" hidden="false" customHeight="false" outlineLevel="0" collapsed="false">
      <c r="A11" s="20" t="s">
        <v>217</v>
      </c>
      <c r="B11" s="33" t="n">
        <f aca="false">B10-B9</f>
        <v>501865.846153846</v>
      </c>
    </row>
    <row r="12" customFormat="false" ht="15" hidden="false" customHeight="false" outlineLevel="0" collapsed="false">
      <c r="A12" s="20" t="s">
        <v>218</v>
      </c>
      <c r="B12" s="32" t="n">
        <v>12</v>
      </c>
      <c r="C12" s="28" t="n">
        <f aca="false">IF(B12=0,0,B5/B12)</f>
        <v>100</v>
      </c>
      <c r="D12" s="29" t="str">
        <f aca="false">IF(C12&gt;300,"Ikke lovlig. Over 300 timer per montør (§ 10-6).",IF(C12&gt;200,"Krever skriftlig avtale med de tillitsvalgte (§ 10-6).","Innenfor 200 timer per montør (§ 10-6)."))</f>
        <v>Innenfor 200 timer per montør (§ 10-6).</v>
      </c>
    </row>
    <row r="14" customFormat="false" ht="15" hidden="false" customHeight="false" outlineLevel="0" collapsed="false">
      <c r="A14" s="18" t="s">
        <v>219</v>
      </c>
    </row>
    <row r="15" customFormat="false" ht="15" hidden="false" customHeight="false" outlineLevel="0" collapsed="false">
      <c r="A15" s="20" t="s">
        <v>160</v>
      </c>
      <c r="B15" s="40" t="n">
        <f aca="false">'Hva overtidstimen koster'!$B$5</f>
        <v>40000</v>
      </c>
    </row>
    <row r="16" customFormat="false" ht="15" hidden="false" customHeight="false" outlineLevel="0" collapsed="false">
      <c r="A16" s="20" t="s">
        <v>163</v>
      </c>
      <c r="B16" s="38" t="n">
        <f aca="false">B15*12</f>
        <v>480000</v>
      </c>
    </row>
    <row r="17" customFormat="false" ht="15" hidden="false" customHeight="false" outlineLevel="0" collapsed="false">
      <c r="A17" s="20" t="s">
        <v>220</v>
      </c>
      <c r="B17" s="41" t="n">
        <f aca="false">'Hva overtidstimen koster'!$B$21</f>
        <v>0.468</v>
      </c>
    </row>
    <row r="18" customFormat="false" ht="15" hidden="false" customHeight="false" outlineLevel="0" collapsed="false">
      <c r="A18" s="20" t="s">
        <v>221</v>
      </c>
      <c r="B18" s="33" t="n">
        <f aca="false">B16*(1+B17)</f>
        <v>704640</v>
      </c>
    </row>
    <row ht="27" customHeight="true" r="19" customFormat="false" hidden="false" outlineLevel="0" collapsed="false">
      <c s="42" r="A19" t="s">
        <v>222</v>
      </c>
      <c r="B19" s="31" t="n">
        <v>145000</v>
      </c>
      <c r="D19" s="20" t="s">
        <v>223</v>
      </c>
    </row>
    <row r="20" customFormat="false" ht="15" hidden="false" customHeight="false" outlineLevel="0" collapsed="false">
      <c r="A20" s="20" t="s">
        <v>224</v>
      </c>
      <c r="B20" s="33" t="n">
        <f aca="false">B18+B19</f>
        <v>849640</v>
      </c>
    </row>
    <row r="21" customFormat="false" ht="15" hidden="false" customHeight="false" outlineLevel="0" collapsed="false">
      <c r="A21" s="20" t="s">
        <v>225</v>
      </c>
      <c r="B21" s="32" t="n">
        <v>1200</v>
      </c>
      <c r="D21" s="20" t="s">
        <v>226</v>
      </c>
    </row>
    <row r="22" customFormat="false" ht="15" hidden="false" customHeight="false" outlineLevel="0" collapsed="false">
      <c r="A22" s="20" t="s">
        <v>216</v>
      </c>
      <c r="B22" s="38" t="n">
        <f aca="false">B21*'Hva overtidstimen koster'!$B$33</f>
        <v>1068000</v>
      </c>
    </row>
    <row r="23" customFormat="false" ht="15" hidden="false" customHeight="false" outlineLevel="0" collapsed="false">
      <c r="A23" s="20" t="s">
        <v>217</v>
      </c>
      <c r="B23" s="33" t="n">
        <f aca="false">B22-B20</f>
        <v>218360</v>
      </c>
    </row>
    <row r="24" customFormat="false" ht="15" hidden="false" customHeight="false" outlineLevel="0" collapsed="false">
      <c r="A24" s="20" t="s">
        <v>227</v>
      </c>
      <c r="B24" s="37" t="n">
        <f aca="false">IF(B21=0,0,B20/B21)</f>
        <v>708.033333333333</v>
      </c>
    </row>
    <row r="26" customFormat="false" ht="15" hidden="false" customHeight="false" outlineLevel="0" collapsed="false">
      <c r="A26" s="18" t="s">
        <v>228</v>
      </c>
    </row>
    <row r="27" customFormat="false" ht="15" hidden="false" customHeight="false" outlineLevel="0" collapsed="false">
      <c r="A27" s="20" t="s">
        <v>229</v>
      </c>
      <c r="B27" s="34" t="n">
        <f aca="false">B8</f>
        <v>471.778461538462</v>
      </c>
    </row>
    <row r="28" customFormat="false" ht="15" hidden="false" customHeight="false" outlineLevel="0" collapsed="false">
      <c r="A28" s="20" t="s">
        <v>230</v>
      </c>
      <c r="B28" s="34" t="n">
        <f aca="false">B24</f>
        <v>708.033333333333</v>
      </c>
    </row>
    <row r="29" customFormat="false" ht="15" hidden="false" customHeight="false" outlineLevel="0" collapsed="false">
      <c r="A29" s="20" t="s">
        <v>231</v>
      </c>
      <c r="B29" s="37" t="n">
        <f aca="false">B27-B28</f>
        <v>-236.254871794872</v>
      </c>
    </row>
    <row r="30" customFormat="false" ht="15" hidden="false" customHeight="false" outlineLevel="0" collapsed="false">
      <c r="A30" s="20" t="s">
        <v>232</v>
      </c>
      <c r="D30" s="29" t="str">
        <f aca="false">IF(B29&gt;0,"Overtidstimen er dyrest per fakturert time. Ansettelse lønner seg — HVIS behovet er varig og timene faktisk blir fakturert.","Overtidstimen er billigst per fakturert time. Det forutsetter at grensene i § 10-6 holdes.")</f>
        <v>Overtidstimen er billigst per fakturert time. Det forutsetter at grensene i § 10-6 holdes.</v>
      </c>
    </row>
    <row r="32" customFormat="false" ht="15" hidden="false" customHeight="false" outlineLevel="0" collapsed="false">
      <c r="A32" s="22" t="s">
        <v>233</v>
      </c>
    </row>
    <row r="35" customFormat="false" ht="15" hidden="false" customHeight="false" outlineLevel="0" collapsed="false">
      <c r="A35" s="18" t="s">
        <v>151</v>
      </c>
    </row>
    <row r="36" customFormat="false" ht="15" hidden="false" customHeight="false" outlineLevel="0" collapsed="false">
      <c r="A36" s="20" t="s">
        <v>234</v>
      </c>
      <c r="D36" s="30" t="str">
        <f aca="false">IF(B12&gt;0,"OK","AVVIK: sett antall montører i B12 før du leser av timene per montør")</f>
        <v>OK</v>
      </c>
    </row>
    <row r="37" customFormat="false" ht="15" hidden="false" customHeight="false" outlineLevel="0" collapsed="false">
      <c r="A37" s="20" t="s">
        <v>235</v>
      </c>
      <c r="D37" s="30" t="str">
        <f aca="false">IF(B23&gt;0,"OK — montøren bærer sine egne kostnader og bidrar","AVVIK: en ny montør går med tap ved disse forutsetningene. Sjekk fakturerbare timer i B21 og andre kostnader i B19")</f>
        <v>OK — montøren bærer sine egne kostnader og bidrar</v>
      </c>
    </row>
    <row r="38" customFormat="false" ht="15" hidden="false" customHeight="false" outlineLevel="0" collapsed="false">
      <c r="A38" s="20" t="s">
        <v>236</v>
      </c>
      <c r="D38" s="30" t="str">
        <f aca="false">IF(ABS(B29-(B27-B28))&lt;0.01,"OK — forskjellen er differansen mellom de to kostnadene per fakturert time","AVVIK: sammenlikningen nederst stemmer ikke med tallene over")</f>
        <v>OK — forskjellen er differansen mellom de to kostnadene per fakturert time</v>
      </c>
    </row>
    <row r="40" customFormat="false" ht="15" hidden="false" customHeight="false" outlineLevel="0" collapsed="false">
      <c r="A40" s="17" t="s">
        <v>237</v>
      </c>
    </row>
  </sheetData>
  <conditionalFormatting sqref="D36">
    <cfRule type="expression" priority="2" aboveAverage="0" equalAverage="0" bottom="0" percent="0" rank="0" text="" dxfId="0">
      <formula>LEFT(D36,5)="AVVIK"</formula>
    </cfRule>
  </conditionalFormatting>
  <conditionalFormatting sqref="D37">
    <cfRule type="expression" priority="3" aboveAverage="0" equalAverage="0" bottom="0" percent="0" rank="0" text="" dxfId="0">
      <formula>LEFT(D37,5)="AVVIK"</formula>
    </cfRule>
  </conditionalFormatting>
  <conditionalFormatting sqref="D38">
    <cfRule type="expression" priority="4" aboveAverage="0" equalAverage="0" bottom="0" percent="0" rank="0" text="" dxfId="0">
      <formula>LEFT(D38,5)="AVVIK"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56"/>
  </cols>
  <sheetData>
    <row r="1" customFormat="false" ht="17.35" hidden="false" customHeight="false" outlineLevel="0" collapsed="false">
      <c r="A1" s="1" t="s">
        <v>238</v>
      </c>
    </row>
    <row r="2" customFormat="false" ht="15" hidden="false" customHeight="false" outlineLevel="0" collapsed="false">
      <c r="A2" s="16" t="s">
        <v>158</v>
      </c>
    </row>
    <row r="4" customFormat="false" ht="15" hidden="false" customHeight="false" outlineLevel="0" collapsed="false">
      <c r="A4" s="18" t="s">
        <v>239</v>
      </c>
    </row>
    <row r="5" customFormat="false" ht="15" hidden="false" customHeight="false" outlineLevel="0" collapsed="false">
      <c r="A5" s="20" t="s">
        <v>240</v>
      </c>
      <c r="B5" s="31" t="n">
        <v>480000</v>
      </c>
      <c r="D5" s="20" t="s">
        <v>241</v>
      </c>
    </row>
    <row r="6" customFormat="false" ht="15" hidden="false" customHeight="false" outlineLevel="0" collapsed="false">
      <c r="A6" s="20" t="s">
        <v>242</v>
      </c>
      <c r="B6" s="40" t="n">
        <f aca="false">'Hva overtidstimen koster'!$B$27*'Hva overtidstimen koster'!$B$40</f>
        <v>73058.4615384615</v>
      </c>
      <c r="D6" s="20" t="s">
        <v>243</v>
      </c>
    </row>
    <row r="7" customFormat="false" ht="15" hidden="false" customHeight="false" outlineLevel="0" collapsed="false">
      <c r="A7" s="20" t="s">
        <v>244</v>
      </c>
      <c r="B7" s="33" t="n">
        <f aca="false">B5+B6</f>
        <v>553058.461538462</v>
      </c>
    </row>
    <row r="9" customFormat="false" ht="15" hidden="false" customHeight="false" outlineLevel="0" collapsed="false">
      <c r="A9" s="18" t="s">
        <v>245</v>
      </c>
    </row>
    <row r="10" customFormat="false" ht="27.75" hidden="false" customHeight="true" outlineLevel="0" collapsed="false">
      <c r="A10" s="23" t="s">
        <v>169</v>
      </c>
      <c r="B10" s="23" t="s">
        <v>246</v>
      </c>
      <c r="C10" s="23" t="s">
        <v>55</v>
      </c>
      <c r="D10" s="23" t="s">
        <v>247</v>
      </c>
    </row>
    <row r="11" customFormat="false" ht="15" hidden="false" customHeight="false" outlineLevel="0" collapsed="false">
      <c r="A11" s="20" t="s">
        <v>248</v>
      </c>
      <c r="B11" s="35" t="n">
        <v>0.102</v>
      </c>
      <c r="C11" s="40" t="n">
        <f aca="false">$B$7*B11</f>
        <v>56411.9630769231</v>
      </c>
      <c r="D11" s="20" t="s">
        <v>249</v>
      </c>
    </row>
    <row r="12" customFormat="false" ht="15" hidden="false" customHeight="false" outlineLevel="0" collapsed="false">
      <c r="A12" s="20" t="s">
        <v>250</v>
      </c>
      <c r="B12" s="35" t="n">
        <v>0.125</v>
      </c>
      <c r="C12" s="40" t="n">
        <f aca="false">$B$7*B12</f>
        <v>69132.3076923077</v>
      </c>
      <c r="D12" s="20" t="s">
        <v>251</v>
      </c>
    </row>
    <row r="13" customFormat="false" ht="15" hidden="false" customHeight="false" outlineLevel="0" collapsed="false">
      <c r="A13" s="20" t="s">
        <v>252</v>
      </c>
      <c r="B13" s="35" t="n">
        <v>0.12</v>
      </c>
      <c r="C13" s="40" t="n">
        <f aca="false">$B$7*B13</f>
        <v>66367.0153846154</v>
      </c>
      <c r="D13" s="20" t="s">
        <v>253</v>
      </c>
    </row>
    <row r="14" customFormat="false" ht="15" hidden="false" customHeight="false" outlineLevel="0" collapsed="false">
      <c r="A14" s="20" t="s">
        <v>254</v>
      </c>
      <c r="B14" s="35" t="n">
        <v>0.143</v>
      </c>
      <c r="C14" s="40" t="n">
        <f aca="false">$B$7*B14</f>
        <v>79087.36</v>
      </c>
      <c r="D14" s="20" t="s">
        <v>255</v>
      </c>
    </row>
    <row r="16" customFormat="false" ht="15" hidden="false" customHeight="false" outlineLevel="0" collapsed="false">
      <c r="A16" s="18" t="s">
        <v>256</v>
      </c>
    </row>
    <row r="17" customFormat="false" ht="15" hidden="false" customHeight="false" outlineLevel="0" collapsed="false">
      <c r="A17" s="20" t="s">
        <v>257</v>
      </c>
      <c r="B17" s="41" t="n">
        <f aca="false">B13</f>
        <v>0.12</v>
      </c>
    </row>
    <row r="18" customFormat="false" ht="15" hidden="false" customHeight="false" outlineLevel="0" collapsed="false">
      <c r="A18" s="20" t="s">
        <v>258</v>
      </c>
      <c r="B18" s="33" t="n">
        <f aca="false">$B$7*B17</f>
        <v>66367.0153846154</v>
      </c>
    </row>
    <row r="19" customFormat="false" ht="15" hidden="false" customHeight="false" outlineLevel="0" collapsed="false">
      <c r="A19" s="20" t="s">
        <v>259</v>
      </c>
      <c r="B19" s="35" t="n">
        <v>0.141</v>
      </c>
    </row>
    <row r="20" customFormat="false" ht="15" hidden="false" customHeight="false" outlineLevel="0" collapsed="false">
      <c r="A20" s="20" t="s">
        <v>260</v>
      </c>
      <c r="B20" s="38" t="n">
        <f aca="false">B18*B19</f>
        <v>9357.74916923077</v>
      </c>
    </row>
    <row r="21" customFormat="false" ht="15" hidden="false" customHeight="false" outlineLevel="0" collapsed="false">
      <c r="A21" s="20" t="s">
        <v>261</v>
      </c>
      <c r="B21" s="33" t="n">
        <f aca="false">B18+B20</f>
        <v>75724.7645538462</v>
      </c>
    </row>
    <row r="22" customFormat="false" ht="15" hidden="false" customHeight="false" outlineLevel="0" collapsed="false">
      <c r="A22" s="20" t="s">
        <v>262</v>
      </c>
      <c r="B22" s="38" t="n">
        <f aca="false">B21/12</f>
        <v>6310.39704615385</v>
      </c>
      <c r="D22" s="20" t="s">
        <v>263</v>
      </c>
    </row>
    <row r="23" customFormat="false" ht="15" hidden="false" customHeight="false" outlineLevel="0" collapsed="false">
      <c r="A23" s="20" t="s">
        <v>264</v>
      </c>
      <c r="B23" s="36" t="n">
        <f aca="false">IF(B7=0,0,B21/B7)</f>
        <v>0.13692</v>
      </c>
      <c r="D23" s="20" t="s">
        <v>265</v>
      </c>
    </row>
    <row r="25" customFormat="false" ht="15" hidden="false" customHeight="false" outlineLevel="0" collapsed="false">
      <c r="A25" s="18" t="s">
        <v>266</v>
      </c>
    </row>
    <row r="26" customFormat="false" ht="15" hidden="false" customHeight="false" outlineLevel="0" collapsed="false">
      <c r="A26" s="20" t="s">
        <v>267</v>
      </c>
      <c r="B26" s="32" t="n">
        <v>25</v>
      </c>
      <c r="D26" s="20" t="s">
        <v>268</v>
      </c>
    </row>
    <row r="27" customFormat="false" ht="15" hidden="false" customHeight="false" outlineLevel="0" collapsed="false">
      <c r="A27" s="20" t="s">
        <v>269</v>
      </c>
      <c r="B27" s="28" t="n">
        <f aca="false">B26/6</f>
        <v>4.16666666666667</v>
      </c>
    </row>
    <row r="29" customFormat="false" ht="15" hidden="false" customHeight="false" outlineLevel="0" collapsed="false">
      <c r="A29" s="22" t="s">
        <v>270</v>
      </c>
    </row>
    <row r="32" customFormat="false" ht="15" hidden="false" customHeight="false" outlineLevel="0" collapsed="false">
      <c r="A32" s="18" t="s">
        <v>151</v>
      </c>
    </row>
    <row r="33" customFormat="false" ht="15" hidden="false" customHeight="false" outlineLevel="0" collapsed="false">
      <c r="A33" s="20" t="s">
        <v>271</v>
      </c>
      <c r="D33" s="30" t="str">
        <f aca="false">IF(AND(B12&gt;B11,B14&gt;B13),"OK — satsen for dem som har fylt 60 år er høyere i begge kolonnene","AVVIK: 60-årssatsene skal ligge over de ordinære satsene")</f>
        <v>OK — satsen for dem som har fylt 60 år er høyere i begge kolonnene</v>
      </c>
    </row>
    <row r="34" customFormat="false" ht="15" hidden="false" customHeight="false" outlineLevel="0" collapsed="false">
      <c r="A34" s="20" t="s">
        <v>272</v>
      </c>
      <c r="D34" s="30" t="str">
        <f aca="false">IF(B13&gt;=B11,"OK — loven er et minstekrav, og avtalen ligger over","AVVIK: en avtale kan ikke gi svakere vilkår enn ferieloven")</f>
        <v>OK — loven er et minstekrav, og avtalen ligger over</v>
      </c>
    </row>
    <row r="35" customFormat="false" ht="15" hidden="false" customHeight="false" outlineLevel="0" collapsed="false">
      <c r="A35" s="20" t="s">
        <v>273</v>
      </c>
      <c r="D35" s="30" t="str">
        <f aca="false">IF(ABS(B23-0.137)&lt;0.01,"OK — feriepenger med arbeidsgiveravgift er lik posten i lønnspåslaget","AVVIK: avsetningen avviker fra posten «Feriepenger, inkludert arbeidsgiveravgift» i lønnspåslaget")</f>
        <v>OK — feriepenger med arbeidsgiveravgift er lik posten i lønnspåslaget</v>
      </c>
    </row>
    <row r="37" customFormat="false" ht="15" hidden="false" customHeight="false" outlineLevel="0" collapsed="false">
      <c r="A37" s="17" t="s">
        <v>274</v>
      </c>
    </row>
  </sheetData>
  <conditionalFormatting sqref="D33">
    <cfRule type="expression" priority="2" aboveAverage="0" equalAverage="0" bottom="0" percent="0" rank="0" text="" dxfId="0">
      <formula>LEFT(D33,5)="AVVIK"</formula>
    </cfRule>
  </conditionalFormatting>
  <conditionalFormatting sqref="D34">
    <cfRule type="expression" priority="3" aboveAverage="0" equalAverage="0" bottom="0" percent="0" rank="0" text="" dxfId="0">
      <formula>LEFT(D34,5)="AVVIK"</formula>
    </cfRule>
  </conditionalFormatting>
  <conditionalFormatting sqref="D35">
    <cfRule type="expression" priority="4" aboveAverage="0" equalAverage="0" bottom="0" percent="0" rank="0" text="" dxfId="0">
      <formula>LEFT(D35,5)="AVVIK"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18"/>
    <col collapsed="false" customWidth="true" hidden="false" outlineLevel="0" max="6" min="6" style="0" width="54"/>
  </cols>
  <sheetData>
    <row r="1" customFormat="false" ht="17.35" hidden="false" customHeight="false" outlineLevel="0" collapsed="false">
      <c r="A1" s="1" t="s">
        <v>275</v>
      </c>
    </row>
    <row r="2" customFormat="false" ht="15" hidden="false" customHeight="false" outlineLevel="0" collapsed="false">
      <c r="A2" s="16" t="s">
        <v>276</v>
      </c>
    </row>
    <row r="4" customFormat="false" ht="15" hidden="false" customHeight="false" outlineLevel="0" collapsed="false">
      <c r="A4" s="18" t="s">
        <v>277</v>
      </c>
    </row>
    <row r="5" customFormat="false" ht="15" hidden="false" customHeight="false" outlineLevel="0" collapsed="false">
      <c r="A5" s="17" t="s">
        <v>278</v>
      </c>
    </row>
    <row ht="27" customHeight="true" r="6" customFormat="false" hidden="false" outlineLevel="0" collapsed="false">
      <c s="42" r="A6" t="s">
        <v>279</v>
      </c>
      <c r="B6" s="32" t="n">
        <v>45</v>
      </c>
      <c r="F6" s="20" t="s">
        <v>280</v>
      </c>
    </row>
    <row r="7" customFormat="false" ht="27.75" hidden="false" customHeight="true" outlineLevel="0" collapsed="false">
      <c r="A7" s="23" t="s">
        <v>281</v>
      </c>
      <c r="B7" s="23" t="s">
        <v>129</v>
      </c>
      <c r="C7" s="23" t="s">
        <v>282</v>
      </c>
      <c r="D7" s="23" t="s">
        <v>283</v>
      </c>
      <c r="E7" s="23" t="s">
        <v>284</v>
      </c>
      <c r="F7" s="23" t="s">
        <v>285</v>
      </c>
    </row>
    <row r="8" customFormat="false" ht="15" hidden="false" customHeight="false" outlineLevel="0" collapsed="false">
      <c r="A8" s="24" t="n">
        <v>37.5</v>
      </c>
      <c r="B8" s="25" t="n">
        <f aca="false">MAX(0,A8-'Uka og grensene'!$B$8)</f>
        <v>0</v>
      </c>
      <c r="C8" s="39" t="n">
        <f aca="false">B8*('Hva overtidstimen koster'!$B$28-'Hva overtidstimen koster'!$B$26)</f>
        <v>0</v>
      </c>
      <c r="D8" s="40" t="n">
        <f aca="false">C8*$B$6</f>
        <v>0</v>
      </c>
      <c r="E8" s="26" t="str">
        <f aca="false">IF(A8&gt;'Uka og grensene'!$B$10,"BRUDD § 10-6",IF(B8&gt;'Uka og grensene'!$B$12,"Krever avtale","Innenfor"))</f>
        <v>Innenfor</v>
      </c>
      <c r="F8" s="20" t="s">
        <v>286</v>
      </c>
    </row>
    <row r="9" customFormat="false" ht="15" hidden="false" customHeight="false" outlineLevel="0" collapsed="false">
      <c r="A9" s="24" t="n">
        <v>40</v>
      </c>
      <c r="B9" s="25" t="n">
        <f aca="false">MAX(0,A9-'Uka og grensene'!$B$8)</f>
        <v>0</v>
      </c>
      <c r="C9" s="39" t="n">
        <f aca="false">B9*('Hva overtidstimen koster'!$B$28-'Hva overtidstimen koster'!$B$26)</f>
        <v>0</v>
      </c>
      <c r="D9" s="40" t="n">
        <f aca="false">C9*$B$6</f>
        <v>0</v>
      </c>
      <c r="E9" s="26" t="str">
        <f aca="false">IF(A9&gt;'Uka og grensene'!$B$10,"BRUDD § 10-6",IF(B9&gt;'Uka og grensene'!$B$12,"Krever avtale","Innenfor"))</f>
        <v>Innenfor</v>
      </c>
      <c r="F9" s="20" t="s">
        <v>287</v>
      </c>
    </row>
    <row r="10" customFormat="false" ht="15" hidden="false" customHeight="false" outlineLevel="0" collapsed="false">
      <c r="A10" s="24" t="n">
        <v>45</v>
      </c>
      <c r="B10" s="25" t="n">
        <f aca="false">MAX(0,A10-'Uka og grensene'!$B$8)</f>
        <v>5</v>
      </c>
      <c r="C10" s="39" t="n">
        <f aca="false">B10*('Hva overtidstimen koster'!$B$28-'Hva overtidstimen koster'!$B$26)</f>
        <v>552.123076923077</v>
      </c>
      <c r="D10" s="40" t="n">
        <f aca="false">C10*$B$6</f>
        <v>24845.5384615384</v>
      </c>
      <c r="E10" s="26" t="str">
        <f aca="false">IF(A10&gt;'Uka og grensene'!$B$10,"BRUDD § 10-6",IF(B10&gt;'Uka og grensene'!$B$12,"Krever avtale","Innenfor"))</f>
        <v>Innenfor</v>
      </c>
      <c r="F10" s="20" t="s">
        <v>288</v>
      </c>
    </row>
    <row r="11" customFormat="false" ht="15" hidden="false" customHeight="false" outlineLevel="0" collapsed="false">
      <c r="A11" s="24" t="n">
        <v>48</v>
      </c>
      <c r="B11" s="25" t="n">
        <f aca="false">MAX(0,A11-'Uka og grensene'!$B$8)</f>
        <v>8</v>
      </c>
      <c r="C11" s="39" t="n">
        <f aca="false">B11*('Hva overtidstimen koster'!$B$28-'Hva overtidstimen koster'!$B$26)</f>
        <v>883.396923076923</v>
      </c>
      <c r="D11" s="40" t="n">
        <f aca="false">C11*$B$6</f>
        <v>39752.8615384615</v>
      </c>
      <c r="E11" s="26" t="str">
        <f aca="false">IF(A11&gt;'Uka og grensene'!$B$10,"BRUDD § 10-6",IF(B11&gt;'Uka og grensene'!$B$12,"Krever avtale","Innenfor"))</f>
        <v>Innenfor</v>
      </c>
      <c r="F11" s="20" t="s">
        <v>289</v>
      </c>
    </row>
    <row r="12" customFormat="false" ht="15" hidden="false" customHeight="false" outlineLevel="0" collapsed="false">
      <c r="A12" s="24" t="n">
        <v>52</v>
      </c>
      <c r="B12" s="25" t="n">
        <f aca="false">MAX(0,A12-'Uka og grensene'!$B$8)</f>
        <v>12</v>
      </c>
      <c r="C12" s="39" t="n">
        <f aca="false">B12*('Hva overtidstimen koster'!$B$28-'Hva overtidstimen koster'!$B$26)</f>
        <v>1325.09538461538</v>
      </c>
      <c r="D12" s="40" t="n">
        <f aca="false">C12*$B$6</f>
        <v>59629.2923076923</v>
      </c>
      <c r="E12" s="26" t="str">
        <f aca="false">IF(A12&gt;'Uka og grensene'!$B$10,"BRUDD § 10-6",IF(B12&gt;'Uka og grensene'!$B$12,"Krever avtale","Innenfor"))</f>
        <v>BRUDD § 10-6</v>
      </c>
      <c r="F12" s="20" t="s">
        <v>290</v>
      </c>
    </row>
    <row r="15" customFormat="false" ht="15" hidden="false" customHeight="false" outlineLevel="0" collapsed="false">
      <c r="A15" s="18" t="s">
        <v>291</v>
      </c>
    </row>
    <row r="16" customFormat="false" ht="15" hidden="false" customHeight="false" outlineLevel="0" collapsed="false">
      <c r="A16" s="17" t="s">
        <v>292</v>
      </c>
    </row>
    <row r="17" customFormat="false" ht="27.75" hidden="false" customHeight="true" outlineLevel="0" collapsed="false">
      <c r="A17" s="23" t="s">
        <v>293</v>
      </c>
      <c r="B17" s="23" t="s">
        <v>294</v>
      </c>
      <c r="C17" s="23" t="s">
        <v>295</v>
      </c>
      <c r="D17" s="23" t="s">
        <v>296</v>
      </c>
      <c r="E17" s="23" t="s">
        <v>297</v>
      </c>
      <c r="F17" s="23" t="s">
        <v>285</v>
      </c>
    </row>
    <row r="18" customFormat="false" ht="15" hidden="false" customHeight="false" outlineLevel="0" collapsed="false">
      <c r="A18" s="35" t="n">
        <v>0.4</v>
      </c>
      <c r="B18" s="39" t="n">
        <f aca="false">'Hva overtidstimen koster'!$B$10*(1+A18)</f>
        <v>344.615384615385</v>
      </c>
      <c r="C18" s="39" t="n">
        <f aca="false">B18*(1+'Hva overtidstimen koster'!$B$22)</f>
        <v>471.778461538462</v>
      </c>
      <c r="D18" s="39" t="n">
        <f aca="false">'Hva overtidstimen koster'!$B$33-C18</f>
        <v>418.221538461539</v>
      </c>
      <c r="E18" s="41" t="n">
        <f aca="false">IF('Hva overtidstimen koster'!$B$26=0,0,C18/'Hva overtidstimen koster'!$B$26-1)</f>
        <v>0.30558583106267</v>
      </c>
      <c r="F18" s="20" t="s">
        <v>298</v>
      </c>
    </row>
    <row r="19" customFormat="false" ht="15" hidden="false" customHeight="false" outlineLevel="0" collapsed="false">
      <c r="A19" s="35" t="n">
        <v>0.5</v>
      </c>
      <c r="B19" s="39" t="n">
        <f aca="false">'Hva overtidstimen koster'!$B$10*(1+A19)</f>
        <v>369.230769230769</v>
      </c>
      <c r="C19" s="39" t="n">
        <f aca="false">B19*(1+'Hva overtidstimen koster'!$B$22)</f>
        <v>505.476923076923</v>
      </c>
      <c r="D19" s="39" t="n">
        <f aca="false">'Hva overtidstimen koster'!$B$33-C19</f>
        <v>384.523076923077</v>
      </c>
      <c r="E19" s="41" t="n">
        <f aca="false">IF('Hva overtidstimen koster'!$B$26=0,0,C19/'Hva overtidstimen koster'!$B$26-1)</f>
        <v>0.398841961852861</v>
      </c>
      <c r="F19" s="20" t="s">
        <v>299</v>
      </c>
    </row>
    <row r="20" customFormat="false" ht="15" hidden="false" customHeight="false" outlineLevel="0" collapsed="false">
      <c r="A20" s="35" t="n">
        <v>0.75</v>
      </c>
      <c r="B20" s="39" t="n">
        <f aca="false">'Hva overtidstimen koster'!$B$10*(1+A20)</f>
        <v>430.769230769231</v>
      </c>
      <c r="C20" s="39" t="n">
        <f aca="false">B20*(1+'Hva overtidstimen koster'!$B$22)</f>
        <v>589.723076923077</v>
      </c>
      <c r="D20" s="39" t="n">
        <f aca="false">'Hva overtidstimen koster'!$B$33-C20</f>
        <v>300.276923076923</v>
      </c>
      <c r="E20" s="41" t="n">
        <f aca="false">IF('Hva overtidstimen koster'!$B$26=0,0,C20/'Hva overtidstimen koster'!$B$26-1)</f>
        <v>0.631982288828338</v>
      </c>
      <c r="F20" s="20" t="s">
        <v>300</v>
      </c>
    </row>
    <row r="21" customFormat="false" ht="15" hidden="false" customHeight="false" outlineLevel="0" collapsed="false">
      <c r="A21" s="35" t="n">
        <v>1</v>
      </c>
      <c r="B21" s="39" t="n">
        <f aca="false">'Hva overtidstimen koster'!$B$10*(1+A21)</f>
        <v>492.307692307692</v>
      </c>
      <c r="C21" s="39" t="n">
        <f aca="false">B21*(1+'Hva overtidstimen koster'!$B$22)</f>
        <v>673.969230769231</v>
      </c>
      <c r="D21" s="39" t="n">
        <f aca="false">'Hva overtidstimen koster'!$B$33-C21</f>
        <v>216.030769230769</v>
      </c>
      <c r="E21" s="41" t="n">
        <f aca="false">IF('Hva overtidstimen koster'!$B$26=0,0,C21/'Hva overtidstimen koster'!$B$26-1)</f>
        <v>0.865122615803815</v>
      </c>
      <c r="F21" s="20" t="s">
        <v>301</v>
      </c>
    </row>
    <row r="24" customFormat="false" ht="15" hidden="false" customHeight="false" outlineLevel="0" collapsed="false">
      <c r="A24" s="18" t="s">
        <v>302</v>
      </c>
    </row>
    <row r="25" customFormat="false" ht="15" hidden="false" customHeight="false" outlineLevel="0" collapsed="false">
      <c r="A25" s="17" t="s">
        <v>303</v>
      </c>
    </row>
    <row r="26" customFormat="false" ht="27.75" hidden="false" customHeight="true" outlineLevel="0" collapsed="false">
      <c r="A26" s="23" t="s">
        <v>304</v>
      </c>
      <c r="B26" s="23" t="s">
        <v>305</v>
      </c>
      <c r="C26" s="23" t="s">
        <v>306</v>
      </c>
      <c r="D26" s="23"/>
      <c r="E26" s="23" t="s">
        <v>284</v>
      </c>
      <c r="F26" s="23" t="s">
        <v>285</v>
      </c>
    </row>
    <row r="27" customFormat="false" ht="15" hidden="false" customHeight="false" outlineLevel="0" collapsed="false">
      <c r="A27" s="20" t="s">
        <v>307</v>
      </c>
      <c r="B27" s="32" t="n">
        <v>212</v>
      </c>
      <c r="F27" s="20" t="s">
        <v>308</v>
      </c>
    </row>
    <row r="28" customFormat="false" ht="15" hidden="false" customHeight="false" outlineLevel="0" collapsed="false">
      <c r="A28" s="32" t="n">
        <v>1</v>
      </c>
      <c r="B28" s="25" t="n">
        <f aca="false">IF(A28=0,0,$B$27/A28)</f>
        <v>212</v>
      </c>
      <c r="C28" s="40" t="n">
        <f aca="false">$B$27*('Hva overtidstimen koster'!$B$28-'Hva overtidstimen koster'!$B$26)</f>
        <v>23410.0184615385</v>
      </c>
      <c r="E28" s="26" t="str">
        <f aca="false">IF(B28&gt;300,"BRUDD § 10-6",IF(B28&gt;200,"Krever skriftlig avtale","Innenfor 200 timer"))</f>
        <v>Krever skriftlig avtale</v>
      </c>
      <c r="F28" s="20" t="s">
        <v>309</v>
      </c>
    </row>
    <row r="29" customFormat="false" ht="15" hidden="false" customHeight="false" outlineLevel="0" collapsed="false">
      <c r="A29" s="32" t="n">
        <v>2</v>
      </c>
      <c r="B29" s="25" t="n">
        <f aca="false">IF(A29=0,0,$B$27/A29)</f>
        <v>106</v>
      </c>
      <c r="C29" s="40" t="n">
        <f aca="false">$B$27*('Hva overtidstimen koster'!$B$28-'Hva overtidstimen koster'!$B$26)</f>
        <v>23410.0184615385</v>
      </c>
      <c r="E29" s="26" t="str">
        <f aca="false">IF(B29&gt;300,"BRUDD § 10-6",IF(B29&gt;200,"Krever skriftlig avtale","Innenfor 200 timer"))</f>
        <v>Innenfor 200 timer</v>
      </c>
      <c r="F29" s="20" t="s">
        <v>310</v>
      </c>
    </row>
    <row r="30" customFormat="false" ht="15" hidden="false" customHeight="false" outlineLevel="0" collapsed="false">
      <c r="A30" s="32" t="n">
        <v>3</v>
      </c>
      <c r="B30" s="25" t="n">
        <f aca="false">IF(A30=0,0,$B$27/A30)</f>
        <v>70.6666666666667</v>
      </c>
      <c r="C30" s="40" t="n">
        <f aca="false">$B$27*('Hva overtidstimen koster'!$B$28-'Hva overtidstimen koster'!$B$26)</f>
        <v>23410.0184615385</v>
      </c>
      <c r="E30" s="26" t="str">
        <f aca="false">IF(B30&gt;300,"BRUDD § 10-6",IF(B30&gt;200,"Krever skriftlig avtale","Innenfor 200 timer"))</f>
        <v>Innenfor 200 timer</v>
      </c>
      <c r="F30" s="20" t="s">
        <v>311</v>
      </c>
    </row>
    <row r="31" customFormat="false" ht="15" hidden="false" customHeight="false" outlineLevel="0" collapsed="false">
      <c r="A31" s="32" t="n">
        <v>12</v>
      </c>
      <c r="B31" s="25" t="n">
        <f aca="false">IF(A31=0,0,$B$27/A31)</f>
        <v>17.6666666666667</v>
      </c>
      <c r="C31" s="40" t="n">
        <f aca="false">$B$27*('Hva overtidstimen koster'!$B$28-'Hva overtidstimen koster'!$B$26)</f>
        <v>23410.0184615385</v>
      </c>
      <c r="E31" s="26" t="str">
        <f aca="false">IF(B31&gt;300,"BRUDD § 10-6",IF(B31&gt;200,"Krever skriftlig avtale","Innenfor 200 timer"))</f>
        <v>Innenfor 200 timer</v>
      </c>
      <c r="F31" s="20" t="s">
        <v>312</v>
      </c>
    </row>
    <row r="33" customFormat="false" ht="15" hidden="false" customHeight="false" outlineLevel="0" collapsed="false">
      <c r="A33" s="18" t="s">
        <v>313</v>
      </c>
    </row>
    <row r="34" customFormat="false" ht="15" hidden="false" customHeight="false" outlineLevel="0" collapsed="false">
      <c r="A34" s="20" t="s">
        <v>314</v>
      </c>
    </row>
    <row r="35" customFormat="false" ht="15" hidden="false" customHeight="false" outlineLevel="0" collapsed="false">
      <c r="A35" s="20" t="s">
        <v>315</v>
      </c>
    </row>
    <row r="36" customFormat="false" ht="15" hidden="false" customHeight="false" outlineLevel="0" collapsed="false">
      <c r="A36" s="22" t="s">
        <v>316</v>
      </c>
    </row>
    <row r="38" customFormat="false" ht="15" hidden="false" customHeight="false" outlineLevel="0" collapsed="false">
      <c r="A38" s="18" t="s">
        <v>151</v>
      </c>
    </row>
    <row r="39" customFormat="false" ht="15" hidden="false" customHeight="false" outlineLevel="0" collapsed="false">
      <c r="A39" s="20" t="s">
        <v>317</v>
      </c>
      <c r="F39" s="30" t="str">
        <f aca="false">IF(B12&gt;B8,"OK — lengre uke gir mer overtid","AVVIK: tabellen i scenario A skal stige nedover")</f>
        <v>OK — lengre uke gir mer overtid</v>
      </c>
    </row>
    <row r="40" customFormat="false" ht="15" hidden="false" customHeight="false" outlineLevel="0" collapsed="false">
      <c r="A40" s="20" t="s">
        <v>318</v>
      </c>
      <c r="F40" s="30" t="str">
        <f aca="false">IF(D21&lt;D18,"OK — høyere overtidstillegg gir lavere dekningsbidrag","AVVIK: tabellen i scenario B skal falle nedover")</f>
        <v>OK — høyere overtidstillegg gir lavere dekningsbidrag</v>
      </c>
    </row>
    <row r="41" customFormat="false" ht="15" hidden="false" customHeight="false" outlineLevel="0" collapsed="false">
      <c r="A41" s="20" t="s">
        <v>319</v>
      </c>
      <c r="F41" s="30" t="str">
        <f aca="false">IF(ABS(C18-'Hva overtidstimen koster'!$B$28)&lt;0.01,"OK — raden gir samme kostnad som kalkylen","AVVIK: raden stemmer ikke med arket «Hva overtidstimen koster»")</f>
        <v>OK — raden gir samme kostnad som kalkylen</v>
      </c>
    </row>
    <row r="42" customFormat="false" ht="15" hidden="false" customHeight="false" outlineLevel="0" collapsed="false">
      <c r="A42" s="20" t="s">
        <v>320</v>
      </c>
      <c r="F42" s="30" t="str">
        <f aca="false">IF(B31&lt;B28,"OK — flere montører gir færre timer hver","AVVIK: tabellen i scenario C skal falle nedover")</f>
        <v>OK — flere montører gir færre timer hver</v>
      </c>
    </row>
    <row r="44" customFormat="false" ht="15" hidden="false" customHeight="false" outlineLevel="0" collapsed="false">
      <c r="A44" s="17" t="s">
        <v>321</v>
      </c>
    </row>
  </sheetData>
  <conditionalFormatting sqref="F39">
    <cfRule type="expression" priority="2" aboveAverage="0" equalAverage="0" bottom="0" percent="0" rank="0" text="" dxfId="0">
      <formula>LEFT(F39,5)="AVVIK"</formula>
    </cfRule>
  </conditionalFormatting>
  <conditionalFormatting sqref="F40">
    <cfRule type="expression" priority="3" aboveAverage="0" equalAverage="0" bottom="0" percent="0" rank="0" text="" dxfId="0">
      <formula>LEFT(F40,5)="AVVIK"</formula>
    </cfRule>
  </conditionalFormatting>
  <conditionalFormatting sqref="F41">
    <cfRule type="expression" priority="4" aboveAverage="0" equalAverage="0" bottom="0" percent="0" rank="0" text="" dxfId="0">
      <formula>LEFT(F41,5)="AVVIK"</formula>
    </cfRule>
  </conditionalFormatting>
  <conditionalFormatting sqref="F42">
    <cfRule type="expression" priority="5" aboveAverage="0" equalAverage="0" bottom="0" percent="0" rank="0" text="" dxfId="0">
      <formula>LEFT(F42,5)="AVVIK"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5" min="3" style="0" width="15"/>
    <col collapsed="false" customWidth="true" hidden="false" outlineLevel="0" max="6" min="6" style="0" width="62"/>
  </cols>
  <sheetData>
    <row r="1" customFormat="false" ht="17.35" hidden="false" customHeight="false" outlineLevel="0" collapsed="false">
      <c r="A1" s="1" t="s">
        <v>322</v>
      </c>
    </row>
    <row r="2" customFormat="false" ht="15" hidden="false" customHeight="false" outlineLevel="0" collapsed="false">
      <c r="A2" s="16" t="s">
        <v>323</v>
      </c>
    </row>
    <row r="4" customFormat="false" ht="15" hidden="false" customHeight="false" outlineLevel="0" collapsed="false">
      <c r="A4" s="18" t="s">
        <v>110</v>
      </c>
    </row>
    <row ht="27" customHeight="true" r="5" customFormat="false" hidden="false" outlineLevel="0" collapsed="false">
      <c s="42" r="A5" t="s">
        <v>111</v>
      </c>
      <c r="B5" s="24" t="n">
        <v>37.5</v>
      </c>
    </row>
    <row ht="27" customHeight="true" r="6" customFormat="false" hidden="false" outlineLevel="0" collapsed="false">
      <c s="42" r="A6" t="s">
        <v>113</v>
      </c>
      <c r="B6" s="25" t="n">
        <f aca="false">B5/5</f>
        <v>7.5</v>
      </c>
    </row>
    <row ht="39.75" customHeight="true" r="7" customFormat="false" hidden="false" outlineLevel="0" collapsed="false">
      <c s="42" r="A7" t="s">
        <v>114</v>
      </c>
      <c r="B7" s="24" t="n">
        <v>9</v>
      </c>
    </row>
    <row ht="39.75" customHeight="true" r="8" customFormat="false" hidden="false" outlineLevel="0" collapsed="false">
      <c s="42" r="A8" t="s">
        <v>116</v>
      </c>
      <c r="B8" s="24" t="n">
        <v>40</v>
      </c>
    </row>
    <row ht="27" customHeight="true" r="9" customFormat="false" hidden="false" outlineLevel="0" collapsed="false">
      <c s="42" r="A9" t="s">
        <v>118</v>
      </c>
      <c r="B9" s="24" t="n">
        <v>13</v>
      </c>
    </row>
    <row ht="39.75" customHeight="true" r="10" customFormat="false" hidden="false" outlineLevel="0" collapsed="false">
      <c s="42" r="A10" t="s">
        <v>120</v>
      </c>
      <c r="B10" s="24" t="n">
        <v>48</v>
      </c>
    </row>
    <row ht="27" customHeight="true" r="11" customFormat="false" hidden="false" outlineLevel="0" collapsed="false">
      <c s="42" r="A11" t="s">
        <v>122</v>
      </c>
      <c r="B11" s="24" t="n">
        <v>11</v>
      </c>
    </row>
    <row ht="27" customHeight="true" r="12" customFormat="false" hidden="false" outlineLevel="0" collapsed="false">
      <c s="42" r="A12" t="s">
        <v>124</v>
      </c>
      <c r="B12" s="24" t="n">
        <v>10</v>
      </c>
    </row>
    <row r="14" customFormat="false" ht="15" hidden="false" customHeight="false" outlineLevel="0" collapsed="false">
      <c r="A14" s="18" t="s">
        <v>324</v>
      </c>
    </row>
    <row r="15" customFormat="false" ht="27.75" hidden="false" customHeight="true" outlineLevel="0" collapsed="false">
      <c r="A15" s="23" t="s">
        <v>126</v>
      </c>
      <c r="B15" s="23" t="s">
        <v>127</v>
      </c>
      <c r="C15" s="23" t="s">
        <v>128</v>
      </c>
      <c r="D15" s="23" t="s">
        <v>129</v>
      </c>
      <c r="E15" s="23" t="s">
        <v>130</v>
      </c>
      <c r="F15" s="23" t="s">
        <v>131</v>
      </c>
    </row>
    <row r="16" customFormat="false" ht="15" hidden="false" customHeight="false" outlineLevel="0" collapsed="false">
      <c r="A16" s="20" t="s">
        <v>132</v>
      </c>
      <c r="B16" s="24" t="n">
        <v>0</v>
      </c>
      <c r="C16" s="25" t="n">
        <f aca="false">MAX(0,B16-$B$6)</f>
        <v>0</v>
      </c>
      <c r="D16" s="25" t="n">
        <f aca="false">MAX(0,B16-$B$7)</f>
        <v>0</v>
      </c>
      <c r="E16" s="25" t="n">
        <f aca="false">24-B16</f>
        <v>24</v>
      </c>
      <c r="F16" s="26" t="str">
        <f aca="false">IF(B16&gt;$B$9,"BRUDD: over samlet arbeidstid på "&amp;$B$9&amp;" timer i døgnet (§ 10-6).",IF(E16&lt;$B$11,"BRUDD: mindre enn "&amp;$B$11&amp;" timer arbeidsfri (§ 10-8).",IF(D16&gt;0,"Overtid denne dagen.",IF(C16&gt;0,"Ut over avtalt arbeidstid, men innenfor lovens grense.","Innenfor avtalt arbeidstid."))))</f>
        <v>Innenfor avtalt arbeidstid.</v>
      </c>
    </row>
    <row r="17" customFormat="false" ht="15" hidden="false" customHeight="false" outlineLevel="0" collapsed="false">
      <c r="A17" s="20" t="s">
        <v>133</v>
      </c>
      <c r="B17" s="24" t="n">
        <v>0</v>
      </c>
      <c r="C17" s="25" t="n">
        <f aca="false">MAX(0,B17-$B$6)</f>
        <v>0</v>
      </c>
      <c r="D17" s="25" t="n">
        <f aca="false">MAX(0,B17-$B$7)</f>
        <v>0</v>
      </c>
      <c r="E17" s="25" t="n">
        <f aca="false">24-B17</f>
        <v>24</v>
      </c>
      <c r="F17" s="26" t="str">
        <f aca="false">IF(B17&gt;$B$9,"BRUDD: over samlet arbeidstid på "&amp;$B$9&amp;" timer i døgnet (§ 10-6).",IF(E17&lt;$B$11,"BRUDD: mindre enn "&amp;$B$11&amp;" timer arbeidsfri (§ 10-8).",IF(D17&gt;0,"Overtid denne dagen.",IF(C17&gt;0,"Ut over avtalt arbeidstid, men innenfor lovens grense.","Innenfor avtalt arbeidstid."))))</f>
        <v>Innenfor avtalt arbeidstid.</v>
      </c>
    </row>
    <row r="18" customFormat="false" ht="15" hidden="false" customHeight="false" outlineLevel="0" collapsed="false">
      <c r="A18" s="20" t="s">
        <v>134</v>
      </c>
      <c r="B18" s="24" t="n">
        <v>0</v>
      </c>
      <c r="C18" s="25" t="n">
        <f aca="false">MAX(0,B18-$B$6)</f>
        <v>0</v>
      </c>
      <c r="D18" s="25" t="n">
        <f aca="false">MAX(0,B18-$B$7)</f>
        <v>0</v>
      </c>
      <c r="E18" s="25" t="n">
        <f aca="false">24-B18</f>
        <v>24</v>
      </c>
      <c r="F18" s="26" t="str">
        <f aca="false">IF(B18&gt;$B$9,"BRUDD: over samlet arbeidstid på "&amp;$B$9&amp;" timer i døgnet (§ 10-6).",IF(E18&lt;$B$11,"BRUDD: mindre enn "&amp;$B$11&amp;" timer arbeidsfri (§ 10-8).",IF(D18&gt;0,"Overtid denne dagen.",IF(C18&gt;0,"Ut over avtalt arbeidstid, men innenfor lovens grense.","Innenfor avtalt arbeidstid."))))</f>
        <v>Innenfor avtalt arbeidstid.</v>
      </c>
    </row>
    <row r="19" customFormat="false" ht="15" hidden="false" customHeight="false" outlineLevel="0" collapsed="false">
      <c r="A19" s="20" t="s">
        <v>135</v>
      </c>
      <c r="B19" s="24" t="n">
        <v>0</v>
      </c>
      <c r="C19" s="25" t="n">
        <f aca="false">MAX(0,B19-$B$6)</f>
        <v>0</v>
      </c>
      <c r="D19" s="25" t="n">
        <f aca="false">MAX(0,B19-$B$7)</f>
        <v>0</v>
      </c>
      <c r="E19" s="25" t="n">
        <f aca="false">24-B19</f>
        <v>24</v>
      </c>
      <c r="F19" s="26" t="str">
        <f aca="false">IF(B19&gt;$B$9,"BRUDD: over samlet arbeidstid på "&amp;$B$9&amp;" timer i døgnet (§ 10-6).",IF(E19&lt;$B$11,"BRUDD: mindre enn "&amp;$B$11&amp;" timer arbeidsfri (§ 10-8).",IF(D19&gt;0,"Overtid denne dagen.",IF(C19&gt;0,"Ut over avtalt arbeidstid, men innenfor lovens grense.","Innenfor avtalt arbeidstid."))))</f>
        <v>Innenfor avtalt arbeidstid.</v>
      </c>
    </row>
    <row r="20" customFormat="false" ht="15" hidden="false" customHeight="false" outlineLevel="0" collapsed="false">
      <c r="A20" s="20" t="s">
        <v>136</v>
      </c>
      <c r="B20" s="24" t="n">
        <v>0</v>
      </c>
      <c r="C20" s="25" t="n">
        <f aca="false">MAX(0,B20-$B$6)</f>
        <v>0</v>
      </c>
      <c r="D20" s="25" t="n">
        <f aca="false">MAX(0,B20-$B$7)</f>
        <v>0</v>
      </c>
      <c r="E20" s="25" t="n">
        <f aca="false">24-B20</f>
        <v>24</v>
      </c>
      <c r="F20" s="26" t="str">
        <f aca="false">IF(B20&gt;$B$9,"BRUDD: over samlet arbeidstid på "&amp;$B$9&amp;" timer i døgnet (§ 10-6).",IF(E20&lt;$B$11,"BRUDD: mindre enn "&amp;$B$11&amp;" timer arbeidsfri (§ 10-8).",IF(D20&gt;0,"Overtid denne dagen.",IF(C20&gt;0,"Ut over avtalt arbeidstid, men innenfor lovens grense.","Innenfor avtalt arbeidstid."))))</f>
        <v>Innenfor avtalt arbeidstid.</v>
      </c>
    </row>
    <row r="21" customFormat="false" ht="15" hidden="false" customHeight="false" outlineLevel="0" collapsed="false">
      <c r="A21" s="20" t="s">
        <v>137</v>
      </c>
      <c r="B21" s="24" t="n">
        <v>0</v>
      </c>
      <c r="C21" s="25" t="n">
        <f aca="false">MAX(0,B21-$B$6)</f>
        <v>0</v>
      </c>
      <c r="D21" s="25" t="n">
        <f aca="false">MAX(0,B21-$B$7)</f>
        <v>0</v>
      </c>
      <c r="E21" s="25" t="n">
        <f aca="false">24-B21</f>
        <v>24</v>
      </c>
      <c r="F21" s="26" t="str">
        <f aca="false">IF(B21&gt;$B$9,"BRUDD: over samlet arbeidstid på "&amp;$B$9&amp;" timer i døgnet (§ 10-6).",IF(E21&lt;$B$11,"BRUDD: mindre enn "&amp;$B$11&amp;" timer arbeidsfri (§ 10-8).",IF(D21&gt;0,"Overtid denne dagen.",IF(C21&gt;0,"Ut over avtalt arbeidstid, men innenfor lovens grense.","Innenfor avtalt arbeidstid."))))</f>
        <v>Innenfor avtalt arbeidstid.</v>
      </c>
    </row>
    <row r="22" customFormat="false" ht="15" hidden="false" customHeight="false" outlineLevel="0" collapsed="false">
      <c r="A22" s="20" t="s">
        <v>138</v>
      </c>
      <c r="B22" s="24" t="n">
        <v>0</v>
      </c>
      <c r="C22" s="25" t="n">
        <f aca="false">MAX(0,B22-$B$6)</f>
        <v>0</v>
      </c>
      <c r="D22" s="25" t="n">
        <f aca="false">MAX(0,B22-$B$7)</f>
        <v>0</v>
      </c>
      <c r="E22" s="25" t="n">
        <f aca="false">24-B22</f>
        <v>24</v>
      </c>
      <c r="F22" s="26" t="str">
        <f aca="false">IF(B22&gt;$B$9,"BRUDD: over samlet arbeidstid på "&amp;$B$9&amp;" timer i døgnet (§ 10-6).",IF(E22&lt;$B$11,"BRUDD: mindre enn "&amp;$B$11&amp;" timer arbeidsfri (§ 10-8).",IF(D22&gt;0,"Overtid denne dagen.",IF(C22&gt;0,"Ut over avtalt arbeidstid, men innenfor lovens grense.","Innenfor avtalt arbeidstid."))))</f>
        <v>Innenfor avtalt arbeidstid.</v>
      </c>
    </row>
    <row r="23" customFormat="false" ht="15" hidden="false" customHeight="false" outlineLevel="0" collapsed="false">
      <c r="A23" s="22" t="s">
        <v>139</v>
      </c>
      <c r="B23" s="27" t="n">
        <f aca="false">SUM(B16:B22)</f>
        <v>0</v>
      </c>
      <c r="C23" s="27" t="n">
        <f aca="false">SUM(C16:C22)</f>
        <v>0</v>
      </c>
      <c r="D23" s="27" t="n">
        <f aca="false">SUM(D16:D22)</f>
        <v>0</v>
      </c>
    </row>
    <row r="25" customFormat="false" ht="15" hidden="false" customHeight="false" outlineLevel="0" collapsed="false">
      <c r="A25" s="22" t="s">
        <v>325</v>
      </c>
      <c r="B25" s="27" t="n">
        <f aca="false">MAX(D23,MAX(0,B23-$B$8))</f>
        <v>0</v>
      </c>
    </row>
    <row r="26" customFormat="false" ht="15" hidden="false" customHeight="false" outlineLevel="0" collapsed="false">
      <c r="A26" s="20" t="s">
        <v>150</v>
      </c>
      <c r="F26" s="29" t="str">
        <f aca="false">IF(MAX(B16:B22)&gt;$B$9,"BRUDD på samlet arbeidstid i døgnet (§ 10-6).",IF(B23&gt;$B$10,"Over 48 timer denne uka. Lovlig bare hvis snittet over åtte uker er høyst 48 (§ 10-6 åttende ledd).",IF(B25&gt;$B$12,"BRUDD på overtidsgrensen for sju dager (§ 10-6).","Uka er innenfor grensene i arbeidsmiljøloven kapittel 10.")))</f>
        <v>Uka er innenfor grensene i arbeidsmiljøloven kapittel 10.</v>
      </c>
    </row>
    <row r="28" customFormat="false" ht="15" hidden="false" customHeight="false" outlineLevel="0" collapsed="false">
      <c r="A28" s="17" t="s">
        <v>326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2026-09-11T09:30:46Z</dcterms:created>
  <dc:creator>openpyxl</dc:creator>
  <dc:description/>
  <dc:language>en-US</dc:language>
  <cp:lastModifiedBy/>
  <dcterms:modified xsi:type="dcterms:W3CDTF">2026-10-07T06:09:17Z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