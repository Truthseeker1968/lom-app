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<sst xmlns="http://schemas.openxmlformats.org/spreadsheetml/2006/main" count="179" uniqueCount="136">
  <si>
    <t xml:space="preserve">Personalpolitikk, rekruttering og medarbeidersamtaler: oppgaver til kapittel 18</t>
  </si>
  <si>
    <t xml:space="preserve">Markedsføring, organisasjon og ledelse for LØM-emnet (Hjertnes), kapittel 18.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</si>
  <si>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</si>
  <si>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</si>
  <si>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</si>
  <si>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</si>
  <si>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</si>
  <si>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</si>
  <si>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Annonsen Kari nesten publiserte</t>
  </si>
  <si>
    <t xml:space="preserve">1B  Fjell Elektro: montøren begynner på mandag</t>
  </si>
  <si>
    <t xml:space="preserve">1C  17 medarbeidersamtaler, og Ronnys første</t>
  </si>
  <si>
    <t xml:space="preserve">Fasit  Alle svar med regnestykket skrevet ut</t>
  </si>
  <si>
    <t xml:space="preserve">Dette er øvingsmateriell til repetisjons- og øvingsstøtte. I besvarelser, caser, prosjektoppgaver og eksamen gjelder lærebøkene og oppgitte primærkilder.</t>
  </si>
  <si>
    <t xml:space="preserve">Bryter loven</t>
  </si>
  <si>
    <t xml:space="preserve">Oppgave 1A: Annonsen Kari nesten publiserte</t>
  </si>
  <si>
    <t xml:space="preserve">Dårlig håndverk</t>
  </si>
  <si>
    <t xml:space="preserve">Alene, i par eller i gruppe, slik du vil.</t>
  </si>
  <si>
    <t xml:space="preserve">I orden</t>
  </si>
  <si>
    <t xml:space="preserve">Situasjonen</t>
  </si>
  <si>
    <t xml:space="preserve">Solcelle og lading hos Nordlys Elektro har to montører og ingen leder. Kari har bestemt seg for å ansette en arbeidende avdelingsleder: en som leder avdelingen og selv står på anlegg, med 1 200 fakturerbare timer i året som de andre montørene. Timeprisen Nordlys tar av kunden er 890 kr uten merverdiavgift. Karis første utkast til annonse hang fire uker som lapp på oppslagstavla i pauserommet, og ingen kvalifiserte søkte.</t>
  </si>
  <si>
    <t xml:space="preserve">Begrepene du trenger</t>
  </si>
  <si>
    <t xml:space="preserve">Behovsanalysen (18.2.2) sier hva stillingen krever: faglige kvalifikasjoner og personlige egenskaper. Annonsen (18.2.3) skal tiltrekke kvalifiserte søkere og sile ut andre; overskriften viser stilling og kompetanse, og annonsen sier noe om ansvar, plass i organisasjonen, lønn, søknadsfrist og kontaktperson. Loven setter grenser: alder (arbeidsmiljøloven § 13-1), kjønn og etnisitet (likestillings- og diskrimineringsloven § 6), helse utover det arbeidet krever (arbeidsmiljøloven § 9-3) og planer om barn (likestillings- og diskrimineringsloven § 30). Arbeidsmiljøloven § 14-1 gir de ansatte rett til å få vite om ledige stillinger.</t>
  </si>
  <si>
    <t xml:space="preserve">Karis utkast, linje for linje</t>
  </si>
  <si>
    <t xml:space="preserve">Utkastet hang fire uker som lapp på oppslagstavla i pauserommet, og ingen kvalifiserte søkte. Linjene står i sorteringen under. For hver linje velger du: bryter den loven, er den dårlig håndverk etter bokas krav til annonsen, eller er den i orden?</t>
  </si>
  <si>
    <t xml:space="preserve">Oppgaven, trinn for trinn</t>
  </si>
  <si>
    <t xml:space="preserve">1. Sorter de seks linjene i nedtrekksmenyen. Sjekken forklarer hvorfor.
2. Regn hva de fire ukene uten søkere kostet i fakturering som uteblir: 1 200 timer delt på 52 uker, ganger 4 uker, ganger 890 kr. Hele kroner.
3. Velg i d hva som er riktig om lappen og arbeidsmiljøloven § 14-1.
4. Skriv i e en ny overskrift og hva Kari bør rette først.</t>
  </si>
  <si>
    <t xml:space="preserve">Linje 1, overskriften: «BLI MED PÅ LAGET!»</t>
  </si>
  <si>
    <t xml:space="preserve">Linje 2, hvem: «En ung og sprek mann, 25–35 år»</t>
  </si>
  <si>
    <t xml:space="preserve">Linje 3, bakgrunn: «Du bør være norsk av fødsel»</t>
  </si>
  <si>
    <t xml:space="preserve">Linje 4, krav: «Noe teknisk innsikt er en fordel»</t>
  </si>
  <si>
    <t xml:space="preserve">Linje 5, opplys om: «Helsetilstand og planer om barn»</t>
  </si>
  <si>
    <t xml:space="preserve">Linje 6, søk slik: «Ta kontakt hvis du er interessert»</t>
  </si>
  <si>
    <t xml:space="preserve">Ja. § 14-1 er oppfylt, og da er utlysningen ferdig</t>
  </si>
  <si>
    <t xml:space="preserve">§ 14-1 er oppfylt overfor de ansatte, men lappen når ingen søkere utenfor huset</t>
  </si>
  <si>
    <t xml:space="preserve">Fire uker uten søkere</t>
  </si>
  <si>
    <t xml:space="preserve">Nei. § 14-1 gir de ansatte fortrinnsrett, så stillingen kan ikke lyses ut eksternt</t>
  </si>
  <si>
    <t xml:space="preserve">Så lenge annonsen ikke virker, står stillingen tom. Avdelingslederen skal fakturere 1 200 timer i året, og Nordlys har flere forespørsler enn timer, så hver time som ikke blir arbeidet, er en time som ikke blir fakturert. Timeprisen er 890 kr uten merverdiavgift.</t>
  </si>
  <si>
    <t xml:space="preserve">c) Fakturering som uteblir på fire uker (1 200 / 52 × 4 × 890)</t>
  </si>
  <si>
    <t xml:space="preserve">kr</t>
  </si>
  <si>
    <t xml:space="preserve">d) Kari sier: «Lappen henger der alle ansatte ser den, så loven er oppfylt.» Hva er riktig?</t>
  </si>
  <si>
    <t xml:space="preserve">e) Skriv en ny overskrift som viser stilling og kompetanse. Hva bør Kari rette først, hva må inn i annonsen (frist, kontaktperson, lønn, ansvar), og hvor bør den lyses ut? Tre–fire setninger.</t>
  </si>
  <si>
    <t xml:space="preserve">Står du fast? Skriv JA i den gule cellen:</t>
  </si>
  <si>
    <t xml:space="preserve">Gule celler fyller du inn. Grønne regnes ut av arket. Sjekken til høyre forteller om svaret stemmer, og hva du bør se på hvis ikke.</t>
  </si>
  <si>
    <t xml:space="preserve">Mona, fordi hun er faglig ansvarlig og vet mest</t>
  </si>
  <si>
    <t xml:space="preserve">Oppgave 1B: Fjell Elektro: montøren begynner på mandag</t>
  </si>
  <si>
    <t xml:space="preserve">Montør 1: samme nivå, trygg sosialt og har selv vært ny i Fjell nylig</t>
  </si>
  <si>
    <t xml:space="preserve">Montør 2, fordi han jobber mest effektivt og ikke blir forstyrret</t>
  </si>
  <si>
    <t xml:space="preserve">Inntil 3 måneder, muntlig er nok</t>
  </si>
  <si>
    <t xml:space="preserve">Mona Fjell har ansatt en montør med seks års erfaring fra en annen installatør, og en lærling som kommer rett fra skolen. Montøren begynner en mandag, fast ansatt. Mona vil ha prøvetid og et introduksjonsprogram, og hun lurer på hvem av de to montørene som skal være fadder. Montør 1 vil planlegge selv og snakke med kundene; montør 2 vil helst få arbeidsordren og jobbe i fred. Begge har vært i Fjell siden starten for ett år siden.</t>
  </si>
  <si>
    <t xml:space="preserve">Inntil 6 måneder, og den må stå i den skriftlige arbeidsavtalen</t>
  </si>
  <si>
    <t xml:space="preserve">Inntil 12 måneder for alle som er nye i bedriften</t>
  </si>
  <si>
    <t xml:space="preserve">Enhver bedrift bør ha et introduksjonsprogram, og ansvaret ligger hos den nyansattes nærmeste overordnede (18.2.7). Fadderen bør være på samme nivå, ha visse sosiale ferdigheter og gjerne fersk erfaring med å være ny. En nyutdannet trenger mer støtte enn en med erfaring. Loven: skriftlig arbeidsavtale senest sju dager etter start (arbeidsmiljøloven § 14-5), prøvetid inntil seks måneder, avtalt skriftlig (§§ 14-6 og 15-6).</t>
  </si>
  <si>
    <t xml:space="preserve">Tallene</t>
  </si>
  <si>
    <t xml:space="preserve">En montør hos Fjell har 1 400 fakturerbare timer i året, og timeprisen er 890 kr uten merverdiavgift. Fadderen skal bruke 20 % av sine fakturerbare timer på den nye de fire første ukene.</t>
  </si>
  <si>
    <t xml:space="preserve">Post</t>
  </si>
  <si>
    <t xml:space="preserve">Tall</t>
  </si>
  <si>
    <t xml:space="preserve">Fakturerbare timer per montør i året</t>
  </si>
  <si>
    <t xml:space="preserve">Timepris, kr uten merverdiavgift</t>
  </si>
  <si>
    <t xml:space="preserve">Fadderens andel de fire første ukene</t>
  </si>
  <si>
    <t xml:space="preserve">20 %</t>
  </si>
  <si>
    <t xml:space="preserve">Uker i året</t>
  </si>
  <si>
    <t xml:space="preserve">Måneder i året</t>
  </si>
  <si>
    <t xml:space="preserve">1. Regn fadderens timer på fire uker: 1 400 / 52 × 4 × 20 %. Én desimal.
2. Regn hva timene koster i fakturering som uteblir: timene × 890 kr. Hele kroner.
3. Regn til sammenlikning hva én måned med ubesatt montørstilling koster: 1 400 / 12 × 890 kr.
4. Velg fadder i d og prøvetid i e, og skisser introduksjonsprogrammet i f.</t>
  </si>
  <si>
    <t xml:space="preserve">a) Fadderens timer på fire uker (1 400 / 52 × 4 × 20 %)</t>
  </si>
  <si>
    <t xml:space="preserve">timer</t>
  </si>
  <si>
    <t xml:space="preserve">b) Fadderens tid i fakturering som uteblir (timene × 890 kr)</t>
  </si>
  <si>
    <t xml:space="preserve">c) Én måned med ubesatt montørstilling (1 400 / 12 × 890)</t>
  </si>
  <si>
    <t xml:space="preserve">d) Hvem bør være fadder for den nye montøren, etter det boka sier om fadderen?</t>
  </si>
  <si>
    <t xml:space="preserve">e) Hvor lang prøvetid kan Mona avtale med den nye montøren, og hvordan?</t>
  </si>
  <si>
    <t xml:space="preserve">f) Skisser introduksjonsprogrammet for de to nye. Hvem har ansvaret, hva skjer de første ukene, og hvordan skal programmet for lærlingen skille seg fra montørens? Tre–fire setninger.</t>
  </si>
  <si>
    <t xml:space="preserve">I tråd med boka</t>
  </si>
  <si>
    <t xml:space="preserve">Oppgave 1C: 17 medarbeidersamtaler, og Ronnys første</t>
  </si>
  <si>
    <t xml:space="preserve">Ikke i tråd med boka</t>
  </si>
  <si>
    <t xml:space="preserve">Montøren som sluttet i solcelle og lading etter fire måneder, hadde aldri hatt en samtale med lederen sin. Nå bestemmer Kari at alle skal ha medarbeidersamtale med nærmeste leder én gang i året. Ronny skal ha den første samtalen med lærlingen Sara Lien, og han har skrevet ned en plan.</t>
  </si>
  <si>
    <t xml:space="preserve">En medarbeidersamtale er en regelmessig, organisert samtale mellom underordnet og nærmeste overordnet om arbeidsoppgaver, resultater, arbeidsprosess, samarbeid og den underordnedes faglige og personlige utvikling (18.3). Den skal ha et klart formål, være planlagt og forberedt av begge parter, være jobbrelatert og være fortrolig og personlig. Den må ikke skape forventninger som ikke kan innfris. Er samtalene policy, må lederne sette av tid (18.1). Skuebrød: et årlig ritual med et skinn av seriøsitet.</t>
  </si>
  <si>
    <t xml:space="preserve">Kari har 5 direkte under seg (Tom, Ronny, Ida og de to solcellemontørene), Tom har 5 (4 montører og 1 lærling) og Ronny har 7 (6 montører og 1 lærling). Hver samtale tar to timer, og hver part bruker én time på å forberede seg. De 12 montørene fakturerer 890 kr per time; lærlingene regnes ikke som fakturerbare.</t>
  </si>
  <si>
    <t xml:space="preserve">Greit: samtalene er et årlig ritual som kan flyttes når det passer</t>
  </si>
  <si>
    <t xml:space="preserve">Samtaler hos Kari</t>
  </si>
  <si>
    <t xml:space="preserve">Er det policy med samtaler, må lederne sette av tid også når andre oppgaver står for døren; ellers blir de skuebrød</t>
  </si>
  <si>
    <t xml:space="preserve">Samtaler hos Tom</t>
  </si>
  <si>
    <t xml:space="preserve">Samtalene kan erstattes av den årlige lønnssamtalen</t>
  </si>
  <si>
    <t xml:space="preserve">Samtaler hos Ronny</t>
  </si>
  <si>
    <t xml:space="preserve">Samtaler i alt</t>
  </si>
  <si>
    <t xml:space="preserve">Timer per samtale</t>
  </si>
  <si>
    <t xml:space="preserve">Forberedelse per part, timer</t>
  </si>
  <si>
    <t xml:space="preserve">Montører som fakturerer</t>
  </si>
  <si>
    <t xml:space="preserve">Timepris montør, kr</t>
  </si>
  <si>
    <t xml:space="preserve">1. Regn Ronnys timer: 7 samtaler × (2 timer samtale + 1 time forberedelse).
2. Regn ledernes timer i alt: 17 samtaler × 3 timer.
3. Regn hva samtalene koster i montørenes fakturering: 12 montører × (2 + 1) timer × 890 kr.
4. Sorter Ronnys plan for samtalen med Sara i d, velg i e, og skriv i f hva som må til for at samtalene ikke blir skuebrød.</t>
  </si>
  <si>
    <t xml:space="preserve">a) Ronnys timer på sine 7 samtaler, med egen forberedelse</t>
  </si>
  <si>
    <t xml:space="preserve">b) De tre ledernes timer i alt (17 samtaler × 3 timer)</t>
  </si>
  <si>
    <t xml:space="preserve">c) Samtalene i montørenes fakturering (12 × 3 timer × 890 kr)</t>
  </si>
  <si>
    <t xml:space="preserve">d) Ronnys plan for samtalen med Sara. Er punktet i tråd med det boka sier om medarbeidersamtalen? Velg i nedtrekksmenyen.</t>
  </si>
  <si>
    <t xml:space="preserve">Sara får spørsmålene to uker før, så begge kan forberede seg</t>
  </si>
  <si>
    <t xml:space="preserve">Samtalen tas i brakka i lunsjen, med laget til stede</t>
  </si>
  <si>
    <t xml:space="preserve">Ronny spør hvordan samarbeidet mellom dem kan bli bedre</t>
  </si>
  <si>
    <t xml:space="preserve">Ronny lover Sara solcellekurs til våren, uten at Kari har satt av penger</t>
  </si>
  <si>
    <t xml:space="preserve">Ronny spør hvilke ønsker Sara har for faglig utvikling</t>
  </si>
  <si>
    <t xml:space="preserve">e) I mars sier Kari: «Vi har så mye å gjøre i år at samtalene får vente til det roer seg.» Hva sier boka?</t>
  </si>
  <si>
    <t xml:space="preserve">f) Hva må Kari og lederne gjøre for at de 17 samtalene ikke blir skuebrød? Bruk minst ett tall fra a til c og bokas forutsetninger (tillit, kultur, ledelsens engasjement, ressurser). Tre–fire setninger.</t>
  </si>
  <si>
    <t xml:space="preserve">Fasit, kapittel 18</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</si>
  <si>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</si>
  <si>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</si>
  <si>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</si>
  <si>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</si>
  <si>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Sorteringen</t>
  </si>
  <si>
    <t xml:space="preserve">Bryter loven: linje 2 (alder og kjønn), 3 (etnisitet) og 5 (helse og planer om barn). Dårlig håndverk: linje 1 (overskriften), 4 (uklare krav) og 6 (frist og kontaktperson mangler). Ingen av linjene er i orden</t>
  </si>
  <si>
    <t xml:space="preserve">1A c) Fire uker uten søkere</t>
  </si>
  <si>
    <t xml:space="preserve">1 200 / 52 × 4 = 92,3 timer × 890 kr = 82 154 kr</t>
  </si>
  <si>
    <t xml:space="preserve">1A d) Lappen og § 14-1</t>
  </si>
  <si>
    <t xml:space="preserve">Informasjonsplikten overfor de ansatte er oppfylt, men lappen når ingen utenfor huset. Stillingen må lyses ut der søkerne er (18.2.3)</t>
  </si>
  <si>
    <t xml:space="preserve">1A e) Ny overskrift</t>
  </si>
  <si>
    <t xml:space="preserve">«Avdelingsleder solcelle og lading – elektriker med fagbrev». Rett lovbruddene først. Inn: ansvar, plass i organisasjonen, lønn, frist og kontaktperson. Kanaler: nett, fagpresse, NAV, utdanningsinstitusjoner</t>
  </si>
  <si>
    <t xml:space="preserve">1B a) Fadderens timer</t>
  </si>
  <si>
    <t xml:space="preserve">1 400 / 52 × 4 × 20 % = 21,5 timer</t>
  </si>
  <si>
    <t xml:space="preserve">1B b) Fadderens tid i kroner</t>
  </si>
  <si>
    <t xml:space="preserve">21,5 timer × 890 kr = 19 169 kr</t>
  </si>
  <si>
    <t xml:space="preserve">1B c) Én måned tom stilling</t>
  </si>
  <si>
    <t xml:space="preserve">1 400 / 12 = 116,7 timer × 890 kr = 103 833 kr</t>
  </si>
  <si>
    <t xml:space="preserve">1B d) Fadderen</t>
  </si>
  <si>
    <t xml:space="preserve">Montør 1: samme nivå, sosiale ferdigheter og fersk erfaring med å være ny (18.2.7)</t>
  </si>
  <si>
    <t xml:space="preserve">1B e) Prøvetiden</t>
  </si>
  <si>
    <t xml:space="preserve">Inntil seks måneder, skriftlig i arbeidsavtalen (arbeidsmiljøloven §§ 14-6 og 15-6)</t>
  </si>
  <si>
    <t xml:space="preserve">1B f) Introduksjonsprogrammet</t>
  </si>
  <si>
    <t xml:space="preserve">Mona har ansvaret. Detaljert plan de første ukene, fadder fra dag én, arbeidsavtale innen sju dager. Montøren trenger mindre støtte, lærlingen mer</t>
  </si>
  <si>
    <t xml:space="preserve">1C a) Ronnys timer</t>
  </si>
  <si>
    <t xml:space="preserve">7 × (2 + 1) = 21 timer, nesten tre arbeidsdager</t>
  </si>
  <si>
    <t xml:space="preserve">1C b) Ledernes timer i alt</t>
  </si>
  <si>
    <t xml:space="preserve">17 × 3 = 51 timer</t>
  </si>
  <si>
    <t xml:space="preserve">1C c) Montørenes fakturering</t>
  </si>
  <si>
    <t xml:space="preserve">12 × 3 × 890 = 32 040 kr i året</t>
  </si>
  <si>
    <t xml:space="preserve">1C d) Ronnys plan</t>
  </si>
  <si>
    <t xml:space="preserve">I tråd: spørsmålene to uker før, samarbeidet, faglig utvikling. Ikke i tråd: brakka i lunsjen, løftet om kurs uten penger</t>
  </si>
  <si>
    <t xml:space="preserve">1C e) Kari i mars</t>
  </si>
  <si>
    <t xml:space="preserve">Er samtalene policy, må tiden settes av også når det haster (18.1). Ellers skuebrød (18.3)</t>
  </si>
  <si>
    <t xml:space="preserve">1C f) Ikke skuebrød</t>
  </si>
  <si>
    <t xml:space="preserve">Tid i planen (21 timer for Ronny, 32 040 kr for montørene), begge forbereder seg, fortrolig, få tiltak med ansvarlig og frist, ressurser til det som loves, tillit og en ledelse som tar samtalen på alvor</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</si>
</sst>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sz val="10.5"/>
      <name val="Calibri"/>
      <family val="0"/>
      <charset val="1"/>
    </font>
    <font>
      <i val="true"/>
      <sz val="10.5"/>
      <color rgb="FF2F4A6D"/>
      <name val="Calibri"/>
      <family val="0"/>
      <charset val="1"/>
    </font>
    <font>
      <b val="true"/>
      <sz val="11"/>
      <color rgb="FFFFFFFF"/>
      <name val="Calibri"/>
      <family val="0"/>
      <charset val="1"/>
    </font>
    <font>
      <b val="true"/>
      <sz val="11"/>
      <color theme="1"/>
      <name val="Calibri"/>
      <family val="2"/>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13</v>
      </c>
    </row>
    <row r="5" customFormat="false" ht="60" hidden="false" customHeight="true" outlineLevel="0" collapsed="false">
      <c r="B5" s="9" t="s">
        <v>19</v>
      </c>
      <c r="C5" s="9"/>
      <c r="D5" s="9"/>
      <c r="E5" s="9"/>
      <c r="F5" s="9"/>
      <c r="G5" s="9"/>
      <c r="Z5" s="6" t="s">
        <v>15</v>
      </c>
    </row>
    <row r="6" customFormat="false" ht="15.75" hidden="false" customHeight="true" outlineLevel="0" collapsed="false">
      <c r="B6" s="8" t="s">
        <v>20</v>
      </c>
      <c r="C6" s="8"/>
      <c r="D6" s="8"/>
      <c r="E6" s="8"/>
      <c r="F6" s="8"/>
      <c r="G6" s="8"/>
      <c r="Z6" s="6" t="s">
        <v>17</v>
      </c>
    </row>
    <row r="7" customFormat="false" ht="90" hidden="false" customHeight="true" outlineLevel="0" collapsed="false">
      <c r="B7" s="9" t="s">
        <v>21</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22</v>
      </c>
      <c r="C9" s="8"/>
      <c r="D9" s="8"/>
      <c r="E9" s="8"/>
      <c r="F9" s="8"/>
      <c r="G9" s="8"/>
      <c r="Z9" s="6" t="s">
        <v>17</v>
      </c>
    </row>
    <row r="10" customFormat="false" ht="45" hidden="false" customHeight="true" outlineLevel="0" collapsed="false">
      <c r="B10" s="9" t="s">
        <v>23</v>
      </c>
      <c r="C10" s="9"/>
      <c r="D10" s="9"/>
      <c r="E10" s="9"/>
      <c r="F10" s="9"/>
      <c r="G10" s="9"/>
      <c r="Z10" s="6" t="s">
        <v>13</v>
      </c>
    </row>
    <row r="11" customFormat="false" ht="15.75" hidden="false" customHeight="true" outlineLevel="0" collapsed="false">
      <c r="B11" s="8" t="s">
        <v>24</v>
      </c>
      <c r="C11" s="8"/>
      <c r="D11" s="8"/>
      <c r="E11" s="8"/>
      <c r="F11" s="8"/>
      <c r="G11" s="8"/>
      <c r="Z11" s="6" t="s">
        <v>15</v>
      </c>
    </row>
    <row r="12" customFormat="false" ht="45" hidden="false" customHeight="true" outlineLevel="0" collapsed="false">
      <c r="B12" s="9" t="s">
        <v>25</v>
      </c>
      <c r="C12" s="9"/>
      <c r="D12" s="9"/>
      <c r="E12" s="9"/>
      <c r="F12" s="9"/>
      <c r="G12" s="9"/>
      <c r="Z12" s="6" t="s">
        <v>17</v>
      </c>
    </row>
    <row r="13" customFormat="false" ht="15" hidden="false" customHeight="false" outlineLevel="0" collapsed="false">
      <c r="Z13" s="0" t="s">
        <v>13</v>
      </c>
    </row>
    <row r="14" customFormat="false" ht="39.75" hidden="false" customHeight="true" outlineLevel="0" collapsed="false">
      <c r="B14" s="10" t="s">
        <v>26</v>
      </c>
      <c r="C14" s="11"/>
      <c r="G14" s="12" t="str">
        <f aca="false">IF(C14="","Velg i nedtrekksmenyen.",IF(C14="Dårlig håndverk","Riktig. Overskriften siler ingenting. Boka (18.2.3): overskriften skal vise hvilken type stilling det gjelder og hvilken kompetanse som etterspørres.","Ikke riktig. Overskriften siler ingenting. Boka (18.2.3): overskriften skal vise hvilken type stilling det gjelder og hvilken kompetanse som etterspørres."))</f>
        <v>Velg i nedtrekksmenyen.</v>
      </c>
      <c r="Z14" s="6" t="s">
        <v>15</v>
      </c>
    </row>
    <row r="15" customFormat="false" ht="39.75" hidden="false" customHeight="true" outlineLevel="0" collapsed="false">
      <c r="B15" s="10" t="s">
        <v>27</v>
      </c>
      <c r="C15" s="11"/>
      <c r="G15" s="12" t="str">
        <f aca="false">IF(C15="","Velg i nedtrekksmenyen.",IF(C15="Bryter loven","Riktig. Alder er forbudt grunnlag etter arbeidsmiljøloven § 13-1, også ved utlysning (§ 13-2). Kjønn etter likestillings- og diskrimineringsloven § 6, se § 29. To lovbrudd i én linje.","Ikke riktig. Alder er forbudt grunnlag etter arbeidsmiljøloven § 13-1, også ved utlysning (§ 13-2). Kjønn etter likestillings- og diskrimineringsloven § 6, se § 29. To lovbrudd i én linje."))</f>
        <v>Velg i nedtrekksmenyen.</v>
      </c>
      <c r="Z15" s="6" t="s">
        <v>17</v>
      </c>
    </row>
    <row r="16" customFormat="false" ht="39.75" hidden="false" customHeight="true" outlineLevel="0" collapsed="false">
      <c r="B16" s="10" t="s">
        <v>28</v>
      </c>
      <c r="C16" s="11"/>
      <c r="G16" s="12" t="str">
        <f aca="false">IF(C16="","Velg i nedtrekksmenyen.",IF(C16="Bryter loven","Riktig. Etnisitet omfatter blant annet nasjonal opprinnelse og avstamning (likestillings- og diskrimineringsloven § 6). Et språkkrav kan være saklig; fødested er det ikke.","Ikke riktig. Etnisitet omfatter blant annet nasjonal opprinnelse og avstamning (likestillings- og diskrimineringsloven § 6). Et språkkrav kan være saklig; fødested er det ikke."))</f>
        <v>Velg i nedtrekksmenyen.</v>
      </c>
      <c r="Z16" s="6" t="s">
        <v>13</v>
      </c>
    </row>
    <row r="17" customFormat="false" ht="39.75" hidden="false" customHeight="true" outlineLevel="0" collapsed="false">
      <c r="B17" s="10" t="s">
        <v>29</v>
      </c>
      <c r="C17" s="11"/>
      <c r="G17" s="12" t="str">
        <f aca="false">IF(C17="","Velg i nedtrekksmenyen.",IF(C17="Dårlig håndverk","Riktig. Kravene er uklare. Behovsanalysen (18.2.2) sier at stillingen krever fagbrev som elektriker og erfaring med solcelle og lading. Det skal stå i annonsen.","Ikke riktig. Kravene er uklare. Behovsanalysen (18.2.2) sier at stillingen krever fagbrev som elektriker og erfaring med solcelle og lading. Det skal stå i annonsen."))</f>
        <v>Velg i nedtrekksmenyen.</v>
      </c>
      <c r="Z17" s="6" t="s">
        <v>15</v>
      </c>
    </row>
    <row r="18" customFormat="false" ht="39.75" hidden="false" customHeight="true" outlineLevel="0" collapsed="false">
      <c r="B18" s="10" t="s">
        <v>30</v>
      </c>
      <c r="C18" s="11"/>
      <c r="G18" s="12" t="str">
        <f aca="false">IF(C18="","Velg i nedtrekksmenyen.",IF(C18="Bryter loven","Riktig. Helseopplysninger utover det arbeidet krever er forbudt å be om (arbeidsmiljøloven § 9-3). Planer om barn er forbudt å innhente (likestillings- og diskrimineringsloven § 30 bokstav a).","Ikke riktig. Helseopplysninger utover det arbeidet krever er forbudt å be om (arbeidsmiljøloven § 9-3). Planer om barn er forbudt å innhente (likestillings- og diskrimineringsloven § 30 bokstav a)."))</f>
        <v>Velg i nedtrekksmenyen.</v>
      </c>
      <c r="Z18" s="6" t="s">
        <v>17</v>
      </c>
    </row>
    <row r="19" customFormat="false" ht="39.75" hidden="false" customHeight="true" outlineLevel="0" collapsed="false">
      <c r="B19" s="10" t="s">
        <v>31</v>
      </c>
      <c r="C19" s="11"/>
      <c r="G19" s="12" t="str">
        <f aca="false">IF(C19="","Velg i nedtrekksmenyen.",IF(C19="Dårlig håndverk","Riktig. Søknadsfrist, hvordan man søker og navn og telefon til en kontaktperson mangler (18.2.3). Loven brytes ikke, men søkerne vet ikke hva de skal gjøre.","Ikke riktig. Søknadsfrist, hvordan man søker og navn og telefon til en kontaktperson mangler (18.2.3). Loven brytes ikke, men søkerne vet ikke hva de skal gjøre."))</f>
        <v>Velg i nedtrekksmenyen.</v>
      </c>
      <c r="Z19" s="6" t="s">
        <v>32</v>
      </c>
    </row>
    <row r="20" customFormat="false" ht="15" hidden="false" customHeight="false" outlineLevel="0" collapsed="false">
      <c r="Z20" s="0" t="s">
        <v>33</v>
      </c>
    </row>
    <row r="21" customFormat="false" ht="15.75" hidden="false" customHeight="true" outlineLevel="0" collapsed="false">
      <c r="B21" s="8" t="s">
        <v>34</v>
      </c>
      <c r="C21" s="8"/>
      <c r="D21" s="8"/>
      <c r="E21" s="8"/>
      <c r="F21" s="8"/>
      <c r="G21" s="8"/>
      <c r="Z21" s="6" t="s">
        <v>35</v>
      </c>
    </row>
    <row r="22" customFormat="false" ht="45" hidden="false" customHeight="true" outlineLevel="0" collapsed="false">
      <c r="B22" s="9" t="s">
        <v>36</v>
      </c>
      <c r="C22" s="9"/>
      <c r="D22" s="9"/>
      <c r="E22" s="9"/>
      <c r="F22" s="9"/>
      <c r="G22" s="9"/>
    </row>
    <row r="23" customFormat="false" ht="43.5" hidden="false" customHeight="true" outlineLevel="0" collapsed="false">
      <c r="B23" s="10" t="s">
        <v>37</v>
      </c>
      <c r="C23" s="13"/>
      <c r="D23" s="14" t="s">
        <v>38</v>
      </c>
      <c r="G23" s="12" t="str">
        <f aca="false">IF(C23="","Skriv svaret i den gule cellen.",IF(ABS(C23-(ROUND(1200/52*4*890,0)))&lt;=60,"Riktig.",IF(ABS(C23-(ROUND(1200/12*890,0)))&lt;=60,"Du har regnet én måned (1 200 / 12). Oppgaven spør om fire uker: 1 200 / 52 × 4 timer.",IF(ABS(C23-(4*890))&lt;=60,"Du har ganget fire uker rett med timeprisen. Finn først timene per uke: 1 200 / 52, så ganger du med 4 uker og 890 kr.",IF(ABS(C23-(ROUND(1200/52*4,0)))&lt;=60,"Du har funnet timene (92). Gang med timeprisen 890 kr for å få kronene.","Ikke riktig ennå. Se på regnestykket øverst på fanen, og sjekk at du har med alle leddene.")))))</f>
        <v>Skriv svaret i den gule cellen.</v>
      </c>
    </row>
    <row r="25" customFormat="false" ht="39.75" hidden="false" customHeight="true" outlineLevel="0" collapsed="false">
      <c r="B25" s="10" t="s">
        <v>39</v>
      </c>
      <c r="C25" s="11"/>
      <c r="G25" s="12" t="str">
        <f aca="false">IF(C25="","Velg i nedtrekksmenyen.",IF(C25="§ 14-1 er oppfylt overfor de ansatte, men lappen når ingen søkere utenfor huset","Riktig. Arbeidsmiljøloven § 14-1 pålegger arbeidsgiver å informere de ansatte om ledige stillinger. Det er en informasjonsplikt, ikke en fortrinnsrett. Boka (18.2.3) sier at stillingen må lyses ut i medier som når fram til potensielle søkere: internett, fagpresse, NAV, jobbmesser og utdanningsinstitusjoner.","Ikke riktig. Arbeidsmiljøloven § 14-1 pålegger arbeidsgiver å informere de ansatte om ledige stillinger. Det er en informasjonsplikt, ikke en fortrinnsrett. Boka (18.2.3) sier at stillingen må lyses ut i medier som når fram til potensielle søkere: internett, fagpresse, NAV, jobbmesser og utdanningsinstitusjoner."))</f>
        <v>Velg i nedtrekksmenyen.</v>
      </c>
    </row>
    <row r="27" customFormat="false" ht="30" hidden="false" customHeight="true" outlineLevel="0" collapsed="false">
      <c r="B27" s="9" t="s">
        <v>40</v>
      </c>
      <c r="C27" s="9"/>
      <c r="D27" s="9"/>
      <c r="E27" s="9"/>
      <c r="F27" s="9"/>
      <c r="G27" s="9"/>
    </row>
    <row r="28" customFormat="false" ht="21.75" hidden="false" customHeight="true" outlineLevel="0" collapsed="false">
      <c r="B28" s="15"/>
      <c r="C28" s="15"/>
      <c r="D28" s="15"/>
      <c r="E28" s="15"/>
      <c r="F28" s="15"/>
      <c r="G28" s="15"/>
    </row>
    <row r="29" customFormat="false" ht="21.75" hidden="false" customHeight="true" outlineLevel="0" collapsed="false">
      <c r="B29" s="15"/>
      <c r="C29" s="15"/>
      <c r="D29" s="15"/>
      <c r="E29" s="15"/>
      <c r="F29" s="15"/>
      <c r="G29" s="15"/>
    </row>
    <row r="30" customFormat="false" ht="21.75" hidden="false" customHeight="true" outlineLevel="0" collapsed="false">
      <c r="B30" s="15"/>
      <c r="C30" s="15"/>
      <c r="D30" s="15"/>
      <c r="E30" s="15"/>
      <c r="F30" s="15"/>
      <c r="G30" s="15"/>
    </row>
    <row r="31" customFormat="false" ht="39.75" hidden="false" customHeight="true" outlineLevel="0" collapsed="false">
      <c r="B31" s="16" t="str">
        <f aca="false">IF(LEN(B28)&lt;40,"",IF(AND(ISNUMBER(SEARCH("fagbrev",B28)),ISNUMBER(SEARCH("frist",B28))),"Bra: overskriften sier hva stillingen krever (fagbrev), og du har med det søkerne trenger for å søke (frist, kontaktperson). Sjekk også at lovbruddene rettes først, og at annonsen lyses ut der søkerne er.",IF(OR(ISNUMBER(SEARCH("fagbrev",B28)),ISNUMBER(SEARCH("frist",B28))),"Du er på sporet. Overskriften bør nevne fagbrevet, og annonsen må ha søknadsfrist og kontaktperson (18.2.3). Rett lovbruddene først: alder, kjønn, etnisitet, helse og planer om barn.","Tips: en overskrift som «Avdelingsleder solcelle og lading – elektriker med fagbrev» siler allerede i overskriften. Rett lovbruddene først. Inn må ansvar og arbeidsområder, plass i organisasjonen, lønn, søknadsfrist og kontaktperson. Lys ut på nett, i fagpresse, hos NAV og ved utdanningsinstitusjonene.")))</f>
        <v/>
      </c>
      <c r="C31" s="16"/>
      <c r="D31" s="16"/>
      <c r="E31" s="16"/>
      <c r="F31" s="16"/>
      <c r="G31" s="16"/>
    </row>
    <row r="32" customFormat="false" ht="15" hidden="false" customHeight="false" outlineLevel="0" collapsed="false">
      <c r="B32" s="17" t="s">
        <v>41</v>
      </c>
      <c r="C32" s="11"/>
    </row>
    <row r="33" customFormat="false" ht="45" hidden="false" customHeight="true" outlineLevel="0" collapsed="false">
      <c r="B33" s="18" t="str">
        <f aca="false">IF(C32="JA","Hint: Loven: alder og kjønn (linje 2), etnisitet (linje 3), helse og planer om barn (linje 5). Håndverk: overskrift uten stilling (1), uklare krav (4), ingen frist eller kontaktperson (6). Regnestykket: 1 200 / 52 = 23,1 timer i uka, × 4 = 92,3 timer, × 890 kr = 82 154 kr.","")</f>
        <v/>
      </c>
      <c r="C33" s="18"/>
      <c r="D33" s="18"/>
      <c r="E33" s="18"/>
      <c r="F33" s="18"/>
      <c r="G33" s="18"/>
    </row>
    <row r="35" customFormat="false" ht="30" hidden="false" customHeight="true" outlineLevel="0" collapsed="false">
      <c r="B35" s="7" t="s">
        <v>42</v>
      </c>
      <c r="C35" s="7"/>
      <c r="D35" s="7"/>
      <c r="E35" s="7"/>
      <c r="F35" s="7"/>
      <c r="G35" s="7"/>
    </row>
  </sheetData>
  <mergeCells count="17">
    <mergeCell ref="B2:G2"/>
    <mergeCell ref="B3:G3"/>
    <mergeCell ref="B4:G4"/>
    <mergeCell ref="B5:G5"/>
    <mergeCell ref="B6:G6"/>
    <mergeCell ref="B7:G7"/>
    <mergeCell ref="B9:G9"/>
    <mergeCell ref="B10:G10"/>
    <mergeCell ref="B11:G11"/>
    <mergeCell ref="B12:G12"/>
    <mergeCell ref="B21:G21"/>
    <mergeCell ref="B22:G22"/>
    <mergeCell ref="B27:G27"/>
    <mergeCell ref="B28:G30"/>
    <mergeCell ref="B31:G31"/>
    <mergeCell ref="B33:G33"/>
    <mergeCell ref="B35:G35"/>
  </mergeCells>
  <conditionalFormatting sqref="G14">
    <cfRule type="expression" priority="2" aboveAverage="0" equalAverage="0" bottom="0" percent="0" rank="0" text="" dxfId="0">
      <formula>LEFT(G14,6)="Riktig"</formula>
    </cfRule>
    <cfRule type="expression" priority="3" aboveAverage="0" equalAverage="0" bottom="0" percent="0" rank="0" text="" dxfId="1">
      <formula>LEFT(G14,4)="Ikke"</formula>
    </cfRule>
  </conditionalFormatting>
  <conditionalFormatting sqref="G15">
    <cfRule type="expression" priority="4" aboveAverage="0" equalAverage="0" bottom="0" percent="0" rank="0" text="" dxfId="0">
      <formula>LEFT(G15,6)="Riktig"</formula>
    </cfRule>
    <cfRule type="expression" priority="5" aboveAverage="0" equalAverage="0" bottom="0" percent="0" rank="0" text="" dxfId="1">
      <formula>LEFT(G15,4)="Ikke"</formula>
    </cfRule>
  </conditionalFormatting>
  <conditionalFormatting sqref="G16">
    <cfRule type="expression" priority="6" aboveAverage="0" equalAverage="0" bottom="0" percent="0" rank="0" text="" dxfId="0">
      <formula>LEFT(G16,6)="Riktig"</formula>
    </cfRule>
    <cfRule type="expression" priority="7" aboveAverage="0" equalAverage="0" bottom="0" percent="0" rank="0" text="" dxfId="1">
      <formula>LEFT(G16,4)="Ikke"</formula>
    </cfRule>
  </conditionalFormatting>
  <conditionalFormatting sqref="G17">
    <cfRule type="expression" priority="8" aboveAverage="0" equalAverage="0" bottom="0" percent="0" rank="0" text="" dxfId="0">
      <formula>LEFT(G17,6)="Riktig"</formula>
    </cfRule>
    <cfRule type="expression" priority="9" aboveAverage="0" equalAverage="0" bottom="0" percent="0" rank="0" text="" dxfId="1">
      <formula>LEFT(G17,4)="Ikke"</formula>
    </cfRule>
  </conditionalFormatting>
  <conditionalFormatting sqref="G18">
    <cfRule type="expression" priority="10" aboveAverage="0" equalAverage="0" bottom="0" percent="0" rank="0" text="" dxfId="0">
      <formula>LEFT(G18,6)="Riktig"</formula>
    </cfRule>
    <cfRule type="expression" priority="11" aboveAverage="0" equalAverage="0" bottom="0" percent="0" rank="0" text="" dxfId="1">
      <formula>LEFT(G18,4)="Ikke"</formula>
    </cfRule>
  </conditionalFormatting>
  <conditionalFormatting sqref="G19">
    <cfRule type="expression" priority="12" aboveAverage="0" equalAverage="0" bottom="0" percent="0" rank="0" text="" dxfId="0">
      <formula>LEFT(G19,6)="Riktig"</formula>
    </cfRule>
    <cfRule type="expression" priority="13" aboveAverage="0" equalAverage="0" bottom="0" percent="0" rank="0" text="" dxfId="1">
      <formula>LEFT(G19,4)="Ikke"</formula>
    </cfRule>
  </conditionalFormatting>
  <conditionalFormatting sqref="G23">
    <cfRule type="expression" priority="14" aboveAverage="0" equalAverage="0" bottom="0" percent="0" rank="0" text="" dxfId="0">
      <formula>LEFT(G23,6)="Riktig"</formula>
    </cfRule>
    <cfRule type="expression" priority="15" aboveAverage="0" equalAverage="0" bottom="0" percent="0" rank="0" text="" dxfId="1">
      <formula>AND(G23&lt;&gt;"",LEFT(G23,6)&lt;&gt;"Riktig",LEFT(G23,5)&lt;&gt;"Skriv")</formula>
    </cfRule>
  </conditionalFormatting>
  <conditionalFormatting sqref="G25">
    <cfRule type="expression" priority="16" aboveAverage="0" equalAverage="0" bottom="0" percent="0" rank="0" text="" dxfId="0">
      <formula>LEFT(G25,6)="Riktig"</formula>
    </cfRule>
    <cfRule type="expression" priority="17" aboveAverage="0" equalAverage="0" bottom="0" percent="0" rank="0" text="" dxfId="1">
      <formula>LEFT(G25,4)="Ikke"</formula>
    </cfRule>
  </conditionalFormatting>
  <dataValidations count="8">
    <dataValidation allowBlank="true" errorStyle="stop" operator="between" showDropDown="false" showErrorMessage="false" showInputMessage="false" sqref="C14" type="list">
      <formula1>$Z$1:$Z$3</formula1>
      <formula2>0</formula2>
    </dataValidation>
    <dataValidation allowBlank="true" errorStyle="stop" operator="between" showDropDown="false" showErrorMessage="false" showInputMessage="false" sqref="C15" type="list">
      <formula1>$Z$4:$Z$6</formula1>
      <formula2>0</formula2>
    </dataValidation>
    <dataValidation allowBlank="true" errorStyle="stop" operator="between" showDropDown="false" showErrorMessage="false" showInputMessage="false" sqref="C16" type="list">
      <formula1>$Z$7:$Z$9</formula1>
      <formula2>0</formula2>
    </dataValidation>
    <dataValidation allowBlank="true" errorStyle="stop" operator="between" showDropDown="false" showErrorMessage="false" showInputMessage="false" sqref="C17" type="list">
      <formula1>$Z$10:$Z$12</formula1>
      <formula2>0</formula2>
    </dataValidation>
    <dataValidation allowBlank="true" errorStyle="stop" operator="between" showDropDown="false" showErrorMessage="false" showInputMessage="false" sqref="C18" type="list">
      <formula1>$Z$13:$Z$15</formula1>
      <formula2>0</formula2>
    </dataValidation>
    <dataValidation allowBlank="true" errorStyle="stop" operator="between" showDropDown="false" showErrorMessage="false" showInputMessage="false" sqref="C19" type="list">
      <formula1>$Z$16:$Z$18</formula1>
      <formula2>0</formula2>
    </dataValidation>
    <dataValidation allowBlank="true" errorStyle="stop" operator="between" showDropDown="false" showErrorMessage="false" showInputMessage="false" sqref="C25" type="list">
      <formula1>$Z$19:$Z$21</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43</v>
      </c>
    </row>
    <row r="2" customFormat="false" ht="25.5" hidden="false" customHeight="true" outlineLevel="0" collapsed="false">
      <c r="B2" s="5" t="s">
        <v>44</v>
      </c>
      <c r="C2" s="5"/>
      <c r="D2" s="5"/>
      <c r="E2" s="5"/>
      <c r="F2" s="5"/>
      <c r="G2" s="5"/>
      <c r="Z2" s="6" t="s">
        <v>45</v>
      </c>
    </row>
    <row r="3" customFormat="false" ht="15" hidden="false" customHeight="true" outlineLevel="0" collapsed="false">
      <c r="B3" s="7" t="s">
        <v>16</v>
      </c>
      <c r="C3" s="7"/>
      <c r="D3" s="7"/>
      <c r="E3" s="7"/>
      <c r="F3" s="7"/>
      <c r="G3" s="7"/>
      <c r="Z3" s="6" t="s">
        <v>46</v>
      </c>
    </row>
    <row r="4" customFormat="false" ht="15.75" hidden="false" customHeight="true" outlineLevel="0" collapsed="false">
      <c r="B4" s="8" t="s">
        <v>18</v>
      </c>
      <c r="C4" s="8"/>
      <c r="D4" s="8"/>
      <c r="E4" s="8"/>
      <c r="F4" s="8"/>
      <c r="G4" s="8"/>
      <c r="Z4" s="6" t="s">
        <v>47</v>
      </c>
    </row>
    <row r="5" customFormat="false" ht="60" hidden="false" customHeight="true" outlineLevel="0" collapsed="false">
      <c r="B5" s="9" t="s">
        <v>48</v>
      </c>
      <c r="C5" s="9"/>
      <c r="D5" s="9"/>
      <c r="E5" s="9"/>
      <c r="F5" s="9"/>
      <c r="G5" s="9"/>
      <c r="Z5" s="6" t="s">
        <v>49</v>
      </c>
    </row>
    <row r="6" customFormat="false" ht="15.75" hidden="false" customHeight="true" outlineLevel="0" collapsed="false">
      <c r="B6" s="8" t="s">
        <v>20</v>
      </c>
      <c r="C6" s="8"/>
      <c r="D6" s="8"/>
      <c r="E6" s="8"/>
      <c r="F6" s="8"/>
      <c r="G6" s="8"/>
      <c r="Z6" s="6" t="s">
        <v>50</v>
      </c>
    </row>
    <row r="7" customFormat="false" ht="60" hidden="false" customHeight="true" outlineLevel="0" collapsed="false">
      <c r="B7" s="9" t="s">
        <v>51</v>
      </c>
      <c r="C7" s="9"/>
      <c r="D7" s="9"/>
      <c r="E7" s="9"/>
      <c r="F7" s="9"/>
      <c r="G7" s="9"/>
    </row>
    <row r="9" customFormat="false" ht="15.75" hidden="false" customHeight="true" outlineLevel="0" collapsed="false">
      <c r="B9" s="8" t="s">
        <v>52</v>
      </c>
      <c r="C9" s="8"/>
      <c r="D9" s="8"/>
      <c r="E9" s="8"/>
      <c r="F9" s="8"/>
      <c r="G9" s="8"/>
    </row>
    <row r="10" customFormat="false" ht="30" hidden="false" customHeight="true" outlineLevel="0" collapsed="false">
      <c r="B10" s="9" t="s">
        <v>53</v>
      </c>
      <c r="C10" s="9"/>
      <c r="D10" s="9"/>
      <c r="E10" s="9"/>
      <c r="F10" s="9"/>
      <c r="G10" s="9"/>
    </row>
    <row r="11" customFormat="false" ht="15" hidden="false" customHeight="false" outlineLevel="0" collapsed="false">
      <c r="B11" s="19" t="s">
        <v>54</v>
      </c>
      <c r="C11" s="20" t="s">
        <v>55</v>
      </c>
    </row>
    <row r="12" customFormat="false" ht="15" hidden="false" customHeight="false" outlineLevel="0" collapsed="false">
      <c r="B12" s="21" t="s">
        <v>56</v>
      </c>
      <c r="C12" s="22" t="n">
        <v>1400</v>
      </c>
    </row>
    <row r="13" customFormat="false" ht="15" hidden="false" customHeight="false" outlineLevel="0" collapsed="false">
      <c r="B13" s="21" t="s">
        <v>57</v>
      </c>
      <c r="C13" s="22" t="n">
        <v>890</v>
      </c>
    </row>
    <row r="14" customFormat="false" ht="15" hidden="false" customHeight="false" outlineLevel="0" collapsed="false">
      <c r="B14" s="21" t="s">
        <v>58</v>
      </c>
      <c r="C14" s="22" t="s">
        <v>59</v>
      </c>
    </row>
    <row r="15" customFormat="false" ht="15" hidden="false" customHeight="false" outlineLevel="0" collapsed="false">
      <c r="B15" s="21" t="s">
        <v>60</v>
      </c>
      <c r="C15" s="22" t="n">
        <v>52</v>
      </c>
    </row>
    <row r="16" customFormat="false" ht="15" hidden="false" customHeight="false" outlineLevel="0" collapsed="false">
      <c r="B16" s="21" t="s">
        <v>61</v>
      </c>
      <c r="C16" s="22" t="n">
        <v>12</v>
      </c>
    </row>
    <row r="18" customFormat="false" ht="15.75" hidden="false" customHeight="true" outlineLevel="0" collapsed="false">
      <c r="B18" s="8" t="s">
        <v>24</v>
      </c>
      <c r="C18" s="8"/>
      <c r="D18" s="8"/>
      <c r="E18" s="8"/>
      <c r="F18" s="8"/>
      <c r="G18" s="8"/>
    </row>
    <row r="19" customFormat="false" ht="45" hidden="false" customHeight="true" outlineLevel="0" collapsed="false">
      <c r="B19" s="9" t="s">
        <v>62</v>
      </c>
      <c r="C19" s="9"/>
      <c r="D19" s="9"/>
      <c r="E19" s="9"/>
      <c r="F19" s="9"/>
      <c r="G19" s="9"/>
    </row>
    <row r="21" customFormat="false" ht="43.5" hidden="false" customHeight="true" outlineLevel="0" collapsed="false">
      <c r="B21" s="10" t="s">
        <v>63</v>
      </c>
      <c r="C21" s="23"/>
      <c r="D21" s="14" t="s">
        <v>64</v>
      </c>
      <c r="G21" s="12" t="str">
        <f aca="false">IF(C21="","Skriv svaret i den gule cellen.",IF(ABS(C21-(ROUND(1400/52*4*0.2,1)))&lt;=0.1,"Riktig.",IF(ABS(C21-(ROUND(1400/52*4,1)))&lt;=0.1,"Det er alle fadderens timer på fire uker (107,7). Fadderen bruker bare 20 % av dem på den nye.",IF(ABS(C21-(ROUND(1400/12*0.2,1)))&lt;=0.1,"Du har regnet én måned (1 400 / 12). Oppgaven spør om fire uker: 1 400 / 52 × 4.","Ikke riktig ennå. Se på regnestykket øverst på fanen, og sjekk at du har med alle leddene."))))</f>
        <v>Skriv svaret i den gule cellen.</v>
      </c>
    </row>
    <row r="22" customFormat="false" ht="43.5" hidden="false" customHeight="true" outlineLevel="0" collapsed="false">
      <c r="B22" s="10" t="s">
        <v>65</v>
      </c>
      <c r="C22" s="13"/>
      <c r="D22" s="14" t="s">
        <v>38</v>
      </c>
      <c r="G22" s="12" t="str">
        <f aca="false">IF(C22="","Skriv svaret i den gule cellen.",IF(ABS(C22-(ROUND(1400/52*4*0.2*890,0)))&lt;=10,"Riktig.",IF(ABS(C22-(ROUND(1400/52*4*890,0)))&lt;=10,"Du har regnet alle fadderens timer. Bare 20 % av dem går til den nye.",IF(ABS(C22-(ROUND(1400/12*0.2*890,0)))&lt;=10,"Du har regnet én måned i stedet for fire uker. 1 400 / 52 × 4 gir timene på fire uker.","Ikke riktig ennå. Se på regnestykket øverst på fanen, og sjekk at du har med alle leddene."))))</f>
        <v>Skriv svaret i den gule cellen.</v>
      </c>
    </row>
    <row r="23" customFormat="false" ht="43.5" hidden="false" customHeight="true" outlineLevel="0" collapsed="false">
      <c r="B23" s="10" t="s">
        <v>66</v>
      </c>
      <c r="C23" s="13"/>
      <c r="D23" s="14" t="s">
        <v>38</v>
      </c>
      <c r="G23" s="12" t="str">
        <f aca="false">IF(C23="","Skriv svaret i den gule cellen.",IF(ABS(C23-(ROUND(1400/12*890,0)))&lt;=10,"Riktig.",IF(ABS(C23-(ROUND(1400/52*4*890,0)))&lt;=10,"Du har regnet fire uker. Oppgaven spør om én måned: 1 400 / 12 timer.",IF(ABS(C23-(1400*890))&lt;=10,"Det er hele året. Del timene på 12 måneder først.","Ikke riktig ennå. Se på regnestykket øverst på fanen, og sjekk at du har med alle leddene."))))</f>
        <v>Skriv svaret i den gule cellen.</v>
      </c>
    </row>
    <row r="25" customFormat="false" ht="39.75" hidden="false" customHeight="true" outlineLevel="0" collapsed="false">
      <c r="B25" s="10" t="s">
        <v>67</v>
      </c>
      <c r="C25" s="11"/>
      <c r="G25" s="12" t="str">
        <f aca="false">IF(C25="","Velg i nedtrekksmenyen.",IF(C25="Montør 1: samme nivå, trygg sosialt og har selv vært ny i Fjell nylig","Riktig. Boka (18.2.7): fadderen bør være på samme nivå i organisasjonen, ha visse sosiale ferdigheter og gjerne relativt fersk erfaring med å være nyansatt. Mona er nærmeste overordnede og har ansvaret for programmet, men hun er ikke på samme nivå.","Ikke riktig. Boka (18.2.7): fadderen bør være på samme nivå i organisasjonen, ha visse sosiale ferdigheter og gjerne relativt fersk erfaring med å være nyansatt. Mona er nærmeste overordnede og har ansvaret for programmet, men hun er ikke på samme nivå."))</f>
        <v>Velg i nedtrekksmenyen.</v>
      </c>
    </row>
    <row r="26" customFormat="false" ht="39.75" hidden="false" customHeight="true" outlineLevel="0" collapsed="false">
      <c r="B26" s="10" t="s">
        <v>68</v>
      </c>
      <c r="C26" s="11"/>
      <c r="G26" s="12" t="str">
        <f aca="false">IF(C26="","Velg i nedtrekksmenyen.",IF(C26="Inntil 6 måneder, og den må stå i den skriftlige arbeidsavtalen","Riktig. Arbeidsmiljøloven § 15-6: prøvetid kan avtales for inntil seks måneder. Prøvetiden skal stå i arbeidsavtalen (§ 14-6), og avtalen skal være skriftlig senest sju dager etter at arbeidsforholdet begynte (§ 14-5).","Ikke riktig. Arbeidsmiljøloven § 15-6: prøvetid kan avtales for inntil seks måneder. Prøvetiden skal stå i arbeidsavtalen (§ 14-6), og avtalen skal være skriftlig senest sju dager etter at arbeidsforholdet begynte (§ 14-5)."))</f>
        <v>Velg i nedtrekksmenyen.</v>
      </c>
    </row>
    <row r="28" customFormat="false" ht="30" hidden="false" customHeight="true" outlineLevel="0" collapsed="false">
      <c r="B28" s="9" t="s">
        <v>69</v>
      </c>
      <c r="C28" s="9"/>
      <c r="D28" s="9"/>
      <c r="E28" s="9"/>
      <c r="F28" s="9"/>
      <c r="G28" s="9"/>
    </row>
    <row r="29" customFormat="false" ht="21.75" hidden="false" customHeight="true" outlineLevel="0" collapsed="false">
      <c r="B29" s="15"/>
      <c r="C29" s="15"/>
      <c r="D29" s="15"/>
      <c r="E29" s="15"/>
      <c r="F29" s="15"/>
      <c r="G29" s="15"/>
    </row>
    <row r="30" customFormat="false" ht="21.75" hidden="false" customHeight="true" outlineLevel="0" collapsed="false">
      <c r="B30" s="15"/>
      <c r="C30" s="15"/>
      <c r="D30" s="15"/>
      <c r="E30" s="15"/>
      <c r="F30" s="15"/>
      <c r="G30" s="15"/>
    </row>
    <row r="31" customFormat="false" ht="21.75" hidden="false" customHeight="true" outlineLevel="0" collapsed="false">
      <c r="B31" s="15"/>
      <c r="C31" s="15"/>
      <c r="D31" s="15"/>
      <c r="E31" s="15"/>
      <c r="F31" s="15"/>
      <c r="G31" s="15"/>
    </row>
    <row r="32" customFormat="false" ht="39.75" hidden="false" customHeight="true" outlineLevel="0" collapsed="false">
      <c r="B32" s="16" t="str">
        <f aca="false">IF(LEN(B29)&lt;40,"",IF(AND(ISNUMBER(SEARCH("Mona",B29)),ISNUMBER(SEARCH("lærling",B29))),"Bra: du har plassert ansvaret hos Mona som nærmeste overordnede, og du skiller mellom montøren med erfaring og lærlingen som trenger mer støtte (18.2.7).",IF(OR(ISNUMBER(SEARCH("Mona",B29)),ISNUMBER(SEARCH("lærling",B29))),"Du er på sporet. Boka legger ansvaret hos nærmeste overordnede (Mona), og sier at en nyutdannet trenger mer støtte og veiledning enn en med erfaring.","Tips: ansvaret ligger hos nærmeste overordnede, Mona. Programmet må være detaljert i begynnelsen: første dag omvisning, verktøy og en runde om helse, miljø og sikkerhet; første uke sammen med fadderen; skriftlig arbeidsavtale innen sju dager. Montøren med seks års erfaring trenger mindre støtte, lærlingen rett fra skolen trenger mer.")))</f>
        <v/>
      </c>
      <c r="C32" s="16"/>
      <c r="D32" s="16"/>
      <c r="E32" s="16"/>
      <c r="F32" s="16"/>
      <c r="G32" s="16"/>
    </row>
    <row r="33" customFormat="false" ht="15" hidden="false" customHeight="false" outlineLevel="0" collapsed="false">
      <c r="B33" s="17" t="s">
        <v>41</v>
      </c>
      <c r="C33" s="11"/>
    </row>
    <row r="34" customFormat="false" ht="31.5" hidden="false" customHeight="true" outlineLevel="0" collapsed="false">
      <c r="B34" s="18" t="str">
        <f aca="false">IF(C33="JA","Hint: a: 1 400 / 52 = 26,9 timer i uka, × 4 uker = 107,7 timer, × 20 % = 21,5 timer. b: 21,5 × 890 = 19 169 kr. c: 1 400 / 12 = 116,7 timer, × 890 = 103 833 kr. Fadderen er på samme nivå som den nye; Mona er sjefen.","")</f>
        <v/>
      </c>
      <c r="C34" s="18"/>
      <c r="D34" s="18"/>
      <c r="E34" s="18"/>
      <c r="F34" s="18"/>
      <c r="G34" s="18"/>
    </row>
    <row r="36" customFormat="false" ht="30" hidden="false" customHeight="true" outlineLevel="0" collapsed="false">
      <c r="B36" s="7" t="s">
        <v>42</v>
      </c>
      <c r="C36" s="7"/>
      <c r="D36" s="7"/>
      <c r="E36" s="7"/>
      <c r="F36" s="7"/>
      <c r="G36" s="7"/>
    </row>
  </sheetData>
  <mergeCells count="15">
    <mergeCell ref="B2:G2"/>
    <mergeCell ref="B3:G3"/>
    <mergeCell ref="B4:G4"/>
    <mergeCell ref="B5:G5"/>
    <mergeCell ref="B6:G6"/>
    <mergeCell ref="B7:G7"/>
    <mergeCell ref="B9:G9"/>
    <mergeCell ref="B10:G10"/>
    <mergeCell ref="B18:G18"/>
    <mergeCell ref="B19:G19"/>
    <mergeCell ref="B28:G28"/>
    <mergeCell ref="B29:G31"/>
    <mergeCell ref="B32:G32"/>
    <mergeCell ref="B34:G34"/>
    <mergeCell ref="B36:G36"/>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LEFT(G26,4)="Ikke"</formula>
    </cfRule>
  </conditionalFormatting>
  <dataValidations count="3">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26" type="list">
      <formula1>$Z$4:$Z$6</formula1>
      <formula2>0</formula2>
    </dataValidation>
    <dataValidation allowBlank="true" errorStyle="stop" operator="between" showDropDown="false" showErrorMessage="false" showInputMessage="false" sqref="C33"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70</v>
      </c>
    </row>
    <row r="2" customFormat="false" ht="25.5" hidden="false" customHeight="true" outlineLevel="0" collapsed="false">
      <c r="B2" s="5" t="s">
        <v>71</v>
      </c>
      <c r="C2" s="5"/>
      <c r="D2" s="5"/>
      <c r="E2" s="5"/>
      <c r="F2" s="5"/>
      <c r="G2" s="5"/>
      <c r="Z2" s="6" t="s">
        <v>72</v>
      </c>
    </row>
    <row r="3" customFormat="false" ht="15" hidden="false" customHeight="true" outlineLevel="0" collapsed="false">
      <c r="B3" s="7" t="s">
        <v>16</v>
      </c>
      <c r="C3" s="7"/>
      <c r="D3" s="7"/>
      <c r="E3" s="7"/>
      <c r="F3" s="7"/>
      <c r="G3" s="7"/>
      <c r="Z3" s="6" t="s">
        <v>70</v>
      </c>
    </row>
    <row r="4" customFormat="false" ht="15.75" hidden="false" customHeight="true" outlineLevel="0" collapsed="false">
      <c r="B4" s="8" t="s">
        <v>18</v>
      </c>
      <c r="C4" s="8"/>
      <c r="D4" s="8"/>
      <c r="E4" s="8"/>
      <c r="F4" s="8"/>
      <c r="G4" s="8"/>
      <c r="Z4" s="6" t="s">
        <v>72</v>
      </c>
    </row>
    <row r="5" customFormat="false" ht="45" hidden="false" customHeight="true" outlineLevel="0" collapsed="false">
      <c r="B5" s="9" t="s">
        <v>73</v>
      </c>
      <c r="C5" s="9"/>
      <c r="D5" s="9"/>
      <c r="E5" s="9"/>
      <c r="F5" s="9"/>
      <c r="G5" s="9"/>
      <c r="Z5" s="6" t="s">
        <v>70</v>
      </c>
    </row>
    <row r="6" customFormat="false" ht="15.75" hidden="false" customHeight="true" outlineLevel="0" collapsed="false">
      <c r="B6" s="8" t="s">
        <v>20</v>
      </c>
      <c r="C6" s="8"/>
      <c r="D6" s="8"/>
      <c r="E6" s="8"/>
      <c r="F6" s="8"/>
      <c r="G6" s="8"/>
      <c r="Z6" s="6" t="s">
        <v>72</v>
      </c>
    </row>
    <row r="7" customFormat="false" ht="75" hidden="false" customHeight="true" outlineLevel="0" collapsed="false">
      <c r="B7" s="9" t="s">
        <v>74</v>
      </c>
      <c r="C7" s="9"/>
      <c r="D7" s="9"/>
      <c r="E7" s="9"/>
      <c r="F7" s="9"/>
      <c r="G7" s="9"/>
      <c r="Z7" s="6" t="s">
        <v>70</v>
      </c>
    </row>
    <row r="8" customFormat="false" ht="15" hidden="false" customHeight="false" outlineLevel="0" collapsed="false">
      <c r="Z8" s="0" t="s">
        <v>72</v>
      </c>
    </row>
    <row r="9" customFormat="false" ht="15.75" hidden="false" customHeight="true" outlineLevel="0" collapsed="false">
      <c r="B9" s="8" t="s">
        <v>52</v>
      </c>
      <c r="C9" s="8"/>
      <c r="D9" s="8"/>
      <c r="E9" s="8"/>
      <c r="F9" s="8"/>
      <c r="G9" s="8"/>
      <c r="Z9" s="6" t="s">
        <v>70</v>
      </c>
    </row>
    <row r="10" customFormat="false" ht="45" hidden="false" customHeight="true" outlineLevel="0" collapsed="false">
      <c r="B10" s="9" t="s">
        <v>75</v>
      </c>
      <c r="C10" s="9"/>
      <c r="D10" s="9"/>
      <c r="E10" s="9"/>
      <c r="F10" s="9"/>
      <c r="G10" s="9"/>
      <c r="Z10" s="6" t="s">
        <v>72</v>
      </c>
    </row>
    <row r="11" customFormat="false" ht="15" hidden="false" customHeight="false" outlineLevel="0" collapsed="false">
      <c r="B11" s="19" t="s">
        <v>54</v>
      </c>
      <c r="C11" s="20" t="s">
        <v>55</v>
      </c>
      <c r="Z11" s="6" t="s">
        <v>76</v>
      </c>
    </row>
    <row r="12" customFormat="false" ht="15" hidden="false" customHeight="false" outlineLevel="0" collapsed="false">
      <c r="B12" s="21" t="s">
        <v>77</v>
      </c>
      <c r="C12" s="22" t="n">
        <v>5</v>
      </c>
      <c r="Z12" s="6" t="s">
        <v>78</v>
      </c>
    </row>
    <row r="13" customFormat="false" ht="15" hidden="false" customHeight="false" outlineLevel="0" collapsed="false">
      <c r="B13" s="21" t="s">
        <v>79</v>
      </c>
      <c r="C13" s="22" t="n">
        <v>5</v>
      </c>
      <c r="Z13" s="6" t="s">
        <v>80</v>
      </c>
    </row>
    <row r="14" customFormat="false" ht="15" hidden="false" customHeight="false" outlineLevel="0" collapsed="false">
      <c r="B14" s="21" t="s">
        <v>81</v>
      </c>
      <c r="C14" s="22" t="n">
        <v>7</v>
      </c>
    </row>
    <row r="15" customFormat="false" ht="15" hidden="false" customHeight="false" outlineLevel="0" collapsed="false">
      <c r="B15" s="21" t="s">
        <v>82</v>
      </c>
      <c r="C15" s="24" t="n">
        <f aca="false">C12+C13+C14</f>
        <v>17</v>
      </c>
    </row>
    <row r="16" customFormat="false" ht="15" hidden="false" customHeight="false" outlineLevel="0" collapsed="false">
      <c r="B16" s="21" t="s">
        <v>83</v>
      </c>
      <c r="C16" s="22" t="n">
        <v>2</v>
      </c>
    </row>
    <row r="17" customFormat="false" ht="15" hidden="false" customHeight="false" outlineLevel="0" collapsed="false">
      <c r="B17" s="21" t="s">
        <v>84</v>
      </c>
      <c r="C17" s="22" t="n">
        <v>1</v>
      </c>
    </row>
    <row r="18" customFormat="false" ht="15" hidden="false" customHeight="false" outlineLevel="0" collapsed="false">
      <c r="B18" s="21" t="s">
        <v>85</v>
      </c>
      <c r="C18" s="22" t="n">
        <v>12</v>
      </c>
    </row>
    <row r="19" customFormat="false" ht="15" hidden="false" customHeight="false" outlineLevel="0" collapsed="false">
      <c r="B19" s="21" t="s">
        <v>86</v>
      </c>
      <c r="C19" s="22" t="n">
        <v>890</v>
      </c>
    </row>
    <row r="21" customFormat="false" ht="15.75" hidden="false" customHeight="true" outlineLevel="0" collapsed="false">
      <c r="B21" s="8" t="s">
        <v>24</v>
      </c>
      <c r="C21" s="8"/>
      <c r="D21" s="8"/>
      <c r="E21" s="8"/>
      <c r="F21" s="8"/>
      <c r="G21" s="8"/>
    </row>
    <row r="22" customFormat="false" ht="45" hidden="false" customHeight="true" outlineLevel="0" collapsed="false">
      <c r="B22" s="9" t="s">
        <v>87</v>
      </c>
      <c r="C22" s="9"/>
      <c r="D22" s="9"/>
      <c r="E22" s="9"/>
      <c r="F22" s="9"/>
      <c r="G22" s="9"/>
    </row>
    <row r="24" customFormat="false" ht="43.5" hidden="false" customHeight="true" outlineLevel="0" collapsed="false">
      <c r="B24" s="10" t="s">
        <v>88</v>
      </c>
      <c r="C24" s="13"/>
      <c r="D24" s="14" t="s">
        <v>64</v>
      </c>
      <c r="G24" s="12" t="str">
        <f aca="false">IF(C24="","Skriv svaret i den gule cellen.",IF(C24=(7*(2+1)),"Riktig.",IF(ABS(C24-(7*2))&lt;=0,"Du har glemt Ronnys forberedelse, én time per samtale. Boka: samtalen skal være forberedt av begge parter.",IF(ABS(C24-(7*(2+1+1)))&lt;=0,"Du har lagt til medarbeiderens forberedelse også. Oppgaven spør om Ronnys timer: 2 timer samtale og 1 time forberedelse per samtale.","Ikke riktig ennå. Se på regnestykket øverst på fanen, og sjekk at du har med alle leddene."))))</f>
        <v>Skriv svaret i den gule cellen.</v>
      </c>
    </row>
    <row r="25" customFormat="false" ht="43.5" hidden="false" customHeight="true" outlineLevel="0" collapsed="false">
      <c r="B25" s="10" t="s">
        <v>89</v>
      </c>
      <c r="C25" s="13"/>
      <c r="D25" s="14" t="s">
        <v>64</v>
      </c>
      <c r="G25" s="12" t="str">
        <f aca="false">IF(C25="","Skriv svaret i den gule cellen.",IF(C25=(17*3),"Riktig.",IF(ABS(C25-(17*2))&lt;=0,"Du har glemt forberedelsen. Hver samtale koster lederen 2 + 1 = 3 timer.",IF(ABS(C25-(7*3))&lt;=0,"Det er Ronnys timer alene. Kari har 5 samtaler og Tom 5 i tillegg: 17 i alt.","Ikke riktig ennå. Se på regnestykket øverst på fanen, og sjekk at du har med alle leddene."))))</f>
        <v>Skriv svaret i den gule cellen.</v>
      </c>
    </row>
    <row r="26" customFormat="false" ht="43.5" hidden="false" customHeight="true" outlineLevel="0" collapsed="false">
      <c r="B26" s="10" t="s">
        <v>90</v>
      </c>
      <c r="C26" s="13"/>
      <c r="D26" s="14" t="s">
        <v>38</v>
      </c>
      <c r="G26" s="12" t="str">
        <f aca="false">IF(C26="","Skriv svaret i den gule cellen.",IF(C26=(12*3*890),"Riktig.",IF(ABS(C26-(12*2*890))&lt;=0,"Du har glemt montørenes forberedelse. Hver montør bruker 2 + 1 = 3 timer.",IF(ABS(C26-(14*3*890))&lt;=0,"Du har tatt med de to lærlingene. De regnes ikke som fakturerbare; det er 12 montører.",IF(ABS(C26-(17*3*890))&lt;=0,"Du har regnet alle 17 samtalene. Bare de 12 montørene fakturerer; Ida, Tom, Ronny og lærlingene gjør det ikke her.","Ikke riktig ennå. Se på regnestykket øverst på fanen, og sjekk at du har med alle leddene.")))))</f>
        <v>Skriv svaret i den gule cellen.</v>
      </c>
    </row>
    <row r="28" customFormat="false" ht="30" hidden="false" customHeight="true" outlineLevel="0" collapsed="false">
      <c r="B28" s="25" t="s">
        <v>91</v>
      </c>
      <c r="C28" s="25"/>
      <c r="D28" s="25"/>
      <c r="E28" s="25"/>
      <c r="F28" s="25"/>
      <c r="G28" s="25"/>
    </row>
    <row r="29" customFormat="false" ht="39.75" hidden="false" customHeight="true" outlineLevel="0" collapsed="false">
      <c r="B29" s="10" t="s">
        <v>92</v>
      </c>
      <c r="C29" s="11"/>
      <c r="G29" s="12" t="str">
        <f aca="false">IF(C29="","Velg i nedtrekksmenyen.",IF(C29="I tråd med boka","Riktig. Samtalen skal være planlagt og forberedt av begge parter (18.3).","Ikke riktig. Samtalen skal være planlagt og forberedt av begge parter (18.3)."))</f>
        <v>Velg i nedtrekksmenyen.</v>
      </c>
    </row>
    <row r="30" customFormat="false" ht="39.75" hidden="false" customHeight="true" outlineLevel="0" collapsed="false">
      <c r="B30" s="10" t="s">
        <v>93</v>
      </c>
      <c r="C30" s="11"/>
      <c r="G30" s="12" t="str">
        <f aca="false">IF(C30="","Velg i nedtrekksmenyen.",IF(C30="Ikke i tråd med boka","Riktig. Samtalen skal være fortrolig og personlig, og planlagt (18.3). Brakka i lunsjen er ingen av delene.","Ikke riktig. Samtalen skal være fortrolig og personlig, og planlagt (18.3). Brakka i lunsjen er ingen av delene."))</f>
        <v>Velg i nedtrekksmenyen.</v>
      </c>
    </row>
    <row r="31" customFormat="false" ht="39.75" hidden="false" customHeight="true" outlineLevel="0" collapsed="false">
      <c r="B31" s="10" t="s">
        <v>94</v>
      </c>
      <c r="C31" s="11"/>
      <c r="G31" s="12" t="str">
        <f aca="false">IF(C31="","Velg i nedtrekksmenyen.",IF(C31="I tråd med boka","Riktig. Et av bokas sentrale spørsmål: hvordan gode samarbeidsforhold mellom over- og underordnet kan etableres og videreutvikles (18.3).","Ikke riktig. Et av bokas sentrale spørsmål: hvordan gode samarbeidsforhold mellom over- og underordnet kan etableres og videreutvikles (18.3)."))</f>
        <v>Velg i nedtrekksmenyen.</v>
      </c>
    </row>
    <row r="32" customFormat="false" ht="39.75" hidden="false" customHeight="true" outlineLevel="0" collapsed="false">
      <c r="B32" s="10" t="s">
        <v>95</v>
      </c>
      <c r="C32" s="11"/>
      <c r="G32" s="12" t="str">
        <f aca="false">IF(C32="","Velg i nedtrekksmenyen.",IF(C32="Ikke i tråd med boka","Riktig. Samtalen må ikke skape forventninger som ikke kan innfris, og tiltakene trenger ressurser (18.3). Et løfte uten penger blir skuebrød.","Ikke riktig. Samtalen må ikke skape forventninger som ikke kan innfris, og tiltakene trenger ressurser (18.3). Et løfte uten penger blir skuebrød."))</f>
        <v>Velg i nedtrekksmenyen.</v>
      </c>
    </row>
    <row r="33" customFormat="false" ht="39.75" hidden="false" customHeight="true" outlineLevel="0" collapsed="false">
      <c r="B33" s="10" t="s">
        <v>96</v>
      </c>
      <c r="C33" s="11"/>
      <c r="G33" s="12" t="str">
        <f aca="false">IF(C33="","Velg i nedtrekksmenyen.",IF(C33="I tråd med boka","Riktig. Et av bokas sentrale spørsmål: hvilke ønsker og behov den underordnede selv har for faglig utvikling (18.3).","Ikke riktig. Et av bokas sentrale spørsmål: hvilke ønsker og behov den underordnede selv har for faglig utvikling (18.3)."))</f>
        <v>Velg i nedtrekksmenyen.</v>
      </c>
    </row>
    <row r="35" customFormat="false" ht="39.75" hidden="false" customHeight="true" outlineLevel="0" collapsed="false">
      <c r="B35" s="10" t="s">
        <v>97</v>
      </c>
      <c r="C35" s="11"/>
      <c r="G35" s="12" t="str">
        <f aca="false">IF(C35="","Velg i nedtrekksmenyen.",IF(C35="Er det policy med samtaler, må lederne sette av tid også når andre oppgaver står for døren; ellers blir de skuebrød","Riktig. Boka (18.1): er det policy at medarbeidersamtaler skal gjennomføres minst én gang i året, må linjelederne sette av tid til dette, selv om andre presserende oppgaver står for døren. Ledelsens engasjement er en av forutsetningene (18.3); uten den blir samtalen skuebrød, og da er det bedre å la være.","Ikke riktig. Boka (18.1): er det policy at medarbeidersamtaler skal gjennomføres minst én gang i året, må linjelederne sette av tid til dette, selv om andre presserende oppgaver står for døren. Ledelsens engasjement er en av forutsetningene (18.3); uten den blir samtalen skuebrød, og da er det bedre å la være."))</f>
        <v>Velg i nedtrekksmenyen.</v>
      </c>
    </row>
    <row r="37" customFormat="false" ht="30" hidden="false" customHeight="true" outlineLevel="0" collapsed="false">
      <c r="B37" s="9" t="s">
        <v>98</v>
      </c>
      <c r="C37" s="9"/>
      <c r="D37" s="9"/>
      <c r="E37" s="9"/>
      <c r="F37" s="9"/>
      <c r="G37" s="9"/>
    </row>
    <row r="38" customFormat="false" ht="21.75" hidden="false" customHeight="true" outlineLevel="0" collapsed="false">
      <c r="B38" s="15"/>
      <c r="C38" s="15"/>
      <c r="D38" s="15"/>
      <c r="E38" s="15"/>
      <c r="F38" s="15"/>
      <c r="G38" s="15"/>
    </row>
    <row r="39" customFormat="false" ht="21.75" hidden="false" customHeight="true" outlineLevel="0" collapsed="false">
      <c r="B39" s="15"/>
      <c r="C39" s="15"/>
      <c r="D39" s="15"/>
      <c r="E39" s="15"/>
      <c r="F39" s="15"/>
      <c r="G39" s="15"/>
    </row>
    <row r="40" customFormat="false" ht="21.75" hidden="false" customHeight="true" outlineLevel="0" collapsed="false">
      <c r="B40" s="15"/>
      <c r="C40" s="15"/>
      <c r="D40" s="15"/>
      <c r="E40" s="15"/>
      <c r="F40" s="15"/>
      <c r="G40" s="15"/>
    </row>
    <row r="41" customFormat="false" ht="39.75" hidden="false" customHeight="true" outlineLevel="0" collapsed="false">
      <c r="B41" s="16" t="str">
        <f aca="false">IF(LEN(B38)&lt;40,"",IF(AND(ISNUMBER(SEARCH("tid",B38)),ISNUMBER(SEARCH("forbered",B38))),"Bra: du har med at tiden må settes av og at begge forbereder seg. Sjekk at du også nevner ressurser til tiltakene: det som loves i samtalen, må kunne holdes.",IF(OR(ISNUMBER(SEARCH("tid",B38)),ISNUMBER(SEARCH("forbered",B38))),"Du har med noe av det. Boka krever at tiden settes av (18.1), at begge parter forbereder seg, og at det finnes ressurser til tiltakene (18.3).","Tips: tiden må inn i planen (Ronny trenger 21 timer, montørene 32 040 kr i fakturering). Begge forbereder seg, samtalen er fortrolig og ender i få tiltak med ansvarlig og frist. Kari må ha penger til det som loves. Ellers blir samtalen et årlig ritual med skinn av seriøsitet.")))</f>
        <v/>
      </c>
      <c r="C41" s="16"/>
      <c r="D41" s="16"/>
      <c r="E41" s="16"/>
      <c r="F41" s="16"/>
      <c r="G41" s="16"/>
    </row>
    <row r="42" customFormat="false" ht="15" hidden="false" customHeight="false" outlineLevel="0" collapsed="false">
      <c r="B42" s="17" t="s">
        <v>41</v>
      </c>
      <c r="C42" s="11"/>
    </row>
    <row r="43" customFormat="false" ht="45" hidden="false" customHeight="true" outlineLevel="0" collapsed="false">
      <c r="B43" s="18" t="str">
        <f aca="false">IF(C42="JA","Hint: a: 7 × (2 + 1) = 21 timer. b: 17 × 3 = 51 timer. c: 12 × 3 × 890 = 32 040 kr. Til sammenlikning kostet montøren som sluttet etter fire måneder, 555 823 kr ekstra. Boka: begge forbereder seg, samtalen er fortrolig, og den lover ikke mer enn bedriften kan holde.","")</f>
        <v/>
      </c>
      <c r="C43" s="18"/>
      <c r="D43" s="18"/>
      <c r="E43" s="18"/>
      <c r="F43" s="18"/>
      <c r="G43" s="18"/>
    </row>
    <row r="45" customFormat="false" ht="30" hidden="false" customHeight="true" outlineLevel="0" collapsed="false">
      <c r="B45" s="7" t="s">
        <v>42</v>
      </c>
      <c r="C45" s="7"/>
      <c r="D45" s="7"/>
      <c r="E45" s="7"/>
      <c r="F45" s="7"/>
      <c r="G45" s="7"/>
    </row>
  </sheetData>
  <mergeCells count="16">
    <mergeCell ref="B2:G2"/>
    <mergeCell ref="B3:G3"/>
    <mergeCell ref="B4:G4"/>
    <mergeCell ref="B5:G5"/>
    <mergeCell ref="B6:G6"/>
    <mergeCell ref="B7:G7"/>
    <mergeCell ref="B9:G9"/>
    <mergeCell ref="B10:G10"/>
    <mergeCell ref="B21:G21"/>
    <mergeCell ref="B22:G22"/>
    <mergeCell ref="B28:G28"/>
    <mergeCell ref="B37:G37"/>
    <mergeCell ref="B38:G40"/>
    <mergeCell ref="B41:G41"/>
    <mergeCell ref="B43:G43"/>
    <mergeCell ref="B45:G45"/>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9">
    <cfRule type="expression" priority="8" aboveAverage="0" equalAverage="0" bottom="0" percent="0" rank="0" text="" dxfId="0">
      <formula>LEFT(G29,6)="Riktig"</formula>
    </cfRule>
    <cfRule type="expression" priority="9" aboveAverage="0" equalAverage="0" bottom="0" percent="0" rank="0" text="" dxfId="1">
      <formula>LEFT(G29,4)="Ikke"</formula>
    </cfRule>
  </conditionalFormatting>
  <conditionalFormatting sqref="G30">
    <cfRule type="expression" priority="10" aboveAverage="0" equalAverage="0" bottom="0" percent="0" rank="0" text="" dxfId="0">
      <formula>LEFT(G30,6)="Riktig"</formula>
    </cfRule>
    <cfRule type="expression" priority="11" aboveAverage="0" equalAverage="0" bottom="0" percent="0" rank="0" text="" dxfId="1">
      <formula>LEFT(G30,4)="Ikke"</formula>
    </cfRule>
  </conditionalFormatting>
  <conditionalFormatting sqref="G31">
    <cfRule type="expression" priority="12" aboveAverage="0" equalAverage="0" bottom="0" percent="0" rank="0" text="" dxfId="0">
      <formula>LEFT(G31,6)="Riktig"</formula>
    </cfRule>
    <cfRule type="expression" priority="13" aboveAverage="0" equalAverage="0" bottom="0" percent="0" rank="0" text="" dxfId="1">
      <formula>LEFT(G31,4)="Ikke"</formula>
    </cfRule>
  </conditionalFormatting>
  <conditionalFormatting sqref="G32">
    <cfRule type="expression" priority="14" aboveAverage="0" equalAverage="0" bottom="0" percent="0" rank="0" text="" dxfId="0">
      <formula>LEFT(G32,6)="Riktig"</formula>
    </cfRule>
    <cfRule type="expression" priority="15" aboveAverage="0" equalAverage="0" bottom="0" percent="0" rank="0" text="" dxfId="1">
      <formula>LEFT(G32,4)="Ikke"</formula>
    </cfRule>
  </conditionalFormatting>
  <conditionalFormatting sqref="G33">
    <cfRule type="expression" priority="16" aboveAverage="0" equalAverage="0" bottom="0" percent="0" rank="0" text="" dxfId="0">
      <formula>LEFT(G33,6)="Riktig"</formula>
    </cfRule>
    <cfRule type="expression" priority="17" aboveAverage="0" equalAverage="0" bottom="0" percent="0" rank="0" text="" dxfId="1">
      <formula>LEFT(G33,4)="Ikke"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dataValidations count="7">
    <dataValidation allowBlank="true" errorStyle="stop" operator="between" showDropDown="false" showErrorMessage="false" showInputMessage="false" sqref="C29" type="list">
      <formula1>$Z$1:$Z$2</formula1>
      <formula2>0</formula2>
    </dataValidation>
    <dataValidation allowBlank="true" errorStyle="stop" operator="between" showDropDown="false" showErrorMessage="false" showInputMessage="false" sqref="C30" type="list">
      <formula1>$Z$3:$Z$4</formula1>
      <formula2>0</formula2>
    </dataValidation>
    <dataValidation allowBlank="true" errorStyle="stop" operator="between" showDropDown="false" showErrorMessage="false" showInputMessage="false" sqref="C31" type="list">
      <formula1>$Z$5:$Z$6</formula1>
      <formula2>0</formula2>
    </dataValidation>
    <dataValidation allowBlank="true" errorStyle="stop" operator="between" showDropDown="false" showErrorMessage="false" showInputMessage="false" sqref="C32" type="list">
      <formula1>$Z$7:$Z$8</formula1>
      <formula2>0</formula2>
    </dataValidation>
    <dataValidation allowBlank="true" errorStyle="stop" operator="between" showDropDown="false" showErrorMessage="false" showInputMessage="false" sqref="C33" type="list">
      <formula1>$Z$9:$Z$10</formula1>
      <formula2>0</formula2>
    </dataValidation>
    <dataValidation allowBlank="true" errorStyle="stop" operator="between" showDropDown="false" showErrorMessage="false" showInputMessage="false" sqref="C35" type="list">
      <formula1>$Z$11:$Z$13</formula1>
      <formula2>0</formula2>
    </dataValidation>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99</v>
      </c>
    </row>
    <row r="3" customFormat="false" ht="30" hidden="false" customHeight="true" outlineLevel="0" collapsed="false">
      <c r="B3" s="7" t="s">
        <v>100</v>
      </c>
      <c r="C3" s="7"/>
      <c r="D3" s="7"/>
    </row>
    <row r="5" customFormat="false" ht="15" hidden="false" customHeight="false" outlineLevel="0" collapsed="false">
      <c r="B5" s="27" t="s">
        <v>101</v>
      </c>
      <c r="C5" s="27" t="s">
        <v>102</v>
      </c>
      <c r="D5" s="27" t="s">
        <v>103</v>
      </c>
    </row>
    <row r="6" customFormat="false" ht="45" hidden="false" customHeight="true" outlineLevel="0" collapsed="false">
      <c r="B6" s="28" t="s">
        <v>104</v>
      </c>
      <c r="C6" s="24"/>
      <c r="D6" s="28" t="s">
        <v>105</v>
      </c>
    </row>
    <row r="7" customFormat="false" ht="30" hidden="false" customHeight="true" outlineLevel="0" collapsed="false">
      <c r="B7" s="28" t="s">
        <v>106</v>
      </c>
      <c r="C7" s="24" t="n">
        <v>82154</v>
      </c>
      <c r="D7" s="28" t="s">
        <v>107</v>
      </c>
    </row>
    <row r="8" customFormat="false" ht="30" hidden="false" customHeight="true" outlineLevel="0" collapsed="false">
      <c r="B8" s="28" t="s">
        <v>108</v>
      </c>
      <c r="C8" s="24"/>
      <c r="D8" s="28" t="s">
        <v>109</v>
      </c>
    </row>
    <row r="9" customFormat="false" ht="45" hidden="false" customHeight="true" outlineLevel="0" collapsed="false">
      <c r="B9" s="28" t="s">
        <v>110</v>
      </c>
      <c r="C9" s="24"/>
      <c r="D9" s="28" t="s">
        <v>111</v>
      </c>
    </row>
    <row r="10" customFormat="false" ht="30" hidden="false" customHeight="true" outlineLevel="0" collapsed="false">
      <c r="B10" s="28" t="s">
        <v>112</v>
      </c>
      <c r="C10" s="24" t="n">
        <v>21.5</v>
      </c>
      <c r="D10" s="28" t="s">
        <v>113</v>
      </c>
    </row>
    <row r="11" customFormat="false" ht="30" hidden="false" customHeight="true" outlineLevel="0" collapsed="false">
      <c r="B11" s="28" t="s">
        <v>114</v>
      </c>
      <c r="C11" s="24" t="n">
        <v>19169</v>
      </c>
      <c r="D11" s="28" t="s">
        <v>115</v>
      </c>
    </row>
    <row r="12" customFormat="false" ht="30" hidden="false" customHeight="true" outlineLevel="0" collapsed="false">
      <c r="B12" s="28" t="s">
        <v>116</v>
      </c>
      <c r="C12" s="24" t="n">
        <v>103833</v>
      </c>
      <c r="D12" s="28" t="s">
        <v>117</v>
      </c>
    </row>
    <row r="13" customFormat="false" ht="30" hidden="false" customHeight="true" outlineLevel="0" collapsed="false">
      <c r="B13" s="28" t="s">
        <v>118</v>
      </c>
      <c r="C13" s="24"/>
      <c r="D13" s="28" t="s">
        <v>119</v>
      </c>
    </row>
    <row r="14" customFormat="false" ht="30" hidden="false" customHeight="true" outlineLevel="0" collapsed="false">
      <c r="B14" s="28" t="s">
        <v>120</v>
      </c>
      <c r="C14" s="24"/>
      <c r="D14" s="28" t="s">
        <v>121</v>
      </c>
    </row>
    <row r="15" customFormat="false" ht="30" hidden="false" customHeight="true" outlineLevel="0" collapsed="false">
      <c r="B15" s="28" t="s">
        <v>122</v>
      </c>
      <c r="C15" s="24"/>
      <c r="D15" s="28" t="s">
        <v>123</v>
      </c>
    </row>
    <row r="16" customFormat="false" ht="30" hidden="false" customHeight="true" outlineLevel="0" collapsed="false">
      <c r="B16" s="28" t="s">
        <v>124</v>
      </c>
      <c r="C16" s="24" t="n">
        <v>21</v>
      </c>
      <c r="D16" s="28" t="s">
        <v>125</v>
      </c>
    </row>
    <row r="17" customFormat="false" ht="30" hidden="false" customHeight="true" outlineLevel="0" collapsed="false">
      <c r="B17" s="28" t="s">
        <v>126</v>
      </c>
      <c r="C17" s="24" t="n">
        <v>51</v>
      </c>
      <c r="D17" s="28" t="s">
        <v>127</v>
      </c>
    </row>
    <row r="18" customFormat="false" ht="30" hidden="false" customHeight="true" outlineLevel="0" collapsed="false">
      <c r="B18" s="28" t="s">
        <v>128</v>
      </c>
      <c r="C18" s="24" t="n">
        <v>32040</v>
      </c>
      <c r="D18" s="28" t="s">
        <v>129</v>
      </c>
    </row>
    <row r="19" customFormat="false" ht="30" hidden="false" customHeight="true" outlineLevel="0" collapsed="false">
      <c r="B19" s="28" t="s">
        <v>130</v>
      </c>
      <c r="C19" s="24"/>
      <c r="D19" s="28" t="s">
        <v>131</v>
      </c>
    </row>
    <row r="20" customFormat="false" ht="30" hidden="false" customHeight="true" outlineLevel="0" collapsed="false">
      <c r="B20" s="28" t="s">
        <v>132</v>
      </c>
      <c r="C20" s="24"/>
      <c r="D20" s="28" t="s">
        <v>133</v>
      </c>
    </row>
    <row r="21" customFormat="false" ht="45" hidden="false" customHeight="true" outlineLevel="0" collapsed="false">
      <c r="B21" s="28" t="s">
        <v>134</v>
      </c>
      <c r="C21" s="24"/>
      <c r="D21" s="28" t="s">
        <v>135</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2026-10-14T17:46:16Z</dcterms:created>
  <dc:creator>openpyxl</dc:creator>
  <dc:description/>
  <dc:language>en-US</dc:language>
  <cp:lastModifiedBy/>
  <dcterms:modified xsi:type="dcterms:W3CDTF">2026-10-14T17:46:16Z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