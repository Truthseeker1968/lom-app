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Enkelt" sheetId="1" state="visible" r:id="rId3"/>
    <sheet name="Veiledning" sheetId="2" state="visible" r:id="rId4"/>
    <sheet name="Timen og lønna" sheetId="3" state="visible" r:id="rId5"/>
    <sheet name="Prosessen" sheetId="4" state="visible" r:id="rId6"/>
    <sheet name="Feilansettelsen" sheetId="5" state="visible" r:id="rId7"/>
    <sheet name="Scenario" sheetId="6" state="visible" r:id="rId8"/>
    <sheet name="Din egen bedrift"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<sst xmlns="http://schemas.openxmlformats.org/spreadsheetml/2006/main" count="332" uniqueCount="299">
  <si>
    <t xml:space="preserve">Hva koster det å fylle én stilling? Den enkle versjonen</t>
  </si>
  <si>
    <t xml:space="preserve">Fyll inn de åtte gule cellene. Svaret står i den grønne. Alt annet regner seg selv. Vil du gå dypere, med fadder, opplæring og en ansettelse som går galt, ligger hele modellen i arkene bak.</t>
  </si>
  <si>
    <t xml:space="preserve">Det du vet</t>
  </si>
  <si>
    <t xml:space="preserve">Hva koster annonsen i fagpresse og på nett?</t>
  </si>
  <si>
    <t xml:space="preserve">Den eneste posten noen sender faktura for.</t>
  </si>
  <si>
    <t xml:space="preserve">Hva tjener lederen som ansetter, i året?</t>
  </si>
  <si>
    <t xml:space="preserve">Lønn før sosiale kostnader. Hos Nordlys er det daglig leder som ansetter.</t>
  </si>
  <si>
    <t xml:space="preserve">Hvor mye kommer i tillegg til lønna i sosiale kostnader?</t>
  </si>
  <si>
    <t xml:space="preserve">Feriepenger, arbeidsgiveravgift, pensjon og mer. Satsen er den samme som i Økonomistyring for LØM-emnet, kap. 2.</t>
  </si>
  <si>
    <t xml:space="preserve">Hvor mange timer er lederen på jobb i året?</t>
  </si>
  <si>
    <t xml:space="preserve">Etter ferie, helligdager og kurs.</t>
  </si>
  <si>
    <t xml:space="preserve">Hvor mange timer bruker lederen på hele ansettelsen?</t>
  </si>
  <si>
    <t xml:space="preserve">Behovsanalyse, annonse, søknader, intervjuer, tilbud og introduksjon.</t>
  </si>
  <si>
    <t xml:space="preserve">Hvor mange måneder står stillingen tom?</t>
  </si>
  <si>
    <t xml:space="preserve">Fra oppsigelsen til den nye er på plass.</t>
  </si>
  <si>
    <t xml:space="preserve">Hvor mange timer fakturerer en montør i året?</t>
  </si>
  <si>
    <t xml:space="preserve">Bare timene som står på en faktura.</t>
  </si>
  <si>
    <t xml:space="preserve">Hva koster en time for kunden, uten mva.?</t>
  </si>
  <si>
    <t xml:space="preserve">Timeprisen. En time som ikke blir solgt, kommer aldri tilbake.</t>
  </si>
  <si>
    <t xml:space="preserve">Regnestykket</t>
  </si>
  <si>
    <t xml:space="preserve">Hva en time av lederens tid koster</t>
  </si>
  <si>
    <t xml:space="preserve">Lønn med sosiale kostnader, delt på timene lederen er på jobb.</t>
  </si>
  <si>
    <t xml:space="preserve">Kostnad for lederens tid</t>
  </si>
  <si>
    <t xml:space="preserve">Timekostnaden ganger timene på ansettelsen.</t>
  </si>
  <si>
    <t xml:space="preserve">Direkte kostnad: annonse og ledertid</t>
  </si>
  <si>
    <t xml:space="preserve">Det folk svarer når de blir spurt hva en ansettelse koster.</t>
  </si>
  <si>
    <t xml:space="preserve">Fakturerbare timer som forsvinner</t>
  </si>
  <si>
    <t xml:space="preserve">Timer i året delt på 12, ganger månedene stillingen står tom.</t>
  </si>
  <si>
    <t xml:space="preserve">Tapt fakturering mens stillingen står tom</t>
  </si>
  <si>
    <t xml:space="preserve">Forutsetter at oppdragene fantes. Disse timene står ikke på noen faktura.</t>
  </si>
  <si>
    <t xml:space="preserve">DET KOSTER Å FYLLE STILLINGEN</t>
  </si>
  <si>
    <t xml:space="preserve">Direkte kostnad pluss tapt fakturering. Fadder og opplæring kommer i tillegg.</t>
  </si>
  <si>
    <t xml:space="preserve">Andel som er tapte timer</t>
  </si>
  <si>
    <t xml:space="preserve">Den delen av prisen ingen ser.</t>
  </si>
  <si>
    <t xml:space="preserve">Hva svaret betyr</t>
  </si>
  <si>
    <t xml:space="preserve">Prøv selv</t>
  </si>
  <si>
    <t xml:space="preserve">1. Sett månedene stillingen står tom (B10) til 2. Hvor mye billigere blir det?</t>
  </si>
  <si>
    <t xml:space="preserve">2. Bruk ti timer til på en ekstra intervjurunde (B9 = 40). Hvor mye dyrere blir ansettelsen?</t>
  </si>
  <si>
    <t xml:space="preserve">3. Hva må B10 være for at det skal koste over en halv million kroner?</t>
  </si>
  <si>
    <t xml:space="preserve">Tallene er Nordlys Elektro AS sine for 2026 (faktaarket og sammendraget). Kilde: Markedsføring, organisasjon og ledelse for LØM-emnet, kap. 18. Sosiale kostnader: Økonomistyring for LØM-emnet, kap. 2. Nordlys Elektro AS er en konstruert casebedrift.</t>
  </si>
  <si>
    <t xml:space="preserve">Hva en feilansettelse koster</t>
  </si>
  <si>
    <t xml:space="preserve">LØM Organisasjon og ledelse kap. 18 · arbeidsregneark · Fagskolen Oslo, Avdeling Elkraft</t>
  </si>
  <si>
    <t xml:space="preserve">Emne: Teknisk kommunikasjon og ledelse for 1ET-klassene · LØM for 2ET, 2EK, 3EK og 4EK</t>
  </si>
  <si>
    <t xml:space="preserve">Fargekode</t>
  </si>
  <si>
    <t xml:space="preserve">Gul celle med blå skrift</t>
  </si>
  <si>
    <t xml:space="preserve">Inndata — dette er tallene du endrer.</t>
  </si>
  <si>
    <t xml:space="preserve">Grå eller lyseblå celle, svart skrift</t>
  </si>
  <si>
    <t xml:space="preserve">Formel — regner seg selv. Ikke skriv over den.</t>
  </si>
  <si>
    <t xml:space="preserve">Mørkeblå rad med hvit skrift</t>
  </si>
  <si>
    <t xml:space="preserve">Kolonneoverskrift.</t>
  </si>
  <si>
    <t xml:space="preserve">Ark i arbeidsboka</t>
  </si>
  <si>
    <t xml:space="preserve">Enkelt</t>
  </si>
  <si>
    <t xml:space="preserve">Start her. Åtte gule celler, ett svar. Hva det koster å fylle én stilling, regnet på den enkleste måten.</t>
  </si>
  <si>
    <t xml:space="preserve">Timen og lønna</t>
  </si>
  <si>
    <t xml:space="preserve">Grunnlaget. Lønn, sosiale kostnader, timer og timepris inn — timekostnad og dekningsbidrag ut. Her ligger den ene cellen du styrer alt fra: B25.</t>
  </si>
  <si>
    <t xml:space="preserve">Prosessen</t>
  </si>
  <si>
    <t xml:space="preserve">Hva én ansettelse koster når alt går bra: annonse, ledertid, månedene stillingen står tom, fadderens timer og opplæringsperioden.</t>
  </si>
  <si>
    <t xml:space="preserve">Feilansettelsen</t>
  </si>
  <si>
    <t xml:space="preserve">DET VIKTIGSTE ARKET. Den nye slutter før opplæringen er over, og alt må gjøres om igjen. Nederst: hvor mange ekstra intervjurunder du får for prisen av én bom.</t>
  </si>
  <si>
    <t xml:space="preserve">Scenario</t>
  </si>
  <si>
    <t xml:space="preserve">Tre spørsmål: hvor raskt blir han produktiv, hvor lenge står stillingen tom, og er den interne billigere enn den eksterne?</t>
  </si>
  <si>
    <t xml:space="preserve">Din egen bedrift</t>
  </si>
  <si>
    <t xml:space="preserve">Samme oppsett, tomt. Legg inn tallene fra din egen arbeidsplass.</t>
  </si>
  <si>
    <t xml:space="preserve">Tallene som ligger inne er Nordlys Elektro AS' egne tall for 2026.</t>
  </si>
  <si>
    <t xml:space="preserve">HVORFOR DETTE REGNEARKET FINNES:</t>
  </si>
  <si>
    <t xml:space="preserve">Rekruttering er en beslutning med en prislapp, og prislappen er den delen</t>
  </si>
  <si>
    <t xml:space="preserve">studentene ikke ser. Annonsen er den eneste posten noen sender en faktura for.</t>
  </si>
  <si>
    <t xml:space="preserve">Resten er timer som ikke ble solgt — og de står ikke i noe regnskap.</t>
  </si>
  <si>
    <t xml:space="preserve">DEN ENE ERKJENNELSEN:</t>
  </si>
  <si>
    <t xml:space="preserve">Grundighet i utvelgelsen koster ledertimer. Å bomme koster montørårsverk.</t>
  </si>
  <si>
    <t xml:space="preserve">Det er ikke et argument for å bruke evig tid — det er et argument for å vite</t>
  </si>
  <si>
    <t xml:space="preserve">hva den tredje intervjurunden er verdt.</t>
  </si>
  <si>
    <t xml:space="preserve">KONSTRUERT FOR UNDERVISNINGEN: hvor mye den nye fakturerer i opplærings-</t>
  </si>
  <si>
    <t xml:space="preserve">perioden, hvor mye av dagen fadderen bruker i ukene 2 til 4, og at ansettelsen</t>
  </si>
  <si>
    <t xml:space="preserve">ryker etter fire måneder. Alt annet er utledet: lønna av produksjonslønna i</t>
  </si>
  <si>
    <t xml:space="preserve">resultatet, påslaget av LONNSPAASLAG, opplæringsperioden og fadderukene av</t>
  </si>
  <si>
    <t xml:space="preserve">introduksjonsprogrammet i kapitlet, og vakansen av kapittel 17.</t>
  </si>
  <si>
    <t xml:space="preserve">Regnearket er øvingsstøtte, ikke et lønnssystem.</t>
  </si>
  <si>
    <t xml:space="preserve">Tallene som ligger inne er et eksempel fra en elektrobedrift. Bytt dem ut med dine egne — alle formler følger med.</t>
  </si>
  <si>
    <t xml:space="preserve">Arbeidsregneark til LØM · Fagskolen Oslo, Avdeling Elkraft. Regnearket er øvingsstøtte, ikke et regnskapssystem.</t>
  </si>
  <si>
    <t xml:space="preserve">Den ene knappen</t>
  </si>
  <si>
    <t xml:space="preserve">'Timen og lønna'!B25</t>
  </si>
  <si>
    <t xml:space="preserve">Timepris til kunden, uten mva.</t>
  </si>
  <si>
    <t xml:space="preserve">Endrer du denne cellen, følger arkene Prosessen, Feilansettelsen og Scenario med. Alle tapstall i arbeidsboka er timer ganget med denne prisen.</t>
  </si>
  <si>
    <t xml:space="preserve">Hvilken oppgave bruker hvilket ark</t>
  </si>
  <si>
    <t xml:space="preserve">Oppgave i øvingsheftet</t>
  </si>
  <si>
    <t xml:space="preserve">Ark</t>
  </si>
  <si>
    <t xml:space="preserve">Celler du endrer og leser av</t>
  </si>
  <si>
    <t xml:space="preserve">A1 · Internt eller eksternt?</t>
  </si>
  <si>
    <t xml:space="preserve">Scenario C nederst: endre C-kolonnen og les av forskjellen i B-raden «Forskjell».</t>
  </si>
  <si>
    <t xml:space="preserve">A2 · Klasseoppgave: finn feilen i stillingsannonsen</t>
  </si>
  <si>
    <t xml:space="preserve">—</t>
  </si>
  <si>
    <t xml:space="preserve">Ingen regning. Oppgaven løses i heftet.</t>
  </si>
  <si>
    <t xml:space="preserve">A3 · Fire ting Ronny vil ta opp</t>
  </si>
  <si>
    <t xml:space="preserve">1 · Personalpolitikken Nordlys ikke har skrevet ned</t>
  </si>
  <si>
    <t xml:space="preserve">2 · Intervjuet, panelet og den første arbeidsdagen</t>
  </si>
  <si>
    <t xml:space="preserve">Les av ledertimene i B11. Det er timene hele rekrutteringsprosessen tar, og intervjuene er den største enkeltposten i dem.</t>
  </si>
  <si>
    <t xml:space="preserve">3 · Medarbeidersamtalen med Sara</t>
  </si>
  <si>
    <t xml:space="preserve">4 · Ansettelseskalkylen: hva koster det egentlig?</t>
  </si>
  <si>
    <t xml:space="preserve">Prosessen og Feilansettelsen</t>
  </si>
  <si>
    <t xml:space="preserve">Endre Prosessen B16, B28 og B29, og les av B34 og B35. Gå så til Feilansettelsen: endre B5 og B6, og les av B25, B27, B28 og B31. Punkt d) leser du i B36.</t>
  </si>
  <si>
    <t xml:space="preserve">5 · Eksamensnær: to montører, tre søkere og én lærling</t>
  </si>
  <si>
    <t xml:space="preserve">Feilansettelsen og Scenario</t>
  </si>
  <si>
    <t xml:space="preserve">Les av Feilansettelsen B27 og B36, og bruk scenario A og C til å begrunne anbefalingen.</t>
  </si>
  <si>
    <t xml:space="preserve">Kontrollradene</t>
  </si>
  <si>
    <t xml:space="preserve">Hvert regneark har en kontrollblokk nederst. Står det OK, henger tallene sammen. Står det AVVIK, farges cellen rød, og teksten sier hva som ikke går opp.</t>
  </si>
  <si>
    <t xml:space="preserve">Ett unntak: kontrollen i arket «Din egen bedrift» skal vise AVVIK helt til du har fylt ut de tomme feltene. Der er avviket en beskjed, ikke en feil.</t>
  </si>
  <si>
    <t xml:space="preserve">Kontroller i arbeidsboka: Timen og lønna D31, Timen og lønna D32, Prosessen D40, Prosessen D41, Prosessen D42, Feilansettelsen D39, Feilansettelsen D40, Feilansettelsen D41, Scenario E41, Scenario E42, Scenario E43, Scenario E44, Din egen bedrift D28, Din egen bedrift D29</t>
  </si>
  <si>
    <t xml:space="preserve">Kilder</t>
  </si>
  <si>
    <t xml:space="preserve">Hjertnes, Markedsføring, organisasjon og ledelse for LØM-emnet, 4. utg., kap. 18, avsnitt 18.1 om personalpolitikk, 18.2 om rekrutteringsprosessens sju trinn, 18.2.1 om intern og ekstern rekruttering og 18.2.6 om introduksjon og opplæring.</t>
  </si>
  <si>
    <t xml:space="preserve">Satsene for sosiale kostnader: Økonomistyring for LØM-emnet, tabell 2.4. Timepris, bemanning og fakturerte timer: Nordlys Elektro AS' egne tall, jf. kapittel 5 og 14.</t>
  </si>
  <si>
    <t xml:space="preserve">Nordlys Elektro AS er en konstruert casebedrift. Tallene henger sammen på tvers av hele pensumet.</t>
  </si>
  <si>
    <t xml:space="preserve">Hva koster en montørtime, og hva er den verdt?</t>
  </si>
  <si>
    <t xml:space="preserve">Endre de gule cellene. Alt annet regner seg selv.</t>
  </si>
  <si>
    <t xml:space="preserve">1 · Lønna</t>
  </si>
  <si>
    <t xml:space="preserve">Grunnlønn til montører og lærlinger, ett år (før sosiale kostnader)</t>
  </si>
  <si>
    <t xml:space="preserve">Lønnsposten i resultatregnskapet for 2026 (8 440 000 kr, jf. kapittel 3) inkluderer feriepenger og avgifter. Her er grunnlønna: 8 440 000 / 1,468.</t>
  </si>
  <si>
    <t xml:space="preserve">Antall utførende (montører og lærlinger)</t>
  </si>
  <si>
    <t xml:space="preserve">De som fakturerer timer. Administrasjonen ligger i en annen post.</t>
  </si>
  <si>
    <t xml:space="preserve">= Årslønn per utførende</t>
  </si>
  <si>
    <t xml:space="preserve">Snittet, ikke tarifflønna til en enkelt montør. Et kostnadsanslag skal bruke snittet.</t>
  </si>
  <si>
    <t xml:space="preserve">Sosiale kostnader — påslag på lønna</t>
  </si>
  <si>
    <t xml:space="preserve">Post</t>
  </si>
  <si>
    <t xml:space="preserve">Sats</t>
  </si>
  <si>
    <t xml:space="preserve">Merknad</t>
  </si>
  <si>
    <t xml:space="preserve">Feriepenger, inkludert arbeidsgiveravgift</t>
  </si>
  <si>
    <t xml:space="preserve">Arbeidsgiveravgift på lønn</t>
  </si>
  <si>
    <t xml:space="preserve">Pensjonspremie</t>
  </si>
  <si>
    <t xml:space="preserve">Arbeidsgiveravgift på pensjon</t>
  </si>
  <si>
    <t xml:space="preserve">Lønn for bevegelige helligdager, høytidsdager m.m.</t>
  </si>
  <si>
    <t xml:space="preserve">Premie til yrkesskadetrygd</t>
  </si>
  <si>
    <t xml:space="preserve">Sykepenger i arbeidsgiverperioden</t>
  </si>
  <si>
    <t xml:space="preserve">= Samlet påslag</t>
  </si>
  <si>
    <t xml:space="preserve">Satsene er de samme som i kapittel 2 og kapittel 20.</t>
  </si>
  <si>
    <t xml:space="preserve">2 · Timene</t>
  </si>
  <si>
    <t xml:space="preserve">= Lønnskostnad per utførende, ett år</t>
  </si>
  <si>
    <t xml:space="preserve">Tilgjengelige timer per montør per år</t>
  </si>
  <si>
    <t xml:space="preserve">Årsverket etter ferie, helligdager, kurs og annet fravær.</t>
  </si>
  <si>
    <t xml:space="preserve">Fakturerte timer per montør per år</t>
  </si>
  <si>
    <t xml:space="preserve">Timene som faktisk står på en faktura. Resten går til kjøring, henting, dokumentasjon og venting.</t>
  </si>
  <si>
    <t xml:space="preserve">= Faktureringsgrad</t>
  </si>
  <si>
    <t xml:space="preserve">Kapittel 5s viktigste tall, og det er det samme her.</t>
  </si>
  <si>
    <t xml:space="preserve">DEN ENE KNAPPEN. Endrer du denne, følger alle de andre arkene med.</t>
  </si>
  <si>
    <t xml:space="preserve">= Lønnskostnad per fakturert time</t>
  </si>
  <si>
    <t xml:space="preserve">= Dekningsbidrag per fakturert time</t>
  </si>
  <si>
    <t xml:space="preserve">Det timen bidrar med til å dekke alt annet bedriften har av kostnader.</t>
  </si>
  <si>
    <t xml:space="preserve">= Omsetning én montør skaper på ett år</t>
  </si>
  <si>
    <t xml:space="preserve">Måltallet resten av arbeidsboka regner mot. En time som ikke blir solgt, kommer aldri tilbake.</t>
  </si>
  <si>
    <t xml:space="preserve">Kontroll</t>
  </si>
  <si>
    <t xml:space="preserve">Er timeprisen høyere enn lønnskostnaden per time?</t>
  </si>
  <si>
    <t xml:space="preserve">Ligger faktureringsgraden innenfor det som er mulig?</t>
  </si>
  <si>
    <t xml:space="preserve">Kilde: Hjertnes, Markedsføring, organisasjon og ledelse for LØM-emnet, 4. utg., kap. 18. Lønnstall og timer er Nordlys Elektro AS' egne, jf. kapittel 2, 3 og 5. Satsene for sosiale kostnader: Økonomistyring for LØM-emnet, tabell 2.4.</t>
  </si>
  <si>
    <t xml:space="preserve">Hva koster det å ansette én montør — når alt går bra?</t>
  </si>
  <si>
    <t xml:space="preserve">Bare den øverste posten kommer på en faktura. Resten er timer som ikke ble solgt.</t>
  </si>
  <si>
    <t xml:space="preserve">1 · Det som kommer på en faktura</t>
  </si>
  <si>
    <t xml:space="preserve">Annonse i fagpresse og på nett</t>
  </si>
  <si>
    <t xml:space="preserve">Den eneste posten noen ber om betaling for.</t>
  </si>
  <si>
    <t xml:space="preserve">2 · Ledelsens tid</t>
  </si>
  <si>
    <t xml:space="preserve">Lederlønn per år</t>
  </si>
  <si>
    <t xml:space="preserve">Administrasjonslønna delt på antall i administrasjonen.</t>
  </si>
  <si>
    <t xml:space="preserve">= Med sosiale kostnader</t>
  </si>
  <si>
    <t xml:space="preserve">= Timekostnad for lederen</t>
  </si>
  <si>
    <t xml:space="preserve">Timer lederen bruker på hele prosessen, sju trinn</t>
  </si>
  <si>
    <t xml:space="preserve">Behovsanalyse, annonse, gjennomgang av søknader, intervjuer, referanser, tilbud og introduksjon. Sett inn deres eget tall.</t>
  </si>
  <si>
    <t xml:space="preserve">= Kostnad for ledelsens tid</t>
  </si>
  <si>
    <t xml:space="preserve">= Direkte kostnad, til sammen</t>
  </si>
  <si>
    <t xml:space="preserve">Dette er tallet folk oppgir når de blir spurt hva en ansettelse koster. Det er under fem prosent av svaret.</t>
  </si>
  <si>
    <t xml:space="preserve">3 · Månedene stillingen står tom</t>
  </si>
  <si>
    <t xml:space="preserve">Måneder fra oppsigelsen til den nye er på plass</t>
  </si>
  <si>
    <t xml:space="preserve">Oppsigelsestid, utlysing, intervjurunder og oppsigelsestid hos den nye arbeidsgiveren. Fire måneder er nøkternt.</t>
  </si>
  <si>
    <t xml:space="preserve">= Fakturerbare timer som forsvinner</t>
  </si>
  <si>
    <t xml:space="preserve">= Tapt fakturering</t>
  </si>
  <si>
    <t xml:space="preserve">Forutsetter at oppdragene faktisk fantes. Er ordreboka tom, koster vakansen ingenting — og da skulle dere ikke ansatt.</t>
  </si>
  <si>
    <t xml:space="preserve">4 · Fadderens tid</t>
  </si>
  <si>
    <t xml:space="preserve">Uker der fadderen går sammen med den nye</t>
  </si>
  <si>
    <t xml:space="preserve">Uke 1 i introduksjonsprogrammet: kjører sammen med fadderen.</t>
  </si>
  <si>
    <t xml:space="preserve">Uker med fadderen tilgjengelig på telefon</t>
  </si>
  <si>
    <t xml:space="preserve">Uke 2 til 4 i introduksjonsprogrammet.</t>
  </si>
  <si>
    <t xml:space="preserve">Andel av arbeidsdagen fadderen bruker i de ukene</t>
  </si>
  <si>
    <t xml:space="preserve">= Fakturerbare timer fadderen mister</t>
  </si>
  <si>
    <t xml:space="preserve">Fadderen er en av de dyktigste dere har. Det er nettopp derfor han er fadder, og derfor timene hans er dyre.</t>
  </si>
  <si>
    <t xml:space="preserve">5 · Opplæringsperioden</t>
  </si>
  <si>
    <t xml:space="preserve">Måneder før den nye er like produktiv som de andre</t>
  </si>
  <si>
    <t xml:space="preserve">Introduksjonsprogrammet slutter i måned 6, med den første ordentlige medarbeidersamtalen.</t>
  </si>
  <si>
    <t xml:space="preserve">Hvor mye han fakturerer i snitt i den perioden</t>
  </si>
  <si>
    <t xml:space="preserve">Av det en erfaren montør fakturerer. Prøv 30 % og 70 % og se hva det gjør med totalen.</t>
  </si>
  <si>
    <t xml:space="preserve">= Timer i perioden, ved full produktivitet</t>
  </si>
  <si>
    <t xml:space="preserve">= Timer som ikke blir fakturert</t>
  </si>
  <si>
    <t xml:space="preserve">= HELE ANSETTELSEN, når alt går bra</t>
  </si>
  <si>
    <t xml:space="preserve">= Andel som ingen faktura viser</t>
  </si>
  <si>
    <t xml:space="preserve">= Tilsvarer så mange fakturerte timer</t>
  </si>
  <si>
    <t xml:space="preserve">= Tilsvarer så mange montørårsverk</t>
  </si>
  <si>
    <t xml:space="preserve">Går summen opp?</t>
  </si>
  <si>
    <t xml:space="preserve">Er det meste av kostnaden usynlig?</t>
  </si>
  <si>
    <t xml:space="preserve">Er opptrappingen realistisk?</t>
  </si>
  <si>
    <t xml:space="preserve">Kilde: Hjertnes, Markedsføring, organisasjon og ledelse for LØM-emnet, 4. utg., kap. 18 avsnitt 18.2 om rekrutteringsprosessens sju trinn og 18.2.6 om introduksjon og opplæring. Timer og timepris er Nordlys Elektro AS' egne.</t>
  </si>
  <si>
    <t xml:space="preserve">Og hva koster det når det ikke går bra?</t>
  </si>
  <si>
    <t xml:space="preserve">Samme prosess, men den nye slutter før opplæringen er over — og alt må gjøres om igjen.</t>
  </si>
  <si>
    <t xml:space="preserve">Forutsetningen</t>
  </si>
  <si>
    <t xml:space="preserve">Måneder før ansettelsen ryker</t>
  </si>
  <si>
    <t xml:space="preserve">Enten sier han opp selv, eller dere blir enige om at det ikke fungerer. Årsaken spiller ingen rolle for regnestykket.</t>
  </si>
  <si>
    <t xml:space="preserve">Måneder med lønn i oppsigelsestiden</t>
  </si>
  <si>
    <t xml:space="preserve">Fristen følger arbeidsavtalen og arbeidsmiljøloven — se kapittel 20 og regnearket der.</t>
  </si>
  <si>
    <t xml:space="preserve">= Lønnskostnad per måned</t>
  </si>
  <si>
    <t xml:space="preserve">Runde 1 — den som ikke ble noe av</t>
  </si>
  <si>
    <t xml:space="preserve">Månedene stillingen sto tom før han begynte</t>
  </si>
  <si>
    <t xml:space="preserve">Fadderens tid</t>
  </si>
  <si>
    <t xml:space="preserve">= Timer som ikke ble fakturert mens han var her</t>
  </si>
  <si>
    <t xml:space="preserve">= Tapt fakturering i de månedene</t>
  </si>
  <si>
    <t xml:space="preserve">Han fakturerte noe. Det som mangler, er differansen opp til en erfaren montør.</t>
  </si>
  <si>
    <t xml:space="preserve">= Lønn i oppsigelsestiden, uten produksjon</t>
  </si>
  <si>
    <t xml:space="preserve">= Runde 1, til sammen</t>
  </si>
  <si>
    <t xml:space="preserve">Runde 2 — alt om igjen</t>
  </si>
  <si>
    <t xml:space="preserve">Direkte kostnad, en gang til</t>
  </si>
  <si>
    <t xml:space="preserve">Månedene stillingen står tom, en gang til</t>
  </si>
  <si>
    <t xml:space="preserve">Fadderens tid, en gang til</t>
  </si>
  <si>
    <t xml:space="preserve">Opplæringsperioden, denne gangen hele veien</t>
  </si>
  <si>
    <t xml:space="preserve">= Runde 2, til sammen</t>
  </si>
  <si>
    <t xml:space="preserve">= FEILANSETTELSEN, TIL SAMMEN</t>
  </si>
  <si>
    <t xml:space="preserve">Til sammenlikning: én ansettelse som gikk bra</t>
  </si>
  <si>
    <t xml:space="preserve">= Merkostnaden ved å velge feil</t>
  </si>
  <si>
    <t xml:space="preserve">= Feilansettelsen målt mot den riktige</t>
  </si>
  <si>
    <t xml:space="preserve">Ganger så dyrt. Ikke prosent — ganger.</t>
  </si>
  <si>
    <t xml:space="preserve">Hva én ekstra intervjurunde koster</t>
  </si>
  <si>
    <t xml:space="preserve">Ledertimer på én ekstra runde med de tre beste</t>
  </si>
  <si>
    <t xml:space="preserve">= Kostnad for én ekstra runde</t>
  </si>
  <si>
    <t xml:space="preserve">= Så mange ekstra runder for prisen av én bom</t>
  </si>
  <si>
    <t xml:space="preserve">Dette er hele poenget med arket. Grundighet i utvelgelsen er nesten gratis. Å bomme er det ikke.</t>
  </si>
  <si>
    <t xml:space="preserve">Koster feilansettelsen mer enn den riktige?</t>
  </si>
  <si>
    <t xml:space="preserve">Ryker ansettelsen før opplæringen er ferdig?</t>
  </si>
  <si>
    <t xml:space="preserve">Er én ekstra intervjurunde billigere enn å bomme?</t>
  </si>
  <si>
    <t xml:space="preserve">Merk: arket regner ikke på det som ikke lar seg regne — kunden som ikke kom tilbake, laget som mistet driven, og den som sluttet fordi den nye ikke fungerte. Tallet i B25 er derfor et minimum.</t>
  </si>
  <si>
    <t xml:space="preserve">Kilde: Hjertnes, Markedsføring, organisasjon og ledelse for LØM-emnet, 4. utg., kap. 18 avsnitt 18.2. Læreboka er tydelig på hva en dårlig kobling koster — konflikter, mistilpasning og svekket selvbilde — men setter ingen tall på det. Det gjør dette arket.</t>
  </si>
  <si>
    <t xml:space="preserve">Tre scenarioer</t>
  </si>
  <si>
    <t xml:space="preserve">Endre de gule cellene og se hva som skjer med totalen.</t>
  </si>
  <si>
    <t xml:space="preserve">Scenario A · hvor raskt blir han produktiv?</t>
  </si>
  <si>
    <t xml:space="preserve">Alt annet er likt. Det eneste som endrer seg, er hvor mye den nye fakturerer i opplæringsperioden.</t>
  </si>
  <si>
    <t xml:space="preserve">Opptrapping</t>
  </si>
  <si>
    <t xml:space="preserve">Timer som ikke faktureres</t>
  </si>
  <si>
    <t xml:space="preserve">Tapt fakturering</t>
  </si>
  <si>
    <t xml:space="preserve">Hele ansettelsen</t>
  </si>
  <si>
    <t xml:space="preserve">Hva raden betyr</t>
  </si>
  <si>
    <t xml:space="preserve">Ingen fadder, ingen plan. Han finner ut av det selv.</t>
  </si>
  <si>
    <t xml:space="preserve">Nordlys i dag: fadder i én uke, og et program som slutter i måned 6.</t>
  </si>
  <si>
    <t xml:space="preserve">Strukturert program, fadder hele veien, og oppgaver som passer nivået.</t>
  </si>
  <si>
    <t xml:space="preserve">Han kom fra en tilsvarende bedrift og kjente arbeidsmåten fra før.</t>
  </si>
  <si>
    <t xml:space="preserve">Scenario B · hvor lenge står stillingen tom?</t>
  </si>
  <si>
    <t xml:space="preserve">Den dyreste posten i hele arket, og den ingen fører regnskap over.</t>
  </si>
  <si>
    <t xml:space="preserve">Måneder tom</t>
  </si>
  <si>
    <t xml:space="preserve">Timer som forsvinner</t>
  </si>
  <si>
    <t xml:space="preserve">Dere hadde en kandidat klar. Sjelden, og det skyldes som regel flaks.</t>
  </si>
  <si>
    <t xml:space="preserve">Utlysingen lå ute før den forrige sluttet.</t>
  </si>
  <si>
    <t xml:space="preserve">Nordlys i dag. Nøkternt for en installasjonsbedrift.</t>
  </si>
  <si>
    <t xml:space="preserve">Dere fant ingen kvalifisert, og måtte lyse ut på nytt.</t>
  </si>
  <si>
    <t xml:space="preserve">Scenario C · intern eller ekstern?</t>
  </si>
  <si>
    <t xml:space="preserve">Den interne kjenner kundene, anleggene og rutinene fra første dag — men montørstillingen hans må fylles likevel.</t>
  </si>
  <si>
    <t xml:space="preserve">Ekstern</t>
  </si>
  <si>
    <t xml:space="preserve">Intern</t>
  </si>
  <si>
    <t xml:space="preserve">Måneder stillingen står tom</t>
  </si>
  <si>
    <t xml:space="preserve">Den interne er allerede på huset. Vakansen er null.</t>
  </si>
  <si>
    <t xml:space="preserve">Opptrapping i opplæringsperioden</t>
  </si>
  <si>
    <t xml:space="preserve">Den interne kan faget og anleggene. Det som er nytt, er ledelsen.</t>
  </si>
  <si>
    <t xml:space="preserve">Annonse</t>
  </si>
  <si>
    <t xml:space="preserve">Intern utlysing koster ingenting i annonse.</t>
  </si>
  <si>
    <t xml:space="preserve">Ledertid</t>
  </si>
  <si>
    <t xml:space="preserve">Halve prosessen: dere kjenner ham, og referansesjekken er unødvendig.</t>
  </si>
  <si>
    <t xml:space="preserve">= Tapt fakturering, vakanse</t>
  </si>
  <si>
    <t xml:space="preserve">= Tapt fakturering, opplæring</t>
  </si>
  <si>
    <t xml:space="preserve">= HELE ANSETTELSEN</t>
  </si>
  <si>
    <t xml:space="preserve">= Forskjell</t>
  </si>
  <si>
    <t xml:space="preserve">Så mye billigere er den interne — før du har regnet på montørstillingen hans, som må fylles uansett.</t>
  </si>
  <si>
    <t xml:space="preserve">Les tabellene slik</t>
  </si>
  <si>
    <t xml:space="preserve">Scenario A: opptrappingen er den eneste av de tre knappene bedriften styrer helt selv. Et introduksjonsprogram koster noen timer og betaler seg på uker.</t>
  </si>
  <si>
    <t xml:space="preserve">Scenario B: vakansen er den dyreste posten i hele arket, og den er nesten alltid lengre enn folk tror. Den korteste veien til å redusere den er å lyse ut før den forrige har sluttet.</t>
  </si>
  <si>
    <t xml:space="preserve">Scenario C: den interne er billigere — men regnestykket er ikke ferdig. Montørstillingen hans må fylles, og da har bedriften fortsatt en rekrutteringsprosess, bare på et lavere nivå. Det er derfor svaret på «internt eller eksternt» ikke er et tall.</t>
  </si>
  <si>
    <t xml:space="preserve">Stiger kostnaden når opptrappingen går saktere?</t>
  </si>
  <si>
    <t xml:space="preserve">Stiger kostnaden når vakansen blir lengre?</t>
  </si>
  <si>
    <t xml:space="preserve">Stemmer «Nordlys i dag»-raden med arket Prosessen?</t>
  </si>
  <si>
    <t xml:space="preserve">Er den interne billigere enn den eksterne?</t>
  </si>
  <si>
    <t xml:space="preserve">Kilde: Hjertnes, Markedsføring, organisasjon og ledelse for LØM-emnet, 4. utg., kap. 18 avsnitt 18.2.1 om intern og ekstern rekruttering. Tallene er Nordlys Elektro AS' egne.</t>
  </si>
  <si>
    <t xml:space="preserve">Din egen bedrift — samme oppsett, tomt</t>
  </si>
  <si>
    <t xml:space="preserve">Fyll inn tallene fra din egen arbeidsplass. Formlene er de samme.</t>
  </si>
  <si>
    <t xml:space="preserve">Grunnlaget</t>
  </si>
  <si>
    <t xml:space="preserve">Årslønn per utførende</t>
  </si>
  <si>
    <t xml:space="preserve">Lønnsposten delt på antall som fakturerer timer.</t>
  </si>
  <si>
    <t xml:space="preserve">Påslag for sosiale kostnader</t>
  </si>
  <si>
    <t xml:space="preserve">Feriepenger, arbeidsgiveravgift, pensjon, helligdager, yrkesskade og sykepenger.</t>
  </si>
  <si>
    <t xml:space="preserve">Hent tallet fra timeregistreringen, ikke fra magefølelsen.</t>
  </si>
  <si>
    <t xml:space="preserve">= Lønnskostnad per utførende</t>
  </si>
  <si>
    <t xml:space="preserve">Ansettelsen</t>
  </si>
  <si>
    <t xml:space="preserve">Ledertimer på hele prosessen</t>
  </si>
  <si>
    <t xml:space="preserve">Timekostnad for lederen</t>
  </si>
  <si>
    <t xml:space="preserve">Uker fadderen går sammen med den nye</t>
  </si>
  <si>
    <t xml:space="preserve">Måneder før den nye er like produktiv</t>
  </si>
  <si>
    <t xml:space="preserve">= Direkte kostnad</t>
  </si>
  <si>
    <t xml:space="preserve">= Tapt fakturering, fadder</t>
  </si>
  <si>
    <t xml:space="preserve">Er alle feltene fylt ut?</t>
  </si>
  <si>
    <t xml:space="preserve">Gir timen positivt dekningsbidrag?</t>
  </si>
  <si>
    <t xml:space="preserve">Tips: det tallet folk oftest bommer på, er antall måneder stillingen faktisk står tom. Tell fra den dagen oppsigelsen kom, ikke fra den dagen annonsen sto ute.</t>
  </si>
</sst>
</file>

<file path=xl/styles.xml><?xml version="1.0" encoding="utf-8"?>
<styleSheet xmlns="http://schemas.openxmlformats.org/spreadsheetml/2006/main">
  <numFmts count="8">
    <numFmt numFmtId="164" formatCode="General"/>
    <numFmt numFmtId="165" formatCode="#,##0"/>
    <numFmt numFmtId="166" formatCode="0.0\ %"/>
    <numFmt numFmtId="167" formatCode="0"/>
    <numFmt numFmtId="168" formatCode="#,##0.00"/>
    <numFmt numFmtId="169" formatCode="#,##0&quot; kr&quot;"/>
    <numFmt numFmtId="170" formatCode="0.0%"/>
    <numFmt numFmtId="171" formatCode="#,##0.00&quot; kr&quot;"/>
  </numFmts>
  <fonts count="15">
    <font>
      <sz val="11"/>
      <color theme="1"/>
      <name val="Calibri"/>
      <family val="2"/>
      <charset val="1"/>
    </font>
    <font>
      <sz val="10"/>
      <name val="Arial"/>
      <family val="0"/>
    </font>
    <font>
      <sz val="10"/>
      <name val="Arial"/>
      <family val="0"/>
    </font>
    <font>
      <sz val="10"/>
      <name val="Arial"/>
      <family val="0"/>
    </font>
    <font>
      <b val="true"/>
      <sz val="14"/>
      <color rgb="FF1F3864"/>
      <name val="Arial"/>
      <family val="0"/>
      <charset val="1"/>
    </font>
    <font>
      <sz val="9"/>
      <color rgb="FF595959"/>
      <name val="Arial"/>
      <family val="0"/>
      <charset val="1"/>
    </font>
    <font>
      <b val="true"/>
      <sz val="10"/>
      <color rgb="FFFFFFFF"/>
      <name val="Arial"/>
      <family val="0"/>
      <charset val="1"/>
    </font>
    <font>
      <sz val="10"/>
      <name val="Arial"/>
      <family val="0"/>
      <charset val="1"/>
    </font>
    <font>
      <sz val="10"/>
      <color rgb="FF0000FF"/>
      <name val="Arial"/>
      <family val="0"/>
      <charset val="1"/>
    </font>
    <font>
      <b val="true"/>
      <sz val="12"/>
      <color rgb="FF1F8A3C"/>
      <name val="Arial"/>
      <family val="0"/>
      <charset val="1"/>
    </font>
    <font>
      <b val="true"/>
      <sz val="16"/>
      <color rgb="FF1F8A3C"/>
      <name val="Arial"/>
      <family val="0"/>
      <charset val="1"/>
    </font>
    <font>
      <b val="true"/>
      <sz val="10"/>
      <name val="Arial"/>
      <family val="0"/>
      <charset val="1"/>
    </font>
    <font>
      <i val="true"/>
      <sz val="10"/>
      <color rgb="FF595959"/>
      <name val="Arial"/>
      <family val="0"/>
      <charset val="1"/>
    </font>
    <font>
      <i val="true"/>
      <sz val="9"/>
      <color rgb="FF595959"/>
      <name val="Arial"/>
      <family val="0"/>
      <charset val="1"/>
    </font>
    <font>
      <b val="true"/>
      <sz val="10"/>
      <color rgb="FF1F3864"/>
      <name val="Arial"/>
      <family val="0"/>
      <charset val="1"/>
    </font>
  </fonts>
  <fills count="7">
    <fill>
      <patternFill patternType="none"/>
    </fill>
    <fill>
      <patternFill patternType="gray125"/>
    </fill>
    <fill>
      <patternFill patternType="solid">
        <fgColor rgb="FF1F3864"/>
        <bgColor rgb="FF333333"/>
      </patternFill>
    </fill>
    <fill>
      <patternFill patternType="solid">
        <fgColor rgb="FFFFF2CC"/>
        <bgColor rgb="FFF2F2F2"/>
      </patternFill>
    </fill>
    <fill>
      <patternFill patternType="solid">
        <fgColor rgb="FFDCE6F4"/>
        <bgColor rgb="FFE4F4E8"/>
      </patternFill>
    </fill>
    <fill>
      <patternFill patternType="solid">
        <fgColor rgb="FFE4F4E8"/>
        <bgColor rgb="FFF2F2F2"/>
      </patternFill>
    </fill>
    <fill>
      <patternFill patternType="solid">
        <fgColor rgb="FFF2F2F2"/>
        <bgColor rgb="FFE4F4E8"/>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center" textRotation="0" wrapText="true" indent="0" shrinkToFit="false"/>
      <protection locked="true" hidden="false"/>
    </xf>
    <xf numFmtId="165" fontId="8" fillId="3"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center" textRotation="0" wrapText="true" indent="0" shrinkToFit="false"/>
      <protection locked="true" hidden="false"/>
    </xf>
    <xf numFmtId="166" fontId="8" fillId="3" borderId="0" xfId="0" applyFont="true" applyBorder="false" applyAlignment="false" applyProtection="false">
      <alignment horizontal="general" vertical="bottom" textRotation="0" wrapText="false" indent="0" shrinkToFit="false"/>
      <protection locked="true" hidden="false"/>
    </xf>
    <xf numFmtId="167" fontId="8" fillId="3" borderId="0" xfId="0" applyFont="true" applyBorder="false" applyAlignment="false" applyProtection="false">
      <alignment horizontal="general" vertical="bottom" textRotation="0" wrapText="false" indent="0" shrinkToFit="false"/>
      <protection locked="true" hidden="false"/>
    </xf>
    <xf numFmtId="168" fontId="7" fillId="4" borderId="0" xfId="0" applyFont="true" applyBorder="false" applyAlignment="false" applyProtection="false">
      <alignment horizontal="general" vertical="bottom" textRotation="0" wrapText="false" indent="0" shrinkToFit="false"/>
      <protection locked="true" hidden="false"/>
    </xf>
    <xf numFmtId="165" fontId="7" fillId="4"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center" textRotation="0" wrapText="true" indent="0" shrinkToFit="false"/>
      <protection locked="true" hidden="false"/>
    </xf>
    <xf numFmtId="165" fontId="10" fillId="5" borderId="0" xfId="0" applyFont="true" applyBorder="false" applyAlignment="false" applyProtection="false">
      <alignment horizontal="general" vertical="bottom" textRotation="0" wrapText="false" indent="0" shrinkToFit="false"/>
      <protection locked="true" hidden="false"/>
    </xf>
    <xf numFmtId="166" fontId="7" fillId="4"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true" applyAlignment="true" applyProtection="false">
      <alignment horizontal="general" vertical="top" textRotation="0" wrapText="tru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8" fillId="3" borderId="1"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7" fillId="6" borderId="1" xfId="0" applyFont="true" applyBorder="tru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true" applyProtection="false">
      <alignment horizontal="center" vertical="center" textRotation="0" wrapText="true" indent="0" shrinkToFit="false"/>
      <protection locked="true" hidden="false"/>
    </xf>
    <xf numFmtId="169" fontId="8" fillId="3" borderId="1" xfId="0" applyFont="true" applyBorder="true" applyAlignment="false" applyProtection="false">
      <alignment horizontal="general" vertical="bottom" textRotation="0" wrapText="false" indent="0" shrinkToFit="false"/>
      <protection locked="true" hidden="false"/>
    </xf>
    <xf numFmtId="165" fontId="8" fillId="3" borderId="1" xfId="0" applyFont="true" applyBorder="true" applyAlignment="false" applyProtection="false">
      <alignment horizontal="general" vertical="bottom" textRotation="0" wrapText="false" indent="0" shrinkToFit="false"/>
      <protection locked="true" hidden="false"/>
    </xf>
    <xf numFmtId="169" fontId="11" fillId="4" borderId="1" xfId="0" applyFont="true" applyBorder="true" applyAlignment="false" applyProtection="false">
      <alignment horizontal="general" vertical="bottom" textRotation="0" wrapText="false" indent="0" shrinkToFit="false"/>
      <protection locked="true" hidden="false"/>
    </xf>
    <xf numFmtId="170" fontId="8" fillId="3" borderId="1" xfId="0" applyFont="true" applyBorder="true" applyAlignment="false" applyProtection="false">
      <alignment horizontal="general" vertical="bottom" textRotation="0" wrapText="false" indent="0" shrinkToFit="false"/>
      <protection locked="true" hidden="false"/>
    </xf>
    <xf numFmtId="170" fontId="11" fillId="4" borderId="1" xfId="0" applyFont="true" applyBorder="true" applyAlignment="false" applyProtection="false">
      <alignment horizontal="general" vertical="bottom" textRotation="0" wrapText="false" indent="0" shrinkToFit="false"/>
      <protection locked="true" hidden="false"/>
    </xf>
    <xf numFmtId="171" fontId="11" fillId="6" borderId="1" xfId="0" applyFont="true" applyBorder="true" applyAlignment="false" applyProtection="false">
      <alignment horizontal="general" vertical="bottom" textRotation="0" wrapText="false" indent="0" shrinkToFit="false"/>
      <protection locked="true" hidden="false"/>
    </xf>
    <xf numFmtId="171" fontId="11" fillId="4" borderId="1" xfId="0" applyFont="true" applyBorder="true" applyAlignment="false" applyProtection="false">
      <alignment horizontal="general" vertical="bottom" textRotation="0" wrapText="false" indent="0" shrinkToFit="false"/>
      <protection locked="true" hidden="false"/>
    </xf>
    <xf numFmtId="164" fontId="11" fillId="6" borderId="1" xfId="0" applyFont="true" applyBorder="true" applyAlignment="false" applyProtection="false">
      <alignment horizontal="general" vertical="bottom" textRotation="0" wrapText="false" indent="0" shrinkToFit="false"/>
      <protection locked="true" hidden="false"/>
    </xf>
    <xf numFmtId="169" fontId="11" fillId="6" borderId="1" xfId="0" applyFont="true" applyBorder="true" applyAlignment="false" applyProtection="false">
      <alignment horizontal="general" vertical="bottom" textRotation="0" wrapText="false" indent="0" shrinkToFit="false"/>
      <protection locked="true" hidden="false"/>
    </xf>
    <xf numFmtId="168" fontId="11" fillId="6" borderId="1" xfId="0" applyFont="true" applyBorder="true" applyAlignment="false" applyProtection="false">
      <alignment horizontal="general" vertical="bottom" textRotation="0" wrapText="false" indent="0" shrinkToFit="false"/>
      <protection locked="true" hidden="false"/>
    </xf>
    <xf numFmtId="168" fontId="7" fillId="6" borderId="1" xfId="0" applyFont="true" applyBorder="true" applyAlignment="false" applyProtection="false">
      <alignment horizontal="general" vertical="bottom" textRotation="0" wrapText="false" indent="0" shrinkToFit="false"/>
      <protection locked="true" hidden="false"/>
    </xf>
    <xf numFmtId="168" fontId="11" fillId="4" borderId="1" xfId="0" applyFont="true" applyBorder="true" applyAlignment="false" applyProtection="false">
      <alignment horizontal="general" vertical="bottom" textRotation="0" wrapText="false" indent="0" shrinkToFit="false"/>
      <protection locked="true" hidden="false"/>
    </xf>
    <xf numFmtId="169" fontId="7" fillId="6" borderId="1" xfId="0" applyFont="true" applyBorder="true" applyAlignment="false" applyProtection="false">
      <alignment horizontal="general" vertical="bottom" textRotation="0" wrapText="false" indent="0" shrinkToFit="false"/>
      <protection locked="true" hidden="false"/>
    </xf>
    <xf numFmtId="168" fontId="8" fillId="3" borderId="1" xfId="0" applyFont="true" applyBorder="true" applyAlignment="false" applyProtection="false">
      <alignment horizontal="general" vertical="bottom" textRotation="0" wrapText="false" indent="0" shrinkToFit="false"/>
      <protection locked="true" hidden="false"/>
    </xf>
    <xf numFmtId="165" fontId="7" fillId="6" borderId="1" xfId="0" applyFont="true" applyBorder="true" applyAlignment="false" applyProtection="false">
      <alignment horizontal="general" vertical="bottom" textRotation="0" wrapText="false" indent="0" shrinkToFit="false"/>
      <protection locked="true" hidden="false"/>
    </xf>
    <xf numFmtId="170" fontId="7" fillId="6" borderId="1" xfId="0" applyFont="true" applyBorder="true" applyAlignment="false" applyProtection="false">
      <alignment horizontal="general" vertical="bottom" textRotation="0" wrapText="false" indent="0" shrinkToFit="false"/>
      <protection locked="true" hidden="false"/>
    </xf>
    <xf numFmtId="171" fontId="8" fillId="3" borderId="1"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wrapText="true" horizontal="general" vertical="bottom" textRotation="0"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
    <dxf>
      <fill>
        <patternFill>
          <bgColor rgb="FFF8D7DA"/>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E4F4E8"/>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DCE6F4"/>
      <rgbColor rgb="FFF2F2F2"/>
      <rgbColor rgb="FFFFFF99"/>
      <rgbColor rgb="FF99CCFF"/>
      <rgbColor rgb="FFFF99CC"/>
      <rgbColor rgb="FFCC99FF"/>
      <rgbColor rgb="FFF8D7DA"/>
      <rgbColor rgb="FF3366FF"/>
      <rgbColor rgb="FF33CCCC"/>
      <rgbColor rgb="FF99CC00"/>
      <rgbColor rgb="FFFFCC00"/>
      <rgbColor rgb="FFFF9900"/>
      <rgbColor rgb="FFFF6600"/>
      <rgbColor rgb="FF595959"/>
      <rgbColor rgb="FF969696"/>
      <rgbColor rgb="FF1F3864"/>
      <rgbColor rgb="FF1F8A3C"/>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2"/>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2" min="2" style="0" width="16"/>
    <col collapsed="false" customWidth="true" hidden="false" outlineLevel="0" max="3" min="3" style="0" width="70"/>
  </cols>
  <sheetData>
    <row r="1" customFormat="false" ht="17.25" hidden="false" customHeight="true" outlineLevel="0" collapsed="false">
      <c r="A1" s="1" t="s">
        <v>0</v>
      </c>
    </row>
    <row r="2" customFormat="false" ht="30" hidden="false" customHeight="true" outlineLevel="0" collapsed="false">
      <c r="A2" s="2" t="s">
        <v>1</v>
      </c>
      <c r="B2" s="2"/>
      <c r="C2" s="2"/>
    </row>
    <row r="4" customFormat="false" ht="15" hidden="false" customHeight="true" outlineLevel="0" collapsed="false">
      <c r="A4" s="3" t="s">
        <v>2</v>
      </c>
      <c r="B4" s="4"/>
      <c r="C4" s="4"/>
    </row>
    <row r="5" customFormat="false" ht="15" hidden="false" customHeight="true" outlineLevel="0" collapsed="false">
      <c r="A5" s="5" t="s">
        <v>3</v>
      </c>
      <c r="B5" s="6" t="n">
        <v>12000</v>
      </c>
      <c r="C5" s="7" t="s">
        <v>4</v>
      </c>
    </row>
    <row r="6" customFormat="false" ht="15" hidden="false" customHeight="true" outlineLevel="0" collapsed="false">
      <c r="A6" s="5" t="s">
        <v>5</v>
      </c>
      <c r="B6" s="6" t="n">
        <v>555000</v>
      </c>
      <c r="C6" s="7" t="s">
        <v>6</v>
      </c>
    </row>
    <row ht="27" customHeight="true" r="7" customFormat="false" hidden="false" outlineLevel="0" collapsed="false">
      <c r="A7" s="5" t="s">
        <v>7</v>
      </c>
      <c r="B7" s="8" t="n">
        <v>0.468</v>
      </c>
      <c r="C7" s="7" t="s">
        <v>8</v>
      </c>
    </row>
    <row r="8" customFormat="false" ht="15" hidden="false" customHeight="true" outlineLevel="0" collapsed="false">
      <c r="A8" s="5" t="s">
        <v>9</v>
      </c>
      <c r="B8" s="6" t="n">
        <v>1695</v>
      </c>
      <c r="C8" s="7" t="s">
        <v>10</v>
      </c>
    </row>
    <row ht="27" customHeight="true" r="9" customFormat="false" hidden="false" outlineLevel="0" collapsed="false">
      <c r="A9" s="5" t="s">
        <v>11</v>
      </c>
      <c r="B9" s="9" t="n">
        <v>30</v>
      </c>
      <c r="C9" s="7" t="s">
        <v>12</v>
      </c>
    </row>
    <row r="10" customFormat="false" ht="15" hidden="false" customHeight="true" outlineLevel="0" collapsed="false">
      <c r="A10" s="5" t="s">
        <v>13</v>
      </c>
      <c r="B10" s="9" t="n">
        <v>4</v>
      </c>
      <c r="C10" s="7" t="s">
        <v>14</v>
      </c>
    </row>
    <row r="11" customFormat="false" ht="15" hidden="false" customHeight="true" outlineLevel="0" collapsed="false">
      <c r="A11" s="5" t="s">
        <v>15</v>
      </c>
      <c r="B11" s="6" t="n">
        <v>1200</v>
      </c>
      <c r="C11" s="7" t="s">
        <v>16</v>
      </c>
    </row>
    <row r="12" customFormat="false" ht="15" hidden="false" customHeight="true" outlineLevel="0" collapsed="false">
      <c r="A12" s="5" t="s">
        <v>17</v>
      </c>
      <c r="B12" s="6" t="n">
        <v>890</v>
      </c>
      <c r="C12" s="7" t="s">
        <v>18</v>
      </c>
    </row>
    <row r="13" customFormat="false" ht="15" hidden="false" customHeight="true" outlineLevel="0" collapsed="false"/>
    <row r="14" customFormat="false" ht="15" hidden="false" customHeight="true" outlineLevel="0" collapsed="false">
      <c r="A14" s="3" t="s">
        <v>19</v>
      </c>
      <c r="B14" s="4"/>
      <c r="C14" s="4"/>
    </row>
    <row r="15" customFormat="false" ht="15" hidden="false" customHeight="true" outlineLevel="0" collapsed="false">
      <c r="A15" s="5" t="s">
        <v>20</v>
      </c>
      <c r="B15" s="10" t="n">
        <f aca="false">B6*(1+B7)/B8</f>
        <v>480.672566371681</v>
      </c>
      <c r="C15" s="7" t="s">
        <v>21</v>
      </c>
    </row>
    <row r="16" customFormat="false" ht="15" hidden="false" customHeight="true" outlineLevel="0" collapsed="false">
      <c r="A16" s="5" t="s">
        <v>22</v>
      </c>
      <c r="B16" s="11" t="n">
        <f aca="false">B15*B9</f>
        <v>14420.1769911504</v>
      </c>
      <c r="C16" s="7" t="s">
        <v>23</v>
      </c>
    </row>
    <row r="17" customFormat="false" ht="15" hidden="false" customHeight="true" outlineLevel="0" collapsed="false">
      <c r="A17" s="5" t="s">
        <v>24</v>
      </c>
      <c r="B17" s="11" t="n">
        <f aca="false">B5+B16</f>
        <v>26420.1769911504</v>
      </c>
      <c r="C17" s="7" t="s">
        <v>25</v>
      </c>
    </row>
    <row r="18" customFormat="false" ht="15" hidden="false" customHeight="true" outlineLevel="0" collapsed="false">
      <c r="A18" s="5" t="s">
        <v>26</v>
      </c>
      <c r="B18" s="11" t="n">
        <f aca="false">B11*B10/12</f>
        <v>400</v>
      </c>
      <c r="C18" s="7" t="s">
        <v>27</v>
      </c>
    </row>
    <row r="19" customFormat="false" ht="15" hidden="false" customHeight="true" outlineLevel="0" collapsed="false">
      <c r="A19" s="5" t="s">
        <v>28</v>
      </c>
      <c r="B19" s="11" t="n">
        <f aca="false">B18*B12</f>
        <v>356000</v>
      </c>
      <c r="C19" s="7" t="s">
        <v>29</v>
      </c>
    </row>
    <row r="20" customFormat="false" ht="15" hidden="false" customHeight="true" outlineLevel="0" collapsed="false"/>
    <row r="21" customFormat="false" ht="21" hidden="false" customHeight="true" outlineLevel="0" collapsed="false">
      <c r="A21" s="12" t="s">
        <v>30</v>
      </c>
      <c r="B21" s="13" t="n">
        <f aca="false">B17+B19</f>
        <v>382420.17699115</v>
      </c>
      <c r="C21" s="7" t="s">
        <v>31</v>
      </c>
    </row>
    <row r="22" customFormat="false" ht="15" hidden="false" customHeight="true" outlineLevel="0" collapsed="false">
      <c r="A22" s="5" t="s">
        <v>32</v>
      </c>
      <c r="B22" s="14" t="n">
        <f aca="false">B19/B21</f>
        <v>0.930913224299455</v>
      </c>
      <c r="C22" s="7" t="s">
        <v>33</v>
      </c>
    </row>
    <row r="23" customFormat="false" ht="15" hidden="false" customHeight="true" outlineLevel="0" collapsed="false"/>
    <row r="24" customFormat="false" ht="15" hidden="false" customHeight="true" outlineLevel="0" collapsed="false">
      <c r="A24" s="3" t="s">
        <v>34</v>
      </c>
      <c r="B24" s="4"/>
      <c r="C24" s="4"/>
    </row>
    <row r="25" customFormat="false" ht="33.75" hidden="false" customHeight="true" outlineLevel="0" collapsed="false">
      <c r="A25" s="15" t="str">
        <f aca="false">"Å fylle én stilling koster "&amp;TEXT(ROUND(B21,0),"#,##0")&amp;" kroner. Bare "&amp;TEXT(ROUND(B17,0),"#,##0")&amp;" kroner av det er annonse og ledertid. Resten er timer som aldri ble fakturert."</f>
        <v>Å fylle én stilling koster 382,420 kroner. Bare 26,420 kroner av det er annonse og ledertid. Resten er timer som aldri ble fakturert.</v>
      </c>
      <c r="B25" s="15"/>
      <c r="C25" s="15"/>
    </row>
    <row r="26" customFormat="false" ht="15" hidden="false" customHeight="true" outlineLevel="0" collapsed="false"/>
    <row r="27" customFormat="false" ht="15" hidden="false" customHeight="true" outlineLevel="0" collapsed="false">
      <c r="A27" s="3" t="s">
        <v>35</v>
      </c>
      <c r="B27" s="4"/>
      <c r="C27" s="4"/>
    </row>
    <row r="28" customFormat="false" ht="15" hidden="false" customHeight="true" outlineLevel="0" collapsed="false">
      <c r="A28" s="16" t="s">
        <v>36</v>
      </c>
      <c r="B28" s="16"/>
      <c r="C28" s="16"/>
    </row>
    <row r="29" customFormat="false" ht="27" hidden="false" customHeight="true" outlineLevel="0" collapsed="false">
      <c r="A29" s="16" t="s">
        <v>37</v>
      </c>
      <c r="B29" s="16"/>
      <c r="C29" s="16"/>
    </row>
    <row r="30" customFormat="false" ht="15" hidden="false" customHeight="true" outlineLevel="0" collapsed="false">
      <c r="A30" s="16" t="s">
        <v>38</v>
      </c>
      <c r="B30" s="16"/>
      <c r="C30" s="16"/>
    </row>
    <row r="31" customFormat="false" ht="15" hidden="false" customHeight="true" outlineLevel="0" collapsed="false"/>
    <row r="32" customFormat="false" ht="27" hidden="false" customHeight="true" outlineLevel="0" collapsed="false">
      <c r="A32" s="2" t="s">
        <v>39</v>
      </c>
      <c r="B32" s="2"/>
      <c r="C32" s="2"/>
    </row>
  </sheetData>
  <mergeCells count="6">
    <mergeCell ref="A2:C2"/>
    <mergeCell ref="A25:C25"/>
    <mergeCell ref="A28:C28"/>
    <mergeCell ref="A29:C29"/>
    <mergeCell ref="A30:C30"/>
    <mergeCell ref="A32:C3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C6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30"/>
    <col collapsed="false" customWidth="true" hidden="false" outlineLevel="0" max="3" min="3" style="0" width="62"/>
  </cols>
  <sheetData>
    <row r="1" customFormat="false" ht="17.35" hidden="false" customHeight="false" outlineLevel="0" collapsed="false">
      <c r="A1" s="1" t="s">
        <v>40</v>
      </c>
    </row>
    <row r="2" customFormat="false" ht="15" hidden="false" customHeight="false" outlineLevel="0" collapsed="false">
      <c r="A2" s="17" t="s">
        <v>41</v>
      </c>
    </row>
    <row r="3" customFormat="false" ht="15" hidden="false" customHeight="false" outlineLevel="0" collapsed="false">
      <c r="A3" s="18" t="s">
        <v>42</v>
      </c>
    </row>
    <row r="4" customFormat="false" ht="15" hidden="false" customHeight="false" outlineLevel="0" collapsed="false">
      <c r="A4" s="19" t="s">
        <v>43</v>
      </c>
    </row>
    <row r="5" customFormat="false" ht="15" hidden="false" customHeight="false" outlineLevel="0" collapsed="false">
      <c r="A5" s="20" t="s">
        <v>44</v>
      </c>
      <c r="B5" s="21" t="s">
        <v>45</v>
      </c>
    </row>
    <row r="6" customFormat="false" ht="15" hidden="false" customHeight="false" outlineLevel="0" collapsed="false">
      <c r="A6" s="22" t="s">
        <v>46</v>
      </c>
      <c r="B6" s="21" t="s">
        <v>47</v>
      </c>
    </row>
    <row r="7" customFormat="false" ht="15" hidden="false" customHeight="false" outlineLevel="0" collapsed="false">
      <c r="A7" s="22" t="s">
        <v>48</v>
      </c>
      <c r="B7" s="21" t="s">
        <v>49</v>
      </c>
    </row>
    <row r="9" customFormat="false" ht="15" hidden="false" customHeight="false" outlineLevel="0" collapsed="false">
      <c r="A9" s="19" t="s">
        <v>50</v>
      </c>
    </row>
    <row r="10" customFormat="false" ht="15" hidden="false" customHeight="false" outlineLevel="0" collapsed="false">
      <c r="A10" s="23" t="s">
        <v>51</v>
      </c>
      <c r="B10" s="21" t="s">
        <v>52</v>
      </c>
    </row>
    <row r="11" customFormat="false" ht="15" hidden="false" customHeight="false" outlineLevel="0" collapsed="false">
      <c r="A11" s="23" t="s">
        <v>53</v>
      </c>
      <c r="B11" s="21" t="s">
        <v>54</v>
      </c>
    </row>
    <row r="12" customFormat="false" ht="15" hidden="false" customHeight="false" outlineLevel="0" collapsed="false">
      <c r="A12" s="23" t="s">
        <v>55</v>
      </c>
      <c r="B12" s="21" t="s">
        <v>56</v>
      </c>
    </row>
    <row r="13" customFormat="false" ht="15" hidden="false" customHeight="false" outlineLevel="0" collapsed="false">
      <c r="A13" s="23" t="s">
        <v>57</v>
      </c>
      <c r="B13" s="21" t="s">
        <v>58</v>
      </c>
    </row>
    <row r="14" customFormat="false" ht="15" hidden="false" customHeight="false" outlineLevel="0" collapsed="false">
      <c r="A14" s="23" t="s">
        <v>59</v>
      </c>
      <c r="B14" s="21" t="s">
        <v>60</v>
      </c>
    </row>
    <row r="15" customFormat="false" ht="15" hidden="false" customHeight="false" outlineLevel="0" collapsed="false">
      <c r="A15" s="23" t="s">
        <v>61</v>
      </c>
      <c r="B15" s="21" t="s">
        <v>62</v>
      </c>
    </row>
    <row r="17" customFormat="false" ht="15" hidden="false" customHeight="false" outlineLevel="0" collapsed="false">
      <c r="A17" s="18" t="s">
        <v>63</v>
      </c>
    </row>
    <row r="18" customFormat="false" ht="15" hidden="false" customHeight="false" outlineLevel="0" collapsed="false">
      <c r="A18" s="18"/>
    </row>
    <row r="19" customFormat="false" ht="15" hidden="false" customHeight="false" outlineLevel="0" collapsed="false">
      <c r="A19" s="18" t="s">
        <v>64</v>
      </c>
    </row>
    <row r="20" customFormat="false" ht="15" hidden="false" customHeight="false" outlineLevel="0" collapsed="false">
      <c r="A20" s="18" t="s">
        <v>65</v>
      </c>
    </row>
    <row r="21" customFormat="false" ht="15" hidden="false" customHeight="false" outlineLevel="0" collapsed="false">
      <c r="A21" s="18" t="s">
        <v>66</v>
      </c>
    </row>
    <row r="22" customFormat="false" ht="15" hidden="false" customHeight="false" outlineLevel="0" collapsed="false">
      <c r="A22" s="18" t="s">
        <v>67</v>
      </c>
    </row>
    <row r="23" customFormat="false" ht="15" hidden="false" customHeight="false" outlineLevel="0" collapsed="false">
      <c r="A23" s="18"/>
    </row>
    <row r="24" customFormat="false" ht="15" hidden="false" customHeight="false" outlineLevel="0" collapsed="false">
      <c r="A24" s="18" t="s">
        <v>68</v>
      </c>
    </row>
    <row r="25" customFormat="false" ht="15" hidden="false" customHeight="false" outlineLevel="0" collapsed="false">
      <c r="A25" s="18" t="s">
        <v>69</v>
      </c>
    </row>
    <row r="26" customFormat="false" ht="15" hidden="false" customHeight="false" outlineLevel="0" collapsed="false">
      <c r="A26" s="18" t="s">
        <v>70</v>
      </c>
    </row>
    <row r="27" customFormat="false" ht="15" hidden="false" customHeight="false" outlineLevel="0" collapsed="false">
      <c r="A27" s="18" t="s">
        <v>71</v>
      </c>
    </row>
    <row r="28" customFormat="false" ht="15" hidden="false" customHeight="false" outlineLevel="0" collapsed="false">
      <c r="A28" s="18"/>
    </row>
    <row r="29" customFormat="false" ht="15" hidden="false" customHeight="false" outlineLevel="0" collapsed="false">
      <c r="A29" s="18" t="s">
        <v>72</v>
      </c>
    </row>
    <row r="30" customFormat="false" ht="15" hidden="false" customHeight="false" outlineLevel="0" collapsed="false">
      <c r="A30" s="18" t="s">
        <v>73</v>
      </c>
    </row>
    <row r="31" customFormat="false" ht="15" hidden="false" customHeight="false" outlineLevel="0" collapsed="false">
      <c r="A31" s="18" t="s">
        <v>74</v>
      </c>
    </row>
    <row r="32" customFormat="false" ht="15" hidden="false" customHeight="false" outlineLevel="0" collapsed="false">
      <c r="A32" s="18" t="s">
        <v>75</v>
      </c>
    </row>
    <row r="33" customFormat="false" ht="15" hidden="false" customHeight="false" outlineLevel="0" collapsed="false">
      <c r="A33" s="18" t="s">
        <v>76</v>
      </c>
    </row>
    <row r="34" customFormat="false" ht="15" hidden="false" customHeight="false" outlineLevel="0" collapsed="false">
      <c r="A34" s="18" t="s">
        <v>77</v>
      </c>
    </row>
    <row r="36" customFormat="false" ht="15" hidden="false" customHeight="false" outlineLevel="0" collapsed="false">
      <c r="A36" s="18" t="s">
        <v>78</v>
      </c>
    </row>
    <row r="37" customFormat="false" ht="15" hidden="false" customHeight="false" outlineLevel="0" collapsed="false">
      <c r="A37" s="18" t="s">
        <v>79</v>
      </c>
    </row>
    <row r="39" customFormat="false" ht="15" hidden="false" customHeight="false" outlineLevel="0" collapsed="false">
      <c r="A39" s="19" t="s">
        <v>80</v>
      </c>
    </row>
    <row r="40" customFormat="false" ht="15" hidden="false" customHeight="false" outlineLevel="0" collapsed="false">
      <c r="A40" s="21" t="s">
        <v>81</v>
      </c>
      <c r="B40" s="21" t="s">
        <v>82</v>
      </c>
      <c r="C40" s="21" t="s">
        <v>83</v>
      </c>
    </row>
    <row r="42" customFormat="false" ht="15" hidden="false" customHeight="false" outlineLevel="0" collapsed="false">
      <c r="A42" s="19" t="s">
        <v>84</v>
      </c>
    </row>
    <row r="43" customFormat="false" ht="27.75" hidden="false" customHeight="true" outlineLevel="0" collapsed="false">
      <c r="A43" s="24" t="s">
        <v>85</v>
      </c>
      <c r="B43" s="24" t="s">
        <v>86</v>
      </c>
      <c r="C43" s="24" t="s">
        <v>87</v>
      </c>
    </row>
    <row r="44" customFormat="false" ht="15" hidden="false" customHeight="false" outlineLevel="0" collapsed="false">
      <c r="A44" s="21" t="s">
        <v>88</v>
      </c>
      <c r="B44" s="23" t="s">
        <v>59</v>
      </c>
      <c r="C44" s="21" t="s">
        <v>89</v>
      </c>
    </row>
    <row ht="27" customHeight="true" r="45" customFormat="false" hidden="false" outlineLevel="0" collapsed="false">
      <c s="42" r="A45" t="s">
        <v>90</v>
      </c>
      <c r="B45" s="23" t="s">
        <v>91</v>
      </c>
      <c r="C45" s="21" t="s">
        <v>92</v>
      </c>
    </row>
    <row r="46" customFormat="false" ht="15" hidden="false" customHeight="false" outlineLevel="0" collapsed="false">
      <c r="A46" s="21" t="s">
        <v>93</v>
      </c>
      <c r="B46" s="23" t="s">
        <v>91</v>
      </c>
      <c r="C46" s="21" t="s">
        <v>92</v>
      </c>
    </row>
    <row ht="27" customHeight="true" r="47" customFormat="false" hidden="false" outlineLevel="0" collapsed="false">
      <c s="42" r="A47" t="s">
        <v>94</v>
      </c>
      <c r="B47" s="23" t="s">
        <v>91</v>
      </c>
      <c r="C47" s="21" t="s">
        <v>92</v>
      </c>
    </row>
    <row ht="27" customHeight="true" r="48" customFormat="false" hidden="false" outlineLevel="0" collapsed="false">
      <c s="42" r="A48" t="s">
        <v>95</v>
      </c>
      <c r="B48" s="23" t="s">
        <v>55</v>
      </c>
      <c r="C48" s="21" t="s">
        <v>96</v>
      </c>
    </row>
    <row r="49" customFormat="false" ht="15" hidden="false" customHeight="false" outlineLevel="0" collapsed="false">
      <c r="A49" s="21" t="s">
        <v>97</v>
      </c>
      <c r="B49" s="23" t="s">
        <v>91</v>
      </c>
      <c r="C49" s="21" t="s">
        <v>92</v>
      </c>
    </row>
    <row ht="27" customHeight="true" r="50" customFormat="false" hidden="false" outlineLevel="0" collapsed="false">
      <c s="42" r="A50" t="s">
        <v>98</v>
      </c>
      <c r="B50" s="23" t="s">
        <v>99</v>
      </c>
      <c r="C50" s="21" t="s">
        <v>100</v>
      </c>
    </row>
    <row ht="27" customHeight="true" r="51" customFormat="false" hidden="false" outlineLevel="0" collapsed="false">
      <c s="42" r="A51" t="s">
        <v>101</v>
      </c>
      <c r="B51" s="23" t="s">
        <v>102</v>
      </c>
      <c r="C51" s="21" t="s">
        <v>103</v>
      </c>
    </row>
    <row r="53" customFormat="false" ht="15" hidden="false" customHeight="false" outlineLevel="0" collapsed="false">
      <c r="A53" s="19" t="s">
        <v>104</v>
      </c>
    </row>
    <row r="54" customFormat="false" ht="15" hidden="false" customHeight="false" outlineLevel="0" collapsed="false">
      <c r="A54" s="21" t="s">
        <v>105</v>
      </c>
    </row>
    <row r="55" customFormat="false" ht="15" hidden="false" customHeight="false" outlineLevel="0" collapsed="false">
      <c r="A55" s="21" t="s">
        <v>106</v>
      </c>
    </row>
    <row r="56" customFormat="false" ht="15" hidden="false" customHeight="false" outlineLevel="0" collapsed="false">
      <c r="A56" s="18" t="s">
        <v>107</v>
      </c>
    </row>
    <row r="58" customFormat="false" ht="15" hidden="false" customHeight="false" outlineLevel="0" collapsed="false">
      <c r="A58" s="19" t="s">
        <v>108</v>
      </c>
    </row>
    <row r="59" customFormat="false" ht="15" hidden="false" customHeight="false" outlineLevel="0" collapsed="false">
      <c r="A59" s="18" t="s">
        <v>109</v>
      </c>
    </row>
    <row r="60" customFormat="false" ht="15" hidden="false" customHeight="false" outlineLevel="0" collapsed="false">
      <c r="A60" s="18" t="s">
        <v>110</v>
      </c>
    </row>
    <row r="61" customFormat="false" ht="15" hidden="false" customHeight="false" outlineLevel="0" collapsed="false">
      <c r="A61" s="18" t="s">
        <v>111</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3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8"/>
    <col collapsed="false" customWidth="true" hidden="false" outlineLevel="0" max="2" min="2" style="0" width="16"/>
    <col collapsed="false" customWidth="true" hidden="false" outlineLevel="0" max="3" min="3" style="0" width="14"/>
    <col collapsed="false" customWidth="true" hidden="false" outlineLevel="0" max="4" min="4" style="0" width="58"/>
  </cols>
  <sheetData>
    <row r="1" customFormat="false" ht="17.35" hidden="false" customHeight="false" outlineLevel="0" collapsed="false">
      <c r="A1" s="1" t="s">
        <v>112</v>
      </c>
    </row>
    <row r="2" customFormat="false" ht="15" hidden="false" customHeight="false" outlineLevel="0" collapsed="false">
      <c r="A2" s="17" t="s">
        <v>113</v>
      </c>
    </row>
    <row r="4" customFormat="false" ht="15" hidden="false" customHeight="false" outlineLevel="0" collapsed="false">
      <c r="A4" s="19" t="s">
        <v>114</v>
      </c>
    </row>
    <row ht="27" customHeight="true" r="5" customFormat="false" hidden="false" outlineLevel="0" collapsed="false">
      <c s="42" r="A5" t="s">
        <v>115</v>
      </c>
      <c r="B5" s="25" t="n">
        <v>5750000</v>
      </c>
      <c r="D5" s="21" t="s">
        <v>116</v>
      </c>
    </row>
    <row r="6" customFormat="false" ht="15" hidden="false" customHeight="false" outlineLevel="0" collapsed="false">
      <c r="A6" s="21" t="s">
        <v>117</v>
      </c>
      <c r="B6" s="26" t="n">
        <v>14</v>
      </c>
      <c r="D6" s="21" t="s">
        <v>118</v>
      </c>
    </row>
    <row r="7" customFormat="false" ht="15" hidden="false" customHeight="false" outlineLevel="0" collapsed="false">
      <c r="A7" s="21" t="s">
        <v>119</v>
      </c>
      <c r="B7" s="27" t="n">
        <f aca="false">IF(B6=0,0,B5/B6)</f>
        <v>410714.285714286</v>
      </c>
      <c r="D7" s="21" t="s">
        <v>120</v>
      </c>
    </row>
    <row r="9" customFormat="false" ht="15" hidden="false" customHeight="false" outlineLevel="0" collapsed="false">
      <c r="A9" s="19" t="s">
        <v>121</v>
      </c>
    </row>
    <row r="10" customFormat="false" ht="27.75" hidden="false" customHeight="true" outlineLevel="0" collapsed="false">
      <c r="A10" s="24" t="s">
        <v>122</v>
      </c>
      <c r="B10" s="24" t="s">
        <v>123</v>
      </c>
      <c r="C10" s="24"/>
      <c r="D10" s="24" t="s">
        <v>124</v>
      </c>
    </row>
    <row r="11" customFormat="false" ht="15" hidden="false" customHeight="false" outlineLevel="0" collapsed="false">
      <c r="A11" s="21" t="s">
        <v>125</v>
      </c>
      <c r="B11" s="28" t="n">
        <v>0.137</v>
      </c>
    </row>
    <row r="12" customFormat="false" ht="15" hidden="false" customHeight="false" outlineLevel="0" collapsed="false">
      <c r="A12" s="21" t="s">
        <v>126</v>
      </c>
      <c r="B12" s="28" t="n">
        <v>0.141</v>
      </c>
    </row>
    <row r="13" customFormat="false" ht="15" hidden="false" customHeight="false" outlineLevel="0" collapsed="false">
      <c r="A13" s="21" t="s">
        <v>127</v>
      </c>
      <c r="B13" s="28" t="n">
        <v>0.08</v>
      </c>
    </row>
    <row r="14" customFormat="false" ht="15" hidden="false" customHeight="false" outlineLevel="0" collapsed="false">
      <c r="A14" s="21" t="s">
        <v>128</v>
      </c>
      <c r="B14" s="28" t="n">
        <v>0.011</v>
      </c>
    </row>
    <row r="15" customFormat="false" ht="15" hidden="false" customHeight="false" outlineLevel="0" collapsed="false">
      <c r="A15" s="21" t="s">
        <v>129</v>
      </c>
      <c r="B15" s="28" t="n">
        <v>0.045</v>
      </c>
    </row>
    <row r="16" customFormat="false" ht="15" hidden="false" customHeight="false" outlineLevel="0" collapsed="false">
      <c r="A16" s="21" t="s">
        <v>130</v>
      </c>
      <c r="B16" s="28" t="n">
        <v>0.004</v>
      </c>
    </row>
    <row r="17" customFormat="false" ht="15" hidden="false" customHeight="false" outlineLevel="0" collapsed="false">
      <c r="A17" s="21" t="s">
        <v>131</v>
      </c>
      <c r="B17" s="28" t="n">
        <v>0.05</v>
      </c>
    </row>
    <row r="18" customFormat="false" ht="15" hidden="false" customHeight="false" outlineLevel="0" collapsed="false">
      <c r="A18" s="23" t="s">
        <v>132</v>
      </c>
      <c r="B18" s="29" t="n">
        <f aca="false">SUM(B11:B17)</f>
        <v>0.468</v>
      </c>
      <c r="D18" s="21" t="s">
        <v>133</v>
      </c>
    </row>
    <row r="20" customFormat="false" ht="15" hidden="false" customHeight="false" outlineLevel="0" collapsed="false">
      <c r="A20" s="19" t="s">
        <v>134</v>
      </c>
    </row>
    <row r="21" customFormat="false" ht="15" hidden="false" customHeight="false" outlineLevel="0" collapsed="false">
      <c r="A21" s="21" t="s">
        <v>135</v>
      </c>
      <c r="B21" s="27" t="n">
        <f aca="false">B7*(1+B18)</f>
        <v>602928.571428572</v>
      </c>
    </row>
    <row r="22" customFormat="false" ht="15" hidden="false" customHeight="false" outlineLevel="0" collapsed="false">
      <c r="A22" s="21" t="s">
        <v>136</v>
      </c>
      <c r="B22" s="26" t="n">
        <v>1695</v>
      </c>
      <c r="D22" s="21" t="s">
        <v>137</v>
      </c>
    </row>
    <row r="23" customFormat="false" ht="15" hidden="false" customHeight="false" outlineLevel="0" collapsed="false">
      <c r="A23" s="21" t="s">
        <v>138</v>
      </c>
      <c r="B23" s="26" t="n">
        <v>1200</v>
      </c>
      <c r="D23" s="21" t="s">
        <v>139</v>
      </c>
    </row>
    <row r="24" customFormat="false" ht="15" hidden="false" customHeight="false" outlineLevel="0" collapsed="false">
      <c r="A24" s="21" t="s">
        <v>140</v>
      </c>
      <c r="B24" s="29" t="n">
        <f aca="false">IF(B22=0,0,B23/B22)</f>
        <v>0.707964601769912</v>
      </c>
      <c r="D24" s="21" t="s">
        <v>141</v>
      </c>
    </row>
    <row r="25" customFormat="false" ht="15" hidden="false" customHeight="false" outlineLevel="0" collapsed="false">
      <c r="A25" s="21" t="s">
        <v>82</v>
      </c>
      <c r="B25" s="25" t="n">
        <v>890</v>
      </c>
      <c r="D25" s="21" t="s">
        <v>142</v>
      </c>
    </row>
    <row r="26" customFormat="false" ht="15" hidden="false" customHeight="false" outlineLevel="0" collapsed="false">
      <c r="A26" s="21" t="s">
        <v>143</v>
      </c>
      <c r="B26" s="30" t="n">
        <f aca="false">IF(B23=0,0,B21/B23)</f>
        <v>502.440476190476</v>
      </c>
    </row>
    <row r="27" customFormat="false" ht="15" hidden="false" customHeight="false" outlineLevel="0" collapsed="false">
      <c r="A27" s="21" t="s">
        <v>144</v>
      </c>
      <c r="B27" s="31" t="n">
        <f aca="false">B25-B26</f>
        <v>387.559523809524</v>
      </c>
      <c r="D27" s="21" t="s">
        <v>145</v>
      </c>
    </row>
    <row r="28" customFormat="false" ht="15" hidden="false" customHeight="false" outlineLevel="0" collapsed="false">
      <c r="A28" s="21" t="s">
        <v>146</v>
      </c>
      <c r="B28" s="27" t="n">
        <f aca="false">B23*B25</f>
        <v>1068000</v>
      </c>
      <c r="D28" s="21" t="s">
        <v>147</v>
      </c>
    </row>
    <row r="30" customFormat="false" ht="15" hidden="false" customHeight="false" outlineLevel="0" collapsed="false">
      <c r="A30" s="19" t="s">
        <v>148</v>
      </c>
    </row>
    <row r="31" customFormat="false" ht="15" hidden="false" customHeight="false" outlineLevel="0" collapsed="false">
      <c r="A31" s="21" t="s">
        <v>149</v>
      </c>
      <c r="D31" s="32" t="str">
        <f aca="false">IF(B27&gt;0,"OK — timen gir positivt dekningsbidrag","AVVIK: timen koster mer enn den selges for. Da hjelper ingen rekruttering")</f>
        <v>OK — timen gir positivt dekningsbidrag</v>
      </c>
    </row>
    <row r="32" customFormat="false" ht="15" hidden="false" customHeight="false" outlineLevel="0" collapsed="false">
      <c r="A32" s="21" t="s">
        <v>150</v>
      </c>
      <c r="D32" s="32" t="str">
        <f aca="false">IF(AND(B24&gt;0.4,B24&lt;0.95),"OK — faktureringsgraden er realistisk","AVVIK: faktureringsgraden er utenfor et realistisk område")</f>
        <v>OK — faktureringsgraden er realistisk</v>
      </c>
    </row>
    <row r="34" customFormat="false" ht="15" hidden="false" customHeight="false" outlineLevel="0" collapsed="false">
      <c r="A34" s="18" t="s">
        <v>151</v>
      </c>
    </row>
  </sheetData>
  <conditionalFormatting sqref="D31">
    <cfRule type="expression" priority="2" aboveAverage="0" equalAverage="0" bottom="0" percent="0" rank="0" text="" dxfId="0">
      <formula>LEFT(D31,5)="AVVIK"</formula>
    </cfRule>
  </conditionalFormatting>
  <conditionalFormatting sqref="D32">
    <cfRule type="expression" priority="3" aboveAverage="0" equalAverage="0" bottom="0" percent="0" rank="0" text="" dxfId="0">
      <formula>LEFT(D32,5)="AVVIK"</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4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2"/>
    <col collapsed="false" customWidth="true" hidden="false" outlineLevel="0" max="3" min="2" style="0" width="16"/>
    <col collapsed="false" customWidth="true" hidden="false" outlineLevel="0" max="4" min="4" style="0" width="58"/>
  </cols>
  <sheetData>
    <row r="1" customFormat="false" ht="17.35" hidden="false" customHeight="false" outlineLevel="0" collapsed="false">
      <c r="A1" s="1" t="s">
        <v>152</v>
      </c>
    </row>
    <row r="2" customFormat="false" ht="15" hidden="false" customHeight="false" outlineLevel="0" collapsed="false">
      <c r="A2" s="17" t="s">
        <v>153</v>
      </c>
    </row>
    <row r="4" customFormat="false" ht="15" hidden="false" customHeight="false" outlineLevel="0" collapsed="false">
      <c r="A4" s="19" t="s">
        <v>154</v>
      </c>
    </row>
    <row r="5" customFormat="false" ht="15" hidden="false" customHeight="false" outlineLevel="0" collapsed="false">
      <c r="A5" s="21" t="s">
        <v>155</v>
      </c>
      <c r="B5" s="25" t="n">
        <v>12000</v>
      </c>
      <c r="D5" s="21" t="s">
        <v>156</v>
      </c>
    </row>
    <row r="7" customFormat="false" ht="15" hidden="false" customHeight="false" outlineLevel="0" collapsed="false">
      <c r="A7" s="19" t="s">
        <v>157</v>
      </c>
    </row>
    <row r="8" customFormat="false" ht="15" hidden="false" customHeight="false" outlineLevel="0" collapsed="false">
      <c r="A8" s="21" t="s">
        <v>158</v>
      </c>
      <c r="B8" s="25" t="n">
        <v>555000</v>
      </c>
      <c r="D8" s="21" t="s">
        <v>159</v>
      </c>
    </row>
    <row r="9" customFormat="false" ht="15" hidden="false" customHeight="false" outlineLevel="0" collapsed="false">
      <c r="A9" s="21" t="s">
        <v>160</v>
      </c>
      <c r="B9" s="33" t="n">
        <f aca="false">B8*(1+'Timen og lønna'!$B$18)</f>
        <v>814740</v>
      </c>
    </row>
    <row r="10" customFormat="false" ht="15" hidden="false" customHeight="false" outlineLevel="0" collapsed="false">
      <c r="A10" s="21" t="s">
        <v>161</v>
      </c>
      <c r="B10" s="31" t="n">
        <f aca="false">IF('Timen og lønna'!$B$22=0,0,B9/'Timen og lønna'!$B$22)</f>
        <v>480.672566371681</v>
      </c>
    </row>
    <row r="11" customFormat="false" ht="15" hidden="false" customHeight="false" outlineLevel="0" collapsed="false">
      <c r="A11" s="21" t="s">
        <v>162</v>
      </c>
      <c r="B11" s="26" t="n">
        <v>30</v>
      </c>
      <c r="D11" s="21" t="s">
        <v>163</v>
      </c>
    </row>
    <row r="12" customFormat="false" ht="15" hidden="false" customHeight="false" outlineLevel="0" collapsed="false">
      <c r="A12" s="21" t="s">
        <v>164</v>
      </c>
      <c r="B12" s="27" t="n">
        <f aca="false">B10*B11</f>
        <v>14420.1769911504</v>
      </c>
    </row>
    <row r="13" customFormat="false" ht="15" hidden="false" customHeight="false" outlineLevel="0" collapsed="false">
      <c r="A13" s="23" t="s">
        <v>165</v>
      </c>
      <c r="B13" s="27" t="n">
        <f aca="false">B5+B12</f>
        <v>26420.1769911504</v>
      </c>
      <c r="D13" s="21" t="s">
        <v>166</v>
      </c>
    </row>
    <row r="15" customFormat="false" ht="15" hidden="false" customHeight="false" outlineLevel="0" collapsed="false">
      <c r="A15" s="19" t="s">
        <v>167</v>
      </c>
    </row>
    <row r="16" customFormat="false" ht="15" hidden="false" customHeight="false" outlineLevel="0" collapsed="false">
      <c r="A16" s="21" t="s">
        <v>168</v>
      </c>
      <c r="B16" s="26" t="n">
        <v>4</v>
      </c>
      <c r="D16" s="21" t="s">
        <v>169</v>
      </c>
    </row>
    <row r="17" customFormat="false" ht="15" hidden="false" customHeight="false" outlineLevel="0" collapsed="false">
      <c r="A17" s="21" t="s">
        <v>170</v>
      </c>
      <c r="B17" s="34" t="n">
        <f aca="false">'Timen og lønna'!$B$23*B16/12</f>
        <v>400</v>
      </c>
    </row>
    <row r="18" customFormat="false" ht="15" hidden="false" customHeight="false" outlineLevel="0" collapsed="false">
      <c r="A18" s="21" t="s">
        <v>171</v>
      </c>
      <c r="B18" s="27" t="n">
        <f aca="false">B17*'Timen og lønna'!$B$25</f>
        <v>356000</v>
      </c>
      <c r="D18" s="21" t="s">
        <v>172</v>
      </c>
    </row>
    <row r="20" customFormat="false" ht="15" hidden="false" customHeight="false" outlineLevel="0" collapsed="false">
      <c r="A20" s="19" t="s">
        <v>173</v>
      </c>
    </row>
    <row r="21" customFormat="false" ht="15" hidden="false" customHeight="false" outlineLevel="0" collapsed="false">
      <c r="A21" s="21" t="s">
        <v>174</v>
      </c>
      <c r="B21" s="26" t="n">
        <v>1</v>
      </c>
      <c r="D21" s="21" t="s">
        <v>175</v>
      </c>
    </row>
    <row r="22" customFormat="false" ht="15" hidden="false" customHeight="false" outlineLevel="0" collapsed="false">
      <c r="A22" s="21" t="s">
        <v>176</v>
      </c>
      <c r="B22" s="26" t="n">
        <v>3</v>
      </c>
      <c r="D22" s="21" t="s">
        <v>177</v>
      </c>
    </row>
    <row r="23" customFormat="false" ht="15" hidden="false" customHeight="false" outlineLevel="0" collapsed="false">
      <c r="A23" s="21" t="s">
        <v>178</v>
      </c>
      <c r="B23" s="28" t="n">
        <v>0.2</v>
      </c>
    </row>
    <row r="24" customFormat="false" ht="15" hidden="false" customHeight="false" outlineLevel="0" collapsed="false">
      <c r="A24" s="21" t="s">
        <v>179</v>
      </c>
      <c r="B24" s="34" t="n">
        <f aca="false">'Timen og lønna'!$B$23/52*(B21+B22*B23)</f>
        <v>36.9230769230769</v>
      </c>
    </row>
    <row r="25" customFormat="false" ht="15" hidden="false" customHeight="false" outlineLevel="0" collapsed="false">
      <c r="A25" s="21" t="s">
        <v>171</v>
      </c>
      <c r="B25" s="27" t="n">
        <f aca="false">B24*'Timen og lønna'!$B$25</f>
        <v>32861.5384615385</v>
      </c>
      <c r="D25" s="21" t="s">
        <v>180</v>
      </c>
    </row>
    <row r="27" customFormat="false" ht="15" hidden="false" customHeight="false" outlineLevel="0" collapsed="false">
      <c r="A27" s="19" t="s">
        <v>181</v>
      </c>
    </row>
    <row r="28" customFormat="false" ht="15" hidden="false" customHeight="false" outlineLevel="0" collapsed="false">
      <c r="A28" s="21" t="s">
        <v>182</v>
      </c>
      <c r="B28" s="26" t="n">
        <v>6</v>
      </c>
      <c r="D28" s="21" t="s">
        <v>183</v>
      </c>
    </row>
    <row r="29" customFormat="false" ht="15" hidden="false" customHeight="false" outlineLevel="0" collapsed="false">
      <c r="A29" s="21" t="s">
        <v>184</v>
      </c>
      <c r="B29" s="28" t="n">
        <v>0.5</v>
      </c>
      <c r="D29" s="21" t="s">
        <v>185</v>
      </c>
    </row>
    <row r="30" customFormat="false" ht="15" hidden="false" customHeight="false" outlineLevel="0" collapsed="false">
      <c r="A30" s="21" t="s">
        <v>186</v>
      </c>
      <c r="B30" s="35" t="n">
        <f aca="false">'Timen og lønna'!$B$23*B28/12</f>
        <v>600</v>
      </c>
    </row>
    <row r="31" customFormat="false" ht="15" hidden="false" customHeight="false" outlineLevel="0" collapsed="false">
      <c r="A31" s="21" t="s">
        <v>187</v>
      </c>
      <c r="B31" s="34" t="n">
        <f aca="false">B30*(1-B29)</f>
        <v>300</v>
      </c>
    </row>
    <row r="32" customFormat="false" ht="15" hidden="false" customHeight="false" outlineLevel="0" collapsed="false">
      <c r="A32" s="21" t="s">
        <v>171</v>
      </c>
      <c r="B32" s="27" t="n">
        <f aca="false">B31*'Timen og lønna'!$B$25</f>
        <v>267000</v>
      </c>
    </row>
    <row r="34" customFormat="false" ht="15" hidden="false" customHeight="false" outlineLevel="0" collapsed="false">
      <c r="A34" s="19" t="s">
        <v>188</v>
      </c>
      <c r="B34" s="27" t="n">
        <f aca="false">B13+B18+B25+B32</f>
        <v>682281.715452689</v>
      </c>
    </row>
    <row r="35" customFormat="false" ht="15" hidden="false" customHeight="false" outlineLevel="0" collapsed="false">
      <c r="A35" s="21" t="s">
        <v>189</v>
      </c>
      <c r="B35" s="29" t="n">
        <f aca="false">IF(B34=0,0,1-B13/B34)</f>
        <v>0.96127673306675</v>
      </c>
    </row>
    <row r="36" customFormat="false" ht="15" hidden="false" customHeight="false" outlineLevel="0" collapsed="false">
      <c r="A36" s="21" t="s">
        <v>190</v>
      </c>
      <c r="B36" s="34" t="n">
        <f aca="false">IF('Timen og lønna'!$B$25=0,0,B34/'Timen og lønna'!$B$25)</f>
        <v>766.608669047965</v>
      </c>
    </row>
    <row r="37" customFormat="false" ht="15" hidden="false" customHeight="false" outlineLevel="0" collapsed="false">
      <c r="A37" s="21" t="s">
        <v>191</v>
      </c>
      <c r="B37" s="36" t="n">
        <f aca="false">IF('Timen og lønna'!$B$28=0,0,B34/'Timen og lønna'!$B$28)</f>
        <v>0.638840557539971</v>
      </c>
    </row>
    <row r="39" customFormat="false" ht="15" hidden="false" customHeight="false" outlineLevel="0" collapsed="false">
      <c r="A39" s="19" t="s">
        <v>148</v>
      </c>
    </row>
    <row r="40" customFormat="false" ht="15" hidden="false" customHeight="false" outlineLevel="0" collapsed="false">
      <c r="A40" s="21" t="s">
        <v>192</v>
      </c>
      <c r="D40" s="32" t="str">
        <f aca="false">IF(ABS(B34-(B13+B18+B25+B32))&lt;0.01,"OK — de fire postene summerer seg til totalen","AVVIK: summen stemmer ikke med postene over")</f>
        <v>OK — de fire postene summerer seg til totalen</v>
      </c>
    </row>
    <row r="41" customFormat="false" ht="15" hidden="false" customHeight="false" outlineLevel="0" collapsed="false">
      <c r="A41" s="21" t="s">
        <v>193</v>
      </c>
      <c r="D41" s="32" t="str">
        <f aca="false">IF(B35&gt;0.8,"OK — over 80 prosent av kostnaden kommer aldri på en faktura","AVVIK: den direkte kostnaden er blitt uvanlig stor. Sjekk vakansen og opplæringsperioden")</f>
        <v>OK — over 80 prosent av kostnaden kommer aldri på en faktura</v>
      </c>
    </row>
    <row r="42" customFormat="false" ht="15" hidden="false" customHeight="false" outlineLevel="0" collapsed="false">
      <c r="A42" s="21" t="s">
        <v>194</v>
      </c>
      <c r="D42" s="32" t="str">
        <f aca="false">IF(AND(B29&gt;0.1,B29&lt;0.9),"OK — den nye leverer verken ingenting eller alt fra dag én","AVVIK: en opptrapping under 10 eller over 90 prosent er ikke et realistisk anslag")</f>
        <v>OK — den nye leverer verken ingenting eller alt fra dag én</v>
      </c>
    </row>
    <row r="44" customFormat="false" ht="15" hidden="false" customHeight="false" outlineLevel="0" collapsed="false">
      <c r="A44" s="18" t="s">
        <v>195</v>
      </c>
    </row>
  </sheetData>
  <conditionalFormatting sqref="D40">
    <cfRule type="expression" priority="2" aboveAverage="0" equalAverage="0" bottom="0" percent="0" rank="0" text="" dxfId="0">
      <formula>LEFT(D40,5)="AVVIK"</formula>
    </cfRule>
  </conditionalFormatting>
  <conditionalFormatting sqref="D41">
    <cfRule type="expression" priority="3" aboveAverage="0" equalAverage="0" bottom="0" percent="0" rank="0" text="" dxfId="0">
      <formula>LEFT(D41,5)="AVVIK"</formula>
    </cfRule>
  </conditionalFormatting>
  <conditionalFormatting sqref="D42">
    <cfRule type="expression" priority="4" aboveAverage="0" equalAverage="0" bottom="0" percent="0" rank="0" text="" dxfId="0">
      <formula>LEFT(D42,5)="AVVIK"</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4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2"/>
    <col collapsed="false" customWidth="true" hidden="false" outlineLevel="0" max="3" min="2" style="0" width="16"/>
    <col collapsed="false" customWidth="true" hidden="false" outlineLevel="0" max="4" min="4" style="0" width="58"/>
  </cols>
  <sheetData>
    <row r="1" customFormat="false" ht="17.35" hidden="false" customHeight="false" outlineLevel="0" collapsed="false">
      <c r="A1" s="1" t="s">
        <v>196</v>
      </c>
    </row>
    <row r="2" customFormat="false" ht="15" hidden="false" customHeight="false" outlineLevel="0" collapsed="false">
      <c r="A2" s="17" t="s">
        <v>197</v>
      </c>
    </row>
    <row r="4" customFormat="false" ht="15" hidden="false" customHeight="false" outlineLevel="0" collapsed="false">
      <c r="A4" s="19" t="s">
        <v>198</v>
      </c>
    </row>
    <row r="5" customFormat="false" ht="15" hidden="false" customHeight="false" outlineLevel="0" collapsed="false">
      <c r="A5" s="21" t="s">
        <v>199</v>
      </c>
      <c r="B5" s="26" t="n">
        <v>4</v>
      </c>
      <c r="D5" s="21" t="s">
        <v>200</v>
      </c>
    </row>
    <row r="6" customFormat="false" ht="15" hidden="false" customHeight="false" outlineLevel="0" collapsed="false">
      <c r="A6" s="21" t="s">
        <v>201</v>
      </c>
      <c r="B6" s="26" t="n">
        <v>1</v>
      </c>
      <c r="D6" s="21" t="s">
        <v>202</v>
      </c>
    </row>
    <row r="7" customFormat="false" ht="15" hidden="false" customHeight="false" outlineLevel="0" collapsed="false">
      <c r="A7" s="21" t="s">
        <v>203</v>
      </c>
      <c r="B7" s="33" t="n">
        <f aca="false">'Timen og lønna'!$B$21/12</f>
        <v>50244.0476190476</v>
      </c>
    </row>
    <row r="9" customFormat="false" ht="15" hidden="false" customHeight="false" outlineLevel="0" collapsed="false">
      <c r="A9" s="19" t="s">
        <v>204</v>
      </c>
    </row>
    <row r="10" customFormat="false" ht="15" hidden="false" customHeight="false" outlineLevel="0" collapsed="false">
      <c r="A10" s="21" t="s">
        <v>24</v>
      </c>
      <c r="B10" s="37" t="n">
        <f aca="false">Prosessen!$B$13</f>
        <v>26420.1769911504</v>
      </c>
    </row>
    <row r="11" customFormat="false" ht="15" hidden="false" customHeight="false" outlineLevel="0" collapsed="false">
      <c r="A11" s="21" t="s">
        <v>205</v>
      </c>
      <c r="B11" s="37" t="n">
        <f aca="false">Prosessen!$B$18</f>
        <v>356000</v>
      </c>
    </row>
    <row r="12" customFormat="false" ht="15" hidden="false" customHeight="false" outlineLevel="0" collapsed="false">
      <c r="A12" s="21" t="s">
        <v>206</v>
      </c>
      <c r="B12" s="37" t="n">
        <f aca="false">Prosessen!$B$25</f>
        <v>32861.5384615385</v>
      </c>
    </row>
    <row r="13" customFormat="false" ht="15" hidden="false" customHeight="false" outlineLevel="0" collapsed="false">
      <c r="A13" s="21" t="s">
        <v>207</v>
      </c>
      <c r="B13" s="34" t="n">
        <f aca="false">'Timen og lønna'!$B$23*B5/12*(1-Prosessen!$B$29)</f>
        <v>200</v>
      </c>
    </row>
    <row r="14" customFormat="false" ht="15" hidden="false" customHeight="false" outlineLevel="0" collapsed="false">
      <c r="A14" s="21" t="s">
        <v>208</v>
      </c>
      <c r="B14" s="27" t="n">
        <f aca="false">B13*'Timen og lønna'!$B$25</f>
        <v>178000</v>
      </c>
      <c r="D14" s="21" t="s">
        <v>209</v>
      </c>
    </row>
    <row r="15" customFormat="false" ht="15" hidden="false" customHeight="false" outlineLevel="0" collapsed="false">
      <c r="A15" s="21" t="s">
        <v>210</v>
      </c>
      <c r="B15" s="27" t="n">
        <f aca="false">B7*B6</f>
        <v>50244.0476190476</v>
      </c>
    </row>
    <row r="16" customFormat="false" ht="15" hidden="false" customHeight="false" outlineLevel="0" collapsed="false">
      <c r="A16" s="23" t="s">
        <v>211</v>
      </c>
      <c r="B16" s="27" t="n">
        <f aca="false">B10+B11+B12+B14+B15</f>
        <v>643525.763071736</v>
      </c>
    </row>
    <row r="18" customFormat="false" ht="15" hidden="false" customHeight="false" outlineLevel="0" collapsed="false">
      <c r="A18" s="19" t="s">
        <v>212</v>
      </c>
    </row>
    <row r="19" customFormat="false" ht="15" hidden="false" customHeight="false" outlineLevel="0" collapsed="false">
      <c r="A19" s="21" t="s">
        <v>213</v>
      </c>
      <c r="B19" s="37" t="n">
        <f aca="false">Prosessen!$B$13</f>
        <v>26420.1769911504</v>
      </c>
    </row>
    <row r="20" customFormat="false" ht="15" hidden="false" customHeight="false" outlineLevel="0" collapsed="false">
      <c r="A20" s="21" t="s">
        <v>214</v>
      </c>
      <c r="B20" s="37" t="n">
        <f aca="false">Prosessen!$B$18</f>
        <v>356000</v>
      </c>
    </row>
    <row r="21" customFormat="false" ht="15" hidden="false" customHeight="false" outlineLevel="0" collapsed="false">
      <c r="A21" s="21" t="s">
        <v>215</v>
      </c>
      <c r="B21" s="37" t="n">
        <f aca="false">Prosessen!$B$25</f>
        <v>32861.5384615385</v>
      </c>
    </row>
    <row r="22" customFormat="false" ht="15" hidden="false" customHeight="false" outlineLevel="0" collapsed="false">
      <c r="A22" s="21" t="s">
        <v>216</v>
      </c>
      <c r="B22" s="37" t="n">
        <f aca="false">Prosessen!$B$32</f>
        <v>267000</v>
      </c>
    </row>
    <row r="23" customFormat="false" ht="15" hidden="false" customHeight="false" outlineLevel="0" collapsed="false">
      <c r="A23" s="23" t="s">
        <v>217</v>
      </c>
      <c r="B23" s="27" t="n">
        <f aca="false">B19+B20+B21+B22</f>
        <v>682281.715452689</v>
      </c>
    </row>
    <row r="25" customFormat="false" ht="15" hidden="false" customHeight="false" outlineLevel="0" collapsed="false">
      <c r="A25" s="19" t="s">
        <v>218</v>
      </c>
      <c r="B25" s="27" t="n">
        <f aca="false">B16+B23</f>
        <v>1325807.47852443</v>
      </c>
    </row>
    <row r="26" customFormat="false" ht="15" hidden="false" customHeight="false" outlineLevel="0" collapsed="false">
      <c r="A26" s="21" t="s">
        <v>219</v>
      </c>
      <c r="B26" s="33" t="n">
        <f aca="false">Prosessen!$B$34</f>
        <v>682281.715452689</v>
      </c>
    </row>
    <row r="27" customFormat="false" ht="15" hidden="false" customHeight="false" outlineLevel="0" collapsed="false">
      <c r="A27" s="21" t="s">
        <v>220</v>
      </c>
      <c r="B27" s="27" t="n">
        <f aca="false">B25-B26</f>
        <v>643525.763071736</v>
      </c>
    </row>
    <row r="28" customFormat="false" ht="15" hidden="false" customHeight="false" outlineLevel="0" collapsed="false">
      <c r="A28" s="21" t="s">
        <v>221</v>
      </c>
      <c r="B28" s="36" t="n">
        <f aca="false">IF(B26=0,0,B25/B26)</f>
        <v>1.94319655429248</v>
      </c>
      <c r="D28" s="21" t="s">
        <v>222</v>
      </c>
    </row>
    <row r="29" customFormat="false" ht="15" hidden="false" customHeight="false" outlineLevel="0" collapsed="false">
      <c r="A29" s="21" t="s">
        <v>189</v>
      </c>
      <c r="B29" s="29" t="n">
        <f aca="false">IF(B25=0,0,1-(B10+B19)/B25)</f>
        <v>0.960144776041609</v>
      </c>
    </row>
    <row r="30" customFormat="false" ht="15" hidden="false" customHeight="false" outlineLevel="0" collapsed="false">
      <c r="A30" s="21" t="s">
        <v>190</v>
      </c>
      <c r="B30" s="34" t="n">
        <f aca="false">IF('Timen og lønna'!$B$25=0,0,B25/'Timen og lønna'!$B$25)</f>
        <v>1489.67132418475</v>
      </c>
    </row>
    <row r="31" customFormat="false" ht="15" hidden="false" customHeight="false" outlineLevel="0" collapsed="false">
      <c r="A31" s="21" t="s">
        <v>191</v>
      </c>
      <c r="B31" s="36" t="n">
        <f aca="false">IF('Timen og lønna'!$B$28=0,0,B25/'Timen og lønna'!$B$28)</f>
        <v>1.24139277015396</v>
      </c>
    </row>
    <row r="33" customFormat="false" ht="15" hidden="false" customHeight="false" outlineLevel="0" collapsed="false">
      <c r="A33" s="19" t="s">
        <v>223</v>
      </c>
    </row>
    <row r="34" customFormat="false" ht="15" hidden="false" customHeight="false" outlineLevel="0" collapsed="false">
      <c r="A34" s="21" t="s">
        <v>224</v>
      </c>
      <c r="B34" s="38" t="n">
        <v>10</v>
      </c>
    </row>
    <row r="35" customFormat="false" ht="15" hidden="false" customHeight="false" outlineLevel="0" collapsed="false">
      <c r="A35" s="21" t="s">
        <v>225</v>
      </c>
      <c r="B35" s="27" t="n">
        <f aca="false">B34*Prosessen!$B$10</f>
        <v>4806.72566371681</v>
      </c>
    </row>
    <row r="36" customFormat="false" ht="15" hidden="false" customHeight="false" outlineLevel="0" collapsed="false">
      <c r="A36" s="21" t="s">
        <v>226</v>
      </c>
      <c r="B36" s="36" t="n">
        <f aca="false">IF(B35=0,0,B27/B35)</f>
        <v>133.880276948056</v>
      </c>
      <c r="D36" s="21" t="s">
        <v>227</v>
      </c>
    </row>
    <row r="38" customFormat="false" ht="15" hidden="false" customHeight="false" outlineLevel="0" collapsed="false">
      <c r="A38" s="19" t="s">
        <v>148</v>
      </c>
    </row>
    <row r="39" customFormat="false" ht="15" hidden="false" customHeight="false" outlineLevel="0" collapsed="false">
      <c r="A39" s="21" t="s">
        <v>228</v>
      </c>
      <c r="D39" s="32" t="str">
        <f aca="false">IF(B25&gt;B26,"OK — feilansettelsen koster mer enn ansettelsen som gikk bra","AVVIK: da er noe galt med forutsetningene. Sjekk B5 og B6")</f>
        <v>OK — feilansettelsen koster mer enn ansettelsen som gikk bra</v>
      </c>
    </row>
    <row r="40" customFormat="false" ht="15" hidden="false" customHeight="false" outlineLevel="0" collapsed="false">
      <c r="A40" s="21" t="s">
        <v>229</v>
      </c>
      <c r="D40" s="32" t="str">
        <f aca="false">IF(B5&lt;Prosessen!$B$28,"OK — han slutter før opplæringsperioden er over, som er poenget i scenarioet","AVVIK: slutter han etter at opplæringen er ferdig, er dette ikke lenger en feilansettelse — det er en oppsigelse")</f>
        <v>OK — han slutter før opplæringsperioden er over, som er poenget i scenarioet</v>
      </c>
    </row>
    <row r="41" customFormat="false" ht="15" hidden="false" customHeight="false" outlineLevel="0" collapsed="false">
      <c r="A41" s="21" t="s">
        <v>230</v>
      </c>
      <c r="D41" s="32" t="str">
        <f aca="false">IF(B36&gt;10,"OK — det er plass til mange ekstra runder før de koster like mye som én feilansettelse","AVVIK: her er noe galt. Én runde skal koste en brøkdel av én bom")</f>
        <v>OK — det er plass til mange ekstra runder før de koster like mye som én feilansettelse</v>
      </c>
    </row>
    <row r="43" customFormat="false" ht="15" hidden="false" customHeight="false" outlineLevel="0" collapsed="false">
      <c r="A43" s="23" t="s">
        <v>231</v>
      </c>
    </row>
    <row r="44" customFormat="false" ht="15" hidden="false" customHeight="false" outlineLevel="0" collapsed="false">
      <c r="A44" s="18" t="s">
        <v>232</v>
      </c>
    </row>
  </sheetData>
  <conditionalFormatting sqref="D39">
    <cfRule type="expression" priority="2" aboveAverage="0" equalAverage="0" bottom="0" percent="0" rank="0" text="" dxfId="0">
      <formula>LEFT(D39,5)="AVVIK"</formula>
    </cfRule>
  </conditionalFormatting>
  <conditionalFormatting sqref="D40">
    <cfRule type="expression" priority="3" aboveAverage="0" equalAverage="0" bottom="0" percent="0" rank="0" text="" dxfId="0">
      <formula>LEFT(D40,5)="AVVIK"</formula>
    </cfRule>
  </conditionalFormatting>
  <conditionalFormatting sqref="D41">
    <cfRule type="expression" priority="4" aboveAverage="0" equalAverage="0" bottom="0" percent="0" rank="0" text="" dxfId="0">
      <formula>LEFT(D41,5)="AVVIK"</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4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4" min="2" style="0" width="18"/>
    <col collapsed="false" customWidth="true" hidden="false" outlineLevel="0" max="5" min="5" style="0" width="54"/>
  </cols>
  <sheetData>
    <row r="1" customFormat="false" ht="17.35" hidden="false" customHeight="false" outlineLevel="0" collapsed="false">
      <c r="A1" s="1" t="s">
        <v>233</v>
      </c>
    </row>
    <row r="2" customFormat="false" ht="15" hidden="false" customHeight="false" outlineLevel="0" collapsed="false">
      <c r="A2" s="17" t="s">
        <v>234</v>
      </c>
    </row>
    <row r="4" customFormat="false" ht="15" hidden="false" customHeight="false" outlineLevel="0" collapsed="false">
      <c r="A4" s="19" t="s">
        <v>235</v>
      </c>
    </row>
    <row r="5" customFormat="false" ht="15" hidden="false" customHeight="false" outlineLevel="0" collapsed="false">
      <c r="A5" s="18" t="s">
        <v>236</v>
      </c>
    </row>
    <row r="7" customFormat="false" ht="27.75" hidden="false" customHeight="true" outlineLevel="0" collapsed="false">
      <c r="A7" s="24" t="s">
        <v>237</v>
      </c>
      <c r="B7" s="24" t="s">
        <v>238</v>
      </c>
      <c r="C7" s="24" t="s">
        <v>239</v>
      </c>
      <c r="D7" s="24" t="s">
        <v>240</v>
      </c>
      <c r="E7" s="24" t="s">
        <v>241</v>
      </c>
    </row>
    <row r="8" customFormat="false" ht="15" hidden="false" customHeight="false" outlineLevel="0" collapsed="false">
      <c r="A8" s="28" t="n">
        <v>0.3</v>
      </c>
      <c r="B8" s="35" t="n">
        <f aca="false">Prosessen!$B$30*(1-A8)</f>
        <v>420</v>
      </c>
      <c r="C8" s="37" t="n">
        <f aca="false">B8*'Timen og lønna'!$B$25</f>
        <v>373800</v>
      </c>
      <c r="D8" s="27" t="n">
        <f aca="false">Prosessen!$B$13+Prosessen!$B$18+Prosessen!$B$25+C8</f>
        <v>789081.715452689</v>
      </c>
      <c r="E8" s="21" t="s">
        <v>242</v>
      </c>
    </row>
    <row r="9" customFormat="false" ht="15" hidden="false" customHeight="false" outlineLevel="0" collapsed="false">
      <c r="A9" s="28" t="n">
        <v>0.5</v>
      </c>
      <c r="B9" s="35" t="n">
        <f aca="false">Prosessen!$B$30*(1-A9)</f>
        <v>300</v>
      </c>
      <c r="C9" s="37" t="n">
        <f aca="false">B9*'Timen og lønna'!$B$25</f>
        <v>267000</v>
      </c>
      <c r="D9" s="27" t="n">
        <f aca="false">Prosessen!$B$13+Prosessen!$B$18+Prosessen!$B$25+C9</f>
        <v>682281.715452689</v>
      </c>
      <c r="E9" s="21" t="s">
        <v>243</v>
      </c>
    </row>
    <row r="10" customFormat="false" ht="15" hidden="false" customHeight="false" outlineLevel="0" collapsed="false">
      <c r="A10" s="28" t="n">
        <v>0.7</v>
      </c>
      <c r="B10" s="35" t="n">
        <f aca="false">Prosessen!$B$30*(1-A10)</f>
        <v>180</v>
      </c>
      <c r="C10" s="37" t="n">
        <f aca="false">B10*'Timen og lønna'!$B$25</f>
        <v>160200</v>
      </c>
      <c r="D10" s="27" t="n">
        <f aca="false">Prosessen!$B$13+Prosessen!$B$18+Prosessen!$B$25+C10</f>
        <v>575481.715452689</v>
      </c>
      <c r="E10" s="21" t="s">
        <v>244</v>
      </c>
    </row>
    <row r="11" customFormat="false" ht="15" hidden="false" customHeight="false" outlineLevel="0" collapsed="false">
      <c r="A11" s="28" t="n">
        <v>0.85</v>
      </c>
      <c r="B11" s="35" t="n">
        <f aca="false">Prosessen!$B$30*(1-A11)</f>
        <v>90</v>
      </c>
      <c r="C11" s="37" t="n">
        <f aca="false">B11*'Timen og lønna'!$B$25</f>
        <v>80100</v>
      </c>
      <c r="D11" s="27" t="n">
        <f aca="false">Prosessen!$B$13+Prosessen!$B$18+Prosessen!$B$25+C11</f>
        <v>495381.715452689</v>
      </c>
      <c r="E11" s="21" t="s">
        <v>245</v>
      </c>
    </row>
    <row r="14" customFormat="false" ht="15" hidden="false" customHeight="false" outlineLevel="0" collapsed="false">
      <c r="A14" s="19" t="s">
        <v>246</v>
      </c>
    </row>
    <row r="15" customFormat="false" ht="15" hidden="false" customHeight="false" outlineLevel="0" collapsed="false">
      <c r="A15" s="18" t="s">
        <v>247</v>
      </c>
    </row>
    <row r="16" customFormat="false" ht="27.75" hidden="false" customHeight="true" outlineLevel="0" collapsed="false">
      <c r="A16" s="24" t="s">
        <v>248</v>
      </c>
      <c r="B16" s="24" t="s">
        <v>249</v>
      </c>
      <c r="C16" s="24" t="s">
        <v>239</v>
      </c>
      <c r="D16" s="24" t="s">
        <v>240</v>
      </c>
      <c r="E16" s="24" t="s">
        <v>241</v>
      </c>
    </row>
    <row r="17" customFormat="false" ht="15" hidden="false" customHeight="false" outlineLevel="0" collapsed="false">
      <c r="A17" s="26" t="n">
        <v>1</v>
      </c>
      <c r="B17" s="35" t="n">
        <f aca="false">'Timen og lønna'!$B$23*A17/12</f>
        <v>100</v>
      </c>
      <c r="C17" s="37" t="n">
        <f aca="false">B17*'Timen og lønna'!$B$25</f>
        <v>89000</v>
      </c>
      <c r="D17" s="27" t="n">
        <f aca="false">Prosessen!$B$13+C17+Prosessen!$B$25+Prosessen!$B$32</f>
        <v>415281.715452689</v>
      </c>
      <c r="E17" s="21" t="s">
        <v>250</v>
      </c>
    </row>
    <row r="18" customFormat="false" ht="15" hidden="false" customHeight="false" outlineLevel="0" collapsed="false">
      <c r="A18" s="26" t="n">
        <v>2</v>
      </c>
      <c r="B18" s="35" t="n">
        <f aca="false">'Timen og lønna'!$B$23*A18/12</f>
        <v>200</v>
      </c>
      <c r="C18" s="37" t="n">
        <f aca="false">B18*'Timen og lønna'!$B$25</f>
        <v>178000</v>
      </c>
      <c r="D18" s="27" t="n">
        <f aca="false">Prosessen!$B$13+C18+Prosessen!$B$25+Prosessen!$B$32</f>
        <v>504281.715452689</v>
      </c>
      <c r="E18" s="21" t="s">
        <v>251</v>
      </c>
    </row>
    <row r="19" customFormat="false" ht="15" hidden="false" customHeight="false" outlineLevel="0" collapsed="false">
      <c r="A19" s="26" t="n">
        <v>4</v>
      </c>
      <c r="B19" s="35" t="n">
        <f aca="false">'Timen og lønna'!$B$23*A19/12</f>
        <v>400</v>
      </c>
      <c r="C19" s="37" t="n">
        <f aca="false">B19*'Timen og lønna'!$B$25</f>
        <v>356000</v>
      </c>
      <c r="D19" s="27" t="n">
        <f aca="false">Prosessen!$B$13+C19+Prosessen!$B$25+Prosessen!$B$32</f>
        <v>682281.715452689</v>
      </c>
      <c r="E19" s="21" t="s">
        <v>252</v>
      </c>
    </row>
    <row r="20" customFormat="false" ht="15" hidden="false" customHeight="false" outlineLevel="0" collapsed="false">
      <c r="A20" s="26" t="n">
        <v>7</v>
      </c>
      <c r="B20" s="35" t="n">
        <f aca="false">'Timen og lønna'!$B$23*A20/12</f>
        <v>700</v>
      </c>
      <c r="C20" s="37" t="n">
        <f aca="false">B20*'Timen og lønna'!$B$25</f>
        <v>623000</v>
      </c>
      <c r="D20" s="27" t="n">
        <f aca="false">Prosessen!$B$13+C20+Prosessen!$B$25+Prosessen!$B$32</f>
        <v>949281.715452689</v>
      </c>
      <c r="E20" s="21" t="s">
        <v>253</v>
      </c>
    </row>
    <row r="23" customFormat="false" ht="15" hidden="false" customHeight="false" outlineLevel="0" collapsed="false">
      <c r="A23" s="19" t="s">
        <v>254</v>
      </c>
    </row>
    <row r="24" customFormat="false" ht="15" hidden="false" customHeight="false" outlineLevel="0" collapsed="false">
      <c r="A24" s="18" t="s">
        <v>255</v>
      </c>
    </row>
    <row r="25" customFormat="false" ht="27.75" hidden="false" customHeight="true" outlineLevel="0" collapsed="false">
      <c r="A25" s="24"/>
      <c r="B25" s="24" t="s">
        <v>256</v>
      </c>
      <c r="C25" s="24" t="s">
        <v>257</v>
      </c>
      <c r="D25" s="24"/>
      <c r="E25" s="24" t="s">
        <v>241</v>
      </c>
    </row>
    <row r="26" customFormat="false" ht="15" hidden="false" customHeight="false" outlineLevel="0" collapsed="false">
      <c r="A26" s="21" t="s">
        <v>258</v>
      </c>
      <c r="B26" s="39" t="n">
        <f aca="false">Prosessen!$B$16</f>
        <v>4</v>
      </c>
      <c r="C26" s="26" t="n">
        <f aca="false">0</f>
        <v>0</v>
      </c>
      <c r="E26" s="21" t="s">
        <v>259</v>
      </c>
    </row>
    <row r="27" customFormat="false" ht="15" hidden="false" customHeight="false" outlineLevel="0" collapsed="false">
      <c r="A27" s="21" t="s">
        <v>260</v>
      </c>
      <c r="B27" s="40" t="n">
        <f aca="false">Prosessen!$B$29</f>
        <v>0.5</v>
      </c>
      <c r="C27" s="28" t="n">
        <f aca="false">0.85</f>
        <v>0.85</v>
      </c>
      <c r="E27" s="21" t="s">
        <v>261</v>
      </c>
    </row>
    <row r="28" customFormat="false" ht="15" hidden="false" customHeight="false" outlineLevel="0" collapsed="false">
      <c r="A28" s="21" t="s">
        <v>262</v>
      </c>
      <c r="B28" s="37" t="n">
        <f aca="false">Prosessen!$B$13-Prosessen!$B$12</f>
        <v>12000</v>
      </c>
      <c r="C28" s="25" t="n">
        <f aca="false">0</f>
        <v>0</v>
      </c>
      <c r="E28" s="21" t="s">
        <v>263</v>
      </c>
    </row>
    <row r="29" customFormat="false" ht="15" hidden="false" customHeight="false" outlineLevel="0" collapsed="false">
      <c r="A29" s="21" t="s">
        <v>264</v>
      </c>
      <c r="B29" s="37" t="n">
        <f aca="false">Prosessen!$B$12</f>
        <v>14420.1769911504</v>
      </c>
      <c r="C29" s="25" t="n">
        <f aca="false">Prosessen!$B$12/2</f>
        <v>7210.08849557522</v>
      </c>
      <c r="E29" s="21" t="s">
        <v>265</v>
      </c>
    </row>
    <row r="30" customFormat="false" ht="15" hidden="false" customHeight="false" outlineLevel="0" collapsed="false">
      <c r="A30" s="23" t="s">
        <v>266</v>
      </c>
      <c r="B30" s="33" t="n">
        <f aca="false">'Timen og lønna'!$B$23*B26/12*'Timen og lønna'!$B$25</f>
        <v>356000</v>
      </c>
      <c r="C30" s="33" t="n">
        <f aca="false">'Timen og lønna'!$B$23*C26/12*'Timen og lønna'!$B$25</f>
        <v>0</v>
      </c>
    </row>
    <row r="31" customFormat="false" ht="15" hidden="false" customHeight="false" outlineLevel="0" collapsed="false">
      <c r="A31" s="23" t="s">
        <v>267</v>
      </c>
      <c r="B31" s="33" t="n">
        <f aca="false">Prosessen!$B$30*(1-B27)*'Timen og lønna'!$B$25</f>
        <v>267000</v>
      </c>
      <c r="C31" s="33" t="n">
        <f aca="false">Prosessen!$B$30*(1-C27)*'Timen og lønna'!$B$25</f>
        <v>80100</v>
      </c>
    </row>
    <row r="32" customFormat="false" ht="15" hidden="false" customHeight="false" outlineLevel="0" collapsed="false">
      <c r="A32" s="23" t="s">
        <v>268</v>
      </c>
      <c r="B32" s="27" t="n">
        <f aca="false">B28+B29+Prosessen!$B$25+B30+B31</f>
        <v>682281.715452689</v>
      </c>
      <c r="C32" s="27" t="n">
        <f aca="false">C28+C29+Prosessen!$B$25+C30+C31</f>
        <v>120171.626957114</v>
      </c>
    </row>
    <row r="33" customFormat="false" ht="15" hidden="false" customHeight="false" outlineLevel="0" collapsed="false">
      <c r="A33" s="21" t="s">
        <v>269</v>
      </c>
      <c r="B33" s="27" t="n">
        <f aca="false">B32-C32</f>
        <v>562110.088495575</v>
      </c>
      <c r="E33" s="21" t="s">
        <v>270</v>
      </c>
    </row>
    <row r="35" customFormat="false" ht="15" hidden="false" customHeight="false" outlineLevel="0" collapsed="false">
      <c r="A35" s="19" t="s">
        <v>271</v>
      </c>
    </row>
    <row r="36" customFormat="false" ht="15" hidden="false" customHeight="false" outlineLevel="0" collapsed="false">
      <c r="A36" s="21" t="s">
        <v>272</v>
      </c>
    </row>
    <row r="37" customFormat="false" ht="15" hidden="false" customHeight="false" outlineLevel="0" collapsed="false">
      <c r="A37" s="21" t="s">
        <v>273</v>
      </c>
    </row>
    <row r="38" customFormat="false" ht="15" hidden="false" customHeight="false" outlineLevel="0" collapsed="false">
      <c r="A38" s="23" t="s">
        <v>274</v>
      </c>
    </row>
    <row r="40" customFormat="false" ht="15" hidden="false" customHeight="false" outlineLevel="0" collapsed="false">
      <c r="A40" s="19" t="s">
        <v>148</v>
      </c>
    </row>
    <row r="41" customFormat="false" ht="15" hidden="false" customHeight="false" outlineLevel="0" collapsed="false">
      <c r="A41" s="21" t="s">
        <v>275</v>
      </c>
      <c r="E41" s="32" t="str">
        <f aca="false">IF(D8&gt;D11,"OK — lavere opptrapping gir høyere kostnad","AVVIK: tabellen i scenario A skal falle nedover")</f>
        <v>OK — lavere opptrapping gir høyere kostnad</v>
      </c>
    </row>
    <row r="42" customFormat="false" ht="15" hidden="false" customHeight="false" outlineLevel="0" collapsed="false">
      <c r="A42" s="21" t="s">
        <v>276</v>
      </c>
      <c r="E42" s="32" t="str">
        <f aca="false">IF(D20&gt;D17,"OK — lengre vakanse gir høyere kostnad","AVVIK: tabellen i scenario B skal stige nedover")</f>
        <v>OK — lengre vakanse gir høyere kostnad</v>
      </c>
    </row>
    <row r="43" customFormat="false" ht="15" hidden="false" customHeight="false" outlineLevel="0" collapsed="false">
      <c r="A43" s="21" t="s">
        <v>277</v>
      </c>
      <c r="E43" s="32" t="str">
        <f aca="false">IF(ABS(D9-Prosessen!$B$34)&lt;1,"OK — raden gir samme sum som arket Prosessen","AVVIK: raden stemmer ikke med arket Prosessen")</f>
        <v>OK — raden gir samme sum som arket Prosessen</v>
      </c>
    </row>
    <row r="44" customFormat="false" ht="15" hidden="false" customHeight="false" outlineLevel="0" collapsed="false">
      <c r="A44" s="21" t="s">
        <v>278</v>
      </c>
      <c r="E44" s="32" t="str">
        <f aca="false">IF(B33&gt;0,"OK — den interne er billigst i denne oppstillingen","AVVIK: da er forutsetningene endret. Se på opptrappingen i rad 27")</f>
        <v>OK — den interne er billigst i denne oppstillingen</v>
      </c>
    </row>
    <row r="46" customFormat="false" ht="15" hidden="false" customHeight="false" outlineLevel="0" collapsed="false">
      <c r="A46" s="18" t="s">
        <v>279</v>
      </c>
    </row>
  </sheetData>
  <conditionalFormatting sqref="E41">
    <cfRule type="expression" priority="2" aboveAverage="0" equalAverage="0" bottom="0" percent="0" rank="0" text="" dxfId="0">
      <formula>LEFT(E41,5)="AVVIK"</formula>
    </cfRule>
  </conditionalFormatting>
  <conditionalFormatting sqref="E42">
    <cfRule type="expression" priority="3" aboveAverage="0" equalAverage="0" bottom="0" percent="0" rank="0" text="" dxfId="0">
      <formula>LEFT(E42,5)="AVVIK"</formula>
    </cfRule>
  </conditionalFormatting>
  <conditionalFormatting sqref="E43">
    <cfRule type="expression" priority="4" aboveAverage="0" equalAverage="0" bottom="0" percent="0" rank="0" text="" dxfId="0">
      <formula>LEFT(E43,5)="AVVIK"</formula>
    </cfRule>
  </conditionalFormatting>
  <conditionalFormatting sqref="E44">
    <cfRule type="expression" priority="5" aboveAverage="0" equalAverage="0" bottom="0" percent="0" rank="0" text="" dxfId="0">
      <formula>LEFT(E44,5)="AVVIK"</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3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2"/>
    <col collapsed="false" customWidth="true" hidden="false" outlineLevel="0" max="3" min="2" style="0" width="16"/>
    <col collapsed="false" customWidth="true" hidden="false" outlineLevel="0" max="4" min="4" style="0" width="58"/>
  </cols>
  <sheetData>
    <row r="1" customFormat="false" ht="17.35" hidden="false" customHeight="false" outlineLevel="0" collapsed="false">
      <c r="A1" s="1" t="s">
        <v>280</v>
      </c>
    </row>
    <row r="2" customFormat="false" ht="15" hidden="false" customHeight="false" outlineLevel="0" collapsed="false">
      <c r="A2" s="17" t="s">
        <v>281</v>
      </c>
    </row>
    <row r="4" customFormat="false" ht="15" hidden="false" customHeight="false" outlineLevel="0" collapsed="false">
      <c r="A4" s="19" t="s">
        <v>282</v>
      </c>
    </row>
    <row r="5" customFormat="false" ht="15" hidden="false" customHeight="false" outlineLevel="0" collapsed="false">
      <c r="A5" s="21" t="s">
        <v>283</v>
      </c>
      <c r="B5" s="25" t="n">
        <v>0</v>
      </c>
      <c r="D5" s="21" t="s">
        <v>284</v>
      </c>
    </row>
    <row r="6" customFormat="false" ht="15" hidden="false" customHeight="false" outlineLevel="0" collapsed="false">
      <c r="A6" s="21" t="s">
        <v>285</v>
      </c>
      <c r="B6" s="28" t="n">
        <v>0</v>
      </c>
      <c r="D6" s="21" t="s">
        <v>286</v>
      </c>
    </row>
    <row r="7" customFormat="false" ht="15" hidden="false" customHeight="false" outlineLevel="0" collapsed="false">
      <c r="A7" s="21" t="s">
        <v>138</v>
      </c>
      <c r="B7" s="26" t="n">
        <v>0</v>
      </c>
      <c r="D7" s="21" t="s">
        <v>287</v>
      </c>
    </row>
    <row r="8" customFormat="false" ht="15" hidden="false" customHeight="false" outlineLevel="0" collapsed="false">
      <c r="A8" s="21" t="s">
        <v>82</v>
      </c>
      <c r="B8" s="25" t="n">
        <v>0</v>
      </c>
    </row>
    <row r="9" customFormat="false" ht="15" hidden="false" customHeight="false" outlineLevel="0" collapsed="false">
      <c r="A9" s="21" t="s">
        <v>288</v>
      </c>
      <c r="B9" s="27" t="n">
        <f aca="false">B5*(1+B6)</f>
        <v>0</v>
      </c>
    </row>
    <row r="10" customFormat="false" ht="15" hidden="false" customHeight="false" outlineLevel="0" collapsed="false">
      <c r="A10" s="21" t="s">
        <v>146</v>
      </c>
      <c r="B10" s="27" t="n">
        <f aca="false">B7*B8</f>
        <v>0</v>
      </c>
    </row>
    <row r="12" customFormat="false" ht="15" hidden="false" customHeight="false" outlineLevel="0" collapsed="false">
      <c r="A12" s="19" t="s">
        <v>289</v>
      </c>
    </row>
    <row r="13" customFormat="false" ht="15" hidden="false" customHeight="false" outlineLevel="0" collapsed="false">
      <c r="A13" s="21" t="s">
        <v>262</v>
      </c>
      <c r="B13" s="25" t="n">
        <v>0</v>
      </c>
    </row>
    <row r="14" customFormat="false" ht="15" hidden="false" customHeight="false" outlineLevel="0" collapsed="false">
      <c r="A14" s="21" t="s">
        <v>290</v>
      </c>
      <c r="B14" s="26" t="n">
        <v>0</v>
      </c>
    </row>
    <row r="15" customFormat="false" ht="15" hidden="false" customHeight="false" outlineLevel="0" collapsed="false">
      <c r="A15" s="21" t="s">
        <v>291</v>
      </c>
      <c r="B15" s="41" t="n">
        <v>0</v>
      </c>
    </row>
    <row r="16" customFormat="false" ht="15" hidden="false" customHeight="false" outlineLevel="0" collapsed="false">
      <c r="A16" s="21" t="s">
        <v>258</v>
      </c>
      <c r="B16" s="26" t="n">
        <v>0</v>
      </c>
    </row>
    <row r="17" customFormat="false" ht="15" hidden="false" customHeight="false" outlineLevel="0" collapsed="false">
      <c r="A17" s="21" t="s">
        <v>292</v>
      </c>
      <c r="B17" s="38" t="n">
        <v>0</v>
      </c>
    </row>
    <row r="18" customFormat="false" ht="15" hidden="false" customHeight="false" outlineLevel="0" collapsed="false">
      <c r="A18" s="21" t="s">
        <v>293</v>
      </c>
      <c r="B18" s="26" t="n">
        <v>0</v>
      </c>
    </row>
    <row r="19" customFormat="false" ht="15" hidden="false" customHeight="false" outlineLevel="0" collapsed="false">
      <c r="A19" s="21" t="s">
        <v>184</v>
      </c>
      <c r="B19" s="28" t="n">
        <v>0</v>
      </c>
    </row>
    <row r="20" customFormat="false" ht="15" hidden="false" customHeight="false" outlineLevel="0" collapsed="false">
      <c r="A20" s="21" t="s">
        <v>294</v>
      </c>
      <c r="B20" s="33" t="n">
        <f aca="false">B13+B14*B15</f>
        <v>0</v>
      </c>
    </row>
    <row r="21" customFormat="false" ht="15" hidden="false" customHeight="false" outlineLevel="0" collapsed="false">
      <c r="A21" s="21" t="s">
        <v>266</v>
      </c>
      <c r="B21" s="33" t="n">
        <f aca="false">B7*B16/12*B8</f>
        <v>0</v>
      </c>
    </row>
    <row r="22" customFormat="false" ht="15" hidden="false" customHeight="false" outlineLevel="0" collapsed="false">
      <c r="A22" s="21" t="s">
        <v>295</v>
      </c>
      <c r="B22" s="33" t="n">
        <f aca="false">B7/52*B17*B8</f>
        <v>0</v>
      </c>
    </row>
    <row r="23" customFormat="false" ht="15" hidden="false" customHeight="false" outlineLevel="0" collapsed="false">
      <c r="A23" s="21" t="s">
        <v>267</v>
      </c>
      <c r="B23" s="33" t="n">
        <f aca="false">B7*B18/12*(1-B19)*B8</f>
        <v>0</v>
      </c>
    </row>
    <row r="24" customFormat="false" ht="15" hidden="false" customHeight="false" outlineLevel="0" collapsed="false">
      <c r="A24" s="23" t="s">
        <v>268</v>
      </c>
      <c r="B24" s="27" t="n">
        <f aca="false">B20+B21+B22+B23</f>
        <v>0</v>
      </c>
    </row>
    <row r="25" customFormat="false" ht="15" hidden="false" customHeight="false" outlineLevel="0" collapsed="false">
      <c r="A25" s="21" t="s">
        <v>191</v>
      </c>
      <c r="B25" s="36" t="n">
        <f aca="false">IF(B10=0,0,B24/B10)</f>
        <v>0</v>
      </c>
    </row>
    <row r="27" customFormat="false" ht="15" hidden="false" customHeight="false" outlineLevel="0" collapsed="false">
      <c r="A27" s="19" t="s">
        <v>148</v>
      </c>
    </row>
    <row r="28" customFormat="false" ht="15" hidden="false" customHeight="false" outlineLevel="0" collapsed="false">
      <c r="A28" s="21" t="s">
        <v>296</v>
      </c>
      <c r="D28" s="32" t="str">
        <f aca="false">IF(OR(B5=0,B7=0,B8=0),"AVVIK: fyll ut lønn, timer og timepris øverst før du leser av totalen","OK — grunnlaget er fylt ut")</f>
        <v>AVVIK: fyll ut lønn, timer og timepris øverst før du leser av totalen</v>
      </c>
    </row>
    <row r="29" customFormat="false" ht="15" hidden="false" customHeight="false" outlineLevel="0" collapsed="false">
      <c r="A29" s="21" t="s">
        <v>297</v>
      </c>
      <c r="D29" s="32" t="str">
        <f aca="false">IF(B7=0,"AVVIK: fyll ut fakturerte timer",IF(B8&gt;B9/B7,"OK — timeprisen dekker lønnskostnaden per fakturert time","AVVIK: timeprisen dekker ikke engang lønna. Se kapittel 5"))</f>
        <v>AVVIK: fyll ut fakturerte timer</v>
      </c>
    </row>
    <row r="31" customFormat="false" ht="15" hidden="false" customHeight="false" outlineLevel="0" collapsed="false">
      <c r="A31" s="23" t="s">
        <v>298</v>
      </c>
    </row>
  </sheetData>
  <conditionalFormatting sqref="D28">
    <cfRule type="expression" priority="2" aboveAverage="0" equalAverage="0" bottom="0" percent="0" rank="0" text="" dxfId="0">
      <formula>LEFT(D28,5)="AVVIK"</formula>
    </cfRule>
  </conditionalFormatting>
  <conditionalFormatting sqref="D29">
    <cfRule type="expression" priority="3" aboveAverage="0" equalAverage="0" bottom="0" percent="0" rank="0" text="" dxfId="0">
      <formula>LEFT(D29,5)="AVVIK"</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2026-09-11T09:30:41Z</dcterms:created>
  <dc:creator>openpyxl</dc:creator>
  <dc:description/>
  <dc:language>en-US</dc:language>
  <cp:lastModifiedBy/>
  <dcterms:modified xsi:type="dcterms:W3CDTF">2026-10-07T06:07:54Z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