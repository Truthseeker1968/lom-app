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<sst xmlns="http://schemas.openxmlformats.org/spreadsheetml/2006/main" count="203" uniqueCount="172">
  <si>
    <t xml:space="preserve">Klasseoppgaver til Organisasjon og ledelse kapittel 18: Personalpolitikk, rekruttering og medarbeidersamtaler (versjon 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</si>
  <si>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</si>
  <si>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</si>
  <si>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</si>
  <si>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</si>
  <si>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</si>
  <si>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</si>
  <si>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</si>
  <si>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</si>
  <si>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annonsen Kari nesten publiserte (Nordlys)</t>
  </si>
  <si>
    <t xml:space="preserve">A2</t>
  </si>
  <si>
    <t xml:space="preserve">Fjell Elektro: to nye, og ingen søkte sist (Egen el-bedrift)</t>
  </si>
  <si>
    <t xml:space="preserve">B1</t>
  </si>
  <si>
    <t xml:space="preserve">Nordlys: 17 medarbeidersamtaler, og Ronnys første (Nordlys)</t>
  </si>
  <si>
    <t xml:space="preserve">B2</t>
  </si>
  <si>
    <t xml:space="preserve">Fjell Elektro: de første seks månedene (Egen el-bedrift)</t>
  </si>
  <si>
    <t xml:space="preserve">Læreboka</t>
  </si>
  <si>
    <t xml:space="preserve">Hjertnes, F.: Markedsføring, organisasjon og ledelse for LØM-emnet, kapittel 18.</t>
  </si>
  <si>
    <t xml:space="preserve">Appen</t>
  </si>
  <si>
    <t xml:space="preserve">Organisasjon og ledelse kap. 18 → Øv → Klasseoppgaver gir fasit per deloppgave.</t>
  </si>
  <si>
    <t xml:space="preserve">A1 · Nordlys: annonsen Kari nesten publiserte</t>
  </si>
  <si>
    <t xml:space="preserve">25 minutter · Helst alene. Sammen med sidemannen eller flere hvis du vil. Ark og blyant, appen (PC eller mobil) eller læreboka.</t>
  </si>
  <si>
    <t xml:space="preserve">Kort oppsummert: Stillingsannonsens viktigste funksjon er å tiltrekke kvalifiserte søkere og samtidig sile ut dem bedriften ikke er interessert i (18.2.3). Overskriften skal vise stillingstype og kompetanse, og annonsen skal si noe om ansvar og arbeidsområder, plassering i organisasjonen, lønn, reise, søknadsfrist og kontaktperson. Den må utlyses i medier som når fram til søkerne. Loven setter grenser: alder (arbeidsmiljøloven § 13-1, se § 13-2 første ledd bokstav a), kjønn og etnisitet (likestillings- og diskrimineringsloven § 6, se § 29 bokstav a), helseopplysninger utover det arbeidet krever (arbeidsmiljøloven § 9-3) og graviditet, adopsjon eller planer om barn (likestillings- og diskrimineringsloven § 30 bokstav a). Arbeidsmiljøloven § 14-1 gir de ansatte rett til å få vite om ledige stillinger, ikke rett til å få dem.</t>
  </si>
  <si>
    <t xml:space="preserve">Casen er lagt til 2026/2027. Solcelle og lading har to montører og ingen leder. Kari har vurdert å løse det internt, med en av solcellemontørene, Ronny eller Tom, men har bestemt seg for å ansette en arbeidende avdelingsleder: en som leder avdelingen og selv står på anlegg, med 1 200 fakturerbare timer i året som de andre montørene. Timeprisen Nordlys tar av kunden, er 890 kr uten merverdiavgift (faktaarket). Karis første utkast til annonse hang fire uker som lapp på oppslagstavla i pauserommet, og ingen kvalifiserte søkte. Linjene i utkastet står i tabellen. Gå fram slik: les hver linje mot loven og mot bokas krav til annonsen, regn hva de fire ukene kostet i fakturering som uteblir, og skriv til slutt hva Kari bør rette først.</t>
  </si>
  <si>
    <t xml:space="preserve">Linje</t>
  </si>
  <si>
    <t xml:space="preserve">I Karis utkast</t>
  </si>
  <si>
    <t xml:space="preserve">1 Overskrift</t>
  </si>
  <si>
    <t xml:space="preserve">«BLI MED PÅ LAGET!»</t>
  </si>
  <si>
    <t xml:space="preserve">2 Hvem</t>
  </si>
  <si>
    <t xml:space="preserve">«En ung og sprek mann, 25–35 år»</t>
  </si>
  <si>
    <t xml:space="preserve">3 Bakgrunn</t>
  </si>
  <si>
    <t xml:space="preserve">«Du bør være norsk av fødsel»</t>
  </si>
  <si>
    <t xml:space="preserve">4 Krav</t>
  </si>
  <si>
    <t xml:space="preserve">«Noe teknisk innsikt er en fordel»</t>
  </si>
  <si>
    <t xml:space="preserve">5 Opplys om</t>
  </si>
  <si>
    <t xml:space="preserve">«Helsetilstand og planer om barn»</t>
  </si>
  <si>
    <t xml:space="preserve">6 Søk slik</t>
  </si>
  <si>
    <t xml:space="preserve">«Ta kontakt hvis du er interessert»</t>
  </si>
  <si>
    <t xml:space="preserve">Kanal og tid</t>
  </si>
  <si>
    <t xml:space="preserve">Lapp i pauserommet, 4 uker</t>
  </si>
  <si>
    <t xml:space="preserve">Fakturerbare timer</t>
  </si>
  <si>
    <t xml:space="preserve">1 200 i året, 890 kr per time</t>
  </si>
  <si>
    <t xml:space="preserve">Tapt på 4 uker, kr</t>
  </si>
  <si>
    <t xml:space="preserve">Gule celler med spørsmålstegn kan du fylle inn selv mens du regner.</t>
  </si>
  <si>
    <t xml:space="preserve">Deloppgave</t>
  </si>
  <si>
    <t xml:space="preserve">Ditt svar</t>
  </si>
  <si>
    <t xml:space="preserve">Sjekk</t>
  </si>
  <si>
    <t xml:space="preserve">a)  Ja eller nei: bryter linjen i utkastet arbeidsmiljøloven eller likestillings- og diskrimineringsloven? Skriv hjemmel der svaret er ja.</t>
  </si>
  <si>
    <t xml:space="preserve">      Linje 1: «BLI MED PÅ LAGET!»   (Ja eller Nei)</t>
  </si>
  <si>
    <t xml:space="preserve">      Linje 2: «En ung og sprek mann, 25–35 år»   (Ja eller Nei)</t>
  </si>
  <si>
    <t xml:space="preserve">      Linje 3: «Du bør være norsk av fødsel»   (Ja eller Nei)</t>
  </si>
  <si>
    <t xml:space="preserve">      Linje 4: «Noe teknisk innsikt er en fordel»   (Ja eller Nei)</t>
  </si>
  <si>
    <t xml:space="preserve">      Linje 5: «Helsetilstand og planer om barn»   (Ja eller Nei)</t>
  </si>
  <si>
    <t xml:space="preserve">      Linje 6: «Ta kontakt hvis du er interessert»   (Ja eller Nei)</t>
  </si>
  <si>
    <t xml:space="preserve">b)  Linje 5 ber søkerne opplyse om planer om å få barn. Hvilken bestemmelse forbyr det?   A: Arbeidsmiljøloven § 14-1   B: Likestillings- og diskrimineringsloven § 30 bokstav a   C: Arbeidsmiljøloven § 15-6   (skriv bokstaven)</t>
  </si>
  <si>
    <t xml:space="preserve">c)  Utkastet hang fire uker uten kvalifiserte søkere, og så lenge står stillingen ubesatt. Hvor mange kroner i fakturering uteblir på de fire ukene? 1 200 timer ÷ 52 uker × 4 uker × 890 kr.</t>
  </si>
  <si>
    <t xml:space="preserve">Formel og begrep</t>
  </si>
  <si>
    <t xml:space="preserve">Tapt fakturering = fakturerbare timer per år / 52 × antall uker × timepris. Timetall og timepris er fra Nordlys' faktaark; kostnaden ved tom stilling er casens tall, ikke bokas.</t>
  </si>
  <si>
    <t xml:space="preserve">d)  Kari sier: «Lappen henger der alle ansatte ser den, så loven er oppfylt.» Hva er riktig?   A: Ja. § 14-1 er oppfylt, og da er utlysningen ferdig   B: § 14-1 er oppfylt overfor de ansatte, men lappen når ingen søkere utenfor huset   C: Nei. § 14-1 gir de ansatte fortrinnsrett, så stillingen kan ikke lyses ut eksternt   (skriv bokstaven)</t>
  </si>
  <si>
    <t xml:space="preserve">e)  Skriv en ny overskrift. Hva bør Kari rette først, hva må inn i annonsen, og i hvilke kanaler bør den lyses ut? Tre–fire setninger.</t>
  </si>
  <si>
    <t xml:space="preserve">Ingen ny formel. Bruk bokas krav til annonsen og kanalene (18.2.3), behovsanalysen (18.2.2) og lovgrensene fra a. Lovteksten er ikke kontrollert mot Lovdata; kontroller mot lovdata.no før bruk.</t>
  </si>
  <si>
    <t xml:space="preserve">Hint, hvis du står fast</t>
  </si>
  <si>
    <t xml:space="preserve">Loven</t>
  </si>
  <si>
    <t xml:space="preserve">Fem ting kan en annonse ikke kreve eller spørre om: alder, kjønn, etnisitet, helse utover det jobben krever, og graviditet eller planer om barn. Hvilke linjer treffer de fem?</t>
  </si>
  <si>
    <t xml:space="preserve">Tallet og kanalen</t>
  </si>
  <si>
    <t xml:space="preserve">Timer i uka: 1 200 / 52. Gang med 4 uker og 890 kr. For d: § 14-1 handler om de ansatte. Når lappen noen som ikke jobber hos Nordlys?</t>
  </si>
  <si>
    <t xml:space="preserve">Kilde: Hjertnes, F.: Markedsføring, organisasjon og ledelse for LØM-emnet, kap. 18, avsnitt 18.2.2 (behovsanalyse) og 18.2.3 (utlysning og annonsen). Arbeidsmiljøloven §§ 9-3, 13-1, 13-2 og 14-1; likestillings- og diskrimineringsloven §§ 6, 29 og 30. Annonseutkastet er fra versjon 4, øvingsheftet og appen. Nordlys Elektro AS er en konstruert casebedrift.</t>
  </si>
  <si>
    <t xml:space="preserve">Regnearket er øvingsstøtte. Det kan ikke siteres eller vises til i besvarelser, prosjektoppgaver eller eksamen; der gjelder læreboka og oppgitte primærkilder.</t>
  </si>
  <si>
    <t xml:space="preserve">A2 · Fjell Elektro: to nye, og ingen søkte sist</t>
  </si>
  <si>
    <t xml:space="preserve">Kort oppsummert: På trinn 1 avgjør bedriften om stillingen skal besettes, og om den skal rekruttere internt eller eksternt (18.2.1). Intern rekruttering er ofte lettere i større bedrifter, med egne programmer for opplæring og forfremmelse. Behovsanalysen (18.2.2) tar for seg faglige kvalifikasjoner og personlige egenskaper; den kan lett ende som en beskrivelse av den perfekte kandidaten. Utlysningen (18.2.3) må skje i medier som når fram til potensielle søkere: internett, dagspresse, fagpresse, oppslagstavler, NAV og bemanningsbyråer, jobbmesser, bedriftspresentasjoner og utdanningsinstitusjoner.</t>
  </si>
  <si>
    <t xml:space="preserve">Fjell Elektro AS har gått ett år. Mona Fjell er eier, daglig leder og faglig ansvarlig, og har to montører. Hun skal ansette én montør og én lærling, slik at Fjell blir fem personer. Fjell har flere forespørsler enn de rekker, så en ny montør med 1 400 fakturerbare timer i året vil fakturere fullt fra han er i gang. Timeprisen Fjell tar av kunden, er 890 kr (Fjells faktaark). Sist Mona lyste ut, med en annonse i lokalavisa, søkte ingen. Bransjen mangler fagarbeidere. Gå fram slik: ta trinn 1 (internt eller eksternt), lag behovsanalysen, regn hva en måned uten montør koster, og vurder til slutt kanaler og innhold i annonsen.</t>
  </si>
  <si>
    <t xml:space="preserve">Forutsetning</t>
  </si>
  <si>
    <t xml:space="preserve">Verdi</t>
  </si>
  <si>
    <t xml:space="preserve">Folk i dag</t>
  </si>
  <si>
    <t xml:space="preserve">Mona (eier, faglig ansvarlig) og 2 montører</t>
  </si>
  <si>
    <t xml:space="preserve">Planen</t>
  </si>
  <si>
    <t xml:space="preserve">1 montør og 1 lærling: fra 3 til 5 personer</t>
  </si>
  <si>
    <t xml:space="preserve">Ny montør</t>
  </si>
  <si>
    <t xml:space="preserve">1 400 fakturerbare timer i året</t>
  </si>
  <si>
    <t xml:space="preserve">Timepris</t>
  </si>
  <si>
    <t xml:space="preserve">890 kr uten merverdiavgift</t>
  </si>
  <si>
    <t xml:space="preserve">Etterspørsel</t>
  </si>
  <si>
    <t xml:space="preserve">Flere forespørsler enn Fjell rekker</t>
  </si>
  <si>
    <t xml:space="preserve">Sist</t>
  </si>
  <si>
    <t xml:space="preserve">Annonse i lokalavisa; ingen søkte</t>
  </si>
  <si>
    <t xml:space="preserve">Arbeidsmarkedet</t>
  </si>
  <si>
    <t xml:space="preserve">Bransjen mangler fagarbeidere</t>
  </si>
  <si>
    <t xml:space="preserve">Tom stilling per måned, kr</t>
  </si>
  <si>
    <t xml:space="preserve">?</t>
  </si>
  <si>
    <t xml:space="preserve">a)  Trinn 1: skal Mona rekruttere den nye montøren internt eller eksternt?   A: Internt: en av de to montørene forfremmes til ny stilling   B: Eksternt: Fjell har ingen å hente innenfra, og intern rekruttering er lettest i større bedrifter   C: Mixed policy: ledere eksternt, medarbeidere internt   (skriv bokstaven)</t>
  </si>
  <si>
    <t xml:space="preserve">b)  Ja eller nei: hører kravet hjemme i Monas behovsanalyse for den nye montøren?</t>
  </si>
  <si>
    <t xml:space="preserve">      Fagbrev som elektriker   (Ja eller Nei)</t>
  </si>
  <si>
    <t xml:space="preserve">      Kan snakke med kunder i boliger og borettslag   (Ja eller Nei)</t>
  </si>
  <si>
    <t xml:space="preserve">      Kan kjøre alene til servicekunder og løse jobben selv   (Ja eller Nei)</t>
  </si>
  <si>
    <t xml:space="preserve">      Mann under 35, så han passer inn i laget   (Ja eller Nei)</t>
  </si>
  <si>
    <t xml:space="preserve">      Har installatørprøven og kan alt Mona kan   (Ja eller Nei)</t>
  </si>
  <si>
    <t xml:space="preserve">c)  Hvor mange kroner i fakturering uteblir for hver måned stillingen står ubesatt? 1 400 timer ÷ 12 × 890 kr.</t>
  </si>
  <si>
    <t xml:space="preserve">Tapt fakturering per måned = fakturerbare timer per år / 12 × timepris. Tallene er Fjells (1 400 timer, 890 kr); regnestykket er casens, ikke bokas.</t>
  </si>
  <si>
    <t xml:space="preserve">d)  Sist søkte ingen på annonsen i lokalavisa. Hva sier boka at Mona bør gjøre nå?   A: Vente til arbeidsmarkedet snur; det finnes ingen montører   B: Utlyse i medier som når søkerne: fagpresse, nett, NAV, jobbmesser og utdanningsinstitusjoner, lærlingen via skolene   C: Gjøre annonsen kortere og billigere, så flere ser den   (skriv bokstaven)</t>
  </si>
  <si>
    <t xml:space="preserve">e)  Skriv overskriften og fire ting annonsen for montøren må si. Hvordan kan den samtidig markedsføre Fjell? Tre–fire setninger.</t>
  </si>
  <si>
    <t xml:space="preserve">Ingen ny formel. Bruk kravene til annonsen og markedsføring av bedriften (18.2.3) og behovsanalysen (18.2.2).</t>
  </si>
  <si>
    <t xml:space="preserve">Trinn 1 og 2</t>
  </si>
  <si>
    <t xml:space="preserve">Hvem i Fjell kunne fått en ny montørstilling? Boka sier intern rekruttering er lettest i større bedrifter. I behovsanalysen: hva trenger stillingen, og hva er bare den perfekte kandidaten?</t>
  </si>
  <si>
    <t xml:space="preserve">Måneden og kanalen</t>
  </si>
  <si>
    <t xml:space="preserve">1 400 / 12 timer i måneden, ganger 890 kr. Hvem leser lokalavisa, og hvor finner du montører og lærlinger? Se bokas liste over medier i 18.2.3.</t>
  </si>
  <si>
    <t xml:space="preserve">Kilde: Hjertnes, F.: Markedsføring, organisasjon og ledelse for LØM-emnet, kap. 18, avsnitt 18.2.1 (stilling ledig, internt eller eksternt), 18.2.2 (behovsanalyse) og 18.2.3 (utlysning). Arbeidsmiljøloven §§ 13-1 og 14-1, likestillings- og diskrimineringsloven § 6. Fjell Elektro AS er en konstruert casebedrift.</t>
  </si>
  <si>
    <t xml:space="preserve">B1 · Nordlys: 17 medarbeidersamtaler, og Ronnys første</t>
  </si>
  <si>
    <t xml:space="preserve">Kort oppsummert: En medarbeidersamtale er en regelmessig, organisert samtale mellom underordnet og nærmeste overordnet om arbeidsoppgaver, resultater, arbeidsprosess, samarbeid og den underordnedes faglige og personlige utvikling (18.3, Grimsø). Den skal ha et klart formål, være planlagt og forberedt av begge parter, være jobbrelatert i vid forstand og være fortrolig og personlig. Begge parter skal ha nytte av den. Den må ikke skape forventninger som ikke kan innfris, og den krever tillit, en kultur og en ledelse som tar den på alvor, og ressurser til tiltakene. Ellers blir den skuebrød. Er det policy med samtaler minst én gang i året, må linjelederne sette av tid til det (18.1).</t>
  </si>
  <si>
    <t xml:space="preserve">Montøren som sluttet i solcelle og lading, hadde aldri hatt en samtale med lederen. Nå bestemmer Kari at alle skal ha medarbeidersamtale med nærmeste leder én gang i året. Kari har 5 direkte under seg (Tom, Ronny, Ida og de to solcellemontørene), Tom 5 (4 montører og 1 lærling) og Ronny 7 (6 montører og 1 lærling). Hver samtale tar to timer, og hver part bruker én time på å forberede seg. Montørene har 890 kr i timepris; lærlingene regnes ikke som fakturerbare. Ronny skal ha den første samtalen med lærlingen Sara Lien, og han har skrevet ned en plan. Gå fram slik: regn tiden og hva den koster, sorter Ronnys plan mot bokas krav, og vurder hva som skal til for at samtalene ikke blir skuebrød.</t>
  </si>
  <si>
    <t xml:space="preserve">Post</t>
  </si>
  <si>
    <t xml:space="preserve">Tall</t>
  </si>
  <si>
    <t xml:space="preserve">Samtaler hos Kari</t>
  </si>
  <si>
    <t xml:space="preserve">Samtaler hos Tom</t>
  </si>
  <si>
    <t xml:space="preserve">Samtaler hos Ronny</t>
  </si>
  <si>
    <t xml:space="preserve">Timer per samtale</t>
  </si>
  <si>
    <t xml:space="preserve">Forberedelse per part, timer</t>
  </si>
  <si>
    <t xml:space="preserve">Montører (fakturerbare)</t>
  </si>
  <si>
    <t xml:space="preserve">Timepris montør, kr</t>
  </si>
  <si>
    <t xml:space="preserve">Ronnys timer i alt</t>
  </si>
  <si>
    <t xml:space="preserve">Montørenes fakturering, kr</t>
  </si>
  <si>
    <t xml:space="preserve">a)  Hvor mange timer bruker Ronny på sine 7 samtaler, når hver tar to timer og han forbereder seg én time til hver?</t>
  </si>
  <si>
    <t xml:space="preserve">Ledertid = antall samtaler × (samtaletid + forberedelse). Begrepet bak er at personalpolitikken må brytes ned i rutiner, og at linjelederne må sette av tid (Organisasjon og ledelse 18.1).</t>
  </si>
  <si>
    <t xml:space="preserve">b)  Hvor mange kroner i fakturering bruker de 12 montørene på samtalene, med to timer samtale og én time forberedelse hver, til 890 kr?</t>
  </si>
  <si>
    <t xml:space="preserve">Kostnad i fakturering = antall montører × timer per montør × timepris. Timetall og timepris er Nordlys' faktaark; kostnaden er casens, ikke bokas.</t>
  </si>
  <si>
    <t xml:space="preserve">c)  Ja eller nei: er punktet i Ronnys plan for samtalen med Sara i tråd med det boka sier om medarbeidersamtalen?</t>
  </si>
  <si>
    <t xml:space="preserve">      Sara får spørsmålene to uker før, så begge kan forberede seg   (Ja eller Nei)</t>
  </si>
  <si>
    <t xml:space="preserve">      Samtalen tas i brakka i lunsjen, med laget til stede   (Ja eller Nei)</t>
  </si>
  <si>
    <t xml:space="preserve">      Ronny spør hvordan samarbeidet mellom dem kan bli bedre   (Ja eller Nei)</t>
  </si>
  <si>
    <t xml:space="preserve">      Ronny lover Sara solcellekurs til våren, uten at Kari har satt av penger   (Ja eller Nei)</t>
  </si>
  <si>
    <t xml:space="preserve">      Ronny spør hvilke ønsker Sara har for faglig utvikling   (Ja eller Nei)</t>
  </si>
  <si>
    <t xml:space="preserve">d)  I mars sier Kari: «Vi har så mye å gjøre i år at samtalene får vente til det roer seg.» Hva sier boka?   A: Greit: samtalene er et årlig ritual som kan flyttes når det passer   B: Er det policy med samtaler, må lederne sette av tid også når andre oppgaver står for døren; ellers blir de skuebrød   C: Samtalene kan erstattes av den årlige lønnssamtalen   (skriv bokstaven)</t>
  </si>
  <si>
    <t xml:space="preserve">e)  Hva må Kari og lederne gjøre for at de 17 samtalene ikke blir skuebrød? Bruk minst ett tall og bokas forutsetninger. Tre–fire setninger.</t>
  </si>
  <si>
    <t xml:space="preserve">Ingen ny formel. Bruk de fire kravene, forutsetningene og skuebrødsadvarselen (18.3) og kravet om at policy får tid (18.1).</t>
  </si>
  <si>
    <t xml:space="preserve">Tiden</t>
  </si>
  <si>
    <t xml:space="preserve">Ronny: 7 samtaler × (2 timer + 1 time forberedelse). Montørene: 12 × 3 timer × 890 kr. Lærlingene regnes ikke som fakturerbare.</t>
  </si>
  <si>
    <t xml:space="preserve">Kravene</t>
  </si>
  <si>
    <t xml:space="preserve">Boka har fire krav: klart formål, planlagt og forberedt av begge, jobbrelatert, fortrolig og personlig. Og: samtalen må ikke skape forventninger som ikke kan innfris.</t>
  </si>
  <si>
    <t xml:space="preserve">Kilde: Hjertnes, F.: Markedsføring, organisasjon og ledelse for LØM-emnet, kap. 18, avsnitt 18.1 (policy brutt ned i rutiner) og 18.3 (medarbeidersamtalen: fire krav, seks spørsmål, forutsetninger, skuebrød). Ledere og antall: faktaarket, kap. 11 og 14. Nordlys Elektro AS er en konstruert casebedrift.</t>
  </si>
  <si>
    <t xml:space="preserve">B2 · Fjell Elektro: de første seks månedene</t>
  </si>
  <si>
    <t xml:space="preserve">Kort oppsummert: Enhver bedrift bør ha et introduksjonsprogram, og ansvaret ligger hos den nyansattes nærmeste overordnede (18.2.7). Programmet må være strukturert og detaljert, særlig i begynnelsen. Fadderen bør være på samme nivå, ha visse sosiale ferdigheter og gjerne fersk erfaring med å være ny. En nyutdannet trenger mer støtte enn en med erfaring. Loven: fast ansettelse er hovedregelen (arbeidsmiljøloven § 14-9); skriftlig arbeidsavtale senest sju dager etter at arbeidsforholdet begynte når det varer over en måned (§ 14-5); prøvetid inntil seks måneder, avtalt skriftlig (§§ 14-6 første ledd bokstav f og 15-6), med 14 dagers oppsigelsesfrist om ikke annet er avtalt (§ 15-3 sjuende ledd). Oppsigelse i prøvetiden må begrunnes i tilpasning til arbeidet, faglig dyktighet eller pålitelighet.</t>
  </si>
  <si>
    <t xml:space="preserve">Mona har ansatt en montør med seks års erfaring fra en annen installatør, og en lærling som kommer rett fra skolen. Montøren begynner en mandag, fast ansatt. Mona vil ha prøvetid og et introduksjonsprogram, og hun lurer på hvem av de to montørene som skal være fadder. Montør 1 vil planlegge selv og snakke med kundene; montør 2 vil helst få arbeidsordren og jobbe i fred. Begge har vært i Fjell siden starten. Fadderen skal bruke 20 % av sine fakturerbare timer på den nye de fire første ukene. En montør har 1 400 fakturerbare timer i året, og timeprisen er 890 kr. Gå fram slik: avklar prøvetid og arbeidsavtale etter loven, regn hva fadderordningen koster, velg fadder etter boka, og lag til slutt et introduksjonsprogram for begge de nye.</t>
  </si>
  <si>
    <t xml:space="preserve">6 års erfaring, fast ansatt, begynner en mandag</t>
  </si>
  <si>
    <t xml:space="preserve">Lærling</t>
  </si>
  <si>
    <t xml:space="preserve">Rett fra skolen</t>
  </si>
  <si>
    <t xml:space="preserve">Nærmeste leder</t>
  </si>
  <si>
    <t xml:space="preserve">Mona (eier, daglig leder, faglig ansvarlig)</t>
  </si>
  <si>
    <t xml:space="preserve">Montør 1</t>
  </si>
  <si>
    <t xml:space="preserve">Vil planlegge selv og snakke med kundene</t>
  </si>
  <si>
    <t xml:space="preserve">Montør 2</t>
  </si>
  <si>
    <t xml:space="preserve">Vil ha arbeidsordren og jobbe i fred</t>
  </si>
  <si>
    <t xml:space="preserve">Begge montørene</t>
  </si>
  <si>
    <t xml:space="preserve">I Fjell siden starten, ett år</t>
  </si>
  <si>
    <t xml:space="preserve">Fadderens tid</t>
  </si>
  <si>
    <t xml:space="preserve">20 % av sine timer de første 4 ukene</t>
  </si>
  <si>
    <t xml:space="preserve">Montørtimer og pris</t>
  </si>
  <si>
    <t xml:space="preserve">1 400 fakturerbare i året, 890 kr</t>
  </si>
  <si>
    <t xml:space="preserve">a)  Hvor lang prøvetid kan Mona avtale med den nye montøren, og hvordan må den avtales?   A: Inntil 3 måneder, muntlig er nok   B: Inntil 6 måneder, og den må stå i den skriftlige arbeidsavtalen   C: Inntil 12 måneder for alle som er nye i bedriften   (skriv bokstaven)</t>
  </si>
  <si>
    <t xml:space="preserve">b)  Ja eller nei: stemmer påstanden om arbeidsavtale og prøvetid etter arbeidsmiljøloven?</t>
  </si>
  <si>
    <t xml:space="preserve">      Skriftlig arbeidsavtale senest sju dager etter at han begynte   (Ja eller Nei)</t>
  </si>
  <si>
    <t xml:space="preserve">      I prøvetiden er oppsigelsesfristen 14 dager, om ikke annet er avtalt   (Ja eller Nei)</t>
  </si>
  <si>
    <t xml:space="preserve">      I prøvetiden kan Mona si ham opp uten å begrunne det   (Ja eller Nei)</t>
  </si>
  <si>
    <t xml:space="preserve">      Fast ansettelse er hovedregelen   (Ja eller Nei)</t>
  </si>
  <si>
    <t xml:space="preserve">      Prøvetid gjelder selv om den ikke står i avtalen   (Ja eller Nei)</t>
  </si>
  <si>
    <t xml:space="preserve">c)  Hvor mange kroner i fakturering koster fadderordningen de fire første ukene? 1 400 timer ÷ 52 uker × 4 uker × 20 % × 890 kr.</t>
  </si>
  <si>
    <t xml:space="preserve">Kostnad = timer per år / 52 × uker × andel × timepris. Tallene er Fjells; regnestykket er casens. Fadderordningen er fra Organisasjon og ledelse 18.2.7.</t>
  </si>
  <si>
    <t xml:space="preserve">d)  Hvem bør være fadder for den nye montøren, etter det boka sier om fadderen?   A: Mona, fordi hun er faglig ansvarlig og vet mest   B: Montør 1: samme nivå, sosialt trygg og har selv vært ny i Fjell nylig   C: Montør 2, fordi han jobber mest effektivt og ikke blir forstyrret   (skriv bokstaven)</t>
  </si>
  <si>
    <t xml:space="preserve">e)  Lag en skisse til introduksjonsprogram for de to nye. Hvem har ansvaret, hva skjer de første ukene, og hvordan bør programmet for lærlingen skille seg fra montørens? Tre–fire setninger.</t>
  </si>
  <si>
    <t xml:space="preserve">Ingen ny formel. Bruk introduksjon og fadder (18.2.7), Hersey og Blanchard (17.5.3), medarbeidersamtalen (18.3) og lovens frister fra a og b. Lovteksten er ikke kontrollert mot Lovdata; kontroller mot lovdata.no før bruk.</t>
  </si>
  <si>
    <t xml:space="preserve">Prøvetid: inntil seks måneder, skriftlig (§ 15-6). Avtale: senest sju dager (§ 14-5). Frist i prøvetiden: 14 dager (§ 15-3). Oppsigelse: tilpasning, dyktighet eller pålitelighet.</t>
  </si>
  <si>
    <t xml:space="preserve">Fadderen</t>
  </si>
  <si>
    <t xml:space="preserve">1 400 / 52 × 4 × 0,20 × 890. Boka: fadderen er på samme nivå, har sosiale ferdigheter og fersk erfaring med å være ny. Hvem er på samme nivå som den nye?</t>
  </si>
  <si>
    <t xml:space="preserve">Kilde: Hjertnes, F.: Markedsføring, organisasjon og ledelse for LØM-emnet, kap. 18, avsnitt 18.2.7 (introduksjon, fadder, nyutdannet og erfaren) og kap. 17.5.3 (Hersey og Blanchard). Arbeidsmiljøloven §§ 14-5, 14-6 første ledd bokstav f, 14-9, 15-3 sjuende ledd og 15-6. Fjell Elektro AS er en konstruert casebedrift.</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</si>
</sst>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
      <b val="true"/>
      <sz val="10"/>
      <color rgb="FF2F4A6D"/>
      <name val="Arial"/>
      <family val="0"/>
      <charset val="1"/>
    </font>
    <font>
      <sz val="10"/>
      <name val="Arial"/>
      <family val="0"/>
      <charset val="1"/>
    </font>
    <font>
      <b val="true"/>
      <sz val="10"/>
      <color rgb="FFFFFFFF"/>
      <name val="Arial"/>
      <family val="0"/>
      <charset val="1"/>
    </font>
  </fonts>
  <fills count="8">
    <fill>
      <patternFill patternType="none"/>
    </fill>
    <fill>
      <patternFill patternType="gray125"/>
    </fill>
    <fill>
      <patternFill patternType="solid">
        <fgColor rgb="FF2F4A6D"/>
        <bgColor rgb="FF333333"/>
      </patternFill>
    </fill>
    <fill>
      <patternFill patternType="solid">
        <fgColor rgb="FFF4F6FA"/>
        <bgColor rgb="FFEEF2F8"/>
      </patternFill>
    </fill>
    <fill>
      <patternFill patternType="solid">
        <fgColor rgb="FFFFFF00"/>
        <bgColor rgb="FFFFFF00"/>
      </patternFill>
    </fill>
    <fill>
      <patternFill patternType="solid">
        <fgColor rgb="FFEEF2F8"/>
        <bgColor rgb="FFF4F6FA"/>
      </patternFill>
    </fill>
    <fill>
      <patternFill patternType="solid">
        <fgColor rgb="FFB8954A"/>
        <bgColor rgb="FF808080"/>
      </patternFill>
    </fill>
    <fill>
      <patternFill patternType="solid">
        <fgColor rgb="FFFBF6EA"/>
        <bgColor rgb="FFF4F6FA"/>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7" fillId="0" borderId="1" xfId="0" applyFont="true" applyBorder="true" applyAlignment="true" applyProtection="false">
      <alignment horizontal="right" vertical="bottom" textRotation="0" wrapText="true" indent="0" shrinkToFit="false"/>
      <protection locked="true" hidden="false"/>
    </xf>
    <xf numFmtId="164" fontId="7" fillId="3" borderId="1" xfId="0" applyFont="true" applyBorder="true" applyAlignment="true" applyProtection="false">
      <alignment horizontal="left" vertical="bottom" textRotation="0" wrapText="true" indent="0" shrinkToFit="false"/>
      <protection locked="true" hidden="false"/>
    </xf>
    <xf numFmtId="164" fontId="7" fillId="3" borderId="1" xfId="0" applyFont="true" applyBorder="true" applyAlignment="true" applyProtection="false">
      <alignment horizontal="right" vertical="bottom" textRotation="0" wrapText="tru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10" fillId="5"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2" fillId="6" borderId="0" xfId="0" applyFont="true" applyBorder="true" applyAlignment="false" applyProtection="false">
      <alignment horizontal="general" vertical="bottom" textRotation="0" wrapText="false" indent="0" shrinkToFit="false"/>
      <protection locked="true" hidden="false"/>
    </xf>
    <xf numFmtId="164" fontId="10" fillId="7" borderId="0" xfId="0" applyFont="true" applyBorder="false" applyAlignment="true" applyProtection="false">
      <alignment horizontal="general" vertical="top" textRotation="0" wrapText="true" indent="0" shrinkToFit="false"/>
      <protection locked="true" hidden="false"/>
    </xf>
    <xf numFmtId="164" fontId="11" fillId="7"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5" fontId="7" fillId="3" borderId="1"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6EA"/>
      <rgbColor rgb="FFEEF2F8"/>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F4F6FA"/>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B8954A"/>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123.75" hidden="false" customHeight="true" outlineLevel="0" collapsed="false">
      <c r="A4" s="6" t="s">
        <v>22</v>
      </c>
      <c r="B4" s="6"/>
      <c r="C4" s="6"/>
      <c r="D4" s="6"/>
      <c r="E4" s="6"/>
      <c r="F4" s="6"/>
      <c r="G4" s="6"/>
    </row>
    <row r="5" customFormat="false" ht="108.75" hidden="false" customHeight="true" outlineLevel="0" collapsed="false">
      <c r="A5" s="7" t="s">
        <v>23</v>
      </c>
      <c r="B5" s="7"/>
      <c r="C5" s="7"/>
      <c r="D5" s="7"/>
      <c r="E5" s="7"/>
      <c r="F5" s="7"/>
      <c r="G5" s="7"/>
    </row>
    <row r="7" customFormat="false" ht="15" hidden="false" customHeight="false" outlineLevel="0" collapsed="false">
      <c r="A7" s="8" t="s">
        <v>24</v>
      </c>
      <c r="B7" s="9" t="s">
        <v>25</v>
      </c>
    </row>
    <row r="8" customFormat="false" ht="26.85" hidden="false" customHeight="false" outlineLevel="0" collapsed="false">
      <c r="A8" s="10" t="s">
        <v>26</v>
      </c>
      <c r="B8" s="11" t="s">
        <v>27</v>
      </c>
    </row>
    <row r="9" customFormat="false" ht="39.55" hidden="false" customHeight="false" outlineLevel="0" collapsed="false">
      <c r="A9" s="12" t="s">
        <v>28</v>
      </c>
      <c r="B9" s="13" t="s">
        <v>29</v>
      </c>
    </row>
    <row r="10" customFormat="false" ht="26.85" hidden="false" customHeight="false" outlineLevel="0" collapsed="false">
      <c r="A10" s="10" t="s">
        <v>30</v>
      </c>
      <c r="B10" s="11" t="s">
        <v>31</v>
      </c>
    </row>
    <row r="11" customFormat="false" ht="39.55" hidden="false" customHeight="false" outlineLevel="0" collapsed="false">
      <c r="A11" s="12" t="s">
        <v>32</v>
      </c>
      <c r="B11" s="13" t="s">
        <v>33</v>
      </c>
    </row>
    <row r="12" customFormat="false" ht="39.55" hidden="false" customHeight="false" outlineLevel="0" collapsed="false">
      <c r="A12" s="10" t="s">
        <v>34</v>
      </c>
      <c r="B12" s="11" t="s">
        <v>35</v>
      </c>
    </row>
    <row r="13" customFormat="false" ht="39.55" hidden="false" customHeight="false" outlineLevel="0" collapsed="false">
      <c r="A13" s="12" t="s">
        <v>36</v>
      </c>
      <c r="B13" s="13" t="s">
        <v>37</v>
      </c>
    </row>
    <row r="14" customFormat="false" ht="39.55" hidden="false" customHeight="false" outlineLevel="0" collapsed="false">
      <c r="A14" s="10" t="s">
        <v>38</v>
      </c>
      <c r="B14" s="11" t="s">
        <v>39</v>
      </c>
    </row>
    <row r="15" customFormat="false" ht="26.85" hidden="false" customHeight="false" outlineLevel="0" collapsed="false">
      <c r="A15" s="12" t="s">
        <v>40</v>
      </c>
      <c r="B15" s="13" t="s">
        <v>41</v>
      </c>
    </row>
    <row r="16" customFormat="false" ht="15" hidden="false" customHeight="false" outlineLevel="0" collapsed="false">
      <c r="A16" s="10" t="s">
        <v>42</v>
      </c>
      <c r="B16" s="14"/>
    </row>
    <row r="17" customFormat="false" ht="15" hidden="false" customHeight="true" outlineLevel="0" collapsed="false">
      <c r="A17" s="6" t="s">
        <v>43</v>
      </c>
      <c r="B17" s="6"/>
      <c r="C17" s="6"/>
      <c r="D17" s="6"/>
      <c r="E17" s="6"/>
      <c r="F17" s="6"/>
      <c r="G17" s="6"/>
    </row>
    <row r="19" customFormat="false" ht="15" hidden="false" customHeight="false" outlineLevel="0" collapsed="false">
      <c r="A19" s="15" t="s">
        <v>44</v>
      </c>
      <c r="B19" s="15"/>
      <c r="C19" s="15"/>
      <c r="D19" s="15"/>
      <c r="E19" s="15"/>
      <c r="F19" s="15" t="s">
        <v>45</v>
      </c>
      <c r="G19" s="15" t="s">
        <v>46</v>
      </c>
    </row>
    <row r="20" customFormat="false" ht="33.75" hidden="false" customHeight="true" outlineLevel="0" collapsed="false">
      <c r="A20" s="7" t="s">
        <v>47</v>
      </c>
      <c r="B20" s="7"/>
      <c r="C20" s="7"/>
      <c r="D20" s="7"/>
      <c r="E20" s="7"/>
    </row>
    <row r="21" customFormat="false" ht="15" hidden="false" customHeight="true" outlineLevel="0" collapsed="false">
      <c r="A21" s="7" t="s">
        <v>48</v>
      </c>
      <c r="B21" s="7"/>
      <c r="C21" s="7"/>
      <c r="D21" s="7"/>
      <c r="E21" s="7"/>
      <c r="F21" s="16"/>
      <c r="G21" s="17" t="str">
        <f aca="false">IF(F21="","",IF(UPPER(TRIM(F21))="NEI","Riktig","Prøv igjen"))</f>
        <v/>
      </c>
    </row>
    <row r="22" customFormat="false" ht="15" hidden="false" customHeight="true" outlineLevel="0" collapsed="false">
      <c r="A22" s="7" t="s">
        <v>49</v>
      </c>
      <c r="B22" s="7"/>
      <c r="C22" s="7"/>
      <c r="D22" s="7"/>
      <c r="E22" s="7"/>
      <c r="F22" s="16"/>
      <c r="G22" s="17" t="str">
        <f aca="false">IF(F22="","",IF(UPPER(TRIM(F22))="JA","Riktig","Prøv igjen"))</f>
        <v/>
      </c>
    </row>
    <row r="23" customFormat="false" ht="15" hidden="false" customHeight="true" outlineLevel="0" collapsed="false">
      <c r="A23" s="7" t="s">
        <v>50</v>
      </c>
      <c r="B23" s="7"/>
      <c r="C23" s="7"/>
      <c r="D23" s="7"/>
      <c r="E23" s="7"/>
      <c r="F23" s="16"/>
      <c r="G23" s="17" t="str">
        <f aca="false">IF(F23="","",IF(UPPER(TRIM(F23))="JA","Riktig","Prøv igjen"))</f>
        <v/>
      </c>
    </row>
    <row r="24" customFormat="false" ht="15" hidden="false" customHeight="true" outlineLevel="0" collapsed="false">
      <c r="A24" s="7" t="s">
        <v>51</v>
      </c>
      <c r="B24" s="7"/>
      <c r="C24" s="7"/>
      <c r="D24" s="7"/>
      <c r="E24" s="7"/>
      <c r="F24" s="16"/>
      <c r="G24" s="17" t="str">
        <f aca="false">IF(F24="","",IF(UPPER(TRIM(F24))="NEI","Riktig","Prøv igjen"))</f>
        <v/>
      </c>
    </row>
    <row r="25" customFormat="false" ht="15" hidden="false" customHeight="true" outlineLevel="0" collapsed="false">
      <c r="A25" s="7" t="s">
        <v>52</v>
      </c>
      <c r="B25" s="7"/>
      <c r="C25" s="7"/>
      <c r="D25" s="7"/>
      <c r="E25" s="7"/>
      <c r="F25" s="16"/>
      <c r="G25" s="17" t="str">
        <f aca="false">IF(F25="","",IF(UPPER(TRIM(F25))="JA","Riktig","Prøv igjen"))</f>
        <v/>
      </c>
    </row>
    <row r="26" customFormat="false" ht="15" hidden="false" customHeight="true" outlineLevel="0" collapsed="false">
      <c r="A26" s="7" t="s">
        <v>53</v>
      </c>
      <c r="B26" s="7"/>
      <c r="C26" s="7"/>
      <c r="D26" s="7"/>
      <c r="E26" s="7"/>
      <c r="F26" s="16"/>
      <c r="G26" s="17" t="str">
        <f aca="false">IF(F26="","",IF(UPPER(TRIM(F26))="NEI","Riktig","Prøv igjen"))</f>
        <v/>
      </c>
    </row>
    <row r="27" customFormat="false" ht="48.75" hidden="false" customHeight="true" outlineLevel="0" collapsed="false">
      <c r="A27" s="7" t="s">
        <v>54</v>
      </c>
      <c r="B27" s="7"/>
      <c r="C27" s="7"/>
      <c r="D27" s="7"/>
      <c r="E27" s="7"/>
      <c r="F27" s="16"/>
      <c r="G27" s="17" t="str">
        <f aca="false">IF(F27="","",IF(UPPER(TRIM(F27))="B","Riktig","Prøv igjen"))</f>
        <v/>
      </c>
    </row>
    <row r="28" customFormat="false" ht="33.75" hidden="false" customHeight="true" outlineLevel="0" collapsed="false">
      <c r="A28" s="7" t="s">
        <v>55</v>
      </c>
      <c r="B28" s="7"/>
      <c r="C28" s="7"/>
      <c r="D28" s="7"/>
      <c r="E28" s="7"/>
      <c r="F28" s="14"/>
      <c r="G28" s="17" t="str">
        <f aca="false">IF(F28="","",IF(ABS(F28-(82154))&lt;=60,"Riktig","Prøv igjen"))</f>
        <v/>
      </c>
    </row>
    <row r="29" customFormat="false" ht="30" hidden="false" customHeight="true" outlineLevel="0" collapsed="false">
      <c r="A29" s="18" t="s">
        <v>56</v>
      </c>
      <c r="B29" s="19" t="s">
        <v>57</v>
      </c>
      <c r="C29" s="19"/>
      <c r="D29" s="19"/>
      <c r="E29" s="19"/>
      <c r="F29" s="19"/>
      <c r="G29" s="19"/>
    </row>
    <row r="31" customFormat="false" ht="63.75" hidden="false" customHeight="true" outlineLevel="0" collapsed="false">
      <c r="A31" s="7" t="s">
        <v>58</v>
      </c>
      <c r="B31" s="7"/>
      <c r="C31" s="7"/>
      <c r="D31" s="7"/>
      <c r="E31" s="7"/>
      <c r="F31" s="16"/>
      <c r="G31" s="17" t="str">
        <f aca="false">IF(F31="","",IF(UPPER(TRIM(F31))="B","Riktig","Prøv igjen"))</f>
        <v/>
      </c>
    </row>
    <row r="32" customFormat="false" ht="33.75" hidden="false" customHeight="true" outlineLevel="0" collapsed="false">
      <c r="A32" s="7" t="s">
        <v>59</v>
      </c>
      <c r="B32" s="7"/>
      <c r="C32" s="7"/>
      <c r="D32" s="7"/>
      <c r="E32" s="7"/>
    </row>
    <row r="33" customFormat="false" ht="15" hidden="false" customHeight="false" outlineLevel="0" collapsed="false">
      <c r="A33" s="20"/>
      <c r="B33" s="20"/>
      <c r="C33" s="20"/>
      <c r="D33" s="20"/>
      <c r="E33" s="20"/>
      <c r="F33" s="20"/>
      <c r="G33" s="20"/>
    </row>
    <row r="34" customFormat="false" ht="15" hidden="false" customHeight="false" outlineLevel="0" collapsed="false">
      <c r="A34" s="20"/>
      <c r="B34" s="20"/>
      <c r="C34" s="20"/>
      <c r="D34" s="20"/>
      <c r="E34" s="20"/>
      <c r="F34" s="20"/>
      <c r="G34" s="20"/>
    </row>
    <row r="35" customFormat="false" ht="15" hidden="false" customHeight="false" outlineLevel="0" collapsed="false">
      <c r="A35" s="20"/>
      <c r="B35" s="20"/>
      <c r="C35" s="20"/>
      <c r="D35" s="20"/>
      <c r="E35" s="20"/>
      <c r="F35" s="20"/>
      <c r="G35" s="20"/>
    </row>
    <row r="36" customFormat="false" ht="42.75" hidden="false" customHeight="true" outlineLevel="0" collapsed="false">
      <c r="A36" s="18" t="s">
        <v>56</v>
      </c>
      <c r="B36" s="19" t="s">
        <v>60</v>
      </c>
      <c r="C36" s="19"/>
      <c r="D36" s="19"/>
      <c r="E36" s="19"/>
      <c r="F36" s="19"/>
      <c r="G36" s="19"/>
    </row>
    <row r="39" customFormat="false" ht="15" hidden="false" customHeight="false" outlineLevel="0" collapsed="false">
      <c r="A39" s="21" t="s">
        <v>61</v>
      </c>
      <c r="B39" s="21"/>
      <c r="C39" s="21"/>
      <c r="D39" s="21"/>
      <c r="E39" s="21"/>
      <c r="F39" s="21"/>
      <c r="G39" s="21"/>
    </row>
    <row r="40" customFormat="false" ht="30" hidden="false" customHeight="true" outlineLevel="0" collapsed="false">
      <c r="A40" s="22" t="s">
        <v>62</v>
      </c>
      <c r="B40" s="23" t="s">
        <v>63</v>
      </c>
      <c r="C40" s="23"/>
      <c r="D40" s="23"/>
      <c r="E40" s="23"/>
      <c r="F40" s="23"/>
      <c r="G40" s="23"/>
    </row>
    <row r="41" customFormat="false" ht="30" hidden="false" customHeight="true" outlineLevel="0" collapsed="false">
      <c r="A41" s="22" t="s">
        <v>64</v>
      </c>
      <c r="B41" s="23" t="s">
        <v>65</v>
      </c>
      <c r="C41" s="23"/>
      <c r="D41" s="23"/>
      <c r="E41" s="23"/>
      <c r="F41" s="23"/>
      <c r="G41" s="23"/>
    </row>
    <row r="43" customFormat="false" ht="63.75" hidden="false" customHeight="true" outlineLevel="0" collapsed="false">
      <c r="A43" s="6" t="s">
        <v>66</v>
      </c>
      <c r="B43" s="6"/>
      <c r="C43" s="6"/>
      <c r="D43" s="6"/>
      <c r="E43" s="6"/>
      <c r="F43" s="6"/>
      <c r="G43" s="6"/>
    </row>
    <row r="44" customFormat="false" ht="15" hidden="false" customHeight="true" outlineLevel="0" collapsed="false">
      <c r="A44" s="6" t="s">
        <v>67</v>
      </c>
      <c r="B44" s="6"/>
      <c r="C44" s="6"/>
      <c r="D44" s="6"/>
      <c r="E44" s="6"/>
      <c r="F44" s="6"/>
      <c r="G44" s="6"/>
    </row>
  </sheetData>
  <mergeCells count="23">
    <mergeCell ref="A4:G4"/>
    <mergeCell ref="A5:G5"/>
    <mergeCell ref="A17:G17"/>
    <mergeCell ref="A19:E19"/>
    <mergeCell ref="A20:E20"/>
    <mergeCell ref="A21:E21"/>
    <mergeCell ref="A22:E22"/>
    <mergeCell ref="A23:E23"/>
    <mergeCell ref="A24:E24"/>
    <mergeCell ref="A25:E25"/>
    <mergeCell ref="A26:E26"/>
    <mergeCell ref="A27:E27"/>
    <mergeCell ref="A28:E28"/>
    <mergeCell ref="B29:G29"/>
    <mergeCell ref="A31:E31"/>
    <mergeCell ref="A32:E32"/>
    <mergeCell ref="A33:G35"/>
    <mergeCell ref="B36:G36"/>
    <mergeCell ref="A39:G39"/>
    <mergeCell ref="B40:G40"/>
    <mergeCell ref="B41:G41"/>
    <mergeCell ref="A43:G43"/>
    <mergeCell ref="A44:G44"/>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68</v>
      </c>
    </row>
    <row r="2" customFormat="false" ht="15" hidden="false" customHeight="false" outlineLevel="0" collapsed="false">
      <c r="A2" s="2" t="s">
        <v>21</v>
      </c>
    </row>
    <row r="4" customFormat="false" ht="93.75" hidden="false" customHeight="true" outlineLevel="0" collapsed="false">
      <c r="A4" s="6" t="s">
        <v>69</v>
      </c>
      <c r="B4" s="6"/>
      <c r="C4" s="6"/>
      <c r="D4" s="6"/>
      <c r="E4" s="6"/>
      <c r="F4" s="6"/>
      <c r="G4" s="6"/>
    </row>
    <row r="5" customFormat="false" ht="93.75" hidden="false" customHeight="true" outlineLevel="0" collapsed="false">
      <c r="A5" s="7" t="s">
        <v>70</v>
      </c>
      <c r="B5" s="7"/>
      <c r="C5" s="7"/>
      <c r="D5" s="7"/>
      <c r="E5" s="7"/>
      <c r="F5" s="7"/>
      <c r="G5" s="7"/>
    </row>
    <row r="7" customFormat="false" ht="15" hidden="false" customHeight="false" outlineLevel="0" collapsed="false">
      <c r="A7" s="15" t="s">
        <v>71</v>
      </c>
      <c r="B7" s="15" t="s">
        <v>72</v>
      </c>
      <c r="C7" s="15"/>
      <c r="D7" s="15"/>
      <c r="E7" s="15"/>
      <c r="F7" s="15"/>
      <c r="G7" s="15"/>
    </row>
    <row r="8" customFormat="false" ht="18.75" hidden="false" customHeight="true" outlineLevel="0" collapsed="false">
      <c r="A8" s="24" t="s">
        <v>73</v>
      </c>
      <c r="B8" s="7" t="s">
        <v>74</v>
      </c>
      <c r="C8" s="7"/>
      <c r="D8" s="7"/>
      <c r="E8" s="7"/>
      <c r="F8" s="7"/>
      <c r="G8" s="7"/>
    </row>
    <row r="9" customFormat="false" ht="18.75" hidden="false" customHeight="true" outlineLevel="0" collapsed="false">
      <c r="A9" s="24" t="s">
        <v>75</v>
      </c>
      <c r="B9" s="7" t="s">
        <v>76</v>
      </c>
      <c r="C9" s="7"/>
      <c r="D9" s="7"/>
      <c r="E9" s="7"/>
      <c r="F9" s="7"/>
      <c r="G9" s="7"/>
    </row>
    <row r="10" customFormat="false" ht="18.75" hidden="false" customHeight="true" outlineLevel="0" collapsed="false">
      <c r="A10" s="24" t="s">
        <v>77</v>
      </c>
      <c r="B10" s="7" t="s">
        <v>78</v>
      </c>
      <c r="C10" s="7"/>
      <c r="D10" s="7"/>
      <c r="E10" s="7"/>
      <c r="F10" s="7"/>
      <c r="G10" s="7"/>
    </row>
    <row r="11" customFormat="false" ht="18.75" hidden="false" customHeight="true" outlineLevel="0" collapsed="false">
      <c r="A11" s="24" t="s">
        <v>79</v>
      </c>
      <c r="B11" s="7" t="s">
        <v>80</v>
      </c>
      <c r="C11" s="7"/>
      <c r="D11" s="7"/>
      <c r="E11" s="7"/>
      <c r="F11" s="7"/>
      <c r="G11" s="7"/>
    </row>
    <row r="12" customFormat="false" ht="18.75" hidden="false" customHeight="true" outlineLevel="0" collapsed="false">
      <c r="A12" s="24" t="s">
        <v>81</v>
      </c>
      <c r="B12" s="7" t="s">
        <v>82</v>
      </c>
      <c r="C12" s="7"/>
      <c r="D12" s="7"/>
      <c r="E12" s="7"/>
      <c r="F12" s="7"/>
      <c r="G12" s="7"/>
    </row>
    <row r="13" customFormat="false" ht="18.75" hidden="false" customHeight="true" outlineLevel="0" collapsed="false">
      <c r="A13" s="24" t="s">
        <v>83</v>
      </c>
      <c r="B13" s="7" t="s">
        <v>84</v>
      </c>
      <c r="C13" s="7"/>
      <c r="D13" s="7"/>
      <c r="E13" s="7"/>
      <c r="F13" s="7"/>
      <c r="G13" s="7"/>
    </row>
    <row r="14" customFormat="false" ht="18.75" hidden="false" customHeight="true" outlineLevel="0" collapsed="false">
      <c r="A14" s="24" t="s">
        <v>85</v>
      </c>
      <c r="B14" s="7" t="s">
        <v>86</v>
      </c>
      <c r="C14" s="7"/>
      <c r="D14" s="7"/>
      <c r="E14" s="7"/>
      <c r="F14" s="7"/>
      <c r="G14" s="7"/>
    </row>
    <row r="15" customFormat="false" ht="18.75" hidden="false" customHeight="true" outlineLevel="0" collapsed="false">
      <c r="A15" s="24" t="s">
        <v>87</v>
      </c>
      <c r="B15" s="7" t="s">
        <v>88</v>
      </c>
      <c r="C15" s="7"/>
      <c r="D15" s="7"/>
      <c r="E15" s="7"/>
      <c r="F15" s="7"/>
      <c r="G15" s="7"/>
    </row>
    <row r="17" customFormat="false" ht="15" hidden="false" customHeight="false" outlineLevel="0" collapsed="false">
      <c r="A17" s="15" t="s">
        <v>44</v>
      </c>
      <c r="B17" s="15"/>
      <c r="C17" s="15"/>
      <c r="D17" s="15"/>
      <c r="E17" s="15"/>
      <c r="F17" s="15" t="s">
        <v>45</v>
      </c>
      <c r="G17" s="15" t="s">
        <v>46</v>
      </c>
    </row>
    <row r="18" customFormat="false" ht="63.75" hidden="false" customHeight="true" outlineLevel="0" collapsed="false">
      <c r="A18" s="7" t="s">
        <v>89</v>
      </c>
      <c r="B18" s="7"/>
      <c r="C18" s="7"/>
      <c r="D18" s="7"/>
      <c r="E18" s="7"/>
      <c r="F18" s="16"/>
      <c r="G18" s="17" t="str">
        <f aca="false">IF(F18="","",IF(UPPER(TRIM(F18))="B","Riktig","Prøv igjen"))</f>
        <v/>
      </c>
    </row>
    <row r="19" customFormat="false" ht="18.75" hidden="false" customHeight="true" outlineLevel="0" collapsed="false">
      <c r="A19" s="7" t="s">
        <v>90</v>
      </c>
      <c r="B19" s="7"/>
      <c r="C19" s="7"/>
      <c r="D19" s="7"/>
      <c r="E19" s="7"/>
    </row>
    <row r="20" customFormat="false" ht="15" hidden="false" customHeight="true" outlineLevel="0" collapsed="false">
      <c r="A20" s="7" t="s">
        <v>91</v>
      </c>
      <c r="B20" s="7"/>
      <c r="C20" s="7"/>
      <c r="D20" s="7"/>
      <c r="E20" s="7"/>
      <c r="F20" s="16"/>
      <c r="G20" s="17" t="str">
        <f aca="false">IF(F20="","",IF(UPPER(TRIM(F20))="JA","Riktig","Prøv igjen"))</f>
        <v/>
      </c>
    </row>
    <row r="21" customFormat="false" ht="15" hidden="false" customHeight="true" outlineLevel="0" collapsed="false">
      <c r="A21" s="7" t="s">
        <v>92</v>
      </c>
      <c r="B21" s="7"/>
      <c r="C21" s="7"/>
      <c r="D21" s="7"/>
      <c r="E21" s="7"/>
      <c r="F21" s="16"/>
      <c r="G21" s="17" t="str">
        <f aca="false">IF(F21="","",IF(UPPER(TRIM(F21))="JA","Riktig","Prøv igjen"))</f>
        <v/>
      </c>
    </row>
    <row r="22" customFormat="false" ht="15" hidden="false" customHeight="true" outlineLevel="0" collapsed="false">
      <c r="A22" s="7" t="s">
        <v>93</v>
      </c>
      <c r="B22" s="7"/>
      <c r="C22" s="7"/>
      <c r="D22" s="7"/>
      <c r="E22" s="7"/>
      <c r="F22" s="16"/>
      <c r="G22" s="17" t="str">
        <f aca="false">IF(F22="","",IF(UPPER(TRIM(F22))="JA","Riktig","Prøv igjen"))</f>
        <v/>
      </c>
    </row>
    <row r="23" customFormat="false" ht="15" hidden="false" customHeight="true" outlineLevel="0" collapsed="false">
      <c r="A23" s="7" t="s">
        <v>94</v>
      </c>
      <c r="B23" s="7"/>
      <c r="C23" s="7"/>
      <c r="D23" s="7"/>
      <c r="E23" s="7"/>
      <c r="F23" s="16"/>
      <c r="G23" s="17" t="str">
        <f aca="false">IF(F23="","",IF(UPPER(TRIM(F23))="NEI","Riktig","Prøv igjen"))</f>
        <v/>
      </c>
    </row>
    <row r="24" customFormat="false" ht="15" hidden="false" customHeight="true" outlineLevel="0" collapsed="false">
      <c r="A24" s="7" t="s">
        <v>95</v>
      </c>
      <c r="B24" s="7"/>
      <c r="C24" s="7"/>
      <c r="D24" s="7"/>
      <c r="E24" s="7"/>
      <c r="F24" s="16"/>
      <c r="G24" s="17" t="str">
        <f aca="false">IF(F24="","",IF(UPPER(TRIM(F24))="NEI","Riktig","Prøv igjen"))</f>
        <v/>
      </c>
    </row>
    <row r="25" customFormat="false" ht="33.75" hidden="false" customHeight="true" outlineLevel="0" collapsed="false">
      <c r="A25" s="7" t="s">
        <v>96</v>
      </c>
      <c r="B25" s="7"/>
      <c r="C25" s="7"/>
      <c r="D25" s="7"/>
      <c r="E25" s="7"/>
      <c r="F25" s="14"/>
      <c r="G25" s="17" t="str">
        <f aca="false">IF(F25="","",IF(ABS(F25-(103833))&lt;=10,"Riktig","Prøv igjen"))</f>
        <v/>
      </c>
    </row>
    <row r="26" customFormat="false" ht="30" hidden="false" customHeight="true" outlineLevel="0" collapsed="false">
      <c r="A26" s="18" t="s">
        <v>56</v>
      </c>
      <c r="B26" s="19" t="s">
        <v>97</v>
      </c>
      <c r="C26" s="19"/>
      <c r="D26" s="19"/>
      <c r="E26" s="19"/>
      <c r="F26" s="19"/>
      <c r="G26" s="19"/>
    </row>
    <row r="28" customFormat="false" ht="63.75" hidden="false" customHeight="true" outlineLevel="0" collapsed="false">
      <c r="A28" s="7" t="s">
        <v>98</v>
      </c>
      <c r="B28" s="7"/>
      <c r="C28" s="7"/>
      <c r="D28" s="7"/>
      <c r="E28" s="7"/>
      <c r="F28" s="16"/>
      <c r="G28" s="17" t="str">
        <f aca="false">IF(F28="","",IF(UPPER(TRIM(F28))="B","Riktig","Prøv igjen"))</f>
        <v/>
      </c>
    </row>
    <row r="29" customFormat="false" ht="33.75" hidden="false" customHeight="true" outlineLevel="0" collapsed="false">
      <c r="A29" s="7" t="s">
        <v>99</v>
      </c>
      <c r="B29" s="7"/>
      <c r="C29" s="7"/>
      <c r="D29" s="7"/>
      <c r="E29" s="7"/>
    </row>
    <row r="30" customFormat="false" ht="15" hidden="false" customHeight="false" outlineLevel="0" collapsed="false">
      <c r="A30" s="20"/>
      <c r="B30" s="20"/>
      <c r="C30" s="20"/>
      <c r="D30" s="20"/>
      <c r="E30" s="20"/>
      <c r="F30" s="20"/>
      <c r="G30" s="20"/>
    </row>
    <row r="31" customFormat="false" ht="15" hidden="false" customHeight="false" outlineLevel="0" collapsed="false">
      <c r="A31" s="20"/>
      <c r="B31" s="20"/>
      <c r="C31" s="20"/>
      <c r="D31" s="20"/>
      <c r="E31" s="20"/>
      <c r="F31" s="20"/>
      <c r="G31" s="20"/>
    </row>
    <row r="32" customFormat="false" ht="15" hidden="false" customHeight="false" outlineLevel="0" collapsed="false">
      <c r="A32" s="20"/>
      <c r="B32" s="20"/>
      <c r="C32" s="20"/>
      <c r="D32" s="20"/>
      <c r="E32" s="20"/>
      <c r="F32" s="20"/>
      <c r="G32" s="20"/>
    </row>
    <row r="33" customFormat="false" ht="30" hidden="false" customHeight="true" outlineLevel="0" collapsed="false">
      <c r="A33" s="18" t="s">
        <v>56</v>
      </c>
      <c r="B33" s="19" t="s">
        <v>100</v>
      </c>
      <c r="C33" s="19"/>
      <c r="D33" s="19"/>
      <c r="E33" s="19"/>
      <c r="F33" s="19"/>
      <c r="G33" s="19"/>
    </row>
    <row r="36" customFormat="false" ht="15" hidden="false" customHeight="false" outlineLevel="0" collapsed="false">
      <c r="A36" s="21" t="s">
        <v>61</v>
      </c>
      <c r="B36" s="21"/>
      <c r="C36" s="21"/>
      <c r="D36" s="21"/>
      <c r="E36" s="21"/>
      <c r="F36" s="21"/>
      <c r="G36" s="21"/>
    </row>
    <row r="37" customFormat="false" ht="30" hidden="false" customHeight="true" outlineLevel="0" collapsed="false">
      <c r="A37" s="22" t="s">
        <v>101</v>
      </c>
      <c r="B37" s="23" t="s">
        <v>102</v>
      </c>
      <c r="C37" s="23"/>
      <c r="D37" s="23"/>
      <c r="E37" s="23"/>
      <c r="F37" s="23"/>
      <c r="G37" s="23"/>
    </row>
    <row r="38" customFormat="false" ht="30" hidden="false" customHeight="true" outlineLevel="0" collapsed="false">
      <c r="A38" s="22" t="s">
        <v>103</v>
      </c>
      <c r="B38" s="23" t="s">
        <v>104</v>
      </c>
      <c r="C38" s="23"/>
      <c r="D38" s="23"/>
      <c r="E38" s="23"/>
      <c r="F38" s="23"/>
      <c r="G38" s="23"/>
    </row>
    <row r="40" customFormat="false" ht="48.75" hidden="false" customHeight="true" outlineLevel="0" collapsed="false">
      <c r="A40" s="6" t="s">
        <v>105</v>
      </c>
      <c r="B40" s="6"/>
      <c r="C40" s="6"/>
      <c r="D40" s="6"/>
      <c r="E40" s="6"/>
      <c r="F40" s="6"/>
      <c r="G40" s="6"/>
    </row>
    <row r="41" customFormat="false" ht="15" hidden="false" customHeight="true" outlineLevel="0" collapsed="false">
      <c r="A41" s="6" t="s">
        <v>67</v>
      </c>
      <c r="B41" s="6"/>
      <c r="C41" s="6"/>
      <c r="D41" s="6"/>
      <c r="E41" s="6"/>
      <c r="F41" s="6"/>
      <c r="G41" s="6"/>
    </row>
  </sheetData>
  <mergeCells count="30">
    <mergeCell ref="A4:G4"/>
    <mergeCell ref="A5:G5"/>
    <mergeCell ref="B7:G7"/>
    <mergeCell ref="B8:G8"/>
    <mergeCell ref="B9:G9"/>
    <mergeCell ref="B10:G10"/>
    <mergeCell ref="B11:G11"/>
    <mergeCell ref="B12:G12"/>
    <mergeCell ref="B13:G13"/>
    <mergeCell ref="B14:G14"/>
    <mergeCell ref="B15:G15"/>
    <mergeCell ref="A17:E17"/>
    <mergeCell ref="A18:E18"/>
    <mergeCell ref="A19:E19"/>
    <mergeCell ref="A20:E20"/>
    <mergeCell ref="A21:E21"/>
    <mergeCell ref="A22:E22"/>
    <mergeCell ref="A23:E23"/>
    <mergeCell ref="A24:E24"/>
    <mergeCell ref="A25:E25"/>
    <mergeCell ref="B26:G26"/>
    <mergeCell ref="A28:E28"/>
    <mergeCell ref="A29:E29"/>
    <mergeCell ref="A30:G32"/>
    <mergeCell ref="B33:G33"/>
    <mergeCell ref="A36:G36"/>
    <mergeCell ref="B37:G37"/>
    <mergeCell ref="B38:G38"/>
    <mergeCell ref="A40:G40"/>
    <mergeCell ref="A41:G4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106</v>
      </c>
    </row>
    <row r="2" customFormat="false" ht="15" hidden="false" customHeight="false" outlineLevel="0" collapsed="false">
      <c r="A2" s="2" t="s">
        <v>21</v>
      </c>
    </row>
    <row r="4" customFormat="false" ht="108.75" hidden="false" customHeight="true" outlineLevel="0" collapsed="false">
      <c r="A4" s="6" t="s">
        <v>107</v>
      </c>
      <c r="B4" s="6"/>
      <c r="C4" s="6"/>
      <c r="D4" s="6"/>
      <c r="E4" s="6"/>
      <c r="F4" s="6"/>
      <c r="G4" s="6"/>
    </row>
    <row r="5" customFormat="false" ht="108.75" hidden="false" customHeight="true" outlineLevel="0" collapsed="false">
      <c r="A5" s="7" t="s">
        <v>108</v>
      </c>
      <c r="B5" s="7"/>
      <c r="C5" s="7"/>
      <c r="D5" s="7"/>
      <c r="E5" s="7"/>
      <c r="F5" s="7"/>
      <c r="G5" s="7"/>
    </row>
    <row r="7" customFormat="false" ht="15" hidden="false" customHeight="false" outlineLevel="0" collapsed="false">
      <c r="A7" s="8" t="s">
        <v>109</v>
      </c>
      <c r="B7" s="9" t="s">
        <v>110</v>
      </c>
    </row>
    <row r="8" customFormat="false" ht="15" hidden="false" customHeight="false" outlineLevel="0" collapsed="false">
      <c r="A8" s="10" t="s">
        <v>111</v>
      </c>
      <c r="B8" s="25" t="n">
        <v>5</v>
      </c>
    </row>
    <row r="9" customFormat="false" ht="15" hidden="false" customHeight="false" outlineLevel="0" collapsed="false">
      <c r="A9" s="12" t="s">
        <v>112</v>
      </c>
      <c r="B9" s="26" t="n">
        <v>5</v>
      </c>
    </row>
    <row r="10" customFormat="false" ht="15" hidden="false" customHeight="false" outlineLevel="0" collapsed="false">
      <c r="A10" s="10" t="s">
        <v>113</v>
      </c>
      <c r="B10" s="25" t="n">
        <v>7</v>
      </c>
    </row>
    <row r="11" customFormat="false" ht="15" hidden="false" customHeight="false" outlineLevel="0" collapsed="false">
      <c r="A11" s="12" t="s">
        <v>114</v>
      </c>
      <c r="B11" s="26" t="n">
        <v>2</v>
      </c>
    </row>
    <row r="12" customFormat="false" ht="15" hidden="false" customHeight="false" outlineLevel="0" collapsed="false">
      <c r="A12" s="10" t="s">
        <v>115</v>
      </c>
      <c r="B12" s="25" t="n">
        <v>1</v>
      </c>
    </row>
    <row r="13" customFormat="false" ht="15" hidden="false" customHeight="false" outlineLevel="0" collapsed="false">
      <c r="A13" s="12" t="s">
        <v>116</v>
      </c>
      <c r="B13" s="26" t="n">
        <v>12</v>
      </c>
    </row>
    <row r="14" customFormat="false" ht="15" hidden="false" customHeight="false" outlineLevel="0" collapsed="false">
      <c r="A14" s="10" t="s">
        <v>117</v>
      </c>
      <c r="B14" s="25" t="n">
        <v>890</v>
      </c>
    </row>
    <row r="15" customFormat="false" ht="15" hidden="false" customHeight="false" outlineLevel="0" collapsed="false">
      <c r="A15" s="12" t="s">
        <v>118</v>
      </c>
      <c r="B15" s="14"/>
    </row>
    <row r="16" customFormat="false" ht="15" hidden="false" customHeight="false" outlineLevel="0" collapsed="false">
      <c r="A16" s="10" t="s">
        <v>119</v>
      </c>
      <c r="B16" s="14"/>
    </row>
    <row r="17" customFormat="false" ht="15" hidden="false" customHeight="true" outlineLevel="0" collapsed="false">
      <c r="A17" s="6" t="s">
        <v>43</v>
      </c>
      <c r="B17" s="6"/>
      <c r="C17" s="6"/>
      <c r="D17" s="6"/>
      <c r="E17" s="6"/>
      <c r="F17" s="6"/>
      <c r="G17" s="6"/>
    </row>
    <row r="19" customFormat="false" ht="15" hidden="false" customHeight="false" outlineLevel="0" collapsed="false">
      <c r="A19" s="15" t="s">
        <v>44</v>
      </c>
      <c r="B19" s="15"/>
      <c r="C19" s="15"/>
      <c r="D19" s="15"/>
      <c r="E19" s="15"/>
      <c r="F19" s="15" t="s">
        <v>45</v>
      </c>
      <c r="G19" s="15" t="s">
        <v>46</v>
      </c>
    </row>
    <row r="20" customFormat="false" ht="33.75" hidden="false" customHeight="true" outlineLevel="0" collapsed="false">
      <c r="A20" s="7" t="s">
        <v>120</v>
      </c>
      <c r="B20" s="7"/>
      <c r="C20" s="7"/>
      <c r="D20" s="7"/>
      <c r="E20" s="7"/>
      <c r="F20" s="14"/>
      <c r="G20" s="17" t="str">
        <f aca="false">IF(F20="","",IF(ABS(F20-(21))&lt;=0.000000001,"Riktig","Prøv igjen"))</f>
        <v/>
      </c>
    </row>
    <row r="21" customFormat="false" ht="30" hidden="false" customHeight="true" outlineLevel="0" collapsed="false">
      <c r="A21" s="18" t="s">
        <v>56</v>
      </c>
      <c r="B21" s="19" t="s">
        <v>121</v>
      </c>
      <c r="C21" s="19"/>
      <c r="D21" s="19"/>
      <c r="E21" s="19"/>
      <c r="F21" s="19"/>
      <c r="G21" s="19"/>
    </row>
    <row r="23" customFormat="false" ht="33.75" hidden="false" customHeight="true" outlineLevel="0" collapsed="false">
      <c r="A23" s="7" t="s">
        <v>122</v>
      </c>
      <c r="B23" s="7"/>
      <c r="C23" s="7"/>
      <c r="D23" s="7"/>
      <c r="E23" s="7"/>
      <c r="F23" s="14"/>
      <c r="G23" s="17" t="str">
        <f aca="false">IF(F23="","",IF(ABS(F23-(32040))&lt;=1,"Riktig","Prøv igjen"))</f>
        <v/>
      </c>
    </row>
    <row r="24" customFormat="false" ht="30" hidden="false" customHeight="true" outlineLevel="0" collapsed="false">
      <c r="A24" s="18" t="s">
        <v>56</v>
      </c>
      <c r="B24" s="19" t="s">
        <v>123</v>
      </c>
      <c r="C24" s="19"/>
      <c r="D24" s="19"/>
      <c r="E24" s="19"/>
      <c r="F24" s="19"/>
      <c r="G24" s="19"/>
    </row>
    <row r="26" customFormat="false" ht="33.75" hidden="false" customHeight="true" outlineLevel="0" collapsed="false">
      <c r="A26" s="7" t="s">
        <v>124</v>
      </c>
      <c r="B26" s="7"/>
      <c r="C26" s="7"/>
      <c r="D26" s="7"/>
      <c r="E26" s="7"/>
    </row>
    <row r="27" customFormat="false" ht="15" hidden="false" customHeight="true" outlineLevel="0" collapsed="false">
      <c r="A27" s="7" t="s">
        <v>125</v>
      </c>
      <c r="B27" s="7"/>
      <c r="C27" s="7"/>
      <c r="D27" s="7"/>
      <c r="E27" s="7"/>
      <c r="F27" s="16"/>
      <c r="G27" s="17" t="str">
        <f aca="false">IF(F27="","",IF(UPPER(TRIM(F27))="JA","Riktig","Prøv igjen"))</f>
        <v/>
      </c>
    </row>
    <row r="28" customFormat="false" ht="15" hidden="false" customHeight="true" outlineLevel="0" collapsed="false">
      <c r="A28" s="7" t="s">
        <v>126</v>
      </c>
      <c r="B28" s="7"/>
      <c r="C28" s="7"/>
      <c r="D28" s="7"/>
      <c r="E28" s="7"/>
      <c r="F28" s="16"/>
      <c r="G28" s="17" t="str">
        <f aca="false">IF(F28="","",IF(UPPER(TRIM(F28))="NEI","Riktig","Prøv igjen"))</f>
        <v/>
      </c>
    </row>
    <row r="29" customFormat="false" ht="15" hidden="false" customHeight="true" outlineLevel="0" collapsed="false">
      <c r="A29" s="7" t="s">
        <v>127</v>
      </c>
      <c r="B29" s="7"/>
      <c r="C29" s="7"/>
      <c r="D29" s="7"/>
      <c r="E29" s="7"/>
      <c r="F29" s="16"/>
      <c r="G29" s="17" t="str">
        <f aca="false">IF(F29="","",IF(UPPER(TRIM(F29))="JA","Riktig","Prøv igjen"))</f>
        <v/>
      </c>
    </row>
    <row r="30" customFormat="false" ht="15" hidden="false" customHeight="true" outlineLevel="0" collapsed="false">
      <c r="A30" s="7" t="s">
        <v>128</v>
      </c>
      <c r="B30" s="7"/>
      <c r="C30" s="7"/>
      <c r="D30" s="7"/>
      <c r="E30" s="7"/>
      <c r="F30" s="16"/>
      <c r="G30" s="17" t="str">
        <f aca="false">IF(F30="","",IF(UPPER(TRIM(F30))="NEI","Riktig","Prøv igjen"))</f>
        <v/>
      </c>
    </row>
    <row r="31" customFormat="false" ht="15" hidden="false" customHeight="true" outlineLevel="0" collapsed="false">
      <c r="A31" s="7" t="s">
        <v>129</v>
      </c>
      <c r="B31" s="7"/>
      <c r="C31" s="7"/>
      <c r="D31" s="7"/>
      <c r="E31" s="7"/>
      <c r="F31" s="16"/>
      <c r="G31" s="17" t="str">
        <f aca="false">IF(F31="","",IF(UPPER(TRIM(F31))="JA","Riktig","Prøv igjen"))</f>
        <v/>
      </c>
    </row>
    <row r="32" customFormat="false" ht="63.75" hidden="false" customHeight="true" outlineLevel="0" collapsed="false">
      <c r="A32" s="7" t="s">
        <v>130</v>
      </c>
      <c r="B32" s="7"/>
      <c r="C32" s="7"/>
      <c r="D32" s="7"/>
      <c r="E32" s="7"/>
      <c r="F32" s="16"/>
      <c r="G32" s="17" t="str">
        <f aca="false">IF(F32="","",IF(UPPER(TRIM(F32))="B","Riktig","Prøv igjen"))</f>
        <v/>
      </c>
    </row>
    <row r="33" customFormat="false" ht="33.75" hidden="false" customHeight="true" outlineLevel="0" collapsed="false">
      <c r="A33" s="7" t="s">
        <v>131</v>
      </c>
      <c r="B33" s="7"/>
      <c r="C33" s="7"/>
      <c r="D33" s="7"/>
      <c r="E33" s="7"/>
    </row>
    <row r="34" customFormat="false" ht="15" hidden="false" customHeight="false" outlineLevel="0" collapsed="false">
      <c r="A34" s="20"/>
      <c r="B34" s="20"/>
      <c r="C34" s="20"/>
      <c r="D34" s="20"/>
      <c r="E34" s="20"/>
      <c r="F34" s="20"/>
      <c r="G34" s="20"/>
    </row>
    <row r="35" customFormat="false" ht="15" hidden="false" customHeight="false" outlineLevel="0" collapsed="false">
      <c r="A35" s="20"/>
      <c r="B35" s="20"/>
      <c r="C35" s="20"/>
      <c r="D35" s="20"/>
      <c r="E35" s="20"/>
      <c r="F35" s="20"/>
      <c r="G35" s="20"/>
    </row>
    <row r="36" customFormat="false" ht="15" hidden="false" customHeight="false" outlineLevel="0" collapsed="false">
      <c r="A36" s="20"/>
      <c r="B36" s="20"/>
      <c r="C36" s="20"/>
      <c r="D36" s="20"/>
      <c r="E36" s="20"/>
      <c r="F36" s="20"/>
      <c r="G36" s="20"/>
    </row>
    <row r="37" customFormat="false" ht="30" hidden="false" customHeight="true" outlineLevel="0" collapsed="false">
      <c r="A37" s="18" t="s">
        <v>56</v>
      </c>
      <c r="B37" s="19" t="s">
        <v>132</v>
      </c>
      <c r="C37" s="19"/>
      <c r="D37" s="19"/>
      <c r="E37" s="19"/>
      <c r="F37" s="19"/>
      <c r="G37" s="19"/>
    </row>
    <row r="40" customFormat="false" ht="15" hidden="false" customHeight="false" outlineLevel="0" collapsed="false">
      <c r="A40" s="21" t="s">
        <v>61</v>
      </c>
      <c r="B40" s="21"/>
      <c r="C40" s="21"/>
      <c r="D40" s="21"/>
      <c r="E40" s="21"/>
      <c r="F40" s="21"/>
      <c r="G40" s="21"/>
    </row>
    <row r="41" customFormat="false" ht="30" hidden="false" customHeight="true" outlineLevel="0" collapsed="false">
      <c r="A41" s="22" t="s">
        <v>133</v>
      </c>
      <c r="B41" s="23" t="s">
        <v>134</v>
      </c>
      <c r="C41" s="23"/>
      <c r="D41" s="23"/>
      <c r="E41" s="23"/>
      <c r="F41" s="23"/>
      <c r="G41" s="23"/>
    </row>
    <row r="42" customFormat="false" ht="30" hidden="false" customHeight="true" outlineLevel="0" collapsed="false">
      <c r="A42" s="22" t="s">
        <v>135</v>
      </c>
      <c r="B42" s="23" t="s">
        <v>136</v>
      </c>
      <c r="C42" s="23"/>
      <c r="D42" s="23"/>
      <c r="E42" s="23"/>
      <c r="F42" s="23"/>
      <c r="G42" s="23"/>
    </row>
    <row r="44" customFormat="false" ht="48.75" hidden="false" customHeight="true" outlineLevel="0" collapsed="false">
      <c r="A44" s="6" t="s">
        <v>137</v>
      </c>
      <c r="B44" s="6"/>
      <c r="C44" s="6"/>
      <c r="D44" s="6"/>
      <c r="E44" s="6"/>
      <c r="F44" s="6"/>
      <c r="G44" s="6"/>
    </row>
    <row r="45" customFormat="false" ht="15" hidden="false" customHeight="true" outlineLevel="0" collapsed="false">
      <c r="A45" s="6" t="s">
        <v>67</v>
      </c>
      <c r="B45" s="6"/>
      <c r="C45" s="6"/>
      <c r="D45" s="6"/>
      <c r="E45" s="6"/>
      <c r="F45" s="6"/>
      <c r="G45" s="6"/>
    </row>
  </sheetData>
  <mergeCells count="23">
    <mergeCell ref="A4:G4"/>
    <mergeCell ref="A5:G5"/>
    <mergeCell ref="A17:G17"/>
    <mergeCell ref="A19:E19"/>
    <mergeCell ref="A20:E20"/>
    <mergeCell ref="B21:G21"/>
    <mergeCell ref="A23:E23"/>
    <mergeCell ref="B24:G24"/>
    <mergeCell ref="A26:E26"/>
    <mergeCell ref="A27:E27"/>
    <mergeCell ref="A28:E28"/>
    <mergeCell ref="A29:E29"/>
    <mergeCell ref="A30:E30"/>
    <mergeCell ref="A31:E31"/>
    <mergeCell ref="A32:E32"/>
    <mergeCell ref="A33:E33"/>
    <mergeCell ref="A34:G36"/>
    <mergeCell ref="B37:G37"/>
    <mergeCell ref="A40:G40"/>
    <mergeCell ref="B41:G41"/>
    <mergeCell ref="B42:G42"/>
    <mergeCell ref="A44:G44"/>
    <mergeCell ref="A45:G45"/>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138</v>
      </c>
    </row>
    <row r="2" customFormat="false" ht="15" hidden="false" customHeight="false" outlineLevel="0" collapsed="false">
      <c r="A2" s="2" t="s">
        <v>21</v>
      </c>
    </row>
    <row r="4" customFormat="false" ht="123.75" hidden="false" customHeight="true" outlineLevel="0" collapsed="false">
      <c r="A4" s="6" t="s">
        <v>139</v>
      </c>
      <c r="B4" s="6"/>
      <c r="C4" s="6"/>
      <c r="D4" s="6"/>
      <c r="E4" s="6"/>
      <c r="F4" s="6"/>
      <c r="G4" s="6"/>
    </row>
    <row r="5" customFormat="false" ht="108.75" hidden="false" customHeight="true" outlineLevel="0" collapsed="false">
      <c r="A5" s="7" t="s">
        <v>140</v>
      </c>
      <c r="B5" s="7"/>
      <c r="C5" s="7"/>
      <c r="D5" s="7"/>
      <c r="E5" s="7"/>
      <c r="F5" s="7"/>
      <c r="G5" s="7"/>
    </row>
    <row r="7" customFormat="false" ht="15" hidden="false" customHeight="false" outlineLevel="0" collapsed="false">
      <c r="A7" s="15" t="s">
        <v>71</v>
      </c>
      <c r="B7" s="15" t="s">
        <v>72</v>
      </c>
      <c r="C7" s="15"/>
      <c r="D7" s="15"/>
      <c r="E7" s="15"/>
      <c r="F7" s="15"/>
      <c r="G7" s="15"/>
    </row>
    <row r="8" customFormat="false" ht="18.75" hidden="false" customHeight="true" outlineLevel="0" collapsed="false">
      <c r="A8" s="24" t="s">
        <v>77</v>
      </c>
      <c r="B8" s="7" t="s">
        <v>141</v>
      </c>
      <c r="C8" s="7"/>
      <c r="D8" s="7"/>
      <c r="E8" s="7"/>
      <c r="F8" s="7"/>
      <c r="G8" s="7"/>
    </row>
    <row r="9" customFormat="false" ht="18.75" hidden="false" customHeight="true" outlineLevel="0" collapsed="false">
      <c r="A9" s="24" t="s">
        <v>142</v>
      </c>
      <c r="B9" s="7" t="s">
        <v>143</v>
      </c>
      <c r="C9" s="7"/>
      <c r="D9" s="7"/>
      <c r="E9" s="7"/>
      <c r="F9" s="7"/>
      <c r="G9" s="7"/>
    </row>
    <row r="10" customFormat="false" ht="18.75" hidden="false" customHeight="true" outlineLevel="0" collapsed="false">
      <c r="A10" s="24" t="s">
        <v>144</v>
      </c>
      <c r="B10" s="7" t="s">
        <v>145</v>
      </c>
      <c r="C10" s="7"/>
      <c r="D10" s="7"/>
      <c r="E10" s="7"/>
      <c r="F10" s="7"/>
      <c r="G10" s="7"/>
    </row>
    <row r="11" customFormat="false" ht="18.75" hidden="false" customHeight="true" outlineLevel="0" collapsed="false">
      <c r="A11" s="24" t="s">
        <v>146</v>
      </c>
      <c r="B11" s="7" t="s">
        <v>147</v>
      </c>
      <c r="C11" s="7"/>
      <c r="D11" s="7"/>
      <c r="E11" s="7"/>
      <c r="F11" s="7"/>
      <c r="G11" s="7"/>
    </row>
    <row r="12" customFormat="false" ht="18.75" hidden="false" customHeight="true" outlineLevel="0" collapsed="false">
      <c r="A12" s="24" t="s">
        <v>148</v>
      </c>
      <c r="B12" s="7" t="s">
        <v>149</v>
      </c>
      <c r="C12" s="7"/>
      <c r="D12" s="7"/>
      <c r="E12" s="7"/>
      <c r="F12" s="7"/>
      <c r="G12" s="7"/>
    </row>
    <row r="13" customFormat="false" ht="18.75" hidden="false" customHeight="true" outlineLevel="0" collapsed="false">
      <c r="A13" s="24" t="s">
        <v>150</v>
      </c>
      <c r="B13" s="7" t="s">
        <v>151</v>
      </c>
      <c r="C13" s="7"/>
      <c r="D13" s="7"/>
      <c r="E13" s="7"/>
      <c r="F13" s="7"/>
      <c r="G13" s="7"/>
    </row>
    <row r="14" customFormat="false" ht="18.75" hidden="false" customHeight="true" outlineLevel="0" collapsed="false">
      <c r="A14" s="24" t="s">
        <v>152</v>
      </c>
      <c r="B14" s="7" t="s">
        <v>153</v>
      </c>
      <c r="C14" s="7"/>
      <c r="D14" s="7"/>
      <c r="E14" s="7"/>
      <c r="F14" s="7"/>
      <c r="G14" s="7"/>
    </row>
    <row r="15" customFormat="false" ht="18.75" hidden="false" customHeight="true" outlineLevel="0" collapsed="false">
      <c r="A15" s="24" t="s">
        <v>154</v>
      </c>
      <c r="B15" s="7" t="s">
        <v>155</v>
      </c>
      <c r="C15" s="7"/>
      <c r="D15" s="7"/>
      <c r="E15" s="7"/>
      <c r="F15" s="7"/>
      <c r="G15" s="7"/>
    </row>
    <row r="17" customFormat="false" ht="15" hidden="false" customHeight="false" outlineLevel="0" collapsed="false">
      <c r="A17" s="15" t="s">
        <v>44</v>
      </c>
      <c r="B17" s="15"/>
      <c r="C17" s="15"/>
      <c r="D17" s="15"/>
      <c r="E17" s="15"/>
      <c r="F17" s="15" t="s">
        <v>45</v>
      </c>
      <c r="G17" s="15" t="s">
        <v>46</v>
      </c>
    </row>
    <row r="18" customFormat="false" ht="48.75" hidden="false" customHeight="true" outlineLevel="0" collapsed="false">
      <c r="A18" s="7" t="s">
        <v>156</v>
      </c>
      <c r="B18" s="7"/>
      <c r="C18" s="7"/>
      <c r="D18" s="7"/>
      <c r="E18" s="7"/>
      <c r="F18" s="16"/>
      <c r="G18" s="17" t="str">
        <f aca="false">IF(F18="","",IF(UPPER(TRIM(F18))="B","Riktig","Prøv igjen"))</f>
        <v/>
      </c>
    </row>
    <row r="19" customFormat="false" ht="18.75" hidden="false" customHeight="true" outlineLevel="0" collapsed="false">
      <c r="A19" s="7" t="s">
        <v>157</v>
      </c>
      <c r="B19" s="7"/>
      <c r="C19" s="7"/>
      <c r="D19" s="7"/>
      <c r="E19" s="7"/>
    </row>
    <row r="20" customFormat="false" ht="15" hidden="false" customHeight="true" outlineLevel="0" collapsed="false">
      <c r="A20" s="7" t="s">
        <v>158</v>
      </c>
      <c r="B20" s="7"/>
      <c r="C20" s="7"/>
      <c r="D20" s="7"/>
      <c r="E20" s="7"/>
      <c r="F20" s="16"/>
      <c r="G20" s="17" t="str">
        <f aca="false">IF(F20="","",IF(UPPER(TRIM(F20))="JA","Riktig","Prøv igjen"))</f>
        <v/>
      </c>
    </row>
    <row r="21" customFormat="false" ht="15" hidden="false" customHeight="true" outlineLevel="0" collapsed="false">
      <c r="A21" s="7" t="s">
        <v>159</v>
      </c>
      <c r="B21" s="7"/>
      <c r="C21" s="7"/>
      <c r="D21" s="7"/>
      <c r="E21" s="7"/>
      <c r="F21" s="16"/>
      <c r="G21" s="17" t="str">
        <f aca="false">IF(F21="","",IF(UPPER(TRIM(F21))="JA","Riktig","Prøv igjen"))</f>
        <v/>
      </c>
    </row>
    <row r="22" customFormat="false" ht="15" hidden="false" customHeight="true" outlineLevel="0" collapsed="false">
      <c r="A22" s="7" t="s">
        <v>160</v>
      </c>
      <c r="B22" s="7"/>
      <c r="C22" s="7"/>
      <c r="D22" s="7"/>
      <c r="E22" s="7"/>
      <c r="F22" s="16"/>
      <c r="G22" s="17" t="str">
        <f aca="false">IF(F22="","",IF(UPPER(TRIM(F22))="NEI","Riktig","Prøv igjen"))</f>
        <v/>
      </c>
    </row>
    <row r="23" customFormat="false" ht="15" hidden="false" customHeight="true" outlineLevel="0" collapsed="false">
      <c r="A23" s="7" t="s">
        <v>161</v>
      </c>
      <c r="B23" s="7"/>
      <c r="C23" s="7"/>
      <c r="D23" s="7"/>
      <c r="E23" s="7"/>
      <c r="F23" s="16"/>
      <c r="G23" s="17" t="str">
        <f aca="false">IF(F23="","",IF(UPPER(TRIM(F23))="JA","Riktig","Prøv igjen"))</f>
        <v/>
      </c>
    </row>
    <row r="24" customFormat="false" ht="15" hidden="false" customHeight="true" outlineLevel="0" collapsed="false">
      <c r="A24" s="7" t="s">
        <v>162</v>
      </c>
      <c r="B24" s="7"/>
      <c r="C24" s="7"/>
      <c r="D24" s="7"/>
      <c r="E24" s="7"/>
      <c r="F24" s="16"/>
      <c r="G24" s="17" t="str">
        <f aca="false">IF(F24="","",IF(UPPER(TRIM(F24))="NEI","Riktig","Prøv igjen"))</f>
        <v/>
      </c>
    </row>
    <row r="25" customFormat="false" ht="33.75" hidden="false" customHeight="true" outlineLevel="0" collapsed="false">
      <c r="A25" s="7" t="s">
        <v>163</v>
      </c>
      <c r="B25" s="7"/>
      <c r="C25" s="7"/>
      <c r="D25" s="7"/>
      <c r="E25" s="7"/>
      <c r="F25" s="14"/>
      <c r="G25" s="17" t="str">
        <f aca="false">IF(F25="","",IF(ABS(F25-(19169))&lt;=10,"Riktig","Prøv igjen"))</f>
        <v/>
      </c>
    </row>
    <row r="26" customFormat="false" ht="30" hidden="false" customHeight="true" outlineLevel="0" collapsed="false">
      <c r="A26" s="18" t="s">
        <v>56</v>
      </c>
      <c r="B26" s="19" t="s">
        <v>164</v>
      </c>
      <c r="C26" s="19"/>
      <c r="D26" s="19"/>
      <c r="E26" s="19"/>
      <c r="F26" s="19"/>
      <c r="G26" s="19"/>
    </row>
    <row r="28" customFormat="false" ht="63.75" hidden="false" customHeight="true" outlineLevel="0" collapsed="false">
      <c r="A28" s="7" t="s">
        <v>165</v>
      </c>
      <c r="B28" s="7"/>
      <c r="C28" s="7"/>
      <c r="D28" s="7"/>
      <c r="E28" s="7"/>
      <c r="F28" s="16"/>
      <c r="G28" s="17" t="str">
        <f aca="false">IF(F28="","",IF(UPPER(TRIM(F28))="B","Riktig","Prøv igjen"))</f>
        <v/>
      </c>
    </row>
    <row r="29" customFormat="false" ht="33.75" hidden="false" customHeight="true" outlineLevel="0" collapsed="false">
      <c r="A29" s="7" t="s">
        <v>166</v>
      </c>
      <c r="B29" s="7"/>
      <c r="C29" s="7"/>
      <c r="D29" s="7"/>
      <c r="E29" s="7"/>
    </row>
    <row r="30" customFormat="false" ht="15" hidden="false" customHeight="false" outlineLevel="0" collapsed="false">
      <c r="A30" s="20"/>
      <c r="B30" s="20"/>
      <c r="C30" s="20"/>
      <c r="D30" s="20"/>
      <c r="E30" s="20"/>
      <c r="F30" s="20"/>
      <c r="G30" s="20"/>
    </row>
    <row r="31" customFormat="false" ht="15" hidden="false" customHeight="false" outlineLevel="0" collapsed="false">
      <c r="A31" s="20"/>
      <c r="B31" s="20"/>
      <c r="C31" s="20"/>
      <c r="D31" s="20"/>
      <c r="E31" s="20"/>
      <c r="F31" s="20"/>
      <c r="G31" s="20"/>
    </row>
    <row r="32" customFormat="false" ht="15" hidden="false" customHeight="false" outlineLevel="0" collapsed="false">
      <c r="A32" s="20"/>
      <c r="B32" s="20"/>
      <c r="C32" s="20"/>
      <c r="D32" s="20"/>
      <c r="E32" s="20"/>
      <c r="F32" s="20"/>
      <c r="G32" s="20"/>
    </row>
    <row r="33" customFormat="false" ht="42.75" hidden="false" customHeight="true" outlineLevel="0" collapsed="false">
      <c r="A33" s="18" t="s">
        <v>56</v>
      </c>
      <c r="B33" s="19" t="s">
        <v>167</v>
      </c>
      <c r="C33" s="19"/>
      <c r="D33" s="19"/>
      <c r="E33" s="19"/>
      <c r="F33" s="19"/>
      <c r="G33" s="19"/>
    </row>
    <row r="36" customFormat="false" ht="15" hidden="false" customHeight="false" outlineLevel="0" collapsed="false">
      <c r="A36" s="21" t="s">
        <v>61</v>
      </c>
      <c r="B36" s="21"/>
      <c r="C36" s="21"/>
      <c r="D36" s="21"/>
      <c r="E36" s="21"/>
      <c r="F36" s="21"/>
      <c r="G36" s="21"/>
    </row>
    <row r="37" customFormat="false" ht="30" hidden="false" customHeight="true" outlineLevel="0" collapsed="false">
      <c r="A37" s="22" t="s">
        <v>62</v>
      </c>
      <c r="B37" s="23" t="s">
        <v>168</v>
      </c>
      <c r="C37" s="23"/>
      <c r="D37" s="23"/>
      <c r="E37" s="23"/>
      <c r="F37" s="23"/>
      <c r="G37" s="23"/>
    </row>
    <row r="38" customFormat="false" ht="30" hidden="false" customHeight="true" outlineLevel="0" collapsed="false">
      <c r="A38" s="22" t="s">
        <v>169</v>
      </c>
      <c r="B38" s="23" t="s">
        <v>170</v>
      </c>
      <c r="C38" s="23"/>
      <c r="D38" s="23"/>
      <c r="E38" s="23"/>
      <c r="F38" s="23"/>
      <c r="G38" s="23"/>
    </row>
    <row r="40" customFormat="false" ht="48.75" hidden="false" customHeight="true" outlineLevel="0" collapsed="false">
      <c r="A40" s="6" t="s">
        <v>171</v>
      </c>
      <c r="B40" s="6"/>
      <c r="C40" s="6"/>
      <c r="D40" s="6"/>
      <c r="E40" s="6"/>
      <c r="F40" s="6"/>
      <c r="G40" s="6"/>
    </row>
    <row r="41" customFormat="false" ht="15" hidden="false" customHeight="true" outlineLevel="0" collapsed="false">
      <c r="A41" s="6" t="s">
        <v>67</v>
      </c>
      <c r="B41" s="6"/>
      <c r="C41" s="6"/>
      <c r="D41" s="6"/>
      <c r="E41" s="6"/>
      <c r="F41" s="6"/>
      <c r="G41" s="6"/>
    </row>
  </sheetData>
  <mergeCells count="30">
    <mergeCell ref="A4:G4"/>
    <mergeCell ref="A5:G5"/>
    <mergeCell ref="B7:G7"/>
    <mergeCell ref="B8:G8"/>
    <mergeCell ref="B9:G9"/>
    <mergeCell ref="B10:G10"/>
    <mergeCell ref="B11:G11"/>
    <mergeCell ref="B12:G12"/>
    <mergeCell ref="B13:G13"/>
    <mergeCell ref="B14:G14"/>
    <mergeCell ref="B15:G15"/>
    <mergeCell ref="A17:E17"/>
    <mergeCell ref="A18:E18"/>
    <mergeCell ref="A19:E19"/>
    <mergeCell ref="A20:E20"/>
    <mergeCell ref="A21:E21"/>
    <mergeCell ref="A22:E22"/>
    <mergeCell ref="A23:E23"/>
    <mergeCell ref="A24:E24"/>
    <mergeCell ref="A25:E25"/>
    <mergeCell ref="B26:G26"/>
    <mergeCell ref="A28:E28"/>
    <mergeCell ref="A29:E29"/>
    <mergeCell ref="A30:G32"/>
    <mergeCell ref="B33:G33"/>
    <mergeCell ref="A36:G36"/>
    <mergeCell ref="B37:G37"/>
    <mergeCell ref="B38:G38"/>
    <mergeCell ref="A40:G40"/>
    <mergeCell ref="A41:G4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2026-10-13T12:17:56Z</dcterms:created>
  <dc:creator>openpyxl</dc:creator>
  <dc:description/>
  <dc:language>en-US</dc:language>
  <cp:lastModifiedBy/>
  <dcterms:modified xsi:type="dcterms:W3CDTF">2026-10-13T12:17:56Z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