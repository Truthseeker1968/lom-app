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iledning" sheetId="1" state="visible" r:id="rId1"/>
    <sheet xmlns:r="http://schemas.openxmlformats.org/officeDocument/2006/relationships" name="Timen og lønna" sheetId="2" state="visible" r:id="rId2"/>
    <sheet xmlns:r="http://schemas.openxmlformats.org/officeDocument/2006/relationships" name="Prosessen" sheetId="3" state="visible" r:id="rId3"/>
    <sheet xmlns:r="http://schemas.openxmlformats.org/officeDocument/2006/relationships" name="Feilansettelsen" sheetId="4" state="visible" r:id="rId4"/>
    <sheet xmlns:r="http://schemas.openxmlformats.org/officeDocument/2006/relationships" name="Scenario" sheetId="5" state="visible" r:id="rId5"/>
    <sheet xmlns:r="http://schemas.openxmlformats.org/officeDocument/2006/relationships" name="Din egen bedrift" sheetId="6" state="visible" r:id="rId6"/>
  </sheets>
  <definedNames/>
  <calcPr calcId="124519" fullCalcOnLoad="1"/>
</workbook>
</file>

<file path=xl/styles.xml><?xml version="1.0" encoding="utf-8"?>
<styleSheet xmlns="http://schemas.openxmlformats.org/spreadsheetml/2006/main">
  <numFmts count="3">
    <numFmt numFmtId="164" formatCode="#,##0 &quot;kr&quot;"/>
    <numFmt numFmtId="165" formatCode="0.0%"/>
    <numFmt numFmtId="166" formatCode="#,##0.00 &quot;kr&quot;"/>
  </numFmts>
  <fonts count="9">
    <font>
      <name val="Calibri"/>
      <family val="2"/>
      <color theme="1"/>
      <sz val="11"/>
      <scheme val="minor"/>
    </font>
    <font>
      <name val="Arial"/>
      <b val="1"/>
      <color rgb="001F3864"/>
      <sz val="14"/>
    </font>
    <font>
      <name val="Arial"/>
      <i val="1"/>
      <color rgb="00595959"/>
      <sz val="10"/>
    </font>
    <font>
      <name val="Arial"/>
      <b val="1"/>
      <color rgb="001F3864"/>
      <sz val="10"/>
    </font>
    <font>
      <name val="Arial"/>
      <sz val="10"/>
    </font>
    <font>
      <name val="Arial"/>
      <color rgb="000000FF"/>
      <sz val="10"/>
    </font>
    <font>
      <name val="Arial"/>
      <b val="1"/>
      <sz val="10"/>
    </font>
    <font>
      <name val="Arial"/>
      <b val="1"/>
      <color rgb="00FFFFFF"/>
      <sz val="10"/>
    </font>
    <font>
      <name val="Arial"/>
      <i val="1"/>
      <color rgb="00595959"/>
      <sz val="9"/>
    </font>
  </fonts>
  <fills count="6">
    <fill>
      <patternFill/>
    </fill>
    <fill>
      <patternFill patternType="gray125"/>
    </fill>
    <fill>
      <patternFill patternType="solid">
        <fgColor rgb="00FFF2CC"/>
      </patternFill>
    </fill>
    <fill>
      <patternFill patternType="solid">
        <fgColor rgb="00DCE6F4"/>
      </patternFill>
    </fill>
    <fill>
      <patternFill patternType="solid">
        <fgColor rgb="001F3864"/>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8" fillId="0" borderId="0" pivotButton="0" quotePrefix="0" xfId="0"/>
    <xf numFmtId="0" fontId="3" fillId="0" borderId="0" pivotButton="0" quotePrefix="0" xfId="0"/>
    <xf numFmtId="0" fontId="5" fillId="2" borderId="1" pivotButton="0" quotePrefix="0" xfId="0"/>
    <xf numFmtId="0" fontId="4" fillId="0" borderId="0" pivotButton="0" quotePrefix="0" xfId="0"/>
    <xf numFmtId="0" fontId="4" fillId="5" borderId="1" pivotButton="0" quotePrefix="0" xfId="0"/>
    <xf numFmtId="0" fontId="6" fillId="0" borderId="0" pivotButton="0" quotePrefix="0" xfId="0"/>
    <xf numFmtId="0" fontId="7" fillId="4" borderId="0" applyAlignment="1" pivotButton="0" quotePrefix="0" xfId="0">
      <alignment horizontal="center" vertical="center" wrapText="1"/>
    </xf>
    <xf numFmtId="164" fontId="5" fillId="2" borderId="1" pivotButton="0" quotePrefix="0" xfId="0"/>
    <xf numFmtId="3" fontId="5" fillId="2" borderId="1" pivotButton="0" quotePrefix="0" xfId="0"/>
    <xf numFmtId="164" fontId="6" fillId="3" borderId="1" pivotButton="0" quotePrefix="0" xfId="0"/>
    <xf numFmtId="165" fontId="5" fillId="2" borderId="1" pivotButton="0" quotePrefix="0" xfId="0"/>
    <xf numFmtId="165" fontId="6" fillId="3" borderId="1" pivotButton="0" quotePrefix="0" xfId="0"/>
    <xf numFmtId="166" fontId="6" fillId="5" borderId="1" pivotButton="0" quotePrefix="0" xfId="0"/>
    <xf numFmtId="166" fontId="6" fillId="3" borderId="1" pivotButton="0" quotePrefix="0" xfId="0"/>
    <xf numFmtId="0" fontId="6" fillId="5" borderId="1" pivotButton="0" quotePrefix="0" xfId="0"/>
    <xf numFmtId="164" fontId="6" fillId="5" borderId="1" pivotButton="0" quotePrefix="0" xfId="0"/>
    <xf numFmtId="4" fontId="6" fillId="5" borderId="1" pivotButton="0" quotePrefix="0" xfId="0"/>
    <xf numFmtId="4" fontId="4" fillId="5" borderId="1" pivotButton="0" quotePrefix="0" xfId="0"/>
    <xf numFmtId="4" fontId="6" fillId="3" borderId="1" pivotButton="0" quotePrefix="0" xfId="0"/>
    <xf numFmtId="164" fontId="4" fillId="5" borderId="1" pivotButton="0" quotePrefix="0" xfId="0"/>
    <xf numFmtId="4" fontId="5" fillId="2" borderId="1" pivotButton="0" quotePrefix="0" xfId="0"/>
    <xf numFmtId="3" fontId="4" fillId="5" borderId="1" pivotButton="0" quotePrefix="0" xfId="0"/>
    <xf numFmtId="165" fontId="4" fillId="5" borderId="1" pivotButton="0" quotePrefix="0" xfId="0"/>
    <xf numFmtId="166" fontId="5" fillId="2" borderId="1" pivotButton="0" quotePrefix="0" xfId="0"/>
  </cellXfs>
  <cellStyles count="1">
    <cellStyle name="Normal" xfId="0" builtinId="0" hidden="0"/>
  </cellStyles>
  <dxfs count="1">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0"/>
  <sheetViews>
    <sheetView showGridLines="0" workbookViewId="0">
      <selection activeCell="A1" sqref="A1"/>
    </sheetView>
  </sheetViews>
  <sheetFormatPr baseColWidth="8" defaultRowHeight="15"/>
  <cols>
    <col width="40" customWidth="1" min="1" max="1"/>
    <col width="30" customWidth="1" min="2" max="2"/>
    <col width="62" customWidth="1" min="3" max="3"/>
  </cols>
  <sheetData>
    <row r="1">
      <c r="A1" s="1" t="inlineStr">
        <is>
          <t>Hva en feilansettelse koster</t>
        </is>
      </c>
    </row>
    <row r="2">
      <c r="A2" s="2" t="inlineStr">
        <is>
          <t>LØM Organisasjon og ledelse kap. 18 · arbeidsregneark · Fagskolen Oslo, Avdeling Elkraft</t>
        </is>
      </c>
    </row>
    <row r="3">
      <c r="A3" s="3" t="inlineStr">
        <is>
          <t>Emne: Teknisk kommunikasjon og ledelse for 1ET-klassene · LØM for 2ET, 2EK, 3EK og 4EK</t>
        </is>
      </c>
    </row>
    <row r="4">
      <c r="A4" s="4" t="inlineStr">
        <is>
          <t>Fargekode</t>
        </is>
      </c>
    </row>
    <row r="5">
      <c r="A5" s="5" t="inlineStr">
        <is>
          <t>Gul celle med blå skrift</t>
        </is>
      </c>
      <c r="B5" s="6" t="inlineStr">
        <is>
          <t>Inndata — dette er tallene du endrer.</t>
        </is>
      </c>
    </row>
    <row r="6">
      <c r="A6" s="7" t="inlineStr">
        <is>
          <t>Grå eller lyseblå celle, svart skrift</t>
        </is>
      </c>
      <c r="B6" s="6" t="inlineStr">
        <is>
          <t>Formel — regner seg selv. Ikke skriv over den.</t>
        </is>
      </c>
    </row>
    <row r="7">
      <c r="A7" s="7" t="inlineStr">
        <is>
          <t>Mørkeblå rad med hvit skrift</t>
        </is>
      </c>
      <c r="B7" s="6" t="inlineStr">
        <is>
          <t>Kolonneoverskrift.</t>
        </is>
      </c>
    </row>
    <row r="9">
      <c r="A9" s="4" t="inlineStr">
        <is>
          <t>Ark i arbeidsboka</t>
        </is>
      </c>
    </row>
    <row r="10">
      <c r="A10" s="8" t="inlineStr">
        <is>
          <t>Timen og lønna</t>
        </is>
      </c>
      <c r="B10" s="6" t="inlineStr">
        <is>
          <t>Grunnlaget. Lønn, sosiale kostnader, timer og timepris inn — timekostnad og dekningsbidrag ut. Her ligger den ene cellen du styrer alt fra: B25.</t>
        </is>
      </c>
    </row>
    <row r="11">
      <c r="A11" s="8" t="inlineStr">
        <is>
          <t>Prosessen</t>
        </is>
      </c>
      <c r="B11" s="6" t="inlineStr">
        <is>
          <t>Hva én ansettelse koster når alt går bra: annonse, ledertid, månedene stillingen står tom, fadderens timer og opplæringsperioden.</t>
        </is>
      </c>
    </row>
    <row r="12">
      <c r="A12" s="8" t="inlineStr">
        <is>
          <t>Feilansettelsen</t>
        </is>
      </c>
      <c r="B12" s="6" t="inlineStr">
        <is>
          <t>DET VIKTIGSTE ARKET. Den nye slutter før opplæringen er over, og alt må gjøres om igjen. Nederst: hvor mange ekstra intervjurunder du får for prisen av én bom.</t>
        </is>
      </c>
    </row>
    <row r="13">
      <c r="A13" s="8" t="inlineStr">
        <is>
          <t>Scenario</t>
        </is>
      </c>
      <c r="B13" s="6" t="inlineStr">
        <is>
          <t>Tre spørsmål: hvor raskt blir han produktiv, hvor lenge står stillingen tom, og er den interne billigere enn den eksterne?</t>
        </is>
      </c>
    </row>
    <row r="14">
      <c r="A14" s="8" t="inlineStr">
        <is>
          <t>Din egen bedrift</t>
        </is>
      </c>
      <c r="B14" s="6" t="inlineStr">
        <is>
          <t>Samme oppsett, tomt. Legg inn tallene fra din egen arbeidsplass.</t>
        </is>
      </c>
    </row>
    <row r="16">
      <c r="A16" s="3" t="inlineStr">
        <is>
          <t>Tallene som ligger inne er Nordlys Elektro AS' egne tall for 2026.</t>
        </is>
      </c>
    </row>
    <row r="17">
      <c r="A17" s="3" t="inlineStr"/>
    </row>
    <row r="18">
      <c r="A18" s="3" t="inlineStr">
        <is>
          <t>HVORFOR DETTE REGNEARKET FINNES:</t>
        </is>
      </c>
    </row>
    <row r="19">
      <c r="A19" s="3" t="inlineStr">
        <is>
          <t>Rekruttering er en beslutning med en prislapp, og prislappen er den delen</t>
        </is>
      </c>
    </row>
    <row r="20">
      <c r="A20" s="3" t="inlineStr">
        <is>
          <t>studentene ikke ser. Annonsen er den eneste posten noen sender en faktura for.</t>
        </is>
      </c>
    </row>
    <row r="21">
      <c r="A21" s="3" t="inlineStr">
        <is>
          <t>Resten er timer som ikke ble solgt — og de står ikke i noe regnskap.</t>
        </is>
      </c>
    </row>
    <row r="22">
      <c r="A22" s="3" t="inlineStr"/>
    </row>
    <row r="23">
      <c r="A23" s="3" t="inlineStr">
        <is>
          <t>DEN ENE ERKJENNELSEN:</t>
        </is>
      </c>
    </row>
    <row r="24">
      <c r="A24" s="3" t="inlineStr">
        <is>
          <t>Grundighet i utvelgelsen koster ledertimer. Å bomme koster montørårsverk.</t>
        </is>
      </c>
    </row>
    <row r="25">
      <c r="A25" s="3" t="inlineStr">
        <is>
          <t>Det er ikke et argument for å bruke evig tid — det er et argument for å vite</t>
        </is>
      </c>
    </row>
    <row r="26">
      <c r="A26" s="3" t="inlineStr">
        <is>
          <t>hva den tredje intervjurunden er verdt.</t>
        </is>
      </c>
    </row>
    <row r="27">
      <c r="A27" s="3" t="inlineStr"/>
    </row>
    <row r="28">
      <c r="A28" s="3" t="inlineStr">
        <is>
          <t>KONSTRUERT FOR UNDERVISNINGEN: hvor mye den nye fakturerer i opplærings-</t>
        </is>
      </c>
    </row>
    <row r="29">
      <c r="A29" s="3" t="inlineStr">
        <is>
          <t>perioden, hvor mye av dagen fadderen bruker i ukene 2 til 4, og at ansettelsen</t>
        </is>
      </c>
    </row>
    <row r="30">
      <c r="A30" s="3" t="inlineStr">
        <is>
          <t>ryker etter fire måneder. Alt annet er utledet: lønna av produksjonslønna i</t>
        </is>
      </c>
    </row>
    <row r="31">
      <c r="A31" s="3" t="inlineStr">
        <is>
          <t>resultatet, påslaget av LONNSPAASLAG, opplæringsperioden og fadderukene av</t>
        </is>
      </c>
    </row>
    <row r="32">
      <c r="A32" s="3" t="inlineStr">
        <is>
          <t>introduksjonsprogrammet i kapitlet, og vakansen av kapittel 17.</t>
        </is>
      </c>
    </row>
    <row r="33">
      <c r="A33" s="3" t="inlineStr">
        <is>
          <t>Regnearket er øvingsstøtte, ikke et lønnssystem.</t>
        </is>
      </c>
    </row>
    <row r="35">
      <c r="A35" s="3" t="inlineStr">
        <is>
          <t>Tallene som ligger inne er et eksempel fra en elektrobedrift. Bytt dem ut med dine egne — alle formler følger med.</t>
        </is>
      </c>
    </row>
    <row r="36">
      <c r="A36" s="3" t="inlineStr">
        <is>
          <t>Arbeidsregneark til LØM · Fagskolen Oslo, Avdeling Elkraft. Regnearket er øvingsstøtte, ikke et regnskapssystem.</t>
        </is>
      </c>
    </row>
    <row r="38">
      <c r="A38" s="4" t="inlineStr">
        <is>
          <t>Den ene knappen</t>
        </is>
      </c>
    </row>
    <row r="39">
      <c r="A39" s="6" t="inlineStr">
        <is>
          <t>'Timen og lønna'!B25</t>
        </is>
      </c>
      <c r="B39" s="6" t="inlineStr">
        <is>
          <t>Timepris til kunden, uten mva.</t>
        </is>
      </c>
      <c r="C39" s="6" t="inlineStr">
        <is>
          <t>Endrer du denne cellen, følger arkene Prosessen, Feilansettelsen og Scenario med. Alle tapstall i arbeidsboka er timer ganget med denne prisen.</t>
        </is>
      </c>
    </row>
    <row r="41">
      <c r="A41" s="4" t="inlineStr">
        <is>
          <t>Hvilken oppgave bruker hvilket ark</t>
        </is>
      </c>
    </row>
    <row r="42" ht="28" customHeight="1">
      <c r="A42" s="9" t="inlineStr">
        <is>
          <t>Oppgave i øvingsheftet</t>
        </is>
      </c>
      <c r="B42" s="9" t="inlineStr">
        <is>
          <t>Ark</t>
        </is>
      </c>
      <c r="C42" s="9" t="inlineStr">
        <is>
          <t>Celler du endrer og leser av</t>
        </is>
      </c>
    </row>
    <row r="43">
      <c r="A43" s="6" t="inlineStr">
        <is>
          <t>A1 · Internt eller eksternt?</t>
        </is>
      </c>
      <c r="B43" s="8" t="inlineStr">
        <is>
          <t>Scenario</t>
        </is>
      </c>
      <c r="C43" s="6" t="inlineStr">
        <is>
          <t>Scenario C nederst: endre C-kolonnen og les av forskjellen i B-raden «Forskjell».</t>
        </is>
      </c>
    </row>
    <row r="44">
      <c r="A44" s="6" t="inlineStr">
        <is>
          <t>A2 · Klasseoppgave: finn feilen i stillingsannonsen</t>
        </is>
      </c>
      <c r="B44" s="8" t="inlineStr">
        <is>
          <t>—</t>
        </is>
      </c>
      <c r="C44" s="6" t="inlineStr">
        <is>
          <t>Ingen regning. Oppgaven løses i heftet.</t>
        </is>
      </c>
    </row>
    <row r="45">
      <c r="A45" s="6" t="inlineStr">
        <is>
          <t>A3 · Fire ting Ronny vil ta opp</t>
        </is>
      </c>
      <c r="B45" s="8" t="inlineStr">
        <is>
          <t>—</t>
        </is>
      </c>
      <c r="C45" s="6" t="inlineStr">
        <is>
          <t>Ingen regning. Oppgaven løses i heftet.</t>
        </is>
      </c>
    </row>
    <row r="46">
      <c r="A46" s="6" t="inlineStr">
        <is>
          <t>1 · Personalpolitikken Nordlys ikke har skrevet ned</t>
        </is>
      </c>
      <c r="B46" s="8" t="inlineStr">
        <is>
          <t>—</t>
        </is>
      </c>
      <c r="C46" s="6" t="inlineStr">
        <is>
          <t>Ingen regning. Oppgaven løses i heftet.</t>
        </is>
      </c>
    </row>
    <row r="47">
      <c r="A47" s="6" t="inlineStr">
        <is>
          <t>2 · Intervjuet, panelet og den første arbeidsdagen</t>
        </is>
      </c>
      <c r="B47" s="8" t="inlineStr">
        <is>
          <t>Prosessen</t>
        </is>
      </c>
      <c r="C47" s="6" t="inlineStr">
        <is>
          <t>Les av ledertimene i B11. Det er timene hele rekrutteringsprosessen tar, og intervjuene er den største enkeltposten i dem.</t>
        </is>
      </c>
    </row>
    <row r="48">
      <c r="A48" s="6" t="inlineStr">
        <is>
          <t>3 · Medarbeidersamtalen med Sara</t>
        </is>
      </c>
      <c r="B48" s="8" t="inlineStr">
        <is>
          <t>—</t>
        </is>
      </c>
      <c r="C48" s="6" t="inlineStr">
        <is>
          <t>Ingen regning. Oppgaven løses i heftet.</t>
        </is>
      </c>
    </row>
    <row r="49">
      <c r="A49" s="6" t="inlineStr">
        <is>
          <t>4 · Ansettelseskalkylen: hva koster det egentlig?</t>
        </is>
      </c>
      <c r="B49" s="8" t="inlineStr">
        <is>
          <t>Prosessen og Feilansettelsen</t>
        </is>
      </c>
      <c r="C49" s="6" t="inlineStr">
        <is>
          <t>Endre Prosessen B16, B28 og B29, og les av B34 og B35. Gå så til Feilansettelsen: endre B5 og B6, og les av B25, B27, B28 og B31. Punkt d) leser du i B36.</t>
        </is>
      </c>
    </row>
    <row r="50">
      <c r="A50" s="6" t="inlineStr">
        <is>
          <t>5 · Eksamensnær: to montører, tre søkere og én lærling</t>
        </is>
      </c>
      <c r="B50" s="8" t="inlineStr">
        <is>
          <t>Feilansettelsen og Scenario</t>
        </is>
      </c>
      <c r="C50" s="6" t="inlineStr">
        <is>
          <t>Les av Feilansettelsen B27 og B36, og bruk scenario A og C til å begrunne anbefalingen.</t>
        </is>
      </c>
    </row>
    <row r="52">
      <c r="A52" s="4" t="inlineStr">
        <is>
          <t>Kontrollradene</t>
        </is>
      </c>
    </row>
    <row r="53">
      <c r="A53" s="6" t="inlineStr">
        <is>
          <t>Hvert regneark har en kontrollblokk nederst. Står det OK, henger tallene sammen. Står det AVVIK, farges cellen rød, og teksten sier hva som ikke går opp.</t>
        </is>
      </c>
    </row>
    <row r="54">
      <c r="A54" s="6" t="inlineStr">
        <is>
          <t>Ett unntak: kontrollen i arket «Din egen bedrift» skal vise AVVIK helt til du har fylt ut de tomme feltene. Der er avviket en beskjed, ikke en feil.</t>
        </is>
      </c>
    </row>
    <row r="55">
      <c r="A55" s="3" t="inlineStr">
        <is>
          <t>Kontroller i arbeidsboka: Timen og lønna D31, Timen og lønna D32, Prosessen D40, Prosessen D41, Prosessen D42, Feilansettelsen D39, Feilansettelsen D40, Feilansettelsen D41, Scenario E41, Scenario E42, Scenario E43, Scenario E44, Din egen bedrift D28, Din egen bedrift D29</t>
        </is>
      </c>
    </row>
    <row r="57">
      <c r="A57" s="4" t="inlineStr">
        <is>
          <t>Kilder</t>
        </is>
      </c>
    </row>
    <row r="58">
      <c r="A58" s="3" t="inlineStr">
        <is>
          <t>Hjertnes, Markedsføring, organisasjon og ledelse for LØM-emnet, 4. utg., kap. 18, avsnitt 18.1 om personalpolitikk, 18.2 om rekrutteringsprosessens sju trinn, 18.2.1 om intern og ekstern rekruttering og 18.2.6 om introduksjon og opplæring.</t>
        </is>
      </c>
    </row>
    <row r="59">
      <c r="A59" s="3" t="inlineStr">
        <is>
          <t>Satsene for sosiale kostnader: Økonomistyring for LØM-emnet, tabell 2.4. Timepris, bemanning og fakturerte timer: Nordlys Elektro AS' egne tall, jf. kapittel 5 og 14.</t>
        </is>
      </c>
    </row>
    <row r="60">
      <c r="A60" s="3" t="inlineStr">
        <is>
          <t>Nordlys Elektro AS er en konstruert casebedrift. Tallene henger sammen på tvers av hele pensumet.</t>
        </is>
      </c>
    </row>
  </sheetData>
  <printOptions horizontalCentered="0"/>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34"/>
  <sheetViews>
    <sheetView showGridLines="0" workbookViewId="0">
      <pane ySplit="3" topLeftCell="A4" activePane="bottomLeft" state="frozen"/>
      <selection pane="bottomLeft" activeCell="A1" sqref="A1"/>
    </sheetView>
  </sheetViews>
  <sheetFormatPr baseColWidth="8" defaultRowHeight="15"/>
  <cols>
    <col width="48" customWidth="1" min="1" max="1"/>
    <col width="16" customWidth="1" min="2" max="2"/>
    <col width="14" customWidth="1" min="3" max="3"/>
    <col width="58" customWidth="1" min="4" max="4"/>
  </cols>
  <sheetData>
    <row r="1">
      <c r="A1" s="1" t="inlineStr">
        <is>
          <t>Hva koster en montørtime, og hva er den verdt?</t>
        </is>
      </c>
    </row>
    <row r="2">
      <c r="A2" s="2" t="inlineStr">
        <is>
          <t>Endre de gule cellene. Alt annet regner seg selv.</t>
        </is>
      </c>
    </row>
    <row r="4">
      <c r="A4" s="4" t="inlineStr">
        <is>
          <t>1 · Lønna</t>
        </is>
      </c>
    </row>
    <row r="5">
      <c r="A5" s="6" t="inlineStr">
        <is>
          <t>Produksjonslønn for hele bedriften, ett år</t>
        </is>
      </c>
      <c r="B5" s="10" t="n">
        <v>5180000</v>
      </c>
      <c r="D5" s="6" t="inlineStr">
        <is>
          <t>Lønnsposten i resultatregnskapet for 2026, jf. kapittel 3.</t>
        </is>
      </c>
    </row>
    <row r="6">
      <c r="A6" s="6" t="inlineStr">
        <is>
          <t>Antall utførende (montører og lærlinger)</t>
        </is>
      </c>
      <c r="B6" s="11" t="n">
        <v>14</v>
      </c>
      <c r="D6" s="6" t="inlineStr">
        <is>
          <t>De som fakturerer timer. Administrasjonen ligger i en annen post.</t>
        </is>
      </c>
    </row>
    <row r="7">
      <c r="A7" s="6" t="inlineStr">
        <is>
          <t>= Årslønn per utførende</t>
        </is>
      </c>
      <c r="B7" s="12">
        <f>IF(B6=0,0,B5/B6)</f>
        <v/>
      </c>
      <c r="D7" s="6" t="inlineStr">
        <is>
          <t>Snittet, ikke tarifflønna til en enkelt montør. Et kostnadsanslag skal bruke snittet.</t>
        </is>
      </c>
    </row>
    <row r="9">
      <c r="A9" s="4" t="inlineStr">
        <is>
          <t>Sosiale kostnader — påslag på lønna</t>
        </is>
      </c>
    </row>
    <row r="10" ht="28" customHeight="1">
      <c r="A10" s="9" t="inlineStr">
        <is>
          <t>Post</t>
        </is>
      </c>
      <c r="B10" s="9" t="inlineStr">
        <is>
          <t>Sats</t>
        </is>
      </c>
      <c r="C10" s="9" t="inlineStr"/>
      <c r="D10" s="9" t="inlineStr">
        <is>
          <t>Merknad</t>
        </is>
      </c>
    </row>
    <row r="11">
      <c r="A11" s="6" t="inlineStr">
        <is>
          <t>Feriepenger, inkludert arbeidsgiveravgift</t>
        </is>
      </c>
      <c r="B11" s="13" t="n">
        <v>0.137</v>
      </c>
    </row>
    <row r="12">
      <c r="A12" s="6" t="inlineStr">
        <is>
          <t>Arbeidsgiveravgift på lønn</t>
        </is>
      </c>
      <c r="B12" s="13" t="n">
        <v>0.141</v>
      </c>
    </row>
    <row r="13">
      <c r="A13" s="6" t="inlineStr">
        <is>
          <t>Pensjonspremie</t>
        </is>
      </c>
      <c r="B13" s="13" t="n">
        <v>0.08</v>
      </c>
    </row>
    <row r="14">
      <c r="A14" s="6" t="inlineStr">
        <is>
          <t>Arbeidsgiveravgift på pensjon</t>
        </is>
      </c>
      <c r="B14" s="13" t="n">
        <v>0.011</v>
      </c>
    </row>
    <row r="15">
      <c r="A15" s="6" t="inlineStr">
        <is>
          <t>Lønn for bevegelige helligdager, høytidsdager m.m.</t>
        </is>
      </c>
      <c r="B15" s="13" t="n">
        <v>0.045</v>
      </c>
    </row>
    <row r="16">
      <c r="A16" s="6" t="inlineStr">
        <is>
          <t>Premie til yrkesskadetrygd</t>
        </is>
      </c>
      <c r="B16" s="13" t="n">
        <v>0.004</v>
      </c>
    </row>
    <row r="17">
      <c r="A17" s="6" t="inlineStr">
        <is>
          <t>Sykepenger i arbeidsgiverperioden</t>
        </is>
      </c>
      <c r="B17" s="13" t="n">
        <v>0.05</v>
      </c>
    </row>
    <row r="18">
      <c r="A18" s="8" t="inlineStr">
        <is>
          <t>= Samlet påslag</t>
        </is>
      </c>
      <c r="B18" s="14">
        <f>SUM(B11:B17)</f>
        <v/>
      </c>
      <c r="D18" s="6" t="inlineStr">
        <is>
          <t>Satsene er de samme som i kapittel 2 og kapittel 20.</t>
        </is>
      </c>
    </row>
    <row r="20">
      <c r="A20" s="4" t="inlineStr">
        <is>
          <t>2 · Timene</t>
        </is>
      </c>
    </row>
    <row r="21">
      <c r="A21" s="6" t="inlineStr">
        <is>
          <t>= Lønnskostnad per utførende, ett år</t>
        </is>
      </c>
      <c r="B21" s="12">
        <f>B7*(1+B18)</f>
        <v/>
      </c>
    </row>
    <row r="22">
      <c r="A22" s="6" t="inlineStr">
        <is>
          <t>Tilgjengelige timer per montør per år</t>
        </is>
      </c>
      <c r="B22" s="11" t="n">
        <v>1695</v>
      </c>
      <c r="D22" s="6" t="inlineStr">
        <is>
          <t>Årsverket etter ferie, helligdager, kurs og annet fravær.</t>
        </is>
      </c>
    </row>
    <row r="23">
      <c r="A23" s="6" t="inlineStr">
        <is>
          <t>Fakturerte timer per montør per år</t>
        </is>
      </c>
      <c r="B23" s="11" t="n">
        <v>1200</v>
      </c>
      <c r="D23" s="6" t="inlineStr">
        <is>
          <t>Timene som faktisk står på en faktura. Resten går til kjøring, henting, dokumentasjon og venting.</t>
        </is>
      </c>
    </row>
    <row r="24">
      <c r="A24" s="6" t="inlineStr">
        <is>
          <t>= Faktureringsgrad</t>
        </is>
      </c>
      <c r="B24" s="14">
        <f>IF(B22=0,0,B23/B22)</f>
        <v/>
      </c>
      <c r="D24" s="6" t="inlineStr">
        <is>
          <t>Kapittel 5s viktigste tall, og det er det samme her.</t>
        </is>
      </c>
    </row>
    <row r="25">
      <c r="A25" s="6" t="inlineStr">
        <is>
          <t>Timepris til kunden, uten mva.</t>
        </is>
      </c>
      <c r="B25" s="10" t="n">
        <v>890</v>
      </c>
      <c r="D25" s="6" t="inlineStr">
        <is>
          <t>DEN ENE KNAPPEN. Endrer du denne, følger alle de andre arkene med.</t>
        </is>
      </c>
    </row>
    <row r="26">
      <c r="A26" s="6" t="inlineStr">
        <is>
          <t>= Lønnskostnad per fakturert time</t>
        </is>
      </c>
      <c r="B26" s="15">
        <f>IF(B23=0,0,B21/B23)</f>
        <v/>
      </c>
    </row>
    <row r="27">
      <c r="A27" s="6" t="inlineStr">
        <is>
          <t>= Dekningsbidrag per fakturert time</t>
        </is>
      </c>
      <c r="B27" s="16">
        <f>B25-B26</f>
        <v/>
      </c>
      <c r="D27" s="6" t="inlineStr">
        <is>
          <t>Det timen bidrar med til å dekke alt annet bedriften har av kostnader.</t>
        </is>
      </c>
    </row>
    <row r="28">
      <c r="A28" s="6" t="inlineStr">
        <is>
          <t>= Omsetning én montør skaper på ett år</t>
        </is>
      </c>
      <c r="B28" s="12">
        <f>B23*B25</f>
        <v/>
      </c>
      <c r="D28" s="6" t="inlineStr">
        <is>
          <t>Måltallet resten av arbeidsboka regner mot. En time som ikke blir solgt, kommer aldri tilbake.</t>
        </is>
      </c>
    </row>
    <row r="30">
      <c r="A30" s="4" t="inlineStr">
        <is>
          <t>Kontroll</t>
        </is>
      </c>
    </row>
    <row r="31">
      <c r="A31" s="6" t="inlineStr">
        <is>
          <t>Er timeprisen høyere enn lønnskostnaden per time?</t>
        </is>
      </c>
      <c r="D31" s="17">
        <f>IF(B27&gt;0,"OK — timen gir positivt dekningsbidrag","AVVIK: timen koster mer enn den selges for. Da hjelper ingen rekruttering")</f>
        <v/>
      </c>
    </row>
    <row r="32">
      <c r="A32" s="6" t="inlineStr">
        <is>
          <t>Ligger faktureringsgraden innenfor det som er mulig?</t>
        </is>
      </c>
      <c r="D32" s="17">
        <f>IF(AND(B24&gt;0.4,B24&lt;0.95),"OK — faktureringsgraden er realistisk","AVVIK: faktureringsgraden er utenfor et realistisk område")</f>
        <v/>
      </c>
    </row>
    <row r="34">
      <c r="A34" s="3" t="inlineStr">
        <is>
          <t>Kilde: Hjertnes, Markedsføring, organisasjon og ledelse for LØM-emnet, 4. utg., kap. 18. Lønnstall og timer er Nordlys Elektro AS' egne, jf. kapittel 2, 3 og 5. Satsene for sosiale kostnader: Økonomistyring for LØM-emnet, tabell 2.4.</t>
        </is>
      </c>
    </row>
  </sheetData>
  <conditionalFormatting sqref="D31">
    <cfRule type="expression" priority="1" dxfId="0" stopIfTrue="0">
      <formula>LEFT(D31,5)="AVVIK"</formula>
    </cfRule>
  </conditionalFormatting>
  <conditionalFormatting sqref="D32">
    <cfRule type="expression" priority="2" dxfId="0" stopIfTrue="0">
      <formula>LEFT(D32,5)="AVVIK"</formula>
    </cfRule>
  </conditionalFormatting>
  <printOptions horizontalCentered="0"/>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D44"/>
  <sheetViews>
    <sheetView showGridLines="0" workbookViewId="0">
      <pane ySplit="3" topLeftCell="A4" activePane="bottomLeft" state="frozen"/>
      <selection pane="bottomLeft" activeCell="A1" sqref="A1"/>
    </sheetView>
  </sheetViews>
  <sheetFormatPr baseColWidth="8" defaultRowHeight="15"/>
  <cols>
    <col width="52" customWidth="1" min="1" max="1"/>
    <col width="16" customWidth="1" min="2" max="2"/>
    <col width="16" customWidth="1" min="3" max="3"/>
    <col width="58" customWidth="1" min="4" max="4"/>
  </cols>
  <sheetData>
    <row r="1">
      <c r="A1" s="1" t="inlineStr">
        <is>
          <t>Hva koster det å ansette én montør — når alt går bra?</t>
        </is>
      </c>
    </row>
    <row r="2">
      <c r="A2" s="2" t="inlineStr">
        <is>
          <t>Bare den øverste posten kommer på en faktura. Resten er timer som ikke ble solgt.</t>
        </is>
      </c>
    </row>
    <row r="4">
      <c r="A4" s="4" t="inlineStr">
        <is>
          <t>1 · Det som kommer på en faktura</t>
        </is>
      </c>
    </row>
    <row r="5">
      <c r="A5" s="6" t="inlineStr">
        <is>
          <t>Annonse i fagpresse og på nett</t>
        </is>
      </c>
      <c r="B5" s="10" t="n">
        <v>12000</v>
      </c>
      <c r="D5" s="6" t="inlineStr">
        <is>
          <t>Den eneste posten noen ber om betaling for.</t>
        </is>
      </c>
    </row>
    <row r="7">
      <c r="A7" s="4" t="inlineStr">
        <is>
          <t>2 · Ledelsens tid</t>
        </is>
      </c>
    </row>
    <row r="8">
      <c r="A8" s="6" t="inlineStr">
        <is>
          <t>Lederlønn per år</t>
        </is>
      </c>
      <c r="B8" s="10" t="n">
        <v>555000</v>
      </c>
      <c r="D8" s="6" t="inlineStr">
        <is>
          <t>Administrasjonslønna delt på antall i administrasjonen.</t>
        </is>
      </c>
    </row>
    <row r="9">
      <c r="A9" s="6" t="inlineStr">
        <is>
          <t>= Med sosiale kostnader</t>
        </is>
      </c>
      <c r="B9" s="18">
        <f>B8*(1+'Timen og lønna'!$B$18)</f>
        <v/>
      </c>
    </row>
    <row r="10">
      <c r="A10" s="6" t="inlineStr">
        <is>
          <t>= Timekostnad for lederen</t>
        </is>
      </c>
      <c r="B10" s="16">
        <f>IF('Timen og lønna'!$B$22=0,0,B9/'Timen og lønna'!$B$22)</f>
        <v/>
      </c>
    </row>
    <row r="11">
      <c r="A11" s="6" t="inlineStr">
        <is>
          <t>Timer lederen bruker på hele prosessen, sju trinn</t>
        </is>
      </c>
      <c r="B11" s="11" t="n">
        <v>30</v>
      </c>
      <c r="D11" s="6" t="inlineStr">
        <is>
          <t>Behovsanalyse, annonse, gjennomgang av søknader, intervjuer, referanser, tilbud og introduksjon. Sett inn deres eget tall.</t>
        </is>
      </c>
    </row>
    <row r="12">
      <c r="A12" s="6" t="inlineStr">
        <is>
          <t>= Kostnad for ledelsens tid</t>
        </is>
      </c>
      <c r="B12" s="12">
        <f>B10*B11</f>
        <v/>
      </c>
    </row>
    <row r="13">
      <c r="A13" s="8" t="inlineStr">
        <is>
          <t>= Direkte kostnad, til sammen</t>
        </is>
      </c>
      <c r="B13" s="12">
        <f>B5+B12</f>
        <v/>
      </c>
      <c r="D13" s="6" t="inlineStr">
        <is>
          <t>Dette er tallet folk oppgir når de blir spurt hva en ansettelse koster. Det er under fem prosent av svaret.</t>
        </is>
      </c>
    </row>
    <row r="15">
      <c r="A15" s="4" t="inlineStr">
        <is>
          <t>3 · Månedene stillingen står tom</t>
        </is>
      </c>
    </row>
    <row r="16">
      <c r="A16" s="6" t="inlineStr">
        <is>
          <t>Måneder fra oppsigelsen til den nye er på plass</t>
        </is>
      </c>
      <c r="B16" s="11" t="n">
        <v>4</v>
      </c>
      <c r="D16" s="6" t="inlineStr">
        <is>
          <t>Oppsigelsestid, utlysing, intervjurunder og oppsigelsestid hos den nye arbeidsgiveren. Fire måneder er nøkternt.</t>
        </is>
      </c>
    </row>
    <row r="17">
      <c r="A17" s="6" t="inlineStr">
        <is>
          <t>= Fakturerbare timer som forsvinner</t>
        </is>
      </c>
      <c r="B17" s="19">
        <f>'Timen og lønna'!$B$23*B16/12</f>
        <v/>
      </c>
    </row>
    <row r="18">
      <c r="A18" s="6" t="inlineStr">
        <is>
          <t>= Tapt fakturering</t>
        </is>
      </c>
      <c r="B18" s="12">
        <f>B17*'Timen og lønna'!$B$25</f>
        <v/>
      </c>
      <c r="D18" s="6" t="inlineStr">
        <is>
          <t>Forutsetter at oppdragene faktisk fantes. Er ordreboka tom, koster vakansen ingenting — og da skulle dere ikke ansatt.</t>
        </is>
      </c>
    </row>
    <row r="20">
      <c r="A20" s="4" t="inlineStr">
        <is>
          <t>4 · Fadderens tid</t>
        </is>
      </c>
    </row>
    <row r="21">
      <c r="A21" s="6" t="inlineStr">
        <is>
          <t>Uker der fadderen går sammen med den nye</t>
        </is>
      </c>
      <c r="B21" s="11" t="n">
        <v>1</v>
      </c>
      <c r="D21" s="6" t="inlineStr">
        <is>
          <t>Uke 1 i introduksjonsprogrammet: kjører sammen med fadderen.</t>
        </is>
      </c>
    </row>
    <row r="22">
      <c r="A22" s="6" t="inlineStr">
        <is>
          <t>Uker med fadderen tilgjengelig på telefon</t>
        </is>
      </c>
      <c r="B22" s="11" t="n">
        <v>3</v>
      </c>
      <c r="D22" s="6" t="inlineStr">
        <is>
          <t>Uke 2 til 4 i introduksjonsprogrammet.</t>
        </is>
      </c>
    </row>
    <row r="23">
      <c r="A23" s="6" t="inlineStr">
        <is>
          <t>Andel av arbeidsdagen fadderen bruker i de ukene</t>
        </is>
      </c>
      <c r="B23" s="13" t="n">
        <v>0.2</v>
      </c>
    </row>
    <row r="24">
      <c r="A24" s="6" t="inlineStr">
        <is>
          <t>= Fakturerbare timer fadderen mister</t>
        </is>
      </c>
      <c r="B24" s="19">
        <f>'Timen og lønna'!$B$23/52*(B21+B22*B23)</f>
        <v/>
      </c>
    </row>
    <row r="25">
      <c r="A25" s="6" t="inlineStr">
        <is>
          <t>= Tapt fakturering</t>
        </is>
      </c>
      <c r="B25" s="12">
        <f>B24*'Timen og lønna'!$B$25</f>
        <v/>
      </c>
      <c r="D25" s="6" t="inlineStr">
        <is>
          <t>Fadderen er en av de dyktigste dere har. Det er nettopp derfor han er fadder, og derfor timene hans er dyre.</t>
        </is>
      </c>
    </row>
    <row r="27">
      <c r="A27" s="4" t="inlineStr">
        <is>
          <t>5 · Opplæringsperioden</t>
        </is>
      </c>
    </row>
    <row r="28">
      <c r="A28" s="6" t="inlineStr">
        <is>
          <t>Måneder før den nye er like produktiv som de andre</t>
        </is>
      </c>
      <c r="B28" s="11" t="n">
        <v>6</v>
      </c>
      <c r="D28" s="6" t="inlineStr">
        <is>
          <t>Introduksjonsprogrammet slutter i måned 6, med den første ordentlige medarbeidersamtalen.</t>
        </is>
      </c>
    </row>
    <row r="29">
      <c r="A29" s="6" t="inlineStr">
        <is>
          <t>Hvor mye han fakturerer i snitt i den perioden</t>
        </is>
      </c>
      <c r="B29" s="13" t="n">
        <v>0.5</v>
      </c>
      <c r="D29" s="6" t="inlineStr">
        <is>
          <t>Av det en erfaren montør fakturerer. Prøv 30 % og 70 % og se hva det gjør med totalen.</t>
        </is>
      </c>
    </row>
    <row r="30">
      <c r="A30" s="6" t="inlineStr">
        <is>
          <t>= Timer i perioden, ved full produktivitet</t>
        </is>
      </c>
      <c r="B30" s="20">
        <f>'Timen og lønna'!$B$23*B28/12</f>
        <v/>
      </c>
    </row>
    <row r="31">
      <c r="A31" s="6" t="inlineStr">
        <is>
          <t>= Timer som ikke blir fakturert</t>
        </is>
      </c>
      <c r="B31" s="19">
        <f>B30*(1-B29)</f>
        <v/>
      </c>
    </row>
    <row r="32">
      <c r="A32" s="6" t="inlineStr">
        <is>
          <t>= Tapt fakturering</t>
        </is>
      </c>
      <c r="B32" s="12">
        <f>B31*'Timen og lønna'!$B$25</f>
        <v/>
      </c>
    </row>
    <row r="34">
      <c r="A34" s="4" t="inlineStr">
        <is>
          <t>= HELE ANSETTELSEN, når alt går bra</t>
        </is>
      </c>
      <c r="B34" s="12">
        <f>B13+B18+B25+B32</f>
        <v/>
      </c>
    </row>
    <row r="35">
      <c r="A35" s="6" t="inlineStr">
        <is>
          <t>= Andel som ingen faktura viser</t>
        </is>
      </c>
      <c r="B35" s="14">
        <f>IF(B34=0,0,1-B13/B34)</f>
        <v/>
      </c>
    </row>
    <row r="36">
      <c r="A36" s="6" t="inlineStr">
        <is>
          <t>= Tilsvarer så mange fakturerte timer</t>
        </is>
      </c>
      <c r="B36" s="19">
        <f>IF('Timen og lønna'!$B$25=0,0,B34/'Timen og lønna'!$B$25)</f>
        <v/>
      </c>
    </row>
    <row r="37">
      <c r="A37" s="6" t="inlineStr">
        <is>
          <t>= Tilsvarer så mange montørårsverk</t>
        </is>
      </c>
      <c r="B37" s="21">
        <f>IF('Timen og lønna'!$B$28=0,0,B34/'Timen og lønna'!$B$28)</f>
        <v/>
      </c>
    </row>
    <row r="39">
      <c r="A39" s="4" t="inlineStr">
        <is>
          <t>Kontroll</t>
        </is>
      </c>
    </row>
    <row r="40">
      <c r="A40" s="6" t="inlineStr">
        <is>
          <t>Går summen opp?</t>
        </is>
      </c>
      <c r="D40" s="17">
        <f>IF(ABS(B34-(B13+B18+B25+B32))&lt;0.01,"OK — de fire postene summerer seg til totalen","AVVIK: summen stemmer ikke med postene over")</f>
        <v/>
      </c>
    </row>
    <row r="41">
      <c r="A41" s="6" t="inlineStr">
        <is>
          <t>Er det meste av kostnaden usynlig?</t>
        </is>
      </c>
      <c r="D41" s="17">
        <f>IF(B35&gt;0.8,"OK — over 80 prosent av kostnaden kommer aldri på en faktura","AVVIK: den direkte kostnaden er blitt uvanlig stor. Sjekk vakansen og opplæringsperioden")</f>
        <v/>
      </c>
    </row>
    <row r="42">
      <c r="A42" s="6" t="inlineStr">
        <is>
          <t>Er opptrappingen realistisk?</t>
        </is>
      </c>
      <c r="D42" s="17">
        <f>IF(AND(B29&gt;0.1,B29&lt;0.9),"OK — den nye leverer verken ingenting eller alt fra dag én","AVVIK: en opptrapping under 10 eller over 90 prosent er ikke et realistisk anslag")</f>
        <v/>
      </c>
    </row>
    <row r="44">
      <c r="A44" s="3" t="inlineStr">
        <is>
          <t>Kilde: Hjertnes, Markedsføring, organisasjon og ledelse for LØM-emnet, 4. utg., kap. 18 avsnitt 18.2 om rekrutteringsprosessens sju trinn og 18.2.6 om introduksjon og opplæring. Timer og timepris er Nordlys Elektro AS' egne.</t>
        </is>
      </c>
    </row>
  </sheetData>
  <conditionalFormatting sqref="D40">
    <cfRule type="expression" priority="1" dxfId="0" stopIfTrue="0">
      <formula>LEFT(D40,5)="AVVIK"</formula>
    </cfRule>
  </conditionalFormatting>
  <conditionalFormatting sqref="D41">
    <cfRule type="expression" priority="2" dxfId="0" stopIfTrue="0">
      <formula>LEFT(D41,5)="AVVIK"</formula>
    </cfRule>
  </conditionalFormatting>
  <conditionalFormatting sqref="D42">
    <cfRule type="expression" priority="3" dxfId="0" stopIfTrue="0">
      <formula>LEFT(D42,5)="AVVIK"</formula>
    </cfRule>
  </conditionalFormatting>
  <printOptions horizontalCentered="0"/>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D44"/>
  <sheetViews>
    <sheetView showGridLines="0" workbookViewId="0">
      <selection activeCell="A1" sqref="A1"/>
    </sheetView>
  </sheetViews>
  <sheetFormatPr baseColWidth="8" defaultRowHeight="15"/>
  <cols>
    <col width="52" customWidth="1" min="1" max="1"/>
    <col width="16" customWidth="1" min="2" max="2"/>
    <col width="16" customWidth="1" min="3" max="3"/>
    <col width="58" customWidth="1" min="4" max="4"/>
  </cols>
  <sheetData>
    <row r="1">
      <c r="A1" s="1" t="inlineStr">
        <is>
          <t>Og hva koster det når det ikke går bra?</t>
        </is>
      </c>
    </row>
    <row r="2">
      <c r="A2" s="2" t="inlineStr">
        <is>
          <t>Samme prosess, men den nye slutter før opplæringen er over — og alt må gjøres om igjen.</t>
        </is>
      </c>
    </row>
    <row r="4">
      <c r="A4" s="4" t="inlineStr">
        <is>
          <t>Forutsetningen</t>
        </is>
      </c>
    </row>
    <row r="5">
      <c r="A5" s="6" t="inlineStr">
        <is>
          <t>Måneder før ansettelsen ryker</t>
        </is>
      </c>
      <c r="B5" s="11" t="n">
        <v>4</v>
      </c>
      <c r="D5" s="6" t="inlineStr">
        <is>
          <t>Enten sier han opp selv, eller dere blir enige om at det ikke fungerer. Årsaken spiller ingen rolle for regnestykket.</t>
        </is>
      </c>
    </row>
    <row r="6">
      <c r="A6" s="6" t="inlineStr">
        <is>
          <t>Måneder med lønn i oppsigelsestiden</t>
        </is>
      </c>
      <c r="B6" s="11" t="n">
        <v>1</v>
      </c>
      <c r="D6" s="6" t="inlineStr">
        <is>
          <t>Fristen følger arbeidsavtalen og arbeidsmiljøloven — se kapittel 20 og regnearket der.</t>
        </is>
      </c>
    </row>
    <row r="7">
      <c r="A7" s="6" t="inlineStr">
        <is>
          <t>= Lønnskostnad per måned</t>
        </is>
      </c>
      <c r="B7" s="18">
        <f>'Timen og lønna'!$B$21/12</f>
        <v/>
      </c>
    </row>
    <row r="9">
      <c r="A9" s="4" t="inlineStr">
        <is>
          <t>Runde 1 — den som ikke ble noe av</t>
        </is>
      </c>
    </row>
    <row r="10">
      <c r="A10" s="6" t="inlineStr">
        <is>
          <t>Direkte kostnad: annonse og ledertid</t>
        </is>
      </c>
      <c r="B10" s="22">
        <f>Prosessen!$B$13</f>
        <v/>
      </c>
    </row>
    <row r="11">
      <c r="A11" s="6" t="inlineStr">
        <is>
          <t>Månedene stillingen sto tom før han begynte</t>
        </is>
      </c>
      <c r="B11" s="22">
        <f>Prosessen!$B$18</f>
        <v/>
      </c>
    </row>
    <row r="12">
      <c r="A12" s="6" t="inlineStr">
        <is>
          <t>Fadderens tid</t>
        </is>
      </c>
      <c r="B12" s="22">
        <f>Prosessen!$B$25</f>
        <v/>
      </c>
    </row>
    <row r="13">
      <c r="A13" s="6" t="inlineStr">
        <is>
          <t>= Timer som ikke ble fakturert mens han var her</t>
        </is>
      </c>
      <c r="B13" s="19">
        <f>'Timen og lønna'!$B$23*B5/12*(1-Prosessen!$B$29)</f>
        <v/>
      </c>
    </row>
    <row r="14">
      <c r="A14" s="6" t="inlineStr">
        <is>
          <t>= Tapt fakturering i de månedene</t>
        </is>
      </c>
      <c r="B14" s="12">
        <f>B13*'Timen og lønna'!$B$25</f>
        <v/>
      </c>
      <c r="D14" s="6" t="inlineStr">
        <is>
          <t>Han fakturerte noe. Det som mangler, er differansen opp til en erfaren montør.</t>
        </is>
      </c>
    </row>
    <row r="15">
      <c r="A15" s="6" t="inlineStr">
        <is>
          <t>= Lønn i oppsigelsestiden, uten produksjon</t>
        </is>
      </c>
      <c r="B15" s="12">
        <f>B7*B6</f>
        <v/>
      </c>
    </row>
    <row r="16">
      <c r="A16" s="8" t="inlineStr">
        <is>
          <t>= Runde 1, til sammen</t>
        </is>
      </c>
      <c r="B16" s="12">
        <f>B10+B11+B12+B14+B15</f>
        <v/>
      </c>
    </row>
    <row r="18">
      <c r="A18" s="4" t="inlineStr">
        <is>
          <t>Runde 2 — alt om igjen</t>
        </is>
      </c>
    </row>
    <row r="19">
      <c r="A19" s="6" t="inlineStr">
        <is>
          <t>Direkte kostnad, en gang til</t>
        </is>
      </c>
      <c r="B19" s="22">
        <f>Prosessen!$B$13</f>
        <v/>
      </c>
    </row>
    <row r="20">
      <c r="A20" s="6" t="inlineStr">
        <is>
          <t>Månedene stillingen står tom, en gang til</t>
        </is>
      </c>
      <c r="B20" s="22">
        <f>Prosessen!$B$18</f>
        <v/>
      </c>
    </row>
    <row r="21">
      <c r="A21" s="6" t="inlineStr">
        <is>
          <t>Fadderens tid, en gang til</t>
        </is>
      </c>
      <c r="B21" s="22">
        <f>Prosessen!$B$25</f>
        <v/>
      </c>
    </row>
    <row r="22">
      <c r="A22" s="6" t="inlineStr">
        <is>
          <t>Opplæringsperioden, denne gangen hele veien</t>
        </is>
      </c>
      <c r="B22" s="22">
        <f>Prosessen!$B$32</f>
        <v/>
      </c>
    </row>
    <row r="23">
      <c r="A23" s="8" t="inlineStr">
        <is>
          <t>= Runde 2, til sammen</t>
        </is>
      </c>
      <c r="B23" s="12">
        <f>B19+B20+B21+B22</f>
        <v/>
      </c>
    </row>
    <row r="25">
      <c r="A25" s="4" t="inlineStr">
        <is>
          <t>= FEILANSETTELSEN, TIL SAMMEN</t>
        </is>
      </c>
      <c r="B25" s="12">
        <f>B16+B23</f>
        <v/>
      </c>
    </row>
    <row r="26">
      <c r="A26" s="6" t="inlineStr">
        <is>
          <t>Til sammenlikning: én ansettelse som gikk bra</t>
        </is>
      </c>
      <c r="B26" s="18">
        <f>Prosessen!$B$34</f>
        <v/>
      </c>
    </row>
    <row r="27">
      <c r="A27" s="6" t="inlineStr">
        <is>
          <t>= Merkostnaden ved å velge feil</t>
        </is>
      </c>
      <c r="B27" s="12">
        <f>B25-B26</f>
        <v/>
      </c>
    </row>
    <row r="28">
      <c r="A28" s="6" t="inlineStr">
        <is>
          <t>= Feilansettelsen målt mot den riktige</t>
        </is>
      </c>
      <c r="B28" s="21">
        <f>IF(B26=0,0,B25/B26)</f>
        <v/>
      </c>
      <c r="D28" s="6" t="inlineStr">
        <is>
          <t>Ganger så dyrt. Ikke prosent — ganger.</t>
        </is>
      </c>
    </row>
    <row r="29">
      <c r="A29" s="6" t="inlineStr">
        <is>
          <t>= Andel som ingen faktura viser</t>
        </is>
      </c>
      <c r="B29" s="14">
        <f>IF(B25=0,0,1-(B10+B19)/B25)</f>
        <v/>
      </c>
    </row>
    <row r="30">
      <c r="A30" s="6" t="inlineStr">
        <is>
          <t>= Tilsvarer så mange fakturerte timer</t>
        </is>
      </c>
      <c r="B30" s="19">
        <f>IF('Timen og lønna'!$B$25=0,0,B25/'Timen og lønna'!$B$25)</f>
        <v/>
      </c>
    </row>
    <row r="31">
      <c r="A31" s="6" t="inlineStr">
        <is>
          <t>= Tilsvarer så mange montørårsverk</t>
        </is>
      </c>
      <c r="B31" s="21">
        <f>IF('Timen og lønna'!$B$28=0,0,B25/'Timen og lønna'!$B$28)</f>
        <v/>
      </c>
    </row>
    <row r="33">
      <c r="A33" s="4" t="inlineStr">
        <is>
          <t>Hva én ekstra intervjurunde koster</t>
        </is>
      </c>
    </row>
    <row r="34">
      <c r="A34" s="6" t="inlineStr">
        <is>
          <t>Ledertimer på én ekstra runde med de tre beste</t>
        </is>
      </c>
      <c r="B34" s="23" t="n">
        <v>10</v>
      </c>
    </row>
    <row r="35">
      <c r="A35" s="6" t="inlineStr">
        <is>
          <t>= Kostnad for én ekstra runde</t>
        </is>
      </c>
      <c r="B35" s="12">
        <f>B34*Prosessen!$B$10</f>
        <v/>
      </c>
    </row>
    <row r="36">
      <c r="A36" s="6" t="inlineStr">
        <is>
          <t>= Så mange ekstra runder for prisen av én bom</t>
        </is>
      </c>
      <c r="B36" s="21">
        <f>IF(B35=0,0,B27/B35)</f>
        <v/>
      </c>
      <c r="D36" s="6" t="inlineStr">
        <is>
          <t>Dette er hele poenget med arket. Grundighet i utvelgelsen er nesten gratis. Å bomme er det ikke.</t>
        </is>
      </c>
    </row>
    <row r="38">
      <c r="A38" s="4" t="inlineStr">
        <is>
          <t>Kontroll</t>
        </is>
      </c>
    </row>
    <row r="39">
      <c r="A39" s="6" t="inlineStr">
        <is>
          <t>Koster feilansettelsen mer enn den riktige?</t>
        </is>
      </c>
      <c r="D39" s="17">
        <f>IF(B25&gt;B26,"OK — feilansettelsen koster mer enn ansettelsen som gikk bra","AVVIK: da er noe galt med forutsetningene. Sjekk B5 og B6")</f>
        <v/>
      </c>
    </row>
    <row r="40">
      <c r="A40" s="6" t="inlineStr">
        <is>
          <t>Ryker ansettelsen før opplæringen er ferdig?</t>
        </is>
      </c>
      <c r="D40" s="17">
        <f>IF(B5&lt;Prosessen!$B$28,"OK — han slutter før opplæringsperioden er over, som er poenget i scenarioet","AVVIK: slutter han etter at opplæringen er ferdig, er dette ikke lenger en feilansettelse — det er en oppsigelse")</f>
        <v/>
      </c>
    </row>
    <row r="41">
      <c r="A41" s="6" t="inlineStr">
        <is>
          <t>Er én ekstra intervjurunde billigere enn å bomme?</t>
        </is>
      </c>
      <c r="D41" s="17">
        <f>IF(B36&gt;10,"OK — det er plass til mange ekstra runder før de koster like mye som én feilansettelse","AVVIK: her er noe galt. Én runde skal koste en brøkdel av én bom")</f>
        <v/>
      </c>
    </row>
    <row r="43">
      <c r="A43" s="8" t="inlineStr">
        <is>
          <t>Merk: arket regner ikke på det som ikke lar seg regne — kunden som ikke kom tilbake, laget som mistet driven, og den som sluttet fordi den nye ikke fungerte. Tallet i B25 er derfor et minimum.</t>
        </is>
      </c>
    </row>
    <row r="44">
      <c r="A44" s="3" t="inlineStr">
        <is>
          <t>Kilde: Hjertnes, Markedsføring, organisasjon og ledelse for LØM-emnet, 4. utg., kap. 18 avsnitt 18.2. Læreboka er tydelig på hva en dårlig kobling koster — konflikter, mistilpasning og svekket selvbilde — men setter ingen tall på det. Det gjør dette arket.</t>
        </is>
      </c>
    </row>
  </sheetData>
  <conditionalFormatting sqref="D39">
    <cfRule type="expression" priority="1" dxfId="0" stopIfTrue="0">
      <formula>LEFT(D39,5)="AVVIK"</formula>
    </cfRule>
  </conditionalFormatting>
  <conditionalFormatting sqref="D40">
    <cfRule type="expression" priority="2" dxfId="0" stopIfTrue="0">
      <formula>LEFT(D40,5)="AVVIK"</formula>
    </cfRule>
  </conditionalFormatting>
  <conditionalFormatting sqref="D41">
    <cfRule type="expression" priority="3" dxfId="0" stopIfTrue="0">
      <formula>LEFT(D41,5)="AVVIK"</formula>
    </cfRule>
  </conditionalFormatting>
  <printOptions horizontalCentered="0"/>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E46"/>
  <sheetViews>
    <sheetView showGridLines="0" workbookViewId="0">
      <selection activeCell="A1" sqref="A1"/>
    </sheetView>
  </sheetViews>
  <sheetFormatPr baseColWidth="8" defaultRowHeight="15"/>
  <cols>
    <col width="46" customWidth="1" min="1" max="1"/>
    <col width="18" customWidth="1" min="2" max="2"/>
    <col width="18" customWidth="1" min="3" max="3"/>
    <col width="18" customWidth="1" min="4" max="4"/>
    <col width="54" customWidth="1" min="5" max="5"/>
  </cols>
  <sheetData>
    <row r="1">
      <c r="A1" s="1" t="inlineStr">
        <is>
          <t>Tre scenarioer</t>
        </is>
      </c>
    </row>
    <row r="2">
      <c r="A2" s="2" t="inlineStr">
        <is>
          <t>Endre de gule cellene og se hva som skjer med totalen.</t>
        </is>
      </c>
    </row>
    <row r="4">
      <c r="A4" s="4" t="inlineStr">
        <is>
          <t>Scenario A · hvor raskt blir han produktiv?</t>
        </is>
      </c>
    </row>
    <row r="5">
      <c r="A5" s="3" t="inlineStr">
        <is>
          <t>Alt annet er likt. Det eneste som endrer seg, er hvor mye den nye fakturerer i opplæringsperioden.</t>
        </is>
      </c>
    </row>
    <row r="7" ht="28" customHeight="1">
      <c r="A7" s="9" t="inlineStr">
        <is>
          <t>Opptrapping</t>
        </is>
      </c>
      <c r="B7" s="9" t="inlineStr">
        <is>
          <t>Timer som ikke faktureres</t>
        </is>
      </c>
      <c r="C7" s="9" t="inlineStr">
        <is>
          <t>Tapt fakturering</t>
        </is>
      </c>
      <c r="D7" s="9" t="inlineStr">
        <is>
          <t>Hele ansettelsen</t>
        </is>
      </c>
      <c r="E7" s="9" t="inlineStr">
        <is>
          <t>Hva raden betyr</t>
        </is>
      </c>
    </row>
    <row r="8">
      <c r="A8" s="13" t="n">
        <v>0.3</v>
      </c>
      <c r="B8" s="20">
        <f>Prosessen!$B$30*(1-A8)</f>
        <v/>
      </c>
      <c r="C8" s="22">
        <f>B8*'Timen og lønna'!$B$25</f>
        <v/>
      </c>
      <c r="D8" s="12">
        <f>Prosessen!$B$13+Prosessen!$B$18+Prosessen!$B$25+C8</f>
        <v/>
      </c>
      <c r="E8" s="6" t="inlineStr">
        <is>
          <t>Ingen fadder, ingen plan. Han finner ut av det selv.</t>
        </is>
      </c>
    </row>
    <row r="9">
      <c r="A9" s="13" t="n">
        <v>0.5</v>
      </c>
      <c r="B9" s="20">
        <f>Prosessen!$B$30*(1-A9)</f>
        <v/>
      </c>
      <c r="C9" s="22">
        <f>B9*'Timen og lønna'!$B$25</f>
        <v/>
      </c>
      <c r="D9" s="12">
        <f>Prosessen!$B$13+Prosessen!$B$18+Prosessen!$B$25+C9</f>
        <v/>
      </c>
      <c r="E9" s="6" t="inlineStr">
        <is>
          <t>Nordlys i dag: fadder i én uke, og et program som slutter i måned 6.</t>
        </is>
      </c>
    </row>
    <row r="10">
      <c r="A10" s="13" t="n">
        <v>0.7</v>
      </c>
      <c r="B10" s="20">
        <f>Prosessen!$B$30*(1-A10)</f>
        <v/>
      </c>
      <c r="C10" s="22">
        <f>B10*'Timen og lønna'!$B$25</f>
        <v/>
      </c>
      <c r="D10" s="12">
        <f>Prosessen!$B$13+Prosessen!$B$18+Prosessen!$B$25+C10</f>
        <v/>
      </c>
      <c r="E10" s="6" t="inlineStr">
        <is>
          <t>Strukturert program, fadder hele veien, og oppgaver som passer nivået.</t>
        </is>
      </c>
    </row>
    <row r="11">
      <c r="A11" s="13" t="n">
        <v>0.85</v>
      </c>
      <c r="B11" s="20">
        <f>Prosessen!$B$30*(1-A11)</f>
        <v/>
      </c>
      <c r="C11" s="22">
        <f>B11*'Timen og lønna'!$B$25</f>
        <v/>
      </c>
      <c r="D11" s="12">
        <f>Prosessen!$B$13+Prosessen!$B$18+Prosessen!$B$25+C11</f>
        <v/>
      </c>
      <c r="E11" s="6" t="inlineStr">
        <is>
          <t>Han kom fra en tilsvarende bedrift og kjente arbeidsmåten fra før.</t>
        </is>
      </c>
    </row>
    <row r="14">
      <c r="A14" s="4" t="inlineStr">
        <is>
          <t>Scenario B · hvor lenge står stillingen tom?</t>
        </is>
      </c>
    </row>
    <row r="15">
      <c r="A15" s="3" t="inlineStr">
        <is>
          <t>Den dyreste posten i hele arket, og den ingen fører regnskap over.</t>
        </is>
      </c>
    </row>
    <row r="16" ht="28" customHeight="1">
      <c r="A16" s="9" t="inlineStr">
        <is>
          <t>Måneder tom</t>
        </is>
      </c>
      <c r="B16" s="9" t="inlineStr">
        <is>
          <t>Timer som forsvinner</t>
        </is>
      </c>
      <c r="C16" s="9" t="inlineStr">
        <is>
          <t>Tapt fakturering</t>
        </is>
      </c>
      <c r="D16" s="9" t="inlineStr">
        <is>
          <t>Hele ansettelsen</t>
        </is>
      </c>
      <c r="E16" s="9" t="inlineStr">
        <is>
          <t>Hva raden betyr</t>
        </is>
      </c>
    </row>
    <row r="17">
      <c r="A17" s="11" t="n">
        <v>1</v>
      </c>
      <c r="B17" s="20">
        <f>'Timen og lønna'!$B$23*A17/12</f>
        <v/>
      </c>
      <c r="C17" s="22">
        <f>B17*'Timen og lønna'!$B$25</f>
        <v/>
      </c>
      <c r="D17" s="12">
        <f>Prosessen!$B$13+C17+Prosessen!$B$25+Prosessen!$B$32</f>
        <v/>
      </c>
      <c r="E17" s="6" t="inlineStr">
        <is>
          <t>Dere hadde en kandidat klar. Sjelden, og det skyldes som regel flaks.</t>
        </is>
      </c>
    </row>
    <row r="18">
      <c r="A18" s="11" t="n">
        <v>2</v>
      </c>
      <c r="B18" s="20">
        <f>'Timen og lønna'!$B$23*A18/12</f>
        <v/>
      </c>
      <c r="C18" s="22">
        <f>B18*'Timen og lønna'!$B$25</f>
        <v/>
      </c>
      <c r="D18" s="12">
        <f>Prosessen!$B$13+C18+Prosessen!$B$25+Prosessen!$B$32</f>
        <v/>
      </c>
      <c r="E18" s="6" t="inlineStr">
        <is>
          <t>Utlysingen lå ute før den forrige sluttet.</t>
        </is>
      </c>
    </row>
    <row r="19">
      <c r="A19" s="11" t="n">
        <v>4</v>
      </c>
      <c r="B19" s="20">
        <f>'Timen og lønna'!$B$23*A19/12</f>
        <v/>
      </c>
      <c r="C19" s="22">
        <f>B19*'Timen og lønna'!$B$25</f>
        <v/>
      </c>
      <c r="D19" s="12">
        <f>Prosessen!$B$13+C19+Prosessen!$B$25+Prosessen!$B$32</f>
        <v/>
      </c>
      <c r="E19" s="6" t="inlineStr">
        <is>
          <t>Nordlys i dag. Nøkternt for en installasjonsbedrift.</t>
        </is>
      </c>
    </row>
    <row r="20">
      <c r="A20" s="11" t="n">
        <v>7</v>
      </c>
      <c r="B20" s="20">
        <f>'Timen og lønna'!$B$23*A20/12</f>
        <v/>
      </c>
      <c r="C20" s="22">
        <f>B20*'Timen og lønna'!$B$25</f>
        <v/>
      </c>
      <c r="D20" s="12">
        <f>Prosessen!$B$13+C20+Prosessen!$B$25+Prosessen!$B$32</f>
        <v/>
      </c>
      <c r="E20" s="6" t="inlineStr">
        <is>
          <t>Dere fant ingen kvalifisert, og måtte lyse ut på nytt.</t>
        </is>
      </c>
    </row>
    <row r="23">
      <c r="A23" s="4" t="inlineStr">
        <is>
          <t>Scenario C · intern eller ekstern?</t>
        </is>
      </c>
    </row>
    <row r="24">
      <c r="A24" s="3" t="inlineStr">
        <is>
          <t>Den interne kjenner kundene, anleggene og rutinene fra første dag — men montørstillingen hans må fylles likevel.</t>
        </is>
      </c>
    </row>
    <row r="25" ht="28" customHeight="1">
      <c r="A25" s="9" t="inlineStr"/>
      <c r="B25" s="9" t="inlineStr">
        <is>
          <t>Ekstern</t>
        </is>
      </c>
      <c r="C25" s="9" t="inlineStr">
        <is>
          <t>Intern</t>
        </is>
      </c>
      <c r="D25" s="9" t="inlineStr"/>
      <c r="E25" s="9" t="inlineStr">
        <is>
          <t>Hva raden betyr</t>
        </is>
      </c>
    </row>
    <row r="26">
      <c r="A26" s="6" t="inlineStr">
        <is>
          <t>Måneder stillingen står tom</t>
        </is>
      </c>
      <c r="B26" s="24">
        <f>Prosessen!$B$16</f>
        <v/>
      </c>
      <c r="C26" s="11">
        <f>0</f>
        <v/>
      </c>
      <c r="E26" s="6" t="inlineStr">
        <is>
          <t>Den interne er allerede på huset. Vakansen er null.</t>
        </is>
      </c>
    </row>
    <row r="27">
      <c r="A27" s="6" t="inlineStr">
        <is>
          <t>Opptrapping i opplæringsperioden</t>
        </is>
      </c>
      <c r="B27" s="25">
        <f>Prosessen!$B$29</f>
        <v/>
      </c>
      <c r="C27" s="13">
        <f>0.85</f>
        <v/>
      </c>
      <c r="E27" s="6" t="inlineStr">
        <is>
          <t>Den interne kan faget og anleggene. Det som er nytt, er ledelsen.</t>
        </is>
      </c>
    </row>
    <row r="28">
      <c r="A28" s="6" t="inlineStr">
        <is>
          <t>Annonse</t>
        </is>
      </c>
      <c r="B28" s="22">
        <f>Prosessen!$B$13-Prosessen!$B$12</f>
        <v/>
      </c>
      <c r="C28" s="10">
        <f>0</f>
        <v/>
      </c>
      <c r="E28" s="6" t="inlineStr">
        <is>
          <t>Intern utlysing koster ingenting i annonse.</t>
        </is>
      </c>
    </row>
    <row r="29">
      <c r="A29" s="6" t="inlineStr">
        <is>
          <t>Ledertid</t>
        </is>
      </c>
      <c r="B29" s="22">
        <f>Prosessen!$B$12</f>
        <v/>
      </c>
      <c r="C29" s="10">
        <f>Prosessen!$B$12/2</f>
        <v/>
      </c>
      <c r="E29" s="6" t="inlineStr">
        <is>
          <t>Halve prosessen: dere kjenner ham, og referansesjekken er unødvendig.</t>
        </is>
      </c>
    </row>
    <row r="30">
      <c r="A30" s="8" t="inlineStr">
        <is>
          <t>= Tapt fakturering, vakanse</t>
        </is>
      </c>
      <c r="B30" s="18">
        <f>'Timen og lønna'!$B$23*B26/12*'Timen og lønna'!$B$25</f>
        <v/>
      </c>
      <c r="C30" s="18">
        <f>'Timen og lønna'!$B$23*C26/12*'Timen og lønna'!$B$25</f>
        <v/>
      </c>
    </row>
    <row r="31">
      <c r="A31" s="8" t="inlineStr">
        <is>
          <t>= Tapt fakturering, opplæring</t>
        </is>
      </c>
      <c r="B31" s="18">
        <f>Prosessen!$B$30*(1-B27)*'Timen og lønna'!$B$25</f>
        <v/>
      </c>
      <c r="C31" s="18">
        <f>Prosessen!$B$30*(1-C27)*'Timen og lønna'!$B$25</f>
        <v/>
      </c>
    </row>
    <row r="32">
      <c r="A32" s="8" t="inlineStr">
        <is>
          <t>= HELE ANSETTELSEN</t>
        </is>
      </c>
      <c r="B32" s="12">
        <f>B28+B29+Prosessen!$B$25+B30+B31</f>
        <v/>
      </c>
      <c r="C32" s="12">
        <f>C28+C29+Prosessen!$B$25+C30+C31</f>
        <v/>
      </c>
    </row>
    <row r="33">
      <c r="A33" s="6" t="inlineStr">
        <is>
          <t>= Forskjell</t>
        </is>
      </c>
      <c r="B33" s="12">
        <f>B32-C32</f>
        <v/>
      </c>
      <c r="E33" s="6" t="inlineStr">
        <is>
          <t>Så mye billigere er den interne — før du har regnet på montørstillingen hans, som må fylles uansett.</t>
        </is>
      </c>
    </row>
    <row r="35">
      <c r="A35" s="4" t="inlineStr">
        <is>
          <t>Les tabellene slik</t>
        </is>
      </c>
    </row>
    <row r="36">
      <c r="A36" s="6" t="inlineStr">
        <is>
          <t>Scenario A: opptrappingen er den eneste av de tre knappene bedriften styrer helt selv. Et introduksjonsprogram koster noen timer og betaler seg på uker.</t>
        </is>
      </c>
    </row>
    <row r="37">
      <c r="A37" s="6" t="inlineStr">
        <is>
          <t>Scenario B: vakansen er den dyreste posten i hele arket, og den er nesten alltid lengre enn folk tror. Den korteste veien til å redusere den er å lyse ut før den forrige har sluttet.</t>
        </is>
      </c>
    </row>
    <row r="38">
      <c r="A38" s="8" t="inlineStr">
        <is>
          <t>Scenario C: den interne er billigere — men regnestykket er ikke ferdig. Montørstillingen hans må fylles, og da har bedriften fortsatt en rekrutteringsprosess, bare på et lavere nivå. Det er derfor svaret på «internt eller eksternt» ikke er et tall.</t>
        </is>
      </c>
    </row>
    <row r="40">
      <c r="A40" s="4" t="inlineStr">
        <is>
          <t>Kontroll</t>
        </is>
      </c>
    </row>
    <row r="41">
      <c r="A41" s="6" t="inlineStr">
        <is>
          <t>Stiger kostnaden når opptrappingen går saktere?</t>
        </is>
      </c>
      <c r="E41" s="17">
        <f>IF(D8&gt;D11,"OK — lavere opptrapping gir høyere kostnad","AVVIK: tabellen i scenario A skal falle nedover")</f>
        <v/>
      </c>
    </row>
    <row r="42">
      <c r="A42" s="6" t="inlineStr">
        <is>
          <t>Stiger kostnaden når vakansen blir lengre?</t>
        </is>
      </c>
      <c r="E42" s="17">
        <f>IF(D20&gt;D17,"OK — lengre vakanse gir høyere kostnad","AVVIK: tabellen i scenario B skal stige nedover")</f>
        <v/>
      </c>
    </row>
    <row r="43">
      <c r="A43" s="6" t="inlineStr">
        <is>
          <t>Stemmer «Nordlys i dag»-raden med arket Prosessen?</t>
        </is>
      </c>
      <c r="E43" s="17">
        <f>IF(ABS(D9-Prosessen!$B$34)&lt;1,"OK — raden gir samme sum som arket Prosessen","AVVIK: raden stemmer ikke med arket Prosessen")</f>
        <v/>
      </c>
    </row>
    <row r="44">
      <c r="A44" s="6" t="inlineStr">
        <is>
          <t>Er den interne billigere enn den eksterne?</t>
        </is>
      </c>
      <c r="E44" s="17">
        <f>IF(B33&gt;0,"OK — den interne er billigst i denne oppstillingen","AVVIK: da er forutsetningene endret. Se på opptrappingen i rad 27")</f>
        <v/>
      </c>
    </row>
    <row r="46">
      <c r="A46" s="3" t="inlineStr">
        <is>
          <t>Kilde: Hjertnes, Markedsføring, organisasjon og ledelse for LØM-emnet, 4. utg., kap. 18 avsnitt 18.2.1 om intern og ekstern rekruttering. Tallene er Nordlys Elektro AS' egne.</t>
        </is>
      </c>
    </row>
  </sheetData>
  <conditionalFormatting sqref="E41">
    <cfRule type="expression" priority="1" dxfId="0" stopIfTrue="0">
      <formula>LEFT(E41,5)="AVVIK"</formula>
    </cfRule>
  </conditionalFormatting>
  <conditionalFormatting sqref="E42">
    <cfRule type="expression" priority="2" dxfId="0" stopIfTrue="0">
      <formula>LEFT(E42,5)="AVVIK"</formula>
    </cfRule>
  </conditionalFormatting>
  <conditionalFormatting sqref="E43">
    <cfRule type="expression" priority="3" dxfId="0" stopIfTrue="0">
      <formula>LEFT(E43,5)="AVVIK"</formula>
    </cfRule>
  </conditionalFormatting>
  <conditionalFormatting sqref="E44">
    <cfRule type="expression" priority="4" dxfId="0" stopIfTrue="0">
      <formula>LEFT(E44,5)="AVVIK"</formula>
    </cfRule>
  </conditionalFormatting>
  <printOptions horizontalCentered="0"/>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52" customWidth="1" min="1" max="1"/>
    <col width="16" customWidth="1" min="2" max="2"/>
    <col width="16" customWidth="1" min="3" max="3"/>
    <col width="58" customWidth="1" min="4" max="4"/>
  </cols>
  <sheetData>
    <row r="1">
      <c r="A1" s="1" t="inlineStr">
        <is>
          <t>Din egen bedrift — samme oppsett, tomt</t>
        </is>
      </c>
    </row>
    <row r="2">
      <c r="A2" s="2" t="inlineStr">
        <is>
          <t>Fyll inn tallene fra din egen arbeidsplass. Formlene er de samme.</t>
        </is>
      </c>
    </row>
    <row r="4">
      <c r="A4" s="4" t="inlineStr">
        <is>
          <t>Grunnlaget</t>
        </is>
      </c>
    </row>
    <row r="5">
      <c r="A5" s="6" t="inlineStr">
        <is>
          <t>Årslønn per utførende</t>
        </is>
      </c>
      <c r="B5" s="10" t="n">
        <v>0</v>
      </c>
      <c r="D5" s="6" t="inlineStr">
        <is>
          <t>Lønnsposten delt på antall som fakturerer timer.</t>
        </is>
      </c>
    </row>
    <row r="6">
      <c r="A6" s="6" t="inlineStr">
        <is>
          <t>Påslag for sosiale kostnader</t>
        </is>
      </c>
      <c r="B6" s="13" t="n">
        <v>0</v>
      </c>
      <c r="D6" s="6" t="inlineStr">
        <is>
          <t>Feriepenger, arbeidsgiveravgift, pensjon, helligdager, yrkesskade og sykepenger.</t>
        </is>
      </c>
    </row>
    <row r="7">
      <c r="A7" s="6" t="inlineStr">
        <is>
          <t>Fakturerte timer per montør per år</t>
        </is>
      </c>
      <c r="B7" s="11" t="n">
        <v>0</v>
      </c>
      <c r="D7" s="6" t="inlineStr">
        <is>
          <t>Hent tallet fra timeregistreringen, ikke fra magefølelsen.</t>
        </is>
      </c>
    </row>
    <row r="8">
      <c r="A8" s="6" t="inlineStr">
        <is>
          <t>Timepris til kunden, uten mva.</t>
        </is>
      </c>
      <c r="B8" s="10" t="n">
        <v>0</v>
      </c>
    </row>
    <row r="9">
      <c r="A9" s="6" t="inlineStr">
        <is>
          <t>= Lønnskostnad per utførende</t>
        </is>
      </c>
      <c r="B9" s="12">
        <f>B5*(1+B6)</f>
        <v/>
      </c>
    </row>
    <row r="10">
      <c r="A10" s="6" t="inlineStr">
        <is>
          <t>= Omsetning én montør skaper på ett år</t>
        </is>
      </c>
      <c r="B10" s="12">
        <f>B7*B8</f>
        <v/>
      </c>
    </row>
    <row r="12">
      <c r="A12" s="4" t="inlineStr">
        <is>
          <t>Ansettelsen</t>
        </is>
      </c>
    </row>
    <row r="13">
      <c r="A13" s="6" t="inlineStr">
        <is>
          <t>Annonse</t>
        </is>
      </c>
      <c r="B13" s="10" t="n">
        <v>0</v>
      </c>
    </row>
    <row r="14">
      <c r="A14" s="6" t="inlineStr">
        <is>
          <t>Ledertimer på hele prosessen</t>
        </is>
      </c>
      <c r="B14" s="11" t="n">
        <v>0</v>
      </c>
    </row>
    <row r="15">
      <c r="A15" s="6" t="inlineStr">
        <is>
          <t>Timekostnad for lederen</t>
        </is>
      </c>
      <c r="B15" s="26" t="n">
        <v>0</v>
      </c>
    </row>
    <row r="16">
      <c r="A16" s="6" t="inlineStr">
        <is>
          <t>Måneder stillingen står tom</t>
        </is>
      </c>
      <c r="B16" s="11" t="n">
        <v>0</v>
      </c>
    </row>
    <row r="17">
      <c r="A17" s="6" t="inlineStr">
        <is>
          <t>Uker fadderen går sammen med den nye</t>
        </is>
      </c>
      <c r="B17" s="23" t="n">
        <v>0</v>
      </c>
    </row>
    <row r="18">
      <c r="A18" s="6" t="inlineStr">
        <is>
          <t>Måneder før den nye er like produktiv</t>
        </is>
      </c>
      <c r="B18" s="11" t="n">
        <v>0</v>
      </c>
    </row>
    <row r="19">
      <c r="A19" s="6" t="inlineStr">
        <is>
          <t>Hvor mye han fakturerer i snitt i den perioden</t>
        </is>
      </c>
      <c r="B19" s="13" t="n">
        <v>0</v>
      </c>
    </row>
    <row r="20">
      <c r="A20" s="6" t="inlineStr">
        <is>
          <t>= Direkte kostnad</t>
        </is>
      </c>
      <c r="B20" s="18">
        <f>B13+B14*B15</f>
        <v/>
      </c>
    </row>
    <row r="21">
      <c r="A21" s="6" t="inlineStr">
        <is>
          <t>= Tapt fakturering, vakanse</t>
        </is>
      </c>
      <c r="B21" s="18">
        <f>B7*B16/12*B8</f>
        <v/>
      </c>
    </row>
    <row r="22">
      <c r="A22" s="6" t="inlineStr">
        <is>
          <t>= Tapt fakturering, fadder</t>
        </is>
      </c>
      <c r="B22" s="18">
        <f>B7/52*B17*B8</f>
        <v/>
      </c>
    </row>
    <row r="23">
      <c r="A23" s="6" t="inlineStr">
        <is>
          <t>= Tapt fakturering, opplæring</t>
        </is>
      </c>
      <c r="B23" s="18">
        <f>B7*B18/12*(1-B19)*B8</f>
        <v/>
      </c>
    </row>
    <row r="24">
      <c r="A24" s="8" t="inlineStr">
        <is>
          <t>= HELE ANSETTELSEN</t>
        </is>
      </c>
      <c r="B24" s="12">
        <f>B20+B21+B22+B23</f>
        <v/>
      </c>
    </row>
    <row r="25">
      <c r="A25" s="6" t="inlineStr">
        <is>
          <t>= Tilsvarer så mange montørårsverk</t>
        </is>
      </c>
      <c r="B25" s="21">
        <f>IF(B10=0,0,B24/B10)</f>
        <v/>
      </c>
    </row>
    <row r="27">
      <c r="A27" s="4" t="inlineStr">
        <is>
          <t>Kontroll</t>
        </is>
      </c>
    </row>
    <row r="28">
      <c r="A28" s="6" t="inlineStr">
        <is>
          <t>Er alle feltene fylt ut?</t>
        </is>
      </c>
      <c r="D28" s="17">
        <f>IF(OR(B5=0,B7=0,B8=0),"AVVIK: fyll ut lønn, timer og timepris øverst før du leser av totalen","OK — grunnlaget er fylt ut")</f>
        <v/>
      </c>
    </row>
    <row r="29">
      <c r="A29" s="6" t="inlineStr">
        <is>
          <t>Gir timen positivt dekningsbidrag?</t>
        </is>
      </c>
      <c r="D29" s="17">
        <f>IF(B7=0,"AVVIK: fyll ut fakturerte timer",IF(B8&gt;B9/B7,"OK — timeprisen dekker lønnskostnaden per fakturert time","AVVIK: timeprisen dekker ikke engang lønna. Se kapittel 5"))</f>
        <v/>
      </c>
    </row>
    <row r="31">
      <c r="A31" s="8" t="inlineStr">
        <is>
          <t>Tips: det tallet folk oftest bommer på, er antall måneder stillingen faktisk står tom. Tell fra den dagen oppsigelsen kom, ikke fra den dagen annonsen sto ute.</t>
        </is>
      </c>
    </row>
  </sheetData>
  <conditionalFormatting sqref="D28">
    <cfRule type="expression" priority="1" dxfId="0" stopIfTrue="0">
      <formula>LEFT(D28,5)="AVVIK"</formula>
    </cfRule>
  </conditionalFormatting>
  <conditionalFormatting sqref="D29">
    <cfRule type="expression" priority="2" dxfId="0" stopIfTrue="0">
      <formula>LEFT(D29,5)="AVVIK"</formula>
    </cfRule>
  </conditionalFormatting>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2026-09-11T09:30:41Z</dcterms:created>
  <dcterms:modified xmlns:dcterms="http://purl.org/dc/terms/" xmlns:xsi="http://www.w3.org/2001/XMLSchema-instance" xsi:type="dcterms:W3CDTF">2026-09-11T09:30:41Z</dcterms:modified>
</cp:coreProperties>
</file>