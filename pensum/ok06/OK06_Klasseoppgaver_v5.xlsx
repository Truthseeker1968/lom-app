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<sst xmlns="http://schemas.openxmlformats.org/spreadsheetml/2006/main" count="156" uniqueCount="125">
  <si>
    <t xml:space="preserve">Klasseoppgaver til Økonomistyring kapittel 6: Kapitalbehov og finansiering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</si>
  <si>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</si>
  <si>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</si>
  <si>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</si>
  <si>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</si>
  <si>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</si>
  <si>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</si>
  <si>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</si>
  <si>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</si>
  <si>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nye solcelleavdeling: hvor mye kapital trenger satsingen? (Nordlys)</t>
  </si>
  <si>
    <t xml:space="preserve">A2</t>
  </si>
  <si>
    <t xml:space="preserve">Din egen el-bedrift: kapitalbehovet ved oppstart (Egen el-bedrift)</t>
  </si>
  <si>
    <t xml:space="preserve">B1</t>
  </si>
  <si>
    <t xml:space="preserve">Nordlys ved oppstart i 2019: finansieringsplanen (Nordlys)</t>
  </si>
  <si>
    <t xml:space="preserve">B2</t>
  </si>
  <si>
    <t xml:space="preserve">Din egen el-bedrift: finansieringsplanen og prisen på lånet (Egen el-bedrift)</t>
  </si>
  <si>
    <t xml:space="preserve">Læreboka</t>
  </si>
  <si>
    <t xml:space="preserve">Hjertnes, J. og Skorpen, K.: Økonomistyring for LØM-emnet, kapittel 6.</t>
  </si>
  <si>
    <t xml:space="preserve">Appen</t>
  </si>
  <si>
    <t xml:space="preserve">Økonomistyring kap. 6 → Øv → Klasseoppgaver gir fasit per deloppgave.</t>
  </si>
  <si>
    <t xml:space="preserve">A1 · Nordlys' nye solcelleavdeling: hvor mye kapital trenger satsingen?</t>
  </si>
  <si>
    <t xml:space="preserve">25 minutter · Helst alene. Sammen med sidemannen eller flere hvis du vil. Ark og blyant, appen (PC eller mobil) eller læreboka.</t>
  </si>
  <si>
    <t xml:space="preserve">Kort oppsummert: Kapitalbehovet er investeringene (anleggsmidlene) pluss det driften binder: varelager, kundefordringer og likviditetsreserve. Varelager = varekostnad × lagringstid / 360, uten mva. Kundefordringer = kredittsalg inkl. mva × kredittid / 360. Reserven er et beløp bedriften velger. Bruttofortjenesten regnes alltid av salget uten mva.</t>
  </si>
  <si>
    <t xml:space="preserve">Kari tror satsingen på solceller og ladepunkter blir stor, og vil gjøre den til en egen avdeling fra budsjettåret. Avdelingen trenger verktøy, måleutstyr og stillas for takarbeid for 240 000 kr og en varebil til 420 000 kr. Budsjettert salg første år er 6 000 000 kr inkludert mva, altså 4 800 000 kr uten. Bruttofortjenesten er 35 %, lavere enn i resten av Nordlys fordi panelene er en stor del av prisen. Alt faktureres med 30 dagers kredittid. Paneler og materiell ligger i snitt 45 dager på lager. Kari vil sette av en likviditetsreserve på 150 000 kr. Regn ut kapitalbehovet post for post. Gå fram slik: regn varekostnaden av salget uten mva; regn varelageret uten mva og kundefordringene med mva; bruk 360 dager i året; legg sammen.</t>
  </si>
  <si>
    <t xml:space="preserve">Forutsetning</t>
  </si>
  <si>
    <t xml:space="preserve">Verdi</t>
  </si>
  <si>
    <t xml:space="preserve">Verktøy og stillas</t>
  </si>
  <si>
    <t xml:space="preserve">240 000 kr (verktøy, måleutstyr, stillas)</t>
  </si>
  <si>
    <t xml:space="preserve">Varebil</t>
  </si>
  <si>
    <t xml:space="preserve">420 000 kr</t>
  </si>
  <si>
    <t xml:space="preserve">Salg første år</t>
  </si>
  <si>
    <t xml:space="preserve">6 000 000 kr inkl. mva (4 800 000 uten)</t>
  </si>
  <si>
    <t xml:space="preserve">Bruttofortjeneste</t>
  </si>
  <si>
    <t xml:space="preserve">35 % av salget uten mva</t>
  </si>
  <si>
    <t xml:space="preserve">Kunder og kredittid</t>
  </si>
  <si>
    <t xml:space="preserve">Alt faktureres, 30 dager</t>
  </si>
  <si>
    <t xml:space="preserve">Lagringstid</t>
  </si>
  <si>
    <t xml:space="preserve">45 dager (paneler og materiell)</t>
  </si>
  <si>
    <t xml:space="preserve">Likviditetsreserve</t>
  </si>
  <si>
    <t xml:space="preserve">150 000 kr</t>
  </si>
  <si>
    <t xml:space="preserve">Mva og dager i året</t>
  </si>
  <si>
    <t xml:space="preserve">25 % · 360 dager</t>
  </si>
  <si>
    <t xml:space="preserve">Deloppgave</t>
  </si>
  <si>
    <t xml:space="preserve">Ditt svar</t>
  </si>
  <si>
    <t xml:space="preserve">Sjekk</t>
  </si>
  <si>
    <t xml:space="preserve">a)  Kapitalbindingen i varelageret, i kroner. Regn først varekostnaden: salget uten mva ganger (1 − bruttofortjenesten). Gang så med lagringstiden og del på 360.</t>
  </si>
  <si>
    <t xml:space="preserve">b)  Kapitalbindingen i kundefordringene, i kroner: kredittsalget inkl. mva ganger kredittiden, delt på 360. Alt salget er kredittsalg.</t>
  </si>
  <si>
    <t xml:space="preserve">c)  Det samlede kapitalbehovet for avdelingen, i kroner: anleggsmidler + varelager + kundefordringer + likviditetsreserve.</t>
  </si>
  <si>
    <t xml:space="preserve">d)  Tom regner varelageret av salget med mva: 6 000 000 × 0,65 × 45 / 360. Hvilken regel for mva er riktig?   A: Begge postene med mva, fordi alt Nordlys betaler for har mva   B: Varelageret uten mva, kundefordringene med mva   C: Begge postene uten mva, fordi mva er statens penger   (skriv bokstaven)</t>
  </si>
  <si>
    <t xml:space="preserve">e)  Grossisten gir rabatt hvis Nordlys kjøper paneler i store partier, men da ligger de i snitt 90 dager på lager i stedet for 45. Hva skjer med kapitalbehovet, og når lønner rabatten seg? To–tre setninger.</t>
  </si>
  <si>
    <t xml:space="preserve">Kilde: Hjertnes, J. og Skorpen, K.: Økonomistyring for LØM-emnet, kap. 6, avsnitt 6.1–6.1.4 og 6.4. Satsingen på solceller og ladepunkter: faktaarket for Nordlys; tallene for avdelingen er konstruert for oppgaven. Nordlys Elektro AS er en konstruert casebedrift.</t>
  </si>
  <si>
    <t xml:space="preserve">Regnearket er øvingsstøtte. Det kan ikke siteres eller vises til i besvarelser, prosjektoppgaver eller eksamen; der gjelder læreboka og oppgitte primærkilder.</t>
  </si>
  <si>
    <t xml:space="preserve">A2 · Din egen el-bedrift: kapitalbehovet ved oppstart</t>
  </si>
  <si>
    <t xml:space="preserve">Kort oppsummert: I en installasjonsbedrift er kundefordringene som regel den største posten i kapitalbehovet, fordi nesten alt salg faktureres. Kapitalbehovet er utstyr + varelager + kundefordringer + reserve. Det som leases, er ikke kapitalbehov; leia er en driftskostnad. Lånet er heller ikke kapitalbehov: lånet er en del av finansieringen.</t>
  </si>
  <si>
    <t xml:space="preserve">Fjell Elektro AS (samme bedrift som i kapittel 9) starter 1. januar. Resultatbudsjettet for første driftsår gir salgsinntekter på 4 795 000 kr uten mva og et materiellforbruk på 1 400 000 kr uten mva. Alle kundene får faktura med 30 dagers kredittid. Materiellet ligger i snitt 18 dager på lager. Utstyr og verktøy kjøpes for 300 000 kr. De to servicebilene leases. Eieren vil ha en likviditetsreserve på 150 000 kr, omtrent én måneds lønnsutbetaling. Finansieringen er aksjekapital 300 000 kr og banklån 500 000 kr. Regn ut kapitalbehovet post for post, med 25 % mva og 360 dager i året.</t>
  </si>
  <si>
    <t xml:space="preserve">Utstyr og verktøy</t>
  </si>
  <si>
    <t xml:space="preserve">300 000 kr, kjøpes</t>
  </si>
  <si>
    <t xml:space="preserve">Servicebiler</t>
  </si>
  <si>
    <t xml:space="preserve">To biler på leasing, 144 000 kr i året</t>
  </si>
  <si>
    <t xml:space="preserve">Salgsinntekter år 1</t>
  </si>
  <si>
    <t xml:space="preserve">4 795 000 kr uten mva, alt på faktura</t>
  </si>
  <si>
    <t xml:space="preserve">Kredittid til kundene</t>
  </si>
  <si>
    <t xml:space="preserve">30 dager</t>
  </si>
  <si>
    <t xml:space="preserve">Materiellforbruk år 1</t>
  </si>
  <si>
    <t xml:space="preserve">1 400 000 kr uten mva</t>
  </si>
  <si>
    <t xml:space="preserve">18 dager</t>
  </si>
  <si>
    <t xml:space="preserve">Finansiering</t>
  </si>
  <si>
    <t xml:space="preserve">Aksjekapital 300 000 + banklån 500 000</t>
  </si>
  <si>
    <t xml:space="preserve">a)  Kapitalbindingen i kundefordringene, i hele kroner: salget inkl. mva ganger kredittiden, delt på 360. Alt salget er kredittsalg.</t>
  </si>
  <si>
    <t xml:space="preserve">b)  Kapitalbindingen i varelageret, i kroner: materiellforbruket uten mva ganger lagringstiden, delt på 360.</t>
  </si>
  <si>
    <t xml:space="preserve">c)  Det samlede kapitalbehovet ved oppstart, i hele kroner: utstyr + varelager + kundefordringer + likviditetsreserve.</t>
  </si>
  <si>
    <t xml:space="preserve">d)  Hvilke poster hører hjemme i kapitalbehovet? Spør for hver post: må bedriften ha penger bundet her, eller er det leie, eller er det finansiering?</t>
  </si>
  <si>
    <t xml:space="preserve">      Utstyr og verktøy 300 000 kr   (Ja eller Nei)</t>
  </si>
  <si>
    <t xml:space="preserve">      Servicebilene på leasing   (Ja eller Nei)</t>
  </si>
  <si>
    <t xml:space="preserve">      Materiell på lager, 18 dager   (Ja eller Nei)</t>
  </si>
  <si>
    <t xml:space="preserve">      Ubetalte kundefakturaer, 30 dager   (Ja eller Nei)</t>
  </si>
  <si>
    <t xml:space="preserve">      Likviditetsreserve 150 000 kr   (Ja eller Nei)</t>
  </si>
  <si>
    <t xml:space="preserve">      Banklånet 500 000 kr   (Ja eller Nei)</t>
  </si>
  <si>
    <t xml:space="preserve">e)  Kundene bruker 60 dager på å betale, ikke 30. Regn kundefordringene på nytt og skriv to setninger: hva skjer med kapitalbehovet, og hva bør eieren gjøre?</t>
  </si>
  <si>
    <t xml:space="preserve">Kilde: Hjertnes, J. og Skorpen, K.: Økonomistyring for LØM-emnet, kap. 6, avsnitt 6.1–6.1.4 og 6.9 (leasing). Salgsinntekter og materiell: resultatbudsjettet i kap. 9 (OK09 A2).</t>
  </si>
  <si>
    <t xml:space="preserve">B1 · Nordlys ved oppstart i 2019: finansieringsplanen</t>
  </si>
  <si>
    <t xml:space="preserve">Kort oppsummert: En fornuftig finansieringsplan har nok egenkapital, finansierer anleggsmidlene i sin helhet med langsiktig kapital, og lar den langsiktige kapitalen dekke en del av omløpsmidlene. Boka: egenkapital + langsiktig gjeld = anleggsmidler + halve varelageret. Det som er igjen av kapitalbehovet, er det høyeste den kortsiktige gjelda bør være. Leverandørgjeld = varekjøp inkl. mva × kredittid / 360.</t>
  </si>
  <si>
    <t xml:space="preserve">Kapitalbehovet for Nordlys ved oppstart i 2019 er 1 875 000 kr (del 1, slide 5): anleggsmidler 1 330 000, varelager 220 000, kundefordringer 125 000 og likviditetsreserve 200 000. Banken krever at egenkapitalen er minst 30 % av kapitalbehovet, og at egenkapital pluss langsiktig gjeld dekker anleggsmidlene og halve varelageret. Polarlys Elektro Grossist ga Nordlys som ny kunde bare 15 dagers kreditt det første året (senere ble det 30 dager), og varekjøpet første år er 4 950 000 kr inkl. mva. Sett opp finansieringsplanen trinn for trinn: egenkapital, samlet lånebehov, langsiktig gjeld (minimum), kortsiktig gjeld, leverandørgjeld og annen kortsiktig gjeld. Kontroller at summen blir kapitalbehovet.</t>
  </si>
  <si>
    <t xml:space="preserve">Sum kapitalbehov (del 1)</t>
  </si>
  <si>
    <t xml:space="preserve">1 875 000 kr</t>
  </si>
  <si>
    <t xml:space="preserve">Anleggsmidler</t>
  </si>
  <si>
    <t xml:space="preserve">1 330 000 kr</t>
  </si>
  <si>
    <t xml:space="preserve">Varelager</t>
  </si>
  <si>
    <t xml:space="preserve">220 000 kr</t>
  </si>
  <si>
    <t xml:space="preserve">Kundefordringer + reserve</t>
  </si>
  <si>
    <t xml:space="preserve">125 000 + 200 000 kr</t>
  </si>
  <si>
    <t xml:space="preserve">Krav til egenkapital</t>
  </si>
  <si>
    <t xml:space="preserve">Minst 30 % av kapitalbehovet</t>
  </si>
  <si>
    <t xml:space="preserve">Krav, langsiktig kapital</t>
  </si>
  <si>
    <t xml:space="preserve">Anleggsmidler + halve varelageret</t>
  </si>
  <si>
    <t xml:space="preserve">Varekjøp inkl. mva</t>
  </si>
  <si>
    <t xml:space="preserve">4 950 000 kr i året</t>
  </si>
  <si>
    <t xml:space="preserve">Kreditt fra Polarlys</t>
  </si>
  <si>
    <t xml:space="preserve">15 dager (ny kunde i 2019)</t>
  </si>
  <si>
    <t xml:space="preserve">a)  Egenkapitalen banken krever, i kroner: 30 % av hele kapitalbehovet.</t>
  </si>
  <si>
    <t xml:space="preserve">b)  Den langsiktige gjelda som minimum, i kroner: kravet til langsiktig kapital (anleggsmidler + halve varelageret) minus egenkapitalen.</t>
  </si>
  <si>
    <t xml:space="preserve">c)  Annen kortsiktig gjeld, i kroner: den høyeste kortsiktige gjelda minus gjennomsnittlig leverandørgjeld (varekjøp inkl. mva × 15 / 360).</t>
  </si>
  <si>
    <t xml:space="preserve">d)  Tom sier: «Egenkapitalen er den billigste kilden. Den har jo ingen rente.» Hva sier boka?   A: Riktig: egenkapital har ingen rente og er den billigste kilden   B: Feil: eierne gir avkall på annen avkastning; kostnaden er kalkulatorisk og vises bare i det interne regnskapet   C: Feil: renten på egenkapitalen føres som finanskostnad i resultatregnskapet   (skriv bokstaven)</t>
  </si>
  <si>
    <t xml:space="preserve">e)  Kari og Tom skyter inn 300 000 kr i aksjekapital. Det er 16 % av kapitalbehovet, og banken krever 30 %. Hva kan de gjøre? Gi to tiltak og si hva hvert av dem koster eller betyr.</t>
  </si>
  <si>
    <t xml:space="preserve">Kilde: Hjertnes, J. og Skorpen, K.: Økonomistyring for LØM-emnet, kap. 6, avsnitt 6.2–6.3 og 6.6. Tallene er øvingsheftets oppgave 2. Aksjekapitalen 300 000: faktaarket for Nordlys. Nordlys Elektro AS er en konstruert casebedrift.</t>
  </si>
  <si>
    <t xml:space="preserve">B2 · Din egen el-bedrift: finansieringsplanen og prisen på lånet</t>
  </si>
  <si>
    <t xml:space="preserve">Kort oppsummert: Egenkapitalandelen er egenkapitalen delt på kapitalbehovet. Den faller når behovet stiger, selv om eierne har skutt inn like mye. Den langsiktige kapitalen skal dekke anleggsmidlene og halve varelageret; resten kan være kortsiktig gjeld som leverandørkreditt og kassekreditt. Effektiv rente = (1 + nominell rente / m)^m − 1, der m er antall renteavregninger i året. Lån sammenliknes på effektiv rente.</t>
  </si>
  <si>
    <t xml:space="preserve">Kapitalbehovet for Fjell Elektro AS er 1 019 479 kr (oppgave A2): utstyr 300 000, varelager 70 000, kundefordringer 499 479 og reserve 150 000. Finansieringen er aksjekapital 300 000 kr og et serielån på 500 000 kr til 7,5 % nominell rente, med avdrag 100 000 kr i året. Renten avregnes månedlig. Grossisten gir 30 dagers kreditt, og varekjøpet er 1 750 000 kr inkl. mva. Banken krever minst 30 % egenkapital. Sjekk planen mot bokas krav, og regn ut hva lånet egentlig koster.</t>
  </si>
  <si>
    <t xml:space="preserve">Kapitalbehov (A2)</t>
  </si>
  <si>
    <t xml:space="preserve">1 019 479 kr</t>
  </si>
  <si>
    <t xml:space="preserve">Anleggsmidler + lager</t>
  </si>
  <si>
    <t xml:space="preserve">Utstyr 300 000 · varelager 70 000</t>
  </si>
  <si>
    <t xml:space="preserve">Aksjekapital</t>
  </si>
  <si>
    <t xml:space="preserve">300 000 kr</t>
  </si>
  <si>
    <t xml:space="preserve">Banklån</t>
  </si>
  <si>
    <t xml:space="preserve">500 000 kr, serielån, avdrag 100 000 i året</t>
  </si>
  <si>
    <t xml:space="preserve">Rente på lånet</t>
  </si>
  <si>
    <t xml:space="preserve">7,5 % nominelt, avregnes månedlig</t>
  </si>
  <si>
    <t xml:space="preserve">1 750 000 kr, 30 dagers kreditt</t>
  </si>
  <si>
    <t xml:space="preserve">a)  Egenkapitalandelen i prosent med én desimal: aksjekapitalen delt på kapitalbehovet.</t>
  </si>
  <si>
    <t xml:space="preserve">b)  Annen kortsiktig gjeld (kassekreditt og skyldige avgifter), i hele kroner: kapitalbehovet minus aksjekapital, banklån og gjennomsnittlig leverandørgjeld (varekjøp inkl. mva × 30 / 360).</t>
  </si>
  <si>
    <t xml:space="preserve">c)  Den effektive renten på lånet, i prosent med to desimaler, når 7,5 % nominell rente avregnes månedlig: (1 + 0,075 / 12)^12 − 1.</t>
  </si>
  <si>
    <t xml:space="preserve">d)  Kundene bruker 60 dager på å betale i stedet for 30. Hva skjer med finansieringsplanen?   A: Ingenting: salget, lånet og aksjekapitalen er de samme   B: Kapitalbehovet stiger med 499 479 kr, og økningen må dekkes av kortsiktig gjeld eller mer egenkapital   C: Lånet dekker det, fordi 800 000 er mer enn kravet på 335 000   (skriv bokstaven)</t>
  </si>
  <si>
    <t xml:space="preserve">e)  Hva sier dere til banken? Skriv én setning om hvorfor planen er sunn ved 30 dager, og én om hva dere gjør hvis kundene bruker 60 dager.</t>
  </si>
  <si>
    <t xml:space="preserve">Kilde: Hjertnes, J. og Skorpen, K.: Økonomistyring for LØM-emnet, kap. 6, avsnitt 6.2, 6.5, 6.7 og 6.8. Fjell Elektro AS: aksjekapital, lån og rente fra kap. 9 (OK09).</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</si>
</sst>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4">
    <fill>
      <patternFill patternType="none"/>
    </fill>
    <fill>
      <patternFill patternType="gray125"/>
    </fill>
    <fill>
      <patternFill patternType="solid">
        <fgColor rgb="FF2F4A6D"/>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4" customFormat="false" ht="18.75" hidden="false" customHeight="true" outlineLevel="0" collapsed="false">
      <c r="A14" s="9" t="s">
        <v>38</v>
      </c>
      <c r="B14" s="7" t="s">
        <v>39</v>
      </c>
      <c r="C14" s="7"/>
      <c r="D14" s="7"/>
      <c r="E14" s="7"/>
      <c r="F14" s="7"/>
      <c r="G14" s="7"/>
    </row>
    <row r="15" customFormat="false" ht="18.75" hidden="false" customHeight="true" outlineLevel="0" collapsed="false">
      <c r="A15" s="9" t="s">
        <v>40</v>
      </c>
      <c r="B15" s="7" t="s">
        <v>41</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33.75" hidden="false" customHeight="true" outlineLevel="0" collapsed="false">
      <c r="A18" s="7" t="s">
        <v>45</v>
      </c>
      <c r="B18" s="7"/>
      <c r="C18" s="7"/>
      <c r="D18" s="7"/>
      <c r="E18" s="7"/>
      <c r="F18" s="10"/>
      <c r="G18" s="11" t="str">
        <f aca="false">IF(F18="","",IF(ABS(F18-(390000))&lt;=0.000000001,"Riktig","Prøv igjen"))</f>
        <v/>
      </c>
    </row>
    <row r="19" customFormat="false" ht="33.75" hidden="false" customHeight="true" outlineLevel="0" collapsed="false">
      <c r="A19" s="7" t="s">
        <v>46</v>
      </c>
      <c r="B19" s="7"/>
      <c r="C19" s="7"/>
      <c r="D19" s="7"/>
      <c r="E19" s="7"/>
      <c r="F19" s="10"/>
      <c r="G19" s="11" t="str">
        <f aca="false">IF(F19="","",IF(ABS(F19-(500000))&lt;=0.000000001,"Riktig","Prøv igjen"))</f>
        <v/>
      </c>
    </row>
    <row r="20" customFormat="false" ht="33.75" hidden="false" customHeight="true" outlineLevel="0" collapsed="false">
      <c r="A20" s="7" t="s">
        <v>47</v>
      </c>
      <c r="B20" s="7"/>
      <c r="C20" s="7"/>
      <c r="D20" s="7"/>
      <c r="E20" s="7"/>
      <c r="F20" s="10"/>
      <c r="G20" s="11" t="str">
        <f aca="false">IF(F20="","",IF(ABS(F20-(1700000))&lt;=0.000000001,"Riktig","Prøv igjen"))</f>
        <v/>
      </c>
    </row>
    <row r="21" customFormat="false" ht="63.75" hidden="false" customHeight="true" outlineLevel="0" collapsed="false">
      <c r="A21" s="7" t="s">
        <v>48</v>
      </c>
      <c r="B21" s="7"/>
      <c r="C21" s="7"/>
      <c r="D21" s="7"/>
      <c r="E21" s="7"/>
      <c r="F21" s="12"/>
      <c r="G21" s="11" t="str">
        <f aca="false">IF(F21="","",IF(UPPER(TRIM(F21))="B","Riktig","Prøv igjen"))</f>
        <v/>
      </c>
    </row>
    <row r="22" customFormat="false" ht="48.75" hidden="false" customHeight="true" outlineLevel="0" collapsed="false">
      <c r="A22" s="7" t="s">
        <v>49</v>
      </c>
      <c r="B22" s="7"/>
      <c r="C22" s="7"/>
      <c r="D22" s="7"/>
      <c r="E22" s="7"/>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5" customFormat="false" ht="15" hidden="false" customHeight="false" outlineLevel="0" collapsed="false">
      <c r="A25" s="13"/>
      <c r="B25" s="13"/>
      <c r="C25" s="13"/>
      <c r="D25" s="13"/>
      <c r="E25" s="13"/>
      <c r="F25" s="13"/>
      <c r="G25" s="13"/>
    </row>
    <row r="27" customFormat="false" ht="48.75" hidden="false" customHeight="true" outlineLevel="0" collapsed="false">
      <c r="A27" s="6" t="s">
        <v>50</v>
      </c>
      <c r="B27" s="6"/>
      <c r="C27" s="6"/>
      <c r="D27" s="6"/>
      <c r="E27" s="6"/>
      <c r="F27" s="6"/>
      <c r="G27" s="6"/>
    </row>
    <row r="28" customFormat="false" ht="15" hidden="false" customHeight="true" outlineLevel="0" collapsed="false">
      <c r="A28" s="6" t="s">
        <v>51</v>
      </c>
      <c r="B28" s="6"/>
      <c r="C28" s="6"/>
      <c r="D28" s="6"/>
      <c r="E28" s="6"/>
      <c r="F28" s="6"/>
      <c r="G28" s="6"/>
    </row>
  </sheetData>
  <mergeCells count="2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52</v>
      </c>
    </row>
    <row r="2" customFormat="false" ht="15" hidden="false" customHeight="false" outlineLevel="0" collapsed="false">
      <c r="A2" s="2" t="s">
        <v>21</v>
      </c>
    </row>
    <row r="4" customFormat="false" ht="48.75" hidden="false" customHeight="true" outlineLevel="0" collapsed="false">
      <c r="A4" s="6" t="s">
        <v>53</v>
      </c>
      <c r="B4" s="6"/>
      <c r="C4" s="6"/>
      <c r="D4" s="6"/>
      <c r="E4" s="6"/>
      <c r="F4" s="6"/>
      <c r="G4" s="6"/>
    </row>
    <row r="5" customFormat="false" ht="93.75" hidden="false" customHeight="true" outlineLevel="0" collapsed="false">
      <c r="A5" s="7" t="s">
        <v>54</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55</v>
      </c>
      <c r="B8" s="7" t="s">
        <v>56</v>
      </c>
      <c r="C8" s="7"/>
      <c r="D8" s="7"/>
      <c r="E8" s="7"/>
      <c r="F8" s="7"/>
      <c r="G8" s="7"/>
    </row>
    <row r="9" customFormat="false" ht="18.75" hidden="false" customHeight="true" outlineLevel="0" collapsed="false">
      <c r="A9" s="9" t="s">
        <v>57</v>
      </c>
      <c r="B9" s="7" t="s">
        <v>58</v>
      </c>
      <c r="C9" s="7"/>
      <c r="D9" s="7"/>
      <c r="E9" s="7"/>
      <c r="F9" s="7"/>
      <c r="G9" s="7"/>
    </row>
    <row r="10" customFormat="false" ht="18.75" hidden="false" customHeight="true" outlineLevel="0" collapsed="false">
      <c r="A10" s="9" t="s">
        <v>59</v>
      </c>
      <c r="B10" s="7" t="s">
        <v>60</v>
      </c>
      <c r="C10" s="7"/>
      <c r="D10" s="7"/>
      <c r="E10" s="7"/>
      <c r="F10" s="7"/>
      <c r="G10" s="7"/>
    </row>
    <row r="11" customFormat="false" ht="18.75" hidden="false" customHeight="true" outlineLevel="0" collapsed="false">
      <c r="A11" s="9" t="s">
        <v>61</v>
      </c>
      <c r="B11" s="7" t="s">
        <v>62</v>
      </c>
      <c r="C11" s="7"/>
      <c r="D11" s="7"/>
      <c r="E11" s="7"/>
      <c r="F11" s="7"/>
      <c r="G11" s="7"/>
    </row>
    <row r="12" customFormat="false" ht="18.75" hidden="false" customHeight="true" outlineLevel="0" collapsed="false">
      <c r="A12" s="9" t="s">
        <v>63</v>
      </c>
      <c r="B12" s="7" t="s">
        <v>64</v>
      </c>
      <c r="C12" s="7"/>
      <c r="D12" s="7"/>
      <c r="E12" s="7"/>
      <c r="F12" s="7"/>
      <c r="G12" s="7"/>
    </row>
    <row r="13" customFormat="false" ht="18.75" hidden="false" customHeight="true" outlineLevel="0" collapsed="false">
      <c r="A13" s="9" t="s">
        <v>36</v>
      </c>
      <c r="B13" s="7" t="s">
        <v>65</v>
      </c>
      <c r="C13" s="7"/>
      <c r="D13" s="7"/>
      <c r="E13" s="7"/>
      <c r="F13" s="7"/>
      <c r="G13" s="7"/>
    </row>
    <row r="14" customFormat="false" ht="18.75" hidden="false" customHeight="true" outlineLevel="0" collapsed="false">
      <c r="A14" s="9" t="s">
        <v>38</v>
      </c>
      <c r="B14" s="7" t="s">
        <v>39</v>
      </c>
      <c r="C14" s="7"/>
      <c r="D14" s="7"/>
      <c r="E14" s="7"/>
      <c r="F14" s="7"/>
      <c r="G14" s="7"/>
    </row>
    <row r="15" customFormat="false" ht="18.75" hidden="false" customHeight="true" outlineLevel="0" collapsed="false">
      <c r="A15" s="9" t="s">
        <v>66</v>
      </c>
      <c r="B15" s="7" t="s">
        <v>67</v>
      </c>
      <c r="C15" s="7"/>
      <c r="D15" s="7"/>
      <c r="E15" s="7"/>
      <c r="F15" s="7"/>
      <c r="G15" s="7"/>
    </row>
    <row r="16" customFormat="false" ht="18.75" hidden="false" customHeight="true" outlineLevel="0" collapsed="false">
      <c r="A16" s="9" t="s">
        <v>40</v>
      </c>
      <c r="B16" s="7" t="s">
        <v>41</v>
      </c>
      <c r="C16" s="7"/>
      <c r="D16" s="7"/>
      <c r="E16" s="7"/>
      <c r="F16" s="7"/>
      <c r="G16" s="7"/>
    </row>
    <row r="18" customFormat="false" ht="15" hidden="false" customHeight="false" outlineLevel="0" collapsed="false">
      <c r="A18" s="8" t="s">
        <v>42</v>
      </c>
      <c r="B18" s="8"/>
      <c r="C18" s="8"/>
      <c r="D18" s="8"/>
      <c r="E18" s="8"/>
      <c r="F18" s="8" t="s">
        <v>43</v>
      </c>
      <c r="G18" s="8" t="s">
        <v>44</v>
      </c>
    </row>
    <row r="19" customFormat="false" ht="33.75" hidden="false" customHeight="true" outlineLevel="0" collapsed="false">
      <c r="A19" s="7" t="s">
        <v>68</v>
      </c>
      <c r="B19" s="7"/>
      <c r="C19" s="7"/>
      <c r="D19" s="7"/>
      <c r="E19" s="7"/>
      <c r="F19" s="10"/>
      <c r="G19" s="11" t="str">
        <f aca="false">IF(F19="","",IF(ABS(F19-(499479))&lt;=1,"Riktig","Prøv igjen"))</f>
        <v/>
      </c>
    </row>
    <row r="20" customFormat="false" ht="33.75" hidden="false" customHeight="true" outlineLevel="0" collapsed="false">
      <c r="A20" s="7" t="s">
        <v>69</v>
      </c>
      <c r="B20" s="7"/>
      <c r="C20" s="7"/>
      <c r="D20" s="7"/>
      <c r="E20" s="7"/>
      <c r="F20" s="10"/>
      <c r="G20" s="11" t="str">
        <f aca="false">IF(F20="","",IF(ABS(F20-(70000))&lt;=0.000000001,"Riktig","Prøv igjen"))</f>
        <v/>
      </c>
    </row>
    <row r="21" customFormat="false" ht="33.75" hidden="false" customHeight="true" outlineLevel="0" collapsed="false">
      <c r="A21" s="7" t="s">
        <v>70</v>
      </c>
      <c r="B21" s="7"/>
      <c r="C21" s="7"/>
      <c r="D21" s="7"/>
      <c r="E21" s="7"/>
      <c r="F21" s="10"/>
      <c r="G21" s="11" t="str">
        <f aca="false">IF(F21="","",IF(ABS(F21-(1019479))&lt;=1,"Riktig","Prøv igjen"))</f>
        <v/>
      </c>
    </row>
    <row r="22" customFormat="false" ht="33.75" hidden="false" customHeight="true" outlineLevel="0" collapsed="false">
      <c r="A22" s="7" t="s">
        <v>71</v>
      </c>
      <c r="B22" s="7"/>
      <c r="C22" s="7"/>
      <c r="D22" s="7"/>
      <c r="E22" s="7"/>
    </row>
    <row r="23" customFormat="false" ht="15" hidden="false" customHeight="true" outlineLevel="0" collapsed="false">
      <c r="A23" s="7" t="s">
        <v>72</v>
      </c>
      <c r="B23" s="7"/>
      <c r="C23" s="7"/>
      <c r="D23" s="7"/>
      <c r="E23" s="7"/>
      <c r="F23" s="12"/>
      <c r="G23" s="11" t="str">
        <f aca="false">IF(F23="","",IF(UPPER(TRIM(F23))="JA","Riktig","Prøv igjen"))</f>
        <v/>
      </c>
    </row>
    <row r="24" customFormat="false" ht="15" hidden="false" customHeight="true" outlineLevel="0" collapsed="false">
      <c r="A24" s="7" t="s">
        <v>73</v>
      </c>
      <c r="B24" s="7"/>
      <c r="C24" s="7"/>
      <c r="D24" s="7"/>
      <c r="E24" s="7"/>
      <c r="F24" s="12"/>
      <c r="G24" s="11" t="str">
        <f aca="false">IF(F24="","",IF(UPPER(TRIM(F24))="NEI","Riktig","Prøv igjen"))</f>
        <v/>
      </c>
    </row>
    <row r="25" customFormat="false" ht="15" hidden="false" customHeight="true" outlineLevel="0" collapsed="false">
      <c r="A25" s="7" t="s">
        <v>74</v>
      </c>
      <c r="B25" s="7"/>
      <c r="C25" s="7"/>
      <c r="D25" s="7"/>
      <c r="E25" s="7"/>
      <c r="F25" s="12"/>
      <c r="G25" s="11" t="str">
        <f aca="false">IF(F25="","",IF(UPPER(TRIM(F25))="JA","Riktig","Prøv igjen"))</f>
        <v/>
      </c>
    </row>
    <row r="26" customFormat="false" ht="15" hidden="false" customHeight="true" outlineLevel="0" collapsed="false">
      <c r="A26" s="7" t="s">
        <v>75</v>
      </c>
      <c r="B26" s="7"/>
      <c r="C26" s="7"/>
      <c r="D26" s="7"/>
      <c r="E26" s="7"/>
      <c r="F26" s="12"/>
      <c r="G26" s="11" t="str">
        <f aca="false">IF(F26="","",IF(UPPER(TRIM(F26))="JA","Riktig","Prøv igjen"))</f>
        <v/>
      </c>
    </row>
    <row r="27" customFormat="false" ht="15" hidden="false" customHeight="true" outlineLevel="0" collapsed="false">
      <c r="A27" s="7" t="s">
        <v>76</v>
      </c>
      <c r="B27" s="7"/>
      <c r="C27" s="7"/>
      <c r="D27" s="7"/>
      <c r="E27" s="7"/>
      <c r="F27" s="12"/>
      <c r="G27" s="11" t="str">
        <f aca="false">IF(F27="","",IF(UPPER(TRIM(F27))="JA","Riktig","Prøv igjen"))</f>
        <v/>
      </c>
    </row>
    <row r="28" customFormat="false" ht="15" hidden="false" customHeight="true" outlineLevel="0" collapsed="false">
      <c r="A28" s="7" t="s">
        <v>77</v>
      </c>
      <c r="B28" s="7"/>
      <c r="C28" s="7"/>
      <c r="D28" s="7"/>
      <c r="E28" s="7"/>
      <c r="F28" s="12"/>
      <c r="G28" s="11" t="str">
        <f aca="false">IF(F28="","",IF(UPPER(TRIM(F28))="NEI","Riktig","Prøv igjen"))</f>
        <v/>
      </c>
    </row>
    <row r="29" customFormat="false" ht="33.75" hidden="false" customHeight="true" outlineLevel="0" collapsed="false">
      <c r="A29" s="7" t="s">
        <v>78</v>
      </c>
      <c r="B29" s="7"/>
      <c r="C29" s="7"/>
      <c r="D29" s="7"/>
      <c r="E29" s="7"/>
    </row>
    <row r="30" customFormat="false" ht="15" hidden="false" customHeight="false" outlineLevel="0" collapsed="false">
      <c r="A30" s="13"/>
      <c r="B30" s="13"/>
      <c r="C30" s="13"/>
      <c r="D30" s="13"/>
      <c r="E30" s="13"/>
      <c r="F30" s="13"/>
      <c r="G30" s="13"/>
    </row>
    <row r="31" customFormat="false" ht="15" hidden="false" customHeight="false" outlineLevel="0" collapsed="false">
      <c r="A31" s="13"/>
      <c r="B31" s="13"/>
      <c r="C31" s="13"/>
      <c r="D31" s="13"/>
      <c r="E31" s="13"/>
      <c r="F31" s="13"/>
      <c r="G31" s="13"/>
    </row>
    <row r="32" customFormat="false" ht="15" hidden="false" customHeight="false" outlineLevel="0" collapsed="false">
      <c r="A32" s="13"/>
      <c r="B32" s="13"/>
      <c r="C32" s="13"/>
      <c r="D32" s="13"/>
      <c r="E32" s="13"/>
      <c r="F32" s="13"/>
      <c r="G32" s="13"/>
    </row>
    <row r="34" customFormat="false" ht="33.75" hidden="false" customHeight="true" outlineLevel="0" collapsed="false">
      <c r="A34" s="6" t="s">
        <v>79</v>
      </c>
      <c r="B34" s="6"/>
      <c r="C34" s="6"/>
      <c r="D34" s="6"/>
      <c r="E34" s="6"/>
      <c r="F34" s="6"/>
      <c r="G34" s="6"/>
    </row>
    <row r="35" customFormat="false" ht="15" hidden="false" customHeight="true" outlineLevel="0" collapsed="false">
      <c r="A35" s="6" t="s">
        <v>51</v>
      </c>
      <c r="B35" s="6"/>
      <c r="C35" s="6"/>
      <c r="D35" s="6"/>
      <c r="E35" s="6"/>
      <c r="F35" s="6"/>
      <c r="G35" s="6"/>
    </row>
  </sheetData>
  <mergeCells count="27">
    <mergeCell ref="A4:G4"/>
    <mergeCell ref="A5:G5"/>
    <mergeCell ref="B7:G7"/>
    <mergeCell ref="B8:G8"/>
    <mergeCell ref="B9:G9"/>
    <mergeCell ref="B10:G10"/>
    <mergeCell ref="B11:G11"/>
    <mergeCell ref="B12:G12"/>
    <mergeCell ref="B13:G13"/>
    <mergeCell ref="B14:G14"/>
    <mergeCell ref="B15:G15"/>
    <mergeCell ref="B16:G16"/>
    <mergeCell ref="A18:E18"/>
    <mergeCell ref="A19:E19"/>
    <mergeCell ref="A20:E20"/>
    <mergeCell ref="A21:E21"/>
    <mergeCell ref="A22:E22"/>
    <mergeCell ref="A23:E23"/>
    <mergeCell ref="A24:E24"/>
    <mergeCell ref="A25:E25"/>
    <mergeCell ref="A26:E26"/>
    <mergeCell ref="A27:E27"/>
    <mergeCell ref="A28:E28"/>
    <mergeCell ref="A29:E29"/>
    <mergeCell ref="A30:G32"/>
    <mergeCell ref="A34:G34"/>
    <mergeCell ref="A35:G3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80</v>
      </c>
    </row>
    <row r="2" customFormat="false" ht="15" hidden="false" customHeight="false" outlineLevel="0" collapsed="false">
      <c r="A2" s="2" t="s">
        <v>21</v>
      </c>
    </row>
    <row r="4" customFormat="false" ht="63.75" hidden="false" customHeight="true" outlineLevel="0" collapsed="false">
      <c r="A4" s="6" t="s">
        <v>81</v>
      </c>
      <c r="B4" s="6"/>
      <c r="C4" s="6"/>
      <c r="D4" s="6"/>
      <c r="E4" s="6"/>
      <c r="F4" s="6"/>
      <c r="G4" s="6"/>
    </row>
    <row r="5" customFormat="false" ht="108.75" hidden="false" customHeight="true" outlineLevel="0" collapsed="false">
      <c r="A5" s="7" t="s">
        <v>82</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83</v>
      </c>
      <c r="B8" s="7" t="s">
        <v>84</v>
      </c>
      <c r="C8" s="7"/>
      <c r="D8" s="7"/>
      <c r="E8" s="7"/>
      <c r="F8" s="7"/>
      <c r="G8" s="7"/>
    </row>
    <row r="9" customFormat="false" ht="18.75" hidden="false" customHeight="true" outlineLevel="0" collapsed="false">
      <c r="A9" s="9" t="s">
        <v>85</v>
      </c>
      <c r="B9" s="7" t="s">
        <v>86</v>
      </c>
      <c r="C9" s="7"/>
      <c r="D9" s="7"/>
      <c r="E9" s="7"/>
      <c r="F9" s="7"/>
      <c r="G9" s="7"/>
    </row>
    <row r="10" customFormat="false" ht="18.75" hidden="false" customHeight="true" outlineLevel="0" collapsed="false">
      <c r="A10" s="9" t="s">
        <v>87</v>
      </c>
      <c r="B10" s="7" t="s">
        <v>88</v>
      </c>
      <c r="C10" s="7"/>
      <c r="D10" s="7"/>
      <c r="E10" s="7"/>
      <c r="F10" s="7"/>
      <c r="G10" s="7"/>
    </row>
    <row r="11" customFormat="false" ht="18.75" hidden="false" customHeight="true" outlineLevel="0" collapsed="false">
      <c r="A11" s="9" t="s">
        <v>89</v>
      </c>
      <c r="B11" s="7" t="s">
        <v>90</v>
      </c>
      <c r="C11" s="7"/>
      <c r="D11" s="7"/>
      <c r="E11" s="7"/>
      <c r="F11" s="7"/>
      <c r="G11" s="7"/>
    </row>
    <row r="12" customFormat="false" ht="18.75" hidden="false" customHeight="true" outlineLevel="0" collapsed="false">
      <c r="A12" s="9" t="s">
        <v>91</v>
      </c>
      <c r="B12" s="7" t="s">
        <v>92</v>
      </c>
      <c r="C12" s="7"/>
      <c r="D12" s="7"/>
      <c r="E12" s="7"/>
      <c r="F12" s="7"/>
      <c r="G12" s="7"/>
    </row>
    <row r="13" customFormat="false" ht="18.75" hidden="false" customHeight="true" outlineLevel="0" collapsed="false">
      <c r="A13" s="9" t="s">
        <v>93</v>
      </c>
      <c r="B13" s="7" t="s">
        <v>94</v>
      </c>
      <c r="C13" s="7"/>
      <c r="D13" s="7"/>
      <c r="E13" s="7"/>
      <c r="F13" s="7"/>
      <c r="G13" s="7"/>
    </row>
    <row r="14" customFormat="false" ht="18.75" hidden="false" customHeight="true" outlineLevel="0" collapsed="false">
      <c r="A14" s="9" t="s">
        <v>95</v>
      </c>
      <c r="B14" s="7" t="s">
        <v>96</v>
      </c>
      <c r="C14" s="7"/>
      <c r="D14" s="7"/>
      <c r="E14" s="7"/>
      <c r="F14" s="7"/>
      <c r="G14" s="7"/>
    </row>
    <row r="15" customFormat="false" ht="18.75" hidden="false" customHeight="true" outlineLevel="0" collapsed="false">
      <c r="A15" s="9" t="s">
        <v>97</v>
      </c>
      <c r="B15" s="7" t="s">
        <v>98</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18.75" hidden="false" customHeight="true" outlineLevel="0" collapsed="false">
      <c r="A18" s="7" t="s">
        <v>99</v>
      </c>
      <c r="B18" s="7"/>
      <c r="C18" s="7"/>
      <c r="D18" s="7"/>
      <c r="E18" s="7"/>
      <c r="F18" s="10"/>
      <c r="G18" s="11" t="str">
        <f aca="false">IF(F18="","",IF(ABS(F18-(562500))&lt;=0.000000001,"Riktig","Prøv igjen"))</f>
        <v/>
      </c>
    </row>
    <row r="19" customFormat="false" ht="33.75" hidden="false" customHeight="true" outlineLevel="0" collapsed="false">
      <c r="A19" s="7" t="s">
        <v>100</v>
      </c>
      <c r="B19" s="7"/>
      <c r="C19" s="7"/>
      <c r="D19" s="7"/>
      <c r="E19" s="7"/>
      <c r="F19" s="10"/>
      <c r="G19" s="11" t="str">
        <f aca="false">IF(F19="","",IF(ABS(F19-(877500))&lt;=0.000000001,"Riktig","Prøv igjen"))</f>
        <v/>
      </c>
    </row>
    <row r="20" customFormat="false" ht="33.75" hidden="false" customHeight="true" outlineLevel="0" collapsed="false">
      <c r="A20" s="7" t="s">
        <v>101</v>
      </c>
      <c r="B20" s="7"/>
      <c r="C20" s="7"/>
      <c r="D20" s="7"/>
      <c r="E20" s="7"/>
      <c r="F20" s="10"/>
      <c r="G20" s="11" t="str">
        <f aca="false">IF(F20="","",IF(ABS(F20-(228750))&lt;=0.000000001,"Riktig","Prøv igjen"))</f>
        <v/>
      </c>
    </row>
    <row r="21" customFormat="false" ht="63.75" hidden="false" customHeight="true" outlineLevel="0" collapsed="false">
      <c r="A21" s="7" t="s">
        <v>102</v>
      </c>
      <c r="B21" s="7"/>
      <c r="C21" s="7"/>
      <c r="D21" s="7"/>
      <c r="E21" s="7"/>
      <c r="F21" s="12"/>
      <c r="G21" s="11" t="str">
        <f aca="false">IF(F21="","",IF(UPPER(TRIM(F21))="B","Riktig","Prøv igjen"))</f>
        <v/>
      </c>
    </row>
    <row r="22" customFormat="false" ht="33.75" hidden="false" customHeight="true" outlineLevel="0" collapsed="false">
      <c r="A22" s="7" t="s">
        <v>103</v>
      </c>
      <c r="B22" s="7"/>
      <c r="C22" s="7"/>
      <c r="D22" s="7"/>
      <c r="E22" s="7"/>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5" customFormat="false" ht="15" hidden="false" customHeight="false" outlineLevel="0" collapsed="false">
      <c r="A25" s="13"/>
      <c r="B25" s="13"/>
      <c r="C25" s="13"/>
      <c r="D25" s="13"/>
      <c r="E25" s="13"/>
      <c r="F25" s="13"/>
      <c r="G25" s="13"/>
    </row>
    <row r="27" customFormat="false" ht="48.75" hidden="false" customHeight="true" outlineLevel="0" collapsed="false">
      <c r="A27" s="6" t="s">
        <v>104</v>
      </c>
      <c r="B27" s="6"/>
      <c r="C27" s="6"/>
      <c r="D27" s="6"/>
      <c r="E27" s="6"/>
      <c r="F27" s="6"/>
      <c r="G27" s="6"/>
    </row>
    <row r="28" customFormat="false" ht="15" hidden="false" customHeight="true" outlineLevel="0" collapsed="false">
      <c r="A28" s="6" t="s">
        <v>51</v>
      </c>
      <c r="B28" s="6"/>
      <c r="C28" s="6"/>
      <c r="D28" s="6"/>
      <c r="E28" s="6"/>
      <c r="F28" s="6"/>
      <c r="G28" s="6"/>
    </row>
  </sheetData>
  <mergeCells count="2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105</v>
      </c>
    </row>
    <row r="2" customFormat="false" ht="15" hidden="false" customHeight="false" outlineLevel="0" collapsed="false">
      <c r="A2" s="2" t="s">
        <v>21</v>
      </c>
    </row>
    <row r="4" customFormat="false" ht="63.75" hidden="false" customHeight="true" outlineLevel="0" collapsed="false">
      <c r="A4" s="6" t="s">
        <v>106</v>
      </c>
      <c r="B4" s="6"/>
      <c r="C4" s="6"/>
      <c r="D4" s="6"/>
      <c r="E4" s="6"/>
      <c r="F4" s="6"/>
      <c r="G4" s="6"/>
    </row>
    <row r="5" customFormat="false" ht="78.75" hidden="false" customHeight="true" outlineLevel="0" collapsed="false">
      <c r="A5" s="7" t="s">
        <v>107</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108</v>
      </c>
      <c r="B8" s="7" t="s">
        <v>109</v>
      </c>
      <c r="C8" s="7"/>
      <c r="D8" s="7"/>
      <c r="E8" s="7"/>
      <c r="F8" s="7"/>
      <c r="G8" s="7"/>
    </row>
    <row r="9" customFormat="false" ht="18.75" hidden="false" customHeight="true" outlineLevel="0" collapsed="false">
      <c r="A9" s="9" t="s">
        <v>110</v>
      </c>
      <c r="B9" s="7" t="s">
        <v>111</v>
      </c>
      <c r="C9" s="7"/>
      <c r="D9" s="7"/>
      <c r="E9" s="7"/>
      <c r="F9" s="7"/>
      <c r="G9" s="7"/>
    </row>
    <row r="10" customFormat="false" ht="18.75" hidden="false" customHeight="true" outlineLevel="0" collapsed="false">
      <c r="A10" s="9" t="s">
        <v>112</v>
      </c>
      <c r="B10" s="7" t="s">
        <v>113</v>
      </c>
      <c r="C10" s="7"/>
      <c r="D10" s="7"/>
      <c r="E10" s="7"/>
      <c r="F10" s="7"/>
      <c r="G10" s="7"/>
    </row>
    <row r="11" customFormat="false" ht="18.75" hidden="false" customHeight="true" outlineLevel="0" collapsed="false">
      <c r="A11" s="9" t="s">
        <v>114</v>
      </c>
      <c r="B11" s="7" t="s">
        <v>115</v>
      </c>
      <c r="C11" s="7"/>
      <c r="D11" s="7"/>
      <c r="E11" s="7"/>
      <c r="F11" s="7"/>
      <c r="G11" s="7"/>
    </row>
    <row r="12" customFormat="false" ht="18.75" hidden="false" customHeight="true" outlineLevel="0" collapsed="false">
      <c r="A12" s="9" t="s">
        <v>116</v>
      </c>
      <c r="B12" s="7" t="s">
        <v>117</v>
      </c>
      <c r="C12" s="7"/>
      <c r="D12" s="7"/>
      <c r="E12" s="7"/>
      <c r="F12" s="7"/>
      <c r="G12" s="7"/>
    </row>
    <row r="13" customFormat="false" ht="18.75" hidden="false" customHeight="true" outlineLevel="0" collapsed="false">
      <c r="A13" s="9" t="s">
        <v>95</v>
      </c>
      <c r="B13" s="7" t="s">
        <v>118</v>
      </c>
      <c r="C13" s="7"/>
      <c r="D13" s="7"/>
      <c r="E13" s="7"/>
      <c r="F13" s="7"/>
      <c r="G13" s="7"/>
    </row>
    <row r="14" customFormat="false" ht="18.75" hidden="false" customHeight="true" outlineLevel="0" collapsed="false">
      <c r="A14" s="9" t="s">
        <v>91</v>
      </c>
      <c r="B14" s="7" t="s">
        <v>92</v>
      </c>
      <c r="C14" s="7"/>
      <c r="D14" s="7"/>
      <c r="E14" s="7"/>
      <c r="F14" s="7"/>
      <c r="G14" s="7"/>
    </row>
    <row r="15" customFormat="false" ht="18.75" hidden="false" customHeight="true" outlineLevel="0" collapsed="false">
      <c r="A15" s="9" t="s">
        <v>93</v>
      </c>
      <c r="B15" s="7" t="s">
        <v>94</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18.75" hidden="false" customHeight="true" outlineLevel="0" collapsed="false">
      <c r="A18" s="7" t="s">
        <v>119</v>
      </c>
      <c r="B18" s="7"/>
      <c r="C18" s="7"/>
      <c r="D18" s="7"/>
      <c r="E18" s="7"/>
      <c r="F18" s="10"/>
      <c r="G18" s="11" t="str">
        <f aca="false">IF(F18="","",IF(ABS(F18-(29.4))&lt;=0.1,"Riktig","Prøv igjen"))</f>
        <v/>
      </c>
    </row>
    <row r="19" customFormat="false" ht="33.75" hidden="false" customHeight="true" outlineLevel="0" collapsed="false">
      <c r="A19" s="7" t="s">
        <v>120</v>
      </c>
      <c r="B19" s="7"/>
      <c r="C19" s="7"/>
      <c r="D19" s="7"/>
      <c r="E19" s="7"/>
      <c r="F19" s="10"/>
      <c r="G19" s="11" t="str">
        <f aca="false">IF(F19="","",IF(ABS(F19-(73646))&lt;=2,"Riktig","Prøv igjen"))</f>
        <v/>
      </c>
    </row>
    <row r="20" customFormat="false" ht="33.75" hidden="false" customHeight="true" outlineLevel="0" collapsed="false">
      <c r="A20" s="7" t="s">
        <v>121</v>
      </c>
      <c r="B20" s="7"/>
      <c r="C20" s="7"/>
      <c r="D20" s="7"/>
      <c r="E20" s="7"/>
      <c r="F20" s="10"/>
      <c r="G20" s="11" t="str">
        <f aca="false">IF(F20="","",IF(ABS(F20-(7.76))&lt;=0.01,"Riktig","Prøv igjen"))</f>
        <v/>
      </c>
    </row>
    <row r="21" customFormat="false" ht="63.75" hidden="false" customHeight="true" outlineLevel="0" collapsed="false">
      <c r="A21" s="7" t="s">
        <v>122</v>
      </c>
      <c r="B21" s="7"/>
      <c r="C21" s="7"/>
      <c r="D21" s="7"/>
      <c r="E21" s="7"/>
      <c r="F21" s="12"/>
      <c r="G21" s="11" t="str">
        <f aca="false">IF(F21="","",IF(UPPER(TRIM(F21))="B","Riktig","Prøv igjen"))</f>
        <v/>
      </c>
    </row>
    <row r="22" customFormat="false" ht="33.75" hidden="false" customHeight="true" outlineLevel="0" collapsed="false">
      <c r="A22" s="7" t="s">
        <v>123</v>
      </c>
      <c r="B22" s="7"/>
      <c r="C22" s="7"/>
      <c r="D22" s="7"/>
      <c r="E22" s="7"/>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5" customFormat="false" ht="15" hidden="false" customHeight="false" outlineLevel="0" collapsed="false">
      <c r="A25" s="13"/>
      <c r="B25" s="13"/>
      <c r="C25" s="13"/>
      <c r="D25" s="13"/>
      <c r="E25" s="13"/>
      <c r="F25" s="13"/>
      <c r="G25" s="13"/>
    </row>
    <row r="27" customFormat="false" ht="33.75" hidden="false" customHeight="true" outlineLevel="0" collapsed="false">
      <c r="A27" s="6" t="s">
        <v>124</v>
      </c>
      <c r="B27" s="6"/>
      <c r="C27" s="6"/>
      <c r="D27" s="6"/>
      <c r="E27" s="6"/>
      <c r="F27" s="6"/>
      <c r="G27" s="6"/>
    </row>
    <row r="28" customFormat="false" ht="15" hidden="false" customHeight="true" outlineLevel="0" collapsed="false">
      <c r="A28" s="6" t="s">
        <v>51</v>
      </c>
      <c r="B28" s="6"/>
      <c r="C28" s="6"/>
      <c r="D28" s="6"/>
      <c r="E28" s="6"/>
      <c r="F28" s="6"/>
      <c r="G28" s="6"/>
    </row>
  </sheetData>
  <mergeCells count="2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G25"/>
    <mergeCell ref="A27:G27"/>
    <mergeCell ref="A28:G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2026-10-11T06:40:37Z</dcterms:created>
  <dc:creator>openpyxl</dc:creator>
  <dc:description/>
  <dc:language>en-US</dc:language>
  <cp:lastModifiedBy/>
  <dcterms:modified xsi:type="dcterms:W3CDTF">2026-10-11T06:40:37Z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