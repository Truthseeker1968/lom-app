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iledning" sheetId="1" state="visible" r:id="rId1"/>
    <sheet xmlns:r="http://schemas.openxmlformats.org/officeDocument/2006/relationships" name="Kapitalbehov" sheetId="2" state="visible" r:id="rId2"/>
    <sheet xmlns:r="http://schemas.openxmlformats.org/officeDocument/2006/relationships" name="Kredittid" sheetId="3" state="visible" r:id="rId3"/>
    <sheet xmlns:r="http://schemas.openxmlformats.org/officeDocument/2006/relationships" name="Finansiering" sheetId="4" state="visible" r:id="rId4"/>
    <sheet xmlns:r="http://schemas.openxmlformats.org/officeDocument/2006/relationships" name="Scenario" sheetId="5" state="visible" r:id="rId5"/>
    <sheet xmlns:r="http://schemas.openxmlformats.org/officeDocument/2006/relationships" name="Din bedrift" sheetId="6" state="visible" r:id="rId6"/>
  </sheets>
  <definedNames/>
  <calcPr calcId="124519" fullCalcOnLoad="1"/>
</workbook>
</file>

<file path=xl/styles.xml><?xml version="1.0" encoding="utf-8"?>
<styleSheet xmlns="http://schemas.openxmlformats.org/spreadsheetml/2006/main">
  <numFmts count="2">
    <numFmt numFmtId="164" formatCode="#,##0 &quot;kr&quot;"/>
    <numFmt numFmtId="165" formatCode="0.0%"/>
  </numFmts>
  <fonts count="9">
    <font>
      <name val="Calibri"/>
      <family val="2"/>
      <color theme="1"/>
      <sz val="11"/>
      <scheme val="minor"/>
    </font>
    <font>
      <name val="Arial"/>
      <b val="1"/>
      <color rgb="001F3864"/>
      <sz val="14"/>
    </font>
    <font>
      <name val="Arial"/>
      <i val="1"/>
      <color rgb="00595959"/>
      <sz val="10"/>
    </font>
    <font>
      <name val="Arial"/>
      <b val="1"/>
      <color rgb="001F3864"/>
      <sz val="10"/>
    </font>
    <font>
      <name val="Arial"/>
      <sz val="10"/>
    </font>
    <font>
      <name val="Arial"/>
      <color rgb="000000FF"/>
      <sz val="10"/>
    </font>
    <font>
      <name val="Arial"/>
      <b val="1"/>
      <sz val="10"/>
    </font>
    <font>
      <name val="Arial"/>
      <i val="1"/>
      <color rgb="00595959"/>
      <sz val="9"/>
    </font>
    <font>
      <name val="Arial"/>
      <b val="1"/>
      <color rgb="00FFFFFF"/>
      <sz val="10"/>
    </font>
  </fonts>
  <fills count="6">
    <fill>
      <patternFill/>
    </fill>
    <fill>
      <patternFill patternType="gray125"/>
    </fill>
    <fill>
      <patternFill patternType="solid">
        <fgColor rgb="00FFF2CC"/>
      </patternFill>
    </fill>
    <fill>
      <patternFill patternType="solid">
        <fgColor rgb="00DCE6F4"/>
      </patternFill>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0" fontId="3" fillId="0" borderId="0" pivotButton="0" quotePrefix="0" xfId="0"/>
    <xf numFmtId="0" fontId="5" fillId="2" borderId="1" pivotButton="0" quotePrefix="0" xfId="0"/>
    <xf numFmtId="0" fontId="4" fillId="0" borderId="0" pivotButton="0" quotePrefix="0" xfId="0"/>
    <xf numFmtId="0" fontId="4" fillId="4" borderId="1" pivotButton="0" quotePrefix="0" xfId="0"/>
    <xf numFmtId="0" fontId="6" fillId="0" borderId="0" pivotButton="0" quotePrefix="0" xfId="0"/>
    <xf numFmtId="0" fontId="8" fillId="5" borderId="0" applyAlignment="1" pivotButton="0" quotePrefix="0" xfId="0">
      <alignment horizontal="center" vertical="center" wrapText="1"/>
    </xf>
    <xf numFmtId="164" fontId="5" fillId="2" borderId="1" pivotButton="0" quotePrefix="0" xfId="0"/>
    <xf numFmtId="164" fontId="6" fillId="3" borderId="1" pivotButton="0" quotePrefix="0" xfId="0"/>
    <xf numFmtId="165" fontId="5" fillId="2" borderId="1" pivotButton="0" quotePrefix="0" xfId="0"/>
    <xf numFmtId="164" fontId="4" fillId="4" borderId="1" pivotButton="0" quotePrefix="0" xfId="0"/>
    <xf numFmtId="3" fontId="5" fillId="2" borderId="1" pivotButton="0" quotePrefix="0" xfId="0"/>
    <xf numFmtId="165" fontId="4" fillId="4" borderId="1" pivotButton="0" quotePrefix="0" xfId="0"/>
    <xf numFmtId="0" fontId="6" fillId="4" borderId="1" pivotButton="0" quotePrefix="0" xfId="0"/>
    <xf numFmtId="3" fontId="4" fillId="4" borderId="1" pivotButton="0" quotePrefix="0" xfId="0"/>
    <xf numFmtId="3" fontId="6" fillId="3" borderId="1" pivotButton="0" quotePrefix="0" xfId="0"/>
    <xf numFmtId="165" fontId="6" fillId="3" borderId="1" pivotButton="0" quotePrefix="0" xfId="0"/>
    <xf numFmtId="0" fontId="6" fillId="3" borderId="1" pivotButton="0" quotePrefix="0" xfId="0"/>
    <xf numFmtId="3" fontId="6" fillId="4" borderId="1" pivotButton="0" quotePrefix="0" xfId="0"/>
    <xf numFmtId="4" fontId="6" fillId="3" borderId="1" pivotButton="0" quotePrefix="0" xfId="0"/>
    <xf numFmtId="4" fontId="4" fillId="4" borderId="1" pivotButton="0" quotePrefix="0" xfId="0"/>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9"/>
  <sheetViews>
    <sheetView showGridLines="0" workbookViewId="0">
      <selection activeCell="A1" sqref="A1"/>
    </sheetView>
  </sheetViews>
  <sheetFormatPr baseColWidth="8" defaultRowHeight="15"/>
  <cols>
    <col width="40" customWidth="1" min="1" max="1"/>
    <col width="30" customWidth="1" min="2" max="2"/>
    <col width="62" customWidth="1" min="3" max="3"/>
  </cols>
  <sheetData>
    <row r="1">
      <c r="A1" s="1" t="inlineStr">
        <is>
          <t>Kapitalbehov og finansiering</t>
        </is>
      </c>
    </row>
    <row r="2">
      <c r="A2" s="2" t="inlineStr">
        <is>
          <t>LØM Økonomistyring kap. 6 · arbeidsregneark · Fagskolen Oslo, Avdeling Elkraft</t>
        </is>
      </c>
    </row>
    <row r="3">
      <c r="A3" s="3" t="inlineStr">
        <is>
          <t>Emne: Teknisk kommunikasjon og ledelse for 1ET-klassene · LØM for 2ET, 2EK, 3EK og 4EK</t>
        </is>
      </c>
    </row>
    <row r="4">
      <c r="A4" s="4" t="inlineStr">
        <is>
          <t>Fargekode</t>
        </is>
      </c>
    </row>
    <row r="5">
      <c r="A5" s="5" t="inlineStr">
        <is>
          <t>Gul celle med blå skrift</t>
        </is>
      </c>
      <c r="B5" s="6" t="inlineStr">
        <is>
          <t>Inndata — dette er tallene du endrer.</t>
        </is>
      </c>
    </row>
    <row r="6">
      <c r="A6" s="7" t="inlineStr">
        <is>
          <t>Grå eller lyseblå celle, svart skrift</t>
        </is>
      </c>
      <c r="B6" s="6" t="inlineStr">
        <is>
          <t>Formel — regner seg selv. Ikke skriv over den.</t>
        </is>
      </c>
    </row>
    <row r="7">
      <c r="A7" s="7" t="inlineStr">
        <is>
          <t>Mørkeblå rad med hvit skrift</t>
        </is>
      </c>
      <c r="B7" s="6" t="inlineStr">
        <is>
          <t>Kolonneoverskrift.</t>
        </is>
      </c>
    </row>
    <row r="9">
      <c r="A9" s="4" t="inlineStr">
        <is>
          <t>Ark i arbeidsboka</t>
        </is>
      </c>
    </row>
    <row r="10">
      <c r="A10" s="8" t="inlineStr">
        <is>
          <t>Kapitalbehov</t>
        </is>
      </c>
      <c r="B10" s="6" t="inlineStr">
        <is>
          <t>Kalkulatoren. Investeringer, salg, lagringstid og kredittid inn — kapitalbehovet ut. Kapitalbehovet står i B31, og de andre arkene henter det derfra.</t>
        </is>
      </c>
    </row>
    <row r="11">
      <c r="A11" s="8" t="inlineStr">
        <is>
          <t>Kredittid</t>
        </is>
      </c>
      <c r="B11" s="6" t="inlineStr">
        <is>
          <t>Hva kapitalbehovet blir ved ulik betalingsfrist til kundene. Kapitlets viktigste tabell.</t>
        </is>
      </c>
    </row>
    <row r="12">
      <c r="A12" s="8" t="inlineStr">
        <is>
          <t>Finansiering</t>
        </is>
      </c>
      <c r="B12" s="6" t="inlineStr">
        <is>
          <t>Kapitalbehovet sett fra den andre siden: egenkapital, langsiktig gjeld, kortsiktig gjeld og åpningsbalansen som må balansere.</t>
        </is>
      </c>
    </row>
    <row r="13">
      <c r="A13" s="8" t="inlineStr">
        <is>
          <t>Scenario</t>
        </is>
      </c>
      <c r="B13" s="6" t="inlineStr">
        <is>
          <t>Tre spørsmål: hva lengre kredittid koster, hvordan gründerne kommer over bankens krav, og hvorfor kontoen er tom når ordreboka er full.</t>
        </is>
      </c>
    </row>
    <row r="14">
      <c r="A14" s="8" t="inlineStr">
        <is>
          <t>Din bedrift</t>
        </is>
      </c>
      <c r="B14" s="6" t="inlineStr">
        <is>
          <t>Samme oppsett, tomt. Legg inn tallene for din egen bedrift.</t>
        </is>
      </c>
    </row>
    <row r="16">
      <c r="A16" s="3" t="inlineStr">
        <is>
          <t>Tallene som ligger inne er oppstarten av Nordlys Elektro AS i 2019, den samme bedriften du møter i kapittel 1, 3 og 9.</t>
        </is>
      </c>
    </row>
    <row r="17">
      <c r="A17" s="3" t="inlineStr">
        <is>
          <t>Kundefordringer og leverandørgjeld regnes INKLUDERT mva., fordi det er beløpene som faktisk står ubetalt.</t>
        </is>
      </c>
    </row>
    <row r="18">
      <c r="A18" s="3" t="inlineStr">
        <is>
          <t>Varelageret regnes UTEN mva., fordi inngående merverdiavgift får bedriften igjen.</t>
        </is>
      </c>
    </row>
    <row r="19">
      <c r="A19" s="3" t="inlineStr">
        <is>
          <t>Året settes til 360 dager, tolv måneder à tretti — det er lærebokas konvensjon.</t>
        </is>
      </c>
    </row>
    <row r="21">
      <c r="A21" s="3" t="inlineStr">
        <is>
          <t>Tallene som ligger inne er et eksempel fra en elektrobedrift. Bytt dem ut med dine egne — alle formler følger med.</t>
        </is>
      </c>
    </row>
    <row r="22">
      <c r="A22" s="3" t="inlineStr">
        <is>
          <t>Arbeidsregneark til LØM · Fagskolen Oslo, Avdeling Elkraft. Regnearket er øvingsstøtte, ikke et regnskapssystem.</t>
        </is>
      </c>
    </row>
    <row r="24">
      <c r="A24" s="4" t="inlineStr">
        <is>
          <t>De to knappene</t>
        </is>
      </c>
    </row>
    <row r="25">
      <c r="A25" s="6" t="inlineStr">
        <is>
          <t>Kapitalbehov!B23</t>
        </is>
      </c>
      <c r="B25" s="6" t="inlineStr">
        <is>
          <t>Kredittid til kundene</t>
        </is>
      </c>
      <c r="C25" s="6" t="inlineStr">
        <is>
          <t>Den dyreste dagen i bedriften. Endre den og se hele arbeidsboka flytte seg.</t>
        </is>
      </c>
    </row>
    <row r="26">
      <c r="A26" s="6" t="inlineStr">
        <is>
          <t>Finansiering!B20</t>
        </is>
      </c>
      <c r="B26" s="6" t="inlineStr">
        <is>
          <t>Egenkapitalen eierne har</t>
        </is>
      </c>
      <c r="C26" s="6" t="inlineStr">
        <is>
          <t>Endrer egenkapitalandelen i B21 og dommen i E24.</t>
        </is>
      </c>
    </row>
    <row r="28">
      <c r="A28" s="4" t="inlineStr">
        <is>
          <t>Hvilken oppgave bruker hvilket ark</t>
        </is>
      </c>
    </row>
    <row r="29" ht="28" customHeight="1">
      <c r="A29" s="9" t="inlineStr">
        <is>
          <t>Oppgave i øvingsheftet</t>
        </is>
      </c>
      <c r="B29" s="9" t="inlineStr">
        <is>
          <t>Ark</t>
        </is>
      </c>
      <c r="C29" s="9" t="inlineStr">
        <is>
          <t>Celler du endrer og leser av</t>
        </is>
      </c>
    </row>
    <row r="30">
      <c r="A30" s="6" t="inlineStr">
        <is>
          <t>A1 · Anbudskunden vil ha 40 dager</t>
        </is>
      </c>
      <c r="B30" s="8" t="inlineStr">
        <is>
          <t>Scenario</t>
        </is>
      </c>
      <c r="C30" s="6" t="inlineStr">
        <is>
          <t>Scenario A: endre C8 og les av C9, C10, C11 og C12.</t>
        </is>
      </c>
    </row>
    <row r="31">
      <c r="A31" s="6" t="inlineStr">
        <is>
          <t>A2 · Klasseoppgave: dere mangler 162 500 kroner</t>
        </is>
      </c>
      <c r="B31" s="8" t="inlineStr">
        <is>
          <t>Scenario</t>
        </is>
      </c>
      <c r="C31" s="6" t="inlineStr">
        <is>
          <t>Scenario B: endre D24, og egenkapitalen i Finansiering!B20. Les av rad 28, 30 og 33.</t>
        </is>
      </c>
    </row>
    <row r="32">
      <c r="A32" s="6" t="inlineStr">
        <is>
          <t>1 · Kapitalbehovet ved oppstart</t>
        </is>
      </c>
      <c r="B32" s="8" t="inlineStr">
        <is>
          <t>Kapitalbehov</t>
        </is>
      </c>
      <c r="C32" s="6" t="inlineStr">
        <is>
          <t>Endre B5, B6, B10, B13, B16, B21, B23 og B25. Les av B14, B22, B24, B26, B31 og B32.</t>
        </is>
      </c>
    </row>
    <row r="33">
      <c r="A33" s="6" t="inlineStr">
        <is>
          <t>2 · Finansieringsplan og åpningsbalanse</t>
        </is>
      </c>
      <c r="B33" s="8" t="inlineStr">
        <is>
          <t>Finansiering</t>
        </is>
      </c>
      <c r="C33" s="6" t="inlineStr">
        <is>
          <t>Endre B5, B6 og B7. Les av B11, B13, B15, B16 og B17. Åpningsbalansen står i rad 28 til 33.</t>
        </is>
      </c>
    </row>
    <row r="34">
      <c r="A34" s="6" t="inlineStr">
        <is>
          <t>3 · Hva kredittiden og leverandørkreditten koster</t>
        </is>
      </c>
      <c r="B34" s="8" t="inlineStr">
        <is>
          <t>Kredittid</t>
        </is>
      </c>
      <c r="C34" s="6" t="inlineStr">
        <is>
          <t>Les hele tabellen. Lagringstida endrer du i Kapitalbehov!B21, leverandørkreditten i Finansiering!B7.</t>
        </is>
      </c>
    </row>
    <row r="35">
      <c r="A35" s="6" t="inlineStr">
        <is>
          <t>4 · Kjøpe eller lease servicebilen?</t>
        </is>
      </c>
      <c r="B35" s="8" t="inlineStr">
        <is>
          <t>Scenario</t>
        </is>
      </c>
      <c r="C35" s="6" t="inlineStr">
        <is>
          <t>Scenario B: sett Kapitalbehov!B6 til null for leasing, og prøv deg fram med lagringstida i D24. Taket for kapitalbehovet står i Finansiering!B23.</t>
        </is>
      </c>
    </row>
    <row r="36">
      <c r="A36" s="6" t="inlineStr">
        <is>
          <t>5 · Eksamensnær: full ordrebok, tom konto</t>
        </is>
      </c>
      <c r="B36" s="8" t="inlineStr">
        <is>
          <t>Scenario</t>
        </is>
      </c>
      <c r="C36" s="6" t="inlineStr">
        <is>
          <t>Scenario C: endre B69 og les av B56, B59, B66, B71, B72, B73 og B79.</t>
        </is>
      </c>
    </row>
    <row r="38">
      <c r="A38" s="4" t="inlineStr">
        <is>
          <t>Kontrollradene</t>
        </is>
      </c>
    </row>
    <row r="39">
      <c r="A39" s="6" t="inlineStr">
        <is>
          <t>Hvert regneark har en kontrollblokk. Står det OK, henger tallene sammen. Står det AVVIK, farges cellen rød, og teksten sier hva som ikke går opp.</t>
        </is>
      </c>
    </row>
    <row r="40">
      <c r="A40" s="6" t="inlineStr">
        <is>
          <t>To unntak: kontrollen i Scenario B84 skal vise AVVIK med tallene som ligger inne — der er avviket selve svaret. Og arket «Din bedrift» står på AVVIK til du har fylt inn dine egne tall.</t>
        </is>
      </c>
    </row>
    <row r="41">
      <c r="A41" s="3" t="inlineStr">
        <is>
          <t>Kontroller i arbeidsboka: Kapitalbehov B35, Kapitalbehov B36, Kapitalbehov B37, Kredittid C27, Kredittid C28, Kredittid C29, Finansiering B36, Finansiering B37, Finansiering B38, Finansiering B39, Scenario B16, Scenario B36, Scenario B38, Scenario B82, Scenario B83, Scenario B84, Din bedrift B39, Din bedrift B41</t>
        </is>
      </c>
    </row>
    <row r="43">
      <c r="A43" s="4" t="inlineStr">
        <is>
          <t>Slik henger kapitlene sammen</t>
        </is>
      </c>
    </row>
    <row r="44">
      <c r="A44" s="6" t="inlineStr">
        <is>
          <t>Kapitalbehovet i 2019 blir til balansen du leser i kapittel 3. Kredittiden du setter her, er den samme kredittiden som avgjør om likviditetsbudsjettet i kapittel 9 går i pluss. Og timeprisen fra kapittel 5 avgjør hvor fort pengene kommer inn igjen.</t>
        </is>
      </c>
    </row>
    <row r="46">
      <c r="A46" s="4" t="inlineStr">
        <is>
          <t>Kilder</t>
        </is>
      </c>
    </row>
    <row r="47">
      <c r="A47" s="3" t="inlineStr">
        <is>
          <t>Hjertnes, J. og Skorpen, K.: Økonomistyring for LØM-emnet (ISBN 978-82-450-5544-3), kapittel 6 «Kapitalbehov og finansiering», avsnitt 6.1 til 6.3, 6.5 og 6.7. Merverdiavgiftssatser: merverdiavgiftsloven kapittel 5 (Lovdata).</t>
        </is>
      </c>
    </row>
    <row r="48">
      <c r="A48" s="3" t="inlineStr">
        <is>
          <t>Bransjetall: NHO Elektro, Lønnsomhetsrapport 2025, gjengitt i Elektro 24-7 19.08.2026 (hentet 10.09.2026). De 809 er bedriftene i datagrunnlaget, ikke bransjen. NHO Elektro oppgir ikke svarprosent.</t>
        </is>
      </c>
    </row>
    <row r="49">
      <c r="A49" s="3" t="inlineStr">
        <is>
          <t>Nordlys Elektro AS er en konstruert casebedrift. Tallene henger sammen på tvers av alle ti kapitlene i Bok 1.</t>
        </is>
      </c>
    </row>
  </sheetData>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44"/>
  <sheetViews>
    <sheetView showGridLines="0" workbookViewId="0">
      <pane ySplit="3" topLeftCell="A4" activePane="bottomLeft" state="frozen"/>
      <selection pane="bottomLeft" activeCell="A1" sqref="A1"/>
    </sheetView>
  </sheetViews>
  <sheetFormatPr baseColWidth="8" defaultRowHeight="15"/>
  <cols>
    <col width="44" customWidth="1" min="1" max="1"/>
    <col width="16" customWidth="1" min="2" max="2"/>
    <col width="14" customWidth="1" min="3" max="3"/>
    <col width="56" customWidth="1" min="4" max="4"/>
  </cols>
  <sheetData>
    <row r="1">
      <c r="A1" s="1" t="inlineStr">
        <is>
          <t>Hvor mye penger må du ha før du åpner?</t>
        </is>
      </c>
    </row>
    <row r="2">
      <c r="A2" s="2" t="inlineStr">
        <is>
          <t>Endre de gule cellene. Alt annet regner seg selv.</t>
        </is>
      </c>
    </row>
    <row r="4">
      <c r="A4" s="4" t="inlineStr">
        <is>
          <t>1 · Investeringene — det du kjøper og eier</t>
        </is>
      </c>
    </row>
    <row r="5">
      <c r="A5" s="6" t="inlineStr">
        <is>
          <t>Verktøy, utstyr og inventar</t>
        </is>
      </c>
      <c r="B5" s="10" t="n">
        <v>850000</v>
      </c>
      <c r="D5" s="6" t="inlineStr">
        <is>
          <t>Engangsutlegget. Dette er tallet gründeren husker, fordi det står på en faktura.</t>
        </is>
      </c>
    </row>
    <row r="6">
      <c r="A6" s="6" t="inlineStr">
        <is>
          <t>Biler og maskiner</t>
        </is>
      </c>
      <c r="B6" s="10" t="n">
        <v>480000</v>
      </c>
      <c r="D6" s="6" t="inlineStr">
        <is>
          <t>Servicebilen. Leases den i stedet for å kjøpes, settes beløpet til null.</t>
        </is>
      </c>
    </row>
    <row r="7">
      <c r="A7" s="8" t="inlineStr">
        <is>
          <t>= Sum anleggsmidler</t>
        </is>
      </c>
      <c r="B7" s="11">
        <f>B5+B6</f>
        <v/>
      </c>
    </row>
    <row r="9">
      <c r="A9" s="4" t="inlineStr">
        <is>
          <t>2 · Forutsetningene for driften</t>
        </is>
      </c>
    </row>
    <row r="10">
      <c r="A10" s="6" t="inlineStr">
        <is>
          <t>Budsjettert salg første år, inkl. mva.</t>
        </is>
      </c>
      <c r="B10" s="10" t="n">
        <v>9000000</v>
      </c>
      <c r="D10" s="6" t="inlineStr">
        <is>
          <t>Står det «inkl. mva.» i oppgaveteksten, må mva. ut før bruttofortjenesten regnes.</t>
        </is>
      </c>
    </row>
    <row r="11">
      <c r="A11" s="6" t="inlineStr">
        <is>
          <t>Merverdiavgiftssats</t>
        </is>
      </c>
      <c r="B11" s="12" t="n">
        <v>0.25</v>
      </c>
    </row>
    <row r="12">
      <c r="A12" s="6" t="inlineStr">
        <is>
          <t>Salgsinntekt uten mva.</t>
        </is>
      </c>
      <c r="B12" s="13">
        <f>B10/(1+B11)</f>
        <v/>
      </c>
    </row>
    <row r="13">
      <c r="A13" s="6" t="inlineStr">
        <is>
          <t>Budsjettert bruttofortjeneste</t>
        </is>
      </c>
      <c r="B13" s="12" t="n">
        <v>0.45</v>
      </c>
      <c r="D13" s="6" t="inlineStr">
        <is>
          <t>Det som blir igjen av salget etter varekostnaden.</t>
        </is>
      </c>
    </row>
    <row r="14">
      <c r="A14" s="8" t="inlineStr">
        <is>
          <t>= Varekostnad for året</t>
        </is>
      </c>
      <c r="B14" s="11">
        <f>B12*(1-B13)</f>
        <v/>
      </c>
      <c r="D14" s="6" t="inlineStr">
        <is>
          <t>Uten mva. Varelageret regnes av dette tallet.</t>
        </is>
      </c>
    </row>
    <row r="15">
      <c r="A15" s="6" t="inlineStr">
        <is>
          <t>Varekjøp inkl. mva.</t>
        </is>
      </c>
      <c r="B15" s="13">
        <f>B14*(1+B11)</f>
        <v/>
      </c>
      <c r="D15" s="6" t="inlineStr">
        <is>
          <t>Med mva. Leverandørgjelda regnes av dette tallet — det er det du faktisk skylder.</t>
        </is>
      </c>
    </row>
    <row r="16">
      <c r="A16" s="6" t="inlineStr">
        <is>
          <t>Andel av salget som skjer på kreditt</t>
        </is>
      </c>
      <c r="B16" s="12" t="n">
        <v>0.25</v>
      </c>
    </row>
    <row r="17">
      <c r="A17" s="6" t="inlineStr">
        <is>
          <t>Kredittsalg inkl. mva.</t>
        </is>
      </c>
      <c r="B17" s="13">
        <f>B10*B16</f>
        <v/>
      </c>
      <c r="D17" s="6" t="inlineStr">
        <is>
          <t>Kundefordringene regnes av dette. Kunden skylder deg beløpet med mva.</t>
        </is>
      </c>
    </row>
    <row r="18">
      <c r="A18" s="6" t="inlineStr">
        <is>
          <t>Dager i året</t>
        </is>
      </c>
      <c r="B18" s="14" t="n">
        <v>360</v>
      </c>
      <c r="D18" s="6" t="inlineStr">
        <is>
          <t>Lærebokas bankår: tolv måneder à tretti dager.</t>
        </is>
      </c>
    </row>
    <row r="20">
      <c r="A20" s="4" t="inlineStr">
        <is>
          <t>3 · Kapitalbindingen i driften</t>
        </is>
      </c>
    </row>
    <row r="21">
      <c r="A21" s="6" t="inlineStr">
        <is>
          <t>Lagringstid, dager</t>
        </is>
      </c>
      <c r="B21" s="14" t="n">
        <v>20</v>
      </c>
      <c r="D21" s="6" t="inlineStr">
        <is>
          <t>Hvor lenge materiellet i snitt ligger på lager før det er montert.</t>
        </is>
      </c>
    </row>
    <row r="22">
      <c r="A22" s="6" t="inlineStr">
        <is>
          <t>Varelager</t>
        </is>
      </c>
      <c r="B22" s="13">
        <f>B14*B21/B18</f>
        <v/>
      </c>
    </row>
    <row r="23">
      <c r="A23" s="6" t="inlineStr">
        <is>
          <t>Kredittid til kundene, dager</t>
        </is>
      </c>
      <c r="B23" s="14" t="n">
        <v>20</v>
      </c>
      <c r="D23" s="6" t="inlineStr">
        <is>
          <t>Betalingsfristen du gir. Dette er et rentefritt lån til kunden.</t>
        </is>
      </c>
    </row>
    <row r="24">
      <c r="A24" s="6" t="inlineStr">
        <is>
          <t>Kundefordringer</t>
        </is>
      </c>
      <c r="B24" s="13">
        <f>B17*B23/B18</f>
        <v/>
      </c>
    </row>
    <row r="25">
      <c r="A25" s="6" t="inlineStr">
        <is>
          <t>Likviditetsreserve</t>
        </is>
      </c>
      <c r="B25" s="10" t="n">
        <v>200000</v>
      </c>
      <c r="D25" s="6" t="inlineStr">
        <is>
          <t>Pengene som skal ligge der når en stor kunde betaler for seint.</t>
        </is>
      </c>
    </row>
    <row r="26">
      <c r="A26" s="8" t="inlineStr">
        <is>
          <t>= Driftskapitalbehov</t>
        </is>
      </c>
      <c r="B26" s="11">
        <f>B22+B24+B25</f>
        <v/>
      </c>
      <c r="D26" s="6" t="inlineStr">
        <is>
          <t>Penger som ikke kjøper noe som helst. De skal bare være der.</t>
        </is>
      </c>
    </row>
    <row r="28">
      <c r="A28" s="4" t="inlineStr">
        <is>
          <t>4 · Samlet kapitalbehov</t>
        </is>
      </c>
    </row>
    <row r="29">
      <c r="A29" s="6" t="inlineStr">
        <is>
          <t>Investeringskapitalbehov (anleggsmidler)</t>
        </is>
      </c>
      <c r="B29" s="13">
        <f>B7</f>
        <v/>
      </c>
    </row>
    <row r="30">
      <c r="A30" s="6" t="inlineStr">
        <is>
          <t>Driftskapitalbehov</t>
        </is>
      </c>
      <c r="B30" s="13">
        <f>B26</f>
        <v/>
      </c>
    </row>
    <row r="31">
      <c r="A31" s="8" t="inlineStr">
        <is>
          <t>= KAPITALBEHOV</t>
        </is>
      </c>
      <c r="B31" s="11">
        <f>B29+B30</f>
        <v/>
      </c>
      <c r="D31" s="6" t="inlineStr">
        <is>
          <t>Dette er tallet arkene Kredittid, Finansiering og Scenario henter.</t>
        </is>
      </c>
    </row>
    <row r="32">
      <c r="A32" s="6" t="inlineStr">
        <is>
          <t>Driftens andel av kapitalbehovet</t>
        </is>
      </c>
      <c r="B32" s="15">
        <f>B30/B31</f>
        <v/>
      </c>
      <c r="D32" s="6" t="inlineStr">
        <is>
          <t>Det er denne andelen nystartede bedrifter undervurderer.</t>
        </is>
      </c>
    </row>
    <row r="34">
      <c r="A34" s="4" t="inlineStr">
        <is>
          <t>Kontroll</t>
        </is>
      </c>
    </row>
    <row r="35">
      <c r="A35" s="6" t="inlineStr">
        <is>
          <t>Summerer postene seg til kapitalbehovet?</t>
        </is>
      </c>
      <c r="B35" s="16">
        <f>IF(ABS(B7+B22+B24+B25-B31)&lt;1,"OK — anleggsmidler, varelager, kundefordringer og reserve summerer seg til kapitalbehovet","AVVIK: postene summerer seg ikke til kapitalbehovet")</f>
        <v/>
      </c>
    </row>
    <row r="36">
      <c r="A36" s="6" t="inlineStr">
        <is>
          <t>Er merverdiavgiften behandlet riktig?</t>
        </is>
      </c>
      <c r="B36" s="16">
        <f>IF(ABS(B12*(1+B11)-B10)&lt;1,"OK — salgsinntekten uten mva. ganget opp med satsen gir salget inkl. mva.","AVVIK: mva.-omregningen stemmer ikke")</f>
        <v/>
      </c>
    </row>
    <row r="37">
      <c r="A37" s="6" t="inlineStr">
        <is>
          <t>Er forutsetningene mulige?</t>
        </is>
      </c>
      <c r="B37" s="16">
        <f>IF(AND(B13&gt;0,B13&lt;1,B16&gt;=0,B16&lt;=1,B21&gt;=0,B23&gt;=0,B18&gt;0),"OK — bruttofortjeneste og kredittandel ligger mellom null og hundre prosent, og dagene er ikke negative","AVVIK: en av forutsetningene er umulig — sjekk prosentene og dagene")</f>
        <v/>
      </c>
    </row>
    <row r="39">
      <c r="A39" s="4" t="inlineStr">
        <is>
          <t>Hva én dag koster</t>
        </is>
      </c>
    </row>
    <row r="40">
      <c r="A40" s="6" t="inlineStr">
        <is>
          <t>Én dag lengre kredittid til kundene binder</t>
        </is>
      </c>
      <c r="B40" s="13">
        <f>B17/B18</f>
        <v/>
      </c>
      <c r="D40" s="6" t="inlineStr">
        <is>
          <t>Kredittsalget delt på dagene i året.</t>
        </is>
      </c>
    </row>
    <row r="41">
      <c r="A41" s="6" t="inlineStr">
        <is>
          <t>Én dag lengre lagringstid binder</t>
        </is>
      </c>
      <c r="B41" s="13">
        <f>B14/B18</f>
        <v/>
      </c>
      <c r="D41" s="6" t="inlineStr">
        <is>
          <t>Varekostnaden delt på dagene i året.</t>
        </is>
      </c>
    </row>
    <row r="43">
      <c r="A43" s="8" t="inlineStr">
        <is>
          <t>Prøv dette: sett kredittiden i B23 til 40 dager og se hva som skjer med B31. Det er oppgave A1 i øvingsheftet.</t>
        </is>
      </c>
    </row>
    <row r="44">
      <c r="A44" s="3" t="inlineStr">
        <is>
          <t>Kilde: Bok 1 kap. 6.1 med underavsnitt. Tallene er oppstarten av Nordlys Elektro AS i 2019.</t>
        </is>
      </c>
    </row>
  </sheetData>
  <conditionalFormatting sqref="B35">
    <cfRule type="expression" priority="1" dxfId="0" stopIfTrue="0">
      <formula>LEFT(B35,5)="AVVIK"</formula>
    </cfRule>
  </conditionalFormatting>
  <conditionalFormatting sqref="B36">
    <cfRule type="expression" priority="2" dxfId="0" stopIfTrue="0">
      <formula>LEFT(B36,5)="AVVIK"</formula>
    </cfRule>
  </conditionalFormatting>
  <conditionalFormatting sqref="B37">
    <cfRule type="expression" priority="3" dxfId="0" stopIfTrue="0">
      <formula>LEFT(B37,5)="AVVIK"</formula>
    </cfRule>
  </conditionalFormatting>
  <printOptions horizontalCentered="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1"/>
  <sheetViews>
    <sheetView showGridLines="0" workbookViewId="0">
      <pane ySplit="11" topLeftCell="A12" activePane="bottomLeft" state="frozen"/>
      <selection pane="bottomLef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50" customWidth="1" min="6" max="6"/>
  </cols>
  <sheetData>
    <row r="1">
      <c r="A1" s="1" t="inlineStr">
        <is>
          <t>Hva kredittiden gjør med kapitalbehovet</t>
        </is>
      </c>
    </row>
    <row r="2">
      <c r="A2" s="2" t="inlineStr">
        <is>
          <t>Samme bedrift, samme salg, samme lager — bare en annen betalingsfrist.</t>
        </is>
      </c>
    </row>
    <row r="4">
      <c r="A4" s="4" t="inlineStr">
        <is>
          <t>Hentes fra arket Kapitalbehov</t>
        </is>
      </c>
    </row>
    <row r="5">
      <c r="A5" s="6" t="inlineStr">
        <is>
          <t>Kredittsalg inkl. mva.</t>
        </is>
      </c>
      <c r="B5" s="13">
        <f>Kapitalbehov!B17</f>
        <v/>
      </c>
    </row>
    <row r="6">
      <c r="A6" s="6" t="inlineStr">
        <is>
          <t>Dager i året</t>
        </is>
      </c>
      <c r="B6" s="17">
        <f>Kapitalbehov!B18</f>
        <v/>
      </c>
    </row>
    <row r="7">
      <c r="A7" s="6" t="inlineStr">
        <is>
          <t>Kapitalbehov uten kundefordringer</t>
        </is>
      </c>
      <c r="B7" s="13">
        <f>Kapitalbehov!B31-Kapitalbehov!B24</f>
        <v/>
      </c>
      <c r="F7" s="6" t="inlineStr">
        <is>
          <t>Anleggsmidler, varelager og likviditetsreserve. Endrer seg ikke med kredittiden.</t>
        </is>
      </c>
    </row>
    <row r="8">
      <c r="A8" s="6" t="inlineStr">
        <is>
          <t>Kredittiden du bruker i dag</t>
        </is>
      </c>
      <c r="B8" s="18">
        <f>Kapitalbehov!B23</f>
        <v/>
      </c>
    </row>
    <row r="9">
      <c r="A9" s="6" t="inlineStr">
        <is>
          <t>Egenkapitalkrav fra banken</t>
        </is>
      </c>
      <c r="B9" s="15">
        <f>Finansiering!B5</f>
        <v/>
      </c>
    </row>
    <row r="11" ht="28" customHeight="1">
      <c r="A11" s="9" t="inlineStr">
        <is>
          <t>Kredittid, dager</t>
        </is>
      </c>
      <c r="B11" s="9" t="inlineStr">
        <is>
          <t>Kundefordringer</t>
        </is>
      </c>
      <c r="C11" s="9" t="inlineStr">
        <is>
          <t>Kapitalbehov</t>
        </is>
      </c>
      <c r="D11" s="9" t="inlineStr">
        <is>
          <t>Endring fra i dag</t>
        </is>
      </c>
      <c r="E11" s="9" t="inlineStr">
        <is>
          <t>Egenkapitalkrav</t>
        </is>
      </c>
      <c r="F11" s="9" t="inlineStr">
        <is>
          <t>Hva raden betyr</t>
        </is>
      </c>
    </row>
    <row r="12">
      <c r="A12" s="14" t="n">
        <v>0</v>
      </c>
      <c r="B12" s="13">
        <f>$B$5*A12/$B$6</f>
        <v/>
      </c>
      <c r="C12" s="13">
        <f>$B$7+B12</f>
        <v/>
      </c>
      <c r="D12" s="13">
        <f>C12-($B$7+$B$5*$B$8/$B$6)</f>
        <v/>
      </c>
      <c r="E12" s="13">
        <f>C12*$B$9</f>
        <v/>
      </c>
      <c r="F12" s="6" t="inlineStr">
        <is>
          <t>Alt kontant. Ingen kapital bundet hos kundene — og ingen næringskunder.</t>
        </is>
      </c>
    </row>
    <row r="13">
      <c r="A13" s="14" t="n">
        <v>10</v>
      </c>
      <c r="B13" s="13">
        <f>$B$5*A13/$B$6</f>
        <v/>
      </c>
      <c r="C13" s="13">
        <f>$B$7+B13</f>
        <v/>
      </c>
      <c r="D13" s="13">
        <f>C13-($B$7+$B$5*$B$8/$B$6)</f>
        <v/>
      </c>
      <c r="E13" s="13">
        <f>C13*$B$9</f>
        <v/>
      </c>
      <c r="F13" s="6" t="inlineStr">
        <is>
          <t>Kort frist. Vanlig for småjobber som faktureres på stedet.</t>
        </is>
      </c>
    </row>
    <row r="14">
      <c r="A14" s="14" t="n">
        <v>20</v>
      </c>
      <c r="B14" s="13">
        <f>$B$5*A14/$B$6</f>
        <v/>
      </c>
      <c r="C14" s="13">
        <f>$B$7+B14</f>
        <v/>
      </c>
      <c r="D14" s="13">
        <f>C14-($B$7+$B$5*$B$8/$B$6)</f>
        <v/>
      </c>
      <c r="E14" s="13">
        <f>C14*$B$9</f>
        <v/>
      </c>
      <c r="F14" s="6" t="inlineStr">
        <is>
          <t>Vanlig avtalt betalingsfrist i bransjen.</t>
        </is>
      </c>
    </row>
    <row r="15">
      <c r="A15" s="17">
        <f>$B$8</f>
        <v/>
      </c>
      <c r="B15" s="11">
        <f>$B$5*A15/$B$6</f>
        <v/>
      </c>
      <c r="C15" s="11">
        <f>$B$7+B15</f>
        <v/>
      </c>
      <c r="D15" s="13">
        <f>C15-($B$7+$B$5*$B$8/$B$6)</f>
        <v/>
      </c>
      <c r="E15" s="13">
        <f>C15*$B$9</f>
        <v/>
      </c>
      <c r="F15" s="6" t="inlineStr">
        <is>
          <t>Nordlys i 2019.</t>
        </is>
      </c>
    </row>
    <row r="16">
      <c r="A16" s="14" t="n">
        <v>30</v>
      </c>
      <c r="B16" s="13">
        <f>$B$5*A16/$B$6</f>
        <v/>
      </c>
      <c r="C16" s="13">
        <f>$B$7+B16</f>
        <v/>
      </c>
      <c r="D16" s="13">
        <f>C16-($B$7+$B$5*$B$8/$B$6)</f>
        <v/>
      </c>
      <c r="E16" s="13">
        <f>C16*$B$9</f>
        <v/>
      </c>
      <c r="F16" s="6" t="inlineStr">
        <is>
          <t>En måned. Vanlig krav fra større byggherrer.</t>
        </is>
      </c>
    </row>
    <row r="17">
      <c r="A17" s="14" t="n">
        <v>40</v>
      </c>
      <c r="B17" s="13">
        <f>$B$5*A17/$B$6</f>
        <v/>
      </c>
      <c r="C17" s="13">
        <f>$B$7+B17</f>
        <v/>
      </c>
      <c r="D17" s="13">
        <f>C17-($B$7+$B$5*$B$8/$B$6)</f>
        <v/>
      </c>
      <c r="E17" s="13">
        <f>C17*$B$9</f>
        <v/>
      </c>
      <c r="F17" s="6" t="inlineStr">
        <is>
          <t>Anbudskunden i økta. Kundefordringene dobler seg fra tjue dager.</t>
        </is>
      </c>
    </row>
    <row r="18">
      <c r="A18" s="14" t="n">
        <v>60</v>
      </c>
      <c r="B18" s="13">
        <f>$B$5*A18/$B$6</f>
        <v/>
      </c>
      <c r="C18" s="13">
        <f>$B$7+B18</f>
        <v/>
      </c>
      <c r="D18" s="13">
        <f>C18-($B$7+$B$5*$B$8/$B$6)</f>
        <v/>
      </c>
      <c r="E18" s="13">
        <f>C18*$B$9</f>
        <v/>
      </c>
      <c r="F18" s="6" t="inlineStr">
        <is>
          <t>To måneder. Her begynner kredittiden å kreve egen finansiering.</t>
        </is>
      </c>
    </row>
    <row r="19">
      <c r="A19" s="14" t="n">
        <v>90</v>
      </c>
      <c r="B19" s="13">
        <f>$B$5*A19/$B$6</f>
        <v/>
      </c>
      <c r="C19" s="13">
        <f>$B$7+B19</f>
        <v/>
      </c>
      <c r="D19" s="13">
        <f>C19-($B$7+$B$5*$B$8/$B$6)</f>
        <v/>
      </c>
      <c r="E19" s="13">
        <f>C19*$B$9</f>
        <v/>
      </c>
      <c r="F19" s="6" t="inlineStr">
        <is>
          <t>Tre måneder. Bedriften er blitt kundens bank.</t>
        </is>
      </c>
    </row>
    <row r="21">
      <c r="A21" s="4" t="inlineStr">
        <is>
          <t>Les tabellen slik</t>
        </is>
      </c>
    </row>
    <row r="22">
      <c r="A22" s="6" t="inlineStr">
        <is>
          <t>Linja er rett. Kapitalbehovet vokser proporsjonalt med kredittiden, fordi kundefordringene er kredittsalget ganget med en brøkdel av året.</t>
        </is>
      </c>
    </row>
    <row r="23">
      <c r="A23" s="8" t="inlineStr">
        <is>
          <t>Kredittid er ikke en høflighet. Det er et rentefritt lån du gir kunden, og som du selv må låne penger for å kunne gi.</t>
        </is>
      </c>
    </row>
    <row r="24">
      <c r="A24" s="6" t="inlineStr">
        <is>
          <t>Og legg merke til siste kolonne: egenkapitalkravet stiger sammen med kapitalbehovet. Lengre kredittid koster eierne penger, ikke bare banken.</t>
        </is>
      </c>
    </row>
    <row r="26">
      <c r="A26" s="4" t="inlineStr">
        <is>
          <t>Kontroll</t>
        </is>
      </c>
    </row>
    <row r="27">
      <c r="A27" s="6" t="inlineStr">
        <is>
          <t>Stemmer raden «Nordlys i 2019» med kalkulatoren?</t>
        </is>
      </c>
      <c r="C27" s="16">
        <f>IF(ABS(C15-Kapitalbehov!B31)&lt;1,"OK — raden gir samme kapitalbehov som arket Kapitalbehov","AVVIK: raden stemmer ikke med kalkulatoren")</f>
        <v/>
      </c>
    </row>
    <row r="28">
      <c r="A28" s="6" t="inlineStr">
        <is>
          <t>Stiger kapitalbehovet med kredittiden?</t>
        </is>
      </c>
      <c r="C28" s="16">
        <f>IF(AND(C12&lt;C13,C15&lt;C16,C17&lt;C18),"OK — lengre kredittid binder mer kapital, hele tabellen igjennom","AVVIK: tabellen skal stige nedover")</f>
        <v/>
      </c>
    </row>
    <row r="29">
      <c r="A29" s="6" t="inlineStr">
        <is>
          <t>Binder null dagers kredittid null kroner?</t>
        </is>
      </c>
      <c r="C29" s="16">
        <f>IF(B12=0,"OK — uten kreditt er ingen kapital bundet hos kundene","AVVIK: null dagers kredittid skal gi null i kundefordringer")</f>
        <v/>
      </c>
    </row>
    <row r="31">
      <c r="A31" s="3" t="inlineStr">
        <is>
          <t>Kilde: Bok 1 kap. 6.1.3 om kundefordringer. Tallene er Nordlys Elektro AS' egne.</t>
        </is>
      </c>
    </row>
  </sheetData>
  <conditionalFormatting sqref="C27">
    <cfRule type="expression" priority="1" dxfId="0" stopIfTrue="0">
      <formula>LEFT(C27,5)="AVVIK"</formula>
    </cfRule>
  </conditionalFormatting>
  <conditionalFormatting sqref="C28">
    <cfRule type="expression" priority="2" dxfId="0" stopIfTrue="0">
      <formula>LEFT(C28,5)="AVVIK"</formula>
    </cfRule>
  </conditionalFormatting>
  <conditionalFormatting sqref="C29">
    <cfRule type="expression" priority="3" dxfId="0" stopIfTrue="0">
      <formula>LEFT(C29,5)="AVVIK"</formula>
    </cfRule>
  </conditionalFormatting>
  <printOptions horizontalCentered="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42"/>
  <sheetViews>
    <sheetView showGridLines="0" workbookViewId="0">
      <selection activeCell="A1" sqref="A1"/>
    </sheetView>
  </sheetViews>
  <sheetFormatPr baseColWidth="8" defaultRowHeight="15"/>
  <cols>
    <col width="42" customWidth="1" min="1" max="1"/>
    <col width="16" customWidth="1" min="2" max="2"/>
    <col width="34" customWidth="1" min="3" max="3"/>
    <col width="16" customWidth="1" min="4" max="4"/>
    <col width="52" customWidth="1" min="5" max="5"/>
  </cols>
  <sheetData>
    <row r="1">
      <c r="A1" s="1" t="inlineStr">
        <is>
          <t>Hvem skal skaffe pengene?</t>
        </is>
      </c>
    </row>
    <row r="2">
      <c r="A2" s="2" t="inlineStr">
        <is>
          <t>Kapitalbehovet sett fra den andre siden: egenkapital, langsiktig og kortsiktig gjeld.</t>
        </is>
      </c>
    </row>
    <row r="4">
      <c r="A4" s="4" t="inlineStr">
        <is>
          <t>1 · Kravene banken stiller</t>
        </is>
      </c>
    </row>
    <row r="5">
      <c r="A5" s="6" t="inlineStr">
        <is>
          <t>Egenkapitalandel, krav</t>
        </is>
      </c>
      <c r="B5" s="12" t="n">
        <v>0.3</v>
      </c>
      <c r="E5" s="6" t="inlineStr">
        <is>
          <t>Bankens krav til hvor stor del av kapitalbehovet eierne selv må stille med.</t>
        </is>
      </c>
    </row>
    <row r="6">
      <c r="A6" s="6" t="inlineStr">
        <is>
          <t>Andel av varelageret som må finansieres langsiktig</t>
        </is>
      </c>
      <c r="B6" s="12" t="n">
        <v>0.5</v>
      </c>
      <c r="E6" s="6" t="inlineStr">
        <is>
          <t>Gyllen finansieringsregel: anleggsmidlene i sin helhet, pluss den delen av varelageret som aldri tømmes.</t>
        </is>
      </c>
    </row>
    <row r="7">
      <c r="A7" s="6" t="inlineStr">
        <is>
          <t>Kredittid fra leverandøren, dager</t>
        </is>
      </c>
      <c r="B7" s="14" t="n">
        <v>15</v>
      </c>
      <c r="E7" s="6" t="inlineStr">
        <is>
          <t>Betalingsfristen grossisten gir deg. Dette er gratis finansiering — så lenge du ikke går glipp av en kontantrabatt.</t>
        </is>
      </c>
    </row>
    <row r="9">
      <c r="A9" s="4" t="inlineStr">
        <is>
          <t>2 · Finansieringsplanen</t>
        </is>
      </c>
    </row>
    <row r="10">
      <c r="A10" s="6" t="inlineStr">
        <is>
          <t>Kapitalbehov (fra arket Kapitalbehov)</t>
        </is>
      </c>
      <c r="B10" s="11">
        <f>Kapitalbehov!B31</f>
        <v/>
      </c>
    </row>
    <row r="11">
      <c r="A11" s="6" t="inlineStr">
        <is>
          <t>Egenkapital</t>
        </is>
      </c>
      <c r="B11" s="11">
        <f>B10*B5</f>
        <v/>
      </c>
    </row>
    <row r="12">
      <c r="A12" s="6" t="inlineStr">
        <is>
          <t>Krav til langsiktig kapital</t>
        </is>
      </c>
      <c r="B12" s="13">
        <f>Kapitalbehov!B7+Kapitalbehov!B22*B6</f>
        <v/>
      </c>
      <c r="E12" s="6" t="inlineStr">
        <is>
          <t>Anleggsmidler pluss den varige delen av varelageret.</t>
        </is>
      </c>
    </row>
    <row r="13">
      <c r="A13" s="8" t="inlineStr">
        <is>
          <t>= Langsiktig gjeld, minimum</t>
        </is>
      </c>
      <c r="B13" s="11">
        <f>B12-B11</f>
        <v/>
      </c>
      <c r="E13" s="6" t="inlineStr">
        <is>
          <t>Kravet bestemmer den langsiktige gjelda. Den er ikke «resten etter egenkapitalen».</t>
        </is>
      </c>
    </row>
    <row r="14">
      <c r="A14" s="6" t="inlineStr">
        <is>
          <t>Samlet lånebehov</t>
        </is>
      </c>
      <c r="B14" s="13">
        <f>B10-B11</f>
        <v/>
      </c>
    </row>
    <row r="15">
      <c r="A15" s="8" t="inlineStr">
        <is>
          <t>= Kortsiktig gjeld, maksimum</t>
        </is>
      </c>
      <c r="B15" s="11">
        <f>B14-B13</f>
        <v/>
      </c>
      <c r="E15" s="6" t="inlineStr">
        <is>
          <t>Det som blir til overs. DETTE er resten.</t>
        </is>
      </c>
    </row>
    <row r="16">
      <c r="A16" s="6" t="inlineStr">
        <is>
          <t>herav leverandørgjeld</t>
        </is>
      </c>
      <c r="B16" s="13">
        <f>Kapitalbehov!B15*B7/Kapitalbehov!B18</f>
        <v/>
      </c>
    </row>
    <row r="17">
      <c r="A17" s="6" t="inlineStr">
        <is>
          <t>herav annen kortsiktig gjeld</t>
        </is>
      </c>
      <c r="B17" s="13">
        <f>B15-B16</f>
        <v/>
      </c>
      <c r="E17" s="6" t="inlineStr">
        <is>
          <t>Kassekreditt og skyldige offentlige avgifter.</t>
        </is>
      </c>
    </row>
    <row r="19">
      <c r="A19" s="4" t="inlineStr">
        <is>
          <t>3 · Egenkapitalen dere faktisk har</t>
        </is>
      </c>
    </row>
    <row r="20">
      <c r="A20" s="6" t="inlineStr">
        <is>
          <t>Egenkapital eierne har</t>
        </is>
      </c>
      <c r="B20" s="10" t="n">
        <v>400000</v>
      </c>
      <c r="E20" s="6" t="inlineStr">
        <is>
          <t>Det Kari og Tom har på bok. Endre til deres egne tall.</t>
        </is>
      </c>
    </row>
    <row r="21">
      <c r="A21" s="6" t="inlineStr">
        <is>
          <t>Egenkapitalandel det gir</t>
        </is>
      </c>
      <c r="B21" s="19">
        <f>B20/B10</f>
        <v/>
      </c>
    </row>
    <row r="22">
      <c r="A22" s="6" t="inlineStr">
        <is>
          <t>Mangler mot bankens krav</t>
        </is>
      </c>
      <c r="B22" s="11">
        <f>B11-B20</f>
        <v/>
      </c>
    </row>
    <row r="23">
      <c r="A23" s="6" t="inlineStr">
        <is>
          <t>Høyeste kapitalbehov egenkapitalen bærer</t>
        </is>
      </c>
      <c r="B23" s="13">
        <f>B20/B5</f>
        <v/>
      </c>
      <c r="E23" s="6" t="inlineStr">
        <is>
          <t>Under dette kapitalbehovet er kravet innfridd. Det er dette tallet klasseoppgaven skal ned til.</t>
        </is>
      </c>
    </row>
    <row r="24">
      <c r="A24" s="6" t="inlineStr">
        <is>
          <t>Dom</t>
        </is>
      </c>
      <c r="E24" s="20">
        <f>IF(B21&gt;=B5,"Kravet er innfridd","Kravet er ikke innfridd — kapitalbehovet må ned eller egenkapitalen opp")</f>
        <v/>
      </c>
    </row>
    <row r="26">
      <c r="A26" s="4" t="inlineStr">
        <is>
          <t>4 · Åpningsbalansen 1. januar</t>
        </is>
      </c>
    </row>
    <row r="27" ht="28" customHeight="1">
      <c r="A27" s="9" t="inlineStr">
        <is>
          <t>Eiendeler</t>
        </is>
      </c>
      <c r="B27" s="9" t="inlineStr">
        <is>
          <t>Kroner</t>
        </is>
      </c>
      <c r="C27" s="9" t="inlineStr">
        <is>
          <t>Egenkapital og gjeld</t>
        </is>
      </c>
      <c r="D27" s="9" t="inlineStr">
        <is>
          <t>Kroner</t>
        </is>
      </c>
    </row>
    <row r="28">
      <c r="A28" s="6" t="inlineStr">
        <is>
          <t>Verktøy, utstyr og inventar</t>
        </is>
      </c>
      <c r="B28" s="13">
        <f>Kapitalbehov!B5</f>
        <v/>
      </c>
      <c r="C28" s="6" t="inlineStr">
        <is>
          <t>Egenkapital</t>
        </is>
      </c>
      <c r="D28" s="13">
        <f>B11</f>
        <v/>
      </c>
    </row>
    <row r="29">
      <c r="A29" s="6" t="inlineStr">
        <is>
          <t>Biler og maskiner</t>
        </is>
      </c>
      <c r="B29" s="13">
        <f>Kapitalbehov!B6</f>
        <v/>
      </c>
      <c r="C29" s="6" t="inlineStr">
        <is>
          <t>Langsiktig gjeld</t>
        </is>
      </c>
      <c r="D29" s="13">
        <f>B13</f>
        <v/>
      </c>
    </row>
    <row r="30">
      <c r="A30" s="6" t="inlineStr">
        <is>
          <t>Varelager</t>
        </is>
      </c>
      <c r="B30" s="13">
        <f>Kapitalbehov!B22</f>
        <v/>
      </c>
      <c r="C30" s="6" t="inlineStr">
        <is>
          <t>Leverandørgjeld</t>
        </is>
      </c>
      <c r="D30" s="13">
        <f>B16</f>
        <v/>
      </c>
    </row>
    <row r="31">
      <c r="A31" s="6" t="inlineStr">
        <is>
          <t>Kundefordringer</t>
        </is>
      </c>
      <c r="B31" s="13">
        <f>Kapitalbehov!B24</f>
        <v/>
      </c>
      <c r="C31" s="6" t="inlineStr">
        <is>
          <t>Annen kortsiktig gjeld</t>
        </is>
      </c>
      <c r="D31" s="13">
        <f>B17</f>
        <v/>
      </c>
    </row>
    <row r="32">
      <c r="A32" s="6" t="inlineStr">
        <is>
          <t>Kontanter og bankinnskudd</t>
        </is>
      </c>
      <c r="B32" s="13">
        <f>Kapitalbehov!B25</f>
        <v/>
      </c>
      <c r="C32" s="6" t="inlineStr"/>
    </row>
    <row r="33">
      <c r="A33" s="8" t="inlineStr">
        <is>
          <t>= SUM EIENDELER</t>
        </is>
      </c>
      <c r="B33" s="11">
        <f>SUM(B28:B32)</f>
        <v/>
      </c>
      <c r="C33" s="8" t="inlineStr">
        <is>
          <t>= SUM EGENKAPITAL OG GJELD</t>
        </is>
      </c>
      <c r="D33" s="11">
        <f>SUM(D28:D32)</f>
        <v/>
      </c>
      <c r="E33" s="6" t="inlineStr">
        <is>
          <t>Begge sider er det samme kapitalbehovet, sett fra hver sin kant.</t>
        </is>
      </c>
    </row>
    <row r="35">
      <c r="A35" s="4" t="inlineStr">
        <is>
          <t>Kontroll</t>
        </is>
      </c>
    </row>
    <row r="36">
      <c r="A36" s="6" t="inlineStr">
        <is>
          <t>Balanserer åpningsbalansen?</t>
        </is>
      </c>
      <c r="B36" s="16">
        <f>IF(ABS(B33-D33)&lt;1,"OK — eiendeler er lik egenkapital og gjeld","AVVIK: åpningsbalansen balanserer ikke")</f>
        <v/>
      </c>
    </row>
    <row r="37">
      <c r="A37" s="6" t="inlineStr">
        <is>
          <t>Summerer finansieringsplanen seg til kapitalbehovet?</t>
        </is>
      </c>
      <c r="B37" s="16">
        <f>IF(ABS(B11+B13+B15-B10)&lt;1,"OK — egenkapital, langsiktig og kortsiktig gjeld dekker kapitalbehovet","AVVIK: finansieringsplanen summerer seg ikke til kapitalbehovet")</f>
        <v/>
      </c>
    </row>
    <row r="38">
      <c r="A38" s="6" t="inlineStr">
        <is>
          <t>Er den gylne finansieringsregelen innfridd?</t>
        </is>
      </c>
      <c r="B38" s="16">
        <f>IF(B11+B13&gt;=B12-1,"OK — langsiktig kapital dekker anleggsmidlene og den varige delen av lageret","AVVIK: anleggsmidlene er delvis finansiert med kortsiktig gjeld — det er slik bedrifter går tomme for penger")</f>
        <v/>
      </c>
    </row>
    <row r="39">
      <c r="A39" s="6" t="inlineStr">
        <is>
          <t>Er det plass til annen kortsiktig gjeld?</t>
        </is>
      </c>
      <c r="B39" s="16">
        <f>IF(B17&gt;=0,"OK — leverandørkreditten får plass innenfor den kortsiktige gjelda","AVVIK: leverandørkreditten alene overstiger det kortsiktige lånebehovet — da må mer finansieres langsiktig")</f>
        <v/>
      </c>
    </row>
    <row r="41">
      <c r="A41" s="8" t="inlineStr">
        <is>
          <t>Prøv dette: sett egenkapitalen i B20 og se på B21 og B24. Det er oppgave A2.</t>
        </is>
      </c>
    </row>
    <row r="42">
      <c r="A42" s="3" t="inlineStr">
        <is>
          <t>Kilde: Bok 1 kap. 6.2 om finansieringsplanen og 6.3 om åpningsbalansen.</t>
        </is>
      </c>
    </row>
  </sheetData>
  <conditionalFormatting sqref="B36">
    <cfRule type="expression" priority="1" dxfId="0" stopIfTrue="0">
      <formula>LEFT(B36,5)="AVVIK"</formula>
    </cfRule>
  </conditionalFormatting>
  <conditionalFormatting sqref="B37">
    <cfRule type="expression" priority="2" dxfId="0" stopIfTrue="0">
      <formula>LEFT(B37,5)="AVVIK"</formula>
    </cfRule>
  </conditionalFormatting>
  <conditionalFormatting sqref="B38">
    <cfRule type="expression" priority="3" dxfId="0" stopIfTrue="0">
      <formula>LEFT(B38,5)="AVVIK"</formula>
    </cfRule>
  </conditionalFormatting>
  <conditionalFormatting sqref="B39">
    <cfRule type="expression" priority="4" dxfId="0" stopIfTrue="0">
      <formula>LEFT(B39,5)="AVVIK"</formula>
    </cfRule>
  </conditionalFormatting>
  <printOptions horizontalCentered="0"/>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87"/>
  <sheetViews>
    <sheetView showGridLines="0" workbookViewId="0">
      <selection activeCell="A1" sqref="A1"/>
    </sheetView>
  </sheetViews>
  <sheetFormatPr baseColWidth="8" defaultRowHeight="15"/>
  <cols>
    <col width="46" customWidth="1" min="1" max="1"/>
    <col width="18" customWidth="1" min="2" max="2"/>
    <col width="18" customWidth="1" min="3" max="3"/>
    <col width="18" customWidth="1" min="4" max="4"/>
    <col width="54" customWidth="1" min="5" max="5"/>
  </cols>
  <sheetData>
    <row r="1">
      <c r="A1" s="1" t="inlineStr">
        <is>
          <t>Tre scenarioer</t>
        </is>
      </c>
    </row>
    <row r="2">
      <c r="A2" s="2" t="inlineStr">
        <is>
          <t>Endre de gule cellene og se hva som skjer. Alle tall hentes fra de andre arkene.</t>
        </is>
      </c>
    </row>
    <row r="4">
      <c r="A4" s="4" t="inlineStr">
        <is>
          <t>Scenario A · anbudskunden krever lengre kredittid</t>
        </is>
      </c>
    </row>
    <row r="5">
      <c r="A5" s="3" t="inlineStr">
        <is>
          <t>Samme omsetning, samme kredittandel, samme lager. Bare betalingsfristen er en annen.</t>
        </is>
      </c>
    </row>
    <row r="7" ht="28" customHeight="1">
      <c r="A7" s="9" t="inlineStr"/>
      <c r="B7" s="9" t="inlineStr">
        <is>
          <t>Nordlys i dag</t>
        </is>
      </c>
      <c r="C7" s="9" t="inlineStr">
        <is>
          <t>Scenario A</t>
        </is>
      </c>
      <c r="D7" s="9" t="inlineStr"/>
      <c r="E7" s="9" t="inlineStr">
        <is>
          <t>Hva raden betyr</t>
        </is>
      </c>
    </row>
    <row r="8">
      <c r="A8" s="8" t="inlineStr">
        <is>
          <t>Kredittid, dager</t>
        </is>
      </c>
      <c r="B8" s="21">
        <f>Kapitalbehov!B23</f>
        <v/>
      </c>
      <c r="C8" s="14" t="n">
        <v>40</v>
      </c>
      <c r="E8" s="6" t="inlineStr">
        <is>
          <t>Den gule cellen er scenarioet. Endre den fritt.</t>
        </is>
      </c>
    </row>
    <row r="9">
      <c r="A9" s="6" t="inlineStr">
        <is>
          <t>Kundefordringer</t>
        </is>
      </c>
      <c r="B9" s="13">
        <f>Kapitalbehov!$B$17*B8/Kapitalbehov!$B$18</f>
        <v/>
      </c>
      <c r="C9" s="13">
        <f>Kapitalbehov!$B$17*C8/Kapitalbehov!$B$18</f>
        <v/>
      </c>
      <c r="E9" s="6" t="inlineStr">
        <is>
          <t>Kredittsalg inkl. mva. ganget med kredittiden delt på året.</t>
        </is>
      </c>
    </row>
    <row r="10">
      <c r="A10" s="8" t="inlineStr">
        <is>
          <t>= Kapitalbehov</t>
        </is>
      </c>
      <c r="B10" s="11">
        <f>Kapitalbehov!$B$31-Kapitalbehov!$B$24+B9</f>
        <v/>
      </c>
      <c r="C10" s="11">
        <f>Kapitalbehov!$B$31-Kapitalbehov!$B$24+C9</f>
        <v/>
      </c>
    </row>
    <row r="11">
      <c r="A11" s="6" t="inlineStr">
        <is>
          <t>Egenkapitalkrav</t>
        </is>
      </c>
      <c r="B11" s="13">
        <f>B10*Finansiering!$B$5</f>
        <v/>
      </c>
      <c r="C11" s="13">
        <f>C10*Finansiering!$B$5</f>
        <v/>
      </c>
    </row>
    <row r="12">
      <c r="A12" s="8" t="inlineStr">
        <is>
          <t>Mer av eiernes egne penger</t>
        </is>
      </c>
      <c r="C12" s="11">
        <f>C11-B11</f>
        <v/>
      </c>
      <c r="E12" s="6" t="inlineStr">
        <is>
          <t>Dette er prisen på å vinne den avtalen — før første faktura er sendt.</t>
        </is>
      </c>
    </row>
    <row r="13">
      <c r="A13" s="6" t="inlineStr">
        <is>
          <t>Én dag lengre kredittid binder</t>
        </is>
      </c>
      <c r="B13" s="13">
        <f>Kapitalbehov!B40</f>
        <v/>
      </c>
    </row>
    <row r="15">
      <c r="A15" s="4" t="inlineStr">
        <is>
          <t>Kontroll</t>
        </is>
      </c>
    </row>
    <row r="16">
      <c r="A16" s="6" t="inlineStr">
        <is>
          <t>Binder lengre kredittid mer kapital?</t>
        </is>
      </c>
      <c r="B16" s="16">
        <f>IF(AND(C8&gt;B8,C10&gt;B10),"OK — lengre kredittid binder mer kapital og krever mer egenkapital","AVVIK: sett en lengre kredittid i C8 enn den i B8")</f>
        <v/>
      </c>
    </row>
    <row r="19">
      <c r="A19" s="4" t="inlineStr">
        <is>
          <t>Scenario B · klasseoppgaven: dere har ikke nok egenkapital</t>
        </is>
      </c>
    </row>
    <row r="20">
      <c r="A20" s="3" t="inlineStr">
        <is>
          <t>Kari og Tom har det de har. Kapitalbehovet må ned til dem, ikke omvendt.</t>
        </is>
      </c>
    </row>
    <row r="22" ht="28" customHeight="1">
      <c r="A22" s="9" t="inlineStr"/>
      <c r="B22" s="9" t="inlineStr">
        <is>
          <t>Som planlagt</t>
        </is>
      </c>
      <c r="C22" s="9" t="inlineStr">
        <is>
          <t>Bilen leases</t>
        </is>
      </c>
      <c r="D22" s="9" t="inlineStr">
        <is>
          <t>+ kortere lagringstid</t>
        </is>
      </c>
      <c r="E22" s="9" t="inlineStr">
        <is>
          <t>Hva raden betyr</t>
        </is>
      </c>
    </row>
    <row r="23">
      <c r="A23" s="6" t="inlineStr">
        <is>
          <t>Anleggsmidler</t>
        </is>
      </c>
      <c r="B23" s="13">
        <f>Kapitalbehov!$B$7</f>
        <v/>
      </c>
      <c r="C23" s="13">
        <f>Kapitalbehov!$B$5</f>
        <v/>
      </c>
      <c r="D23" s="13">
        <f>Kapitalbehov!$B$5</f>
        <v/>
      </c>
      <c r="E23" s="6" t="inlineStr">
        <is>
          <t>Leasing tar servicebilen ut av anleggsmidlene.</t>
        </is>
      </c>
    </row>
    <row r="24">
      <c r="A24" s="8" t="inlineStr">
        <is>
          <t>Lagringstid, dager</t>
        </is>
      </c>
      <c r="B24" s="17">
        <f>Kapitalbehov!$B$21</f>
        <v/>
      </c>
      <c r="C24" s="17">
        <f>Kapitalbehov!$B$21</f>
        <v/>
      </c>
      <c r="D24" s="14" t="n">
        <v>14</v>
      </c>
      <c r="E24" s="6" t="inlineStr">
        <is>
          <t>Den gule cellen: hvor kort må lageret ligge?</t>
        </is>
      </c>
    </row>
    <row r="25">
      <c r="A25" s="6" t="inlineStr">
        <is>
          <t>Varelager</t>
        </is>
      </c>
      <c r="B25" s="13">
        <f>Kapitalbehov!$B$14*B24/Kapitalbehov!$B$18</f>
        <v/>
      </c>
      <c r="C25" s="13">
        <f>Kapitalbehov!$B$14*C24/Kapitalbehov!$B$18</f>
        <v/>
      </c>
      <c r="D25" s="13">
        <f>Kapitalbehov!$B$14*D24/Kapitalbehov!$B$18</f>
        <v/>
      </c>
    </row>
    <row r="26">
      <c r="A26" s="6" t="inlineStr">
        <is>
          <t>Kundefordringer</t>
        </is>
      </c>
      <c r="B26" s="13">
        <f>Kapitalbehov!$B$24</f>
        <v/>
      </c>
      <c r="C26" s="13">
        <f>Kapitalbehov!$B$24</f>
        <v/>
      </c>
      <c r="D26" s="13">
        <f>Kapitalbehov!$B$24</f>
        <v/>
      </c>
    </row>
    <row r="27">
      <c r="A27" s="6" t="inlineStr">
        <is>
          <t>Likviditetsreserve</t>
        </is>
      </c>
      <c r="B27" s="13">
        <f>Kapitalbehov!$B$25</f>
        <v/>
      </c>
      <c r="C27" s="13">
        <f>Kapitalbehov!$B$25</f>
        <v/>
      </c>
      <c r="D27" s="13">
        <f>Kapitalbehov!$B$25</f>
        <v/>
      </c>
    </row>
    <row r="28">
      <c r="A28" s="8" t="inlineStr">
        <is>
          <t>= Kapitalbehov</t>
        </is>
      </c>
      <c r="B28" s="11">
        <f>B23+B25+B26+B27</f>
        <v/>
      </c>
      <c r="C28" s="11">
        <f>C23+C25+C26+C27</f>
        <v/>
      </c>
      <c r="D28" s="11">
        <f>D23+D25+D26+D27</f>
        <v/>
      </c>
    </row>
    <row r="29">
      <c r="A29" s="6" t="inlineStr">
        <is>
          <t>Egenkapital eierne har</t>
        </is>
      </c>
      <c r="B29" s="13">
        <f>Finansiering!$B$20</f>
        <v/>
      </c>
      <c r="C29" s="13">
        <f>Finansiering!$B$20</f>
        <v/>
      </c>
      <c r="D29" s="13">
        <f>Finansiering!$B$20</f>
        <v/>
      </c>
    </row>
    <row r="30">
      <c r="A30" s="8" t="inlineStr">
        <is>
          <t>= Egenkapitalandel</t>
        </is>
      </c>
      <c r="B30" s="19">
        <f>B29/B28</f>
        <v/>
      </c>
      <c r="C30" s="19">
        <f>C29/C28</f>
        <v/>
      </c>
      <c r="D30" s="19">
        <f>D29/D28</f>
        <v/>
      </c>
    </row>
    <row r="31">
      <c r="A31" s="6" t="inlineStr">
        <is>
          <t>Bankens krav</t>
        </is>
      </c>
      <c r="B31" s="15">
        <f>Finansiering!$B$5</f>
        <v/>
      </c>
      <c r="C31" s="15">
        <f>Finansiering!$B$5</f>
        <v/>
      </c>
      <c r="D31" s="15">
        <f>Finansiering!$B$5</f>
        <v/>
      </c>
    </row>
    <row r="32">
      <c r="A32" s="6" t="inlineStr">
        <is>
          <t>Mangler mot kravet</t>
        </is>
      </c>
      <c r="B32" s="13">
        <f>B28*B31-B29</f>
        <v/>
      </c>
      <c r="C32" s="13">
        <f>C28*C31-C29</f>
        <v/>
      </c>
      <c r="D32" s="13">
        <f>D28*D31-D29</f>
        <v/>
      </c>
      <c r="E32" s="6" t="inlineStr">
        <is>
          <t>Negativt tall betyr at kravet er innfridd med god margin.</t>
        </is>
      </c>
    </row>
    <row r="33">
      <c r="A33" s="6" t="inlineStr">
        <is>
          <t>Dom</t>
        </is>
      </c>
      <c r="B33" s="20">
        <f>IF(B30&gt;=B31,"Over kravet","Under kravet")</f>
        <v/>
      </c>
      <c r="C33" s="20">
        <f>IF(C30&gt;=C31,"Over kravet","Under kravet")</f>
        <v/>
      </c>
      <c r="D33" s="20">
        <f>IF(D30&gt;=D31,"Over kravet","Under kravet")</f>
        <v/>
      </c>
    </row>
    <row r="35">
      <c r="A35" s="4" t="inlineStr">
        <is>
          <t>Kontroll</t>
        </is>
      </c>
    </row>
    <row r="36">
      <c r="A36" s="6" t="inlineStr">
        <is>
          <t>Løser leasing alene problemet?</t>
        </is>
      </c>
      <c r="B36" s="16">
        <f>IF(C30&lt;C31,"OK — leasing løfter egenkapitalandelen, men ikke helt opp til kravet. Én knapp alene holder ikke","AVVIK: leasing alene skal ikke være nok — da mister klasseoppgaven poenget")</f>
        <v/>
      </c>
    </row>
    <row r="37">
      <c r="A37" s="3" t="inlineStr">
        <is>
          <t>Her SKAL det stå OK selv om kravet ikke er innfridd i kolonne C. Det er hele poenget i klasseoppgaven: det trengs to grep, ikke ett.</t>
        </is>
      </c>
    </row>
    <row r="38">
      <c r="A38" s="6" t="inlineStr">
        <is>
          <t>Kommer leasing pluss kortere lagringstid over kravet?</t>
        </is>
      </c>
      <c r="B38" s="16">
        <f>IF(D30&gt;=D31,"OK — de to grepene sammen løfter dere over bankens krav","AVVIK: sett lagringstida i D24 lavere — dere er fortsatt under kravet")</f>
        <v/>
      </c>
    </row>
    <row r="41">
      <c r="A41" s="4" t="inlineStr">
        <is>
          <t>Scenario C · full ordrebok, tom konto (2026)</t>
        </is>
      </c>
    </row>
    <row r="42">
      <c r="A42" s="3" t="inlineStr">
        <is>
          <t>Oppgave 5 i øvingsheftet. Sju år etter oppstarten. Regn først, drøft etterpå.</t>
        </is>
      </c>
    </row>
    <row r="44">
      <c r="A44" s="4" t="inlineStr">
        <is>
          <t>Slik står Nordlys i dag</t>
        </is>
      </c>
    </row>
    <row r="45">
      <c r="A45" s="6" t="inlineStr">
        <is>
          <t>Salgsinntekt inkl. mva.</t>
        </is>
      </c>
      <c r="B45" s="10" t="n">
        <v>28000000</v>
      </c>
    </row>
    <row r="46">
      <c r="A46" s="6" t="inlineStr">
        <is>
          <t>Varekostnad for året</t>
        </is>
      </c>
      <c r="B46" s="10" t="n">
        <v>8390000</v>
      </c>
    </row>
    <row r="47">
      <c r="A47" s="6" t="inlineStr">
        <is>
          <t>Kundefordringer</t>
        </is>
      </c>
      <c r="B47" s="10" t="n">
        <v>4200000</v>
      </c>
    </row>
    <row r="48">
      <c r="A48" s="6" t="inlineStr">
        <is>
          <t>Varelager</t>
        </is>
      </c>
      <c r="B48" s="10" t="n">
        <v>1400000</v>
      </c>
    </row>
    <row r="49">
      <c r="A49" s="6" t="inlineStr">
        <is>
          <t>Leverandørgjeld</t>
        </is>
      </c>
      <c r="B49" s="10" t="n">
        <v>2100000</v>
      </c>
    </row>
    <row r="50">
      <c r="A50" s="6" t="inlineStr">
        <is>
          <t>Bankinnskudd</t>
        </is>
      </c>
      <c r="B50" s="10" t="n">
        <v>1000000</v>
      </c>
    </row>
    <row r="51">
      <c r="A51" s="6" t="inlineStr">
        <is>
          <t>Kassekreditt trukket</t>
        </is>
      </c>
      <c r="B51" s="10" t="n">
        <v>300000</v>
      </c>
    </row>
    <row r="52">
      <c r="A52" s="6" t="inlineStr">
        <is>
          <t>Kassekredittramme</t>
        </is>
      </c>
      <c r="B52" s="10" t="n">
        <v>1500000</v>
      </c>
    </row>
    <row r="53">
      <c r="A53" s="6" t="inlineStr">
        <is>
          <t>Ubenyttet ramme</t>
        </is>
      </c>
      <c r="B53" s="13">
        <f>B52-B51</f>
        <v/>
      </c>
      <c r="E53" s="6" t="inlineStr">
        <is>
          <t>Dette er pengene Kari allerede har, og som hun ikke bruker.</t>
        </is>
      </c>
    </row>
    <row r="55">
      <c r="A55" s="4" t="inlineStr">
        <is>
          <t>Hvor lenge pengene blir stående</t>
        </is>
      </c>
    </row>
    <row r="56">
      <c r="A56" s="6" t="inlineStr">
        <is>
          <t>Kundekredittid i praksis, dager</t>
        </is>
      </c>
      <c r="B56" s="22">
        <f>B47*Kapitalbehov!B18/B45</f>
        <v/>
      </c>
      <c r="E56" s="6" t="inlineStr">
        <is>
          <t>Ikke fristen som står på fakturaen — dagene kundene faktisk bruker.</t>
        </is>
      </c>
    </row>
    <row r="57">
      <c r="A57" s="6" t="inlineStr">
        <is>
          <t>Lagringstid i praksis, dager</t>
        </is>
      </c>
      <c r="B57" s="23">
        <f>B48*Kapitalbehov!B18/B46</f>
        <v/>
      </c>
    </row>
    <row r="58">
      <c r="A58" s="6" t="inlineStr">
        <is>
          <t>Leverandørkreditt i praksis, dager</t>
        </is>
      </c>
      <c r="B58" s="23">
        <f>B49*Kapitalbehov!B18/(B46*(1+Kapitalbehov!B11))</f>
        <v/>
      </c>
    </row>
    <row r="59">
      <c r="A59" s="8" t="inlineStr">
        <is>
          <t>= Netto bundet i driften</t>
        </is>
      </c>
      <c r="B59" s="11">
        <f>B48+B47-B49</f>
        <v/>
      </c>
      <c r="E59" s="6" t="inlineStr">
        <is>
          <t>Lager pluss fordringer, minus det leverandøren låner deg. Dette er pengene som er borte fra kontoen.</t>
        </is>
      </c>
    </row>
    <row r="60">
      <c r="A60" s="6" t="inlineStr">
        <is>
          <t>Én dags kundekredittid binder</t>
        </is>
      </c>
      <c r="B60" s="13">
        <f>B45/Kapitalbehov!B18</f>
        <v/>
      </c>
    </row>
    <row r="62">
      <c r="A62" s="4" t="inlineStr">
        <is>
          <t>Forslag 1 · be banken om større ramme</t>
        </is>
      </c>
    </row>
    <row r="63">
      <c r="A63" s="6" t="inlineStr">
        <is>
          <t>Økning i rammen Kari vil be om</t>
        </is>
      </c>
      <c r="B63" s="10" t="n">
        <v>1500000</v>
      </c>
    </row>
    <row r="64">
      <c r="A64" s="6" t="inlineStr">
        <is>
          <t>Kassekredittrente</t>
        </is>
      </c>
      <c r="B64" s="12" t="n">
        <v>0.08</v>
      </c>
    </row>
    <row r="65">
      <c r="A65" s="6" t="inlineStr">
        <is>
          <t>Provisjon av ubenyttet ramme</t>
        </is>
      </c>
      <c r="B65" s="12" t="n">
        <v>0.005</v>
      </c>
    </row>
    <row r="66">
      <c r="A66" s="8" t="inlineStr">
        <is>
          <t>Hva økningen koster hvis den brukes fullt ut</t>
        </is>
      </c>
      <c r="B66" s="11">
        <f>B63*B64+B63*B65</f>
        <v/>
      </c>
      <c r="E66" s="6" t="inlineStr">
        <is>
          <t>Renter og provisjon. Og pengene er fortsatt bundet hos kundene.</t>
        </is>
      </c>
    </row>
    <row r="68">
      <c r="A68" s="4" t="inlineStr">
        <is>
          <t>Forslag 2 · hent inn pengene som allerede er dine</t>
        </is>
      </c>
    </row>
    <row r="69">
      <c r="A69" s="6" t="inlineStr">
        <is>
          <t>Mål for kundekredittiden, dager</t>
        </is>
      </c>
      <c r="B69" s="14" t="n">
        <v>30</v>
      </c>
      <c r="E69" s="6" t="inlineStr">
        <is>
          <t>Endre denne og se hvor mye som løsner.</t>
        </is>
      </c>
    </row>
    <row r="70">
      <c r="A70" s="6" t="inlineStr">
        <is>
          <t>Kundefordringer ved målet</t>
        </is>
      </c>
      <c r="B70" s="13">
        <f>B45*B69/Kapitalbehov!B18</f>
        <v/>
      </c>
    </row>
    <row r="71">
      <c r="A71" s="8" t="inlineStr">
        <is>
          <t>= Frigjort kapital</t>
        </is>
      </c>
      <c r="B71" s="11">
        <f>B47-B70</f>
        <v/>
      </c>
    </row>
    <row r="72">
      <c r="A72" s="6" t="inlineStr">
        <is>
          <t>Spart rente hvis pengene betaler ned kassekreditten</t>
        </is>
      </c>
      <c r="B72" s="13">
        <f>B71*B64</f>
        <v/>
      </c>
    </row>
    <row r="73">
      <c r="A73" s="6" t="inlineStr">
        <is>
          <t>Frigjort kapital mot ubenyttet ramme</t>
        </is>
      </c>
      <c r="B73" s="11">
        <f>B71-B53</f>
        <v/>
      </c>
      <c r="E73" s="6" t="inlineStr">
        <is>
          <t>Positivt tall: å hente inn pengene gir mer luft enn hele den ubenyttede rammen.</t>
        </is>
      </c>
    </row>
    <row r="75">
      <c r="A75" s="4" t="inlineStr">
        <is>
          <t>Og så kommer veksten</t>
        </is>
      </c>
    </row>
    <row r="76">
      <c r="A76" s="6" t="inlineStr">
        <is>
          <t>Budsjettert salgsinntekt neste år, uten mva.</t>
        </is>
      </c>
      <c r="B76" s="10" t="n">
        <v>24000000</v>
      </c>
    </row>
    <row r="77">
      <c r="A77" s="6" t="inlineStr">
        <is>
          <t>Vekst i omsetningen</t>
        </is>
      </c>
      <c r="B77" s="15">
        <f>B76/(B45/(1+Kapitalbehov!B11))-1</f>
        <v/>
      </c>
    </row>
    <row r="78">
      <c r="A78" s="8" t="inlineStr">
        <is>
          <t>Netto bundet i driften ved samme dager</t>
        </is>
      </c>
      <c r="B78" s="11">
        <f>B59*(1+B77)</f>
        <v/>
      </c>
    </row>
    <row r="79">
      <c r="A79" s="6" t="inlineStr">
        <is>
          <t>Mer kapital veksten binder</t>
        </is>
      </c>
      <c r="B79" s="13">
        <f>B78-B59</f>
        <v/>
      </c>
      <c r="E79" s="6" t="inlineStr">
        <is>
          <t>Vekst koster penger. En bedrift kan vokse seg konkurs med full ordrebok.</t>
        </is>
      </c>
    </row>
    <row r="81">
      <c r="A81" s="4" t="inlineStr">
        <is>
          <t>Kontroll</t>
        </is>
      </c>
    </row>
    <row r="82">
      <c r="A82" s="6" t="inlineStr">
        <is>
          <t>Er det kredittiden som er problemet?</t>
        </is>
      </c>
      <c r="B82" s="16">
        <f>IF(B71&gt;B53,"OK — å hente kredittiden ned til målet frigjør mer enn hele den ubenyttede kassekredittrammen. Problemet er ikke rammen","AVVIK: med dette målet frigjør kortere kredittid mindre enn den ubenyttede rammen — sett et strammere mål i B69")</f>
        <v/>
      </c>
    </row>
    <row r="83">
      <c r="A83" s="6" t="inlineStr">
        <is>
          <t>Er kredittiden lengre enn den avtalte fristen?</t>
        </is>
      </c>
      <c r="B83" s="16">
        <f>IF(B56&gt;Kapitalbehov!B23,"OK — kundene bruker lengre tid enn fristen dere har avtalt. Det er der pengene ligger","AVVIK: kundene betaler innenfor fristen — da må forklaringen på tom konto ligge et annet sted")</f>
        <v/>
      </c>
    </row>
    <row r="84">
      <c r="A84" s="6" t="inlineStr">
        <is>
          <t>Dekker arbeidskapitalen det som er bundet i driften?</t>
        </is>
      </c>
      <c r="B84" s="16">
        <f>IF(B59&gt;B50+B53,"AVVIK: det som er bundet i lager og fordringer er større enn kontanter og ubenyttet ramme til sammen — kontoen går tom før året er omme","OK — det som er bundet i driften dekkes av kontanter og ubenyttet ramme")</f>
        <v/>
      </c>
    </row>
    <row r="85">
      <c r="A85" s="3" t="inlineStr">
        <is>
          <t>Her SKAL det stå AVVIK med tallene som ligger inne. Det er hele saken: pengene finnes, men de står hos kundene og på lageret.</t>
        </is>
      </c>
    </row>
    <row r="87">
      <c r="A87" s="3" t="inlineStr">
        <is>
          <t>Kilde: Bok 1 kap. 6.1.3 om kundefordringer og 6.5 om kassekreditt. Tallene for 2026 er Nordlys Elektro AS' eget regnskap, det samme du leser i kapittel 3 og budsjetterer videre på i kapittel 9. Bransjetall: NHO Elektro, Lønnsomhetsrapport 2025, gjengitt i Elektro 24-7 19.08.2026 (hentet 10.09.2026). De 809 er bedriftene i datagrunnlaget, ikke bransjen. NHO Elektro oppgir ikke svarprosent.</t>
        </is>
      </c>
    </row>
  </sheetData>
  <conditionalFormatting sqref="B16">
    <cfRule type="expression" priority="1" dxfId="0" stopIfTrue="0">
      <formula>LEFT(B16,5)="AVVIK"</formula>
    </cfRule>
  </conditionalFormatting>
  <conditionalFormatting sqref="B36">
    <cfRule type="expression" priority="2" dxfId="0" stopIfTrue="0">
      <formula>LEFT(B36,5)="AVVIK"</formula>
    </cfRule>
  </conditionalFormatting>
  <conditionalFormatting sqref="B38">
    <cfRule type="expression" priority="3" dxfId="0" stopIfTrue="0">
      <formula>LEFT(B38,5)="AVVIK"</formula>
    </cfRule>
  </conditionalFormatting>
  <conditionalFormatting sqref="B82">
    <cfRule type="expression" priority="4" dxfId="0" stopIfTrue="0">
      <formula>LEFT(B82,5)="AVVIK"</formula>
    </cfRule>
  </conditionalFormatting>
  <conditionalFormatting sqref="B83">
    <cfRule type="expression" priority="5" dxfId="0" stopIfTrue="0">
      <formula>LEFT(B83,5)="AVVIK"</formula>
    </cfRule>
  </conditionalFormatting>
  <conditionalFormatting sqref="B84">
    <cfRule type="expression" priority="6" dxfId="0" stopIfTrue="0">
      <formula>LEFT(B84,5)="AVVIK"</formula>
    </cfRule>
  </conditionalFormatting>
  <printOptions horizontalCentered="0"/>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44" customWidth="1" min="1" max="1"/>
    <col width="16" customWidth="1" min="2" max="2"/>
    <col width="14" customWidth="1" min="3" max="3"/>
    <col width="56" customWidth="1" min="4" max="4"/>
  </cols>
  <sheetData>
    <row r="1">
      <c r="A1" s="1" t="inlineStr">
        <is>
          <t>Din egen bedrift</t>
        </is>
      </c>
    </row>
    <row r="2">
      <c r="A2" s="2" t="inlineStr">
        <is>
          <t>Samme regnestykke, ingen tall. Fyll inn de gule cellene.</t>
        </is>
      </c>
    </row>
    <row r="4">
      <c r="A4" s="4" t="inlineStr">
        <is>
          <t>1 · Investeringene</t>
        </is>
      </c>
    </row>
    <row r="5">
      <c r="A5" s="6" t="inlineStr">
        <is>
          <t>Verktøy, utstyr og inventar</t>
        </is>
      </c>
      <c r="B5" s="10" t="n">
        <v>0</v>
      </c>
      <c r="D5" s="6" t="inlineStr">
        <is>
          <t>Alt du kjøper og eier.</t>
        </is>
      </c>
    </row>
    <row r="6">
      <c r="A6" s="6" t="inlineStr">
        <is>
          <t>Biler og maskiner</t>
        </is>
      </c>
      <c r="B6" s="10" t="n">
        <v>0</v>
      </c>
      <c r="D6" s="6" t="inlineStr">
        <is>
          <t>Sett null hvis du leaser.</t>
        </is>
      </c>
    </row>
    <row r="7">
      <c r="A7" s="8" t="inlineStr">
        <is>
          <t>= Sum anleggsmidler</t>
        </is>
      </c>
      <c r="B7" s="11">
        <f>B5+B6</f>
        <v/>
      </c>
    </row>
    <row r="9">
      <c r="A9" s="4" t="inlineStr">
        <is>
          <t>2 · Forutsetningene</t>
        </is>
      </c>
    </row>
    <row r="10">
      <c r="A10" s="6" t="inlineStr">
        <is>
          <t>Budsjettert salg første år, inkl. mva.</t>
        </is>
      </c>
      <c r="B10" s="10" t="n">
        <v>0</v>
      </c>
    </row>
    <row r="11">
      <c r="A11" s="6" t="inlineStr">
        <is>
          <t>Merverdiavgiftssats</t>
        </is>
      </c>
      <c r="B11" s="12" t="n">
        <v>0.25</v>
      </c>
    </row>
    <row r="12">
      <c r="A12" s="6" t="inlineStr">
        <is>
          <t>Salgsinntekt uten mva.</t>
        </is>
      </c>
      <c r="B12" s="13">
        <f>B10/(1+B11)</f>
        <v/>
      </c>
    </row>
    <row r="13">
      <c r="A13" s="6" t="inlineStr">
        <is>
          <t>Budsjettert bruttofortjeneste</t>
        </is>
      </c>
      <c r="B13" s="12" t="n">
        <v>0</v>
      </c>
    </row>
    <row r="14">
      <c r="A14" s="8" t="inlineStr">
        <is>
          <t>= Varekostnad</t>
        </is>
      </c>
      <c r="B14" s="11">
        <f>B12*(1-B13)</f>
        <v/>
      </c>
    </row>
    <row r="15">
      <c r="A15" s="6" t="inlineStr">
        <is>
          <t>Varekjøp inkl. mva.</t>
        </is>
      </c>
      <c r="B15" s="13">
        <f>B14*(1+B11)</f>
        <v/>
      </c>
    </row>
    <row r="16">
      <c r="A16" s="6" t="inlineStr">
        <is>
          <t>Andel kredittsalg</t>
        </is>
      </c>
      <c r="B16" s="12" t="n">
        <v>0</v>
      </c>
    </row>
    <row r="17">
      <c r="A17" s="6" t="inlineStr">
        <is>
          <t>Kredittsalg inkl. mva.</t>
        </is>
      </c>
      <c r="B17" s="13">
        <f>B10*B16</f>
        <v/>
      </c>
    </row>
    <row r="18">
      <c r="A18" s="6" t="inlineStr">
        <is>
          <t>Dager i året</t>
        </is>
      </c>
      <c r="B18" s="14" t="n">
        <v>360</v>
      </c>
    </row>
    <row r="20">
      <c r="A20" s="4" t="inlineStr">
        <is>
          <t>3 · Kapitalbindingen</t>
        </is>
      </c>
    </row>
    <row r="21">
      <c r="A21" s="6" t="inlineStr">
        <is>
          <t>Lagringstid, dager</t>
        </is>
      </c>
      <c r="B21" s="14" t="n">
        <v>0</v>
      </c>
    </row>
    <row r="22">
      <c r="A22" s="6" t="inlineStr">
        <is>
          <t>Varelager</t>
        </is>
      </c>
      <c r="B22" s="13">
        <f>B14*B21/B18</f>
        <v/>
      </c>
    </row>
    <row r="23">
      <c r="A23" s="6" t="inlineStr">
        <is>
          <t>Kredittid til kundene, dager</t>
        </is>
      </c>
      <c r="B23" s="14" t="n">
        <v>0</v>
      </c>
    </row>
    <row r="24">
      <c r="A24" s="6" t="inlineStr">
        <is>
          <t>Kundefordringer</t>
        </is>
      </c>
      <c r="B24" s="13">
        <f>B17*B23/B18</f>
        <v/>
      </c>
    </row>
    <row r="25">
      <c r="A25" s="6" t="inlineStr">
        <is>
          <t>Likviditetsreserve</t>
        </is>
      </c>
      <c r="B25" s="10" t="n">
        <v>0</v>
      </c>
    </row>
    <row r="26">
      <c r="A26" s="8" t="inlineStr">
        <is>
          <t>= Driftskapitalbehov</t>
        </is>
      </c>
      <c r="B26" s="11">
        <f>B22+B24+B25</f>
        <v/>
      </c>
    </row>
    <row r="28">
      <c r="A28" s="4" t="inlineStr">
        <is>
          <t>4 · Kapitalbehov og finansiering</t>
        </is>
      </c>
    </row>
    <row r="29">
      <c r="A29" s="8" t="inlineStr">
        <is>
          <t>= KAPITALBEHOV</t>
        </is>
      </c>
      <c r="B29" s="11">
        <f>B7+B26</f>
        <v/>
      </c>
    </row>
    <row r="30">
      <c r="A30" s="6" t="inlineStr">
        <is>
          <t>Egenkapitalandel, krav</t>
        </is>
      </c>
      <c r="B30" s="12" t="n">
        <v>0.3</v>
      </c>
    </row>
    <row r="31">
      <c r="A31" s="6" t="inlineStr">
        <is>
          <t>Egenkapital</t>
        </is>
      </c>
      <c r="B31" s="13">
        <f>B29*B30</f>
        <v/>
      </c>
    </row>
    <row r="32">
      <c r="A32" s="6" t="inlineStr">
        <is>
          <t>Krav til langsiktig kapital</t>
        </is>
      </c>
      <c r="B32" s="13">
        <f>B7+B22*0.5</f>
        <v/>
      </c>
    </row>
    <row r="33">
      <c r="A33" s="6" t="inlineStr">
        <is>
          <t>Langsiktig gjeld, minimum</t>
        </is>
      </c>
      <c r="B33" s="13">
        <f>B32-B31</f>
        <v/>
      </c>
    </row>
    <row r="34">
      <c r="A34" s="6" t="inlineStr">
        <is>
          <t>Kortsiktig gjeld, maksimum</t>
        </is>
      </c>
      <c r="B34" s="13">
        <f>B29-B31-B33</f>
        <v/>
      </c>
    </row>
    <row r="35">
      <c r="A35" s="6" t="inlineStr">
        <is>
          <t>Egenkapital du faktisk har</t>
        </is>
      </c>
      <c r="B35" s="10" t="n">
        <v>0</v>
      </c>
    </row>
    <row r="36">
      <c r="A36" s="6" t="inlineStr">
        <is>
          <t>Egenkapitalandel det gir</t>
        </is>
      </c>
      <c r="B36" s="19">
        <f>IF(B29=0,"",B35/B29)</f>
        <v/>
      </c>
    </row>
    <row r="38">
      <c r="A38" s="4" t="inlineStr">
        <is>
          <t>Kontroll</t>
        </is>
      </c>
    </row>
    <row r="39">
      <c r="A39" s="6" t="inlineStr">
        <is>
          <t>Er tallene fylt inn?</t>
        </is>
      </c>
      <c r="B39" s="16">
        <f>IF(B10=0,"AVVIK: fyll inn budsjettert salg i B10 før du leser av noe annet",IF(B29&lt;=0,"AVVIK: kapitalbehovet er null — fyll inn investeringene og forutsetningene","OK — arket regner på dine egne tall"))</f>
        <v/>
      </c>
    </row>
    <row r="40">
      <c r="A40" s="3" t="inlineStr">
        <is>
          <t>Dette arket starter tomt, så kontrollen står på AVVIK helt til du har fylt inn tallene.</t>
        </is>
      </c>
    </row>
    <row r="41">
      <c r="A41" s="6" t="inlineStr">
        <is>
          <t>Summerer finansieringen seg til kapitalbehovet?</t>
        </is>
      </c>
      <c r="B41" s="16">
        <f>IF(ABS(B31+B33+B34-B29)&lt;1,"OK — finansieringen dekker kapitalbehovet","AVVIK: finansieringsplanen summerer seg ikke til kapitalbehovet")</f>
        <v/>
      </c>
    </row>
    <row r="43">
      <c r="A43" s="3" t="inlineStr">
        <is>
          <t>Ta arket med på jobb. Kapitalbehovet er den samme regningen enten bedriften er ett år eller tjue år gammel.</t>
        </is>
      </c>
    </row>
  </sheetData>
  <conditionalFormatting sqref="B39">
    <cfRule type="expression" priority="1" dxfId="0" stopIfTrue="0">
      <formula>LEFT(B39,5)="AVVIK"</formula>
    </cfRule>
  </conditionalFormatting>
  <conditionalFormatting sqref="B41">
    <cfRule type="expression" priority="2" dxfId="0" stopIfTrue="0">
      <formula>LEFT(B41,5)="AVVIK"</formula>
    </cfRule>
  </conditionalFormatting>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2026-09-11T09:29:39Z</dcterms:created>
  <dcterms:modified xmlns:dcterms="http://purl.org/dc/terms/" xmlns:xsi="http://www.w3.org/2001/XMLSchema-instance" xsi:type="dcterms:W3CDTF">2026-10-02T10:04:16Z</dcterms:modified>
</cp:coreProperties>
</file>