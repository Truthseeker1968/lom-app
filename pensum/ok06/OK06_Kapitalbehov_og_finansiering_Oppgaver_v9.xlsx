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 sheetId="1" state="visible" r:id="rId1"/>
    <sheet xmlns:r="http://schemas.openxmlformats.org/officeDocument/2006/relationships" name="1A" sheetId="2" state="visible" r:id="rId2"/>
    <sheet xmlns:r="http://schemas.openxmlformats.org/officeDocument/2006/relationships" name="1B" sheetId="3" state="visible" r:id="rId3"/>
    <sheet xmlns:r="http://schemas.openxmlformats.org/officeDocument/2006/relationships" name="1C" sheetId="4" state="visible" r:id="rId4"/>
    <sheet xmlns:r="http://schemas.openxmlformats.org/officeDocument/2006/relationships" name="Fasit"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mbria"/>
      <b val="1"/>
      <color rgb="002F4A6D"/>
      <sz val="16"/>
    </font>
    <font>
      <name val="Calibri"/>
      <sz val="11"/>
    </font>
    <font>
      <name val="Calibri"/>
      <b val="1"/>
      <sz val="11"/>
    </font>
    <font>
      <name val="Calibri"/>
      <i val="1"/>
      <color rgb="00595959"/>
      <sz val="10"/>
    </font>
    <font>
      <name val="Calibri"/>
      <b val="1"/>
      <color rgb="00FFFFFF"/>
      <sz val="11"/>
    </font>
    <font>
      <name val="Calibri"/>
      <family val="2"/>
      <b val="1"/>
      <color theme="1"/>
      <sz val="11"/>
      <scheme val="minor"/>
    </font>
    <font>
      <name val="Calibri"/>
      <sz val="10.5"/>
    </font>
    <font>
      <name val="Calibri"/>
      <i val="1"/>
      <color rgb="002F4A6D"/>
      <sz val="10.5"/>
    </font>
  </fonts>
  <fills count="6">
    <fill>
      <patternFill/>
    </fill>
    <fill>
      <patternFill patternType="gray125"/>
    </fill>
    <fill>
      <patternFill patternType="solid">
        <fgColor rgb="00DDEBF7"/>
      </patternFill>
    </fill>
    <fill>
      <patternFill patternType="solid">
        <fgColor rgb="002F4A6D"/>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left" vertical="center"/>
    </xf>
    <xf numFmtId="0" fontId="5" fillId="3" borderId="1" applyAlignment="1" pivotButton="0" quotePrefix="0" xfId="0">
      <alignment horizontal="right" vertical="center"/>
    </xf>
    <xf numFmtId="0" fontId="0" fillId="0" borderId="1" pivotButton="0" quotePrefix="0" xfId="0"/>
    <xf numFmtId="3" fontId="0" fillId="0" borderId="1" applyAlignment="1" pivotButton="0" quotePrefix="0" xfId="0">
      <alignment horizontal="right" vertical="center"/>
    </xf>
    <xf numFmtId="3" fontId="0" fillId="4" borderId="1" applyAlignment="1" pivotButton="0" quotePrefix="0" xfId="0">
      <alignment horizontal="right" vertical="center"/>
    </xf>
    <xf numFmtId="0" fontId="6" fillId="0"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0" fillId="4" borderId="1" pivotButton="0" quotePrefix="0" xfId="0"/>
    <xf numFmtId="0" fontId="7" fillId="0" borderId="0" applyAlignment="1" pivotButton="0" quotePrefix="0" xfId="0">
      <alignment vertical="top" wrapText="1"/>
    </xf>
    <xf numFmtId="0" fontId="4" fillId="0" borderId="0" pivotButton="0" quotePrefix="0" xfId="0"/>
    <xf numFmtId="0" fontId="0" fillId="4" borderId="1" applyAlignment="1" pivotButton="0" quotePrefix="0" xfId="0">
      <alignment vertical="top" wrapText="1"/>
    </xf>
    <xf numFmtId="0" fontId="8" fillId="0" borderId="0" applyAlignment="1" pivotButton="0" quotePrefix="0" xfId="0">
      <alignment vertical="top" wrapText="1"/>
    </xf>
    <xf numFmtId="0" fontId="3" fillId="0" borderId="0" pivotButton="0" quotePrefix="0" xfId="0"/>
    <xf numFmtId="0" fontId="0" fillId="2" borderId="0" applyAlignment="1" pivotButton="0" quotePrefix="0" xfId="0">
      <alignment vertical="top" wrapText="1"/>
    </xf>
    <xf numFmtId="3" fontId="0" fillId="5" borderId="1" applyAlignment="1" pivotButton="0" quotePrefix="0" xfId="0">
      <alignment horizontal="right" vertical="center"/>
    </xf>
    <xf numFmtId="1" fontId="0" fillId="4" borderId="1" applyAlignment="1" pivotButton="0" quotePrefix="0" xfId="0">
      <alignment horizontal="right" vertical="center"/>
    </xf>
    <xf numFmtId="164" fontId="0" fillId="4" borderId="1" applyAlignment="1" pivotButton="0" quotePrefix="0" xfId="0">
      <alignment horizontal="right" vertical="center"/>
    </xf>
    <xf numFmtId="2" fontId="0" fillId="4" borderId="1" applyAlignment="1" pivotButton="0" quotePrefix="0" xfId="0">
      <alignment horizontal="right" vertical="center"/>
    </xf>
    <xf numFmtId="0" fontId="1" fillId="0" borderId="0" pivotButton="0" quotePrefix="0" xfId="0"/>
    <xf numFmtId="0" fontId="5" fillId="3" borderId="1" pivotButton="0" quotePrefix="0" xfId="0"/>
    <xf numFmtId="0" fontId="0" fillId="0" borderId="1" applyAlignment="1" pivotButton="0" quotePrefix="0" xfId="0">
      <alignment vertical="top" wrapText="1"/>
    </xf>
  </cellXfs>
  <cellStyles count="1">
    <cellStyle name="Normal" xfId="0" builtinId="0" hidden="0"/>
  </cellStyles>
  <dxfs count="3">
    <dxf>
      <fill>
        <patternFill patternType="solid">
          <fgColor rgb="00E2EFDA"/>
        </patternFill>
      </fill>
    </dxf>
    <dxf>
      <fill>
        <patternFill patternType="solid">
          <fgColor rgb="00F8CBAD"/>
        </patternFill>
      </fill>
    </dxf>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B18"/>
  <sheetViews>
    <sheetView workbookViewId="0">
      <selection activeCell="A1" sqref="A1"/>
    </sheetView>
  </sheetViews>
  <sheetFormatPr baseColWidth="8" defaultRowHeight="15"/>
  <cols>
    <col width="3" customWidth="1" min="1" max="1"/>
    <col width="110" customWidth="1" min="2" max="2"/>
  </cols>
  <sheetData>
    <row r="2" ht="26" customHeight="1">
      <c r="B2" s="1" t="inlineStr">
        <is>
          <t>Kapitalbehov og finansiering: oppgaver til kapittel 6</t>
        </is>
      </c>
    </row>
    <row r="3" ht="30" customHeight="1">
      <c r="B3" s="2" t="inlineStr">
        <is>
          <t>Økonomistyring for LØM-emnet (Hjertnes og Skorpen), kapittel 6. Versjon 9, november 2026. Nordlys Elektro AS og Fjell Elektro AS er konstruerte casebedrifter; tallene er faktaarkene.</t>
        </is>
      </c>
    </row>
    <row r="5" ht="15" customHeight="1">
      <c r="B5" s="3" t="inlineStr">
        <is>
          <t>Slik bruker du arbeidsboka</t>
        </is>
      </c>
    </row>
    <row r="6" ht="45" customHeight="1">
      <c r="B6" s="2" t="inlineStr">
        <is>
          <t>Hver fane er én oppgave. Øverst på fanen står situasjonen, så begrepene og tallene du trenger, så oppgaven trinn for trinn, og til slutt svarfeltene. Alt du trenger for å løse oppgaven, står på fanen. Du kan jobbe alene, i par eller i gruppe; det velger du selv.</t>
        </is>
      </c>
    </row>
    <row r="7" ht="30" customHeight="1">
      <c r="B7" s="2" t="inlineStr">
        <is>
          <t>Fargene forteller hva du skal gjøre. Gule celler fyller du inn selv. Hvite celler er tall som er gitt. Grønne celler regner arket ut for deg, og dem skal du ikke endre.</t>
        </is>
      </c>
    </row>
    <row r="8" ht="45" customHeight="1">
      <c r="B8" s="4" t="inlineStr">
        <is>
          <t>Du trenger ingen kalkulator. Regn i Excel: skriv likhetstegn og regnestykket rett i den gule cellen, for eksempel =2100000/7300, og trykk Enter. Arket godtar svaret med eller uten desimaler, og du trenger ikke runde av selv. Prosent kan skrives som 25,9 %, 0,259 eller 25,9.</t>
        </is>
      </c>
    </row>
    <row r="9" ht="45" customHeight="1">
      <c r="B9" s="2" t="inlineStr">
        <is>
          <t>Ved siden av hvert svarfelt står en sjekk. Grønn betyr riktig, og da står regnestykket der, så du ser hvorfor. Rød betyr ikke riktig ennå: sjekken sier om svaret er for høyt eller for lavt, hva som sannsynligvis gikk galt, og hva du bør se på. Den gir ikke svaret.</t>
        </is>
      </c>
    </row>
    <row r="10" ht="30" customHeight="1">
      <c r="B10" s="2" t="inlineStr">
        <is>
          <t>Står du helt fast, skriver du JA i cellen «Står du fast?» på fanen. Da kommer regnestykket fram med ord. Fasiten med alle tall og utregninger ligger på den siste fanen, «Fasit». Prøv oppgaven selv før du ser der.</t>
        </is>
      </c>
    </row>
    <row r="12" ht="15" customHeight="1">
      <c r="B12" s="3" t="inlineStr">
        <is>
          <t>Fanene</t>
        </is>
      </c>
    </row>
    <row r="13" ht="15" customHeight="1">
      <c r="B13" s="2" t="inlineStr">
        <is>
          <t>1A  Fjell Elektro ved oppstart: holder 800 000 kr?</t>
        </is>
      </c>
    </row>
    <row r="14" ht="15" customHeight="1">
      <c r="B14" s="2" t="inlineStr">
        <is>
          <t>1B  Nordlys i dag: hvor mange dager, og hva er én dag verdt?</t>
        </is>
      </c>
    </row>
    <row r="15" ht="15" customHeight="1">
      <c r="B15" s="2" t="inlineStr">
        <is>
          <t>1C  Fjells finansieringsplan, og hva lånet egentlig koster</t>
        </is>
      </c>
    </row>
    <row r="16" ht="15" customHeight="1">
      <c r="B16" s="2" t="inlineStr">
        <is>
          <t>Fasit  Alle svar med regnestykket skrevet ut</t>
        </is>
      </c>
    </row>
    <row r="18" ht="30" customHeight="1">
      <c r="B18" s="5" t="inlineStr">
        <is>
          <t>Dette er øvingsmateriell til repetisjons- og øvingsstøtte. I besvarelser, caser, prosjektoppgaver og eksamen gjelder lærebøkene og oppgitte primærkilder.</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Z44"/>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Hører hjemme</t>
        </is>
      </c>
    </row>
    <row r="2" ht="26" customHeight="1">
      <c r="B2" s="1" t="inlineStr">
        <is>
          <t>Oppgave 1A: Fjell Elektro ved oppstart: holder 800 000 kr?</t>
        </is>
      </c>
      <c r="Z2" t="inlineStr">
        <is>
          <t>Hører ikke hjemme</t>
        </is>
      </c>
    </row>
    <row r="3" ht="15" customHeight="1">
      <c r="B3" s="5" t="inlineStr">
        <is>
          <t>Alene, i par eller i gruppe, slik du vil.</t>
        </is>
      </c>
      <c r="Z3" t="inlineStr">
        <is>
          <t>Hører hjemme</t>
        </is>
      </c>
    </row>
    <row r="4" ht="16" customHeight="1">
      <c r="B4" s="3" t="inlineStr">
        <is>
          <t>Situasjonen</t>
        </is>
      </c>
      <c r="Z4" t="inlineStr">
        <is>
          <t>Hører ikke hjemme</t>
        </is>
      </c>
    </row>
    <row r="5" ht="45" customHeight="1">
      <c r="B5" s="2" t="inlineStr">
        <is>
          <t>Fjell Elektro AS starter 1. januar i Oslo med to montører og én eier. Eieren har 300 000 kr i aksjekapital og banken har sagt ja til 500 000 kr i lån. Utstyr og verktøy koster 300 000 kr, og bilene leases. «Da har jeg 500 000 til overs. Det holder vel?» Du regner kapitalbehovet post for post, slik boka setter det opp.</t>
        </is>
      </c>
      <c r="Z5" t="inlineStr">
        <is>
          <t>Hører hjemme</t>
        </is>
      </c>
    </row>
    <row r="6" ht="16" customHeight="1">
      <c r="B6" s="3" t="inlineStr">
        <is>
          <t>Begrepene du trenger</t>
        </is>
      </c>
      <c r="Z6" t="inlineStr">
        <is>
          <t>Hører ikke hjemme</t>
        </is>
      </c>
    </row>
    <row r="7" ht="60" customHeight="1">
      <c r="B7" s="2" t="inlineStr">
        <is>
          <t>Kapitalbehovet er investeringene (anleggsmidlene) pluss det driften binder: varelager, kundefordringer og likviditetsreserve. Varelager = materiellforbruk uten merverdiavgift × dager på lager / 360. Kundefordringer = kredittsalg med merverdiavgift × kredittid / 360. Reserven er et valgt beløp. Året er 360 dager. Det som leases, binder ingen kapital. Lånet er finansiering, ikke behov.</t>
        </is>
      </c>
      <c r="Z7" t="inlineStr">
        <is>
          <t>Hører hjemme</t>
        </is>
      </c>
    </row>
    <row r="8">
      <c r="Z8" t="inlineStr">
        <is>
          <t>Hører ikke hjemme</t>
        </is>
      </c>
    </row>
    <row r="9" ht="16" customHeight="1">
      <c r="B9" s="3" t="inlineStr">
        <is>
          <t>Tallene</t>
        </is>
      </c>
      <c r="Z9" t="inlineStr">
        <is>
          <t>Hører hjemme</t>
        </is>
      </c>
    </row>
    <row r="10" ht="45" customHeight="1">
      <c r="B10" s="2" t="inlineStr">
        <is>
          <t>Utstyr og verktøy 300 000 kr (kjøpes). To servicebiler på leasing, 144 000 kr i året (leies, ikke kjøpes). Salg første år 4 795 000 kr uten merverdiavgift, alt på faktura med 30 dagers kredittid. Materiellforbruk 1 400 000 kr uten merverdiavgift, i snitt 18 dager på lager. Likviditetsreserve 150 000 kr. Merverdiavgift 25 %. Året er 360 dager.</t>
        </is>
      </c>
      <c r="Z10" t="inlineStr">
        <is>
          <t>Hører ikke hjemme</t>
        </is>
      </c>
    </row>
    <row r="11">
      <c r="B11" s="6" t="inlineStr">
        <is>
          <t>Kapitalbehovet post for post</t>
        </is>
      </c>
      <c r="C11" s="7" t="inlineStr">
        <is>
          <t>Regnes av</t>
        </is>
      </c>
      <c r="D11" s="7" t="inlineStr">
        <is>
          <t>Kroner</t>
        </is>
      </c>
      <c r="Z11" t="inlineStr">
        <is>
          <t>Hører hjemme</t>
        </is>
      </c>
    </row>
    <row r="12">
      <c r="B12" s="8" t="inlineStr">
        <is>
          <t>Anleggsmidler: utstyr og verktøy</t>
        </is>
      </c>
      <c r="C12" s="9" t="inlineStr">
        <is>
          <t>kjøpesummen</t>
        </is>
      </c>
      <c r="D12" s="9" t="n">
        <v>300000</v>
      </c>
      <c r="Z12" t="inlineStr">
        <is>
          <t>Hører ikke hjemme</t>
        </is>
      </c>
    </row>
    <row r="13">
      <c r="B13" s="8" t="inlineStr">
        <is>
          <t>+ Varelager: materiellforbruk × 18 / 360, uten merverdiavgift</t>
        </is>
      </c>
      <c r="C13" s="9" t="inlineStr">
        <is>
          <t>1 400 000</t>
        </is>
      </c>
      <c r="D13" s="10" t="n"/>
    </row>
    <row r="14">
      <c r="B14" s="8" t="inlineStr">
        <is>
          <t>+ Kundefordringer: salg med merverdiavgift × 30 / 360</t>
        </is>
      </c>
      <c r="C14" s="9" t="inlineStr">
        <is>
          <t>5 993 750</t>
        </is>
      </c>
      <c r="D14" s="10" t="n"/>
    </row>
    <row r="15">
      <c r="B15" s="8" t="inlineStr">
        <is>
          <t>+ Likviditetsreserve: valgt beløp</t>
        </is>
      </c>
      <c r="C15" s="9" t="inlineStr">
        <is>
          <t>valgt</t>
        </is>
      </c>
      <c r="D15" s="9" t="n">
        <v>150000</v>
      </c>
    </row>
    <row r="16">
      <c r="B16" s="8" t="inlineStr">
        <is>
          <t>Sum kapitalbehov</t>
        </is>
      </c>
      <c r="C16" s="9" t="inlineStr">
        <is>
          <t>legg sammen</t>
        </is>
      </c>
      <c r="D16" s="10" t="n"/>
    </row>
    <row r="17"/>
    <row r="18" ht="16" customHeight="1">
      <c r="B18" s="3" t="inlineStr">
        <is>
          <t>Oppgaven, trinn for trinn</t>
        </is>
      </c>
    </row>
    <row r="19" ht="60" customHeight="1">
      <c r="B19" s="2" t="inlineStr">
        <is>
          <t>1. Regn varelageret: materiellforbruket uten merverdiavgift × 18 dager / 360. Skriv svaret i den gule cellen.
2. Regn kundefordringene: salget med merverdiavgift (4 795 000 × 1,25 = 5 993 750) × 30 dager / 360. Hele kroner.
3. Legg sammen: utstyr + varelager + kundefordringer + reserve.
4. Sorter de seks postene i d: hører de hjemme i kapitalbehovet eller ikke?
5. Regn i e hva kapitalbehovet blir når kundene bruker 60 dager i stedet for 30.</t>
        </is>
      </c>
    </row>
    <row r="20"/>
    <row r="21">
      <c r="B21" s="11" t="inlineStr">
        <is>
          <t>Sjekk av tabellen</t>
        </is>
      </c>
    </row>
    <row r="22" ht="36" customHeight="1">
      <c r="B22" t="inlineStr">
        <is>
          <t>a) Varelager:</t>
        </is>
      </c>
      <c r="C22" s="12">
        <f>IF(D13="","Skriv svaret i den gule cellen.",IF(ISTEXT(D13),"Skriv bare tallet, uten mellomrom, enhet eller tekst. Enheten står ved siden av cellen. Du kan også skrive regnestykket med likhetstegn foran, for eksempel =2100000/7300.",IF(ABS(D13-(1400000*18/360))&lt;=1,"Riktig. 1 400 000 × 18 / 360 = 70 000 kr, uten merverdiavgift.",IF(ABS(D13-(1400000*1.25*18/360))&lt;=1,"Du har tatt med merverdiavgift. Varelageret regnes uten: den inngående avgiften får bedriften tilbake.",IF(ABS(D13-(1400000*30/360))&lt;=1,"Du har brukt 30 dager. Materiellet ligger 18 dager på lager; 30 er kundenes kredittid.",IF(ABS(D13-(1400000/18))&lt;=1,"Du har delt på dagene. Gang med dagene på lager, og del på 360.",IF(IFERROR(AND(D13&lt;&gt;0,(1400000*18/360)&lt;&gt;0,ROUND(LOG10(ABS(D13/(1400000*18/360))),0)&lt;&gt;0,ABS(LOG10(ABS(D13/(1400000*18/360)))-ROUND(LOG10(ABS(D13/(1400000*18/360))),0))&lt;0.004),FALSE),"Sifrene stemmer, men antall nuller eller plasseringen av kommaet er feil. Sjekk om du har regnet i kroner, tusen kroner eller prosent.",IF(ABS(D13-(1400000*18/360))&lt;=MAX(1,0.01*ABS(1400000*18/360)),"Riktig. 1 400 000 × 18 / 360 = 70 000 kr, uten merverdiavgift. Svaret ditt ligger litt fra arkets tall fordi du har rundet av underveis. Det er helt greit.",IF(D13&gt;(1400000*18/360),"Ikke riktig ennå. Svaret ditt er for høyt. Tips: Varelager er materiellforbruket uten merverdiavgift ganger dager på lager, delt på 360.","Ikke riktig ennå. Svaret ditt er for lavt. Tips: Varelager er materiellforbruket uten merverdiavgift ganger dager på lager, delt på 360.")))))))))</f>
        <v/>
      </c>
    </row>
    <row r="23" ht="36" customHeight="1">
      <c r="B23" t="inlineStr">
        <is>
          <t>b) Kundefordringer:</t>
        </is>
      </c>
      <c r="C23" s="12">
        <f>IF(D14="","Skriv svaret i den gule cellen.",IF(ISTEXT(D14),"Skriv bare tallet, uten mellomrom, enhet eller tekst. Enheten står ved siden av cellen. Du kan også skrive regnestykket med likhetstegn foran, for eksempel =2100000/7300.",IF(ABS(D14-(4795000*1.25*30/360))&lt;=1,"Riktig. 4 795 000 × 1,25 = 5 993 750. 5 993 750 × 30 / 360 = 499 479 kr, med merverdiavgift.",IF(ABS(D14-(4795000*30/360))&lt;=1,"Du har regnet uten merverdiavgift. Kunden skylder hele fakturaen, med avgift: gang salget med 1,25 først.",IF(ABS(D14-(4795000*1.25*18/360))&lt;=1,"Du har brukt 18 dager. Kundene får 30 dagers kredittid; 18 er dagene på lager.",IF(ABS(D14-(4795000*1.25/30))&lt;=1,"Du har delt på dagene. Gang med kredittiden, og del på 360.",IF(IFERROR(AND(D14&lt;&gt;0,(4795000*1.25*30/360)&lt;&gt;0,ROUND(LOG10(ABS(D14/(4795000*1.25*30/360))),0)&lt;&gt;0,ABS(LOG10(ABS(D14/(4795000*1.25*30/360)))-ROUND(LOG10(ABS(D14/(4795000*1.25*30/360))),0))&lt;0.004),FALSE),"Sifrene stemmer, men antall nuller eller plasseringen av kommaet er feil. Sjekk om du har regnet i kroner, tusen kroner eller prosent.",IF(ABS(D14-(4795000*1.25*30/360))&lt;=MAX(1,0.01*ABS(4795000*1.25*30/360)),"Riktig. 4 795 000 × 1,25 = 5 993 750. 5 993 750 × 30 / 360 = 499 479 kr, med merverdiavgift. Svaret ditt ligger litt fra arkets tall fordi du har rundet av underveis. Det er helt greit.",IF(D14&gt;(4795000*1.25*30/360),"Ikke riktig ennå. Svaret ditt er for høyt. Tips: Kundefordringer er salget med merverdiavgift ganger kredittiden, delt på 360.","Ikke riktig ennå. Svaret ditt er for lavt. Tips: Kundefordringer er salget med merverdiavgift ganger kredittiden, delt på 360.")))))))))</f>
        <v/>
      </c>
    </row>
    <row r="24" ht="36" customHeight="1">
      <c r="B24" t="inlineStr">
        <is>
          <t>c) Sum kapitalbehov:</t>
        </is>
      </c>
      <c r="C24" s="12">
        <f>IF(D16="","Skriv svaret i den gule cellen.",IF(ISTEXT(D16),"Skriv bare tallet, uten mellomrom, enhet eller tekst. Enheten står ved siden av cellen. Du kan også skrive regnestykket med likhetstegn foran, for eksempel =2100000/7300.",IF(ABS(D16-(300000+ROUND(1400000*18/360,0)+ROUND(4795000*1.25*30/360,0)+150000))&lt;=2,"Riktig. 300 000 + 70 000 + 499 479 + 150 000 = 1 019 479 kr.",IF(ABS(D16-(300000+ROUND(1400000*18/360,0)+ROUND(4795000*1.25*30/360,0)))&lt;=2,"Du har glemt likviditetsreserven, 150 000. Pengene du holder av, er også kapital som må skaffes.",IF(ABS(D16-(300000+144000+ROUND(1400000*18/360,0)+ROUND(4795000*1.25*30/360,0)+150000))&lt;=2,"Du har tatt med leasingen av bilene. Leasede biler kjøpes ikke og binder ingen kapital; leia er en driftskostnad.",IF(ABS(D16-(ROUND(1400000*18/360,0)+ROUND(4795000*1.25*30/360,0)+150000))&lt;=2,"Du har glemt utstyret, 300 000. Investeringen er den første posten i kapitalbehovet.",IF(ABS(D16-(300000+ROUND(1400000*18/360,0)+ROUND(4795000*1.25*30/360,0)+150000+500000))&lt;=2,"Du har lagt til banklånet. Lånet er finansieringen, ikke behovet: det står på den andre siden av balansen.",IF(IFERROR(AND(D16&lt;&gt;0,(300000+ROUND(1400000*18/360,0)+ROUND(4795000*1.25*30/360,0)+150000)&lt;&gt;0,ROUND(LOG10(ABS(D16/(300000+ROUND(1400000*18/360,0)+ROUND(4795000*1.25*30/360,0)+150000))),0)&lt;&gt;0,ABS(LOG10(ABS(D16/(300000+ROUND(1400000*18/360,0)+ROUND(4795000*1.25*30/360,0)+150000)))-ROUND(LOG10(ABS(D16/(300000+ROUND(1400000*18/360,0)+ROUND(4795000*1.25*30/360,0)+150000))),0))&lt;0.004),FALSE),"Sifrene stemmer, men antall nuller eller plasseringen av kommaet er feil. Sjekk om du har regnet i kroner, tusen kroner eller prosent.",IF(ABS(D16-(300000+ROUND(1400000*18/360,0)+ROUND(4795000*1.25*30/360,0)+150000))&lt;=MAX(2,0.01*ABS(300000+ROUND(1400000*18/360,0)+ROUND(4795000*1.25*30/360,0)+150000)),"Riktig. 300 000 + 70 000 + 499 479 + 150 000 = 1 019 479 kr. Svaret ditt ligger litt fra arkets tall fordi du har rundet av underveis. Det er helt greit.",IF(D16&gt;(300000+ROUND(1400000*18/360,0)+ROUND(4795000*1.25*30/360,0)+150000),"Ikke riktig ennå. Svaret ditt er for høyt. Tips: Legg sammen utstyr, varelager, kundefordringer og reserve. Ikke leasing, ikke lånet.","Ikke riktig ennå. Svaret ditt er for lavt. Tips: Legg sammen utstyr, varelager, kundefordringer og reserve. Ikke leasing, ikke lånet."))))))))))</f>
        <v/>
      </c>
    </row>
    <row r="25"/>
    <row r="26" ht="30" customHeight="1">
      <c r="B26" s="13" t="inlineStr">
        <is>
          <t>d) Hører posten hjemme i kapitalbehovet? Spør: må bedriften ha penger bundet her, eller er det leie, eller er det finansiering? (Velg i nedtrekksmenyen.)</t>
        </is>
      </c>
    </row>
    <row r="27" ht="40" customHeight="1">
      <c r="B27" s="12" t="inlineStr">
        <is>
          <t>Utstyr og verktøy, 300 000 kr</t>
        </is>
      </c>
      <c r="C27" s="14" t="n"/>
      <c r="G27" s="15">
        <f>IF(C27="","Velg i nedtrekksmenyen.",IF(C27="Hører hjemme","Riktig. Investering i anleggsmidler (avsnitt 6.1.1).","Ikke riktig. Les forklaringen og prøv et annet svar: Investering i anleggsmidler (avsnitt 6.1.1)."))</f>
        <v/>
      </c>
    </row>
    <row r="28" ht="40" customHeight="1">
      <c r="B28" s="12" t="inlineStr">
        <is>
          <t>Servicebilene på leasing</t>
        </is>
      </c>
      <c r="C28" s="14" t="n"/>
      <c r="G28" s="15">
        <f>IF(C28="","Velg i nedtrekksmenyen.",IF(C28="Hører ikke hjemme","Riktig. Leies, ikke eies. Ingen kjøpesum; leia er en driftskostnad hver måned (6.9).","Ikke riktig. Les forklaringen og prøv et annet svar: Leies, ikke eies. Ingen kjøpesum; leia er en driftskostnad hver måned (6.9)."))</f>
        <v/>
      </c>
    </row>
    <row r="29" ht="40" customHeight="1">
      <c r="B29" s="12" t="inlineStr">
        <is>
          <t>Materiell på lager i 18 dager</t>
        </is>
      </c>
      <c r="C29" s="14" t="n"/>
      <c r="G29" s="15">
        <f>IF(C29="","Velg i nedtrekksmenyen.",IF(C29="Hører hjemme","Riktig. Varelager, regnet uten merverdiavgift (6.1.2).","Ikke riktig. Les forklaringen og prøv et annet svar: Varelager, regnet uten merverdiavgift (6.1.2)."))</f>
        <v/>
      </c>
    </row>
    <row r="30" ht="40" customHeight="1">
      <c r="B30" s="12" t="inlineStr">
        <is>
          <t>Ubetalte kundefakturaer, 30 dager</t>
        </is>
      </c>
      <c r="C30" s="14" t="n"/>
      <c r="G30" s="15">
        <f>IF(C30="","Velg i nedtrekksmenyen.",IF(C30="Hører hjemme","Riktig. Kundefordringer, regnet med merverdiavgift (6.1.3).","Ikke riktig. Les forklaringen og prøv et annet svar: Kundefordringer, regnet med merverdiavgift (6.1.3)."))</f>
        <v/>
      </c>
    </row>
    <row r="31" ht="40" customHeight="1">
      <c r="B31" s="12" t="inlineStr">
        <is>
          <t>Likviditetsreserven, 150 000 kr</t>
        </is>
      </c>
      <c r="C31" s="14" t="n"/>
      <c r="G31" s="15">
        <f>IF(C31="","Velg i nedtrekksmenyen.",IF(C31="Hører hjemme","Riktig. Buffer mot uforutsette utlegg (6.1.4). Står som bankinnskudd i balansen.","Ikke riktig. Les forklaringen og prøv et annet svar: Buffer mot uforutsette utlegg (6.1.4). Står som bankinnskudd i balansen."))</f>
        <v/>
      </c>
    </row>
    <row r="32" ht="40" customHeight="1">
      <c r="B32" s="12" t="inlineStr">
        <is>
          <t>Banklånet, 500 000 kr</t>
        </is>
      </c>
      <c r="C32" s="14" t="n"/>
      <c r="G32" s="15">
        <f>IF(C32="","Velg i nedtrekksmenyen.",IF(C32="Hører ikke hjemme","Riktig. Finansiering. Lånet dekker behovet; det står på den andre siden av balansen.","Ikke riktig. Les forklaringen og prøv et annet svar: Finansiering. Lånet dekker behovet; det står på den andre siden av balansen."))</f>
        <v/>
      </c>
    </row>
    <row r="33"/>
    <row r="34" ht="48" customHeight="1">
      <c r="B34" s="12" t="inlineStr">
        <is>
          <t>e) Kapitalbehovet når kundene bruker 60 dager i stedet for 30, i hele kroner</t>
        </is>
      </c>
      <c r="C34" s="10" t="n"/>
      <c r="D34" s="16" t="inlineStr">
        <is>
          <t>kr</t>
        </is>
      </c>
      <c r="G34" s="15">
        <f>IF(C34="","Skriv svaret i den gule cellen.",IF(ISTEXT(C34),"Skriv bare tallet, uten mellomrom, enhet eller tekst. Enheten står ved siden av cellen. Du kan også skrive regnestykket med likhetstegn foran, for eksempel =2100000/7300.",IF(ABS(C34-(300000+ROUND(1400000*18/360,0)+ROUND(4795000*1.25*60/360,0)+150000))&lt;=2,"Riktig. Kundefordringer 5 993 750 × 60 / 360 = 998 958. 300 000 + 70 000 + 998 958 + 150 000 = 1 518 958 kr.",IF(ABS(C34-(300000+ROUND(1400000*18/360,0)+ROUND(4795000*1.25*30/360,0)+150000))&lt;=2,"Det er svaret i c, med 30 dager. Nå er kredittiden 60 dager: kundefordringene dobles.",IF(ABS(C34-(ROUND(4795000*1.25*60/360,0)))&lt;=2,"Det er bare kundefordringene ved 60 dager. Oppgaven spør om hele kapitalbehovet.",IF(ABS(C34-(300000+ROUND(1400000*60/360,0)+ROUND(4795000*1.25*60/360,0)+150000))&lt;=2,"Du har satt lageret til 60 dager også. Det er bare kundenes kredittid som endres; lageret er fortsatt 18 dager.",IF(IFERROR(AND(C34&lt;&gt;0,(300000+ROUND(1400000*18/360,0)+ROUND(4795000*1.25*60/360,0)+150000)&lt;&gt;0,ROUND(LOG10(ABS(C34/(300000+ROUND(1400000*18/360,0)+ROUND(4795000*1.25*60/360,0)+150000))),0)&lt;&gt;0,ABS(LOG10(ABS(C34/(300000+ROUND(1400000*18/360,0)+ROUND(4795000*1.25*60/360,0)+150000)))-ROUND(LOG10(ABS(C34/(300000+ROUND(1400000*18/360,0)+ROUND(4795000*1.25*60/360,0)+150000))),0))&lt;0.004),FALSE),"Sifrene stemmer, men antall nuller eller plasseringen av kommaet er feil. Sjekk om du har regnet i kroner, tusen kroner eller prosent.",IF(ABS(C34-(300000+ROUND(1400000*18/360,0)+ROUND(4795000*1.25*60/360,0)+150000))&lt;=MAX(2,0.01*ABS(300000+ROUND(1400000*18/360,0)+ROUND(4795000*1.25*60/360,0)+150000)),"Riktig. Kundefordringer 5 993 750 × 60 / 360 = 998 958. 300 000 + 70 000 + 998 958 + 150 000 = 1 518 958 kr. Svaret ditt ligger litt fra arkets tall fordi du har rundet av underveis. Det er helt greit.",IF(C34&gt;(300000+ROUND(1400000*18/360,0)+ROUND(4795000*1.25*60/360,0)+150000),"Ikke riktig ennå. Svaret ditt er for høyt. Tips: Kundefordringene ved 60 dager er 5 993 750 × 60 / 360. Resten av postene er som i c.","Ikke riktig ennå. Svaret ditt er for lavt. Tips: Kundefordringene ved 60 dager er 5 993 750 × 60 / 360. Resten av postene er som i c.")))))))))</f>
        <v/>
      </c>
    </row>
    <row r="35"/>
    <row r="36" ht="30" customHeight="1">
      <c r="B36" s="2" t="inlineStr">
        <is>
          <t>f) Eieren sa: «300 000 i aksjekapital og 500 000 i lån holder vel?» Svar ham i to–tre setninger, med tallet fra c og hva han glemte.</t>
        </is>
      </c>
    </row>
    <row r="37" ht="22" customHeight="1">
      <c r="B37" s="17" t="n"/>
    </row>
    <row r="38" ht="22" customHeight="1"/>
    <row r="39" ht="22" customHeight="1"/>
    <row r="40" ht="40" customHeight="1">
      <c r="B40" s="18">
        <f>IF(LEN(B37)&lt;40,"",IF(AND(ISNUMBER(SEARCH("kundefordring",B37)),ISNUMBER(SEARCH("019",B37))),"Bra: du bruker kapitalbehovet og peker på kundefordringene. Si gjerne også hvor mye som mangler (1 019 479 − 800 000 = 219 479 kr).",IF(OR(ISNUMBER(SEARCH("kundefordring",B37)),ISNUMBER(SEARCH("019",B37))),"Du er på sporet. Ta med både tallet for kapitalbehovet (1 019 479 kr) og hva som er den store posten han glemte: kundefordringene.","Tips: kapitalbehovet er 1 019 479 kr, ikke 300 000. Det han glemte, er ventetiden: materiellet på lager (70 000) og fakturaene kundene ikke har betalt (499 479). Det mangler 219 479 kr.")))</f>
        <v/>
      </c>
    </row>
    <row r="41">
      <c r="B41" s="19" t="inlineStr">
        <is>
          <t>Står du fast? Skriv JA i den gule cellen:</t>
        </is>
      </c>
      <c r="C41" s="14" t="n"/>
    </row>
    <row r="42" ht="32" customHeight="1">
      <c r="B42" s="20">
        <f>IF(C41="JA","Hint: Varelager: 1 400 000 × 18 / 360 = 70 000. Kundefordringer: 4 795 000 × 1,25 = 5 993 750, × 30 / 360 = 499 479. Sum: 300 000 + 70 000 + 499 479 + 150 000 = 1 019 479. Ved 60 dager: kundefordringer 998 958, sum 1 518 958.","")</f>
        <v/>
      </c>
    </row>
    <row r="43"/>
    <row r="44" ht="30" customHeight="1">
      <c r="B44" s="5" t="inlineStr">
        <is>
          <t>Gule celler fyller du inn, gjerne som regnestykke: =2100000/7300. Grønne regnes ut av arket. Sjekken til høyre sier om svaret stemmer, og hva du bør se på hvis ikke.</t>
        </is>
      </c>
    </row>
  </sheetData>
  <mergeCells count="19">
    <mergeCell ref="B2:G2"/>
    <mergeCell ref="B42:G42"/>
    <mergeCell ref="C24:G24"/>
    <mergeCell ref="B44:G44"/>
    <mergeCell ref="B19:G19"/>
    <mergeCell ref="B10:G10"/>
    <mergeCell ref="B37:G39"/>
    <mergeCell ref="B9:G9"/>
    <mergeCell ref="B40:G40"/>
    <mergeCell ref="C22:G22"/>
    <mergeCell ref="B6:G6"/>
    <mergeCell ref="B5:G5"/>
    <mergeCell ref="B36:G36"/>
    <mergeCell ref="B4:G4"/>
    <mergeCell ref="B26:G26"/>
    <mergeCell ref="C23:G23"/>
    <mergeCell ref="B7:G7"/>
    <mergeCell ref="B3:G3"/>
    <mergeCell ref="B18:G18"/>
  </mergeCells>
  <conditionalFormatting sqref="C22">
    <cfRule type="expression" priority="1" dxfId="0">
      <formula>LEFT(C22,6)="Riktig"</formula>
    </cfRule>
    <cfRule type="expression" priority="2" dxfId="1">
      <formula>AND(C22&lt;&gt;"",LEFT(C22,6)&lt;&gt;"Riktig",LEFT(C22,5)&lt;&gt;"Skriv")</formula>
    </cfRule>
  </conditionalFormatting>
  <conditionalFormatting sqref="C23">
    <cfRule type="expression" priority="3" dxfId="0">
      <formula>LEFT(C23,6)="Riktig"</formula>
    </cfRule>
    <cfRule type="expression" priority="4" dxfId="1">
      <formula>AND(C23&lt;&gt;"",LEFT(C23,6)&lt;&gt;"Riktig",LEFT(C23,5)&lt;&gt;"Skriv")</formula>
    </cfRule>
  </conditionalFormatting>
  <conditionalFormatting sqref="C24">
    <cfRule type="expression" priority="5" dxfId="0">
      <formula>LEFT(C24,6)="Riktig"</formula>
    </cfRule>
    <cfRule type="expression" priority="6" dxfId="1">
      <formula>AND(C24&lt;&gt;"",LEFT(C24,6)&lt;&gt;"Riktig",LEFT(C24,5)&lt;&gt;"Skriv")</formula>
    </cfRule>
  </conditionalFormatting>
  <conditionalFormatting sqref="G27">
    <cfRule type="expression" priority="7" dxfId="0">
      <formula>LEFT(G27,6)="Riktig"</formula>
    </cfRule>
    <cfRule type="expression" priority="8" dxfId="1">
      <formula>LEFT(G27,4)="Ikke"</formula>
    </cfRule>
  </conditionalFormatting>
  <conditionalFormatting sqref="G28">
    <cfRule type="expression" priority="9" dxfId="0">
      <formula>LEFT(G28,6)="Riktig"</formula>
    </cfRule>
    <cfRule type="expression" priority="10" dxfId="1">
      <formula>LEFT(G28,4)="Ikke"</formula>
    </cfRule>
  </conditionalFormatting>
  <conditionalFormatting sqref="G29">
    <cfRule type="expression" priority="11" dxfId="0">
      <formula>LEFT(G29,6)="Riktig"</formula>
    </cfRule>
    <cfRule type="expression" priority="12" dxfId="1">
      <formula>LEFT(G29,4)="Ikke"</formula>
    </cfRule>
  </conditionalFormatting>
  <conditionalFormatting sqref="G30">
    <cfRule type="expression" priority="13" dxfId="0">
      <formula>LEFT(G30,6)="Riktig"</formula>
    </cfRule>
    <cfRule type="expression" priority="14" dxfId="1">
      <formula>LEFT(G30,4)="Ikke"</formula>
    </cfRule>
  </conditionalFormatting>
  <conditionalFormatting sqref="G31">
    <cfRule type="expression" priority="15" dxfId="0">
      <formula>LEFT(G31,6)="Riktig"</formula>
    </cfRule>
    <cfRule type="expression" priority="16" dxfId="1">
      <formula>LEFT(G31,4)="Ikke"</formula>
    </cfRule>
  </conditionalFormatting>
  <conditionalFormatting sqref="G32">
    <cfRule type="expression" priority="17" dxfId="0">
      <formula>LEFT(G32,6)="Riktig"</formula>
    </cfRule>
    <cfRule type="expression" priority="18" dxfId="1">
      <formula>LEFT(G32,4)="Ikke"</formula>
    </cfRule>
  </conditionalFormatting>
  <conditionalFormatting sqref="G34">
    <cfRule type="expression" priority="19" dxfId="0">
      <formula>LEFT(G34,6)="Riktig"</formula>
    </cfRule>
    <cfRule type="expression" priority="20" dxfId="2">
      <formula>LEFT(G34,6)="Nesten"</formula>
    </cfRule>
    <cfRule type="expression" priority="21" dxfId="1">
      <formula>AND(G34&lt;&gt;"",LEFT(G34,6)&lt;&gt;"Riktig",LEFT(G34,6)&lt;&gt;"Nesten",LEFT(G34,5)&lt;&gt;"Skriv")</formula>
    </cfRule>
  </conditionalFormatting>
  <dataValidations count="7">
    <dataValidation sqref="C27" showDropDown="0" showInputMessage="0" showErrorMessage="0" allowBlank="1" type="list">
      <formula1>$Z$1:$Z$2</formula1>
    </dataValidation>
    <dataValidation sqref="C28" showDropDown="0" showInputMessage="0" showErrorMessage="0" allowBlank="1" type="list">
      <formula1>$Z$3:$Z$4</formula1>
    </dataValidation>
    <dataValidation sqref="C29" showDropDown="0" showInputMessage="0" showErrorMessage="0" allowBlank="1" type="list">
      <formula1>$Z$5:$Z$6</formula1>
    </dataValidation>
    <dataValidation sqref="C30" showDropDown="0" showInputMessage="0" showErrorMessage="0" allowBlank="1" type="list">
      <formula1>$Z$7:$Z$8</formula1>
    </dataValidation>
    <dataValidation sqref="C31" showDropDown="0" showInputMessage="0" showErrorMessage="0" allowBlank="1" type="list">
      <formula1>$Z$9:$Z$10</formula1>
    </dataValidation>
    <dataValidation sqref="C32" showDropDown="0" showInputMessage="0" showErrorMessage="0" allowBlank="1" type="list">
      <formula1>$Z$11:$Z$12</formula1>
    </dataValidation>
    <dataValidation sqref="C41"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35"/>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s>
  <sheetData>
    <row r="1"/>
    <row r="2" ht="26" customHeight="1">
      <c r="B2" s="1" t="inlineStr">
        <is>
          <t>Oppgave 1B: Nordlys i dag: hvor mange dager, og hva er én dag verdt?</t>
        </is>
      </c>
    </row>
    <row r="3" ht="15" customHeight="1">
      <c r="B3" s="5" t="inlineStr">
        <is>
          <t>Alene, i par eller i gruppe, slik du vil.</t>
        </is>
      </c>
    </row>
    <row r="4" ht="16" customHeight="1">
      <c r="B4" s="3" t="inlineStr">
        <is>
          <t>Situasjonen</t>
        </is>
      </c>
    </row>
    <row r="5" ht="45" customHeight="1">
      <c r="B5" s="2" t="inlineStr">
        <is>
          <t>Kari ser på balansen per 31.12.2026: 1 400 000 kr i varelager og 4 200 000 kr i kundefordringer, til sammen 5,6 millioner som er betalt eller tjent, men ikke blitt penger. Hun har 300 000 kr i kassekreditt og vil vite hvor dagene står i forhold til bransjen, og hvilken knapp hun bør skru på først.</t>
        </is>
      </c>
    </row>
    <row r="6" ht="16" customHeight="1">
      <c r="B6" s="3" t="inlineStr">
        <is>
          <t>Begrepene du trenger</t>
        </is>
      </c>
    </row>
    <row r="7" ht="30" customHeight="1">
      <c r="B7" s="2" t="inlineStr">
        <is>
          <t>Formlene fra kapitlet snudd: dager på lager = varelager / varekostnad × 360. Kredittid = kundefordringer / salg med merverdiavgift × 360. Én dag flytter årsbeløpet delt på 360. Lageret regnes uten merverdiavgift, kundefordringene med.</t>
        </is>
      </c>
    </row>
    <row r="8"/>
    <row r="9" ht="16" customHeight="1">
      <c r="B9" s="3" t="inlineStr">
        <is>
          <t>Tallene fra regnskapet 2026</t>
        </is>
      </c>
    </row>
    <row r="10" ht="60" customHeight="1">
      <c r="B10" s="2" t="inlineStr">
        <is>
          <t>Balansen per 31.12.2026: varelager 1 400 000 kr, kundefordringer 4 200 000 kr, kassekreditt 300 000 kr. Resultatregnskapet 2026: salgsinntekt 22 400 000 kr uten merverdiavgift (28 000 000 kr med), materialkostnad 7 990 000 kr (varekostnaden på 7 990 000 inneholder også 400 000 i innleide montører, som aldri ligger på lager). Bransjen (NHO Elektro, lønnsomhetsrapport 2025): kredittid kunder 54 dager, lager 57 dager. Året er 360 dager.</t>
        </is>
      </c>
    </row>
    <row r="11">
      <c r="B11" s="6" t="inlineStr">
        <is>
          <t>Nordlys per 31.12.2026</t>
        </is>
      </c>
      <c r="C11" s="7" t="inlineStr">
        <is>
          <t>Kroner</t>
        </is>
      </c>
    </row>
    <row r="12">
      <c r="B12" s="8" t="inlineStr">
        <is>
          <t>Varelager</t>
        </is>
      </c>
      <c r="C12" s="9" t="n">
        <v>1400000</v>
      </c>
    </row>
    <row r="13">
      <c r="B13" s="8" t="inlineStr">
        <is>
          <t>Kundefordringer</t>
        </is>
      </c>
      <c r="C13" s="9" t="n">
        <v>4200000</v>
      </c>
    </row>
    <row r="14">
      <c r="B14" s="8" t="inlineStr">
        <is>
          <t>Materialkostnad 2026 (varekostnad uten innleie)</t>
        </is>
      </c>
      <c r="C14" s="9" t="n">
        <v>7990000</v>
      </c>
    </row>
    <row r="15">
      <c r="B15" s="8" t="inlineStr">
        <is>
          <t>Salg 2026 med merverdiavgift (22 400 000 × 1,25)</t>
        </is>
      </c>
      <c r="C15" s="21">
        <f>22400000*1.25</f>
        <v/>
      </c>
    </row>
    <row r="16">
      <c r="B16" s="8" t="inlineStr">
        <is>
          <t>Kassekreditt</t>
        </is>
      </c>
      <c r="C16" s="9" t="n">
        <v>300000</v>
      </c>
    </row>
    <row r="17"/>
    <row r="18" ht="16" customHeight="1">
      <c r="B18" s="3" t="inlineStr">
        <is>
          <t>Oppgaven, trinn for trinn</t>
        </is>
      </c>
    </row>
    <row r="19" ht="60" customHeight="1">
      <c r="B19" s="2" t="inlineStr">
        <is>
          <t>1. Snu formelen for varelageret: dager på lager = varelager / materialkostnad × 360. Hele dager.
2. Snu formelen for kundefordringene: kredittid = kundefordringer / salg med merverdiavgift × 360. Hele dager.
3. Regn hva én dag flytter: årsbeløpet delt på 360. Hele kroner.
4. Regn hvor mye Kari frigjør hvis kundene betaler ti dager tidligere, og sammenlikn med kassekreditten.
5. Skriv to setninger til Kari i f.</t>
        </is>
      </c>
    </row>
    <row r="20"/>
    <row r="21" ht="48" customHeight="1">
      <c r="B21" s="12" t="inlineStr">
        <is>
          <t>a) Dager på lager: 1 400 000 / 7 990 000 × 360, hele dager</t>
        </is>
      </c>
      <c r="C21" s="22" t="n"/>
      <c r="D21" s="16" t="inlineStr">
        <is>
          <t>dager</t>
        </is>
      </c>
      <c r="G21" s="15">
        <f>IF(C21="","Skriv svaret i den gule cellen.",IF(ISTEXT(C21),"Skriv bare tallet, uten mellomrom, enhet eller tekst. Enheten står ved siden av cellen. Du kan også skrive regnestykket med likhetstegn foran, for eksempel =2100000/7300.",IF(ABS(C21-(ROUND(1400000/7990000*360,0)))&lt;=0.99,"Riktig. 1 400 000 / 7 990 000 × 360 = 63 dager (bransjen: 57)",IF(ABS(C21-(ROUND(7990000/1400000,0)))&lt;=0.99,"Du har regnet omløpshastigheten, antall ganger lageret byttes ut i året. Dagene er 360 delt på den: 360 / 5,7 = 63.",IF(ABS(C21-(ROUND(1400000/7990000*365,0)))&lt;=0.99,"Du har brukt 365 dager. Boka regner året som 360 dager, 12 måneder à 30.",IF(IFERROR(AND(C21&lt;&gt;0,(ROUND(1400000/7990000*360,0))&lt;&gt;0,ROUND(LOG10(ABS(C21/(ROUND(1400000/7990000*360,0)))),0)&lt;&gt;0,ABS(LOG10(ABS(C21/(ROUND(1400000/7990000*360,0))))-ROUND(LOG10(ABS(C21/(ROUND(1400000/7990000*360,0)))),0))&lt;0.004),FALSE),"Sifrene stemmer, men antall nuller eller plasseringen av kommaet er feil. Sjekk om du har regnet i kroner, tusen kroner eller prosent.",IF(ABS(C21-(ROUND(1400000/7990000*360,0)))&lt;=MAX(0.99,0.01*ABS(ROUND(1400000/7990000*360,0))),"Riktig. 1 400 000 / 7 990 000 × 360 = 63 dager (bransjen: 57) Svaret ditt ligger litt fra arkets tall fordi du har rundet av underveis. Det er helt greit.",IF(C21&gt;(ROUND(1400000/7990000*360,0)),"Ikke riktig ennå. Svaret ditt er for høyt. Tips: Regnestykket er 1 400 000 / 7 990 000 × 360, hele dager.","Ikke riktig ennå. Svaret ditt er for lavt. Tips: Regnestykket er 1 400 000 / 7 990 000 × 360, hele dager."))))))))</f>
        <v/>
      </c>
    </row>
    <row r="22" ht="48" customHeight="1">
      <c r="B22" s="12" t="inlineStr">
        <is>
          <t>b) Kredittid til kundene: 4 200 000 / 28 000 000 × 360, hele dager</t>
        </is>
      </c>
      <c r="C22" s="22" t="n"/>
      <c r="D22" s="16" t="inlineStr">
        <is>
          <t>dager</t>
        </is>
      </c>
      <c r="G22" s="15">
        <f>IF(C22="","Skriv svaret i den gule cellen.",IF(ISTEXT(C22),"Skriv bare tallet, uten mellomrom, enhet eller tekst. Enheten står ved siden av cellen. Du kan også skrive regnestykket med likhetstegn foran, for eksempel =2100000/7300.",IF(ABS(C22-(ROUND(4200000/28000000*360,0)))&lt;=1,"Riktig. 4 200 000 / 28 000 000 × 360 = 54 dager (bransjen: 54)",IF(ABS(C22-(ROUND(4200000/22400000*360,0)))&lt;=1,"Du har brukt salget uten merverdiavgift. Kunden skylder fakturaen med avgift, så salget må være 28 000 000.",IF(ABS(C22-(ROUND(28000000/4200000,0)))&lt;=1,"Du har regnet hvor mange ganger i året kundefordringene byttes ut. Dagene er 360 delt på det.",IF(IFERROR(AND(C22&lt;&gt;0,(ROUND(4200000/28000000*360,0))&lt;&gt;0,ROUND(LOG10(ABS(C22/(ROUND(4200000/28000000*360,0)))),0)&lt;&gt;0,ABS(LOG10(ABS(C22/(ROUND(4200000/28000000*360,0))))-ROUND(LOG10(ABS(C22/(ROUND(4200000/28000000*360,0)))),0))&lt;0.004),FALSE),"Sifrene stemmer, men antall nuller eller plasseringen av kommaet er feil. Sjekk om du har regnet i kroner, tusen kroner eller prosent.",IF(ABS(C22-(ROUND(4200000/28000000*360,0)))&lt;=MAX(1,0.01*ABS(ROUND(4200000/28000000*360,0))),"Riktig. 4 200 000 / 28 000 000 × 360 = 54 dager (bransjen: 54) Svaret ditt ligger litt fra arkets tall fordi du har rundet av underveis. Det er helt greit.",IF(C22&gt;(ROUND(4200000/28000000*360,0)),"Ikke riktig ennå. Svaret ditt er for høyt. Tips: Regnestykket er 4 200 000 / 28 000 000 × 360, hele dager.","Ikke riktig ennå. Svaret ditt er for lavt. Tips: Regnestykket er 4 200 000 / 28 000 000 × 360, hele dager."))))))))</f>
        <v/>
      </c>
    </row>
    <row r="23" ht="48" customHeight="1">
      <c r="B23" s="12" t="inlineStr">
        <is>
          <t>c) Én dag kredittid flytter: 28 000 000 / 360, hele kroner</t>
        </is>
      </c>
      <c r="C23" s="10" t="n"/>
      <c r="D23" s="16" t="inlineStr">
        <is>
          <t>kr per dag</t>
        </is>
      </c>
      <c r="G23" s="15">
        <f>IF(C23="","Skriv svaret i den gule cellen.",IF(ISTEXT(C23),"Skriv bare tallet, uten mellomrom, enhet eller tekst. Enheten står ved siden av cellen. Du kan også skrive regnestykket med likhetstegn foran, for eksempel =2100000/7300.",IF(ABS(C23-(ROUND(28000000/360,0)))&lt;=2,"Riktig. 28 000 000 / 360 = 77 778 kr.",IF(ABS(C23-(ROUND(22400000/360,0)))&lt;=2,"Du har brukt salget uten merverdiavgift. Kundefordringene er med avgift: 28 000 000 / 360.",IF(ABS(C23-(ROUND(4200000/360,0)))&lt;=2,"Du har delt kundefordringene på 360. Én dag er årets salg delt på 360, ikke beholdningen.",IF(IFERROR(AND(C23&lt;&gt;0,(ROUND(28000000/360,0))&lt;&gt;0,ROUND(LOG10(ABS(C23/(ROUND(28000000/360,0)))),0)&lt;&gt;0,ABS(LOG10(ABS(C23/(ROUND(28000000/360,0))))-ROUND(LOG10(ABS(C23/(ROUND(28000000/360,0)))),0))&lt;0.004),FALSE),"Sifrene stemmer, men antall nuller eller plasseringen av kommaet er feil. Sjekk om du har regnet i kroner, tusen kroner eller prosent.",IF(ABS(C23-(ROUND(28000000/360,0)))&lt;=MAX(2,0.01*ABS(ROUND(28000000/360,0))),"Riktig. 28 000 000 / 360 = 77 778 kr. Svaret ditt ligger litt fra arkets tall fordi du har rundet av underveis. Det er helt greit.",IF(C23&gt;(ROUND(28000000/360,0)),"Ikke riktig ennå. Svaret ditt er for høyt. Tips: Regnestykket er 28 000 000 / 360, hele kroner.","Ikke riktig ennå. Svaret ditt er for lavt. Tips: Regnestykket er 28 000 000 / 360, hele kroner."))))))))</f>
        <v/>
      </c>
    </row>
    <row r="24" ht="48" customHeight="1">
      <c r="B24" s="12" t="inlineStr">
        <is>
          <t>d) Én dag på lager flytter: 7 990 000 / 360, hele kroner</t>
        </is>
      </c>
      <c r="C24" s="10" t="n"/>
      <c r="D24" s="16" t="inlineStr">
        <is>
          <t>kr per dag</t>
        </is>
      </c>
      <c r="G24" s="15">
        <f>IF(C24="","Skriv svaret i den gule cellen.",IF(ISTEXT(C24),"Skriv bare tallet, uten mellomrom, enhet eller tekst. Enheten står ved siden av cellen. Du kan også skrive regnestykket med likhetstegn foran, for eksempel =2100000/7300.",IF(ABS(C24-(ROUND(7990000/360,0)))&lt;=2,"Riktig. 7 990 000 / 360 = 22 194 kr.",IF(ABS(C24-(ROUND(7990000*1.25/360,0)))&lt;=2,"Du har lagt til merverdiavgift. Lageret regnes uten: den inngående avgiften får Nordlys tilbake.",IF(ABS(C24-(ROUND(1400000/360,0)))&lt;=2,"Du har delt varelageret på 360. Én dag er årets materialkostnad delt på 360.",IF(IFERROR(AND(C24&lt;&gt;0,(ROUND(7990000/360,0))&lt;&gt;0,ROUND(LOG10(ABS(C24/(ROUND(7990000/360,0)))),0)&lt;&gt;0,ABS(LOG10(ABS(C24/(ROUND(7990000/360,0))))-ROUND(LOG10(ABS(C24/(ROUND(7990000/360,0)))),0))&lt;0.004),FALSE),"Sifrene stemmer, men antall nuller eller plasseringen av kommaet er feil. Sjekk om du har regnet i kroner, tusen kroner eller prosent.",IF(ABS(C24-(ROUND(7990000/360,0)))&lt;=MAX(2,0.01*ABS(ROUND(7990000/360,0))),"Riktig. 7 990 000 / 360 = 22 194 kr. Svaret ditt ligger litt fra arkets tall fordi du har rundet av underveis. Det er helt greit.",IF(C24&gt;(ROUND(7990000/360,0)),"Ikke riktig ennå. Svaret ditt er for høyt. Tips: Regnestykket er 7 990 000 / 360, hele kroner.","Ikke riktig ennå. Svaret ditt er for lavt. Tips: Regnestykket er 7 990 000 / 360, hele kroner."))))))))</f>
        <v/>
      </c>
    </row>
    <row r="25" ht="48" customHeight="1">
      <c r="B25" s="12" t="inlineStr">
        <is>
          <t>e) Kundene betaler ti dager tidligere. Hvor mye frigjøres? 28 000 000 × 10 / 360, hele kroner</t>
        </is>
      </c>
      <c r="C25" s="10" t="n"/>
      <c r="D25" s="16" t="inlineStr">
        <is>
          <t>kr</t>
        </is>
      </c>
      <c r="G25" s="15">
        <f>IF(C25="","Skriv svaret i den gule cellen.",IF(ISTEXT(C25),"Skriv bare tallet, uten mellomrom, enhet eller tekst. Enheten står ved siden av cellen. Du kan også skrive regnestykket med likhetstegn foran, for eksempel =2100000/7300.",IF(ABS(C25-(ROUND(28000000*10/360,0)))&lt;=5,"Riktig. 28 000 000 × 10 / 360 = 777 778 kr, mer enn de 300 000 kr som er trukket på kassekreditten.",IF(ABS(C25-(ROUND(22400000*10/360,0)))&lt;=5,"Du har brukt salget uten merverdiavgift. Bruk 28 000 000.",IF(ABS(C25-(ROUND(28000000/360,0)))&lt;=5,"Det er én dag. Oppgaven spør om ti dager: gang med 10.",IF(IFERROR(AND(C25&lt;&gt;0,(ROUND(28000000*10/360,0))&lt;&gt;0,ROUND(LOG10(ABS(C25/(ROUND(28000000*10/360,0)))),0)&lt;&gt;0,ABS(LOG10(ABS(C25/(ROUND(28000000*10/360,0))))-ROUND(LOG10(ABS(C25/(ROUND(28000000*10/360,0)))),0))&lt;0.004),FALSE),"Sifrene stemmer, men antall nuller eller plasseringen av kommaet er feil. Sjekk om du har regnet i kroner, tusen kroner eller prosent.",IF(ABS(C25-(ROUND(28000000*10/360,0)))&lt;=MAX(5,0.01*ABS(ROUND(28000000*10/360,0))),"Riktig. 28 000 000 × 10 / 360 = 777 778 kr, mer enn de 300 000 kr som er trukket på kassekreditten. Svaret ditt ligger litt fra arkets tall fordi du har rundet av underveis. Det er helt greit.",IF(C25&gt;(ROUND(28000000*10/360,0)),"Ikke riktig ennå. Svaret ditt er for høyt. Tips: Ti ganger svaret i c. Sammenlikn med kassekreditten på 300 000.","Ikke riktig ennå. Svaret ditt er for lavt. Tips: Ti ganger svaret i c. Sammenlikn med kassekreditten på 300 000."))))))))</f>
        <v/>
      </c>
    </row>
    <row r="26"/>
    <row r="27" ht="30" customHeight="1">
      <c r="B27" s="2" t="inlineStr">
        <is>
          <t>f) To setninger til Kari: hvilken knapp bør hun skru på først, dagene hos kundene eller dagene på lager, og hva gjør hun konkret?</t>
        </is>
      </c>
    </row>
    <row r="28" ht="22" customHeight="1">
      <c r="B28" s="17" t="n"/>
    </row>
    <row r="29" ht="22" customHeight="1"/>
    <row r="30" ht="22" customHeight="1"/>
    <row r="31" ht="40" customHeight="1">
      <c r="B31" s="18">
        <f>IF(LEN(B28)&lt;40,"",IF(AND(ISNUMBER(SEARCH("kunde",B28)),ISNUMBER(SEARCH("faktur",B28))),"Bra: du peker på kundene og sier hva hun gjør med fakturaene. Én dag hos kundene er verdt mer enn tre dager på lager, og ti dager frigjør mer enn det som er trukket på kassekreditten.",IF(OR(ISNUMBER(SEARCH("kunde",B28)),ISNUMBER(SEARCH("faktur",B28))),"Du er på sporet. Si både hvilken knapp (kundene, fordi én dag der er verdt 77 778 kr mot 22 194 på lager) og hva hun konkret gjør: fakturere samme dag som jobben er ferdig, kortere frist der hun kan, og følge opp forfall.","Tips: én dag hos kundene flytter 77 778 kr, én dag på lager 22 194 kr. Kundene først. Konkret: fakturer samme dag som jobben er ferdig, avtal kortere frist med små kunder, følg opp forfall. Ti dager frigjør 777 778 kr, mer enn de 300 000 kr som er trukket på kassekreditten.")))</f>
        <v/>
      </c>
    </row>
    <row r="32">
      <c r="B32" s="19" t="inlineStr">
        <is>
          <t>Står du fast? Skriv JA i den gule cellen:</t>
        </is>
      </c>
      <c r="C32" s="14" t="n"/>
    </row>
    <row r="33" ht="45" customHeight="1">
      <c r="B33" s="20">
        <f>IF(C32="JA","Hint: a: 1 400 000 / 7 990 000 × 360 = 63 dager. b: 4 200 000 / 28 000 000 × 360 = 54 dager. c: 28 000 000 / 360 = 77 778. d: 7 990 000 / 360 = 22 194. e: 77 778 × 10 = 777 778, mer enn de 300 000 kr som er trukket på kassekreditten.","")</f>
        <v/>
      </c>
    </row>
    <row r="34"/>
    <row r="35" ht="30" customHeight="1">
      <c r="B35" s="5" t="inlineStr">
        <is>
          <t>Gule celler fyller du inn, gjerne som regnestykke: =2100000/7300. Grønne regnes ut av arket. Sjekken til høyre sier om svaret stemmer, og hva du bør se på hvis ikke.</t>
        </is>
      </c>
    </row>
  </sheetData>
  <mergeCells count="15">
    <mergeCell ref="B3:G3"/>
    <mergeCell ref="B2:G2"/>
    <mergeCell ref="B19:G19"/>
    <mergeCell ref="B10:G10"/>
    <mergeCell ref="B33:G33"/>
    <mergeCell ref="B5:G5"/>
    <mergeCell ref="B28:G30"/>
    <mergeCell ref="B31:G31"/>
    <mergeCell ref="B9:G9"/>
    <mergeCell ref="B27:G27"/>
    <mergeCell ref="B35:G35"/>
    <mergeCell ref="B4:G4"/>
    <mergeCell ref="B18:G18"/>
    <mergeCell ref="B7:G7"/>
    <mergeCell ref="B6:G6"/>
  </mergeCells>
  <conditionalFormatting sqref="G21">
    <cfRule type="expression" priority="1" dxfId="0">
      <formula>LEFT(G21,6)="Riktig"</formula>
    </cfRule>
    <cfRule type="expression" priority="2" dxfId="2">
      <formula>LEFT(G21,6)="Nesten"</formula>
    </cfRule>
    <cfRule type="expression" priority="3" dxfId="1">
      <formula>AND(G21&lt;&gt;"",LEFT(G21,6)&lt;&gt;"Riktig",LEFT(G21,6)&lt;&gt;"Nesten",LEFT(G21,5)&lt;&gt;"Skriv")</formula>
    </cfRule>
  </conditionalFormatting>
  <conditionalFormatting sqref="G22">
    <cfRule type="expression" priority="4" dxfId="0">
      <formula>LEFT(G22,6)="Riktig"</formula>
    </cfRule>
    <cfRule type="expression" priority="5" dxfId="2">
      <formula>LEFT(G22,6)="Nesten"</formula>
    </cfRule>
    <cfRule type="expression" priority="6" dxfId="1">
      <formula>AND(G22&lt;&gt;"",LEFT(G22,6)&lt;&gt;"Riktig",LEFT(G22,6)&lt;&gt;"Nesten",LEFT(G22,5)&lt;&gt;"Skriv")</formula>
    </cfRule>
  </conditionalFormatting>
  <conditionalFormatting sqref="G23">
    <cfRule type="expression" priority="7" dxfId="0">
      <formula>LEFT(G23,6)="Riktig"</formula>
    </cfRule>
    <cfRule type="expression" priority="8" dxfId="2">
      <formula>LEFT(G23,6)="Nesten"</formula>
    </cfRule>
    <cfRule type="expression" priority="9" dxfId="1">
      <formula>AND(G23&lt;&gt;"",LEFT(G23,6)&lt;&gt;"Riktig",LEFT(G23,6)&lt;&gt;"Nesten",LEFT(G23,5)&lt;&gt;"Skriv")</formula>
    </cfRule>
  </conditionalFormatting>
  <conditionalFormatting sqref="G24">
    <cfRule type="expression" priority="10" dxfId="0">
      <formula>LEFT(G24,6)="Riktig"</formula>
    </cfRule>
    <cfRule type="expression" priority="11" dxfId="2">
      <formula>LEFT(G24,6)="Nesten"</formula>
    </cfRule>
    <cfRule type="expression" priority="12" dxfId="1">
      <formula>AND(G24&lt;&gt;"",LEFT(G24,6)&lt;&gt;"Riktig",LEFT(G24,6)&lt;&gt;"Nesten",LEFT(G24,5)&lt;&gt;"Skriv")</formula>
    </cfRule>
  </conditionalFormatting>
  <conditionalFormatting sqref="G25">
    <cfRule type="expression" priority="13" dxfId="0">
      <formula>LEFT(G25,6)="Riktig"</formula>
    </cfRule>
    <cfRule type="expression" priority="14" dxfId="2">
      <formula>LEFT(G25,6)="Nesten"</formula>
    </cfRule>
    <cfRule type="expression" priority="15" dxfId="1">
      <formula>AND(G25&lt;&gt;"",LEFT(G25,6)&lt;&gt;"Riktig",LEFT(G25,6)&lt;&gt;"Nesten",LEFT(G25,5)&lt;&gt;"Skriv")</formula>
    </cfRule>
  </conditionalFormatting>
  <dataValidations count="1">
    <dataValidation sqref="C32"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39"/>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Greit: kassekreditten er billigere enn banklånet</t>
        </is>
      </c>
    </row>
    <row r="2" ht="26" customHeight="1">
      <c r="B2" s="1" t="inlineStr">
        <is>
          <t>Oppgave 1C: Fjells finansieringsplan, og hva lånet egentlig koster</t>
        </is>
      </c>
      <c r="Z2" t="inlineStr">
        <is>
          <t>Nei: utstyret skal vare i mange år og må finansieres med egenkapital og langsiktig lån</t>
        </is>
      </c>
    </row>
    <row r="3" ht="15" customHeight="1">
      <c r="B3" s="5" t="inlineStr">
        <is>
          <t>Alene, i par eller i gruppe, slik du vil.</t>
        </is>
      </c>
      <c r="Z3" t="inlineStr">
        <is>
          <t>Greit, så lenge rammen er stor nok</t>
        </is>
      </c>
    </row>
    <row r="4" ht="16" customHeight="1">
      <c r="B4" s="3" t="inlineStr">
        <is>
          <t>Situasjonen</t>
        </is>
      </c>
    </row>
    <row r="5" ht="45" customHeight="1">
      <c r="B5" s="2" t="inlineStr">
        <is>
          <t>Kapitalbehovet for Fjell er 1 019 479 kr (oppgave 1A). Eieren har 300 000 kr i aksjekapital og 500 000 kr i banklån: et serielån over fem år til 7,5 % rente, avregnet hver måned. Grossisten gir 30 dagers kreditt. Banken krever minst 30 % egenkapital og at det langsiktige er finansiert langsiktig. Går planen opp, og hva sier dere til banken?</t>
        </is>
      </c>
    </row>
    <row r="6" ht="16" customHeight="1">
      <c r="B6" s="3" t="inlineStr">
        <is>
          <t>Begrepene du trenger</t>
        </is>
      </c>
    </row>
    <row r="7" ht="60" customHeight="1">
      <c r="B7" s="2" t="inlineStr">
        <is>
          <t>Egenkapitalandel = egenkapital / kapitalbehov. Krav til langsiktig kapital: egenkapital + langsiktig lån ≥ anleggsmidler + halve varelageret. Leverandørgjeld = varekjøp med merverdiavgift × kredittid / 360. Annen kortsiktig gjeld er resten. Serielån: likt avdrag, rente av det som er igjen. Effektiv rente = (1 + nominell rente / antall avregninger)^antall avregninger − 1.</t>
        </is>
      </c>
    </row>
    <row r="8"/>
    <row r="9" ht="16" customHeight="1">
      <c r="B9" s="3" t="inlineStr">
        <is>
          <t>Tallene</t>
        </is>
      </c>
    </row>
    <row r="10" ht="60" customHeight="1">
      <c r="B10" s="2" t="inlineStr">
        <is>
          <t>Kapitalbehovet fra 1A: 1 019 479 kr (utstyr 300 000, varelager 70 000, kundefordringer 499 479, reserve 150 000). Aksjekapital 300 000 kr. Banklån 500 000 kr, serielån over 5 år med avdrag 100 000 kr i året, 7,5 % nominell rente avregnet hver måned. Grossisten gir 30 dagers kreditt; varekjøpet med merverdiavgift er 1 400 000 × 1,25 = 1 750 000 kr. Banken krever minst 30 % egenkapital, og at egenkapital + langsiktig lån dekker anleggsmidlene og halve varelageret.</t>
        </is>
      </c>
    </row>
    <row r="11">
      <c r="B11" s="6" t="inlineStr">
        <is>
          <t>Finansieringsplanen</t>
        </is>
      </c>
      <c r="C11" s="7" t="inlineStr">
        <is>
          <t>Regnestykket</t>
        </is>
      </c>
      <c r="D11" s="7" t="inlineStr">
        <is>
          <t>Kroner</t>
        </is>
      </c>
    </row>
    <row r="12">
      <c r="B12" s="8" t="inlineStr">
        <is>
          <t>Sum kapitalbehov (1A)</t>
        </is>
      </c>
      <c r="C12" s="9" t="inlineStr">
        <is>
          <t>300 000 + 70 000 + 499 479 + 150 000</t>
        </is>
      </c>
      <c r="D12" s="9" t="n">
        <v>1019479</v>
      </c>
    </row>
    <row r="13">
      <c r="B13" s="8" t="inlineStr">
        <is>
          <t>− Egenkapital: aksjekapitalen</t>
        </is>
      </c>
      <c r="C13" s="9" t="inlineStr">
        <is>
          <t>gitt</t>
        </is>
      </c>
      <c r="D13" s="9" t="n">
        <v>300000</v>
      </c>
    </row>
    <row r="14">
      <c r="B14" s="8" t="inlineStr">
        <is>
          <t>− Langsiktig lån: banklånet</t>
        </is>
      </c>
      <c r="C14" s="9" t="inlineStr">
        <is>
          <t>gitt</t>
        </is>
      </c>
      <c r="D14" s="9" t="n">
        <v>500000</v>
      </c>
    </row>
    <row r="15">
      <c r="B15" s="8" t="inlineStr">
        <is>
          <t>− Leverandørgjeld: varekjøp med merverdiavgift × 30 / 360</t>
        </is>
      </c>
      <c r="C15" s="9" t="inlineStr">
        <is>
          <t>1 750 000 × 30 / 360</t>
        </is>
      </c>
      <c r="D15" s="10" t="n"/>
    </row>
    <row r="16">
      <c r="B16" s="8" t="inlineStr">
        <is>
          <t>Annen kortsiktig gjeld (kassekreditt, skyldige avgifter)</t>
        </is>
      </c>
      <c r="C16" s="9" t="inlineStr">
        <is>
          <t>resten</t>
        </is>
      </c>
      <c r="D16" s="10" t="n"/>
    </row>
    <row r="17"/>
    <row r="18" ht="16" customHeight="1">
      <c r="B18" s="3" t="inlineStr">
        <is>
          <t>Oppgaven, trinn for trinn</t>
        </is>
      </c>
    </row>
    <row r="19" ht="75" customHeight="1">
      <c r="B19" s="2" t="inlineStr">
        <is>
          <t>1. Regn egenkapitalandelen i a: aksjekapitalen delt på kapitalbehovet, i prosent med én desimal (skriv for eksempel 25,0, ikke 0,25).
2. Regn leverandørgjelden og skriv den i den gule cellen i tabellen (b). Så annen kortsiktig gjeld i tabellen (c): det som er igjen når egenkapital, lån og leverandørgjeld er trukket fra.
3. Regn terminbeløpet det første året på serielånet i d: avdrag + rente av hele lånet.
4. Regn den effektive renten i e: (1 + 0,075 / 12) opphøyd i 12, minus 1. I prosent med to desimaler.
5. Velg i f, og skriv svaret til banken i g.</t>
        </is>
      </c>
    </row>
    <row r="20"/>
    <row r="21" ht="48" customHeight="1">
      <c r="B21" s="12" t="inlineStr">
        <is>
          <t>a) Egenkapitalandel: 300 000 / 1 019 479, i prosent med én desimal</t>
        </is>
      </c>
      <c r="C21" s="23" t="n"/>
      <c r="D21" s="16" t="inlineStr">
        <is>
          <t>%</t>
        </is>
      </c>
      <c r="G21" s="15">
        <f>IF(C21="","Skriv svaret i den gule cellen.",IF(ISTEXT(C21),"Skriv bare tallet, uten mellomrom, enhet eller tekst. Enheten står ved siden av cellen. Du kan også skrive regnestykket med likhetstegn foran, for eksempel =2100000/7300.",IF(ABS(C21-(ROUND(300000/1019479*100,1)))&lt;=0.1,"Riktig. 29,4 %: 300 000 / 1 019 479 = 0,294. Bankens krav er 30 %, altså 305 844 kr: det mangler 5 844 kr.",IF(ABS(C21-(ROUND(300000/300000*100,1)))&lt;=0.1,"Du har delt på utstyret. Egenkapitalkravet regnes av hele kapitalbehovet, 1 019 479.",IF(ABS(C21-(ROUND(300000/800000*100,1)))&lt;=0.1,"Du har delt på egenkapital pluss lån. Andelen er egenkapitalen delt på kapitalbehovet.",IF(ABS(C21-(ROUND(300000/1019479,1)))&lt;=0.1,"Du har svart som brøk. Gang med 100 og svar i prosent, for eksempel 25,0.",IF(IFERROR(AND(C21&lt;&gt;0,(ROUND(300000/1019479*100,1))&lt;&gt;0,ROUND(LOG10(ABS(C21/(ROUND(300000/1019479*100,1)))),0)&lt;&gt;0,ABS(LOG10(ABS(C21/(ROUND(300000/1019479*100,1))))-ROUND(LOG10(ABS(C21/(ROUND(300000/1019479*100,1)))),0))&lt;0.004),FALSE),"Sifrene stemmer, men antall nuller eller plasseringen av kommaet er feil. Sjekk om du har regnet i kroner, tusen kroner eller prosent.",IF(ABS(C21-(ROUND(300000/1019479*100,1)))&lt;=MAX(0.1,0.01*ABS(ROUND(300000/1019479*100,1))),"Riktig. 29,4 %: 300 000 / 1 019 479 = 0,294. Bankens krav er 30 %, altså 305 844 kr: det mangler 5 844 kr. Svaret ditt ligger litt fra arkets tall fordi du har rundet av underveis. Det er helt greit.",IF(C21&gt;(ROUND(300000/1019479*100,1)),"Ikke riktig ennå. Svaret ditt er for høyt. Tips: Regnestykket er 300 000 / 1 019 479, i prosent med én desimal.","Ikke riktig ennå. Svaret ditt er for lavt. Tips: Regnestykket er 300 000 / 1 019 479, i prosent med én desimal.")))))))))</f>
        <v/>
      </c>
    </row>
    <row r="22">
      <c r="B22" s="11" t="inlineStr">
        <is>
          <t>Sjekk av tabellen</t>
        </is>
      </c>
    </row>
    <row r="23" ht="36" customHeight="1">
      <c r="B23" t="inlineStr">
        <is>
          <t>b) Leverandørgjeld (gul celle i tabellen):</t>
        </is>
      </c>
      <c r="C23" s="12">
        <f>IF(D15="","Skriv svaret i den gule cellen.",IF(ISTEXT(D15),"Skriv bare tallet, uten mellomrom, enhet eller tekst. Enheten står ved siden av cellen. Du kan også skrive regnestykket med likhetstegn foran, for eksempel =2100000/7300.",IF(ABS(D15-(ROUND(1750000*30/360,0)))&lt;=1,"Riktig. 1 750 000 × 30 / 360 = 145 833 kr.",IF(ABS(D15-(ROUND(1400000*30/360,0)))&lt;=1,"Du har regnet uten merverdiavgift. Leverandørgjelden er med avgift, som kundefordringene: grossisten skal ha hele fakturaen.",IF(ABS(D15-(ROUND(1750000*18/360,0)))&lt;=1,"Du har brukt 18 dager. Grossisten gir 30 dagers kreditt; 18 er dagene på lager.",IF(IFERROR(AND(D15&lt;&gt;0,(ROUND(1750000*30/360,0))&lt;&gt;0,ROUND(LOG10(ABS(D15/(ROUND(1750000*30/360,0)))),0)&lt;&gt;0,ABS(LOG10(ABS(D15/(ROUND(1750000*30/360,0))))-ROUND(LOG10(ABS(D15/(ROUND(1750000*30/360,0)))),0))&lt;0.004),FALSE),"Sifrene stemmer, men antall nuller eller plasseringen av kommaet er feil. Sjekk om du har regnet i kroner, tusen kroner eller prosent.",IF(ABS(D15-(ROUND(1750000*30/360,0)))&lt;=MAX(1,0.01*ABS(ROUND(1750000*30/360,0))),"Riktig. 1 750 000 × 30 / 360 = 145 833 kr. Svaret ditt ligger litt fra arkets tall fordi du har rundet av underveis. Det er helt greit.",IF(D15&gt;(ROUND(1750000*30/360,0)),"Ikke riktig ennå. Svaret ditt er for høyt. Tips: Leverandørgjeld er varekjøpet med merverdiavgift ganger kredittiden, delt på 360.","Ikke riktig ennå. Svaret ditt er for lavt. Tips: Leverandørgjeld er varekjøpet med merverdiavgift ganger kredittiden, delt på 360."))))))))</f>
        <v/>
      </c>
    </row>
    <row r="24" ht="36" customHeight="1">
      <c r="B24" t="inlineStr">
        <is>
          <t>c) Annen kortsiktig gjeld (gul celle i tabellen):</t>
        </is>
      </c>
      <c r="C24" s="12">
        <f>IF(D16="","Skriv svaret i den gule cellen.",IF(ISTEXT(D16),"Skriv bare tallet, uten mellomrom, enhet eller tekst. Enheten står ved siden av cellen. Du kan også skrive regnestykket med likhetstegn foran, for eksempel =2100000/7300.",IF(ABS(D16-(1019479-300000-500000-ROUND(1750000*30/360,0)))&lt;=2,"Riktig. 1 019 479 − 300 000 − 500 000 − 145 833 = 73 646 kr. Kontroll: 300 000 + 500 000 + 145 833 + 73 646 = 1 019 479.",IF(ABS(D16-(1019479-300000-500000))&lt;=2,"Du har glemt å trekke fra leverandørgjelden. Grossisten finansierer 145 833 av behovet.",IF(ABS(D16-(1019479-300000-ROUND(1750000*30/360,0)))&lt;=2,"Du har glemt banklånet, 500 000. Det dekker en del av behovet.",IF(ABS(D16-(1019479-800000-2*ROUND(1750000*30/360,0)))&lt;=2,"Du har trukket fra leverandørgjelden to ganger. Den trekkes fra én gang.",IF(IFERROR(AND(D16&lt;&gt;0,(1019479-300000-500000-ROUND(1750000*30/360,0))&lt;&gt;0,ROUND(LOG10(ABS(D16/(1019479-300000-500000-ROUND(1750000*30/360,0)))),0)&lt;&gt;0,ABS(LOG10(ABS(D16/(1019479-300000-500000-ROUND(1750000*30/360,0))))-ROUND(LOG10(ABS(D16/(1019479-300000-500000-ROUND(1750000*30/360,0)))),0))&lt;0.004),FALSE),"Sifrene stemmer, men antall nuller eller plasseringen av kommaet er feil. Sjekk om du har regnet i kroner, tusen kroner eller prosent.",IF(ABS(D16-(1019479-300000-500000-ROUND(1750000*30/360,0)))&lt;=MAX(2,0.01*ABS(1019479-300000-500000-ROUND(1750000*30/360,0))),"Riktig. 1 019 479 − 300 000 − 500 000 − 145 833 = 73 646 kr. Kontroll: 300 000 + 500 000 + 145 833 + 73 646 = 1 019 479. Svaret ditt ligger litt fra arkets tall fordi du har rundet av underveis. Det er helt greit.",IF(D16&gt;(1019479-300000-500000-ROUND(1750000*30/360,0)),"Ikke riktig ennå. Svaret ditt er for høyt. Tips: Trekk egenkapital, banklån og leverandørgjeld fra kapitalbehovet. Det som er igjen, er annen kortsiktig gjeld.","Ikke riktig ennå. Svaret ditt er for lavt. Tips: Trekk egenkapital, banklån og leverandørgjeld fra kapitalbehovet. Det som er igjen, er annen kortsiktig gjeld.")))))))))</f>
        <v/>
      </c>
    </row>
    <row r="25"/>
    <row r="26" ht="48" customHeight="1">
      <c r="B26" s="12" t="inlineStr">
        <is>
          <t>d) Terminbeløp år 1 på serielånet: avdrag 100 000 + rente 7,5 % av 500 000, hele kroner</t>
        </is>
      </c>
      <c r="C26" s="10" t="n"/>
      <c r="D26" s="16" t="inlineStr">
        <is>
          <t>kr</t>
        </is>
      </c>
      <c r="G26" s="15">
        <f>IF(C26="","Skriv svaret i den gule cellen.",IF(ISTEXT(C26),"Skriv bare tallet, uten mellomrom, enhet eller tekst. Enheten står ved siden av cellen. Du kan også skrive regnestykket med likhetstegn foran, for eksempel =2100000/7300.",IF(ABS(C26-(100000+500000*0.075))&lt;=1,"Riktig. 100 000 + 500 000 × 0,075 = 137 500 kr. År 5: 100 000 + 100 000 × 0,075 = 107 500 kr.",IF(ABS(C26-(500000*0.075))&lt;=1,"Det er bare renten. Terminbeløpet er avdrag pluss rente.",IF(ABS(C26-(100000))&lt;=1,"Det er bare avdraget. Legg til renten på hele lånet det første året.",IF(ABS(C26-(100000+400000*0.075))&lt;=1,"Du har regnet rente av 400 000. Det første året er hele lånet, 500 000, utestående.",IF(ABS(C26-(500000*0.075/12))&lt;=1,"Du har regnet én måneds rente. Oppgaven spør om hele året.",IF(IFERROR(AND(C26&lt;&gt;0,(100000+500000*0.075)&lt;&gt;0,ROUND(LOG10(ABS(C26/(100000+500000*0.075))),0)&lt;&gt;0,ABS(LOG10(ABS(C26/(100000+500000*0.075)))-ROUND(LOG10(ABS(C26/(100000+500000*0.075))),0))&lt;0.004),FALSE),"Sifrene stemmer, men antall nuller eller plasseringen av kommaet er feil. Sjekk om du har regnet i kroner, tusen kroner eller prosent.",IF(ABS(C26-(100000+500000*0.075))&lt;=MAX(1,0.01*ABS(100000+500000*0.075)),"Riktig. 100 000 + 500 000 × 0,075 = 137 500 kr. År 5: 100 000 + 100 000 × 0,075 = 107 500 kr. Svaret ditt ligger litt fra arkets tall fordi du har rundet av underveis. Det er helt greit.",IF(C26&gt;(100000+500000*0.075),"Ikke riktig ennå. Svaret ditt er for høyt. Tips: Regnestykket er avdrag 100 000 + rente 7,5 % av 500 000, hele kroner.","Ikke riktig ennå. Svaret ditt er for lavt. Tips: Regnestykket er avdrag 100 000 + rente 7,5 % av 500 000, hele kroner."))))))))))</f>
        <v/>
      </c>
    </row>
    <row r="27" ht="48" customHeight="1">
      <c r="B27" s="12" t="inlineStr">
        <is>
          <t>e) Effektiv rente når 7,5 % avregnes hver måned: (1 + 0,075 / 12)^12 − 1, i prosent med to desimaler</t>
        </is>
      </c>
      <c r="C27" s="24" t="n"/>
      <c r="D27" s="16" t="inlineStr">
        <is>
          <t>%</t>
        </is>
      </c>
      <c r="G27" s="15">
        <f>IF(C27="","Skriv svaret i den gule cellen.",IF(ISTEXT(C27),"Skriv bare tallet, uten mellomrom, enhet eller tekst. Enheten står ved siden av cellen. Du kan også skrive regnestykket med likhetstegn foran, for eksempel =2100000/7300.",IF(ABS(C27-(ROUND(((1+0.075/12)^12-1)*100,2)))&lt;=0.01,"Riktig. 7,76 %: (1 + 0,075 / 12)^12 − 1 = 0,0776.",IF(ABS(C27-(7.5))&lt;=0.01,"Det er den nominelle renten. Med månedlig avregning blir den effektive høyere: (1 + 0,075 / 12)^12 − 1.",IF(ABS(C27-(ROUND(((1+0.075/12)^12-1),2)))&lt;=0.01,"Du har svart som brøk. Gang med 100 og svar i prosent.",IF(ABS(C27-(ROUND(((1+0.075/4)^4-1)*100,2)))&lt;=0.01,"Du har brukt fire avregninger i året. Renten avregnes hver måned: tolv ganger.",IF(IFERROR(AND(C27&lt;&gt;0,(ROUND(((1+0.075/12)^12-1)*100,2))&lt;&gt;0,ROUND(LOG10(ABS(C27/(ROUND(((1+0.075/12)^12-1)*100,2)))),0)&lt;&gt;0,ABS(LOG10(ABS(C27/(ROUND(((1+0.075/12)^12-1)*100,2))))-ROUND(LOG10(ABS(C27/(ROUND(((1+0.075/12)^12-1)*100,2)))),0))&lt;0.004),FALSE),"Sifrene stemmer, men antall nuller eller plasseringen av kommaet er feil. Sjekk om du har regnet i kroner, tusen kroner eller prosent.",IF(ABS(C27-(ROUND(((1+0.075/12)^12-1)*100,2)))&lt;=MAX(0.01,0.01*ABS(ROUND(((1+0.075/12)^12-1)*100,2))),"Riktig. 7,76 %: (1 + 0,075 / 12)^12 − 1 = 0,0776. Svaret ditt ligger litt fra arkets tall fordi du har rundet av underveis. Det er helt greit.",IF(C27&gt;(ROUND(((1+0.075/12)^12-1)*100,2)),"Ikke riktig ennå. Svaret ditt er for høyt. Tips: Regnestykket er (1 + 0,075 / 12)^12 − 1, i prosent med to desimaler.","Ikke riktig ennå. Svaret ditt er for lavt. Tips: Regnestykket er (1 + 0,075 / 12)^12 − 1, i prosent med to desimaler.")))))))))</f>
        <v/>
      </c>
    </row>
    <row r="28"/>
    <row r="29" ht="40" customHeight="1">
      <c r="B29" s="12" t="inlineStr">
        <is>
          <t>f) Eieren vil ta utstyret på 300 000 på kassekreditten i stedet for banklånet. Hva sier boka?</t>
        </is>
      </c>
      <c r="C29" s="14" t="n"/>
      <c r="G29" s="15">
        <f>IF(C29="","Velg i nedtrekksmenyen.",IF(C29="Nei: utstyret skal vare i mange år og må finansieres med egenkapital og langsiktig lån","Riktig. Anleggsmidler finansieres langsiktig (avsnitt 6.2). Kassekreditten skal tilbake fortløpende og koster provisjon på rammen pluss rente på det som er trukket (6.8).","Ikke riktig. Les forklaringen og prøv et annet svar: Anleggsmidler finansieres langsiktig (avsnitt 6.2). Kassekreditten skal tilbake fortløpende og koster provisjon på rammen pluss rente på det som er trukket (6.8)."))</f>
        <v/>
      </c>
    </row>
    <row r="30"/>
    <row r="31" ht="30" customHeight="1">
      <c r="B31" s="2" t="inlineStr">
        <is>
          <t>g) Hva sier dere til banken? Én setning om hvorfor planen er sunn (bruk kravet til langsiktig kapital og egenkapitalandelen), og én om hva dere gjør hvis kundene bruker 60 dager.</t>
        </is>
      </c>
    </row>
    <row r="32" ht="22" customHeight="1">
      <c r="B32" s="17" t="n"/>
    </row>
    <row r="33" ht="22" customHeight="1"/>
    <row r="34" ht="22" customHeight="1"/>
    <row r="35" ht="40" customHeight="1">
      <c r="B35" s="18">
        <f>IF(LEN(B32)&lt;40,"",IF(AND(ISNUMBER(SEARCH("langsiktig",B32)),ISNUMBER(SEARCH("egenkapital",B32))),"Bra: du bruker både kravet til langsiktig kapital og egenkapitalandelen. Si gjerne også at de 73 646 kronene må være en avtalt kassekreditt, og hva dere gjør ved 60 dager.",IF(OR(ISNUMBER(SEARCH("langsiktig",B32)),ISNUMBER(SEARCH("egenkapital",B32))),"Du er på sporet. Ta med begge: langsiktig kapital 800 000 dekker kravet på 335 000, og egenkapitalen er 29,4 %, like under 30. Og ved 60 dager: skyte inn mer, korte ned dagene, eller faktoring.","Tips: egenkapital + lån = 800 000 dekker kravet (300 000 + 70 000 / 2 = 335 000) med god margin. Egenkapitalen er 29,4 %; 5 844 kr til gir 30 %. De 73 646 må være en avtalt kassekreditt. Ved 60 dager faller andelen til 19,8 %: skyt inn mer, kort ned dagene, eller vurder faktoring.")))</f>
        <v/>
      </c>
    </row>
    <row r="36">
      <c r="B36" s="19" t="inlineStr">
        <is>
          <t>Står du fast? Skriv JA i den gule cellen:</t>
        </is>
      </c>
      <c r="C36" s="14" t="n"/>
    </row>
    <row r="37" ht="32" customHeight="1">
      <c r="B37" s="20">
        <f>IF(C36="JA","Hint: a: 300 000 / 1 019 479 = 29,4 %. b: 1 750 000 × 30 / 360 = 145 833. c: 1 019 479 − 300 000 − 500 000 − 145 833 = 73 646. d: 100 000 + 37 500 = 137 500. e: 1,00625 opphøyd i 12 er 1,0776; minus 1 gir 7,76 %.","")</f>
        <v/>
      </c>
    </row>
    <row r="38"/>
    <row r="39" ht="30" customHeight="1">
      <c r="B39" s="5" t="inlineStr">
        <is>
          <t>Gule celler fyller du inn, gjerne som regnestykke: =2100000/7300. Grønne regnes ut av arket. Sjekken til høyre sier om svaret stemmer, og hva du bør se på hvis ikke.</t>
        </is>
      </c>
    </row>
  </sheetData>
  <mergeCells count="17">
    <mergeCell ref="B3:G3"/>
    <mergeCell ref="B2:G2"/>
    <mergeCell ref="B19:G19"/>
    <mergeCell ref="B10:G10"/>
    <mergeCell ref="B39:G39"/>
    <mergeCell ref="B5:G5"/>
    <mergeCell ref="B32:G34"/>
    <mergeCell ref="C24:G24"/>
    <mergeCell ref="B37:G37"/>
    <mergeCell ref="B31:G31"/>
    <mergeCell ref="B9:G9"/>
    <mergeCell ref="B35:G35"/>
    <mergeCell ref="B4:G4"/>
    <mergeCell ref="B18:G18"/>
    <mergeCell ref="C23:G23"/>
    <mergeCell ref="B7:G7"/>
    <mergeCell ref="B6:G6"/>
  </mergeCells>
  <conditionalFormatting sqref="G21">
    <cfRule type="expression" priority="1" dxfId="0">
      <formula>LEFT(G21,6)="Riktig"</formula>
    </cfRule>
    <cfRule type="expression" priority="2" dxfId="2">
      <formula>LEFT(G21,6)="Nesten"</formula>
    </cfRule>
    <cfRule type="expression" priority="3" dxfId="1">
      <formula>AND(G21&lt;&gt;"",LEFT(G21,6)&lt;&gt;"Riktig",LEFT(G21,6)&lt;&gt;"Nesten",LEFT(G21,5)&lt;&gt;"Skriv")</formula>
    </cfRule>
  </conditionalFormatting>
  <conditionalFormatting sqref="C23">
    <cfRule type="expression" priority="4" dxfId="0">
      <formula>LEFT(C23,6)="Riktig"</formula>
    </cfRule>
    <cfRule type="expression" priority="5" dxfId="1">
      <formula>AND(C23&lt;&gt;"",LEFT(C23,6)&lt;&gt;"Riktig",LEFT(C23,5)&lt;&gt;"Skriv")</formula>
    </cfRule>
  </conditionalFormatting>
  <conditionalFormatting sqref="C24">
    <cfRule type="expression" priority="6" dxfId="0">
      <formula>LEFT(C24,6)="Riktig"</formula>
    </cfRule>
    <cfRule type="expression" priority="7" dxfId="1">
      <formula>AND(C24&lt;&gt;"",LEFT(C24,6)&lt;&gt;"Riktig",LEFT(C24,5)&lt;&gt;"Skriv")</formula>
    </cfRule>
  </conditionalFormatting>
  <conditionalFormatting sqref="G26">
    <cfRule type="expression" priority="8" dxfId="0">
      <formula>LEFT(G26,6)="Riktig"</formula>
    </cfRule>
    <cfRule type="expression" priority="9" dxfId="2">
      <formula>LEFT(G26,6)="Nesten"</formula>
    </cfRule>
    <cfRule type="expression" priority="10" dxfId="1">
      <formula>AND(G26&lt;&gt;"",LEFT(G26,6)&lt;&gt;"Riktig",LEFT(G26,6)&lt;&gt;"Nesten",LEFT(G26,5)&lt;&gt;"Skriv")</formula>
    </cfRule>
  </conditionalFormatting>
  <conditionalFormatting sqref="G27">
    <cfRule type="expression" priority="11" dxfId="0">
      <formula>LEFT(G27,6)="Riktig"</formula>
    </cfRule>
    <cfRule type="expression" priority="12" dxfId="2">
      <formula>LEFT(G27,6)="Nesten"</formula>
    </cfRule>
    <cfRule type="expression" priority="13" dxfId="1">
      <formula>AND(G27&lt;&gt;"",LEFT(G27,6)&lt;&gt;"Riktig",LEFT(G27,6)&lt;&gt;"Nesten",LEFT(G27,5)&lt;&gt;"Skriv")</formula>
    </cfRule>
  </conditionalFormatting>
  <conditionalFormatting sqref="G29">
    <cfRule type="expression" priority="14" dxfId="0">
      <formula>LEFT(G29,6)="Riktig"</formula>
    </cfRule>
    <cfRule type="expression" priority="15" dxfId="1">
      <formula>LEFT(G29,4)="Ikke"</formula>
    </cfRule>
  </conditionalFormatting>
  <dataValidations count="2">
    <dataValidation sqref="C29" showDropDown="0" showInputMessage="0" showErrorMessage="0" allowBlank="1" type="list">
      <formula1>$Z$1:$Z$3</formula1>
    </dataValidation>
    <dataValidation sqref="C36"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D24"/>
  <sheetViews>
    <sheetView workbookViewId="0">
      <selection activeCell="A1" sqref="A1"/>
    </sheetView>
  </sheetViews>
  <sheetFormatPr baseColWidth="8" defaultRowHeight="15"/>
  <cols>
    <col width="3" customWidth="1" min="1" max="1"/>
    <col width="40" customWidth="1" min="2" max="2"/>
    <col width="16" customWidth="1" min="3" max="3"/>
    <col width="78" customWidth="1" min="4" max="4"/>
  </cols>
  <sheetData>
    <row r="2">
      <c r="B2" s="25" t="inlineStr">
        <is>
          <t>Fasit, kapittel 6</t>
        </is>
      </c>
    </row>
    <row r="3" ht="30" customHeight="1">
      <c r="B3" s="5" t="inlineStr">
        <is>
          <t>Prøv oppgaven selv før du leser her. Regnestykket står ved siden av hvert svar. Tallene hentes fra fasitformlene, så de stemmer alltid med oppgavefanene.</t>
        </is>
      </c>
    </row>
    <row r="5">
      <c r="B5" s="26" t="inlineStr">
        <is>
          <t>Oppgave</t>
        </is>
      </c>
      <c r="C5" s="26" t="inlineStr">
        <is>
          <t>Svar</t>
        </is>
      </c>
      <c r="D5" s="26" t="inlineStr">
        <is>
          <t>Regnestykket</t>
        </is>
      </c>
    </row>
    <row r="6" ht="30" customHeight="1">
      <c r="B6" s="27" t="inlineStr">
        <is>
          <t>1A a) Varelager</t>
        </is>
      </c>
      <c r="C6" s="21" t="n">
        <v>70000</v>
      </c>
      <c r="D6" s="27" t="inlineStr">
        <is>
          <t>1 400 000 × 18 / 360 = 70 000 kr, uten merverdiavgift</t>
        </is>
      </c>
    </row>
    <row r="7" ht="30" customHeight="1">
      <c r="B7" s="27" t="inlineStr">
        <is>
          <t>1A b) Kundefordringer</t>
        </is>
      </c>
      <c r="C7" s="21" t="n">
        <v>499479</v>
      </c>
      <c r="D7" s="27" t="inlineStr">
        <is>
          <t>4 795 000 × 1,25 = 5 993 750. 5 993 750 × 30 / 360 = 499 479 kr, med merverdiavgift</t>
        </is>
      </c>
    </row>
    <row r="8" ht="30" customHeight="1">
      <c r="B8" s="27" t="inlineStr">
        <is>
          <t>1A c) Sum kapitalbehov</t>
        </is>
      </c>
      <c r="C8" s="21" t="n">
        <v>1019479</v>
      </c>
      <c r="D8" s="27" t="inlineStr">
        <is>
          <t>300 000 + 70 000 + 499 479 + 150 000 = 1 019 479 kr</t>
        </is>
      </c>
    </row>
    <row r="9" ht="30" customHeight="1">
      <c r="B9" s="27" t="inlineStr">
        <is>
          <t>1A d) Sorteringen</t>
        </is>
      </c>
      <c r="C9" s="21" t="inlineStr"/>
      <c r="D9" s="27" t="inlineStr">
        <is>
          <t>Hører hjemme: utstyret, lageret, kundefordringene, reserven. Hører ikke hjemme: bilene på leasing (binder ingen kapital) og banklånet (finansiering, ikke behov)</t>
        </is>
      </c>
    </row>
    <row r="10" ht="30" customHeight="1">
      <c r="B10" s="27" t="inlineStr">
        <is>
          <t>1A e) Kapitalbehov ved 60 dager</t>
        </is>
      </c>
      <c r="C10" s="21" t="n">
        <v>1518958</v>
      </c>
      <c r="D10" s="27" t="inlineStr">
        <is>
          <t>Kundefordringer 5 993 750 × 60 / 360 = 998 958. 300 000 + 70 000 + 998 958 + 150 000 = 1 518 958 kr</t>
        </is>
      </c>
    </row>
    <row r="11" ht="45" customHeight="1">
      <c r="B11" s="27" t="inlineStr">
        <is>
          <t>1A f) Til eieren</t>
        </is>
      </c>
      <c r="C11" s="21" t="inlineStr"/>
      <c r="D11" s="27" t="inlineStr">
        <is>
          <t>Kapitalbehovet er 1 019 479 kr, ikke 300 000. Han glemte ventetiden: lageret 70 000 og kundefordringene 499 479. Med 800 000 mangler 219 479 kr; ved 60 dager mangler 718 958 kr</t>
        </is>
      </c>
    </row>
    <row r="12" ht="30" customHeight="1">
      <c r="B12" s="27" t="inlineStr">
        <is>
          <t>1B a) Dager på lager</t>
        </is>
      </c>
      <c r="C12" s="21" t="n">
        <v>63</v>
      </c>
      <c r="D12" s="27" t="inlineStr">
        <is>
          <t>1 400 000 / 7 990 000 × 360 = 63 dager (bransjen: 57)</t>
        </is>
      </c>
    </row>
    <row r="13" ht="30" customHeight="1">
      <c r="B13" s="27" t="inlineStr">
        <is>
          <t>1B b) Kredittid kunder</t>
        </is>
      </c>
      <c r="C13" s="21" t="n">
        <v>54</v>
      </c>
      <c r="D13" s="27" t="inlineStr">
        <is>
          <t>4 200 000 / 28 000 000 × 360 = 54 dager (bransjen: 54)</t>
        </is>
      </c>
    </row>
    <row r="14" ht="30" customHeight="1">
      <c r="B14" s="27" t="inlineStr">
        <is>
          <t>1B c) Én dag kredittid</t>
        </is>
      </c>
      <c r="C14" s="21" t="n">
        <v>77778</v>
      </c>
      <c r="D14" s="27" t="inlineStr">
        <is>
          <t>28 000 000 / 360 = 77 778 kr</t>
        </is>
      </c>
    </row>
    <row r="15" ht="30" customHeight="1">
      <c r="B15" s="27" t="inlineStr">
        <is>
          <t>1B d) Én dag på lager</t>
        </is>
      </c>
      <c r="C15" s="21" t="n">
        <v>22194</v>
      </c>
      <c r="D15" s="27" t="inlineStr">
        <is>
          <t>7 990 000 / 360 = 22 194 kr</t>
        </is>
      </c>
    </row>
    <row r="16" ht="30" customHeight="1">
      <c r="B16" s="27" t="inlineStr">
        <is>
          <t>1B e) Ti dager tidligere</t>
        </is>
      </c>
      <c r="C16" s="21" t="n">
        <v>777778</v>
      </c>
      <c r="D16" s="27" t="inlineStr">
        <is>
          <t>28 000 000 × 10 / 360 = 777 778 kr, mer enn de 300 000 kr som er trukket på kassekreditten</t>
        </is>
      </c>
    </row>
    <row r="17" ht="45" customHeight="1">
      <c r="B17" s="27" t="inlineStr">
        <is>
          <t>1B f) Til Kari</t>
        </is>
      </c>
      <c r="C17" s="21" t="inlineStr"/>
      <c r="D17" s="27" t="inlineStr">
        <is>
          <t>Kundene først: én dag der er verdt 77 778 kr mot 22 194 på lager. Fakturer samme dag som jobben er ferdig, avtal kortere frist der hun kan, følg opp forfall. Det koster ingen rente</t>
        </is>
      </c>
    </row>
    <row r="18" ht="30" customHeight="1">
      <c r="B18" s="27" t="inlineStr">
        <is>
          <t>1C a) Egenkapitalandel</t>
        </is>
      </c>
      <c r="C18" s="21" t="inlineStr"/>
      <c r="D18" s="27" t="inlineStr">
        <is>
          <t>29,4 %: 300 000 / 1 019 479 = 0,294. Bankens krav er 30 %, altså 305 844 kr: det mangler 5 844 kr</t>
        </is>
      </c>
    </row>
    <row r="19" ht="30" customHeight="1">
      <c r="B19" s="27" t="inlineStr">
        <is>
          <t>1C b) Leverandørgjeld</t>
        </is>
      </c>
      <c r="C19" s="21" t="n">
        <v>145833</v>
      </c>
      <c r="D19" s="27" t="inlineStr">
        <is>
          <t>1 750 000 × 30 / 360 = 145 833 kr</t>
        </is>
      </c>
    </row>
    <row r="20" ht="30" customHeight="1">
      <c r="B20" s="27" t="inlineStr">
        <is>
          <t>1C c) Annen kortsiktig gjeld</t>
        </is>
      </c>
      <c r="C20" s="21" t="n">
        <v>73646</v>
      </c>
      <c r="D20" s="27" t="inlineStr">
        <is>
          <t>1 019 479 − 300 000 − 500 000 − 145 833 = 73 646 kr. Kontroll: 300 000 + 500 000 + 145 833 + 73 646 = 1 019 479</t>
        </is>
      </c>
    </row>
    <row r="21" ht="30" customHeight="1">
      <c r="B21" s="27" t="inlineStr">
        <is>
          <t>1C d) Terminbeløp år 1</t>
        </is>
      </c>
      <c r="C21" s="21" t="n">
        <v>137500</v>
      </c>
      <c r="D21" s="27" t="inlineStr">
        <is>
          <t>100 000 + 500 000 × 0,075 = 137 500 kr. År 5: 100 000 + 100 000 × 0,075 = 107 500 kr</t>
        </is>
      </c>
    </row>
    <row r="22" ht="30" customHeight="1">
      <c r="B22" s="27" t="inlineStr">
        <is>
          <t>1C e) Effektiv rente</t>
        </is>
      </c>
      <c r="C22" s="21" t="inlineStr"/>
      <c r="D22" s="27" t="inlineStr">
        <is>
          <t>7,76 %: (1 + 0,075 / 12)^12 − 1 = 0,0776</t>
        </is>
      </c>
    </row>
    <row r="23" ht="30" customHeight="1">
      <c r="B23" s="27" t="inlineStr">
        <is>
          <t>1C f) Utstyret på kassekreditten</t>
        </is>
      </c>
      <c r="C23" s="21" t="inlineStr"/>
      <c r="D23" s="27" t="inlineStr">
        <is>
          <t>Nei. Anleggsmidler finansieres med egenkapital og langsiktig lån (6.2). Kassekreditten skal tilbake fortløpende og koster provisjon på rammen pluss rente (6.8)</t>
        </is>
      </c>
    </row>
    <row r="24" ht="45" customHeight="1">
      <c r="B24" s="27" t="inlineStr">
        <is>
          <t>1C g) Til banken</t>
        </is>
      </c>
      <c r="C24" s="21" t="inlineStr"/>
      <c r="D24" s="27" t="inlineStr">
        <is>
          <t>Langsiktig kapital 800 000 dekker kravet på 335 000 med god margin. Egenkapitalen er 29,4 %; 5 844 kr til gir 30 %. De 73 646 må være en avtalt kassekreditt. Ved 60 dager faller andelen til 19,8 %: skyt inn mer, kort ned dagene, eller faktoring</t>
        </is>
      </c>
    </row>
  </sheetData>
  <sheetProtection selectLockedCells="0" selectUnlockedCells="0" sheet="1" objects="0" insertRows="1" insertHyperlinks="1" autoFilter="1" scenarios="0" formatColumns="1" deleteColumns="1" insertColumns="1" pivotTables="1" deleteRows="1" formatCells="1" formatRows="1" sort="1"/>
  <mergeCells count="1">
    <mergeCell ref="B3:D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2026-10-31T06:00:38Z</dcterms:created>
  <dcterms:modified xmlns:dcterms="http://purl.org/dc/terms/" xmlns:xsi="http://www.w3.org/2001/XMLSchema-instance" xsi:type="dcterms:W3CDTF">2026-10-31T06:00:38Z</dcterms:modified>
</cp:coreProperties>
</file>