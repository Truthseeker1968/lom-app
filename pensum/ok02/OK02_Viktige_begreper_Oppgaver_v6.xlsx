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<sst xmlns="http://schemas.openxmlformats.org/spreadsheetml/2006/main" count="235" uniqueCount="186">
  <si>
    <t xml:space="preserve">Viktige bedriftsøkonomiske begreper: oppgaver til kapittel 2</t>
  </si>
  <si>
    <t xml:space="preserve">Økonomistyring for LØM-emnet (Hjertnes og Skorpen), kapittel 2.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</si>
  <si>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</si>
  <si>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</si>
  <si>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</si>
  <si>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</si>
  <si>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</si>
  <si>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</si>
  <si>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April for Nordlys: varekostnad og utbetaling</t>
  </si>
  <si>
    <t xml:space="preserve">1B  Fast eller variabel: tolv kostnader hos Nordlys</t>
  </si>
  <si>
    <t xml:space="preserve">1C  Nordlys mars til mai: hvorfor var kontoen trang?</t>
  </si>
  <si>
    <t xml:space="preserve">2A  Hva koster en montør hos Fjell Elektro?</t>
  </si>
  <si>
    <t xml:space="preserve">2B  Jobb 2614 hos Hansen: direkte, indirekte og selvkost</t>
  </si>
  <si>
    <t xml:space="preserve">2C  Seks ladepunkter til borettslaget: lønner jobben seg?</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</si>
  <si>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</si>
  <si>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</si>
  <si>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April for Nordlys: varekostnad og utbetaling</t>
  </si>
  <si>
    <t xml:space="preserve">Alene, i par eller i gruppe, slik du vil.</t>
  </si>
  <si>
    <t xml:space="preserve">Situasjonen</t>
  </si>
  <si>
    <t xml:space="preserve">Ida er kalkulatør og innkjøper hos Nordlys Elektro. Hun kjøper kabel, vern og tavlemateriell hos Polarlys Elektro Grossist, som gir 30 dagers kreditt: det som kjøpes i én måned, betales måneden etter. Lageret var 1 250 000 kr 1. mars, og februarkjøpet var 760 000 kr. Mars er regnet ferdig. Du regner april.</t>
  </si>
  <si>
    <t xml:space="preserve">Begrepene du trenger</t>
  </si>
  <si>
    <t xml:space="preserve">Utgift: det Nordlys bestiller og forplikter seg til å betale (varekjøpet). Utbetaling: det som går ut av kontoen; med 30 dagers kreditt er det forrige måneds kjøp. Kostnad: det som er brukt opp på jobbene. Varekostnad = lager ved starten + varekjøp − lager ved slutten.</t>
  </si>
  <si>
    <t xml:space="preserve">Tallene, i kroner</t>
  </si>
  <si>
    <t xml:space="preserve">Mars er regnet ferdig. Lager ved starten av april er lager ved slutten av mars, og arket henter det selv (grønn celle).</t>
  </si>
  <si>
    <t xml:space="preserve">Mars</t>
  </si>
  <si>
    <t xml:space="preserve">April</t>
  </si>
  <si>
    <t xml:space="preserve">Lager ved starten av måneden</t>
  </si>
  <si>
    <t xml:space="preserve">Varekjøp i måneden (utgift), legges til</t>
  </si>
  <si>
    <t xml:space="preserve">Lager ved slutten av måneden, trekkes fra</t>
  </si>
  <si>
    <t xml:space="preserve">Varekostnad (det som ble brukt opp)</t>
  </si>
  <si>
    <t xml:space="preserve">Utbetalt til Polarlys (forrige måneds kjøp)</t>
  </si>
  <si>
    <t xml:space="preserve">Oppgaven, trinn for trinn</t>
  </si>
  <si>
    <t xml:space="preserve">1. Regn varekostnaden i april: lager ved starten + varekjøp − lager ved slutten. Skriv svaret i den gule cellen i april-kolonnen.
2. Hva ble utbetalt til Polarlys i april? Husk 30 dagers kreditt: det er kjøpet fra måneden før.
3. Se på sjekken under. «Riktig» betyr at tallet stemmer. Ellers forteller den hva du bør se på.</t>
  </si>
  <si>
    <t xml:space="preserve">Sjekk av svarene dine</t>
  </si>
  <si>
    <t xml:space="preserve">Varekostnad april:</t>
  </si>
  <si>
    <t xml:space="preserve">Utbetalt i april:</t>
  </si>
  <si>
    <t xml:space="preserve">Står du fast? Skriv JA i den gule cellen:</t>
  </si>
  <si>
    <t xml:space="preserve">Gule celler fyller du inn. Grønne regnes ut av arket. Sjekken til høyre forteller om svaret stemmer, og hva du bør se på hvis ikke.</t>
  </si>
  <si>
    <t xml:space="preserve">Oppgave 1B: Fast eller variabel: tolv kostnader hos Nordlys</t>
  </si>
  <si>
    <t xml:space="preserve">Det er juli. Halve Nordlys har ferie, og nesten ingen jobber utføres. Kari går gjennom regningene og spør for hver av dem: kommer denne uansett, eller stopper den når det ikke er jobber?</t>
  </si>
  <si>
    <t xml:space="preserve">Faste kostnader kommer uansett om det er jobber eller ikke; boka kaller dem kapasitetskostnader. Variable kostnader følger jobbene. Testen: forsvinner kostnaden hvis vi sier nei til jobben?</t>
  </si>
  <si>
    <t xml:space="preserve">Testen</t>
  </si>
  <si>
    <t xml:space="preserve">Spør for hver kostnad: forsvinner den hvis Nordlys sier nei til jobben? Ja: variabel. Nei: fast. Noen kostnader kommer an på avtalen; da velger du «Kommer an på» og leser forklaringen.</t>
  </si>
  <si>
    <t xml:space="preserve">Sorter de tolv kostnadene (velg i nedtrekksmenyen)</t>
  </si>
  <si>
    <t xml:space="preserve">Husleie for verkstedet</t>
  </si>
  <si>
    <t xml:space="preserve">Forsikringene på bilene og lokalet</t>
  </si>
  <si>
    <t xml:space="preserve">Avskrivning på servicebilene</t>
  </si>
  <si>
    <t xml:space="preserve">Lønna til Kari og Ida på kontoret</t>
  </si>
  <si>
    <t xml:space="preserve">Kabel og vern kjøpt hos Polarlys til en jobb</t>
  </si>
  <si>
    <t xml:space="preserve">Innleid underentreprenør på et prosjekt</t>
  </si>
  <si>
    <t xml:space="preserve">Drivstoff på vei til jobben</t>
  </si>
  <si>
    <t xml:space="preserve">Montørtimene på akkurat denne boligen</t>
  </si>
  <si>
    <t xml:space="preserve">Strøm på verkstedet</t>
  </si>
  <si>
    <t xml:space="preserve">Lærlingens lønn</t>
  </si>
  <si>
    <t xml:space="preserve">Leasing på en servicebil</t>
  </si>
  <si>
    <t xml:space="preserve">Kurs og sertifisering av montørene</t>
  </si>
  <si>
    <t xml:space="preserve">Faste kostnader per fakturert time</t>
  </si>
  <si>
    <t xml:space="preserve">Nordlys har 3 840 000 kr i faste kostnader i året (faktaarket: administrasjonslønn 2 220 000, avskrivninger 620 000 og faste driftskostnader 1 000 000). I 2026 fakturerte de 14 400 montørtimer (12 montører × 1 200). Regn hva hver time må bære av faste kostnader, først ved 14 400 timer, så i et stille år med 10 000 timer. Hele kroner.</t>
  </si>
  <si>
    <t xml:space="preserve">Faste kostnader per time ved 14 400 timer</t>
  </si>
  <si>
    <t xml:space="preserve">kr per time</t>
  </si>
  <si>
    <t xml:space="preserve">Faste kostnader per time ved 10 000 timer</t>
  </si>
  <si>
    <t xml:space="preserve">Med egne ord: hva skjer med de faste kostnadene per time når det blir stille, og hva bør det bety for timeprisen? (To–tre setninger.)</t>
  </si>
  <si>
    <t xml:space="preserve">Oppgave 1C: Nordlys mars til mai: hvorfor var kontoen trang?</t>
  </si>
  <si>
    <t xml:space="preserve">Samme sak som i 1A, nå for hele våren. Lageret var 1 250 000 kr 1. mars, februarkjøpet var 760 000 kr, og Polarlys gir 30 dagers kreditt. Kari sier at regnskapet viste overskudd i april, men at kontoen var trang.</t>
  </si>
  <si>
    <t xml:space="preserve">Varekostnad = lager ved starten + varekjøp − lager ved slutten. Utbetalingen er forrige måneds kjøp. Resultatet regnes med kostnaden; kontoen følger utbetalingen.</t>
  </si>
  <si>
    <t xml:space="preserve">Mars er regnet ferdig. Lageret ved starten av en måned er lageret ved slutten av måneden før (grønne celler).</t>
  </si>
  <si>
    <t xml:space="preserve">Mai</t>
  </si>
  <si>
    <t xml:space="preserve">Varekjøp i måneden (utgift)</t>
  </si>
  <si>
    <t xml:space="preserve">Lager ved slutten av måneden</t>
  </si>
  <si>
    <t xml:space="preserve">Varekostnad</t>
  </si>
  <si>
    <t xml:space="preserve">Utbetalt til Polarlys</t>
  </si>
  <si>
    <t xml:space="preserve">1. Fyll inn varekostnad og utbetaling for april og mai i tabellen (gule celler). Varekostnad = lager ved start + varekjøp − lager ved slutt. Utbetalingen er forrige måneds kjøp.
2. Svar på a til c under. Sjekken sier om tallet stemmer.
3. Velg i d hva som er feil i Idas regnestykke, og skriv forklaringen til Kari i e.</t>
  </si>
  <si>
    <t xml:space="preserve">a) Varekostnad i mai</t>
  </si>
  <si>
    <t xml:space="preserve">kr</t>
  </si>
  <si>
    <t xml:space="preserve">b) Utbetalt til Polarlys i mai</t>
  </si>
  <si>
    <t xml:space="preserve">c) Hvor mye mer gikk ut av kontoen enn det som ble varekostnad, mars til mai samlet?</t>
  </si>
  <si>
    <t xml:space="preserve">d) Ida regner varekostnaden i mai som 1 380 000 − 1 100 000 = 280 000. Hva er feil?</t>
  </si>
  <si>
    <t xml:space="preserve">e) Kari sier: «Regnskapet viste overskudd i april, men kontoen var trang.» Forklar hvordan det henger sammen. Bruk ordene utgift, utbetaling og kostnad, og si noe om lageret.</t>
  </si>
  <si>
    <t xml:space="preserve">Oppgave 2A: Hva koster en montør hos Fjell Elektro?</t>
  </si>
  <si>
    <t xml:space="preserve">Fjell Elektro AS i Oslo (sone I, arbeidsgiveravgift 14,1 %) bruker bokas tabell 2.4 med 46,8 % sosiale kostnader. En montør har 560 000 kr i årslønn. Eieren vil sette timeprisen ut fra timelønna og spør deg om det holder.</t>
  </si>
  <si>
    <t xml:space="preserve">Lønnskostnad = lønn × (1 + sosiale kostnader). De sosiale kostnadene er arbeidsgiveravgift, feriepenger, pensjon, lønn for helligdager og sykefravær, forsikring. Fakturerbare timer er de timene kunden betaler for.</t>
  </si>
  <si>
    <t xml:space="preserve">Tallene</t>
  </si>
  <si>
    <t xml:space="preserve">Årslønn 560 000 kr. Sosiale kostnader etter bokas tabell 2.4: 46,8 % av lønna (feriepenger med arbeidsgiveravgift 13,7 %, arbeidsgiveravgift 14,1 %, pensjon 8,0 % og arbeidsgiveravgift på pensjon 1,1 %, lønn for helligdager med mer 4,5 %, sykefravær, forsikring og annet 5,4 %). Montøren fakturerer 1 400 timer og har 400 timer til kjøring, opplæring og garantiarbeid: 1 800 betalte timer. Timeprisen Fjell tar av kunden er 890 kr uten merverdiavgift.</t>
  </si>
  <si>
    <t xml:space="preserve">1. Gang lønna med 1 + prosentsatsen: 560 000 × 1,468.
2. For b bytter du ut én post: montøren er 61 år og får 14,3 % feriepenger, så feriepenger med arbeidsgiveravgift blir 16,3 % i stedet for 13,7 %. Regn den nye prosenten og den nye lønnskostnaden.
3. For c velger Fjell minste pensjon etter loven, 2 % pluss 0,3 % arbeidsgiveravgift, i stedet for 8 % pluss 1,1 %.
4. I d til f går du fra timelønn til timepris. Svar i hele kroner.</t>
  </si>
  <si>
    <t xml:space="preserve">a) Lønnskostnad for ett år med 46,8 % sosiale kostnader</t>
  </si>
  <si>
    <t xml:space="preserve">b) Lønnskostnad når montøren er 61 år (feriepenger med avgift 16,3 % i stedet for 13,7 %)</t>
  </si>
  <si>
    <t xml:space="preserve">c) Lønnskostnad med minste pensjon (2 % + 0,3 % i stedet for 8 % + 1,1 %)</t>
  </si>
  <si>
    <t xml:space="preserve">d) Timelønn: 560 000 delt på 1 800 betalte timer</t>
  </si>
  <si>
    <t xml:space="preserve">e) Lønnskostnad per betalt time: svaret i a delt på 1 800</t>
  </si>
  <si>
    <t xml:space="preserve">f) Lønnskostnad per fakturerbar time: svaret i a delt på 1 400</t>
  </si>
  <si>
    <t xml:space="preserve">g) Eieren vil sette timeprisen ut fra timelønna, 311 kr. Hva sier du til ham? Bruk tallene fra d til f og timeprisen 890 kr.</t>
  </si>
  <si>
    <t xml:space="preserve">Oppgave 2B: Jobb 2614 hos Hansen: direkte, indirekte og selvkost</t>
  </si>
  <si>
    <t xml:space="preserve">Nordlys bytter sikringsskap hos Hansen, jobbnummer 2614. Montørene bruker 14 timer, materiellet koster 9 800 kr, og kjøringen 800 kr. Ida skal finne ut hva jobben koster Nordlys.</t>
  </si>
  <si>
    <t xml:space="preserve">Direkte kostnader kan skrives på jobbnummeret. Indirekte kostnader er felles for alle jobbene og fordeles med en andel. Selvkost = direkte kostnader + andel indirekte. Boka kaller jobben et kalkyleobjekt.</t>
  </si>
  <si>
    <t xml:space="preserve">Spør for hver kostnad: kan Ida skrive den på jobbnummer 2614? Ja: direkte kostnad. Nei, den er felles for alle jobbene: indirekte kostnad.</t>
  </si>
  <si>
    <t xml:space="preserve">Sorter kostnadene for jobb 2614 (velg i nedtrekksmenyen)</t>
  </si>
  <si>
    <t xml:space="preserve">Montørtimer på jobben, 14 timer à 640 kr</t>
  </si>
  <si>
    <t xml:space="preserve">Sikringsskap, kabel og vern til Hansen</t>
  </si>
  <si>
    <t xml:space="preserve">Kjøring til Hansen</t>
  </si>
  <si>
    <t xml:space="preserve">Husleie for lokalet</t>
  </si>
  <si>
    <t xml:space="preserve">Karis lønn på kontoret</t>
  </si>
  <si>
    <t xml:space="preserve">Forsikring på servicebilene</t>
  </si>
  <si>
    <t xml:space="preserve">Idas tid på å regne tilbudet</t>
  </si>
  <si>
    <t xml:space="preserve">Regn selvkosten</t>
  </si>
  <si>
    <t xml:space="preserve">Direkte kostnader er montørtimer (14 × 640), materiell 9 800 og kjøring 800. Jobbens andel av de indirekte kostnadene er anslått til 4 200 kr (hvordan den fordeles, er kapittel 5).</t>
  </si>
  <si>
    <t xml:space="preserve">Sum direkte kostnader</t>
  </si>
  <si>
    <t xml:space="preserve">Selvkost for jobben (direkte + andel indirekte)</t>
  </si>
  <si>
    <t xml:space="preserve">Hvorfor er direkte kostnader alltid variable, mens indirekte kan være både faste og variable? Bruk skapet og strømmen som eksempler.</t>
  </si>
  <si>
    <t xml:space="preserve">Oppgave 2C: Seks ladepunkter til borettslaget: lønner jobben seg?</t>
  </si>
  <si>
    <t xml:space="preserve">Borettslaget vil ha seks ladepunkter på parkeringsplassen. Ida har regnet et tilbud på 8 830 kr per ladepunkt. Kari spør om jobben lønner seg, og hva som kan gå galt.</t>
  </si>
  <si>
    <t xml:space="preserve">Selvkost = direkte kostnader + andel indirekte. Fortjeneste = pris − selvkost. Satsen for indirekte, 267 kr per montørtime, er Nordlys' faste kostnader delt på fakturerte timer (fra oppgave 1B).</t>
  </si>
  <si>
    <t xml:space="preserve">Hvert ladepunkt krever ladeboks og materiell for 6 500 kr og to montørtimer. Ida regner direkte lønnskostnad med 640 kr per time, og kjøringen til borettslaget koster 800 kr. De indirekte kostnadene fordeler hun med 267 kr per montørtime (3 840 000 / 14 400, avrundet). Prisen er 8 830 kr per ladepunkt uten merverdiavgift.</t>
  </si>
  <si>
    <t xml:space="preserve">Post</t>
  </si>
  <si>
    <t xml:space="preserve">Mengde</t>
  </si>
  <si>
    <t xml:space="preserve">Kr per enhet</t>
  </si>
  <si>
    <t xml:space="preserve">Ladeboks og materiell</t>
  </si>
  <si>
    <t xml:space="preserve">Montørtimer (timesats)</t>
  </si>
  <si>
    <t xml:space="preserve">Kjøring til borettslaget</t>
  </si>
  <si>
    <t xml:space="preserve">Indirekte, per montørtime</t>
  </si>
  <si>
    <t xml:space="preserve">Pris til kunden, uten merverdiavgift</t>
  </si>
  <si>
    <t xml:space="preserve">1. Regn de direkte kostnadene: materiell, montørtimer og kjøring.
2. Legg til andelen indirekte (12 timer × 267) og få selvkosten.
3. Regn prisen for seks ladepunkt, og fortjenesten (pris minus selvkost).
4. Svar på d og e.</t>
  </si>
  <si>
    <t xml:space="preserve">a) Sum direkte kostnader</t>
  </si>
  <si>
    <t xml:space="preserve">b) Selvkost (direkte + 12 timer × 267)</t>
  </si>
  <si>
    <t xml:space="preserve">c) Fortjeneste (6 × 8 830 minus selvkost)</t>
  </si>
  <si>
    <t xml:space="preserve">d) Er dette direkte for ladepunktjobben? Ladeboksene</t>
  </si>
  <si>
    <t xml:space="preserve">d) Er dette direkte for ladepunktjobben? Montørtimene på borettslaget</t>
  </si>
  <si>
    <t xml:space="preserve">d) Er dette direkte for ladepunktjobben? Kjøringen dit</t>
  </si>
  <si>
    <t xml:space="preserve">d) Er dette direkte for ladepunktjobben? Idas tid på tilbudet</t>
  </si>
  <si>
    <t xml:space="preserve">d) Er dette direkte for ladepunktjobben? Husleia</t>
  </si>
  <si>
    <t xml:space="preserve">d) Er dette direkte for ladepunktjobben? Forsikringen på bilene</t>
  </si>
  <si>
    <t xml:space="preserve">e) Fortjenesten i c er liten i prosent av prisen. Hva er usikkert i kalkylen, og hva bør Kari se etter før hun sier ja til jobben?</t>
  </si>
  <si>
    <t xml:space="preserve">Fasit, kapittel 2</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</si>
  <si>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</si>
  <si>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</si>
  <si>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</si>
  <si>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</si>
  <si>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Varekostnad april</t>
  </si>
  <si>
    <t xml:space="preserve">1 460 000 + 640 000 − 1 380 000 = 720 000 kr</t>
  </si>
  <si>
    <t xml:space="preserve">1A Utbetalt i april</t>
  </si>
  <si>
    <t xml:space="preserve">Marskjøpet, 890 000 kr, betales i april (30 dagers kreditt)</t>
  </si>
  <si>
    <t xml:space="preserve">1B Sorteringen</t>
  </si>
  <si>
    <t xml:space="preserve">Fast: husleie, forsikring, avskrivning, kontorlønn, strøm på verkstedet, kurs. Variabel: materiell, innleie, drivstoff, montørtimene. Kommer an på: lærlingens lønn, leasing.</t>
  </si>
  <si>
    <t xml:space="preserve">1B Faste per time, 14 400 timer</t>
  </si>
  <si>
    <t xml:space="preserve">3 840 000 / 14 400 = 267 kr</t>
  </si>
  <si>
    <t xml:space="preserve">1B Faste per time, 10 000 timer</t>
  </si>
  <si>
    <t xml:space="preserve">3 840 000 / 10 000 = 384 kr</t>
  </si>
  <si>
    <t xml:space="preserve">1C a) Varekostnad mai</t>
  </si>
  <si>
    <t xml:space="preserve">1 380 000 + 520 000 − 1 100 000 = 800 000 kr</t>
  </si>
  <si>
    <t xml:space="preserve">1C b) Utbetalt i mai</t>
  </si>
  <si>
    <t xml:space="preserve">Aprilkjøpet, 640 000 kr</t>
  </si>
  <si>
    <t xml:space="preserve">1C c) Mer ut enn kostnad</t>
  </si>
  <si>
    <t xml:space="preserve">Utbetalt 760 000 + 890 000 + 640 000 = 2 290 000. Varekostnad 680 000 + 720 000 + 800 000 = 2 200 000. Differanse 90 000 kr</t>
  </si>
  <si>
    <t xml:space="preserve">1C d) Idas feil</t>
  </si>
  <si>
    <t xml:space="preserve">Hun har glemt varekjøpet i mai. Riktig er 800 000, ikke 280 000</t>
  </si>
  <si>
    <t xml:space="preserve">1C e) Forklaringen til Kari</t>
  </si>
  <si>
    <t xml:space="preserve">Resultatet regnes med kostnaden (720 000 i april). Kontoen betalte utbetalingen (890 000, marskjøpet forfalt). Lageret på 1 380 000 binder penger. Tiltak: kjøpe nærmere jobbene, lengre kreditt hos Polarlys, eller et likviditetsbudsjett (kapittel 9)</t>
  </si>
  <si>
    <t xml:space="preserve">2A a) Lønnskostnad 46,8 %</t>
  </si>
  <si>
    <t xml:space="preserve">560 000 × 1,468 = 822 080 kr</t>
  </si>
  <si>
    <t xml:space="preserve">2A b) Montør 61 år</t>
  </si>
  <si>
    <t xml:space="preserve">46,8 + 2,6 = 49,4 %. 560 000 × 1,494 = 836 640 kr</t>
  </si>
  <si>
    <t xml:space="preserve">2A c) Minste pensjon</t>
  </si>
  <si>
    <t xml:space="preserve">46,8 − 6,8 = 40,0 %. 560 000 × 1,40 = 784 000 kr</t>
  </si>
  <si>
    <t xml:space="preserve">2A d) Timelønn</t>
  </si>
  <si>
    <t xml:space="preserve">560 000 / 1 800 = 311 kr</t>
  </si>
  <si>
    <t xml:space="preserve">2A e) Per betalt time</t>
  </si>
  <si>
    <t xml:space="preserve">822 080 / 1 800 = 457 kr</t>
  </si>
  <si>
    <t xml:space="preserve">2A f) Per fakturerbar time</t>
  </si>
  <si>
    <t xml:space="preserve">822 080 / 1 400 = 587 kr</t>
  </si>
  <si>
    <t xml:space="preserve">2A g) Til eieren</t>
  </si>
  <si>
    <t xml:space="preserve">311 er bare lønna. Hver fakturerbar time koster 587 kr i lønn. Timeprisen 890 skal i tillegg dekke bil, lokaler, utstyr og fortjeneste. Setter han prisen ut fra 311, taper Fjell penger på hver time</t>
  </si>
  <si>
    <t xml:space="preserve">2B Sorteringen</t>
  </si>
  <si>
    <t xml:space="preserve">Direkte: montørtimer, materiell, kjøring. Indirekte: husleie, Karis lønn, forsikring, strøm, Idas tid.</t>
  </si>
  <si>
    <t xml:space="preserve">2B Sum direkte</t>
  </si>
  <si>
    <t xml:space="preserve">8 960 + 9 800 + 800 = 19 560 kr</t>
  </si>
  <si>
    <t xml:space="preserve">2B Selvkost</t>
  </si>
  <si>
    <t xml:space="preserve">19 560 + 4 200 = 23 760 kr</t>
  </si>
  <si>
    <t xml:space="preserve">2C a) Direkte</t>
  </si>
  <si>
    <t xml:space="preserve">39 000 + 7 680 + 800 = 47 480 kr</t>
  </si>
  <si>
    <t xml:space="preserve">2C b) Selvkost</t>
  </si>
  <si>
    <t xml:space="preserve">47 480 + 3 204 = 50 684 kr</t>
  </si>
  <si>
    <t xml:space="preserve">2C c) Fortjeneste</t>
  </si>
  <si>
    <t xml:space="preserve">52 980 − 50 684 = 2 296 kr (4,3 % av prisen)</t>
  </si>
  <si>
    <t xml:space="preserve">2C d) Sorteringen</t>
  </si>
  <si>
    <t xml:space="preserve">Direkte: ladebokser, montørtimer, kjøring. Indirekte: Idas tid, husleie, forsikring</t>
  </si>
  <si>
    <t xml:space="preserve">2C e) Usikkert</t>
  </si>
  <si>
    <t xml:space="preserve">Timene per ladepunkt og satsen 267 kr. Tre timer i stedet for to gir tap. Kari bør sjekke timene mot erfaringen fra liknende jobber</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</si>
</sst>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5" fontId="0" fillId="4" borderId="1" xfId="0" applyFont="fals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16</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45" hidden="false" customHeight="true" outlineLevel="0" collapsed="false">
      <c r="B5" s="8" t="s">
        <v>19</v>
      </c>
      <c r="C5" s="8"/>
      <c r="D5" s="8"/>
      <c r="E5" s="8"/>
      <c r="F5" s="8"/>
      <c r="G5" s="8"/>
    </row>
    <row r="6" customFormat="false" ht="15.75" hidden="false" customHeight="true" outlineLevel="0" collapsed="false">
      <c r="B6" s="7" t="s">
        <v>20</v>
      </c>
      <c r="C6" s="7"/>
      <c r="D6" s="7"/>
      <c r="E6" s="7"/>
      <c r="F6" s="7"/>
      <c r="G6" s="7"/>
    </row>
    <row r="7" customFormat="false" ht="45" hidden="false" customHeight="true" outlineLevel="0" collapsed="false">
      <c r="B7" s="8" t="s">
        <v>21</v>
      </c>
      <c r="C7" s="8"/>
      <c r="D7" s="8"/>
      <c r="E7" s="8"/>
      <c r="F7" s="8"/>
      <c r="G7" s="8"/>
    </row>
    <row r="9" customFormat="false" ht="15.75" hidden="false" customHeight="true" outlineLevel="0" collapsed="false">
      <c r="B9" s="7" t="s">
        <v>22</v>
      </c>
      <c r="C9" s="7"/>
      <c r="D9" s="7"/>
      <c r="E9" s="7"/>
      <c r="F9" s="7"/>
      <c r="G9" s="7"/>
    </row>
    <row r="10" customFormat="false" ht="15" hidden="false" customHeight="true" outlineLevel="0" collapsed="false">
      <c r="B10" s="8" t="s">
        <v>23</v>
      </c>
      <c r="C10" s="8"/>
      <c r="D10" s="8"/>
      <c r="E10" s="8"/>
      <c r="F10" s="8"/>
      <c r="G10" s="8"/>
    </row>
    <row r="11" customFormat="false" ht="15" hidden="false" customHeight="false" outlineLevel="0" collapsed="false">
      <c r="B11" s="9"/>
      <c r="C11" s="10" t="s">
        <v>24</v>
      </c>
      <c r="D11" s="10" t="s">
        <v>25</v>
      </c>
    </row>
    <row r="12" customFormat="false" ht="15" hidden="false" customHeight="false" outlineLevel="0" collapsed="false">
      <c r="B12" s="11" t="s">
        <v>26</v>
      </c>
      <c r="C12" s="12" t="n">
        <v>1250000</v>
      </c>
      <c r="D12" s="13" t="n">
        <f aca="false">C14</f>
        <v>1460000</v>
      </c>
    </row>
    <row r="13" customFormat="false" ht="15" hidden="false" customHeight="false" outlineLevel="0" collapsed="false">
      <c r="B13" s="11" t="s">
        <v>27</v>
      </c>
      <c r="C13" s="12" t="n">
        <v>890000</v>
      </c>
      <c r="D13" s="12" t="n">
        <v>640000</v>
      </c>
    </row>
    <row r="14" customFormat="false" ht="15" hidden="false" customHeight="false" outlineLevel="0" collapsed="false">
      <c r="B14" s="11" t="s">
        <v>28</v>
      </c>
      <c r="C14" s="12" t="n">
        <v>1460000</v>
      </c>
      <c r="D14" s="12" t="n">
        <v>1380000</v>
      </c>
    </row>
    <row r="15" customFormat="false" ht="15" hidden="false" customHeight="false" outlineLevel="0" collapsed="false">
      <c r="B15" s="11" t="s">
        <v>29</v>
      </c>
      <c r="C15" s="13" t="n">
        <f aca="false">C12+C13-C14</f>
        <v>680000</v>
      </c>
      <c r="D15" s="14"/>
    </row>
    <row r="16" customFormat="false" ht="15" hidden="false" customHeight="false" outlineLevel="0" collapsed="false">
      <c r="B16" s="11" t="s">
        <v>30</v>
      </c>
      <c r="C16" s="12" t="n">
        <v>760000</v>
      </c>
      <c r="D16" s="14"/>
    </row>
    <row r="18" customFormat="false" ht="15.75" hidden="false" customHeight="true" outlineLevel="0" collapsed="false">
      <c r="B18" s="7" t="s">
        <v>31</v>
      </c>
      <c r="C18" s="7"/>
      <c r="D18" s="7"/>
      <c r="E18" s="7"/>
      <c r="F18" s="7"/>
      <c r="G18" s="7"/>
    </row>
    <row r="19" customFormat="false" ht="45" hidden="false" customHeight="true" outlineLevel="0" collapsed="false">
      <c r="B19" s="8" t="s">
        <v>32</v>
      </c>
      <c r="C19" s="8"/>
      <c r="D19" s="8"/>
      <c r="E19" s="8"/>
      <c r="F19" s="8"/>
      <c r="G19" s="8"/>
    </row>
    <row r="21" customFormat="false" ht="15" hidden="false" customHeight="false" outlineLevel="0" collapsed="false">
      <c r="B21" s="15" t="s">
        <v>33</v>
      </c>
    </row>
    <row r="22" customFormat="false" ht="36" hidden="false" customHeight="true" outlineLevel="0" collapsed="false">
      <c r="B22" s="0" t="s">
        <v>34</v>
      </c>
      <c r="C22" s="16" t="str">
        <f aca="false">IF(D15="","Skriv svaret i cellen D15.",IF(D15=(D12+D13-D14),"Riktig.",IF(D15=(D12-D14),"Du har glemt varekjøpet. Kostnad er lager ved start pluss kjøp minus lager ved slutt.",IF(D15=(D14-D12),"Du har tatt lager ved slutten minus lager ved starten. Snu rekkefølgen, og legg til varekjøpet.",IF(D15=(D13),"Du har svart varekjøpet. Det er utgiften, ikke kostnaden. Kostnaden er det som ble brukt opp.","Ikke riktig ennå. Kostnad er lager ved start pluss kjøp minus lager ved slutt. Sjekk at du har med alle tre.")))))</f>
        <v>Skriv svaret i cellen D15.</v>
      </c>
      <c r="D22" s="16"/>
      <c r="E22" s="16"/>
      <c r="F22" s="16"/>
      <c r="G22" s="16"/>
    </row>
    <row r="23" customFormat="false" ht="36" hidden="false" customHeight="true" outlineLevel="0" collapsed="false">
      <c r="B23" s="0" t="s">
        <v>35</v>
      </c>
      <c r="C23" s="16" t="str">
        <f aca="false">IF(D16="","Skriv svaret i cellen D16.",IF(D16=(C13),"Riktig.",IF(D16=(D13),"Du har tatt aprilkjøpet. Med 30 dagers kreditt betales det først i mai. I april betales marskjøpet.",IF(D16=(D15),"Du har svart varekostnaden. Utbetalingen er det som går ut av kontoen, altså forrige måneds kjøp.","Ikke riktig ennå. Kostnad er lager ved start pluss kjøp minus lager ved slutt. Sjekk at du har med alle tre."))))</f>
        <v>Skriv svaret i cellen D16.</v>
      </c>
      <c r="D23" s="16"/>
      <c r="E23" s="16"/>
      <c r="F23" s="16"/>
      <c r="G23" s="16"/>
    </row>
    <row r="25" customFormat="false" ht="15" hidden="false" customHeight="false" outlineLevel="0" collapsed="false">
      <c r="B25" s="17" t="s">
        <v>36</v>
      </c>
      <c r="C25" s="18"/>
    </row>
    <row r="26" customFormat="false" ht="31.5" hidden="false" customHeight="true" outlineLevel="0" collapsed="false">
      <c r="B26" s="19" t="str">
        <f aca="false">IF(C25="JA","Hint: Varekostnad i april = lager ved starten av april (lager ved slutten av mars, 1 460 000) + varekjøp i april (640 000) − lager ved slutten av april (1 380 000). Utbetalt i april = varekjøpet i mars, 890 000.","")</f>
        <v/>
      </c>
      <c r="C26" s="19"/>
      <c r="D26" s="19"/>
      <c r="E26" s="19"/>
      <c r="F26" s="19"/>
      <c r="G26" s="19"/>
    </row>
    <row r="28" customFormat="false" ht="30" hidden="false" customHeight="true" outlineLevel="0" collapsed="false">
      <c r="B28" s="6" t="s">
        <v>37</v>
      </c>
      <c r="C28" s="6"/>
      <c r="D28" s="6"/>
      <c r="E28" s="6"/>
      <c r="F28" s="6"/>
      <c r="G28" s="6"/>
    </row>
  </sheetData>
  <mergeCells count="14">
    <mergeCell ref="B2:G2"/>
    <mergeCell ref="B3:G3"/>
    <mergeCell ref="B4:G4"/>
    <mergeCell ref="B5:G5"/>
    <mergeCell ref="B6:G6"/>
    <mergeCell ref="B7:G7"/>
    <mergeCell ref="B9:G9"/>
    <mergeCell ref="B10:G10"/>
    <mergeCell ref="B18:G18"/>
    <mergeCell ref="B19:G19"/>
    <mergeCell ref="C22:G22"/>
    <mergeCell ref="C23:G23"/>
    <mergeCell ref="B26:G26"/>
    <mergeCell ref="B28:G28"/>
  </mergeCells>
  <conditionalFormatting sqref="C22">
    <cfRule type="expression" priority="2" aboveAverage="0" equalAverage="0" bottom="0" percent="0" rank="0" text="" dxfId="0">
      <formula>LEFT(C22,6)="Riktig"</formula>
    </cfRule>
    <cfRule type="expression" priority="3" aboveAverage="0" equalAverage="0" bottom="0" percent="0" rank="0" text="" dxfId="1">
      <formula>AND(C22&lt;&gt;"",LEFT(C22,6)&lt;&gt;"Riktig",LEFT(C22,5)&lt;&gt;"Skriv")</formula>
    </cfRule>
  </conditionalFormatting>
  <conditionalFormatting sqref="C23">
    <cfRule type="expression" priority="4" aboveAverage="0" equalAverage="0" bottom="0" percent="0" rank="0" text="" dxfId="0">
      <formula>LEFT(C23,6)="Riktig"</formula>
    </cfRule>
    <cfRule type="expression" priority="5" aboveAverage="0" equalAverage="0" bottom="0" percent="0" rank="0" text="" dxfId="1">
      <formula>AND(C23&lt;&gt;"",LEFT(C23,6)&lt;&gt;"Riktig",LEFT(C23,5)&lt;&gt;"Skriv")</formula>
    </cfRule>
  </conditionalFormatting>
  <dataValidations count="1">
    <dataValidation allowBlank="true" errorStyle="stop" operator="between" showDropDown="false" showErrorMessage="false" showInputMessage="false" sqref="C2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38</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39</v>
      </c>
      <c r="C5" s="8"/>
      <c r="D5" s="8"/>
      <c r="E5" s="8"/>
      <c r="F5" s="8"/>
      <c r="G5" s="8"/>
    </row>
    <row r="6" customFormat="false" ht="15.75" hidden="false" customHeight="true" outlineLevel="0" collapsed="false">
      <c r="B6" s="7" t="s">
        <v>20</v>
      </c>
      <c r="C6" s="7"/>
      <c r="D6" s="7"/>
      <c r="E6" s="7"/>
      <c r="F6" s="7"/>
      <c r="G6" s="7"/>
    </row>
    <row r="7" customFormat="false" ht="30" hidden="false" customHeight="true" outlineLevel="0" collapsed="false">
      <c r="B7" s="8" t="s">
        <v>40</v>
      </c>
      <c r="C7" s="8"/>
      <c r="D7" s="8"/>
      <c r="E7" s="8"/>
      <c r="F7" s="8"/>
      <c r="G7" s="8"/>
    </row>
    <row r="9" customFormat="false" ht="15.75" hidden="false" customHeight="true" outlineLevel="0" collapsed="false">
      <c r="B9" s="7" t="s">
        <v>41</v>
      </c>
      <c r="C9" s="7"/>
      <c r="D9" s="7"/>
      <c r="E9" s="7"/>
      <c r="F9" s="7"/>
      <c r="G9" s="7"/>
    </row>
    <row r="10" customFormat="false" ht="30" hidden="false" customHeight="true" outlineLevel="0" collapsed="false">
      <c r="B10" s="8" t="s">
        <v>42</v>
      </c>
      <c r="C10" s="8"/>
      <c r="D10" s="8"/>
      <c r="E10" s="8"/>
      <c r="F10" s="8"/>
      <c r="G10" s="8"/>
    </row>
    <row r="12" customFormat="false" ht="15" hidden="false" customHeight="true" outlineLevel="0" collapsed="false">
      <c r="B12" s="20" t="s">
        <v>43</v>
      </c>
      <c r="C12" s="20"/>
      <c r="D12" s="20"/>
      <c r="E12" s="20"/>
      <c r="F12" s="20"/>
      <c r="G12" s="20"/>
    </row>
    <row r="13" customFormat="false" ht="39.75" hidden="false" customHeight="true" outlineLevel="0" collapsed="false">
      <c r="B13" s="21" t="s">
        <v>44</v>
      </c>
      <c r="C13" s="18"/>
      <c r="G13" s="22" t="str">
        <f aca="false">IF(C13="","Velg i nedtrekksmenyen.",IF(C13="Fast","Riktig. Husleia kommer uansett om det er jobber eller ikke. Boka kaller det en kapasitetskostnad.","Ikke riktig. Husleia kommer uansett om det er jobber eller ikke. Boka kaller det en kapasitetskostnad."))</f>
        <v>Velg i nedtrekksmenyen.</v>
      </c>
    </row>
    <row r="14" customFormat="false" ht="39.75" hidden="false" customHeight="true" outlineLevel="0" collapsed="false">
      <c r="B14" s="21" t="s">
        <v>45</v>
      </c>
      <c r="C14" s="18"/>
      <c r="G14" s="22" t="str">
        <f aca="false">IF(C14="","Velg i nedtrekksmenyen.",IF(C14="Fast","Riktig. Forsikringen løper hele året, uavhengig av antall jobber.","Ikke riktig. Forsikringen løper hele året, uavhengig av antall jobber."))</f>
        <v>Velg i nedtrekksmenyen.</v>
      </c>
    </row>
    <row r="15" customFormat="false" ht="39.75" hidden="false" customHeight="true" outlineLevel="0" collapsed="false">
      <c r="B15" s="21" t="s">
        <v>46</v>
      </c>
      <c r="C15" s="18"/>
      <c r="G15" s="22" t="str">
        <f aca="false">IF(C15="","Velg i nedtrekksmenyen.",IF(C15="Fast","Riktig. Bilene taper verdi enten de er ute eller inne.","Ikke riktig. Bilene taper verdi enten de er ute eller inne."))</f>
        <v>Velg i nedtrekksmenyen.</v>
      </c>
    </row>
    <row r="16" customFormat="false" ht="39.75" hidden="false" customHeight="true" outlineLevel="0" collapsed="false">
      <c r="B16" s="21" t="s">
        <v>47</v>
      </c>
      <c r="C16" s="18"/>
      <c r="G16" s="22" t="str">
        <f aca="false">IF(C16="","Velg i nedtrekksmenyen.",IF(C16="Fast","Riktig. Administrasjonen er der uansett. Det er en fast kostnad.","Ikke riktig. Administrasjonen er der uansett. Det er en fast kostnad."))</f>
        <v>Velg i nedtrekksmenyen.</v>
      </c>
    </row>
    <row r="17" customFormat="false" ht="39.75" hidden="false" customHeight="true" outlineLevel="0" collapsed="false">
      <c r="B17" s="21" t="s">
        <v>48</v>
      </c>
      <c r="C17" s="18"/>
      <c r="G17" s="22" t="str">
        <f aca="false">IF(C17="","Velg i nedtrekksmenyen.",IF(C17="Variabel","Riktig. Sier Nordlys nei til jobben, kjøpes ikke materiellet.","Ikke riktig. Sier Nordlys nei til jobben, kjøpes ikke materiellet."))</f>
        <v>Velg i nedtrekksmenyen.</v>
      </c>
    </row>
    <row r="18" customFormat="false" ht="39.75" hidden="false" customHeight="true" outlineLevel="0" collapsed="false">
      <c r="B18" s="21" t="s">
        <v>49</v>
      </c>
      <c r="C18" s="18"/>
      <c r="G18" s="22" t="str">
        <f aca="false">IF(C18="","Velg i nedtrekksmenyen.",IF(C18="Variabel","Riktig. Innleien gjelder akkurat dette prosjektet.","Ikke riktig. Innleien gjelder akkurat dette prosjektet."))</f>
        <v>Velg i nedtrekksmenyen.</v>
      </c>
    </row>
    <row r="19" customFormat="false" ht="39.75" hidden="false" customHeight="true" outlineLevel="0" collapsed="false">
      <c r="B19" s="21" t="s">
        <v>50</v>
      </c>
      <c r="C19" s="18"/>
      <c r="G19" s="22" t="str">
        <f aca="false">IF(C19="","Velg i nedtrekksmenyen.",IF(C19="Variabel","Riktig. Kjøringen følger jobben.","Ikke riktig. Kjøringen følger jobben."))</f>
        <v>Velg i nedtrekksmenyen.</v>
      </c>
    </row>
    <row r="20" customFormat="false" ht="39.75" hidden="false" customHeight="true" outlineLevel="0" collapsed="false">
      <c r="B20" s="21" t="s">
        <v>51</v>
      </c>
      <c r="C20" s="18"/>
      <c r="G20" s="22" t="str">
        <f aca="false">IF(C20="","Velg i nedtrekksmenyen.",IF(C20="Variabel","Riktig. Boka regner montørlønn som variabel: timene følger jobbene (vei 1 i kapittel 2).","Ikke riktig. Boka regner montørlønn som variabel: timene følger jobbene (vei 1 i kapittel 2)."))</f>
        <v>Velg i nedtrekksmenyen.</v>
      </c>
    </row>
    <row r="21" customFormat="false" ht="39.75" hidden="false" customHeight="true" outlineLevel="0" collapsed="false">
      <c r="B21" s="21" t="s">
        <v>52</v>
      </c>
      <c r="C21" s="18"/>
      <c r="G21" s="22" t="str">
        <f aca="false">IF(C21="","Velg i nedtrekksmenyen.",IF(C21="Fast","Riktig. Strømmen på verkstedet varierer litt, men ikke med antall jobber. Boka regner den som fast.","Ikke riktig. Strømmen på verkstedet varierer litt, men ikke med antall jobber. Boka regner den som fast."))</f>
        <v>Velg i nedtrekksmenyen.</v>
      </c>
    </row>
    <row r="22" customFormat="false" ht="39.75" hidden="false" customHeight="true" outlineLevel="0" collapsed="false">
      <c r="B22" s="21" t="s">
        <v>53</v>
      </c>
      <c r="C22" s="18"/>
      <c r="G22" s="22" t="str">
        <f aca="false">IF(C22="","Velg i nedtrekksmenyen.",IF(C22="Kommer an på","Riktig. Lønna er fast så lenge lærlingen er ansatt, men timene hans på jobbene er variable. Boka lar deg velge, men vær tydelig på hva du har valgt.","Ikke riktig. Lønna er fast så lenge lærlingen er ansatt, men timene hans på jobbene er variable. Boka lar deg velge, men vær tydelig på hva du har valgt."))</f>
        <v>Velg i nedtrekksmenyen.</v>
      </c>
    </row>
    <row r="23" customFormat="false" ht="39.75" hidden="false" customHeight="true" outlineLevel="0" collapsed="false">
      <c r="B23" s="21" t="s">
        <v>54</v>
      </c>
      <c r="C23" s="18"/>
      <c r="G23" s="22" t="str">
        <f aca="false">IF(C23="","Velg i nedtrekksmenyen.",IF(C23="Kommer an på","Riktig. Fast så lenge avtalen løper. Kan sies opp eller justeres når avtalen går ut.","Ikke riktig. Fast så lenge avtalen løper. Kan sies opp eller justeres når avtalen går ut."))</f>
        <v>Velg i nedtrekksmenyen.</v>
      </c>
    </row>
    <row r="24" customFormat="false" ht="39.75" hidden="false" customHeight="true" outlineLevel="0" collapsed="false">
      <c r="B24" s="21" t="s">
        <v>55</v>
      </c>
      <c r="C24" s="18"/>
      <c r="G24" s="22" t="str">
        <f aca="false">IF(C24="","Velg i nedtrekksmenyen.",IF(C24="Fast","Riktig. Kursene må tas enten det er travelt eller stille.","Ikke riktig. Kursene må tas enten det er travelt eller stille."))</f>
        <v>Velg i nedtrekksmenyen.</v>
      </c>
    </row>
    <row r="26" customFormat="false" ht="15.75" hidden="false" customHeight="true" outlineLevel="0" collapsed="false">
      <c r="B26" s="7" t="s">
        <v>56</v>
      </c>
      <c r="C26" s="7"/>
      <c r="D26" s="7"/>
      <c r="E26" s="7"/>
      <c r="F26" s="7"/>
      <c r="G26" s="7"/>
    </row>
    <row r="27" customFormat="false" ht="45" hidden="false" customHeight="true" outlineLevel="0" collapsed="false">
      <c r="B27" s="8" t="s">
        <v>57</v>
      </c>
      <c r="C27" s="8"/>
      <c r="D27" s="8"/>
      <c r="E27" s="8"/>
      <c r="F27" s="8"/>
      <c r="G27" s="8"/>
    </row>
    <row r="28" customFormat="false" ht="43.5" hidden="false" customHeight="true" outlineLevel="0" collapsed="false">
      <c r="B28" s="21" t="s">
        <v>58</v>
      </c>
      <c r="C28" s="14"/>
      <c r="D28" s="23" t="s">
        <v>59</v>
      </c>
      <c r="G28" s="22" t="str">
        <f aca="false">IF(C28="","Skriv svaret i den gule cellen.",IF(ABS(C28-(ROUND(3840000/14400,0)))&lt;=1,"Riktig.",IF(ABS(C28-(ROUND(14400/3840000,0)))&lt;=1,"Du har delt motsatt vei. Det er kostnadene som skal deles på timene.",IF(ABS(C28-(ROUND(21056000/14400,0)))&lt;=1,"Du har brukt alle kostnadene, 21 056 000. Her er det bare de faste, 3 840 000.","Ikke riktig ennå. Se på regnestykket øverst på fanen, og sjekk at du har med alle leddene."))))</f>
        <v>Skriv svaret i den gule cellen.</v>
      </c>
    </row>
    <row r="29" customFormat="false" ht="43.5" hidden="false" customHeight="true" outlineLevel="0" collapsed="false">
      <c r="B29" s="21" t="s">
        <v>60</v>
      </c>
      <c r="C29" s="14"/>
      <c r="D29" s="23" t="s">
        <v>59</v>
      </c>
      <c r="G29" s="22" t="str">
        <f aca="false">IF(C29="","Skriv svaret i den gule cellen.",IF(ABS(C29-(ROUND(3840000/10000,0)))&lt;=1,"Riktig.",IF(ABS(C29-(ROUND(3840000/14400,0)))&lt;=1,"Det er svaret for 14 400 timer. Nå er det 10 000 timer; del på det.","Ikke riktig ennå. Se på regnestykket øverst på fanen, og sjekk at du har med alle leddene.")))</f>
        <v>Skriv svaret i den gule cellen.</v>
      </c>
    </row>
    <row r="31" customFormat="false" ht="30" hidden="false" customHeight="true" outlineLevel="0" collapsed="false">
      <c r="B31" s="8" t="s">
        <v>61</v>
      </c>
      <c r="C31" s="8"/>
      <c r="D31" s="8"/>
      <c r="E31" s="8"/>
      <c r="F31" s="8"/>
      <c r="G31" s="8"/>
    </row>
    <row r="32" customFormat="false" ht="21.75" hidden="false" customHeight="true" outlineLevel="0" collapsed="false">
      <c r="B32" s="24"/>
      <c r="C32" s="24"/>
      <c r="D32" s="24"/>
      <c r="E32" s="24"/>
      <c r="F32" s="24"/>
      <c r="G32" s="24"/>
    </row>
    <row r="33" customFormat="false" ht="21.75" hidden="false" customHeight="true" outlineLevel="0" collapsed="false">
      <c r="B33" s="24"/>
      <c r="C33" s="24"/>
      <c r="D33" s="24"/>
      <c r="E33" s="24"/>
      <c r="F33" s="24"/>
      <c r="G33" s="24"/>
    </row>
    <row r="34" customFormat="false" ht="21.75" hidden="false" customHeight="true" outlineLevel="0" collapsed="false">
      <c r="B34" s="24"/>
      <c r="C34" s="24"/>
      <c r="D34" s="24"/>
      <c r="E34" s="24"/>
      <c r="F34" s="24"/>
      <c r="G34" s="24"/>
    </row>
    <row r="35" customFormat="false" ht="39.75" hidden="false" customHeight="true" outlineLevel="0" collapsed="false">
      <c r="B35" s="25" t="str">
        <f aca="false">IF(LEN(B32)&lt;40,"",IF(AND(ISNUMBER(SEARCH("stille",B32)),ISNUMBER(SEARCH("pris",B32))),"Bra: du har med både at de faste per time stiger når det blir stille, og hva det betyr for prisen.",IF(OR(ISNUMBER(SEARCH("stille",B32)),ISNUMBER(SEARCH("pris",B32))),"Du er på sporet. Si også hva det bør bety for timeprisen i en stille periode.","Tips: de faste kostnadene står stille i kroner, men per time stiger de når timene blir færre. Derfor må timeprisen opp, ikke ned, når det er stille.")))</f>
        <v/>
      </c>
      <c r="C35" s="25"/>
      <c r="D35" s="25"/>
      <c r="E35" s="25"/>
      <c r="F35" s="25"/>
      <c r="G35" s="25"/>
    </row>
    <row r="36" customFormat="false" ht="15" hidden="false" customHeight="false" outlineLevel="0" collapsed="false">
      <c r="B36" s="17" t="s">
        <v>36</v>
      </c>
      <c r="C36" s="18"/>
    </row>
    <row r="37" customFormat="false" ht="31.5" hidden="false" customHeight="true" outlineLevel="0" collapsed="false">
      <c r="B37" s="19" t="str">
        <f aca="false">IF(C36="JA","Hint: 3 840 000 delt på 14 400 timer er 267 kr per time. 3 840 000 delt på 10 000 timer er 384 kr per time. De faste kostnadene er de samme; det er timene som er færre.","")</f>
        <v/>
      </c>
      <c r="C37" s="19"/>
      <c r="D37" s="19"/>
      <c r="E37" s="19"/>
      <c r="F37" s="19"/>
      <c r="G37" s="19"/>
    </row>
    <row r="39" customFormat="false" ht="30" hidden="false" customHeight="true" outlineLevel="0" collapsed="false">
      <c r="B39" s="6" t="s">
        <v>37</v>
      </c>
      <c r="C39" s="6"/>
      <c r="D39" s="6"/>
      <c r="E39" s="6"/>
      <c r="F39" s="6"/>
      <c r="G39" s="6"/>
    </row>
  </sheetData>
  <mergeCells count="16">
    <mergeCell ref="B2:G2"/>
    <mergeCell ref="B3:G3"/>
    <mergeCell ref="B4:G4"/>
    <mergeCell ref="B5:G5"/>
    <mergeCell ref="B6:G6"/>
    <mergeCell ref="B7:G7"/>
    <mergeCell ref="B9:G9"/>
    <mergeCell ref="B10:G10"/>
    <mergeCell ref="B12:G12"/>
    <mergeCell ref="B26:G26"/>
    <mergeCell ref="B27:G27"/>
    <mergeCell ref="B31:G31"/>
    <mergeCell ref="B32:G34"/>
    <mergeCell ref="B35:G35"/>
    <mergeCell ref="B37:G37"/>
    <mergeCell ref="B39:G39"/>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1">
    <cfRule type="expression" priority="18" aboveAverage="0" equalAverage="0" bottom="0" percent="0" rank="0" text="" dxfId="0">
      <formula>LEFT(G21,6)="Riktig"</formula>
    </cfRule>
    <cfRule type="expression" priority="19" aboveAverage="0" equalAverage="0" bottom="0" percent="0" rank="0" text="" dxfId="1">
      <formula>LEFT(G21,4)="Ikke"</formula>
    </cfRule>
  </conditionalFormatting>
  <conditionalFormatting sqref="G22">
    <cfRule type="expression" priority="20" aboveAverage="0" equalAverage="0" bottom="0" percent="0" rank="0" text="" dxfId="0">
      <formula>LEFT(G22,6)="Riktig"</formula>
    </cfRule>
    <cfRule type="expression" priority="21" aboveAverage="0" equalAverage="0" bottom="0" percent="0" rank="0" text="" dxfId="1">
      <formula>LEFT(G22,4)="Ikke"</formula>
    </cfRule>
  </conditionalFormatting>
  <conditionalFormatting sqref="G23">
    <cfRule type="expression" priority="22" aboveAverage="0" equalAverage="0" bottom="0" percent="0" rank="0" text="" dxfId="0">
      <formula>LEFT(G23,6)="Riktig"</formula>
    </cfRule>
    <cfRule type="expression" priority="23" aboveAverage="0" equalAverage="0" bottom="0" percent="0" rank="0" text="" dxfId="1">
      <formula>LEFT(G23,4)="Ikke"</formula>
    </cfRule>
  </conditionalFormatting>
  <conditionalFormatting sqref="G24">
    <cfRule type="expression" priority="24" aboveAverage="0" equalAverage="0" bottom="0" percent="0" rank="0" text="" dxfId="0">
      <formula>LEFT(G24,6)="Riktig"</formula>
    </cfRule>
    <cfRule type="expression" priority="25" aboveAverage="0" equalAverage="0" bottom="0" percent="0" rank="0" text="" dxfId="1">
      <formula>LEFT(G24,4)="Ikke"</formula>
    </cfRule>
  </conditionalFormatting>
  <conditionalFormatting sqref="G28">
    <cfRule type="expression" priority="26" aboveAverage="0" equalAverage="0" bottom="0" percent="0" rank="0" text="" dxfId="0">
      <formula>LEFT(G28,6)="Riktig"</formula>
    </cfRule>
    <cfRule type="expression" priority="27" aboveAverage="0" equalAverage="0" bottom="0" percent="0" rank="0" text="" dxfId="1">
      <formula>AND(G28&lt;&gt;"",LEFT(G28,6)&lt;&gt;"Riktig",LEFT(G28,5)&lt;&gt;"Skriv")</formula>
    </cfRule>
  </conditionalFormatting>
  <conditionalFormatting sqref="G29">
    <cfRule type="expression" priority="28" aboveAverage="0" equalAverage="0" bottom="0" percent="0" rank="0" text="" dxfId="0">
      <formula>LEFT(G29,6)="Riktig"</formula>
    </cfRule>
    <cfRule type="expression" priority="29" aboveAverage="0" equalAverage="0" bottom="0" percent="0" rank="0" text="" dxfId="1">
      <formula>AND(G29&lt;&gt;"",LEFT(G29,6)&lt;&gt;"Riktig",LEFT(G29,5)&lt;&gt;"Skriv")</formula>
    </cfRule>
  </conditionalFormatting>
  <dataValidations count="13">
    <dataValidation allowBlank="true" errorStyle="stop" operator="between" showDropDown="false" showErrorMessage="false" showInputMessage="false" sqref="C13" type="list">
      <formula1>"Fast,Variabel,Kommer an på"</formula1>
      <formula2>0</formula2>
    </dataValidation>
    <dataValidation allowBlank="true" errorStyle="stop" operator="between" showDropDown="false" showErrorMessage="false" showInputMessage="false" sqref="C14" type="list">
      <formula1>"Fast,Variabel,Kommer an på"</formula1>
      <formula2>0</formula2>
    </dataValidation>
    <dataValidation allowBlank="true" errorStyle="stop" operator="between" showDropDown="false" showErrorMessage="false" showInputMessage="false" sqref="C15" type="list">
      <formula1>"Fast,Variabel,Kommer an på"</formula1>
      <formula2>0</formula2>
    </dataValidation>
    <dataValidation allowBlank="true" errorStyle="stop" operator="between" showDropDown="false" showErrorMessage="false" showInputMessage="false" sqref="C16" type="list">
      <formula1>"Fast,Variabel,Kommer an på"</formula1>
      <formula2>0</formula2>
    </dataValidation>
    <dataValidation allowBlank="true" errorStyle="stop" operator="between" showDropDown="false" showErrorMessage="false" showInputMessage="false" sqref="C17" type="list">
      <formula1>"Fast,Variabel,Kommer an på"</formula1>
      <formula2>0</formula2>
    </dataValidation>
    <dataValidation allowBlank="true" errorStyle="stop" operator="between" showDropDown="false" showErrorMessage="false" showInputMessage="false" sqref="C18" type="list">
      <formula1>"Fast,Variabel,Kommer an på"</formula1>
      <formula2>0</formula2>
    </dataValidation>
    <dataValidation allowBlank="true" errorStyle="stop" operator="between" showDropDown="false" showErrorMessage="false" showInputMessage="false" sqref="C19" type="list">
      <formula1>"Fast,Variabel,Kommer an på"</formula1>
      <formula2>0</formula2>
    </dataValidation>
    <dataValidation allowBlank="true" errorStyle="stop" operator="between" showDropDown="false" showErrorMessage="false" showInputMessage="false" sqref="C20" type="list">
      <formula1>"Fast,Variabel,Kommer an på"</formula1>
      <formula2>0</formula2>
    </dataValidation>
    <dataValidation allowBlank="true" errorStyle="stop" operator="between" showDropDown="false" showErrorMessage="false" showInputMessage="false" sqref="C21" type="list">
      <formula1>"Fast,Variabel,Kommer an på"</formula1>
      <formula2>0</formula2>
    </dataValidation>
    <dataValidation allowBlank="true" errorStyle="stop" operator="between" showDropDown="false" showErrorMessage="false" showInputMessage="false" sqref="C22" type="list">
      <formula1>"Fast,Variabel,Kommer an på"</formula1>
      <formula2>0</formula2>
    </dataValidation>
    <dataValidation allowBlank="true" errorStyle="stop" operator="between" showDropDown="false" showErrorMessage="false" showInputMessage="false" sqref="C23" type="list">
      <formula1>"Fast,Variabel,Kommer an på"</formula1>
      <formula2>0</formula2>
    </dataValidation>
    <dataValidation allowBlank="true" errorStyle="stop" operator="between" showDropDown="false" showErrorMessage="false" showInputMessage="false" sqref="C24" type="list">
      <formula1>"Fast,Variabel,Kommer an på"</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62</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63</v>
      </c>
      <c r="C5" s="8"/>
      <c r="D5" s="8"/>
      <c r="E5" s="8"/>
      <c r="F5" s="8"/>
      <c r="G5" s="8"/>
    </row>
    <row r="6" customFormat="false" ht="15.75" hidden="false" customHeight="true" outlineLevel="0" collapsed="false">
      <c r="B6" s="7" t="s">
        <v>20</v>
      </c>
      <c r="C6" s="7"/>
      <c r="D6" s="7"/>
      <c r="E6" s="7"/>
      <c r="F6" s="7"/>
      <c r="G6" s="7"/>
    </row>
    <row r="7" customFormat="false" ht="30" hidden="false" customHeight="true" outlineLevel="0" collapsed="false">
      <c r="B7" s="8" t="s">
        <v>64</v>
      </c>
      <c r="C7" s="8"/>
      <c r="D7" s="8"/>
      <c r="E7" s="8"/>
      <c r="F7" s="8"/>
      <c r="G7" s="8"/>
    </row>
    <row r="9" customFormat="false" ht="15.75" hidden="false" customHeight="true" outlineLevel="0" collapsed="false">
      <c r="B9" s="7" t="s">
        <v>22</v>
      </c>
      <c r="C9" s="7"/>
      <c r="D9" s="7"/>
      <c r="E9" s="7"/>
      <c r="F9" s="7"/>
      <c r="G9" s="7"/>
    </row>
    <row r="10" customFormat="false" ht="15" hidden="false" customHeight="true" outlineLevel="0" collapsed="false">
      <c r="B10" s="8" t="s">
        <v>65</v>
      </c>
      <c r="C10" s="8"/>
      <c r="D10" s="8"/>
      <c r="E10" s="8"/>
      <c r="F10" s="8"/>
      <c r="G10" s="8"/>
    </row>
    <row r="11" customFormat="false" ht="15" hidden="false" customHeight="false" outlineLevel="0" collapsed="false">
      <c r="B11" s="9"/>
      <c r="C11" s="10" t="s">
        <v>24</v>
      </c>
      <c r="D11" s="10" t="s">
        <v>25</v>
      </c>
      <c r="E11" s="10" t="s">
        <v>66</v>
      </c>
    </row>
    <row r="12" customFormat="false" ht="15" hidden="false" customHeight="false" outlineLevel="0" collapsed="false">
      <c r="B12" s="11" t="s">
        <v>26</v>
      </c>
      <c r="C12" s="12" t="n">
        <v>1250000</v>
      </c>
      <c r="D12" s="13" t="n">
        <f aca="false">C14</f>
        <v>1460000</v>
      </c>
      <c r="E12" s="13" t="n">
        <f aca="false">D14</f>
        <v>1380000</v>
      </c>
    </row>
    <row r="13" customFormat="false" ht="15" hidden="false" customHeight="false" outlineLevel="0" collapsed="false">
      <c r="B13" s="11" t="s">
        <v>67</v>
      </c>
      <c r="C13" s="12" t="n">
        <v>890000</v>
      </c>
      <c r="D13" s="12" t="n">
        <v>640000</v>
      </c>
      <c r="E13" s="12" t="n">
        <v>520000</v>
      </c>
    </row>
    <row r="14" customFormat="false" ht="15" hidden="false" customHeight="false" outlineLevel="0" collapsed="false">
      <c r="B14" s="11" t="s">
        <v>68</v>
      </c>
      <c r="C14" s="12" t="n">
        <v>1460000</v>
      </c>
      <c r="D14" s="12" t="n">
        <v>1380000</v>
      </c>
      <c r="E14" s="12" t="n">
        <v>1100000</v>
      </c>
    </row>
    <row r="15" customFormat="false" ht="15" hidden="false" customHeight="false" outlineLevel="0" collapsed="false">
      <c r="B15" s="11" t="s">
        <v>69</v>
      </c>
      <c r="C15" s="13" t="n">
        <f aca="false">C12+C13-C14</f>
        <v>680000</v>
      </c>
      <c r="D15" s="14"/>
      <c r="E15" s="14"/>
    </row>
    <row r="16" customFormat="false" ht="15" hidden="false" customHeight="false" outlineLevel="0" collapsed="false">
      <c r="B16" s="11" t="s">
        <v>70</v>
      </c>
      <c r="C16" s="12" t="n">
        <v>760000</v>
      </c>
      <c r="D16" s="14"/>
      <c r="E16" s="14"/>
    </row>
    <row r="18" customFormat="false" ht="15.75" hidden="false" customHeight="true" outlineLevel="0" collapsed="false">
      <c r="B18" s="7" t="s">
        <v>31</v>
      </c>
      <c r="C18" s="7"/>
      <c r="D18" s="7"/>
      <c r="E18" s="7"/>
      <c r="F18" s="7"/>
      <c r="G18" s="7"/>
    </row>
    <row r="19" customFormat="false" ht="45" hidden="false" customHeight="true" outlineLevel="0" collapsed="false">
      <c r="B19" s="8" t="s">
        <v>71</v>
      </c>
      <c r="C19" s="8"/>
      <c r="D19" s="8"/>
      <c r="E19" s="8"/>
      <c r="F19" s="8"/>
      <c r="G19" s="8"/>
    </row>
    <row r="21" customFormat="false" ht="43.5" hidden="false" customHeight="true" outlineLevel="0" collapsed="false">
      <c r="B21" s="21" t="s">
        <v>72</v>
      </c>
      <c r="C21" s="14"/>
      <c r="D21" s="23" t="s">
        <v>73</v>
      </c>
      <c r="G21" s="22" t="str">
        <f aca="false">IF(C21="","Skriv svaret i den gule cellen.",IF(C21=(E12+E13-E14),"Riktig.",IF(ABS(C21-(E12-E14))&lt;=0,"Du har glemt varekjøpet i mai, 520 000.",IF(ABS(C21-(E14-E12))&lt;=0,"Snu rekkefølgen: lager ved start minus lager ved slutt, og legg til kjøpet.","Ikke riktig ennå. Se på regnestykket øverst på fanen, og sjekk at du har med alle leddene."))))</f>
        <v>Skriv svaret i den gule cellen.</v>
      </c>
    </row>
    <row r="22" customFormat="false" ht="43.5" hidden="false" customHeight="true" outlineLevel="0" collapsed="false">
      <c r="B22" s="21" t="s">
        <v>74</v>
      </c>
      <c r="C22" s="14"/>
      <c r="D22" s="23" t="s">
        <v>73</v>
      </c>
      <c r="G22" s="22" t="str">
        <f aca="false">IF(C22="","Skriv svaret i den gule cellen.",IF(C22=(D13),"Riktig.",IF(ABS(C22-(E13))&lt;=0,"Du har tatt maikjøpet. Det betales i juni. I mai betales aprilkjøpet.","Ikke riktig ennå. Se på regnestykket øverst på fanen, og sjekk at du har med alle leddene.")))</f>
        <v>Skriv svaret i den gule cellen.</v>
      </c>
    </row>
    <row r="23" customFormat="false" ht="43.5" hidden="false" customHeight="true" outlineLevel="0" collapsed="false">
      <c r="B23" s="21" t="s">
        <v>75</v>
      </c>
      <c r="C23" s="14"/>
      <c r="D23" s="23" t="s">
        <v>73</v>
      </c>
      <c r="G23" s="22" t="str">
        <f aca="false">IF(C23="","Skriv svaret i den gule cellen.",IF(C23=((C16+C13+D13)-(C15+(D12+D13-D14)+(E12+E13-E14))),"Riktig.",IF(ABS(C23-(C16+C13+D13))&lt;=0,"Du har svart summen av utbetalingene. Trekk fra summen av varekostnadene.",IF(ABS(C23-((C13+D13+E13)-(C15+(D12+D13-D14)+(E12+E13-E14))))&lt;=0,"Du har brukt utgiftene (kjøpene) i stedet for utbetalingene. Utbetalt i mars er februarkjøpet, 760 000.","Ikke riktig ennå. Sum utbetalt (760 000 + 890 000 + 640 000) minus sum varekostnad (680 000 + 720 000 + 800 000)."))))</f>
        <v>Skriv svaret i den gule cellen.</v>
      </c>
    </row>
    <row r="25" customFormat="false" ht="39.75" hidden="false" customHeight="true" outlineLevel="0" collapsed="false">
      <c r="B25" s="21" t="s">
        <v>76</v>
      </c>
      <c r="C25" s="18"/>
      <c r="G25" s="22" t="str">
        <f aca="false">IF(C25="","Velg i nedtrekksmenyen.",IF(C25="Hun har glemt varekjøpet i mai","Riktig. Bare lagerendringen fanger ikke opp det som ble kjøpt og brukt i samme måned. Riktig: 1 380 000 + 520 000 − 1 100 000 = 800 000.","Ikke riktig. Bare lagerendringen fanger ikke opp det som ble kjøpt og brukt i samme måned. Riktig: 1 380 000 + 520 000 − 1 100 000 = 800 000."))</f>
        <v>Velg i nedtrekksmenyen.</v>
      </c>
    </row>
    <row r="27" customFormat="false" ht="30" hidden="false" customHeight="true" outlineLevel="0" collapsed="false">
      <c r="B27" s="8" t="s">
        <v>77</v>
      </c>
      <c r="C27" s="8"/>
      <c r="D27" s="8"/>
      <c r="E27" s="8"/>
      <c r="F27" s="8"/>
      <c r="G27" s="8"/>
    </row>
    <row r="28" customFormat="false" ht="21.75" hidden="false" customHeight="true" outlineLevel="0" collapsed="false">
      <c r="B28" s="24"/>
      <c r="C28" s="24"/>
      <c r="D28" s="24"/>
      <c r="E28" s="24"/>
      <c r="F28" s="24"/>
      <c r="G28" s="24"/>
    </row>
    <row r="29" customFormat="false" ht="21.75" hidden="false" customHeight="true" outlineLevel="0" collapsed="false">
      <c r="B29" s="24"/>
      <c r="C29" s="24"/>
      <c r="D29" s="24"/>
      <c r="E29" s="24"/>
      <c r="F29" s="24"/>
      <c r="G29" s="24"/>
    </row>
    <row r="30" customFormat="false" ht="21.75" hidden="false" customHeight="true" outlineLevel="0" collapsed="false">
      <c r="B30" s="24"/>
      <c r="C30" s="24"/>
      <c r="D30" s="24"/>
      <c r="E30" s="24"/>
      <c r="F30" s="24"/>
      <c r="G30" s="24"/>
    </row>
    <row r="31" customFormat="false" ht="39.75" hidden="false" customHeight="true" outlineLevel="0" collapsed="false">
      <c r="B31" s="25" t="str">
        <f aca="false">IF(LEN(B28)&lt;40,"",IF(AND(ISNUMBER(SEARCH("kostnad",B28)),ISNUMBER(SEARCH("utbetal",B28)),ISNUMBER(SEARCH("lager",B28))),"Bra: du bruker kostnad, utbetaling og lager. Sjekk at du også sier hvilken måned utbetalingen gjelder (marskjøpet forfalt i april).",IF(OR(ISNUMBER(SEARCH("kostnad",B28)),ISNUMBER(SEARCH("utbetal",B28)),ISNUMBER(SEARCH("lager",B28))),"Du har med noe av det. Har du forklart forskjellen på kostnaden (det som ble brukt) og utbetalingen (det som gikk ut av kontoen), og at lageret binder penger?","Tips: resultatet regnes med kostnaden (720 000 i april). Kontoen følger utbetalingen (890 000, marskjøpet). Lageret på 1 380 000 binder penger. Bruk de tre ordene.")))</f>
        <v/>
      </c>
      <c r="C31" s="25"/>
      <c r="D31" s="25"/>
      <c r="E31" s="25"/>
      <c r="F31" s="25"/>
      <c r="G31" s="25"/>
    </row>
    <row r="32" customFormat="false" ht="15" hidden="false" customHeight="false" outlineLevel="0" collapsed="false">
      <c r="B32" s="17" t="s">
        <v>36</v>
      </c>
      <c r="C32" s="18"/>
    </row>
    <row r="33" customFormat="false" ht="31.5" hidden="false" customHeight="true" outlineLevel="0" collapsed="false">
      <c r="B33" s="19" t="str">
        <f aca="false">IF(C32="JA","Hint: April: 1 460 000 + 640 000 − 1 380 000 = 720 000, utbetalt 890 000. Mai: 1 380 000 + 520 000 − 1 100 000 = 800 000, utbetalt 640 000. Utbetalt mars–mai 2 290 000, varekostnad 2 200 000, differanse 90 000.","")</f>
        <v/>
      </c>
      <c r="C33" s="19"/>
      <c r="D33" s="19"/>
      <c r="E33" s="19"/>
      <c r="F33" s="19"/>
      <c r="G33" s="19"/>
    </row>
    <row r="35" customFormat="false" ht="30" hidden="false" customHeight="true" outlineLevel="0" collapsed="false">
      <c r="B35" s="6" t="s">
        <v>37</v>
      </c>
      <c r="C35" s="6"/>
      <c r="D35" s="6"/>
      <c r="E35" s="6"/>
      <c r="F35" s="6"/>
      <c r="G35" s="6"/>
    </row>
  </sheetData>
  <mergeCells count="15">
    <mergeCell ref="B2:G2"/>
    <mergeCell ref="B3:G3"/>
    <mergeCell ref="B4:G4"/>
    <mergeCell ref="B5:G5"/>
    <mergeCell ref="B6:G6"/>
    <mergeCell ref="B7:G7"/>
    <mergeCell ref="B9:G9"/>
    <mergeCell ref="B10:G10"/>
    <mergeCell ref="B18:G18"/>
    <mergeCell ref="B19:G19"/>
    <mergeCell ref="B27:G27"/>
    <mergeCell ref="B28:G30"/>
    <mergeCell ref="B31:G31"/>
    <mergeCell ref="B33:G33"/>
    <mergeCell ref="B35:G35"/>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LEFT(G25,4)="Ikke"</formula>
    </cfRule>
  </conditionalFormatting>
  <dataValidations count="2">
    <dataValidation allowBlank="true" errorStyle="stop" operator="between" showDropDown="false" showErrorMessage="false" showInputMessage="false" sqref="C25" type="list">
      <formula1>"Hun har glemt varekjøpet i mai,Hun har brukt feil lagertall,Ingenting,280 000 er riktig"</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78</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79</v>
      </c>
      <c r="C5" s="8"/>
      <c r="D5" s="8"/>
      <c r="E5" s="8"/>
      <c r="F5" s="8"/>
      <c r="G5" s="8"/>
    </row>
    <row r="6" customFormat="false" ht="15.75" hidden="false" customHeight="true" outlineLevel="0" collapsed="false">
      <c r="B6" s="7" t="s">
        <v>20</v>
      </c>
      <c r="C6" s="7"/>
      <c r="D6" s="7"/>
      <c r="E6" s="7"/>
      <c r="F6" s="7"/>
      <c r="G6" s="7"/>
    </row>
    <row r="7" customFormat="false" ht="30" hidden="false" customHeight="true" outlineLevel="0" collapsed="false">
      <c r="B7" s="8" t="s">
        <v>80</v>
      </c>
      <c r="C7" s="8"/>
      <c r="D7" s="8"/>
      <c r="E7" s="8"/>
      <c r="F7" s="8"/>
      <c r="G7" s="8"/>
    </row>
    <row r="9" customFormat="false" ht="15.75" hidden="false" customHeight="true" outlineLevel="0" collapsed="false">
      <c r="B9" s="7" t="s">
        <v>81</v>
      </c>
      <c r="C9" s="7"/>
      <c r="D9" s="7"/>
      <c r="E9" s="7"/>
      <c r="F9" s="7"/>
      <c r="G9" s="7"/>
    </row>
    <row r="10" customFormat="false" ht="60" hidden="false" customHeight="true" outlineLevel="0" collapsed="false">
      <c r="B10" s="8" t="s">
        <v>82</v>
      </c>
      <c r="C10" s="8"/>
      <c r="D10" s="8"/>
      <c r="E10" s="8"/>
      <c r="F10" s="8"/>
      <c r="G10" s="8"/>
    </row>
    <row r="12" customFormat="false" ht="15.75" hidden="false" customHeight="true" outlineLevel="0" collapsed="false">
      <c r="B12" s="7" t="s">
        <v>31</v>
      </c>
      <c r="C12" s="7"/>
      <c r="D12" s="7"/>
      <c r="E12" s="7"/>
      <c r="F12" s="7"/>
      <c r="G12" s="7"/>
    </row>
    <row r="13" customFormat="false" ht="60" hidden="false" customHeight="true" outlineLevel="0" collapsed="false">
      <c r="B13" s="8" t="s">
        <v>83</v>
      </c>
      <c r="C13" s="8"/>
      <c r="D13" s="8"/>
      <c r="E13" s="8"/>
      <c r="F13" s="8"/>
      <c r="G13" s="8"/>
    </row>
    <row r="15" customFormat="false" ht="43.5" hidden="false" customHeight="true" outlineLevel="0" collapsed="false">
      <c r="B15" s="21" t="s">
        <v>84</v>
      </c>
      <c r="C15" s="14"/>
      <c r="D15" s="23" t="s">
        <v>73</v>
      </c>
      <c r="G15" s="22" t="str">
        <f aca="false">IF(C15="","Skriv svaret i den gule cellen.",IF(C15=(560000*1.468),"Riktig.",IF(ABS(C15-(560000*0.468))&lt;=0,"Du har regnet bare de sosiale kostnadene. Lønnskostnaden er lønna pluss de sosiale: gang med 1,468.",IF(ABS(C15-(560000))&lt;=0,"Du har svart lønna alene. De sosiale kostnadene kommer på toppen.","Ikke riktig ennå. Se på regnestykket øverst på fanen, og sjekk at du har med alle leddene."))))</f>
        <v>Skriv svaret i den gule cellen.</v>
      </c>
    </row>
    <row r="16" customFormat="false" ht="43.5" hidden="false" customHeight="true" outlineLevel="0" collapsed="false">
      <c r="B16" s="21" t="s">
        <v>85</v>
      </c>
      <c r="C16" s="14"/>
      <c r="D16" s="23" t="s">
        <v>73</v>
      </c>
      <c r="G16" s="22" t="str">
        <f aca="false">IF(C16="","Skriv svaret i den gule cellen.",IF(C16=(560000*1.494),"Riktig.",IF(ABS(C16-(560000*1.468))&lt;=0,"Det er svaret i a. Bytt 13,7 % med 16,3 %: 46,8 + 2,6 = 49,4 %.",IF(ABS(C16-(560000*1.631))&lt;=0,"Du har lagt til hele 16,3 %. Bare forskjellen fra 13,7 %, altså 2,6 prosentpoeng, kommer i tillegg.","Ikke riktig ennå. Se på regnestykket øverst på fanen, og sjekk at du har med alle leddene."))))</f>
        <v>Skriv svaret i den gule cellen.</v>
      </c>
    </row>
    <row r="17" customFormat="false" ht="43.5" hidden="false" customHeight="true" outlineLevel="0" collapsed="false">
      <c r="B17" s="21" t="s">
        <v>86</v>
      </c>
      <c r="C17" s="14"/>
      <c r="D17" s="23" t="s">
        <v>73</v>
      </c>
      <c r="G17" s="22" t="str">
        <f aca="false">IF(C17="","Skriv svaret i den gule cellen.",IF(C17=(560000*1.4),"Riktig.",IF(ABS(C17-(560000*1.468))&lt;=0,"Det er svaret i a. Pensjonen går ned fra 9,1 til 2,3 prosentpoeng: 46,8 − 6,8 = 40,0 %.",IF(ABS(C17-(560000*1.023))&lt;=0,"Du har regnet bare pensjonen. Alle de andre postene er fortsatt med: 40,0 % totalt.","Ikke riktig ennå. Se på regnestykket øverst på fanen, og sjekk at du har med alle leddene."))))</f>
        <v>Skriv svaret i den gule cellen.</v>
      </c>
    </row>
    <row r="19" customFormat="false" ht="43.5" hidden="false" customHeight="true" outlineLevel="0" collapsed="false">
      <c r="B19" s="21" t="s">
        <v>87</v>
      </c>
      <c r="C19" s="14"/>
      <c r="D19" s="23" t="s">
        <v>59</v>
      </c>
      <c r="G19" s="22" t="str">
        <f aca="false">IF(C19="","Skriv svaret i den gule cellen.",IF(ABS(C19-(ROUND(560000/1800,0)))&lt;=1,"Riktig.",IF(ABS(C19-(ROUND(560000/1400,0)))&lt;=1,"Du har delt på de fakturerbare timene. Timelønna regnes på alle betalte timer, 1 800.","Ikke riktig ennå. Se på regnestykket øverst på fanen, og sjekk at du har med alle leddene.")))</f>
        <v>Skriv svaret i den gule cellen.</v>
      </c>
    </row>
    <row r="20" customFormat="false" ht="43.5" hidden="false" customHeight="true" outlineLevel="0" collapsed="false">
      <c r="B20" s="21" t="s">
        <v>88</v>
      </c>
      <c r="C20" s="14"/>
      <c r="D20" s="23" t="s">
        <v>59</v>
      </c>
      <c r="G20" s="22" t="str">
        <f aca="false">IF(C20="","Skriv svaret i den gule cellen.",IF(ABS(C20-(ROUND(560000*1.468/1800,0)))&lt;=1,"Riktig.",IF(ABS(C20-(ROUND(560000/1800,0)))&lt;=1,"Det er timelønna. Her skal lønnskostnaden med sosiale kostnader (a) deles på timene.","Ikke riktig ennå. Se på regnestykket øverst på fanen, og sjekk at du har med alle leddene.")))</f>
        <v>Skriv svaret i den gule cellen.</v>
      </c>
    </row>
    <row r="21" customFormat="false" ht="43.5" hidden="false" customHeight="true" outlineLevel="0" collapsed="false">
      <c r="B21" s="21" t="s">
        <v>89</v>
      </c>
      <c r="C21" s="14"/>
      <c r="D21" s="23" t="s">
        <v>59</v>
      </c>
      <c r="G21" s="22" t="str">
        <f aca="false">IF(C21="","Skriv svaret i den gule cellen.",IF(ABS(C21-(ROUND(560000*1.468/1400,0)))&lt;=1,"Riktig.",IF(ABS(C21-(ROUND(560000*1.468/1800,0)))&lt;=1,"Du har delt på 1 800. Kunden betaler bare for 1 400 timer, så del på 1 400.","Ikke riktig ennå. Se på regnestykket øverst på fanen, og sjekk at du har med alle leddene.")))</f>
        <v>Skriv svaret i den gule cellen.</v>
      </c>
    </row>
    <row r="23" customFormat="false" ht="30" hidden="false" customHeight="true" outlineLevel="0" collapsed="false">
      <c r="B23" s="8" t="s">
        <v>90</v>
      </c>
      <c r="C23" s="8"/>
      <c r="D23" s="8"/>
      <c r="E23" s="8"/>
      <c r="F23" s="8"/>
      <c r="G23" s="8"/>
    </row>
    <row r="24" customFormat="false" ht="21.75" hidden="false" customHeight="true" outlineLevel="0" collapsed="false">
      <c r="B24" s="24"/>
      <c r="C24" s="24"/>
      <c r="D24" s="24"/>
      <c r="E24" s="24"/>
      <c r="F24" s="24"/>
      <c r="G24" s="24"/>
    </row>
    <row r="25" customFormat="false" ht="21.75" hidden="false" customHeight="true" outlineLevel="0" collapsed="false">
      <c r="B25" s="24"/>
      <c r="C25" s="24"/>
      <c r="D25" s="24"/>
      <c r="E25" s="24"/>
      <c r="F25" s="24"/>
      <c r="G25" s="24"/>
    </row>
    <row r="26" customFormat="false" ht="21.75" hidden="false" customHeight="true" outlineLevel="0" collapsed="false">
      <c r="B26" s="24"/>
      <c r="C26" s="24"/>
      <c r="D26" s="24"/>
      <c r="E26" s="24"/>
      <c r="F26" s="24"/>
      <c r="G26" s="24"/>
    </row>
    <row r="27" customFormat="false" ht="39.75" hidden="false" customHeight="true" outlineLevel="0" collapsed="false">
      <c r="B27" s="25" t="str">
        <f aca="false">IF(LEN(B24)&lt;40,"",IF(AND(ISNUMBER(SEARCH("587",B24)),ISNUMBER(SEARCH("890",B24))),"Bra: du bruker både 587 kr per fakturerbar time og timeprisen 890. Si også hva de 303 kronene i mellom skal dekke.",IF(OR(ISNUMBER(SEARCH("587",B24)),ISNUMBER(SEARCH("890",B24))),"Du er på sporet. Ta med at hver fakturerbar time koster 587 kr i lønn, og at 890 i tillegg skal dekke bil, lokaler, utstyr og fortjeneste.","Tips: 311 er bare lønna. Med sosiale kostnader er det 457 per betalt time, og 587 per time kunden betaler for. Timeprisen 890 skal dessuten dekke bil, lokaler, utstyr og fortjeneste.")))</f>
        <v/>
      </c>
      <c r="C27" s="25"/>
      <c r="D27" s="25"/>
      <c r="E27" s="25"/>
      <c r="F27" s="25"/>
      <c r="G27" s="25"/>
    </row>
    <row r="28" customFormat="false" ht="15" hidden="false" customHeight="false" outlineLevel="0" collapsed="false">
      <c r="B28" s="17" t="s">
        <v>36</v>
      </c>
      <c r="C28" s="18"/>
    </row>
    <row r="29" customFormat="false" ht="45" hidden="false" customHeight="true" outlineLevel="0" collapsed="false">
      <c r="B29" s="19" t="str">
        <f aca="false">IF(C28="JA","Hint: a: 560 000 × 1,468 = 822 080. b: 46,8 + (16,3 − 13,7) = 49,4 %, 560 000 × 1,494 = 836 640. c: 46,8 − (9,1 − 2,3) = 40,0 %, 560 000 × 1,40 = 784 000. d: 560 000 / 1 800 = 311. e: 822 080 / 1 800 = 457. f: 822 080 / 1 400 = 587.","")</f>
        <v/>
      </c>
      <c r="C29" s="19"/>
      <c r="D29" s="19"/>
      <c r="E29" s="19"/>
      <c r="F29" s="19"/>
      <c r="G29" s="19"/>
    </row>
    <row r="31" customFormat="false" ht="30" hidden="false" customHeight="true" outlineLevel="0" collapsed="false">
      <c r="B31" s="6" t="s">
        <v>37</v>
      </c>
      <c r="C31" s="6"/>
      <c r="D31" s="6"/>
      <c r="E31" s="6"/>
      <c r="F31" s="6"/>
      <c r="G31" s="6"/>
    </row>
  </sheetData>
  <mergeCells count="15">
    <mergeCell ref="B2:G2"/>
    <mergeCell ref="B3:G3"/>
    <mergeCell ref="B4:G4"/>
    <mergeCell ref="B5:G5"/>
    <mergeCell ref="B6:G6"/>
    <mergeCell ref="B7:G7"/>
    <mergeCell ref="B9:G9"/>
    <mergeCell ref="B10:G10"/>
    <mergeCell ref="B12:G12"/>
    <mergeCell ref="B13:G13"/>
    <mergeCell ref="B23:G23"/>
    <mergeCell ref="B24:G26"/>
    <mergeCell ref="B27:G27"/>
    <mergeCell ref="B29:G29"/>
    <mergeCell ref="B31:G31"/>
  </mergeCells>
  <conditionalFormatting sqref="G15">
    <cfRule type="expression" priority="2" aboveAverage="0" equalAverage="0" bottom="0" percent="0" rank="0" text="" dxfId="0">
      <formula>LEFT(G15,6)="Riktig"</formula>
    </cfRule>
    <cfRule type="expression" priority="3" aboveAverage="0" equalAverage="0" bottom="0" percent="0" rank="0" text="" dxfId="1">
      <formula>AND(G15&lt;&gt;"",LEFT(G15,6)&lt;&gt;"Riktig",LEFT(G15,5)&lt;&gt;"Skriv")</formula>
    </cfRule>
  </conditionalFormatting>
  <conditionalFormatting sqref="G16">
    <cfRule type="expression" priority="4" aboveAverage="0" equalAverage="0" bottom="0" percent="0" rank="0" text="" dxfId="0">
      <formula>LEFT(G16,6)="Riktig"</formula>
    </cfRule>
    <cfRule type="expression" priority="5" aboveAverage="0" equalAverage="0" bottom="0" percent="0" rank="0" text="" dxfId="1">
      <formula>AND(G16&lt;&gt;"",LEFT(G16,6)&lt;&gt;"Riktig",LEFT(G16,5)&lt;&gt;"Skriv")</formula>
    </cfRule>
  </conditionalFormatting>
  <conditionalFormatting sqref="G17">
    <cfRule type="expression" priority="6" aboveAverage="0" equalAverage="0" bottom="0" percent="0" rank="0" text="" dxfId="0">
      <formula>LEFT(G17,6)="Riktig"</formula>
    </cfRule>
    <cfRule type="expression" priority="7" aboveAverage="0" equalAverage="0" bottom="0" percent="0" rank="0" text="" dxfId="1">
      <formula>AND(G17&lt;&gt;"",LEFT(G17,6)&lt;&gt;"Riktig",LEFT(G17,5)&lt;&gt;"Skriv")</formula>
    </cfRule>
  </conditionalFormatting>
  <conditionalFormatting sqref="G19">
    <cfRule type="expression" priority="8" aboveAverage="0" equalAverage="0" bottom="0" percent="0" rank="0" text="" dxfId="0">
      <formula>LEFT(G19,6)="Riktig"</formula>
    </cfRule>
    <cfRule type="expression" priority="9" aboveAverage="0" equalAverage="0" bottom="0" percent="0" rank="0" text="" dxfId="1">
      <formula>AND(G19&lt;&gt;"",LEFT(G19,6)&lt;&gt;"Riktig",LEFT(G19,5)&lt;&gt;"Skriv")</formula>
    </cfRule>
  </conditionalFormatting>
  <conditionalFormatting sqref="G20">
    <cfRule type="expression" priority="10" aboveAverage="0" equalAverage="0" bottom="0" percent="0" rank="0" text="" dxfId="0">
      <formula>LEFT(G20,6)="Riktig"</formula>
    </cfRule>
    <cfRule type="expression" priority="11" aboveAverage="0" equalAverage="0" bottom="0" percent="0" rank="0" text="" dxfId="1">
      <formula>AND(G20&lt;&gt;"",LEFT(G20,6)&lt;&gt;"Riktig",LEFT(G20,5)&lt;&gt;"Skriv")</formula>
    </cfRule>
  </conditionalFormatting>
  <conditionalFormatting sqref="G21">
    <cfRule type="expression" priority="12" aboveAverage="0" equalAverage="0" bottom="0" percent="0" rank="0" text="" dxfId="0">
      <formula>LEFT(G21,6)="Riktig"</formula>
    </cfRule>
    <cfRule type="expression" priority="13" aboveAverage="0" equalAverage="0" bottom="0" percent="0" rank="0" text="" dxfId="1">
      <formula>AND(G21&lt;&gt;"",LEFT(G21,6)&lt;&gt;"Riktig",LEFT(G21,5)&lt;&gt;"Skriv")</formula>
    </cfRule>
  </conditionalFormatting>
  <dataValidations count="1">
    <dataValidation allowBlank="true" errorStyle="stop" operator="between" showDropDown="false" showErrorMessage="false" showInputMessage="false" sqref="C28"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91</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92</v>
      </c>
      <c r="C5" s="8"/>
      <c r="D5" s="8"/>
      <c r="E5" s="8"/>
      <c r="F5" s="8"/>
      <c r="G5" s="8"/>
    </row>
    <row r="6" customFormat="false" ht="15.75" hidden="false" customHeight="true" outlineLevel="0" collapsed="false">
      <c r="B6" s="7" t="s">
        <v>20</v>
      </c>
      <c r="C6" s="7"/>
      <c r="D6" s="7"/>
      <c r="E6" s="7"/>
      <c r="F6" s="7"/>
      <c r="G6" s="7"/>
    </row>
    <row r="7" customFormat="false" ht="30" hidden="false" customHeight="true" outlineLevel="0" collapsed="false">
      <c r="B7" s="8" t="s">
        <v>93</v>
      </c>
      <c r="C7" s="8"/>
      <c r="D7" s="8"/>
      <c r="E7" s="8"/>
      <c r="F7" s="8"/>
      <c r="G7" s="8"/>
    </row>
    <row r="9" customFormat="false" ht="15.75" hidden="false" customHeight="true" outlineLevel="0" collapsed="false">
      <c r="B9" s="7" t="s">
        <v>41</v>
      </c>
      <c r="C9" s="7"/>
      <c r="D9" s="7"/>
      <c r="E9" s="7"/>
      <c r="F9" s="7"/>
      <c r="G9" s="7"/>
    </row>
    <row r="10" customFormat="false" ht="30" hidden="false" customHeight="true" outlineLevel="0" collapsed="false">
      <c r="B10" s="8" t="s">
        <v>94</v>
      </c>
      <c r="C10" s="8"/>
      <c r="D10" s="8"/>
      <c r="E10" s="8"/>
      <c r="F10" s="8"/>
      <c r="G10" s="8"/>
    </row>
    <row r="12" customFormat="false" ht="15" hidden="false" customHeight="true" outlineLevel="0" collapsed="false">
      <c r="B12" s="20" t="s">
        <v>95</v>
      </c>
      <c r="C12" s="20"/>
      <c r="D12" s="20"/>
      <c r="E12" s="20"/>
      <c r="F12" s="20"/>
      <c r="G12" s="20"/>
    </row>
    <row r="13" customFormat="false" ht="39.75" hidden="false" customHeight="true" outlineLevel="0" collapsed="false">
      <c r="B13" s="21" t="s">
        <v>96</v>
      </c>
      <c r="C13" s="18"/>
      <c r="G13" s="22" t="str">
        <f aca="false">IF(C13="","Velg i nedtrekksmenyen.",IF(C13="Direkte","Riktig. Timene er brukt på akkurat denne jobben.","Ikke riktig. Timene er brukt på akkurat denne jobben."))</f>
        <v>Velg i nedtrekksmenyen.</v>
      </c>
    </row>
    <row r="14" customFormat="false" ht="39.75" hidden="false" customHeight="true" outlineLevel="0" collapsed="false">
      <c r="B14" s="21" t="s">
        <v>97</v>
      </c>
      <c r="C14" s="18"/>
      <c r="G14" s="22" t="str">
        <f aca="false">IF(C14="","Velg i nedtrekksmenyen.",IF(C14="Direkte","Riktig. Materiellet er kjøpt til denne jobben.","Ikke riktig. Materiellet er kjøpt til denne jobben."))</f>
        <v>Velg i nedtrekksmenyen.</v>
      </c>
    </row>
    <row r="15" customFormat="false" ht="39.75" hidden="false" customHeight="true" outlineLevel="0" collapsed="false">
      <c r="B15" s="21" t="s">
        <v>98</v>
      </c>
      <c r="C15" s="18"/>
      <c r="G15" s="22" t="str">
        <f aca="false">IF(C15="","Velg i nedtrekksmenyen.",IF(C15="Direkte","Riktig. Turen gjelder denne jobben.","Ikke riktig. Turen gjelder denne jobben."))</f>
        <v>Velg i nedtrekksmenyen.</v>
      </c>
    </row>
    <row r="16" customFormat="false" ht="39.75" hidden="false" customHeight="true" outlineLevel="0" collapsed="false">
      <c r="B16" s="21" t="s">
        <v>99</v>
      </c>
      <c r="C16" s="18"/>
      <c r="G16" s="22" t="str">
        <f aca="false">IF(C16="","Velg i nedtrekksmenyen.",IF(C16="Indirekte","Riktig. Felles for alle jobbene. Fordeles med en andel.","Ikke riktig. Felles for alle jobbene. Fordeles med en andel."))</f>
        <v>Velg i nedtrekksmenyen.</v>
      </c>
    </row>
    <row r="17" customFormat="false" ht="39.75" hidden="false" customHeight="true" outlineLevel="0" collapsed="false">
      <c r="B17" s="21" t="s">
        <v>100</v>
      </c>
      <c r="C17" s="18"/>
      <c r="G17" s="22" t="str">
        <f aca="false">IF(C17="","Velg i nedtrekksmenyen.",IF(C17="Indirekte","Riktig. Administrasjonen jobber for alle jobbene.","Ikke riktig. Administrasjonen jobber for alle jobbene."))</f>
        <v>Velg i nedtrekksmenyen.</v>
      </c>
    </row>
    <row r="18" customFormat="false" ht="39.75" hidden="false" customHeight="true" outlineLevel="0" collapsed="false">
      <c r="B18" s="21" t="s">
        <v>101</v>
      </c>
      <c r="C18" s="18"/>
      <c r="G18" s="22" t="str">
        <f aca="false">IF(C18="","Velg i nedtrekksmenyen.",IF(C18="Indirekte","Riktig. Bilene brukes på alle jobbene.","Ikke riktig. Bilene brukes på alle jobbene."))</f>
        <v>Velg i nedtrekksmenyen.</v>
      </c>
    </row>
    <row r="19" customFormat="false" ht="39.75" hidden="false" customHeight="true" outlineLevel="0" collapsed="false">
      <c r="B19" s="21" t="s">
        <v>52</v>
      </c>
      <c r="C19" s="18"/>
      <c r="G19" s="22" t="str">
        <f aca="false">IF(C19="","Velg i nedtrekksmenyen.",IF(C19="Indirekte","Riktig. Verkstedet er felles. Merk: indirekte, og samtidig variabel.","Ikke riktig. Verkstedet er felles. Merk: indirekte, og samtidig variabel."))</f>
        <v>Velg i nedtrekksmenyen.</v>
      </c>
    </row>
    <row r="20" customFormat="false" ht="39.75" hidden="false" customHeight="true" outlineLevel="0" collapsed="false">
      <c r="B20" s="21" t="s">
        <v>102</v>
      </c>
      <c r="C20" s="18"/>
      <c r="G20" s="22" t="str">
        <f aca="false">IF(C20="","Velg i nedtrekksmenyen.",IF(C20="Indirekte","Riktig. Kalkulatørens tid fordeles på jobbene, selv om hun regnet på akkurat denne.","Ikke riktig. Kalkulatørens tid fordeles på jobbene, selv om hun regnet på akkurat denne."))</f>
        <v>Velg i nedtrekksmenyen.</v>
      </c>
    </row>
    <row r="22" customFormat="false" ht="15.75" hidden="false" customHeight="true" outlineLevel="0" collapsed="false">
      <c r="B22" s="7" t="s">
        <v>103</v>
      </c>
      <c r="C22" s="7"/>
      <c r="D22" s="7"/>
      <c r="E22" s="7"/>
      <c r="F22" s="7"/>
      <c r="G22" s="7"/>
    </row>
    <row r="23" customFormat="false" ht="30" hidden="false" customHeight="true" outlineLevel="0" collapsed="false">
      <c r="B23" s="8" t="s">
        <v>104</v>
      </c>
      <c r="C23" s="8"/>
      <c r="D23" s="8"/>
      <c r="E23" s="8"/>
      <c r="F23" s="8"/>
      <c r="G23" s="8"/>
    </row>
    <row r="24" customFormat="false" ht="43.5" hidden="false" customHeight="true" outlineLevel="0" collapsed="false">
      <c r="B24" s="21" t="s">
        <v>105</v>
      </c>
      <c r="C24" s="14"/>
      <c r="D24" s="23" t="s">
        <v>73</v>
      </c>
      <c r="G24" s="22" t="str">
        <f aca="false">IF(C24="","Skriv svaret i den gule cellen.",IF(C24=(14*640+9800+800),"Riktig.",IF(ABS(C24-(14*640+9800))&lt;=0,"Du har glemt kjøringen, 800 kr.",IF(ABS(C24-(9800+800))&lt;=0,"Du har glemt montørtimene, 14 × 640 = 8 960.","Ikke riktig ennå. Se på regnestykket øverst på fanen, og sjekk at du har med alle leddene."))))</f>
        <v>Skriv svaret i den gule cellen.</v>
      </c>
    </row>
    <row r="25" customFormat="false" ht="43.5" hidden="false" customHeight="true" outlineLevel="0" collapsed="false">
      <c r="B25" s="21" t="s">
        <v>106</v>
      </c>
      <c r="C25" s="14"/>
      <c r="D25" s="23" t="s">
        <v>73</v>
      </c>
      <c r="G25" s="22" t="str">
        <f aca="false">IF(C25="","Skriv svaret i den gule cellen.",IF(C25=(14*640+9800+800+4200),"Riktig.",IF(ABS(C25-(14*640+9800+800))&lt;=0,"Det er bare de direkte. Legg til andelen indirekte, 4 200.","Ikke riktig ennå. Se på regnestykket øverst på fanen, og sjekk at du har med alle leddene.")))</f>
        <v>Skriv svaret i den gule cellen.</v>
      </c>
    </row>
    <row r="27" customFormat="false" ht="30" hidden="false" customHeight="true" outlineLevel="0" collapsed="false">
      <c r="B27" s="8" t="s">
        <v>107</v>
      </c>
      <c r="C27" s="8"/>
      <c r="D27" s="8"/>
      <c r="E27" s="8"/>
      <c r="F27" s="8"/>
      <c r="G27" s="8"/>
    </row>
    <row r="28" customFormat="false" ht="21.75" hidden="false" customHeight="true" outlineLevel="0" collapsed="false">
      <c r="B28" s="24"/>
      <c r="C28" s="24"/>
      <c r="D28" s="24"/>
      <c r="E28" s="24"/>
      <c r="F28" s="24"/>
      <c r="G28" s="24"/>
    </row>
    <row r="29" customFormat="false" ht="21.75" hidden="false" customHeight="true" outlineLevel="0" collapsed="false">
      <c r="B29" s="24"/>
      <c r="C29" s="24"/>
      <c r="D29" s="24"/>
      <c r="E29" s="24"/>
      <c r="F29" s="24"/>
      <c r="G29" s="24"/>
    </row>
    <row r="30" customFormat="false" ht="21.75" hidden="false" customHeight="true" outlineLevel="0" collapsed="false">
      <c r="B30" s="24"/>
      <c r="C30" s="24"/>
      <c r="D30" s="24"/>
      <c r="E30" s="24"/>
      <c r="F30" s="24"/>
      <c r="G30" s="24"/>
    </row>
    <row r="31" customFormat="false" ht="39.75" hidden="false" customHeight="true" outlineLevel="0" collapsed="false">
      <c r="B31" s="25" t="str">
        <f aca="false">IF(LEN(B28)&lt;40,"",IF(AND(ISNUMBER(SEARCH("skap",B28)),ISNUMBER(SEARCH("strøm",B28))),"Bra: du bruker begge eksemplene. Sier Nordlys nei til jobben, kjøpes ikke skapet (direkte og variabel), mens strømmen på verkstedet er felles (indirekte) og likevel varierer.",IF(OR(ISNUMBER(SEARCH("skap",B28)),ISNUMBER(SEARCH("strøm",B28))),"Du har ett av eksemplene. Ta med det andre også.","Tips: sier Nordlys nei til jobben, kjøpes ikke skapet; derfor er direkte alltid variabel. Husleia er indirekte og fast; strømmen på verkstedet er indirekte og variabel.")))</f>
        <v/>
      </c>
      <c r="C31" s="25"/>
      <c r="D31" s="25"/>
      <c r="E31" s="25"/>
      <c r="F31" s="25"/>
      <c r="G31" s="25"/>
    </row>
    <row r="32" customFormat="false" ht="15" hidden="false" customHeight="false" outlineLevel="0" collapsed="false">
      <c r="B32" s="17" t="s">
        <v>36</v>
      </c>
      <c r="C32" s="18"/>
    </row>
    <row r="33" customFormat="false" ht="31.5" hidden="false" customHeight="true" outlineLevel="0" collapsed="false">
      <c r="B33" s="19" t="str">
        <f aca="false">IF(C32="JA","Hint: Direkte: 14 × 640 = 8 960, pluss 9 800, pluss 800 = 19 560. Selvkost = 19 560 + 4 200 = 23 760.","")</f>
        <v/>
      </c>
      <c r="C33" s="19"/>
      <c r="D33" s="19"/>
      <c r="E33" s="19"/>
      <c r="F33" s="19"/>
      <c r="G33" s="19"/>
    </row>
    <row r="35" customFormat="false" ht="30" hidden="false" customHeight="true" outlineLevel="0" collapsed="false">
      <c r="B35" s="6" t="s">
        <v>37</v>
      </c>
      <c r="C35" s="6"/>
      <c r="D35" s="6"/>
      <c r="E35" s="6"/>
      <c r="F35" s="6"/>
      <c r="G35" s="6"/>
    </row>
  </sheetData>
  <mergeCells count="16">
    <mergeCell ref="B2:G2"/>
    <mergeCell ref="B3:G3"/>
    <mergeCell ref="B4:G4"/>
    <mergeCell ref="B5:G5"/>
    <mergeCell ref="B6:G6"/>
    <mergeCell ref="B7:G7"/>
    <mergeCell ref="B9:G9"/>
    <mergeCell ref="B10:G10"/>
    <mergeCell ref="B12:G12"/>
    <mergeCell ref="B22:G22"/>
    <mergeCell ref="B23:G23"/>
    <mergeCell ref="B27:G27"/>
    <mergeCell ref="B28:G30"/>
    <mergeCell ref="B31:G31"/>
    <mergeCell ref="B33:G33"/>
    <mergeCell ref="B35:G35"/>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4">
    <cfRule type="expression" priority="18" aboveAverage="0" equalAverage="0" bottom="0" percent="0" rank="0" text="" dxfId="0">
      <formula>LEFT(G24,6)="Riktig"</formula>
    </cfRule>
    <cfRule type="expression" priority="19" aboveAverage="0" equalAverage="0" bottom="0" percent="0" rank="0" text="" dxfId="1">
      <formula>AND(G24&lt;&gt;"",LEFT(G24,6)&lt;&gt;"Riktig",LEFT(G24,5)&lt;&gt;"Skriv")</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AND(G25&lt;&gt;"",LEFT(G25,6)&lt;&gt;"Riktig",LEFT(G25,5)&lt;&gt;"Skriv")</formula>
    </cfRule>
  </conditionalFormatting>
  <dataValidations count="9">
    <dataValidation allowBlank="true" errorStyle="stop" operator="between" showDropDown="false" showErrorMessage="false" showInputMessage="false" sqref="C13" type="list">
      <formula1>"Direkte,Indirekte"</formula1>
      <formula2>0</formula2>
    </dataValidation>
    <dataValidation allowBlank="true" errorStyle="stop" operator="between" showDropDown="false" showErrorMessage="false" showInputMessage="false" sqref="C14" type="list">
      <formula1>"Direkte,Indirekte"</formula1>
      <formula2>0</formula2>
    </dataValidation>
    <dataValidation allowBlank="true" errorStyle="stop" operator="between" showDropDown="false" showErrorMessage="false" showInputMessage="false" sqref="C15" type="list">
      <formula1>"Direkte,Indirekte"</formula1>
      <formula2>0</formula2>
    </dataValidation>
    <dataValidation allowBlank="true" errorStyle="stop" operator="between" showDropDown="false" showErrorMessage="false" showInputMessage="false" sqref="C16" type="list">
      <formula1>"Direkte,Indirekte"</formula1>
      <formula2>0</formula2>
    </dataValidation>
    <dataValidation allowBlank="true" errorStyle="stop" operator="between" showDropDown="false" showErrorMessage="false" showInputMessage="false" sqref="C17" type="list">
      <formula1>"Direkte,Indirekte"</formula1>
      <formula2>0</formula2>
    </dataValidation>
    <dataValidation allowBlank="true" errorStyle="stop" operator="between" showDropDown="false" showErrorMessage="false" showInputMessage="false" sqref="C18" type="list">
      <formula1>"Direkte,Indirekte"</formula1>
      <formula2>0</formula2>
    </dataValidation>
    <dataValidation allowBlank="true" errorStyle="stop" operator="between" showDropDown="false" showErrorMessage="false" showInputMessage="false" sqref="C19" type="list">
      <formula1>"Direkte,Indirekte"</formula1>
      <formula2>0</formula2>
    </dataValidation>
    <dataValidation allowBlank="true" errorStyle="stop" operator="between" showDropDown="false" showErrorMessage="false" showInputMessage="false" sqref="C20" type="list">
      <formula1>"Direkte,Indirekte"</formula1>
      <formula2>0</formula2>
    </dataValidation>
    <dataValidation allowBlank="true" errorStyle="stop" operator="between" showDropDown="false" showErrorMessage="false" showInputMessage="false" sqref="C3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108</v>
      </c>
      <c r="C2" s="5"/>
      <c r="D2" s="5"/>
      <c r="E2" s="5"/>
      <c r="F2" s="5"/>
      <c r="G2" s="5"/>
    </row>
    <row r="3" customFormat="false" ht="15" hidden="false" customHeight="true" outlineLevel="0" collapsed="false">
      <c r="B3" s="6" t="s">
        <v>17</v>
      </c>
      <c r="C3" s="6"/>
      <c r="D3" s="6"/>
      <c r="E3" s="6"/>
      <c r="F3" s="6"/>
      <c r="G3" s="6"/>
    </row>
    <row r="4" customFormat="false" ht="15.75" hidden="false" customHeight="true" outlineLevel="0" collapsed="false">
      <c r="B4" s="7" t="s">
        <v>18</v>
      </c>
      <c r="C4" s="7"/>
      <c r="D4" s="7"/>
      <c r="E4" s="7"/>
      <c r="F4" s="7"/>
      <c r="G4" s="7"/>
    </row>
    <row r="5" customFormat="false" ht="30" hidden="false" customHeight="true" outlineLevel="0" collapsed="false">
      <c r="B5" s="8" t="s">
        <v>109</v>
      </c>
      <c r="C5" s="8"/>
      <c r="D5" s="8"/>
      <c r="E5" s="8"/>
      <c r="F5" s="8"/>
      <c r="G5" s="8"/>
    </row>
    <row r="6" customFormat="false" ht="15.75" hidden="false" customHeight="true" outlineLevel="0" collapsed="false">
      <c r="B6" s="7" t="s">
        <v>20</v>
      </c>
      <c r="C6" s="7"/>
      <c r="D6" s="7"/>
      <c r="E6" s="7"/>
      <c r="F6" s="7"/>
      <c r="G6" s="7"/>
    </row>
    <row r="7" customFormat="false" ht="30" hidden="false" customHeight="true" outlineLevel="0" collapsed="false">
      <c r="B7" s="8" t="s">
        <v>110</v>
      </c>
      <c r="C7" s="8"/>
      <c r="D7" s="8"/>
      <c r="E7" s="8"/>
      <c r="F7" s="8"/>
      <c r="G7" s="8"/>
    </row>
    <row r="9" customFormat="false" ht="15.75" hidden="false" customHeight="true" outlineLevel="0" collapsed="false">
      <c r="B9" s="7" t="s">
        <v>81</v>
      </c>
      <c r="C9" s="7"/>
      <c r="D9" s="7"/>
      <c r="E9" s="7"/>
      <c r="F9" s="7"/>
      <c r="G9" s="7"/>
    </row>
    <row r="10" customFormat="false" ht="45" hidden="false" customHeight="true" outlineLevel="0" collapsed="false">
      <c r="B10" s="8" t="s">
        <v>111</v>
      </c>
      <c r="C10" s="8"/>
      <c r="D10" s="8"/>
      <c r="E10" s="8"/>
      <c r="F10" s="8"/>
      <c r="G10" s="8"/>
    </row>
    <row r="11" customFormat="false" ht="15" hidden="false" customHeight="false" outlineLevel="0" collapsed="false">
      <c r="B11" s="9" t="s">
        <v>112</v>
      </c>
      <c r="C11" s="10" t="s">
        <v>113</v>
      </c>
      <c r="D11" s="10" t="s">
        <v>114</v>
      </c>
    </row>
    <row r="12" customFormat="false" ht="15" hidden="false" customHeight="false" outlineLevel="0" collapsed="false">
      <c r="B12" s="11" t="s">
        <v>115</v>
      </c>
      <c r="C12" s="12" t="n">
        <v>6</v>
      </c>
      <c r="D12" s="12" t="n">
        <v>6500</v>
      </c>
    </row>
    <row r="13" customFormat="false" ht="15" hidden="false" customHeight="false" outlineLevel="0" collapsed="false">
      <c r="B13" s="11" t="s">
        <v>116</v>
      </c>
      <c r="C13" s="12" t="n">
        <v>12</v>
      </c>
      <c r="D13" s="12" t="n">
        <v>640</v>
      </c>
    </row>
    <row r="14" customFormat="false" ht="15" hidden="false" customHeight="false" outlineLevel="0" collapsed="false">
      <c r="B14" s="11" t="s">
        <v>117</v>
      </c>
      <c r="C14" s="12" t="n">
        <v>1</v>
      </c>
      <c r="D14" s="12" t="n">
        <v>800</v>
      </c>
    </row>
    <row r="15" customFormat="false" ht="15" hidden="false" customHeight="false" outlineLevel="0" collapsed="false">
      <c r="B15" s="11" t="s">
        <v>118</v>
      </c>
      <c r="C15" s="12" t="n">
        <v>12</v>
      </c>
      <c r="D15" s="12" t="n">
        <v>267</v>
      </c>
    </row>
    <row r="16" customFormat="false" ht="15" hidden="false" customHeight="false" outlineLevel="0" collapsed="false">
      <c r="B16" s="11" t="s">
        <v>119</v>
      </c>
      <c r="C16" s="12" t="n">
        <v>6</v>
      </c>
      <c r="D16" s="12" t="n">
        <v>8830</v>
      </c>
    </row>
    <row r="18" customFormat="false" ht="15.75" hidden="false" customHeight="true" outlineLevel="0" collapsed="false">
      <c r="B18" s="7" t="s">
        <v>31</v>
      </c>
      <c r="C18" s="7"/>
      <c r="D18" s="7"/>
      <c r="E18" s="7"/>
      <c r="F18" s="7"/>
      <c r="G18" s="7"/>
    </row>
    <row r="19" customFormat="false" ht="30" hidden="false" customHeight="true" outlineLevel="0" collapsed="false">
      <c r="B19" s="8" t="s">
        <v>120</v>
      </c>
      <c r="C19" s="8"/>
      <c r="D19" s="8"/>
      <c r="E19" s="8"/>
      <c r="F19" s="8"/>
      <c r="G19" s="8"/>
    </row>
    <row r="21" customFormat="false" ht="43.5" hidden="false" customHeight="true" outlineLevel="0" collapsed="false">
      <c r="B21" s="21" t="s">
        <v>121</v>
      </c>
      <c r="C21" s="14"/>
      <c r="D21" s="23" t="s">
        <v>73</v>
      </c>
      <c r="G21" s="22" t="str">
        <f aca="false">IF(C21="","Skriv svaret i den gule cellen.",IF(C21=(6*6500+12*640+800),"Riktig.",IF(ABS(C21-(6*6500+12*640))&lt;=0,"Du har glemt kjøringen, 800 kr.",IF(ABS(C21-(6*6500+800))&lt;=0,"Du har glemt montørtimene, 12 × 640 = 7 680.",IF(ABS(C21-(6500+2*640+800))&lt;=0,"Du har regnet ett ladepunkt. Det er seks.","Ikke riktig ennå. Se på regnestykket øverst på fanen, og sjekk at du har med alle leddene.")))))</f>
        <v>Skriv svaret i den gule cellen.</v>
      </c>
    </row>
    <row r="22" customFormat="false" ht="43.5" hidden="false" customHeight="true" outlineLevel="0" collapsed="false">
      <c r="B22" s="21" t="s">
        <v>122</v>
      </c>
      <c r="C22" s="14"/>
      <c r="D22" s="23" t="s">
        <v>73</v>
      </c>
      <c r="G22" s="22" t="str">
        <f aca="false">IF(C22="","Skriv svaret i den gule cellen.",IF(C22=(6*6500+12*640+800+12*267),"Riktig.",IF(ABS(C22-(6*6500+12*640+800))&lt;=0,"Det er bare de direkte. Legg til 12 × 267 = 3 204.",IF(ABS(C22-(6*6500+12*640+800+267))&lt;=0,"Du har lagt til 267 én gang. Det er 267 per montørtime, og jobben har 12 timer.","Ikke riktig ennå. Se på regnestykket øverst på fanen, og sjekk at du har med alle leddene."))))</f>
        <v>Skriv svaret i den gule cellen.</v>
      </c>
    </row>
    <row r="23" customFormat="false" ht="43.5" hidden="false" customHeight="true" outlineLevel="0" collapsed="false">
      <c r="B23" s="21" t="s">
        <v>123</v>
      </c>
      <c r="C23" s="14"/>
      <c r="D23" s="23" t="s">
        <v>73</v>
      </c>
      <c r="G23" s="22" t="str">
        <f aca="false">IF(C23="","Skriv svaret i den gule cellen.",IF(C23=(6*8830-(6*6500+12*640+800+12*267)),"Riktig.",IF(ABS(C23-(6*8830-(6*6500+12*640+800)))&lt;=0,"Du har trukket fra bare de direkte kostnadene. Trekk fra selvkosten, med den indirekte andelen.",IF(ABS(C23-(8830-(6500+2*640+800/6+2*267)))&lt;=0,"Du har regnet per ladepunkt. Oppgaven spør om hele jobben.","Ikke riktig ennå. Se på regnestykket øverst på fanen, og sjekk at du har med alle leddene."))))</f>
        <v>Skriv svaret i den gule cellen.</v>
      </c>
    </row>
    <row r="25" customFormat="false" ht="39.75" hidden="false" customHeight="true" outlineLevel="0" collapsed="false">
      <c r="B25" s="21" t="s">
        <v>124</v>
      </c>
      <c r="C25" s="18"/>
      <c r="G25" s="22" t="str">
        <f aca="false">IF(C25="","Velg i nedtrekksmenyen.",IF(C25="Direkte","Riktig. Kjøpt til denne jobben.","Ikke riktig. Kjøpt til denne jobben."))</f>
        <v>Velg i nedtrekksmenyen.</v>
      </c>
    </row>
    <row r="26" customFormat="false" ht="39.75" hidden="false" customHeight="true" outlineLevel="0" collapsed="false">
      <c r="B26" s="21" t="s">
        <v>125</v>
      </c>
      <c r="C26" s="18"/>
      <c r="G26" s="22" t="str">
        <f aca="false">IF(C26="","Velg i nedtrekksmenyen.",IF(C26="Direkte","Riktig. Brukt på denne jobben.","Ikke riktig. Brukt på denne jobben."))</f>
        <v>Velg i nedtrekksmenyen.</v>
      </c>
    </row>
    <row r="27" customFormat="false" ht="39.75" hidden="false" customHeight="true" outlineLevel="0" collapsed="false">
      <c r="B27" s="21" t="s">
        <v>126</v>
      </c>
      <c r="C27" s="18"/>
      <c r="G27" s="22" t="str">
        <f aca="false">IF(C27="","Velg i nedtrekksmenyen.",IF(C27="Direkte","Riktig. Gjelder denne jobben.","Ikke riktig. Gjelder denne jobben."))</f>
        <v>Velg i nedtrekksmenyen.</v>
      </c>
    </row>
    <row r="28" customFormat="false" ht="39.75" hidden="false" customHeight="true" outlineLevel="0" collapsed="false">
      <c r="B28" s="21" t="s">
        <v>127</v>
      </c>
      <c r="C28" s="18"/>
      <c r="G28" s="22" t="str">
        <f aca="false">IF(C28="","Velg i nedtrekksmenyen.",IF(C28="Indirekte","Riktig. Fordeles på alle jobbene.","Ikke riktig. Fordeles på alle jobbene."))</f>
        <v>Velg i nedtrekksmenyen.</v>
      </c>
    </row>
    <row r="29" customFormat="false" ht="39.75" hidden="false" customHeight="true" outlineLevel="0" collapsed="false">
      <c r="B29" s="21" t="s">
        <v>128</v>
      </c>
      <c r="C29" s="18"/>
      <c r="G29" s="22" t="str">
        <f aca="false">IF(C29="","Velg i nedtrekksmenyen.",IF(C29="Indirekte","Riktig. Felles for alle jobbene.","Ikke riktig. Felles for alle jobbene."))</f>
        <v>Velg i nedtrekksmenyen.</v>
      </c>
    </row>
    <row r="30" customFormat="false" ht="39.75" hidden="false" customHeight="true" outlineLevel="0" collapsed="false">
      <c r="B30" s="21" t="s">
        <v>129</v>
      </c>
      <c r="C30" s="18"/>
      <c r="G30" s="22" t="str">
        <f aca="false">IF(C30="","Velg i nedtrekksmenyen.",IF(C30="Indirekte","Riktig. Felles for alle jobbene.","Ikke riktig. Felles for alle jobbene."))</f>
        <v>Velg i nedtrekksmenyen.</v>
      </c>
    </row>
    <row r="32" customFormat="false" ht="30" hidden="false" customHeight="true" outlineLevel="0" collapsed="false">
      <c r="B32" s="8" t="s">
        <v>130</v>
      </c>
      <c r="C32" s="8"/>
      <c r="D32" s="8"/>
      <c r="E32" s="8"/>
      <c r="F32" s="8"/>
      <c r="G32" s="8"/>
    </row>
    <row r="33" customFormat="false" ht="21.75" hidden="false" customHeight="true" outlineLevel="0" collapsed="false">
      <c r="B33" s="24"/>
      <c r="C33" s="24"/>
      <c r="D33" s="24"/>
      <c r="E33" s="24"/>
      <c r="F33" s="24"/>
      <c r="G33" s="24"/>
    </row>
    <row r="34" customFormat="false" ht="21.75" hidden="false" customHeight="true" outlineLevel="0" collapsed="false">
      <c r="B34" s="24"/>
      <c r="C34" s="24"/>
      <c r="D34" s="24"/>
      <c r="E34" s="24"/>
      <c r="F34" s="24"/>
      <c r="G34" s="24"/>
    </row>
    <row r="35" customFormat="false" ht="21.75" hidden="false" customHeight="true" outlineLevel="0" collapsed="false">
      <c r="B35" s="24"/>
      <c r="C35" s="24"/>
      <c r="D35" s="24"/>
      <c r="E35" s="24"/>
      <c r="F35" s="24"/>
      <c r="G35" s="24"/>
    </row>
    <row r="36" customFormat="false" ht="39.75" hidden="false" customHeight="true" outlineLevel="0" collapsed="false">
      <c r="B36" s="25" t="str">
        <f aca="false">IF(LEN(B33)&lt;40,"",IF(AND(ISNUMBER(SEARCH("timer",B33)),ISNUMBER(SEARCH("267",B33))),"Bra: du peker på timene og på satsen for indirekte. Det er de to usikre leddene: tar jobben tre timer per punkt i stedet for to, er fortjenesten borte.",IF(OR(ISNUMBER(SEARCH("timer",B33)),ISNUMBER(SEARCH("267",B33))),"Du har med ett usikkert ledd. Se også på det andre: antall timer per ladepunkt, og om 267 kr per time dekker de indirekte kostnadene.","Tips: fortjenesten er 2 296 av 52 980, altså 4,3 %. Tar hvert ladepunkt tre timer i stedet for to, øker kostnadene med 6 × 907 = 5 442, og jobben går med tap. Kari bør sjekke timene og satsen for indirekte.")))</f>
        <v/>
      </c>
      <c r="C36" s="25"/>
      <c r="D36" s="25"/>
      <c r="E36" s="25"/>
      <c r="F36" s="25"/>
      <c r="G36" s="25"/>
    </row>
    <row r="37" customFormat="false" ht="15" hidden="false" customHeight="false" outlineLevel="0" collapsed="false">
      <c r="B37" s="17" t="s">
        <v>36</v>
      </c>
      <c r="C37" s="18"/>
    </row>
    <row r="38" customFormat="false" ht="31.5" hidden="false" customHeight="true" outlineLevel="0" collapsed="false">
      <c r="B38" s="19" t="str">
        <f aca="false">IF(C37="JA","Hint: a: 6 × 6 500 + 12 × 640 + 800 = 47 480. b: 47 480 + 12 × 267 = 50 684. c: 6 × 8 830 − 50 684 = 2 296.","")</f>
        <v/>
      </c>
      <c r="C38" s="19"/>
      <c r="D38" s="19"/>
      <c r="E38" s="19"/>
      <c r="F38" s="19"/>
      <c r="G38" s="19"/>
    </row>
    <row r="40" customFormat="false" ht="30" hidden="false" customHeight="true" outlineLevel="0" collapsed="false">
      <c r="B40" s="6" t="s">
        <v>37</v>
      </c>
      <c r="C40" s="6"/>
      <c r="D40" s="6"/>
      <c r="E40" s="6"/>
      <c r="F40" s="6"/>
      <c r="G40" s="6"/>
    </row>
  </sheetData>
  <mergeCells count="15">
    <mergeCell ref="B2:G2"/>
    <mergeCell ref="B3:G3"/>
    <mergeCell ref="B4:G4"/>
    <mergeCell ref="B5:G5"/>
    <mergeCell ref="B6:G6"/>
    <mergeCell ref="B7:G7"/>
    <mergeCell ref="B9:G9"/>
    <mergeCell ref="B10:G10"/>
    <mergeCell ref="B18:G18"/>
    <mergeCell ref="B19:G19"/>
    <mergeCell ref="B32:G32"/>
    <mergeCell ref="B33:G35"/>
    <mergeCell ref="B36:G36"/>
    <mergeCell ref="B38:G38"/>
    <mergeCell ref="B40:G40"/>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LEFT(G25,4)="Ikke"</formula>
    </cfRule>
  </conditionalFormatting>
  <conditionalFormatting sqref="G26">
    <cfRule type="expression" priority="10" aboveAverage="0" equalAverage="0" bottom="0" percent="0" rank="0" text="" dxfId="0">
      <formula>LEFT(G26,6)="Riktig"</formula>
    </cfRule>
    <cfRule type="expression" priority="11" aboveAverage="0" equalAverage="0" bottom="0" percent="0" rank="0" text="" dxfId="1">
      <formula>LEFT(G26,4)="Ikke"</formula>
    </cfRule>
  </conditionalFormatting>
  <conditionalFormatting sqref="G27">
    <cfRule type="expression" priority="12" aboveAverage="0" equalAverage="0" bottom="0" percent="0" rank="0" text="" dxfId="0">
      <formula>LEFT(G27,6)="Riktig"</formula>
    </cfRule>
    <cfRule type="expression" priority="13" aboveAverage="0" equalAverage="0" bottom="0" percent="0" rank="0" text="" dxfId="1">
      <formula>LEFT(G27,4)="Ikke"</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LEFT(G28,4)="Ikke"</formula>
    </cfRule>
  </conditionalFormatting>
  <conditionalFormatting sqref="G29">
    <cfRule type="expression" priority="16" aboveAverage="0" equalAverage="0" bottom="0" percent="0" rank="0" text="" dxfId="0">
      <formula>LEFT(G29,6)="Riktig"</formula>
    </cfRule>
    <cfRule type="expression" priority="17" aboveAverage="0" equalAverage="0" bottom="0" percent="0" rank="0" text="" dxfId="1">
      <formula>LEFT(G29,4)="Ikke"</formula>
    </cfRule>
  </conditionalFormatting>
  <conditionalFormatting sqref="G30">
    <cfRule type="expression" priority="18" aboveAverage="0" equalAverage="0" bottom="0" percent="0" rank="0" text="" dxfId="0">
      <formula>LEFT(G30,6)="Riktig"</formula>
    </cfRule>
    <cfRule type="expression" priority="19" aboveAverage="0" equalAverage="0" bottom="0" percent="0" rank="0" text="" dxfId="1">
      <formula>LEFT(G30,4)="Ikke"</formula>
    </cfRule>
  </conditionalFormatting>
  <dataValidations count="7">
    <dataValidation allowBlank="true" errorStyle="stop" operator="between" showDropDown="false" showErrorMessage="false" showInputMessage="false" sqref="C25" type="list">
      <formula1>"Direkte,Indirekte"</formula1>
      <formula2>0</formula2>
    </dataValidation>
    <dataValidation allowBlank="true" errorStyle="stop" operator="between" showDropDown="false" showErrorMessage="false" showInputMessage="false" sqref="C26" type="list">
      <formula1>"Direkte,Indirekte"</formula1>
      <formula2>0</formula2>
    </dataValidation>
    <dataValidation allowBlank="true" errorStyle="stop" operator="between" showDropDown="false" showErrorMessage="false" showInputMessage="false" sqref="C27" type="list">
      <formula1>"Direkte,Indirekte"</formula1>
      <formula2>0</formula2>
    </dataValidation>
    <dataValidation allowBlank="true" errorStyle="stop" operator="between" showDropDown="false" showErrorMessage="false" showInputMessage="false" sqref="C28" type="list">
      <formula1>"Direkte,Indirekte"</formula1>
      <formula2>0</formula2>
    </dataValidation>
    <dataValidation allowBlank="true" errorStyle="stop" operator="between" showDropDown="false" showErrorMessage="false" showInputMessage="false" sqref="C29" type="list">
      <formula1>"Direkte,Indirekte"</formula1>
      <formula2>0</formula2>
    </dataValidation>
    <dataValidation allowBlank="true" errorStyle="stop" operator="between" showDropDown="false" showErrorMessage="false" showInputMessage="false" sqref="C30" type="list">
      <formula1>"Direkte,Indirekte"</formula1>
      <formula2>0</formula2>
    </dataValidation>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131</v>
      </c>
    </row>
    <row r="3" customFormat="false" ht="30" hidden="false" customHeight="true" outlineLevel="0" collapsed="false">
      <c r="B3" s="6" t="s">
        <v>132</v>
      </c>
      <c r="C3" s="6"/>
      <c r="D3" s="6"/>
    </row>
    <row r="5" customFormat="false" ht="15" hidden="false" customHeight="false" outlineLevel="0" collapsed="false">
      <c r="B5" s="27" t="s">
        <v>133</v>
      </c>
      <c r="C5" s="27" t="s">
        <v>134</v>
      </c>
      <c r="D5" s="27" t="s">
        <v>135</v>
      </c>
    </row>
    <row r="6" customFormat="false" ht="30" hidden="false" customHeight="true" outlineLevel="0" collapsed="false">
      <c r="B6" s="28" t="s">
        <v>136</v>
      </c>
      <c r="C6" s="13" t="n">
        <v>720000</v>
      </c>
      <c r="D6" s="28" t="s">
        <v>137</v>
      </c>
    </row>
    <row r="7" customFormat="false" ht="30" hidden="false" customHeight="true" outlineLevel="0" collapsed="false">
      <c r="B7" s="28" t="s">
        <v>138</v>
      </c>
      <c r="C7" s="13" t="n">
        <v>890000</v>
      </c>
      <c r="D7" s="28" t="s">
        <v>139</v>
      </c>
    </row>
    <row r="8" customFormat="false" ht="45" hidden="false" customHeight="true" outlineLevel="0" collapsed="false">
      <c r="B8" s="28" t="s">
        <v>140</v>
      </c>
      <c r="C8" s="13"/>
      <c r="D8" s="28" t="s">
        <v>141</v>
      </c>
    </row>
    <row r="9" customFormat="false" ht="30" hidden="false" customHeight="true" outlineLevel="0" collapsed="false">
      <c r="B9" s="28" t="s">
        <v>142</v>
      </c>
      <c r="C9" s="13" t="n">
        <v>267</v>
      </c>
      <c r="D9" s="28" t="s">
        <v>143</v>
      </c>
    </row>
    <row r="10" customFormat="false" ht="30" hidden="false" customHeight="true" outlineLevel="0" collapsed="false">
      <c r="B10" s="28" t="s">
        <v>144</v>
      </c>
      <c r="C10" s="13" t="n">
        <v>384</v>
      </c>
      <c r="D10" s="28" t="s">
        <v>145</v>
      </c>
    </row>
    <row r="11" customFormat="false" ht="30" hidden="false" customHeight="true" outlineLevel="0" collapsed="false">
      <c r="B11" s="28" t="s">
        <v>146</v>
      </c>
      <c r="C11" s="13" t="n">
        <v>800000</v>
      </c>
      <c r="D11" s="28" t="s">
        <v>147</v>
      </c>
    </row>
    <row r="12" customFormat="false" ht="30" hidden="false" customHeight="true" outlineLevel="0" collapsed="false">
      <c r="B12" s="28" t="s">
        <v>148</v>
      </c>
      <c r="C12" s="13" t="n">
        <v>640000</v>
      </c>
      <c r="D12" s="28" t="s">
        <v>149</v>
      </c>
    </row>
    <row r="13" customFormat="false" ht="30" hidden="false" customHeight="true" outlineLevel="0" collapsed="false">
      <c r="B13" s="28" t="s">
        <v>150</v>
      </c>
      <c r="C13" s="13" t="n">
        <v>90000</v>
      </c>
      <c r="D13" s="28" t="s">
        <v>151</v>
      </c>
    </row>
    <row r="14" customFormat="false" ht="30" hidden="false" customHeight="true" outlineLevel="0" collapsed="false">
      <c r="B14" s="28" t="s">
        <v>152</v>
      </c>
      <c r="C14" s="13"/>
      <c r="D14" s="28" t="s">
        <v>153</v>
      </c>
    </row>
    <row r="15" customFormat="false" ht="45" hidden="false" customHeight="true" outlineLevel="0" collapsed="false">
      <c r="B15" s="28" t="s">
        <v>154</v>
      </c>
      <c r="C15" s="13"/>
      <c r="D15" s="28" t="s">
        <v>155</v>
      </c>
    </row>
    <row r="16" customFormat="false" ht="30" hidden="false" customHeight="true" outlineLevel="0" collapsed="false">
      <c r="B16" s="28" t="s">
        <v>156</v>
      </c>
      <c r="C16" s="13" t="n">
        <v>822080</v>
      </c>
      <c r="D16" s="28" t="s">
        <v>157</v>
      </c>
    </row>
    <row r="17" customFormat="false" ht="30" hidden="false" customHeight="true" outlineLevel="0" collapsed="false">
      <c r="B17" s="28" t="s">
        <v>158</v>
      </c>
      <c r="C17" s="13" t="n">
        <v>836640</v>
      </c>
      <c r="D17" s="28" t="s">
        <v>159</v>
      </c>
    </row>
    <row r="18" customFormat="false" ht="30" hidden="false" customHeight="true" outlineLevel="0" collapsed="false">
      <c r="B18" s="28" t="s">
        <v>160</v>
      </c>
      <c r="C18" s="13" t="n">
        <v>784000</v>
      </c>
      <c r="D18" s="28" t="s">
        <v>161</v>
      </c>
    </row>
    <row r="19" customFormat="false" ht="30" hidden="false" customHeight="true" outlineLevel="0" collapsed="false">
      <c r="B19" s="28" t="s">
        <v>162</v>
      </c>
      <c r="C19" s="13" t="n">
        <v>311</v>
      </c>
      <c r="D19" s="28" t="s">
        <v>163</v>
      </c>
    </row>
    <row r="20" customFormat="false" ht="30" hidden="false" customHeight="true" outlineLevel="0" collapsed="false">
      <c r="B20" s="28" t="s">
        <v>164</v>
      </c>
      <c r="C20" s="13" t="n">
        <v>457</v>
      </c>
      <c r="D20" s="28" t="s">
        <v>165</v>
      </c>
    </row>
    <row r="21" customFormat="false" ht="30" hidden="false" customHeight="true" outlineLevel="0" collapsed="false">
      <c r="B21" s="28" t="s">
        <v>166</v>
      </c>
      <c r="C21" s="13" t="n">
        <v>587</v>
      </c>
      <c r="D21" s="28" t="s">
        <v>167</v>
      </c>
    </row>
    <row r="22" customFormat="false" ht="45" hidden="false" customHeight="true" outlineLevel="0" collapsed="false">
      <c r="B22" s="28" t="s">
        <v>168</v>
      </c>
      <c r="C22" s="13"/>
      <c r="D22" s="28" t="s">
        <v>169</v>
      </c>
    </row>
    <row r="23" customFormat="false" ht="30" hidden="false" customHeight="true" outlineLevel="0" collapsed="false">
      <c r="B23" s="28" t="s">
        <v>170</v>
      </c>
      <c r="C23" s="13"/>
      <c r="D23" s="28" t="s">
        <v>171</v>
      </c>
    </row>
    <row r="24" customFormat="false" ht="30" hidden="false" customHeight="true" outlineLevel="0" collapsed="false">
      <c r="B24" s="28" t="s">
        <v>172</v>
      </c>
      <c r="C24" s="13" t="n">
        <v>19560</v>
      </c>
      <c r="D24" s="28" t="s">
        <v>173</v>
      </c>
    </row>
    <row r="25" customFormat="false" ht="30" hidden="false" customHeight="true" outlineLevel="0" collapsed="false">
      <c r="B25" s="28" t="s">
        <v>174</v>
      </c>
      <c r="C25" s="13" t="n">
        <v>23760</v>
      </c>
      <c r="D25" s="28" t="s">
        <v>175</v>
      </c>
    </row>
    <row r="26" customFormat="false" ht="30" hidden="false" customHeight="true" outlineLevel="0" collapsed="false">
      <c r="B26" s="28" t="s">
        <v>176</v>
      </c>
      <c r="C26" s="13" t="n">
        <v>47480</v>
      </c>
      <c r="D26" s="28" t="s">
        <v>177</v>
      </c>
    </row>
    <row r="27" customFormat="false" ht="30" hidden="false" customHeight="true" outlineLevel="0" collapsed="false">
      <c r="B27" s="28" t="s">
        <v>178</v>
      </c>
      <c r="C27" s="13" t="n">
        <v>50684</v>
      </c>
      <c r="D27" s="28" t="s">
        <v>179</v>
      </c>
    </row>
    <row r="28" customFormat="false" ht="30" hidden="false" customHeight="true" outlineLevel="0" collapsed="false">
      <c r="B28" s="28" t="s">
        <v>180</v>
      </c>
      <c r="C28" s="13" t="n">
        <v>2296</v>
      </c>
      <c r="D28" s="28" t="s">
        <v>181</v>
      </c>
    </row>
    <row r="29" customFormat="false" ht="30" hidden="false" customHeight="true" outlineLevel="0" collapsed="false">
      <c r="B29" s="28" t="s">
        <v>182</v>
      </c>
      <c r="C29" s="13"/>
      <c r="D29" s="28" t="s">
        <v>183</v>
      </c>
    </row>
    <row r="30" customFormat="false" ht="30" hidden="false" customHeight="true" outlineLevel="0" collapsed="false">
      <c r="B30" s="28" t="s">
        <v>184</v>
      </c>
      <c r="C30" s="13"/>
      <c r="D30" s="28" t="s">
        <v>185</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2026-10-14T07:53:03Z</dcterms:created>
  <dc:creator>openpyxl</dc:creator>
  <dc:description/>
  <dc:language>en-US</dc:language>
  <cp:lastModifiedBy/>
  <dcterms:modified xsi:type="dcterms:W3CDTF">2026-10-14T07:53:03Z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