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2A" sheetId="5" state="visible" r:id="rId5"/>
    <sheet xmlns:r="http://schemas.openxmlformats.org/officeDocument/2006/relationships" name="2B" sheetId="6" state="visible" r:id="rId6"/>
    <sheet xmlns:r="http://schemas.openxmlformats.org/officeDocument/2006/relationships" name="2C" sheetId="7" state="visible" r:id="rId7"/>
    <sheet xmlns:r="http://schemas.openxmlformats.org/officeDocument/2006/relationships" name="Fasit"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family val="2"/>
      <b val="1"/>
      <color theme="1"/>
      <sz val="11"/>
      <scheme val="minor"/>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3" fontId="0" fillId="5" borderId="1" applyAlignment="1" pivotButton="0" quotePrefix="0" xfId="0">
      <alignment horizontal="right" vertical="center"/>
    </xf>
    <xf numFmtId="0" fontId="6" fillId="0" borderId="0" pivotButton="0" quotePrefix="0" xfId="0"/>
    <xf numFmtId="0" fontId="0" fillId="0" borderId="0" applyAlignment="1" pivotButton="0" quotePrefix="0" xfId="0">
      <alignment vertical="top" wrapText="1"/>
    </xf>
    <xf numFmtId="0" fontId="3" fillId="0" borderId="0" pivotButton="0" quotePrefix="0" xfId="0"/>
    <xf numFmtId="0" fontId="0" fillId="5" borderId="1" pivotButton="0" quotePrefix="0" xfId="0"/>
    <xf numFmtId="0" fontId="0"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4" fillId="0" borderId="0" pivotButton="0" quotePrefix="0" xfId="0"/>
    <xf numFmtId="0" fontId="0" fillId="5" borderId="1"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1"/>
  <sheetViews>
    <sheetView workbookViewId="0">
      <selection activeCell="A1" sqref="A1"/>
    </sheetView>
  </sheetViews>
  <sheetFormatPr baseColWidth="8" defaultRowHeight="15"/>
  <cols>
    <col width="3" customWidth="1" min="1" max="1"/>
    <col width="110" customWidth="1" min="2" max="2"/>
  </cols>
  <sheetData>
    <row r="2" ht="26" customHeight="1">
      <c r="B2" s="1" t="inlineStr">
        <is>
          <t>Viktige bedriftsøkonomiske begreper: oppgaver til kapittel 2</t>
        </is>
      </c>
    </row>
    <row r="3" ht="30" customHeight="1">
      <c r="B3" s="2" t="inlineStr">
        <is>
          <t>Økonomistyring for LØM-emnet (Hjertnes og Skorpen), kapittel 2.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April for Nordlys: varekostnad og utbetaling</t>
        </is>
      </c>
    </row>
    <row r="14" ht="15" customHeight="1">
      <c r="B14" s="2" t="inlineStr">
        <is>
          <t>1B  Fast eller variabel: tolv kostnader hos Nordlys</t>
        </is>
      </c>
    </row>
    <row r="15" ht="15" customHeight="1">
      <c r="B15" s="2" t="inlineStr">
        <is>
          <t>1C  Nordlys mars til mai: hvorfor var kontoen trang?</t>
        </is>
      </c>
    </row>
    <row r="16" ht="15" customHeight="1">
      <c r="B16" s="2" t="inlineStr">
        <is>
          <t>2A  Hva koster en montør hos Fjell Elektro?</t>
        </is>
      </c>
    </row>
    <row r="17" ht="15" customHeight="1">
      <c r="B17" s="2" t="inlineStr">
        <is>
          <t>2B  Jobb 2614 hos Hansen: direkte, indirekte og selvkost</t>
        </is>
      </c>
    </row>
    <row r="18" ht="15" customHeight="1">
      <c r="B18" s="2" t="inlineStr">
        <is>
          <t>2C  Felles ladeanlegg med seks plasser i borettslaget: lønner jobben seg?</t>
        </is>
      </c>
    </row>
    <row r="19" ht="15" customHeight="1">
      <c r="B19" s="2" t="inlineStr">
        <is>
          <t>Fasit  Alle svar med regnestykket skrevet ut</t>
        </is>
      </c>
    </row>
    <row r="21" ht="30" customHeight="1">
      <c r="B21"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8"/>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1A: April for Nordlys: varekostnad og utbetaling</t>
        </is>
      </c>
    </row>
    <row r="3" ht="15" customHeight="1">
      <c r="B3" s="5" t="inlineStr">
        <is>
          <t>Alene, i par eller i gruppe, slik du vil.</t>
        </is>
      </c>
    </row>
    <row r="4" ht="16" customHeight="1">
      <c r="B4" s="3" t="inlineStr">
        <is>
          <t>Situasjonen</t>
        </is>
      </c>
    </row>
    <row r="5" ht="45" customHeight="1">
      <c r="B5" s="2" t="inlineStr">
        <is>
          <t>Ronny Fjeld er formann på prosjektene hos Nordlys Elektro og bestiller kabel, vern og tavlemateriell til jobbene hos Polarlys Elektro Grossist, som gir 30 dagers kreditt: det som kjøpes i én måned, betales måneden etter. Lageret var 1 250 000 kr 1. mars, og februarkjøpet var 760 000 kr. Mars er regnet ferdig. Du regner april.</t>
        </is>
      </c>
    </row>
    <row r="6" ht="16" customHeight="1">
      <c r="B6" s="3" t="inlineStr">
        <is>
          <t>Begrepene du trenger</t>
        </is>
      </c>
    </row>
    <row r="7" ht="45" customHeight="1">
      <c r="B7" s="2" t="inlineStr">
        <is>
          <t>Utgift: det Nordlys bestiller og forplikter seg til å betale (varekjøpet). Utbetaling: det som går ut av kontoen; med 30 dagers kreditt er det forrige måneds kjøp. Kostnad: det som er brukt opp på jobbene. Varekostnad = lager ved starten + varekjøp − lager ved slutten.</t>
        </is>
      </c>
    </row>
    <row r="8"/>
    <row r="9" ht="16" customHeight="1">
      <c r="B9" s="3" t="inlineStr">
        <is>
          <t>Tallene, i kroner</t>
        </is>
      </c>
    </row>
    <row r="10" ht="15" customHeight="1">
      <c r="B10" s="2" t="inlineStr">
        <is>
          <t>Mars er regnet ferdig. Lager ved starten av april er lager ved slutten av mars, og arket henter det selv (grønn celle).</t>
        </is>
      </c>
    </row>
    <row r="11">
      <c r="B11" s="6" t="inlineStr"/>
      <c r="C11" s="7" t="inlineStr">
        <is>
          <t>Mars</t>
        </is>
      </c>
      <c r="D11" s="7" t="inlineStr">
        <is>
          <t>April</t>
        </is>
      </c>
    </row>
    <row r="12">
      <c r="B12" s="8" t="inlineStr">
        <is>
          <t>Lager ved starten av måneden</t>
        </is>
      </c>
      <c r="C12" s="9" t="n">
        <v>1250000</v>
      </c>
      <c r="D12" s="10">
        <f>C14</f>
        <v/>
      </c>
    </row>
    <row r="13">
      <c r="B13" s="8" t="inlineStr">
        <is>
          <t>Varekjøp i måneden (utgift), legges til</t>
        </is>
      </c>
      <c r="C13" s="9" t="n">
        <v>890000</v>
      </c>
      <c r="D13" s="9" t="n">
        <v>640000</v>
      </c>
    </row>
    <row r="14">
      <c r="B14" s="8" t="inlineStr">
        <is>
          <t>Lager ved slutten av måneden, trekkes fra</t>
        </is>
      </c>
      <c r="C14" s="9" t="n">
        <v>1460000</v>
      </c>
      <c r="D14" s="9" t="n">
        <v>1380000</v>
      </c>
    </row>
    <row r="15">
      <c r="B15" s="8" t="inlineStr">
        <is>
          <t>Varekostnad (det som ble brukt opp)</t>
        </is>
      </c>
      <c r="C15" s="10">
        <f>C12+C13-C14</f>
        <v/>
      </c>
      <c r="D15" s="11" t="n"/>
    </row>
    <row r="16">
      <c r="B16" s="8" t="inlineStr">
        <is>
          <t>Utbetalt til Polarlys (forrige måneds kjøp)</t>
        </is>
      </c>
      <c r="C16" s="9" t="n">
        <v>760000</v>
      </c>
      <c r="D16" s="11" t="n"/>
    </row>
    <row r="17"/>
    <row r="18" ht="16" customHeight="1">
      <c r="B18" s="3" t="inlineStr">
        <is>
          <t>Oppgaven, trinn for trinn</t>
        </is>
      </c>
    </row>
    <row r="19" ht="45" customHeight="1">
      <c r="B19" s="2" t="inlineStr">
        <is>
          <t>1. Regn varekostnaden i april: lager ved starten + varekjøp − lager ved slutten. Skriv svaret i den gule cellen i april-kolonnen.
2. Hva ble utbetalt til Polarlys i april? Husk 30 dagers kreditt: det er kjøpet fra måneden før.
3. Se på sjekken under. «Riktig» betyr at tallet stemmer. Ellers forteller den hva du bør se på.</t>
        </is>
      </c>
    </row>
    <row r="20"/>
    <row r="21">
      <c r="B21" s="12" t="inlineStr">
        <is>
          <t>Sjekk av svarene dine</t>
        </is>
      </c>
    </row>
    <row r="22" ht="36" customHeight="1">
      <c r="B22" t="inlineStr">
        <is>
          <t>Varekostnad april:</t>
        </is>
      </c>
      <c r="C22" s="13">
        <f>IF(D15="","Skriv svaret i den gule cellen.",IF(ISTEXT(D15),"Skriv bare tallet, uten mellomrom, enhet eller tekst. Enheten står ved siden av cellen. Du kan også skrive regnestykket med likhetstegn foran, for eksempel =2100000/7300.",IF(ABS(D15-(D12+D13-D14))&lt;=0.99,"Riktig.",IF(ABS(D15-(D12-D14))&lt;=0.99,"Du har glemt varekjøpet. Kostnad er lager ved start pluss kjøp minus lager ved slutt.",IF(ABS(D15-(D14-D12))&lt;=0.99,"Du har tatt lager ved slutten minus lager ved starten. Snu rekkefølgen, og legg til varekjøpet.",IF(ABS(D15-(D13))&lt;=0.99,"Du har svart varekjøpet. Det er utgiften, ikke kostnaden. Kostnaden er det som ble brukt opp.",IF(IFERROR(AND(D15&lt;&gt;0,(D12+D13-D14)&lt;&gt;0,ROUND(LOG10(ABS(D15/(D12+D13-D14))),0)&lt;&gt;0,ABS(LOG10(ABS(D15/(D12+D13-D14)))-ROUND(LOG10(ABS(D15/(D12+D13-D14))),0))&lt;0.004),FALSE),"Sifrene stemmer, men antall nuller eller plasseringen av kommaet er feil. Sjekk om du har regnet i kroner, tusen kroner eller prosent.",IF(ABS(D15-(D12+D13-D14))&lt;=MAX(0.99,0.01*ABS(D12+D13-D14)),"Riktig. Svaret ditt ligger litt fra arkets tall fordi du har rundet av underveis. Det er helt greit.",IF(D15&gt;(D12+D13-D14),"Ikke riktig ennå. Svaret ditt er for høyt. Tips: Kostnad er lager ved start pluss kjøp minus lager ved slutt. Sjekk at du har med alle tre.","Ikke riktig ennå. Svaret ditt er for lavt. Tips: Kostnad er lager ved start pluss kjøp minus lager ved slutt. Sjekk at du har med alle tre.")))))))))</f>
        <v/>
      </c>
    </row>
    <row r="23" ht="36" customHeight="1">
      <c r="B23" t="inlineStr">
        <is>
          <t>Utbetalt i april:</t>
        </is>
      </c>
      <c r="C23" s="13">
        <f>IF(D16="","Skriv svaret i den gule cellen.",IF(ISTEXT(D16),"Skriv bare tallet, uten mellomrom, enhet eller tekst. Enheten står ved siden av cellen. Du kan også skrive regnestykket med likhetstegn foran, for eksempel =2100000/7300.",IF(ABS(D16-(C13))&lt;=0.99,"Riktig.",IF(ABS(D16-(D13))&lt;=0.99,"Du har tatt aprilkjøpet. Med 30 dagers kreditt betales det først i mai. I april betales marskjøpet.",IF(ABS(D16-(D15))&lt;=0.99,"Du har svart varekostnaden. Utbetalingen er det som går ut av kontoen, altså forrige måneds kjøp.",IF(IFERROR(AND(D16&lt;&gt;0,(C13)&lt;&gt;0,ROUND(LOG10(ABS(D16/(C13))),0)&lt;&gt;0,ABS(LOG10(ABS(D16/(C13)))-ROUND(LOG10(ABS(D16/(C13))),0))&lt;0.004),FALSE),"Sifrene stemmer, men antall nuller eller plasseringen av kommaet er feil. Sjekk om du har regnet i kroner, tusen kroner eller prosent.",IF(ABS(D16-(C13))&lt;=MAX(0.99,0.01*ABS(C13)),"Riktig. Svaret ditt ligger litt fra arkets tall fordi du har rundet av underveis. Det er helt greit.",IF(D16&gt;(C13),"Ikke riktig ennå. Svaret ditt er for høyt. Tips: Kostnad er lager ved start pluss kjøp minus lager ved slutt. Sjekk at du har med alle tre.","Ikke riktig ennå. Svaret ditt er for lavt. Tips: Kostnad er lager ved start pluss kjøp minus lager ved slutt. Sjekk at du har med alle tre."))))))))</f>
        <v/>
      </c>
    </row>
    <row r="24"/>
    <row r="25">
      <c r="B25" s="14" t="inlineStr">
        <is>
          <t>Står du fast? Skriv JA i den gule cellen:</t>
        </is>
      </c>
      <c r="C25" s="15" t="n"/>
    </row>
    <row r="26" ht="32" customHeight="1">
      <c r="B26" s="16">
        <f>IF(C25="JA","Hint: Varekostnad i april = lager ved starten av april (lager ved slutten av mars, 1 460 000) + varekjøp i april (640 000) − lager ved slutten av april (1 380 000). Utbetalt i april = varekjøpet i mars, 890 000.","")</f>
        <v/>
      </c>
    </row>
    <row r="27"/>
    <row r="28" ht="30" customHeight="1">
      <c r="B28" s="5" t="inlineStr">
        <is>
          <t>Gule celler fyller du inn, gjerne som regnestykke: =2100000/7300. Grønne regnes ut av arket. Sjekken til høyre sier om svaret stemmer, og hva du bør se på hvis ikke.</t>
        </is>
      </c>
    </row>
  </sheetData>
  <mergeCells count="14">
    <mergeCell ref="B3:G3"/>
    <mergeCell ref="B2:G2"/>
    <mergeCell ref="B19:G19"/>
    <mergeCell ref="B10:G10"/>
    <mergeCell ref="B28:G28"/>
    <mergeCell ref="B5:G5"/>
    <mergeCell ref="B9:G9"/>
    <mergeCell ref="B4:G4"/>
    <mergeCell ref="B26:G26"/>
    <mergeCell ref="B18:G18"/>
    <mergeCell ref="C23:G23"/>
    <mergeCell ref="C22:G22"/>
    <mergeCell ref="B7:G7"/>
    <mergeCell ref="B6:G6"/>
  </mergeCells>
  <conditionalFormatting sqref="C22">
    <cfRule type="expression" priority="1" dxfId="0">
      <formula>LEFT(C22,6)="Riktig"</formula>
    </cfRule>
    <cfRule type="expression" priority="2" dxfId="1">
      <formula>AND(C22&lt;&gt;"",LEFT(C22,6)&lt;&gt;"Riktig",LEFT(C22,5)&lt;&gt;"Skriv")</formula>
    </cfRule>
  </conditionalFormatting>
  <conditionalFormatting sqref="C23">
    <cfRule type="expression" priority="3" dxfId="0">
      <formula>LEFT(C23,6)="Riktig"</formula>
    </cfRule>
    <cfRule type="expression" priority="4" dxfId="1">
      <formula>AND(C23&lt;&gt;"",LEFT(C23,6)&lt;&gt;"Riktig",LEFT(C23,5)&lt;&gt;"Skriv")</formula>
    </cfRule>
  </conditionalFormatting>
  <dataValidations count="1">
    <dataValidation sqref="C25"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39"/>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Fast</t>
        </is>
      </c>
    </row>
    <row r="2" ht="26" customHeight="1">
      <c r="B2" s="1" t="inlineStr">
        <is>
          <t>Oppgave 1B: Fast eller variabel: tolv kostnader hos Nordlys</t>
        </is>
      </c>
      <c r="Z2" t="inlineStr">
        <is>
          <t>Variabel</t>
        </is>
      </c>
    </row>
    <row r="3" ht="15" customHeight="1">
      <c r="B3" s="5" t="inlineStr">
        <is>
          <t>Alene, i par eller i gruppe, slik du vil.</t>
        </is>
      </c>
      <c r="Z3" t="inlineStr">
        <is>
          <t>Kommer an på</t>
        </is>
      </c>
    </row>
    <row r="4" ht="16" customHeight="1">
      <c r="B4" s="3" t="inlineStr">
        <is>
          <t>Situasjonen</t>
        </is>
      </c>
      <c r="Z4" t="inlineStr">
        <is>
          <t>Fast</t>
        </is>
      </c>
    </row>
    <row r="5" ht="30" customHeight="1">
      <c r="B5" s="2" t="inlineStr">
        <is>
          <t>Det er juli. Halve Nordlys har ferie, og nesten ingen jobber utføres. Kari går gjennom regningene og spør for hver av dem: kommer denne uansett, eller stopper den når det ikke er jobber?</t>
        </is>
      </c>
      <c r="Z5" t="inlineStr">
        <is>
          <t>Variabel</t>
        </is>
      </c>
    </row>
    <row r="6" ht="16" customHeight="1">
      <c r="B6" s="3" t="inlineStr">
        <is>
          <t>Begrepene du trenger</t>
        </is>
      </c>
      <c r="Z6" t="inlineStr">
        <is>
          <t>Kommer an på</t>
        </is>
      </c>
    </row>
    <row r="7" ht="30" customHeight="1">
      <c r="B7" s="2" t="inlineStr">
        <is>
          <t>Faste kostnader kommer uansett om det er jobber eller ikke; boka kaller dem kapasitetskostnader. Variable kostnader følger jobbene. Testen: forsvinner kostnaden hvis vi sier nei til jobben?</t>
        </is>
      </c>
      <c r="Z7" t="inlineStr">
        <is>
          <t>Fast</t>
        </is>
      </c>
    </row>
    <row r="8">
      <c r="Z8" t="inlineStr">
        <is>
          <t>Variabel</t>
        </is>
      </c>
    </row>
    <row r="9" ht="16" customHeight="1">
      <c r="B9" s="3" t="inlineStr">
        <is>
          <t>Testen</t>
        </is>
      </c>
      <c r="Z9" t="inlineStr">
        <is>
          <t>Kommer an på</t>
        </is>
      </c>
    </row>
    <row r="10" ht="30" customHeight="1">
      <c r="B10" s="2" t="inlineStr">
        <is>
          <t>Spør for hver kostnad: forsvinner den hvis Nordlys sier nei til jobben? Ja: variabel. Nei: fast. Noen kostnader kommer an på avtalen; da velger du «Kommer an på» og leser forklaringen.</t>
        </is>
      </c>
      <c r="Z10" t="inlineStr">
        <is>
          <t>Fast</t>
        </is>
      </c>
    </row>
    <row r="11">
      <c r="Z11" t="inlineStr">
        <is>
          <t>Variabel</t>
        </is>
      </c>
    </row>
    <row r="12" ht="15" customHeight="1">
      <c r="B12" s="17" t="inlineStr">
        <is>
          <t>Sorter de tolv kostnadene (velg i nedtrekksmenyen)</t>
        </is>
      </c>
      <c r="Z12" t="inlineStr">
        <is>
          <t>Kommer an på</t>
        </is>
      </c>
    </row>
    <row r="13" ht="40" customHeight="1">
      <c r="B13" s="13" t="inlineStr">
        <is>
          <t>Husleie for verkstedet</t>
        </is>
      </c>
      <c r="C13" s="15" t="n"/>
      <c r="G13" s="18">
        <f>IF(C13="","Velg i nedtrekksmenyen.",IF(C13="Fast","Riktig. Husleia kommer uansett om det er jobber eller ikke. Boka kaller det en kapasitetskostnad.","Ikke riktig. Les forklaringen og prøv et annet svar: Husleia kommer uansett om det er jobber eller ikke. Boka kaller det en kapasitetskostnad."))</f>
        <v/>
      </c>
      <c r="Z13" t="inlineStr">
        <is>
          <t>Fast</t>
        </is>
      </c>
    </row>
    <row r="14" ht="40" customHeight="1">
      <c r="B14" s="13" t="inlineStr">
        <is>
          <t>Forsikringene på bilene og lokalet</t>
        </is>
      </c>
      <c r="C14" s="15" t="n"/>
      <c r="G14" s="18">
        <f>IF(C14="","Velg i nedtrekksmenyen.",IF(C14="Fast","Riktig. Forsikringen løper hele året, uavhengig av antall jobber.","Ikke riktig. Les forklaringen og prøv et annet svar: Forsikringen løper hele året, uavhengig av antall jobber."))</f>
        <v/>
      </c>
      <c r="Z14" t="inlineStr">
        <is>
          <t>Variabel</t>
        </is>
      </c>
    </row>
    <row r="15" ht="40" customHeight="1">
      <c r="B15" s="13" t="inlineStr">
        <is>
          <t>Avskrivning på servicebilene</t>
        </is>
      </c>
      <c r="C15" s="15" t="n"/>
      <c r="G15" s="18">
        <f>IF(C15="","Velg i nedtrekksmenyen.",IF(C15="Fast","Riktig. Bilene taper verdi enten de er ute eller inne.","Ikke riktig. Les forklaringen og prøv et annet svar: Bilene taper verdi enten de er ute eller inne."))</f>
        <v/>
      </c>
      <c r="Z15" t="inlineStr">
        <is>
          <t>Kommer an på</t>
        </is>
      </c>
    </row>
    <row r="16" ht="40" customHeight="1">
      <c r="B16" s="13" t="inlineStr">
        <is>
          <t>Lønna til Kari og Ida på kontoret</t>
        </is>
      </c>
      <c r="C16" s="15" t="n"/>
      <c r="G16" s="18">
        <f>IF(C16="","Velg i nedtrekksmenyen.",IF(C16="Fast","Riktig. Administrasjonen er der uansett. Det er en fast kostnad.","Ikke riktig. Les forklaringen og prøv et annet svar: Administrasjonen er der uansett. Det er en fast kostnad."))</f>
        <v/>
      </c>
      <c r="Z16" t="inlineStr">
        <is>
          <t>Fast</t>
        </is>
      </c>
    </row>
    <row r="17" ht="40" customHeight="1">
      <c r="B17" s="13" t="inlineStr">
        <is>
          <t>Kabel og vern kjøpt hos Polarlys til en jobb</t>
        </is>
      </c>
      <c r="C17" s="15" t="n"/>
      <c r="G17" s="18">
        <f>IF(C17="","Velg i nedtrekksmenyen.",IF(C17="Variabel","Riktig. Sier Nordlys nei til jobben, kjøpes ikke materiellet.","Ikke riktig. Les forklaringen og prøv et annet svar: Sier Nordlys nei til jobben, kjøpes ikke materiellet."))</f>
        <v/>
      </c>
      <c r="Z17" t="inlineStr">
        <is>
          <t>Variabel</t>
        </is>
      </c>
    </row>
    <row r="18" ht="40" customHeight="1">
      <c r="B18" s="13" t="inlineStr">
        <is>
          <t>Innleid underentreprenør på et prosjekt</t>
        </is>
      </c>
      <c r="C18" s="15" t="n"/>
      <c r="G18" s="18">
        <f>IF(C18="","Velg i nedtrekksmenyen.",IF(C18="Variabel","Riktig. Innleien gjelder akkurat dette prosjektet.","Ikke riktig. Les forklaringen og prøv et annet svar: Innleien gjelder akkurat dette prosjektet."))</f>
        <v/>
      </c>
      <c r="Z18" t="inlineStr">
        <is>
          <t>Kommer an på</t>
        </is>
      </c>
    </row>
    <row r="19" ht="40" customHeight="1">
      <c r="B19" s="13" t="inlineStr">
        <is>
          <t>Drivstoff på vei til jobben</t>
        </is>
      </c>
      <c r="C19" s="15" t="n"/>
      <c r="G19" s="18">
        <f>IF(C19="","Velg i nedtrekksmenyen.",IF(C19="Variabel","Riktig. Kjøringen følger jobben.","Ikke riktig. Les forklaringen og prøv et annet svar: Kjøringen følger jobben."))</f>
        <v/>
      </c>
      <c r="Z19" t="inlineStr">
        <is>
          <t>Fast</t>
        </is>
      </c>
    </row>
    <row r="20" ht="40" customHeight="1">
      <c r="B20" s="13" t="inlineStr">
        <is>
          <t>Montørtimene på akkurat denne boligen</t>
        </is>
      </c>
      <c r="C20" s="15" t="n"/>
      <c r="G20" s="18">
        <f>IF(C20="","Velg i nedtrekksmenyen.",IF(C20="Kommer an på","Riktig. I kalkylen og på lang sikt er timene en direkte, variabel kostnad, slik boka regner. Men de 12 montørene er fast ansatt: i juli, på kort sikt, løper lønna uansett om timene faktureres.","Ikke riktig. Les forklaringen og prøv et annet svar: I kalkylen og på lang sikt er timene en direkte, variabel kostnad, slik boka regner. Men de 12 montørene er fast ansatt: i juli, på kort sikt, løper lønna uansett om timene faktureres."))</f>
        <v/>
      </c>
      <c r="Z20" t="inlineStr">
        <is>
          <t>Variabel</t>
        </is>
      </c>
    </row>
    <row r="21" ht="40" customHeight="1">
      <c r="B21" s="13" t="inlineStr">
        <is>
          <t>Strøm på verkstedet</t>
        </is>
      </c>
      <c r="C21" s="15" t="n"/>
      <c r="G21" s="18">
        <f>IF(C21="","Velg i nedtrekksmenyen.",IF(C21="Fast","Riktig. Strømmen på verkstedet varierer litt, men ikke med antall jobber. Boka regner den som fast.","Ikke riktig. Les forklaringen og prøv et annet svar: Strømmen på verkstedet varierer litt, men ikke med antall jobber. Boka regner den som fast."))</f>
        <v/>
      </c>
      <c r="Z21" t="inlineStr">
        <is>
          <t>Kommer an på</t>
        </is>
      </c>
    </row>
    <row r="22" ht="40" customHeight="1">
      <c r="B22" s="13" t="inlineStr">
        <is>
          <t>Lærlingens lønn</t>
        </is>
      </c>
      <c r="C22" s="15" t="n"/>
      <c r="G22" s="18">
        <f>IF(C22="","Velg i nedtrekksmenyen.",IF(C22="Kommer an på","Riktig. Lønna er fast så lenge lærlingen er ansatt, men timene hans på jobbene er variable. Boka lar deg velge, men vær tydelig på hva du har valgt.","Ikke riktig. Les forklaringen og prøv et annet svar: Lønna er fast så lenge lærlingen er ansatt, men timene hans på jobbene er variable. Boka lar deg velge, men vær tydelig på hva du har valgt."))</f>
        <v/>
      </c>
      <c r="Z22" t="inlineStr">
        <is>
          <t>Fast</t>
        </is>
      </c>
    </row>
    <row r="23" ht="40" customHeight="1">
      <c r="B23" s="13" t="inlineStr">
        <is>
          <t>Leasing på en servicebil</t>
        </is>
      </c>
      <c r="C23" s="15" t="n"/>
      <c r="G23" s="18">
        <f>IF(C23="","Velg i nedtrekksmenyen.",IF(C23="Kommer an på","Riktig. Fast så lenge avtalen løper. Kan sies opp eller justeres når avtalen går ut.","Ikke riktig. Les forklaringen og prøv et annet svar: Fast så lenge avtalen løper. Kan sies opp eller justeres når avtalen går ut."))</f>
        <v/>
      </c>
      <c r="Z23" t="inlineStr">
        <is>
          <t>Variabel</t>
        </is>
      </c>
    </row>
    <row r="24" ht="40" customHeight="1">
      <c r="B24" s="13" t="inlineStr">
        <is>
          <t>Kurs og sertifisering av montørene</t>
        </is>
      </c>
      <c r="C24" s="15" t="n"/>
      <c r="G24" s="18">
        <f>IF(C24="","Velg i nedtrekksmenyen.",IF(C24="Fast","Riktig. Kursene må tas enten det er travelt eller stille.","Ikke riktig. Les forklaringen og prøv et annet svar: Kursene må tas enten det er travelt eller stille."))</f>
        <v/>
      </c>
      <c r="Z24" t="inlineStr">
        <is>
          <t>Kommer an på</t>
        </is>
      </c>
    </row>
    <row r="25">
      <c r="Z25" t="inlineStr">
        <is>
          <t>Fast</t>
        </is>
      </c>
    </row>
    <row r="26" ht="16" customHeight="1">
      <c r="B26" s="3" t="inlineStr">
        <is>
          <t>Faste kostnader per fakturert time</t>
        </is>
      </c>
      <c r="Z26" t="inlineStr">
        <is>
          <t>Variabel</t>
        </is>
      </c>
    </row>
    <row r="27" ht="45" customHeight="1">
      <c r="B27" s="2" t="inlineStr">
        <is>
          <t>Nordlys har 3 840 000 kr i faste kostnader i året (faktaarket: administrasjonslønn 2 220 000, avskrivninger 620 000 og faste driftskostnader 1 000 000). I 2026 fakturerte de 14 400 montørtimer (12 montører × 1 200). Regn hva hver time må bære av faste kostnader, først ved 14 400 timer, så i et stille år med 10 000 timer. Hele kroner.</t>
        </is>
      </c>
      <c r="Z27" t="inlineStr">
        <is>
          <t>Kommer an på</t>
        </is>
      </c>
    </row>
    <row r="28" ht="48" customHeight="1">
      <c r="B28" s="13" t="inlineStr">
        <is>
          <t>Faste kostnader per time ved 14 400 timer</t>
        </is>
      </c>
      <c r="C28" s="11" t="n"/>
      <c r="D28" s="19" t="inlineStr">
        <is>
          <t>kr per time</t>
        </is>
      </c>
      <c r="G28" s="18">
        <f>IF(C28="","Skriv svaret i den gule cellen.",IF(ISTEXT(C28),"Skriv bare tallet, uten mellomrom, enhet eller tekst. Enheten står ved siden av cellen. Du kan også skrive regnestykket med likhetstegn foran, for eksempel =2100000/7300.",IF(ABS(C28-(ROUND(3840000/14400,0)))&lt;=1,"Riktig.",IF(ABS(C28-(ROUND(14400/3840000,0)))&lt;=1,"Du har delt motsatt vei. Det er kostnadene som skal deles på timene.",IF(ABS(C28-(ROUND(21056000/14400,0)))&lt;=1,"Du har brukt alle kostnadene, 21 056 000. Her er det bare de faste, 3 840 000.",IF(IFERROR(AND(C28&lt;&gt;0,(ROUND(3840000/14400,0))&lt;&gt;0,ROUND(LOG10(ABS(C28/(ROUND(3840000/14400,0)))),0)&lt;&gt;0,ABS(LOG10(ABS(C28/(ROUND(3840000/14400,0))))-ROUND(LOG10(ABS(C28/(ROUND(3840000/14400,0)))),0))&lt;0.004),FALSE),"Sifrene stemmer, men antall nuller eller plasseringen av kommaet er feil. Sjekk om du har regnet i kroner, tusen kroner eller prosent.",IF(ABS(C28-(ROUND(3840000/14400,0)))&lt;=MAX(1,0.01*ABS(ROUND(3840000/14400,0))),"Riktig. Svaret ditt ligger litt fra arkets tall fordi du har rundet av underveis. Det er helt greit.",IF(C28&gt;(ROUND(3840000/14400,0)),"Ikke riktig ennå. Svaret ditt er for høyt. Tips: Se på regnestykket øverst på fanen, og sjekk at du har med alle leddene.","Ikke riktig ennå. Svaret ditt er for lavt. Tips: Se på regnestykket øverst på fanen, og sjekk at du har med alle leddene."))))))))</f>
        <v/>
      </c>
      <c r="Z28" t="inlineStr">
        <is>
          <t>Fast</t>
        </is>
      </c>
    </row>
    <row r="29" ht="48" customHeight="1">
      <c r="B29" s="13" t="inlineStr">
        <is>
          <t>Faste kostnader per time ved 10 000 timer</t>
        </is>
      </c>
      <c r="C29" s="11" t="n"/>
      <c r="D29" s="19" t="inlineStr">
        <is>
          <t>kr per time</t>
        </is>
      </c>
      <c r="G29" s="18">
        <f>IF(C29="","Skriv svaret i den gule cellen.",IF(ISTEXT(C29),"Skriv bare tallet, uten mellomrom, enhet eller tekst. Enheten står ved siden av cellen. Du kan også skrive regnestykket med likhetstegn foran, for eksempel =2100000/7300.",IF(ABS(C29-(ROUND(3840000/10000,0)))&lt;=1,"Riktig.",IF(ABS(C29-(ROUND(3840000/14400,0)))&lt;=1,"Det er svaret for 14 400 timer. Nå er det 10 000 timer; del på det.",IF(IFERROR(AND(C29&lt;&gt;0,(ROUND(3840000/10000,0))&lt;&gt;0,ROUND(LOG10(ABS(C29/(ROUND(3840000/10000,0)))),0)&lt;&gt;0,ABS(LOG10(ABS(C29/(ROUND(3840000/10000,0))))-ROUND(LOG10(ABS(C29/(ROUND(3840000/10000,0)))),0))&lt;0.004),FALSE),"Sifrene stemmer, men antall nuller eller plasseringen av kommaet er feil. Sjekk om du har regnet i kroner, tusen kroner eller prosent.",IF(ABS(C29-(ROUND(3840000/10000,0)))&lt;=MAX(1,0.01*ABS(ROUND(3840000/10000,0))),"Riktig. Svaret ditt ligger litt fra arkets tall fordi du har rundet av underveis. Det er helt greit.",IF(C29&gt;(ROUND(3840000/10000,0)),"Ikke riktig ennå. Svaret ditt er for høyt. Tips: Se på regnestykket øverst på fanen, og sjekk at du har med alle leddene.","Ikke riktig ennå. Svaret ditt er for lavt. Tips: Se på regnestykket øverst på fanen, og sjekk at du har med alle leddene.")))))))</f>
        <v/>
      </c>
      <c r="Z29" t="inlineStr">
        <is>
          <t>Variabel</t>
        </is>
      </c>
    </row>
    <row r="30">
      <c r="Z30" t="inlineStr">
        <is>
          <t>Kommer an på</t>
        </is>
      </c>
    </row>
    <row r="31" ht="30" customHeight="1">
      <c r="B31" s="2" t="inlineStr">
        <is>
          <t>Med egne ord: hva skjer med de faste kostnadene per time når det blir stille, og hva bør det bety for timeprisen? (To–tre setninger.)</t>
        </is>
      </c>
      <c r="Z31" t="inlineStr">
        <is>
          <t>Fast</t>
        </is>
      </c>
    </row>
    <row r="32" ht="22" customHeight="1">
      <c r="B32" s="20" t="n"/>
      <c r="Z32" t="inlineStr">
        <is>
          <t>Variabel</t>
        </is>
      </c>
    </row>
    <row r="33" ht="22" customHeight="1">
      <c r="Z33" t="inlineStr">
        <is>
          <t>Kommer an på</t>
        </is>
      </c>
    </row>
    <row r="34" ht="22" customHeight="1">
      <c r="Z34" t="inlineStr">
        <is>
          <t>Fast</t>
        </is>
      </c>
    </row>
    <row r="35" ht="40" customHeight="1">
      <c r="B35" s="21">
        <f>IF(LEN(B32)&lt;40,"",IF(AND(ISNUMBER(SEARCH("stille",B32)),ISNUMBER(SEARCH("pris",B32))),"Bra: du har med både at de faste per time stiger når det blir stille, og hva det betyr for prisen.",IF(OR(ISNUMBER(SEARCH("stille",B32)),ISNUMBER(SEARCH("pris",B32))),"Du er på sporet. Si også hva det bør bety for timeprisen i en stille periode.","Tips: de faste kostnadene står stille i kroner, men per time stiger de når timene blir færre. Det betyr ikke at timeprisen skal opp: prisen bygger på normalaktiviteten (kapittel 5), og en høyere pris i en stille periode skremmer bort de jobbene som er igjen. Svaret er flere fakturerte timer.")))</f>
        <v/>
      </c>
      <c r="Z35" t="inlineStr">
        <is>
          <t>Variabel</t>
        </is>
      </c>
    </row>
    <row r="36">
      <c r="B36" s="14" t="inlineStr">
        <is>
          <t>Står du fast? Skriv JA i den gule cellen:</t>
        </is>
      </c>
      <c r="C36" s="15" t="n"/>
      <c r="Z36" t="inlineStr">
        <is>
          <t>Kommer an på</t>
        </is>
      </c>
    </row>
    <row r="37" ht="32" customHeight="1">
      <c r="B37" s="16">
        <f>IF(C36="JA","Hint: 3 840 000 delt på 14 400 timer er 267 kr per time. 3 840 000 delt på 10 000 timer er 384 kr per time. De faste kostnadene er de samme; det er timene som er færre.","")</f>
        <v/>
      </c>
    </row>
    <row r="38"/>
    <row r="39" ht="30" customHeight="1">
      <c r="B39" s="5" t="inlineStr">
        <is>
          <t>Gule celler fyller du inn, gjerne som regnestykke: =2100000/7300. Grønne regnes ut av arket. Sjekken til høyre sier om svaret stemmer, og hva du bør se på hvis ikke.</t>
        </is>
      </c>
    </row>
  </sheetData>
  <mergeCells count="16">
    <mergeCell ref="B3:G3"/>
    <mergeCell ref="B2:G2"/>
    <mergeCell ref="B10:G10"/>
    <mergeCell ref="B39:G39"/>
    <mergeCell ref="B5:G5"/>
    <mergeCell ref="B32:G34"/>
    <mergeCell ref="B37:G37"/>
    <mergeCell ref="B31:G31"/>
    <mergeCell ref="B9:G9"/>
    <mergeCell ref="B27:G27"/>
    <mergeCell ref="B35:G35"/>
    <mergeCell ref="B4:G4"/>
    <mergeCell ref="B26:G26"/>
    <mergeCell ref="B12:G12"/>
    <mergeCell ref="B7:G7"/>
    <mergeCell ref="B6:G6"/>
  </mergeCells>
  <conditionalFormatting sqref="G13">
    <cfRule type="expression" priority="1" dxfId="0">
      <formula>LEFT(G13,6)="Riktig"</formula>
    </cfRule>
    <cfRule type="expression" priority="2" dxfId="1">
      <formula>LEFT(G13,4)="Ikke"</formula>
    </cfRule>
  </conditionalFormatting>
  <conditionalFormatting sqref="G14">
    <cfRule type="expression" priority="3" dxfId="0">
      <formula>LEFT(G14,6)="Riktig"</formula>
    </cfRule>
    <cfRule type="expression" priority="4" dxfId="1">
      <formula>LEFT(G14,4)="Ikke"</formula>
    </cfRule>
  </conditionalFormatting>
  <conditionalFormatting sqref="G15">
    <cfRule type="expression" priority="5" dxfId="0">
      <formula>LEFT(G15,6)="Riktig"</formula>
    </cfRule>
    <cfRule type="expression" priority="6" dxfId="1">
      <formula>LEFT(G15,4)="Ikke"</formula>
    </cfRule>
  </conditionalFormatting>
  <conditionalFormatting sqref="G16">
    <cfRule type="expression" priority="7" dxfId="0">
      <formula>LEFT(G16,6)="Riktig"</formula>
    </cfRule>
    <cfRule type="expression" priority="8" dxfId="1">
      <formula>LEFT(G16,4)="Ikke"</formula>
    </cfRule>
  </conditionalFormatting>
  <conditionalFormatting sqref="G17">
    <cfRule type="expression" priority="9" dxfId="0">
      <formula>LEFT(G17,6)="Riktig"</formula>
    </cfRule>
    <cfRule type="expression" priority="10" dxfId="1">
      <formula>LEFT(G17,4)="Ikke"</formula>
    </cfRule>
  </conditionalFormatting>
  <conditionalFormatting sqref="G18">
    <cfRule type="expression" priority="11" dxfId="0">
      <formula>LEFT(G18,6)="Riktig"</formula>
    </cfRule>
    <cfRule type="expression" priority="12" dxfId="1">
      <formula>LEFT(G18,4)="Ikke"</formula>
    </cfRule>
  </conditionalFormatting>
  <conditionalFormatting sqref="G19">
    <cfRule type="expression" priority="13" dxfId="0">
      <formula>LEFT(G19,6)="Riktig"</formula>
    </cfRule>
    <cfRule type="expression" priority="14" dxfId="1">
      <formula>LEFT(G19,4)="Ikke"</formula>
    </cfRule>
  </conditionalFormatting>
  <conditionalFormatting sqref="G20">
    <cfRule type="expression" priority="15" dxfId="0">
      <formula>LEFT(G20,6)="Riktig"</formula>
    </cfRule>
    <cfRule type="expression" priority="16" dxfId="1">
      <formula>LEFT(G20,4)="Ikke"</formula>
    </cfRule>
  </conditionalFormatting>
  <conditionalFormatting sqref="G21">
    <cfRule type="expression" priority="17" dxfId="0">
      <formula>LEFT(G21,6)="Riktig"</formula>
    </cfRule>
    <cfRule type="expression" priority="18" dxfId="1">
      <formula>LEFT(G21,4)="Ikke"</formula>
    </cfRule>
  </conditionalFormatting>
  <conditionalFormatting sqref="G22">
    <cfRule type="expression" priority="19" dxfId="0">
      <formula>LEFT(G22,6)="Riktig"</formula>
    </cfRule>
    <cfRule type="expression" priority="20" dxfId="1">
      <formula>LEFT(G22,4)="Ikke"</formula>
    </cfRule>
  </conditionalFormatting>
  <conditionalFormatting sqref="G23">
    <cfRule type="expression" priority="21" dxfId="0">
      <formula>LEFT(G23,6)="Riktig"</formula>
    </cfRule>
    <cfRule type="expression" priority="22" dxfId="1">
      <formula>LEFT(G23,4)="Ikke"</formula>
    </cfRule>
  </conditionalFormatting>
  <conditionalFormatting sqref="G24">
    <cfRule type="expression" priority="23" dxfId="0">
      <formula>LEFT(G24,6)="Riktig"</formula>
    </cfRule>
    <cfRule type="expression" priority="24" dxfId="1">
      <formula>LEFT(G24,4)="Ikke"</formula>
    </cfRule>
  </conditionalFormatting>
  <conditionalFormatting sqref="G28">
    <cfRule type="expression" priority="25" dxfId="0">
      <formula>LEFT(G28,6)="Riktig"</formula>
    </cfRule>
    <cfRule type="expression" priority="26" dxfId="2">
      <formula>LEFT(G28,6)="Nesten"</formula>
    </cfRule>
    <cfRule type="expression" priority="27" dxfId="1">
      <formula>AND(G28&lt;&gt;"",LEFT(G28,6)&lt;&gt;"Riktig",LEFT(G28,6)&lt;&gt;"Nesten",LEFT(G28,5)&lt;&gt;"Skriv")</formula>
    </cfRule>
  </conditionalFormatting>
  <conditionalFormatting sqref="G29">
    <cfRule type="expression" priority="28" dxfId="0">
      <formula>LEFT(G29,6)="Riktig"</formula>
    </cfRule>
    <cfRule type="expression" priority="29" dxfId="2">
      <formula>LEFT(G29,6)="Nesten"</formula>
    </cfRule>
    <cfRule type="expression" priority="30" dxfId="1">
      <formula>AND(G29&lt;&gt;"",LEFT(G29,6)&lt;&gt;"Riktig",LEFT(G29,6)&lt;&gt;"Nesten",LEFT(G29,5)&lt;&gt;"Skriv")</formula>
    </cfRule>
  </conditionalFormatting>
  <dataValidations count="13">
    <dataValidation sqref="C13" showDropDown="0" showInputMessage="0" showErrorMessage="0" allowBlank="1" type="list">
      <formula1>$Z$1:$Z$3</formula1>
    </dataValidation>
    <dataValidation sqref="C14" showDropDown="0" showInputMessage="0" showErrorMessage="0" allowBlank="1" type="list">
      <formula1>$Z$4:$Z$6</formula1>
    </dataValidation>
    <dataValidation sqref="C15" showDropDown="0" showInputMessage="0" showErrorMessage="0" allowBlank="1" type="list">
      <formula1>$Z$7:$Z$9</formula1>
    </dataValidation>
    <dataValidation sqref="C16" showDropDown="0" showInputMessage="0" showErrorMessage="0" allowBlank="1" type="list">
      <formula1>$Z$10:$Z$12</formula1>
    </dataValidation>
    <dataValidation sqref="C17" showDropDown="0" showInputMessage="0" showErrorMessage="0" allowBlank="1" type="list">
      <formula1>$Z$13:$Z$15</formula1>
    </dataValidation>
    <dataValidation sqref="C18" showDropDown="0" showInputMessage="0" showErrorMessage="0" allowBlank="1" type="list">
      <formula1>$Z$16:$Z$18</formula1>
    </dataValidation>
    <dataValidation sqref="C19" showDropDown="0" showInputMessage="0" showErrorMessage="0" allowBlank="1" type="list">
      <formula1>$Z$19:$Z$21</formula1>
    </dataValidation>
    <dataValidation sqref="C20" showDropDown="0" showInputMessage="0" showErrorMessage="0" allowBlank="1" type="list">
      <formula1>$Z$22:$Z$24</formula1>
    </dataValidation>
    <dataValidation sqref="C21" showDropDown="0" showInputMessage="0" showErrorMessage="0" allowBlank="1" type="list">
      <formula1>$Z$25:$Z$27</formula1>
    </dataValidation>
    <dataValidation sqref="C22" showDropDown="0" showInputMessage="0" showErrorMessage="0" allowBlank="1" type="list">
      <formula1>$Z$28:$Z$30</formula1>
    </dataValidation>
    <dataValidation sqref="C23" showDropDown="0" showInputMessage="0" showErrorMessage="0" allowBlank="1" type="list">
      <formula1>$Z$31:$Z$33</formula1>
    </dataValidation>
    <dataValidation sqref="C24" showDropDown="0" showInputMessage="0" showErrorMessage="0" allowBlank="1" type="list">
      <formula1>$Z$34:$Z$36</formula1>
    </dataValidation>
    <dataValidation sqref="C36"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Hun har glemt varekjøpet i mai</t>
        </is>
      </c>
    </row>
    <row r="2" ht="26" customHeight="1">
      <c r="B2" s="1" t="inlineStr">
        <is>
          <t>Oppgave 1C: Nordlys mars til mai: hvorfor var kontoen trang?</t>
        </is>
      </c>
      <c r="Z2" t="inlineStr">
        <is>
          <t>Hun har brukt feil lagertall</t>
        </is>
      </c>
    </row>
    <row r="3" ht="15" customHeight="1">
      <c r="B3" s="5" t="inlineStr">
        <is>
          <t>Alene, i par eller i gruppe, slik du vil.</t>
        </is>
      </c>
      <c r="Z3" t="inlineStr">
        <is>
          <t>Ingenting, 280 000 er riktig</t>
        </is>
      </c>
    </row>
    <row r="4" ht="16" customHeight="1">
      <c r="B4" s="3" t="inlineStr">
        <is>
          <t>Situasjonen</t>
        </is>
      </c>
    </row>
    <row r="5" ht="30" customHeight="1">
      <c r="B5" s="2" t="inlineStr">
        <is>
          <t>Samme sak som i 1A, nå for hele våren. Lageret var 1 250 000 kr 1. mars, februarkjøpet var 760 000 kr, og Polarlys gir 30 dagers kreditt. Kari sier at regnskapet viste overskudd i april, men at kontoen var trang.</t>
        </is>
      </c>
    </row>
    <row r="6" ht="16" customHeight="1">
      <c r="B6" s="3" t="inlineStr">
        <is>
          <t>Begrepene du trenger</t>
        </is>
      </c>
    </row>
    <row r="7" ht="30" customHeight="1">
      <c r="B7" s="2" t="inlineStr">
        <is>
          <t>Varekostnad = lager ved starten + varekjøp − lager ved slutten. Utbetalingen er forrige måneds kjøp. Resultatet regnes med kostnaden; kontoen følger utbetalingen.</t>
        </is>
      </c>
    </row>
    <row r="8"/>
    <row r="9" ht="16" customHeight="1">
      <c r="B9" s="3" t="inlineStr">
        <is>
          <t>Tallene, i kroner</t>
        </is>
      </c>
    </row>
    <row r="10" ht="15" customHeight="1">
      <c r="B10" s="2" t="inlineStr">
        <is>
          <t>Mars er regnet ferdig. Lageret ved starten av en måned er lageret ved slutten av måneden før (grønne celler).</t>
        </is>
      </c>
    </row>
    <row r="11">
      <c r="B11" s="6" t="inlineStr"/>
      <c r="C11" s="7" t="inlineStr">
        <is>
          <t>Mars</t>
        </is>
      </c>
      <c r="D11" s="7" t="inlineStr">
        <is>
          <t>April</t>
        </is>
      </c>
      <c r="E11" s="7" t="inlineStr">
        <is>
          <t>Mai</t>
        </is>
      </c>
    </row>
    <row r="12">
      <c r="B12" s="8" t="inlineStr">
        <is>
          <t>Lager ved starten av måneden</t>
        </is>
      </c>
      <c r="C12" s="9" t="n">
        <v>1250000</v>
      </c>
      <c r="D12" s="10">
        <f>C14</f>
        <v/>
      </c>
      <c r="E12" s="10">
        <f>D14</f>
        <v/>
      </c>
    </row>
    <row r="13">
      <c r="B13" s="8" t="inlineStr">
        <is>
          <t>Varekjøp i måneden (utgift)</t>
        </is>
      </c>
      <c r="C13" s="9" t="n">
        <v>890000</v>
      </c>
      <c r="D13" s="9" t="n">
        <v>640000</v>
      </c>
      <c r="E13" s="9" t="n">
        <v>520000</v>
      </c>
    </row>
    <row r="14">
      <c r="B14" s="8" t="inlineStr">
        <is>
          <t>Lager ved slutten av måneden</t>
        </is>
      </c>
      <c r="C14" s="9" t="n">
        <v>1460000</v>
      </c>
      <c r="D14" s="9" t="n">
        <v>1380000</v>
      </c>
      <c r="E14" s="9" t="n">
        <v>1100000</v>
      </c>
    </row>
    <row r="15">
      <c r="B15" s="8" t="inlineStr">
        <is>
          <t>Varekostnad</t>
        </is>
      </c>
      <c r="C15" s="10">
        <f>C12+C13-C14</f>
        <v/>
      </c>
      <c r="D15" s="11" t="n"/>
      <c r="E15" s="11" t="n"/>
    </row>
    <row r="16">
      <c r="B16" s="8" t="inlineStr">
        <is>
          <t>Utbetalt til Polarlys</t>
        </is>
      </c>
      <c r="C16" s="9" t="n">
        <v>760000</v>
      </c>
      <c r="D16" s="11" t="n"/>
      <c r="E16" s="11" t="n"/>
    </row>
    <row r="17"/>
    <row r="18" ht="16" customHeight="1">
      <c r="B18" s="3" t="inlineStr">
        <is>
          <t>Oppgaven, trinn for trinn</t>
        </is>
      </c>
    </row>
    <row r="19" ht="45" customHeight="1">
      <c r="B19" s="2" t="inlineStr">
        <is>
          <t>1. Fyll inn varekostnad og utbetaling for april og mai i tabellen (gule celler). Varekostnad = lager ved start + varekjøp − lager ved slutt. Utbetalingen er forrige måneds kjøp.
2. Svar på a til c under. Sjekken sier om tallet stemmer.
3. Velg i d hva som er feil i Idas regnestykke, og skriv forklaringen til Kari i e.</t>
        </is>
      </c>
    </row>
    <row r="20"/>
    <row r="21" ht="48" customHeight="1">
      <c r="B21" s="13" t="inlineStr">
        <is>
          <t>a) Varekostnad i mai</t>
        </is>
      </c>
      <c r="C21" s="11" t="n"/>
      <c r="D21" s="19" t="inlineStr">
        <is>
          <t>kr</t>
        </is>
      </c>
      <c r="G21" s="18">
        <f>IF(C21="","Skriv svaret i den gule cellen.",IF(ISTEXT(C21),"Skriv bare tallet, uten mellomrom, enhet eller tekst. Enheten står ved siden av cellen. Du kan også skrive regnestykket med likhetstegn foran, for eksempel =2100000/7300.",IF(ABS(C21-(E12+E13-E14))&lt;=0.99,"Riktig. 1 380 000 + 520 000 − 1 100 000 = 800 000 kr.",IF(ABS(C21-(E12-E14))&lt;=0.99,"Du har glemt varekjøpet i mai, 520 000.",IF(ABS(C21-(E14-E12))&lt;=0.99,"Snu rekkefølgen: lager ved start minus lager ved slutt, og legg til kjøpet.",IF(IFERROR(AND(C21&lt;&gt;0,(E12+E13-E14)&lt;&gt;0,ROUND(LOG10(ABS(C21/(E12+E13-E14))),0)&lt;&gt;0,ABS(LOG10(ABS(C21/(E12+E13-E14)))-ROUND(LOG10(ABS(C21/(E12+E13-E14))),0))&lt;0.004),FALSE),"Sifrene stemmer, men antall nuller eller plasseringen av kommaet er feil. Sjekk om du har regnet i kroner, tusen kroner eller prosent.",IF(ABS(C21-(E12+E13-E14))&lt;=MAX(0.99,0.01*ABS(E12+E13-E14)),"Riktig. 1 380 000 + 520 000 − 1 100 000 = 800 000 kr. Svaret ditt ligger litt fra arkets tall fordi du har rundet av underveis. Det er helt greit.",IF(C21&gt;(E12+E13-E14),"Ikke riktig ennå. Svaret ditt er for høyt. Tips: Se på regnestykket øverst på fanen, og sjekk at du har med alle leddene.","Ikke riktig ennå. Svaret ditt er for lavt. Tips: Se på regnestykket øverst på fanen, og sjekk at du har med alle leddene."))))))))</f>
        <v/>
      </c>
    </row>
    <row r="22" ht="48" customHeight="1">
      <c r="B22" s="13" t="inlineStr">
        <is>
          <t>b) Utbetalt til Polarlys i mai</t>
        </is>
      </c>
      <c r="C22" s="11" t="n"/>
      <c r="D22" s="19" t="inlineStr">
        <is>
          <t>kr</t>
        </is>
      </c>
      <c r="G22" s="18">
        <f>IF(C22="","Skriv svaret i den gule cellen.",IF(ISTEXT(C22),"Skriv bare tallet, uten mellomrom, enhet eller tekst. Enheten står ved siden av cellen. Du kan også skrive regnestykket med likhetstegn foran, for eksempel =2100000/7300.",IF(ABS(C22-(D13))&lt;=0.99,"Riktig. Aprilkjøpet, 640 000 kr.",IF(ABS(C22-(E13))&lt;=0.99,"Du har tatt maikjøpet. Det betales i juni. I mai betales aprilkjøpet.",IF(IFERROR(AND(C22&lt;&gt;0,(D13)&lt;&gt;0,ROUND(LOG10(ABS(C22/(D13))),0)&lt;&gt;0,ABS(LOG10(ABS(C22/(D13)))-ROUND(LOG10(ABS(C22/(D13))),0))&lt;0.004),FALSE),"Sifrene stemmer, men antall nuller eller plasseringen av kommaet er feil. Sjekk om du har regnet i kroner, tusen kroner eller prosent.",IF(ABS(C22-(D13))&lt;=MAX(0.99,0.01*ABS(D13)),"Riktig. Aprilkjøpet, 640 000 kr. Svaret ditt ligger litt fra arkets tall fordi du har rundet av underveis. Det er helt greit.",IF(C22&gt;(D13),"Ikke riktig ennå. Svaret ditt er for høyt. Tips: Se på regnestykket øverst på fanen, og sjekk at du har med alle leddene.","Ikke riktig ennå. Svaret ditt er for lavt. Tips: Se på regnestykket øverst på fanen, og sjekk at du har med alle leddene.")))))))</f>
        <v/>
      </c>
    </row>
    <row r="23" ht="48" customHeight="1">
      <c r="B23" s="13" t="inlineStr">
        <is>
          <t>c) Hvor mye mer gikk ut av kontoen enn det som ble varekostnad, mars til mai samlet?</t>
        </is>
      </c>
      <c r="C23" s="11" t="n"/>
      <c r="D23" s="19" t="inlineStr">
        <is>
          <t>kr</t>
        </is>
      </c>
      <c r="G23" s="18">
        <f>IF(C23="","Skriv svaret i den gule cellen.",IF(ISTEXT(C23),"Skriv bare tallet, uten mellomrom, enhet eller tekst. Enheten står ved siden av cellen. Du kan også skrive regnestykket med likhetstegn foran, for eksempel =2100000/7300.",IF(ABS(C23-((C16+C13+D13)-(C15+(D12+D13-D14)+(E12+E13-E14))))&lt;=0.99,"Riktig. Utbetalt 760 000 + 890 000 + 640 000 = 2 290 000. Varekostnad 680 000 + 720 000 + 800 000 = 2 200 000. Differanse 90 000 kr.",IF(ABS(C23-(C16+C13+D13))&lt;=0.99,"Du har svart summen av utbetalingene. Trekk fra summen av varekostnadene.",IF(ABS(C23-((C13+D13+E13)-(C15+(D12+D13-D14)+(E12+E13-E14))))&lt;=0.99,"Du har brukt utgiftene (kjøpene) i stedet for utbetalingene. Utbetalt i mars er februarkjøpet, 760 000.",IF(IFERROR(AND(C23&lt;&gt;0,((C16+C13+D13)-(C15+(D12+D13-D14)+(E12+E13-E14)))&lt;&gt;0,ROUND(LOG10(ABS(C23/((C16+C13+D13)-(C15+(D12+D13-D14)+(E12+E13-E14))))),0)&lt;&gt;0,ABS(LOG10(ABS(C23/((C16+C13+D13)-(C15+(D12+D13-D14)+(E12+E13-E14)))))-ROUND(LOG10(ABS(C23/((C16+C13+D13)-(C15+(D12+D13-D14)+(E12+E13-E14))))),0))&lt;0.004),FALSE),"Sifrene stemmer, men antall nuller eller plasseringen av kommaet er feil. Sjekk om du har regnet i kroner, tusen kroner eller prosent.",IF(ABS(C23-((C16+C13+D13)-(C15+(D12+D13-D14)+(E12+E13-E14))))&lt;=MAX(0.99,0.01*ABS((C16+C13+D13)-(C15+(D12+D13-D14)+(E12+E13-E14)))),"Riktig. Utbetalt 760 000 + 890 000 + 640 000 = 2 290 000. Varekostnad 680 000 + 720 000 + 800 000 = 2 200 000. Differanse 90 000 kr. Svaret ditt ligger litt fra arkets tall fordi du har rundet av underveis. Det er helt greit.",IF(C23&gt;((C16+C13+D13)-(C15+(D12+D13-D14)+(E12+E13-E14))),"Ikke riktig ennå. Svaret ditt er for høyt. Tips: Sum utbetalt (760 000 + 890 000 + 640 000) minus sum varekostnad (680 000 + 720 000 + 800 000).","Ikke riktig ennå. Svaret ditt er for lavt. Tips: Sum utbetalt (760 000 + 890 000 + 640 000) minus sum varekostnad (680 000 + 720 000 + 800 000)."))))))))</f>
        <v/>
      </c>
    </row>
    <row r="24"/>
    <row r="25" ht="40" customHeight="1">
      <c r="B25" s="13" t="inlineStr">
        <is>
          <t>d) Ida regner varekostnaden i mai som 1 380 000 − 1 100 000 = 280 000. Hva er feil?</t>
        </is>
      </c>
      <c r="C25" s="15" t="n"/>
      <c r="G25" s="18">
        <f>IF(C25="","Velg i nedtrekksmenyen.",IF(C25="Hun har glemt varekjøpet i mai","Riktig. Bare lagerendringen fanger ikke opp det som ble kjøpt og brukt i samme måned. Riktig: 1 380 000 + 520 000 − 1 100 000 = 800 000.","Ikke riktig. Les forklaringen og prøv et annet svar: Bare lagerendringen fanger ikke opp det som ble kjøpt og brukt i samme måned. Riktig: 1 380 000 + 520 000 − 1 100 000 = 800 000."))</f>
        <v/>
      </c>
    </row>
    <row r="26"/>
    <row r="27" ht="30" customHeight="1">
      <c r="B27" s="2" t="inlineStr">
        <is>
          <t>e) Kari sier: «Regnskapet viste overskudd i april, men kontoen var trang.» Forklar hvordan det henger sammen. Bruk ordene utgift, utbetaling og kostnad, og si noe om lageret.</t>
        </is>
      </c>
    </row>
    <row r="28" ht="22" customHeight="1">
      <c r="B28" s="20" t="n"/>
    </row>
    <row r="29" ht="22" customHeight="1"/>
    <row r="30" ht="22" customHeight="1"/>
    <row r="31" ht="40" customHeight="1">
      <c r="B31" s="21">
        <f>IF(LEN(B28)&lt;40,"",IF(AND(ISNUMBER(SEARCH("kostnad",B28)),ISNUMBER(SEARCH("utbetal",B28)),ISNUMBER(SEARCH("lager",B28))),"Bra: du bruker kostnad, utbetaling og lager. Sjekk at du også sier hvilken måned utbetalingen gjelder (marskjøpet forfalt i april).",IF(OR(ISNUMBER(SEARCH("kostnad",B28)),ISNUMBER(SEARCH("utbetal",B28)),ISNUMBER(SEARCH("lager",B28))),"Du har med noe av det. Har du forklart forskjellen på kostnaden (det som ble brukt) og utbetalingen (det som gikk ut av kontoen), og at lageret binder penger?","Tips: resultatet regnes med kostnaden (720 000 i april). Kontoen følger utbetalingen (890 000, marskjøpet). Lageret på 1 380 000 binder penger. Bruk de tre ordene.")))</f>
        <v/>
      </c>
    </row>
    <row r="32">
      <c r="B32" s="14" t="inlineStr">
        <is>
          <t>Står du fast? Skriv JA i den gule cellen:</t>
        </is>
      </c>
      <c r="C32" s="15" t="n"/>
    </row>
    <row r="33" ht="32" customHeight="1">
      <c r="B33" s="16">
        <f>IF(C32="JA","Hint: April: 1 460 000 + 640 000 − 1 380 000 = 720 000, utbetalt 890 000. Mai: 1 380 000 + 520 000 − 1 100 000 = 800 000, utbetalt 640 000. Utbetalt mars–mai 2 290 000, varekostnad 2 200 000, differanse 90 000.","")</f>
        <v/>
      </c>
    </row>
    <row r="34"/>
    <row r="35" ht="30" customHeight="1">
      <c r="B35"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10:G10"/>
    <mergeCell ref="B33:G33"/>
    <mergeCell ref="B5:G5"/>
    <mergeCell ref="B28:G30"/>
    <mergeCell ref="B31:G31"/>
    <mergeCell ref="B9:G9"/>
    <mergeCell ref="B27:G27"/>
    <mergeCell ref="B35:G35"/>
    <mergeCell ref="B4:G4"/>
    <mergeCell ref="B18:G18"/>
    <mergeCell ref="B7:G7"/>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G22">
    <cfRule type="expression" priority="4" dxfId="0">
      <formula>LEFT(G22,6)="Riktig"</formula>
    </cfRule>
    <cfRule type="expression" priority="5" dxfId="2">
      <formula>LEFT(G22,6)="Nesten"</formula>
    </cfRule>
    <cfRule type="expression" priority="6" dxfId="1">
      <formula>AND(G22&lt;&gt;"",LEFT(G22,6)&lt;&gt;"Riktig",LEFT(G22,6)&lt;&gt;"Nesten",LEFT(G22,5)&lt;&gt;"Skriv")</formula>
    </cfRule>
  </conditionalFormatting>
  <conditionalFormatting sqref="G23">
    <cfRule type="expression" priority="7" dxfId="0">
      <formula>LEFT(G23,6)="Riktig"</formula>
    </cfRule>
    <cfRule type="expression" priority="8" dxfId="2">
      <formula>LEFT(G23,6)="Nesten"</formula>
    </cfRule>
    <cfRule type="expression" priority="9" dxfId="1">
      <formula>AND(G23&lt;&gt;"",LEFT(G23,6)&lt;&gt;"Riktig",LEFT(G23,6)&lt;&gt;"Nesten",LEFT(G23,5)&lt;&gt;"Skriv")</formula>
    </cfRule>
  </conditionalFormatting>
  <conditionalFormatting sqref="G25">
    <cfRule type="expression" priority="10" dxfId="0">
      <formula>LEFT(G25,6)="Riktig"</formula>
    </cfRule>
    <cfRule type="expression" priority="11" dxfId="1">
      <formula>LEFT(G25,4)="Ikke"</formula>
    </cfRule>
  </conditionalFormatting>
  <dataValidations count="2">
    <dataValidation sqref="C25" showDropDown="0" showInputMessage="0" showErrorMessage="0" allowBlank="1" type="list">
      <formula1>$Z$1:$Z$3</formula1>
    </dataValidation>
    <dataValidation sqref="C3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31"/>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2A: Hva koster en montør hos Fjell Elektro?</t>
        </is>
      </c>
    </row>
    <row r="3" ht="15" customHeight="1">
      <c r="B3" s="5" t="inlineStr">
        <is>
          <t>Alene, i par eller i gruppe, slik du vil.</t>
        </is>
      </c>
    </row>
    <row r="4" ht="16" customHeight="1">
      <c r="B4" s="3" t="inlineStr">
        <is>
          <t>Situasjonen</t>
        </is>
      </c>
    </row>
    <row r="5" ht="30" customHeight="1">
      <c r="B5" s="2" t="inlineStr">
        <is>
          <t>Fjell Elektro AS i Oslo (sone I, arbeidsgiveravgift 14,1 %) bruker bokas tabell 2.4 med 46,8 % sosiale kostnader. En montør har 560 000 kr i årslønn. Eieren vil sette timeprisen ut fra timelønna og spør deg om det holder.</t>
        </is>
      </c>
    </row>
    <row r="6" ht="16" customHeight="1">
      <c r="B6" s="3" t="inlineStr">
        <is>
          <t>Begrepene du trenger</t>
        </is>
      </c>
    </row>
    <row r="7" ht="30" customHeight="1">
      <c r="B7" s="2" t="inlineStr">
        <is>
          <t>Lønnskostnad = lønn × (1 + sosiale kostnader). De sosiale kostnadene er arbeidsgiveravgift, feriepenger, pensjon, lønn for helligdager og sykefravær, forsikring. Fakturerbare timer er de timene kunden betaler for.</t>
        </is>
      </c>
    </row>
    <row r="8"/>
    <row r="9" ht="16" customHeight="1">
      <c r="B9" s="3" t="inlineStr">
        <is>
          <t>Tallene</t>
        </is>
      </c>
    </row>
    <row r="10" ht="60" customHeight="1">
      <c r="B10" s="2" t="inlineStr">
        <is>
          <t>Årslønn 560 000 kr. Sosiale kostnader etter bokas tabell 2.4: 46,8 % av lønna (feriepenger med arbeidsgiveravgift 13,7 %, arbeidsgiveravgift 14,1 %, pensjon 8,0 % og arbeidsgiveravgift på pensjon 1,1 %, lønn for helligdager med mer 4,5 %, sykefravær, forsikring og annet 5,4 %). Montøren fakturerer 1 400 timer og har 400 timer til kjøring, opplæring og garantiarbeid: 1 800 betalte timer. Timeprisen Fjell tar av kunden er 890 kr uten merverdiavgift.</t>
        </is>
      </c>
    </row>
    <row r="11"/>
    <row r="12" ht="16" customHeight="1">
      <c r="B12" s="3" t="inlineStr">
        <is>
          <t>Oppgaven, trinn for trinn</t>
        </is>
      </c>
    </row>
    <row r="13" ht="60" customHeight="1">
      <c r="B13" s="2" t="inlineStr">
        <is>
          <t>1. Gang lønna med 1 + prosentsatsen: 560 000 × 1,468.
2. For b bytter du ut én post: montøren er 61 år og får 14,3 % feriepenger, så feriepenger med arbeidsgiveravgift blir 16,3 % i stedet for 13,7 %. Regn den nye prosenten og den nye lønnskostnaden.
3. For c velger Fjell minste pensjon etter loven, 2 % pluss 0,3 % arbeidsgiveravgift, i stedet for 8 % pluss 1,1 %.
4. I d til f går du fra timelønn til timepris. Svar i hele kroner.</t>
        </is>
      </c>
    </row>
    <row r="14"/>
    <row r="15" ht="48" customHeight="1">
      <c r="B15" s="13" t="inlineStr">
        <is>
          <t>a) Lønnskostnad for ett år med 46,8 % sosiale kostnader</t>
        </is>
      </c>
      <c r="C15" s="11" t="n"/>
      <c r="D15" s="19" t="inlineStr">
        <is>
          <t>kr</t>
        </is>
      </c>
      <c r="G15" s="18">
        <f>IF(C15="","Skriv svaret i den gule cellen.",IF(ISTEXT(C15),"Skriv bare tallet, uten mellomrom, enhet eller tekst. Enheten står ved siden av cellen. Du kan også skrive regnestykket med likhetstegn foran, for eksempel =2100000/7300.",IF(ABS(C15-(560000*1.468))&lt;=0.99,"Riktig. 560 000 × 1,468 = 822 080 kr.",IF(ABS(C15-(560000*0.468))&lt;=0.99,"Du har regnet bare de sosiale kostnadene. Lønnskostnaden er lønna pluss de sosiale: gang med 1,468.",IF(ABS(C15-(560000))&lt;=0.99,"Du har svart lønna alene. De sosiale kostnadene kommer på toppen.",IF(IFERROR(AND(C15&lt;&gt;0,(560000*1.468)&lt;&gt;0,ROUND(LOG10(ABS(C15/(560000*1.468))),0)&lt;&gt;0,ABS(LOG10(ABS(C15/(560000*1.468)))-ROUND(LOG10(ABS(C15/(560000*1.468))),0))&lt;0.004),FALSE),"Sifrene stemmer, men antall nuller eller plasseringen av kommaet er feil. Sjekk om du har regnet i kroner, tusen kroner eller prosent.",IF(ABS(C15-(560000*1.468))&lt;=MAX(0.99,0.01*ABS(560000*1.468)),"Riktig. 560 000 × 1,468 = 822 080 kr. Svaret ditt ligger litt fra arkets tall fordi du har rundet av underveis. Det er helt greit.",IF(C15&gt;(560000*1.468),"Ikke riktig ennå. Svaret ditt er for høyt. Tips: Se på regnestykket øverst på fanen, og sjekk at du har med alle leddene.","Ikke riktig ennå. Svaret ditt er for lavt. Tips: Se på regnestykket øverst på fanen, og sjekk at du har med alle leddene."))))))))</f>
        <v/>
      </c>
    </row>
    <row r="16" ht="48" customHeight="1">
      <c r="B16" s="13" t="inlineStr">
        <is>
          <t>b) Lønnskostnad når montøren er 61 år (feriepenger med avgift 16,3 % i stedet for 13,7 %)</t>
        </is>
      </c>
      <c r="C16" s="11" t="n"/>
      <c r="D16" s="19" t="inlineStr">
        <is>
          <t>kr</t>
        </is>
      </c>
      <c r="G16" s="18">
        <f>IF(C16="","Skriv svaret i den gule cellen.",IF(ISTEXT(C16),"Skriv bare tallet, uten mellomrom, enhet eller tekst. Enheten står ved siden av cellen. Du kan også skrive regnestykket med likhetstegn foran, for eksempel =2100000/7300.",IF(ABS(C16-(560000*1.494))&lt;=0.99,"Riktig. 46,8 + 2,6 = 49,4 %. 560 000 × 1,494 = 836 640 kr.",IF(ABS(C16-(560000*1.468))&lt;=0.99,"Det er svaret i a. Bytt 13,7 % med 16,3 %: 46,8 + 2,6 = 49,4 %.",IF(ABS(C16-(560000*1.631))&lt;=0.99,"Du har lagt til hele 16,3 %. Bare forskjellen fra 13,7 %, altså 2,6 prosentpoeng, kommer i tillegg.",IF(IFERROR(AND(C16&lt;&gt;0,(560000*1.494)&lt;&gt;0,ROUND(LOG10(ABS(C16/(560000*1.494))),0)&lt;&gt;0,ABS(LOG10(ABS(C16/(560000*1.494)))-ROUND(LOG10(ABS(C16/(560000*1.494))),0))&lt;0.004),FALSE),"Sifrene stemmer, men antall nuller eller plasseringen av kommaet er feil. Sjekk om du har regnet i kroner, tusen kroner eller prosent.",IF(ABS(C16-(560000*1.494))&lt;=MAX(0.99,0.01*ABS(560000*1.494)),"Riktig. 46,8 + 2,6 = 49,4 %. 560 000 × 1,494 = 836 640 kr. Svaret ditt ligger litt fra arkets tall fordi du har rundet av underveis. Det er helt greit.",IF(C16&gt;(560000*1.494),"Ikke riktig ennå. Svaret ditt er for høyt. Tips: Se på regnestykket øverst på fanen, og sjekk at du har med alle leddene.","Ikke riktig ennå. Svaret ditt er for lavt. Tips: Se på regnestykket øverst på fanen, og sjekk at du har med alle leddene."))))))))</f>
        <v/>
      </c>
    </row>
    <row r="17" ht="48" customHeight="1">
      <c r="B17" s="13" t="inlineStr">
        <is>
          <t>c) Lønnskostnad med minste pensjon (2 % + 0,3 % i stedet for 8 % + 1,1 %)</t>
        </is>
      </c>
      <c r="C17" s="11" t="n"/>
      <c r="D17" s="19" t="inlineStr">
        <is>
          <t>kr</t>
        </is>
      </c>
      <c r="G17" s="18">
        <f>IF(C17="","Skriv svaret i den gule cellen.",IF(ISTEXT(C17),"Skriv bare tallet, uten mellomrom, enhet eller tekst. Enheten står ved siden av cellen. Du kan også skrive regnestykket med likhetstegn foran, for eksempel =2100000/7300.",IF(ABS(C17-(560000*1.40))&lt;=0.99,"Riktig. 46,8 − 6,8 = 40,0 %. 560 000 × 1,40 = 784 000 kr.",IF(ABS(C17-(560000*1.468))&lt;=0.99,"Det er svaret i a. Pensjonen går ned fra 9,1 til 2,3 prosentpoeng: 46,8 − 6,8 = 40,0 %.",IF(ABS(C17-(560000*1.023))&lt;=0.99,"Du har regnet bare pensjonen. Alle de andre postene er fortsatt med: 40,0 % totalt.",IF(IFERROR(AND(C17&lt;&gt;0,(560000*1.40)&lt;&gt;0,ROUND(LOG10(ABS(C17/(560000*1.40))),0)&lt;&gt;0,ABS(LOG10(ABS(C17/(560000*1.40)))-ROUND(LOG10(ABS(C17/(560000*1.40))),0))&lt;0.004),FALSE),"Sifrene stemmer, men antall nuller eller plasseringen av kommaet er feil. Sjekk om du har regnet i kroner, tusen kroner eller prosent.",IF(ABS(C17-(560000*1.40))&lt;=MAX(0.99,0.01*ABS(560000*1.40)),"Riktig. 46,8 − 6,8 = 40,0 %. 560 000 × 1,40 = 784 000 kr. Svaret ditt ligger litt fra arkets tall fordi du har rundet av underveis. Det er helt greit.",IF(C17&gt;(560000*1.40),"Ikke riktig ennå. Svaret ditt er for høyt. Tips: Se på regnestykket øverst på fanen, og sjekk at du har med alle leddene.","Ikke riktig ennå. Svaret ditt er for lavt. Tips: Se på regnestykket øverst på fanen, og sjekk at du har med alle leddene."))))))))</f>
        <v/>
      </c>
    </row>
    <row r="18"/>
    <row r="19" ht="48" customHeight="1">
      <c r="B19" s="13" t="inlineStr">
        <is>
          <t>d) Timelønn: 560 000 delt på 1 800 betalte timer</t>
        </is>
      </c>
      <c r="C19" s="11" t="n"/>
      <c r="D19" s="19" t="inlineStr">
        <is>
          <t>kr per time</t>
        </is>
      </c>
      <c r="G19" s="18">
        <f>IF(C19="","Skriv svaret i den gule cellen.",IF(ISTEXT(C19),"Skriv bare tallet, uten mellomrom, enhet eller tekst. Enheten står ved siden av cellen. Du kan også skrive regnestykket med likhetstegn foran, for eksempel =2100000/7300.",IF(ABS(C19-(ROUND(560000/1800,0)))&lt;=1,"Riktig. 560 000 / 1 800 = 311 kr.",IF(ABS(C19-(ROUND(560000/1400,0)))&lt;=1,"Du har delt på de fakturerbare timene. Timelønna regnes på alle betalte timer, 1 800.",IF(IFERROR(AND(C19&lt;&gt;0,(ROUND(560000/1800,0))&lt;&gt;0,ROUND(LOG10(ABS(C19/(ROUND(560000/1800,0)))),0)&lt;&gt;0,ABS(LOG10(ABS(C19/(ROUND(560000/1800,0))))-ROUND(LOG10(ABS(C19/(ROUND(560000/1800,0)))),0))&lt;0.004),FALSE),"Sifrene stemmer, men antall nuller eller plasseringen av kommaet er feil. Sjekk om du har regnet i kroner, tusen kroner eller prosent.",IF(ABS(C19-(ROUND(560000/1800,0)))&lt;=MAX(1,0.01*ABS(ROUND(560000/1800,0))),"Riktig. 560 000 / 1 800 = 311 kr. Svaret ditt ligger litt fra arkets tall fordi du har rundet av underveis. Det er helt greit.",IF(C19&gt;(ROUND(560000/1800,0)),"Ikke riktig ennå. Svaret ditt er for høyt. Tips: Regnestykket er 560 000 delt på 1 800 betalte timer.","Ikke riktig ennå. Svaret ditt er for lavt. Tips: Regnestykket er 560 000 delt på 1 800 betalte timer.")))))))</f>
        <v/>
      </c>
    </row>
    <row r="20" ht="48" customHeight="1">
      <c r="B20" s="13" t="inlineStr">
        <is>
          <t>e) Lønnskostnad per betalt time: svaret i a delt på 1 800</t>
        </is>
      </c>
      <c r="C20" s="11" t="n"/>
      <c r="D20" s="19" t="inlineStr">
        <is>
          <t>kr per time</t>
        </is>
      </c>
      <c r="G20" s="18">
        <f>IF(C20="","Skriv svaret i den gule cellen.",IF(ISTEXT(C20),"Skriv bare tallet, uten mellomrom, enhet eller tekst. Enheten står ved siden av cellen. Du kan også skrive regnestykket med likhetstegn foran, for eksempel =2100000/7300.",IF(ABS(C20-(ROUND(560000*1.468/1800,0)))&lt;=1,"Riktig. 822 080 / 1 800 = 457 kr.",IF(ABS(C20-(ROUND(560000/1800,0)))&lt;=1,"Det er timelønna. Her skal lønnskostnaden med sosiale kostnader (a) deles på timene.",IF(IFERROR(AND(C20&lt;&gt;0,(ROUND(560000*1.468/1800,0))&lt;&gt;0,ROUND(LOG10(ABS(C20/(ROUND(560000*1.468/1800,0)))),0)&lt;&gt;0,ABS(LOG10(ABS(C20/(ROUND(560000*1.468/1800,0))))-ROUND(LOG10(ABS(C20/(ROUND(560000*1.468/1800,0)))),0))&lt;0.004),FALSE),"Sifrene stemmer, men antall nuller eller plasseringen av kommaet er feil. Sjekk om du har regnet i kroner, tusen kroner eller prosent.",IF(ABS(C20-(ROUND(560000*1.468/1800,0)))&lt;=MAX(1,0.01*ABS(ROUND(560000*1.468/1800,0))),"Riktig. 822 080 / 1 800 = 457 kr. Svaret ditt ligger litt fra arkets tall fordi du har rundet av underveis. Det er helt greit.",IF(C20&gt;(ROUND(560000*1.468/1800,0)),"Ikke riktig ennå. Svaret ditt er for høyt. Tips: Regnestykket er svaret i a delt på 1 800.","Ikke riktig ennå. Svaret ditt er for lavt. Tips: Regnestykket er svaret i a delt på 1 800.")))))))</f>
        <v/>
      </c>
    </row>
    <row r="21" ht="48" customHeight="1">
      <c r="B21" s="13" t="inlineStr">
        <is>
          <t>f) Lønnskostnad per fakturerbar time: svaret i a delt på 1 400</t>
        </is>
      </c>
      <c r="C21" s="11" t="n"/>
      <c r="D21" s="19" t="inlineStr">
        <is>
          <t>kr per time</t>
        </is>
      </c>
      <c r="G21" s="18">
        <f>IF(C21="","Skriv svaret i den gule cellen.",IF(ISTEXT(C21),"Skriv bare tallet, uten mellomrom, enhet eller tekst. Enheten står ved siden av cellen. Du kan også skrive regnestykket med likhetstegn foran, for eksempel =2100000/7300.",IF(ABS(C21-(ROUND(560000*1.468/1400,0)))&lt;=1,"Riktig. 822 080 / 1 400 = 587 kr.",IF(ABS(C21-(ROUND(560000*1.468/1800,0)))&lt;=1,"Du har delt på 1 800. Kunden betaler bare for 1 400 timer, så del på 1 400.",IF(IFERROR(AND(C21&lt;&gt;0,(ROUND(560000*1.468/1400,0))&lt;&gt;0,ROUND(LOG10(ABS(C21/(ROUND(560000*1.468/1400,0)))),0)&lt;&gt;0,ABS(LOG10(ABS(C21/(ROUND(560000*1.468/1400,0))))-ROUND(LOG10(ABS(C21/(ROUND(560000*1.468/1400,0)))),0))&lt;0.004),FALSE),"Sifrene stemmer, men antall nuller eller plasseringen av kommaet er feil. Sjekk om du har regnet i kroner, tusen kroner eller prosent.",IF(ABS(C21-(ROUND(560000*1.468/1400,0)))&lt;=MAX(1,0.01*ABS(ROUND(560000*1.468/1400,0))),"Riktig. 822 080 / 1 400 = 587 kr. Svaret ditt ligger litt fra arkets tall fordi du har rundet av underveis. Det er helt greit.",IF(C21&gt;(ROUND(560000*1.468/1400,0)),"Ikke riktig ennå. Svaret ditt er for høyt. Tips: Regnestykket er svaret i a delt på 1 400.","Ikke riktig ennå. Svaret ditt er for lavt. Tips: Regnestykket er svaret i a delt på 1 400.")))))))</f>
        <v/>
      </c>
    </row>
    <row r="22"/>
    <row r="23" ht="30" customHeight="1">
      <c r="B23" s="2" t="inlineStr">
        <is>
          <t>g) Eieren vil sette timeprisen ut fra timelønna, 311 kr. Hva sier du til ham? Bruk tallene fra d til f og timeprisen 890 kr.</t>
        </is>
      </c>
    </row>
    <row r="24" ht="22" customHeight="1">
      <c r="B24" s="20" t="n"/>
    </row>
    <row r="25" ht="22" customHeight="1"/>
    <row r="26" ht="22" customHeight="1"/>
    <row r="27" ht="40" customHeight="1">
      <c r="B27" s="21">
        <f>IF(LEN(B24)&lt;40,"",IF(AND(ISNUMBER(SEARCH("587",B24)),ISNUMBER(SEARCH("890",B24))),"Bra: du bruker både 587 kr per fakturerbar time og timeprisen 890. Si også hva de 303 kronene i mellom skal dekke.",IF(OR(ISNUMBER(SEARCH("587",B24)),ISNUMBER(SEARCH("890",B24))),"Du er på sporet. Ta med at hver fakturerbar time koster 587 kr i lønn, og at 890 i tillegg skal dekke bil, lokaler, utstyr og fortjeneste.","Tips: 311 er bare lønna. Med sosiale kostnader er det 457 per betalt time, og 587 per time kunden betaler for. Timeprisen 890 skal dessuten dekke bil, lokaler, utstyr og fortjeneste.")))</f>
        <v/>
      </c>
    </row>
    <row r="28">
      <c r="B28" s="14" t="inlineStr">
        <is>
          <t>Står du fast? Skriv JA i den gule cellen:</t>
        </is>
      </c>
      <c r="C28" s="15" t="n"/>
    </row>
    <row r="29" ht="45" customHeight="1">
      <c r="B29" s="16">
        <f>IF(C28="JA","Hint: a: 560 000 × 1,468 = 822 080. b: 46,8 + (16,3 − 13,7) = 49,4 %, 560 000 × 1,494 = 836 640. c: 46,8 − (9,1 − 2,3) = 40,0 %, 560 000 × 1,40 = 784 000. d: 560 000 / 1 800 = 311. e: 822 080 / 1 800 = 457. f: 822 080 / 1 400 = 587.","")</f>
        <v/>
      </c>
    </row>
    <row r="30"/>
    <row r="31" ht="30" customHeight="1">
      <c r="B31" s="5" t="inlineStr">
        <is>
          <t>Gule celler fyller du inn, gjerne som regnestykke: =2100000/7300. Grønne regnes ut av arket. Sjekken til høyre sier om svaret stemmer, og hva du bør se på hvis ikke.</t>
        </is>
      </c>
    </row>
  </sheetData>
  <mergeCells count="15">
    <mergeCell ref="B3:G3"/>
    <mergeCell ref="B2:G2"/>
    <mergeCell ref="B10:G10"/>
    <mergeCell ref="B24:G26"/>
    <mergeCell ref="B5:G5"/>
    <mergeCell ref="B31:G31"/>
    <mergeCell ref="B23:G23"/>
    <mergeCell ref="B9:G9"/>
    <mergeCell ref="B27:G27"/>
    <mergeCell ref="B4:G4"/>
    <mergeCell ref="B12:G12"/>
    <mergeCell ref="B13:G13"/>
    <mergeCell ref="B29:G29"/>
    <mergeCell ref="B7:G7"/>
    <mergeCell ref="B6:G6"/>
  </mergeCells>
  <conditionalFormatting sqref="G15">
    <cfRule type="expression" priority="1" dxfId="0">
      <formula>LEFT(G15,6)="Riktig"</formula>
    </cfRule>
    <cfRule type="expression" priority="2" dxfId="2">
      <formula>LEFT(G15,6)="Nesten"</formula>
    </cfRule>
    <cfRule type="expression" priority="3" dxfId="1">
      <formula>AND(G15&lt;&gt;"",LEFT(G15,6)&lt;&gt;"Riktig",LEFT(G15,6)&lt;&gt;"Nesten",LEFT(G15,5)&lt;&gt;"Skriv")</formula>
    </cfRule>
  </conditionalFormatting>
  <conditionalFormatting sqref="G16">
    <cfRule type="expression" priority="4" dxfId="0">
      <formula>LEFT(G16,6)="Riktig"</formula>
    </cfRule>
    <cfRule type="expression" priority="5" dxfId="2">
      <formula>LEFT(G16,6)="Nesten"</formula>
    </cfRule>
    <cfRule type="expression" priority="6" dxfId="1">
      <formula>AND(G16&lt;&gt;"",LEFT(G16,6)&lt;&gt;"Riktig",LEFT(G16,6)&lt;&gt;"Nesten",LEFT(G16,5)&lt;&gt;"Skriv")</formula>
    </cfRule>
  </conditionalFormatting>
  <conditionalFormatting sqref="G17">
    <cfRule type="expression" priority="7" dxfId="0">
      <formula>LEFT(G17,6)="Riktig"</formula>
    </cfRule>
    <cfRule type="expression" priority="8" dxfId="2">
      <formula>LEFT(G17,6)="Nesten"</formula>
    </cfRule>
    <cfRule type="expression" priority="9" dxfId="1">
      <formula>AND(G17&lt;&gt;"",LEFT(G17,6)&lt;&gt;"Riktig",LEFT(G17,6)&lt;&gt;"Nesten",LEFT(G17,5)&lt;&gt;"Skriv")</formula>
    </cfRule>
  </conditionalFormatting>
  <conditionalFormatting sqref="G19">
    <cfRule type="expression" priority="10" dxfId="0">
      <formula>LEFT(G19,6)="Riktig"</formula>
    </cfRule>
    <cfRule type="expression" priority="11" dxfId="2">
      <formula>LEFT(G19,6)="Nesten"</formula>
    </cfRule>
    <cfRule type="expression" priority="12" dxfId="1">
      <formula>AND(G19&lt;&gt;"",LEFT(G19,6)&lt;&gt;"Riktig",LEFT(G19,6)&lt;&gt;"Nesten",LEFT(G19,5)&lt;&gt;"Skriv")</formula>
    </cfRule>
  </conditionalFormatting>
  <conditionalFormatting sqref="G20">
    <cfRule type="expression" priority="13" dxfId="0">
      <formula>LEFT(G20,6)="Riktig"</formula>
    </cfRule>
    <cfRule type="expression" priority="14" dxfId="2">
      <formula>LEFT(G20,6)="Nesten"</formula>
    </cfRule>
    <cfRule type="expression" priority="15" dxfId="1">
      <formula>AND(G20&lt;&gt;"",LEFT(G20,6)&lt;&gt;"Riktig",LEFT(G20,6)&lt;&gt;"Nesten",LEFT(G20,5)&lt;&gt;"Skriv")</formula>
    </cfRule>
  </conditionalFormatting>
  <conditionalFormatting sqref="G21">
    <cfRule type="expression" priority="16" dxfId="0">
      <formula>LEFT(G21,6)="Riktig"</formula>
    </cfRule>
    <cfRule type="expression" priority="17" dxfId="2">
      <formula>LEFT(G21,6)="Nesten"</formula>
    </cfRule>
    <cfRule type="expression" priority="18" dxfId="1">
      <formula>AND(G21&lt;&gt;"",LEFT(G21,6)&lt;&gt;"Riktig",LEFT(G21,6)&lt;&gt;"Nesten",LEFT(G21,5)&lt;&gt;"Skriv")</formula>
    </cfRule>
  </conditionalFormatting>
  <dataValidations count="1">
    <dataValidation sqref="C28"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3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Direkte</t>
        </is>
      </c>
    </row>
    <row r="2" ht="26" customHeight="1">
      <c r="B2" s="1" t="inlineStr">
        <is>
          <t>Oppgave 2B: Jobb 2614 hos Hansen: direkte, indirekte og selvkost</t>
        </is>
      </c>
      <c r="Z2" t="inlineStr">
        <is>
          <t>Indirekte</t>
        </is>
      </c>
    </row>
    <row r="3" ht="15" customHeight="1">
      <c r="B3" s="5" t="inlineStr">
        <is>
          <t>Alene, i par eller i gruppe, slik du vil.</t>
        </is>
      </c>
      <c r="Z3" t="inlineStr">
        <is>
          <t>Direkte</t>
        </is>
      </c>
    </row>
    <row r="4" ht="16" customHeight="1">
      <c r="B4" s="3" t="inlineStr">
        <is>
          <t>Situasjonen</t>
        </is>
      </c>
      <c r="Z4" t="inlineStr">
        <is>
          <t>Indirekte</t>
        </is>
      </c>
    </row>
    <row r="5" ht="30" customHeight="1">
      <c r="B5" s="2" t="inlineStr">
        <is>
          <t>Nordlys bytter sikringsskap hos Hansen, jobbnummer 2614. Montørene bruker 14 timer, materiellet koster 9 800 kr, og kjøringen 800 kr. Ida skal finne ut hva jobben koster Nordlys.</t>
        </is>
      </c>
      <c r="Z5" t="inlineStr">
        <is>
          <t>Direkte</t>
        </is>
      </c>
    </row>
    <row r="6" ht="16" customHeight="1">
      <c r="B6" s="3" t="inlineStr">
        <is>
          <t>Begrepene du trenger</t>
        </is>
      </c>
      <c r="Z6" t="inlineStr">
        <is>
          <t>Indirekte</t>
        </is>
      </c>
    </row>
    <row r="7" ht="30" customHeight="1">
      <c r="B7" s="2" t="inlineStr">
        <is>
          <t>Direkte kostnader kan skrives på jobbnummeret. Indirekte kostnader er felles for alle jobbene og fordeles med en andel. Selvkost = direkte kostnader + andel indirekte. Boka kaller jobben et kalkyleobjekt.</t>
        </is>
      </c>
      <c r="Z7" t="inlineStr">
        <is>
          <t>Direkte</t>
        </is>
      </c>
    </row>
    <row r="8">
      <c r="Z8" t="inlineStr">
        <is>
          <t>Indirekte</t>
        </is>
      </c>
    </row>
    <row r="9" ht="16" customHeight="1">
      <c r="B9" s="3" t="inlineStr">
        <is>
          <t>Testen</t>
        </is>
      </c>
      <c r="Z9" t="inlineStr">
        <is>
          <t>Direkte</t>
        </is>
      </c>
    </row>
    <row r="10" ht="30" customHeight="1">
      <c r="B10" s="2" t="inlineStr">
        <is>
          <t>Spør for hver kostnad: kan Ida skrive den på jobbnummer 2614? Ja: direkte kostnad. Nei, den er felles for alle jobbene: indirekte kostnad.</t>
        </is>
      </c>
      <c r="Z10" t="inlineStr">
        <is>
          <t>Indirekte</t>
        </is>
      </c>
    </row>
    <row r="11">
      <c r="Z11" t="inlineStr">
        <is>
          <t>Direkte</t>
        </is>
      </c>
    </row>
    <row r="12" ht="15" customHeight="1">
      <c r="B12" s="17" t="inlineStr">
        <is>
          <t>Sorter kostnadene for jobb 2614 (velg i nedtrekksmenyen)</t>
        </is>
      </c>
      <c r="Z12" t="inlineStr">
        <is>
          <t>Indirekte</t>
        </is>
      </c>
    </row>
    <row r="13" ht="40" customHeight="1">
      <c r="B13" s="13" t="inlineStr">
        <is>
          <t>Montørtimer på jobben, 14 timer à 640 kr</t>
        </is>
      </c>
      <c r="C13" s="15" t="n"/>
      <c r="G13" s="18">
        <f>IF(C13="","Velg i nedtrekksmenyen.",IF(C13="Direkte","Riktig. Timene er brukt på akkurat denne jobben.","Ikke riktig. Les forklaringen og prøv et annet svar: Timene er brukt på akkurat denne jobben."))</f>
        <v/>
      </c>
      <c r="Z13" t="inlineStr">
        <is>
          <t>Direkte</t>
        </is>
      </c>
    </row>
    <row r="14" ht="40" customHeight="1">
      <c r="B14" s="13" t="inlineStr">
        <is>
          <t>Sikringsskap, kabel og vern til Hansen</t>
        </is>
      </c>
      <c r="C14" s="15" t="n"/>
      <c r="G14" s="18">
        <f>IF(C14="","Velg i nedtrekksmenyen.",IF(C14="Direkte","Riktig. Materiellet er kjøpt til denne jobben.","Ikke riktig. Les forklaringen og prøv et annet svar: Materiellet er kjøpt til denne jobben."))</f>
        <v/>
      </c>
      <c r="Z14" t="inlineStr">
        <is>
          <t>Indirekte</t>
        </is>
      </c>
    </row>
    <row r="15" ht="40" customHeight="1">
      <c r="B15" s="13" t="inlineStr">
        <is>
          <t>Kjøring til Hansen</t>
        </is>
      </c>
      <c r="C15" s="15" t="n"/>
      <c r="G15" s="18">
        <f>IF(C15="","Velg i nedtrekksmenyen.",IF(C15="Direkte","Riktig. Turen gjelder denne jobben.","Ikke riktig. Les forklaringen og prøv et annet svar: Turen gjelder denne jobben."))</f>
        <v/>
      </c>
      <c r="Z15" t="inlineStr">
        <is>
          <t>Direkte</t>
        </is>
      </c>
    </row>
    <row r="16" ht="40" customHeight="1">
      <c r="B16" s="13" t="inlineStr">
        <is>
          <t>Husleie for lokalet</t>
        </is>
      </c>
      <c r="C16" s="15" t="n"/>
      <c r="G16" s="18">
        <f>IF(C16="","Velg i nedtrekksmenyen.",IF(C16="Indirekte","Riktig. Felles for alle jobbene. Fordeles med en andel.","Ikke riktig. Les forklaringen og prøv et annet svar: Felles for alle jobbene. Fordeles med en andel."))</f>
        <v/>
      </c>
      <c r="Z16" t="inlineStr">
        <is>
          <t>Indirekte</t>
        </is>
      </c>
    </row>
    <row r="17" ht="40" customHeight="1">
      <c r="B17" s="13" t="inlineStr">
        <is>
          <t>Karis lønn på kontoret</t>
        </is>
      </c>
      <c r="C17" s="15" t="n"/>
      <c r="G17" s="18">
        <f>IF(C17="","Velg i nedtrekksmenyen.",IF(C17="Indirekte","Riktig. Administrasjonen jobber for alle jobbene.","Ikke riktig. Les forklaringen og prøv et annet svar: Administrasjonen jobber for alle jobbene."))</f>
        <v/>
      </c>
    </row>
    <row r="18" ht="40" customHeight="1">
      <c r="B18" s="13" t="inlineStr">
        <is>
          <t>Forsikring på servicebilene</t>
        </is>
      </c>
      <c r="C18" s="15" t="n"/>
      <c r="G18" s="18">
        <f>IF(C18="","Velg i nedtrekksmenyen.",IF(C18="Indirekte","Riktig. Bilene brukes på alle jobbene.","Ikke riktig. Les forklaringen og prøv et annet svar: Bilene brukes på alle jobbene."))</f>
        <v/>
      </c>
    </row>
    <row r="19" ht="40" customHeight="1">
      <c r="B19" s="13" t="inlineStr">
        <is>
          <t>Strøm på verkstedet</t>
        </is>
      </c>
      <c r="C19" s="15" t="n"/>
      <c r="G19" s="18">
        <f>IF(C19="","Velg i nedtrekksmenyen.",IF(C19="Indirekte","Riktig. Verkstedet er felles. Merk: indirekte, og samtidig variabel.","Ikke riktig. Les forklaringen og prøv et annet svar: Verkstedet er felles. Merk: indirekte, og samtidig variabel."))</f>
        <v/>
      </c>
    </row>
    <row r="20" ht="40" customHeight="1">
      <c r="B20" s="13" t="inlineStr">
        <is>
          <t>Idas tid på å regne tilbudet</t>
        </is>
      </c>
      <c r="C20" s="15" t="n"/>
      <c r="G20" s="18">
        <f>IF(C20="","Velg i nedtrekksmenyen.",IF(C20="Indirekte","Riktig. Kalkulatørens tid fordeles på jobbene, selv om hun regnet på akkurat denne.","Ikke riktig. Les forklaringen og prøv et annet svar: Kalkulatørens tid fordeles på jobbene, selv om hun regnet på akkurat denne."))</f>
        <v/>
      </c>
    </row>
    <row r="21"/>
    <row r="22" ht="16" customHeight="1">
      <c r="B22" s="3" t="inlineStr">
        <is>
          <t>Regn selvkosten</t>
        </is>
      </c>
    </row>
    <row r="23" ht="30" customHeight="1">
      <c r="B23" s="2" t="inlineStr">
        <is>
          <t>Direkte kostnader er montørtimer (14 × 640), materiell 9 800 og kjøring 800. Jobbens andel av de indirekte kostnadene er anslått til 4 200 kr (hvordan den fordeles, er kapittel 5).</t>
        </is>
      </c>
    </row>
    <row r="24" ht="48" customHeight="1">
      <c r="B24" s="13" t="inlineStr">
        <is>
          <t>Sum direkte kostnader</t>
        </is>
      </c>
      <c r="C24" s="11" t="n"/>
      <c r="D24" s="19" t="inlineStr">
        <is>
          <t>kr</t>
        </is>
      </c>
      <c r="G24" s="18">
        <f>IF(C24="","Skriv svaret i den gule cellen.",IF(ISTEXT(C24),"Skriv bare tallet, uten mellomrom, enhet eller tekst. Enheten står ved siden av cellen. Du kan også skrive regnestykket med likhetstegn foran, for eksempel =2100000/7300.",IF(ABS(C24-(14*640+9800+800))&lt;=0.99,"Riktig.",IF(ABS(C24-(14*640+9800))&lt;=0.99,"Du har glemt kjøringen, 800 kr.",IF(ABS(C24-(9800+800))&lt;=0.99,"Du har glemt montørtimene, 14 × 640 = 8 960.",IF(IFERROR(AND(C24&lt;&gt;0,(14*640+9800+800)&lt;&gt;0,ROUND(LOG10(ABS(C24/(14*640+9800+800))),0)&lt;&gt;0,ABS(LOG10(ABS(C24/(14*640+9800+800)))-ROUND(LOG10(ABS(C24/(14*640+9800+800))),0))&lt;0.004),FALSE),"Sifrene stemmer, men antall nuller eller plasseringen av kommaet er feil. Sjekk om du har regnet i kroner, tusen kroner eller prosent.",IF(ABS(C24-(14*640+9800+800))&lt;=MAX(0.99,0.01*ABS(14*640+9800+800)),"Riktig. Svaret ditt ligger litt fra arkets tall fordi du har rundet av underveis. Det er helt greit.",IF(C24&gt;(14*640+9800+800),"Ikke riktig ennå. Svaret ditt er for høyt. Tips: Se på regnestykket øverst på fanen, og sjekk at du har med alle leddene.","Ikke riktig ennå. Svaret ditt er for lavt. Tips: Se på regnestykket øverst på fanen, og sjekk at du har med alle leddene."))))))))</f>
        <v/>
      </c>
    </row>
    <row r="25" ht="48" customHeight="1">
      <c r="B25" s="13" t="inlineStr">
        <is>
          <t>Selvkost for jobben (direkte + andel indirekte)</t>
        </is>
      </c>
      <c r="C25" s="11" t="n"/>
      <c r="D25" s="19" t="inlineStr">
        <is>
          <t>kr</t>
        </is>
      </c>
      <c r="G25" s="18">
        <f>IF(C25="","Skriv svaret i den gule cellen.",IF(ISTEXT(C25),"Skriv bare tallet, uten mellomrom, enhet eller tekst. Enheten står ved siden av cellen. Du kan også skrive regnestykket med likhetstegn foran, for eksempel =2100000/7300.",IF(ABS(C25-(14*640+9800+800+4200))&lt;=0.99,"Riktig.",IF(ABS(C25-(14*640+9800+800))&lt;=0.99,"Det er bare de direkte. Legg til andelen indirekte, 4 200.",IF(IFERROR(AND(C25&lt;&gt;0,(14*640+9800+800+4200)&lt;&gt;0,ROUND(LOG10(ABS(C25/(14*640+9800+800+4200))),0)&lt;&gt;0,ABS(LOG10(ABS(C25/(14*640+9800+800+4200)))-ROUND(LOG10(ABS(C25/(14*640+9800+800+4200))),0))&lt;0.004),FALSE),"Sifrene stemmer, men antall nuller eller plasseringen av kommaet er feil. Sjekk om du har regnet i kroner, tusen kroner eller prosent.",IF(ABS(C25-(14*640+9800+800+4200))&lt;=MAX(0.99,0.01*ABS(14*640+9800+800+4200)),"Riktig. Svaret ditt ligger litt fra arkets tall fordi du har rundet av underveis. Det er helt greit.",IF(C25&gt;(14*640+9800+800+4200),"Ikke riktig ennå. Svaret ditt er for høyt. Tips: Se på regnestykket øverst på fanen, og sjekk at du har med alle leddene.","Ikke riktig ennå. Svaret ditt er for lavt. Tips: Se på regnestykket øverst på fanen, og sjekk at du har med alle leddene.")))))))</f>
        <v/>
      </c>
    </row>
    <row r="26"/>
    <row r="27" ht="30" customHeight="1">
      <c r="B27" s="2" t="inlineStr">
        <is>
          <t>Hvorfor er direkte kostnader alltid variable, mens indirekte kan være både faste og variable? Bruk skapet og strømmen som eksempler.</t>
        </is>
      </c>
    </row>
    <row r="28" ht="22" customHeight="1">
      <c r="B28" s="20" t="n"/>
    </row>
    <row r="29" ht="22" customHeight="1"/>
    <row r="30" ht="22" customHeight="1"/>
    <row r="31" ht="40" customHeight="1">
      <c r="B31" s="21">
        <f>IF(LEN(B28)&lt;40,"",IF(AND(ISNUMBER(SEARCH("skap",B28)),ISNUMBER(SEARCH("strøm",B28))),"Bra: du bruker begge eksemplene. Sier Nordlys nei til jobben, kjøpes ikke skapet (direkte og variabel), mens strømmen på verkstedet er felles (indirekte) og likevel varierer.",IF(OR(ISNUMBER(SEARCH("skap",B28)),ISNUMBER(SEARCH("strøm",B28))),"Du har ett av eksemplene. Ta med det andre også.","Tips: sier Nordlys nei til jobben, kjøpes ikke skapet; derfor er direkte alltid variabel. Husleia er indirekte og fast; strømmen på verkstedet er indirekte og variabel.")))</f>
        <v/>
      </c>
    </row>
    <row r="32">
      <c r="B32" s="14" t="inlineStr">
        <is>
          <t>Står du fast? Skriv JA i den gule cellen:</t>
        </is>
      </c>
      <c r="C32" s="15" t="n"/>
    </row>
    <row r="33" ht="32" customHeight="1">
      <c r="B33" s="16">
        <f>IF(C32="JA","Hint: Direkte: 14 × 640 = 8 960, pluss 9 800, pluss 800 = 19 560. Selvkost = 19 560 + 4 200 = 23 760.","")</f>
        <v/>
      </c>
    </row>
    <row r="34"/>
    <row r="35" ht="30" customHeight="1">
      <c r="B35" s="5" t="inlineStr">
        <is>
          <t>Gule celler fyller du inn, gjerne som regnestykke: =2100000/7300. Grønne regnes ut av arket. Sjekken til høyre sier om svaret stemmer, og hva du bør se på hvis ikke.</t>
        </is>
      </c>
    </row>
  </sheetData>
  <mergeCells count="16">
    <mergeCell ref="B3:G3"/>
    <mergeCell ref="B2:G2"/>
    <mergeCell ref="B10:G10"/>
    <mergeCell ref="B33:G33"/>
    <mergeCell ref="B5:G5"/>
    <mergeCell ref="B22:G22"/>
    <mergeCell ref="B28:G30"/>
    <mergeCell ref="B31:G31"/>
    <mergeCell ref="B23:G23"/>
    <mergeCell ref="B9:G9"/>
    <mergeCell ref="B27:G27"/>
    <mergeCell ref="B35:G35"/>
    <mergeCell ref="B4:G4"/>
    <mergeCell ref="B12:G12"/>
    <mergeCell ref="B7:G7"/>
    <mergeCell ref="B6:G6"/>
  </mergeCells>
  <conditionalFormatting sqref="G13">
    <cfRule type="expression" priority="1" dxfId="0">
      <formula>LEFT(G13,6)="Riktig"</formula>
    </cfRule>
    <cfRule type="expression" priority="2" dxfId="1">
      <formula>LEFT(G13,4)="Ikke"</formula>
    </cfRule>
  </conditionalFormatting>
  <conditionalFormatting sqref="G14">
    <cfRule type="expression" priority="3" dxfId="0">
      <formula>LEFT(G14,6)="Riktig"</formula>
    </cfRule>
    <cfRule type="expression" priority="4" dxfId="1">
      <formula>LEFT(G14,4)="Ikke"</formula>
    </cfRule>
  </conditionalFormatting>
  <conditionalFormatting sqref="G15">
    <cfRule type="expression" priority="5" dxfId="0">
      <formula>LEFT(G15,6)="Riktig"</formula>
    </cfRule>
    <cfRule type="expression" priority="6" dxfId="1">
      <formula>LEFT(G15,4)="Ikke"</formula>
    </cfRule>
  </conditionalFormatting>
  <conditionalFormatting sqref="G16">
    <cfRule type="expression" priority="7" dxfId="0">
      <formula>LEFT(G16,6)="Riktig"</formula>
    </cfRule>
    <cfRule type="expression" priority="8" dxfId="1">
      <formula>LEFT(G16,4)="Ikke"</formula>
    </cfRule>
  </conditionalFormatting>
  <conditionalFormatting sqref="G17">
    <cfRule type="expression" priority="9" dxfId="0">
      <formula>LEFT(G17,6)="Riktig"</formula>
    </cfRule>
    <cfRule type="expression" priority="10" dxfId="1">
      <formula>LEFT(G17,4)="Ikke"</formula>
    </cfRule>
  </conditionalFormatting>
  <conditionalFormatting sqref="G18">
    <cfRule type="expression" priority="11" dxfId="0">
      <formula>LEFT(G18,6)="Riktig"</formula>
    </cfRule>
    <cfRule type="expression" priority="12" dxfId="1">
      <formula>LEFT(G18,4)="Ikke"</formula>
    </cfRule>
  </conditionalFormatting>
  <conditionalFormatting sqref="G19">
    <cfRule type="expression" priority="13" dxfId="0">
      <formula>LEFT(G19,6)="Riktig"</formula>
    </cfRule>
    <cfRule type="expression" priority="14" dxfId="1">
      <formula>LEFT(G19,4)="Ikke"</formula>
    </cfRule>
  </conditionalFormatting>
  <conditionalFormatting sqref="G20">
    <cfRule type="expression" priority="15" dxfId="0">
      <formula>LEFT(G20,6)="Riktig"</formula>
    </cfRule>
    <cfRule type="expression" priority="16" dxfId="1">
      <formula>LEFT(G20,4)="Ikke"</formula>
    </cfRule>
  </conditionalFormatting>
  <conditionalFormatting sqref="G24">
    <cfRule type="expression" priority="17" dxfId="0">
      <formula>LEFT(G24,6)="Riktig"</formula>
    </cfRule>
    <cfRule type="expression" priority="18" dxfId="2">
      <formula>LEFT(G24,6)="Nesten"</formula>
    </cfRule>
    <cfRule type="expression" priority="19" dxfId="1">
      <formula>AND(G24&lt;&gt;"",LEFT(G24,6)&lt;&gt;"Riktig",LEFT(G24,6)&lt;&gt;"Nesten",LEFT(G24,5)&lt;&gt;"Skriv")</formula>
    </cfRule>
  </conditionalFormatting>
  <conditionalFormatting sqref="G25">
    <cfRule type="expression" priority="20" dxfId="0">
      <formula>LEFT(G25,6)="Riktig"</formula>
    </cfRule>
    <cfRule type="expression" priority="21" dxfId="2">
      <formula>LEFT(G25,6)="Nesten"</formula>
    </cfRule>
    <cfRule type="expression" priority="22" dxfId="1">
      <formula>AND(G25&lt;&gt;"",LEFT(G25,6)&lt;&gt;"Riktig",LEFT(G25,6)&lt;&gt;"Nesten",LEFT(G25,5)&lt;&gt;"Skriv")</formula>
    </cfRule>
  </conditionalFormatting>
  <dataValidations count="9">
    <dataValidation sqref="C13" showDropDown="0" showInputMessage="0" showErrorMessage="0" allowBlank="1" type="list">
      <formula1>$Z$1:$Z$2</formula1>
    </dataValidation>
    <dataValidation sqref="C14" showDropDown="0" showInputMessage="0" showErrorMessage="0" allowBlank="1" type="list">
      <formula1>$Z$3:$Z$4</formula1>
    </dataValidation>
    <dataValidation sqref="C15" showDropDown="0" showInputMessage="0" showErrorMessage="0" allowBlank="1" type="list">
      <formula1>$Z$5:$Z$6</formula1>
    </dataValidation>
    <dataValidation sqref="C16" showDropDown="0" showInputMessage="0" showErrorMessage="0" allowBlank="1" type="list">
      <formula1>$Z$7:$Z$8</formula1>
    </dataValidation>
    <dataValidation sqref="C17" showDropDown="0" showInputMessage="0" showErrorMessage="0" allowBlank="1" type="list">
      <formula1>$Z$9:$Z$10</formula1>
    </dataValidation>
    <dataValidation sqref="C18" showDropDown="0" showInputMessage="0" showErrorMessage="0" allowBlank="1" type="list">
      <formula1>$Z$11:$Z$12</formula1>
    </dataValidation>
    <dataValidation sqref="C19" showDropDown="0" showInputMessage="0" showErrorMessage="0" allowBlank="1" type="list">
      <formula1>$Z$13:$Z$14</formula1>
    </dataValidation>
    <dataValidation sqref="C20" showDropDown="0" showInputMessage="0" showErrorMessage="0" allowBlank="1" type="list">
      <formula1>$Z$15:$Z$16</formula1>
    </dataValidation>
    <dataValidation sqref="C3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Z40"/>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Direkte</t>
        </is>
      </c>
    </row>
    <row r="2" ht="26" customHeight="1">
      <c r="B2" s="1" t="inlineStr">
        <is>
          <t>Oppgave 2C: Felles ladeanlegg med seks plasser i borettslaget: lønner jobben seg?</t>
        </is>
      </c>
      <c r="Z2" t="inlineStr">
        <is>
          <t>Indirekte</t>
        </is>
      </c>
    </row>
    <row r="3" ht="15" customHeight="1">
      <c r="B3" s="5" t="inlineStr">
        <is>
          <t>Alene, i par eller i gruppe, slik du vil.</t>
        </is>
      </c>
      <c r="Z3" t="inlineStr">
        <is>
          <t>Direkte</t>
        </is>
      </c>
    </row>
    <row r="4" ht="16" customHeight="1">
      <c r="B4" s="3" t="inlineStr">
        <is>
          <t>Situasjonen</t>
        </is>
      </c>
      <c r="Z4" t="inlineStr">
        <is>
          <t>Indirekte</t>
        </is>
      </c>
    </row>
    <row r="5" ht="45" customHeight="1">
      <c r="B5" s="2" t="inlineStr">
        <is>
          <t>Borettslaget vil ha et felles ladeanlegg med seks plasser på parkeringsplassen. Det er et lite prosjekt: ladebokser, ny kurs fra tavla, lastbalansering og kabelføring. Ida har regnet et tilbud på 124 590 kr uten merverdiavgift, om lag 20 800 kr per plass. Kari spør om jobben lønner seg, og hva som kan gå galt.</t>
        </is>
      </c>
      <c r="Z5" t="inlineStr">
        <is>
          <t>Direkte</t>
        </is>
      </c>
    </row>
    <row r="6" ht="16" customHeight="1">
      <c r="B6" s="3" t="inlineStr">
        <is>
          <t>Begrepene du trenger</t>
        </is>
      </c>
      <c r="Z6" t="inlineStr">
        <is>
          <t>Indirekte</t>
        </is>
      </c>
    </row>
    <row r="7" ht="30" customHeight="1">
      <c r="B7" s="2" t="inlineStr">
        <is>
          <t>Selvkost = direkte kostnader + andel indirekte. Fortjeneste = pris − selvkost. Satsen for indirekte, 267 kr per montørtime, er Nordlys' faste kostnader delt på fakturerte timer (fra oppgave 1B).</t>
        </is>
      </c>
      <c r="Z7" t="inlineStr">
        <is>
          <t>Direkte</t>
        </is>
      </c>
    </row>
    <row r="8">
      <c r="Z8" t="inlineStr">
        <is>
          <t>Indirekte</t>
        </is>
      </c>
    </row>
    <row r="9" ht="16" customHeight="1">
      <c r="B9" s="3" t="inlineStr">
        <is>
          <t>Tallene</t>
        </is>
      </c>
      <c r="Z9" t="inlineStr">
        <is>
          <t>Direkte</t>
        </is>
      </c>
    </row>
    <row r="10" ht="75" customHeight="1">
      <c r="B10" s="2" t="inlineStr">
        <is>
          <t>Et felles ladeanlegg i et borettslag er et prosjekt, ikke seks eneboligladere: det trengs seks ladebokser (6 × 6 500 = 39 000 kr) og felles infrastruktur med tavle, lastbalansering og kabel (27 000 kr), til sammen 66 000 kr i materiell. Ida anslår 51 montørtimer. Hun regner direkte lønnskostnad med 640 kr per time, og kjøringen er 800 kr per dag i to dager. De indirekte kostnadene fordeler hun med 267 kr per montørtime (3 840 000 / 14 400, avrundet). Tilbudet er regnet slik Nordlys alltid priser: 51 × 890 + 66 000 × 1,20 = 124 590 kr uten merverdiavgift, om lag 20 800 kr per plass.</t>
        </is>
      </c>
      <c r="Z10" t="inlineStr">
        <is>
          <t>Indirekte</t>
        </is>
      </c>
    </row>
    <row r="11">
      <c r="B11" s="6" t="inlineStr">
        <is>
          <t>Post</t>
        </is>
      </c>
      <c r="C11" s="7" t="inlineStr">
        <is>
          <t>Mengde</t>
        </is>
      </c>
      <c r="D11" s="7" t="inlineStr">
        <is>
          <t>Kr per enhet</t>
        </is>
      </c>
      <c r="Z11" t="inlineStr">
        <is>
          <t>Direkte</t>
        </is>
      </c>
    </row>
    <row r="12">
      <c r="B12" s="8" t="inlineStr">
        <is>
          <t>Materiell: 6 ladebokser (39 000) og felles infrastruktur (27 000)</t>
        </is>
      </c>
      <c r="C12" s="9" t="n">
        <v>1</v>
      </c>
      <c r="D12" s="9" t="n">
        <v>66000</v>
      </c>
      <c r="Z12" t="inlineStr">
        <is>
          <t>Indirekte</t>
        </is>
      </c>
    </row>
    <row r="13">
      <c r="B13" s="8" t="inlineStr">
        <is>
          <t>Montørtimer (timesats)</t>
        </is>
      </c>
      <c r="C13" s="9" t="n">
        <v>51</v>
      </c>
      <c r="D13" s="9" t="n">
        <v>640</v>
      </c>
    </row>
    <row r="14">
      <c r="B14" s="8" t="inlineStr">
        <is>
          <t>Kjøring, to dager</t>
        </is>
      </c>
      <c r="C14" s="9" t="n">
        <v>2</v>
      </c>
      <c r="D14" s="9" t="n">
        <v>800</v>
      </c>
    </row>
    <row r="15">
      <c r="B15" s="8" t="inlineStr">
        <is>
          <t>Indirekte, per montørtime</t>
        </is>
      </c>
      <c r="C15" s="9" t="n">
        <v>51</v>
      </c>
      <c r="D15" s="9" t="n">
        <v>267</v>
      </c>
    </row>
    <row r="16">
      <c r="B16" s="8" t="inlineStr">
        <is>
          <t>Pris til kunden uten merverdiavgift (51 × 890 + 66 000 × 1,20)</t>
        </is>
      </c>
      <c r="C16" s="9" t="n">
        <v>1</v>
      </c>
      <c r="D16" s="9" t="n">
        <v>124590</v>
      </c>
    </row>
    <row r="17"/>
    <row r="18" ht="16" customHeight="1">
      <c r="B18" s="3" t="inlineStr">
        <is>
          <t>Oppgaven, trinn for trinn</t>
        </is>
      </c>
    </row>
    <row r="19" ht="30" customHeight="1">
      <c r="B19" s="2" t="inlineStr">
        <is>
          <t>1. Regn de direkte kostnadene: materiell, montørtimer og kjøring.
2. Legg til andelen indirekte (51 timer × 267) og få selvkosten.
3. Regn fortjenesten: tilbudsprisen 124 590 minus selvkost.
4. Svar på d og e.</t>
        </is>
      </c>
    </row>
    <row r="20"/>
    <row r="21" ht="48" customHeight="1">
      <c r="B21" s="13" t="inlineStr">
        <is>
          <t>a) Sum direkte kostnader</t>
        </is>
      </c>
      <c r="C21" s="11" t="n"/>
      <c r="D21" s="19" t="inlineStr">
        <is>
          <t>kr</t>
        </is>
      </c>
      <c r="G21" s="18">
        <f>IF(C21="","Skriv svaret i den gule cellen.",IF(ISTEXT(C21),"Skriv bare tallet, uten mellomrom, enhet eller tekst. Enheten står ved siden av cellen. Du kan også skrive regnestykket med likhetstegn foran, for eksempel =2100000/7300.",IF(ABS(C21-(66000+51*640+2*800))&lt;=0.99,"Riktig. 66 000 + 32 640 + 1 600 = 100 240 kr.",IF(ABS(C21-(66000+51*640))&lt;=0.99,"Du har glemt kjøringen, 2 × 800 = 1 600 kr.",IF(ABS(C21-(66000+2*800))&lt;=0.99,"Du har glemt montørtimene, 51 × 640 = 32 640.",IF(ABS(C21-(39000+51*640+2*800))&lt;=0.99,"Du har glemt den felles infrastrukturen, 27 000 kr.",IF(IFERROR(AND(C21&lt;&gt;0,(66000+51*640+2*800)&lt;&gt;0,ROUND(LOG10(ABS(C21/(66000+51*640+2*800))),0)&lt;&gt;0,ABS(LOG10(ABS(C21/(66000+51*640+2*800)))-ROUND(LOG10(ABS(C21/(66000+51*640+2*800))),0))&lt;0.004),FALSE),"Sifrene stemmer, men antall nuller eller plasseringen av kommaet er feil. Sjekk om du har regnet i kroner, tusen kroner eller prosent.",IF(ABS(C21-(66000+51*640+2*800))&lt;=MAX(0.99,0.01*ABS(66000+51*640+2*800)),"Riktig. 66 000 + 32 640 + 1 600 = 100 240 kr. Svaret ditt ligger litt fra arkets tall fordi du har rundet av underveis. Det er helt greit.",IF(C21&gt;(66000+51*640+2*800),"Ikke riktig ennå. Svaret ditt er for høyt. Tips: Se på regnestykket øverst på fanen, og sjekk at du har med alle leddene.","Ikke riktig ennå. Svaret ditt er for lavt. Tips: Se på regnestykket øverst på fanen, og sjekk at du har med alle leddene.")))))))))</f>
        <v/>
      </c>
    </row>
    <row r="22" ht="48" customHeight="1">
      <c r="B22" s="13" t="inlineStr">
        <is>
          <t>b) Selvkost (direkte + 51 timer × 267)</t>
        </is>
      </c>
      <c r="C22" s="11" t="n"/>
      <c r="D22" s="19" t="inlineStr">
        <is>
          <t>kr</t>
        </is>
      </c>
      <c r="G22" s="18">
        <f>IF(C22="","Skriv svaret i den gule cellen.",IF(ISTEXT(C22),"Skriv bare tallet, uten mellomrom, enhet eller tekst. Enheten står ved siden av cellen. Du kan også skrive regnestykket med likhetstegn foran, for eksempel =2100000/7300.",IF(ABS(C22-(66000+51*640+2*800+51*267))&lt;=0.99,"Riktig. 100 240 + 13 617 = 113 857 kr.",IF(ABS(C22-(66000+51*640+2*800))&lt;=0.99,"Det er bare de direkte. Legg til 51 × 267 = 13 617.",IF(ABS(C22-(66000+51*640+2*800+267))&lt;=0.99,"Du har lagt til 267 én gang. Det er 267 per montørtime, og jobben har 51 timer.",IF(IFERROR(AND(C22&lt;&gt;0,(66000+51*640+2*800+51*267)&lt;&gt;0,ROUND(LOG10(ABS(C22/(66000+51*640+2*800+51*267))),0)&lt;&gt;0,ABS(LOG10(ABS(C22/(66000+51*640+2*800+51*267)))-ROUND(LOG10(ABS(C22/(66000+51*640+2*800+51*267))),0))&lt;0.004),FALSE),"Sifrene stemmer, men antall nuller eller plasseringen av kommaet er feil. Sjekk om du har regnet i kroner, tusen kroner eller prosent.",IF(ABS(C22-(66000+51*640+2*800+51*267))&lt;=MAX(0.99,0.01*ABS(66000+51*640+2*800+51*267)),"Riktig. 100 240 + 13 617 = 113 857 kr. Svaret ditt ligger litt fra arkets tall fordi du har rundet av underveis. Det er helt greit.",IF(C22&gt;(66000+51*640+2*800+51*267),"Ikke riktig ennå. Svaret ditt er for høyt. Tips: Se på regnestykket øverst på fanen, og sjekk at du har med alle leddene.","Ikke riktig ennå. Svaret ditt er for lavt. Tips: Se på regnestykket øverst på fanen, og sjekk at du har med alle leddene."))))))))</f>
        <v/>
      </c>
    </row>
    <row r="23" ht="48" customHeight="1">
      <c r="B23" s="13" t="inlineStr">
        <is>
          <t>c) Fortjeneste (124 590 minus selvkost)</t>
        </is>
      </c>
      <c r="C23" s="11" t="n"/>
      <c r="D23" s="19" t="inlineStr">
        <is>
          <t>kr</t>
        </is>
      </c>
      <c r="G23" s="18">
        <f>IF(C23="","Skriv svaret i den gule cellen.",IF(ISTEXT(C23),"Skriv bare tallet, uten mellomrom, enhet eller tekst. Enheten står ved siden av cellen. Du kan også skrive regnestykket med likhetstegn foran, for eksempel =2100000/7300.",IF(ABS(C23-(124590-(66000+51*640+2*800+51*267)))&lt;=0.99,"Riktig. 124 590 − 113 857 = 10 733 kr (8,6 % av prisen)",IF(ABS(C23-(124590-(66000+51*640+2*800)))&lt;=0.99,"Du har trukket fra bare de direkte kostnadene. Trekk fra selvkosten, med den indirekte andelen.",IF(ABS(C23-(124590-66000))&lt;=0.99,"Du har trukket fra bare materiellet. Timene, kjøringen og de indirekte må også med.",IF(IFERROR(AND(C23&lt;&gt;0,(124590-(66000+51*640+2*800+51*267))&lt;&gt;0,ROUND(LOG10(ABS(C23/(124590-(66000+51*640+2*800+51*267)))),0)&lt;&gt;0,ABS(LOG10(ABS(C23/(124590-(66000+51*640+2*800+51*267))))-ROUND(LOG10(ABS(C23/(124590-(66000+51*640+2*800+51*267)))),0))&lt;0.004),FALSE),"Sifrene stemmer, men antall nuller eller plasseringen av kommaet er feil. Sjekk om du har regnet i kroner, tusen kroner eller prosent.",IF(ABS(C23-(124590-(66000+51*640+2*800+51*267)))&lt;=MAX(0.99,0.01*ABS(124590-(66000+51*640+2*800+51*267))),"Riktig. 124 590 − 113 857 = 10 733 kr (8,6 % av prisen) Svaret ditt ligger litt fra arkets tall fordi du har rundet av underveis. Det er helt greit.",IF(C23&gt;(124590-(66000+51*640+2*800+51*267)),"Ikke riktig ennå. Svaret ditt er for høyt. Tips: Se på regnestykket øverst på fanen, og sjekk at du har med alle leddene.","Ikke riktig ennå. Svaret ditt er for lavt. Tips: Se på regnestykket øverst på fanen, og sjekk at du har med alle leddene."))))))))</f>
        <v/>
      </c>
    </row>
    <row r="24"/>
    <row r="25" ht="40" customHeight="1">
      <c r="B25" s="13" t="inlineStr">
        <is>
          <t>d) Er dette direkte for ladepunktjobben? Ladeboksene og infrastrukturen</t>
        </is>
      </c>
      <c r="C25" s="15" t="n"/>
      <c r="G25" s="18">
        <f>IF(C25="","Velg i nedtrekksmenyen.",IF(C25="Direkte","Riktig. Kjøpt til denne jobben.","Ikke riktig. Les forklaringen og prøv et annet svar: Kjøpt til denne jobben."))</f>
        <v/>
      </c>
    </row>
    <row r="26" ht="40" customHeight="1">
      <c r="B26" s="13" t="inlineStr">
        <is>
          <t>d) Er dette direkte for ladepunktjobben? Montørtimene på borettslaget</t>
        </is>
      </c>
      <c r="C26" s="15" t="n"/>
      <c r="G26" s="18">
        <f>IF(C26="","Velg i nedtrekksmenyen.",IF(C26="Direkte","Riktig. Brukt på denne jobben (i kalkylen er timene en direkte kostnad).","Ikke riktig. Les forklaringen og prøv et annet svar: Brukt på denne jobben (i kalkylen er timene en direkte kostnad)."))</f>
        <v/>
      </c>
    </row>
    <row r="27" ht="40" customHeight="1">
      <c r="B27" s="13" t="inlineStr">
        <is>
          <t>d) Er dette direkte for ladepunktjobben? Kjøringen dit</t>
        </is>
      </c>
      <c r="C27" s="15" t="n"/>
      <c r="G27" s="18">
        <f>IF(C27="","Velg i nedtrekksmenyen.",IF(C27="Direkte","Riktig. Gjelder denne jobben.","Ikke riktig. Les forklaringen og prøv et annet svar: Gjelder denne jobben."))</f>
        <v/>
      </c>
    </row>
    <row r="28" ht="40" customHeight="1">
      <c r="B28" s="13" t="inlineStr">
        <is>
          <t>d) Er dette direkte for ladepunktjobben? Idas tid på tilbudet</t>
        </is>
      </c>
      <c r="C28" s="15" t="n"/>
      <c r="G28" s="18">
        <f>IF(C28="","Velg i nedtrekksmenyen.",IF(C28="Indirekte","Riktig. Fordeles på alle jobbene.","Ikke riktig. Les forklaringen og prøv et annet svar: Fordeles på alle jobbene."))</f>
        <v/>
      </c>
    </row>
    <row r="29" ht="40" customHeight="1">
      <c r="B29" s="13" t="inlineStr">
        <is>
          <t>d) Er dette direkte for ladepunktjobben? Husleia</t>
        </is>
      </c>
      <c r="C29" s="15" t="n"/>
      <c r="G29" s="18">
        <f>IF(C29="","Velg i nedtrekksmenyen.",IF(C29="Indirekte","Riktig. Felles for alle jobbene.","Ikke riktig. Les forklaringen og prøv et annet svar: Felles for alle jobbene."))</f>
        <v/>
      </c>
    </row>
    <row r="30" ht="40" customHeight="1">
      <c r="B30" s="13" t="inlineStr">
        <is>
          <t>d) Er dette direkte for ladepunktjobben? Forsikringen på bilene</t>
        </is>
      </c>
      <c r="C30" s="15" t="n"/>
      <c r="G30" s="18">
        <f>IF(C30="","Velg i nedtrekksmenyen.",IF(C30="Indirekte","Riktig. Felles for alle jobbene.","Ikke riktig. Les forklaringen og prøv et annet svar: Felles for alle jobbene."))</f>
        <v/>
      </c>
    </row>
    <row r="31"/>
    <row r="32" ht="30" customHeight="1">
      <c r="B32" s="2" t="inlineStr">
        <is>
          <t>e) Fortjenesten i c er 8,6 % av prisen. Hva er usikkert i kalkylen, og hva bør Kari se etter før hun sier ja til jobben?</t>
        </is>
      </c>
    </row>
    <row r="33" ht="22" customHeight="1">
      <c r="B33" s="20" t="n"/>
    </row>
    <row r="34" ht="22" customHeight="1"/>
    <row r="35" ht="22" customHeight="1"/>
    <row r="36" ht="40" customHeight="1">
      <c r="B36" s="21">
        <f>IF(LEN(B33)&lt;40,"",IF(AND(ISNUMBER(SEARCH("timer",B33)),ISNUMBER(SEARCH("267",B33))),"Bra: du peker på timene og på satsen for indirekte. Det er de to usikre leddene: bruker jobben 61 timer i stedet for 51, er nesten hele fortjenesten borte.",IF(OR(ISNUMBER(SEARCH("timer",B33)),ISNUMBER(SEARCH("267",B33))),"Du har med ett usikkert ledd. Se også på det andre: timeanslaget for infrastrukturen, og om 267 kr per time dekker de indirekte kostnadene.","Tips: fortjenesten er 10 733 av 124 590, altså 8,6 %. Bruker jobben ti timer mer enn anslått, øker kostnadene med 10 × 907 = 9 070, og det er bare 1 663 kr igjen. Kari bør sjekke timeanslaget (befaring av tavla og kabelføringen) og satsen for indirekte.")))</f>
        <v/>
      </c>
    </row>
    <row r="37">
      <c r="B37" s="14" t="inlineStr">
        <is>
          <t>Står du fast? Skriv JA i den gule cellen:</t>
        </is>
      </c>
      <c r="C37" s="15" t="n"/>
    </row>
    <row r="38" ht="32" customHeight="1">
      <c r="B38" s="16">
        <f>IF(C37="JA","Hint: a: 66 000 + 51 × 640 + 2 × 800 = 100 240. b: 100 240 + 51 × 267 = 113 857. c: 124 590 − 113 857 = 10 733.","")</f>
        <v/>
      </c>
    </row>
    <row r="39"/>
    <row r="40" ht="30" customHeight="1">
      <c r="B40"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33:G35"/>
    <mergeCell ref="B10:G10"/>
    <mergeCell ref="B38:G38"/>
    <mergeCell ref="B5:G5"/>
    <mergeCell ref="B36:G36"/>
    <mergeCell ref="B9:G9"/>
    <mergeCell ref="B32:G32"/>
    <mergeCell ref="B4:G4"/>
    <mergeCell ref="B40:G40"/>
    <mergeCell ref="B18:G18"/>
    <mergeCell ref="B7:G7"/>
    <mergeCell ref="B6:G6"/>
  </mergeCells>
  <conditionalFormatting sqref="G21">
    <cfRule type="expression" priority="1" dxfId="0">
      <formula>LEFT(G21,6)="Riktig"</formula>
    </cfRule>
    <cfRule type="expression" priority="2" dxfId="2">
      <formula>LEFT(G21,6)="Nesten"</formula>
    </cfRule>
    <cfRule type="expression" priority="3" dxfId="1">
      <formula>AND(G21&lt;&gt;"",LEFT(G21,6)&lt;&gt;"Riktig",LEFT(G21,6)&lt;&gt;"Nesten",LEFT(G21,5)&lt;&gt;"Skriv")</formula>
    </cfRule>
  </conditionalFormatting>
  <conditionalFormatting sqref="G22">
    <cfRule type="expression" priority="4" dxfId="0">
      <formula>LEFT(G22,6)="Riktig"</formula>
    </cfRule>
    <cfRule type="expression" priority="5" dxfId="2">
      <formula>LEFT(G22,6)="Nesten"</formula>
    </cfRule>
    <cfRule type="expression" priority="6" dxfId="1">
      <formula>AND(G22&lt;&gt;"",LEFT(G22,6)&lt;&gt;"Riktig",LEFT(G22,6)&lt;&gt;"Nesten",LEFT(G22,5)&lt;&gt;"Skriv")</formula>
    </cfRule>
  </conditionalFormatting>
  <conditionalFormatting sqref="G23">
    <cfRule type="expression" priority="7" dxfId="0">
      <formula>LEFT(G23,6)="Riktig"</formula>
    </cfRule>
    <cfRule type="expression" priority="8" dxfId="2">
      <formula>LEFT(G23,6)="Nesten"</formula>
    </cfRule>
    <cfRule type="expression" priority="9" dxfId="1">
      <formula>AND(G23&lt;&gt;"",LEFT(G23,6)&lt;&gt;"Riktig",LEFT(G23,6)&lt;&gt;"Nesten",LEFT(G23,5)&lt;&gt;"Skriv")</formula>
    </cfRule>
  </conditionalFormatting>
  <conditionalFormatting sqref="G25">
    <cfRule type="expression" priority="10" dxfId="0">
      <formula>LEFT(G25,6)="Riktig"</formula>
    </cfRule>
    <cfRule type="expression" priority="11" dxfId="1">
      <formula>LEFT(G25,4)="Ikke"</formula>
    </cfRule>
  </conditionalFormatting>
  <conditionalFormatting sqref="G26">
    <cfRule type="expression" priority="12" dxfId="0">
      <formula>LEFT(G26,6)="Riktig"</formula>
    </cfRule>
    <cfRule type="expression" priority="13" dxfId="1">
      <formula>LEFT(G26,4)="Ikke"</formula>
    </cfRule>
  </conditionalFormatting>
  <conditionalFormatting sqref="G27">
    <cfRule type="expression" priority="14" dxfId="0">
      <formula>LEFT(G27,6)="Riktig"</formula>
    </cfRule>
    <cfRule type="expression" priority="15" dxfId="1">
      <formula>LEFT(G27,4)="Ikke"</formula>
    </cfRule>
  </conditionalFormatting>
  <conditionalFormatting sqref="G28">
    <cfRule type="expression" priority="16" dxfId="0">
      <formula>LEFT(G28,6)="Riktig"</formula>
    </cfRule>
    <cfRule type="expression" priority="17" dxfId="1">
      <formula>LEFT(G28,4)="Ikke"</formula>
    </cfRule>
  </conditionalFormatting>
  <conditionalFormatting sqref="G29">
    <cfRule type="expression" priority="18" dxfId="0">
      <formula>LEFT(G29,6)="Riktig"</formula>
    </cfRule>
    <cfRule type="expression" priority="19" dxfId="1">
      <formula>LEFT(G29,4)="Ikke"</formula>
    </cfRule>
  </conditionalFormatting>
  <conditionalFormatting sqref="G30">
    <cfRule type="expression" priority="20" dxfId="0">
      <formula>LEFT(G30,6)="Riktig"</formula>
    </cfRule>
    <cfRule type="expression" priority="21" dxfId="1">
      <formula>LEFT(G30,4)="Ikke"</formula>
    </cfRule>
  </conditionalFormatting>
  <dataValidations count="7">
    <dataValidation sqref="C25" showDropDown="0" showInputMessage="0" showErrorMessage="0" allowBlank="1" type="list">
      <formula1>$Z$1:$Z$2</formula1>
    </dataValidation>
    <dataValidation sqref="C26" showDropDown="0" showInputMessage="0" showErrorMessage="0" allowBlank="1" type="list">
      <formula1>$Z$3:$Z$4</formula1>
    </dataValidation>
    <dataValidation sqref="C27" showDropDown="0" showInputMessage="0" showErrorMessage="0" allowBlank="1" type="list">
      <formula1>$Z$5:$Z$6</formula1>
    </dataValidation>
    <dataValidation sqref="C28" showDropDown="0" showInputMessage="0" showErrorMessage="0" allowBlank="1" type="list">
      <formula1>$Z$7:$Z$8</formula1>
    </dataValidation>
    <dataValidation sqref="C29" showDropDown="0" showInputMessage="0" showErrorMessage="0" allowBlank="1" type="list">
      <formula1>$Z$9:$Z$10</formula1>
    </dataValidation>
    <dataValidation sqref="C30" showDropDown="0" showInputMessage="0" showErrorMessage="0" allowBlank="1" type="list">
      <formula1>$Z$11:$Z$12</formula1>
    </dataValidation>
    <dataValidation sqref="C3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D30"/>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2" t="inlineStr">
        <is>
          <t>Fasit, kapittel 2</t>
        </is>
      </c>
    </row>
    <row r="3" ht="30" customHeight="1">
      <c r="B3" s="5" t="inlineStr">
        <is>
          <t>Prøv oppgaven selv før du leser her. Regnestykket står ved siden av hvert svar. Tallene hentes fra fasitformlene, så de stemmer alltid med oppgavefanene.</t>
        </is>
      </c>
    </row>
    <row r="5">
      <c r="B5" s="23" t="inlineStr">
        <is>
          <t>Oppgave</t>
        </is>
      </c>
      <c r="C5" s="23" t="inlineStr">
        <is>
          <t>Svar</t>
        </is>
      </c>
      <c r="D5" s="23" t="inlineStr">
        <is>
          <t>Regnestykket</t>
        </is>
      </c>
    </row>
    <row r="6" ht="30" customHeight="1">
      <c r="B6" s="24" t="inlineStr">
        <is>
          <t>1A Varekostnad april</t>
        </is>
      </c>
      <c r="C6" s="10" t="n">
        <v>720000</v>
      </c>
      <c r="D6" s="24" t="inlineStr">
        <is>
          <t>1 460 000 + 640 000 − 1 380 000 = 720 000 kr</t>
        </is>
      </c>
    </row>
    <row r="7" ht="30" customHeight="1">
      <c r="B7" s="24" t="inlineStr">
        <is>
          <t>1A Utbetalt i april</t>
        </is>
      </c>
      <c r="C7" s="10" t="n">
        <v>890000</v>
      </c>
      <c r="D7" s="24" t="inlineStr">
        <is>
          <t>Marskjøpet, 890 000 kr, betales i april (30 dagers kreditt)</t>
        </is>
      </c>
    </row>
    <row r="8" ht="45" customHeight="1">
      <c r="B8" s="24" t="inlineStr">
        <is>
          <t>1B Sorteringen</t>
        </is>
      </c>
      <c r="C8" s="10" t="inlineStr"/>
      <c r="D8" s="24" t="inlineStr">
        <is>
          <t>Fast: husleie, forsikring, avskrivning, kontorlønn, strøm på verkstedet, kurs. Variabel: materiell, innleie, drivstoff. Kommer an på: montørtimene (variable i kalkylen, men fast lønn på kort sikt), lærlingens lønn, leasing.</t>
        </is>
      </c>
    </row>
    <row r="9" ht="30" customHeight="1">
      <c r="B9" s="24" t="inlineStr">
        <is>
          <t>1B Faste per time, 14 400 timer</t>
        </is>
      </c>
      <c r="C9" s="10" t="n">
        <v>267</v>
      </c>
      <c r="D9" s="24" t="inlineStr">
        <is>
          <t>3 840 000 / 14 400 = 267 kr</t>
        </is>
      </c>
    </row>
    <row r="10" ht="30" customHeight="1">
      <c r="B10" s="24" t="inlineStr">
        <is>
          <t>1B Faste per time, 10 000 timer</t>
        </is>
      </c>
      <c r="C10" s="10" t="n">
        <v>384</v>
      </c>
      <c r="D10" s="24" t="inlineStr">
        <is>
          <t>3 840 000 / 10 000 = 384 kr</t>
        </is>
      </c>
    </row>
    <row r="11" ht="30" customHeight="1">
      <c r="B11" s="24" t="inlineStr">
        <is>
          <t>1C a) Varekostnad mai</t>
        </is>
      </c>
      <c r="C11" s="10" t="n">
        <v>800000</v>
      </c>
      <c r="D11" s="24" t="inlineStr">
        <is>
          <t>1 380 000 + 520 000 − 1 100 000 = 800 000 kr</t>
        </is>
      </c>
    </row>
    <row r="12" ht="30" customHeight="1">
      <c r="B12" s="24" t="inlineStr">
        <is>
          <t>1C b) Utbetalt i mai</t>
        </is>
      </c>
      <c r="C12" s="10" t="n">
        <v>640000</v>
      </c>
      <c r="D12" s="24" t="inlineStr">
        <is>
          <t>Aprilkjøpet, 640 000 kr</t>
        </is>
      </c>
    </row>
    <row r="13" ht="30" customHeight="1">
      <c r="B13" s="24" t="inlineStr">
        <is>
          <t>1C c) Mer ut enn kostnad</t>
        </is>
      </c>
      <c r="C13" s="10" t="n">
        <v>90000</v>
      </c>
      <c r="D13" s="24" t="inlineStr">
        <is>
          <t>Utbetalt 760 000 + 890 000 + 640 000 = 2 290 000. Varekostnad 680 000 + 720 000 + 800 000 = 2 200 000. Differanse 90 000 kr</t>
        </is>
      </c>
    </row>
    <row r="14" ht="30" customHeight="1">
      <c r="B14" s="24" t="inlineStr">
        <is>
          <t>1C d) Idas feil</t>
        </is>
      </c>
      <c r="C14" s="10" t="inlineStr"/>
      <c r="D14" s="24" t="inlineStr">
        <is>
          <t>Hun har glemt varekjøpet i mai. Riktig er 800 000, ikke 280 000</t>
        </is>
      </c>
    </row>
    <row r="15" ht="45" customHeight="1">
      <c r="B15" s="24" t="inlineStr">
        <is>
          <t>1C e) Forklaringen til Kari</t>
        </is>
      </c>
      <c r="C15" s="10" t="inlineStr"/>
      <c r="D15" s="24" t="inlineStr">
        <is>
          <t>Resultatet regnes med kostnaden (720 000 i april). Kontoen betalte utbetalingen (890 000, marskjøpet forfalt). Lageret på 1 380 000 binder penger. Tiltak: kjøpe nærmere jobbene, lengre kreditt hos Polarlys, eller et likviditetsbudsjett (kapittel 9)</t>
        </is>
      </c>
    </row>
    <row r="16" ht="30" customHeight="1">
      <c r="B16" s="24" t="inlineStr">
        <is>
          <t>2A a) Lønnskostnad 46,8 %</t>
        </is>
      </c>
      <c r="C16" s="10" t="n">
        <v>822080</v>
      </c>
      <c r="D16" s="24" t="inlineStr">
        <is>
          <t>560 000 × 1,468 = 822 080 kr</t>
        </is>
      </c>
    </row>
    <row r="17" ht="30" customHeight="1">
      <c r="B17" s="24" t="inlineStr">
        <is>
          <t>2A b) Montør 61 år</t>
        </is>
      </c>
      <c r="C17" s="10" t="n">
        <v>836640</v>
      </c>
      <c r="D17" s="24" t="inlineStr">
        <is>
          <t>46,8 + 2,6 = 49,4 %. 560 000 × 1,494 = 836 640 kr</t>
        </is>
      </c>
    </row>
    <row r="18" ht="30" customHeight="1">
      <c r="B18" s="24" t="inlineStr">
        <is>
          <t>2A c) Minste pensjon</t>
        </is>
      </c>
      <c r="C18" s="10" t="n">
        <v>784000</v>
      </c>
      <c r="D18" s="24" t="inlineStr">
        <is>
          <t>46,8 − 6,8 = 40,0 %. 560 000 × 1,40 = 784 000 kr</t>
        </is>
      </c>
    </row>
    <row r="19" ht="30" customHeight="1">
      <c r="B19" s="24" t="inlineStr">
        <is>
          <t>2A d) Timelønn</t>
        </is>
      </c>
      <c r="C19" s="10" t="n">
        <v>311</v>
      </c>
      <c r="D19" s="24" t="inlineStr">
        <is>
          <t>560 000 / 1 800 = 311 kr</t>
        </is>
      </c>
    </row>
    <row r="20" ht="30" customHeight="1">
      <c r="B20" s="24" t="inlineStr">
        <is>
          <t>2A e) Per betalt time</t>
        </is>
      </c>
      <c r="C20" s="10" t="n">
        <v>457</v>
      </c>
      <c r="D20" s="24" t="inlineStr">
        <is>
          <t>822 080 / 1 800 = 457 kr</t>
        </is>
      </c>
    </row>
    <row r="21" ht="30" customHeight="1">
      <c r="B21" s="24" t="inlineStr">
        <is>
          <t>2A f) Per fakturerbar time</t>
        </is>
      </c>
      <c r="C21" s="10" t="n">
        <v>587</v>
      </c>
      <c r="D21" s="24" t="inlineStr">
        <is>
          <t>822 080 / 1 400 = 587 kr</t>
        </is>
      </c>
    </row>
    <row r="22" ht="45" customHeight="1">
      <c r="B22" s="24" t="inlineStr">
        <is>
          <t>2A g) Til eieren</t>
        </is>
      </c>
      <c r="C22" s="10" t="inlineStr"/>
      <c r="D22" s="24" t="inlineStr">
        <is>
          <t>311 er bare lønna. Hver fakturerbar time koster 587 kr i lønn. Timeprisen 890 skal i tillegg dekke bil, lokaler, utstyr og fortjeneste. Setter han prisen ut fra 311, taper Fjell penger på hver time</t>
        </is>
      </c>
    </row>
    <row r="23" ht="30" customHeight="1">
      <c r="B23" s="24" t="inlineStr">
        <is>
          <t>2B Sorteringen</t>
        </is>
      </c>
      <c r="C23" s="10" t="inlineStr"/>
      <c r="D23" s="24" t="inlineStr">
        <is>
          <t>Direkte: montørtimer, materiell, kjøring. Indirekte: husleie, Karis lønn, forsikring, strøm, Idas tid.</t>
        </is>
      </c>
    </row>
    <row r="24" ht="30" customHeight="1">
      <c r="B24" s="24" t="inlineStr">
        <is>
          <t>2B Sum direkte</t>
        </is>
      </c>
      <c r="C24" s="10" t="n">
        <v>19560</v>
      </c>
      <c r="D24" s="24" t="inlineStr">
        <is>
          <t>8 960 + 9 800 + 800 = 19 560 kr</t>
        </is>
      </c>
    </row>
    <row r="25" ht="30" customHeight="1">
      <c r="B25" s="24" t="inlineStr">
        <is>
          <t>2B Selvkost</t>
        </is>
      </c>
      <c r="C25" s="10" t="n">
        <v>23760</v>
      </c>
      <c r="D25" s="24" t="inlineStr">
        <is>
          <t>19 560 + 4 200 = 23 760 kr</t>
        </is>
      </c>
    </row>
    <row r="26" ht="30" customHeight="1">
      <c r="B26" s="24" t="inlineStr">
        <is>
          <t>2C a) Direkte</t>
        </is>
      </c>
      <c r="C26" s="10" t="n">
        <v>100240</v>
      </c>
      <c r="D26" s="24" t="inlineStr">
        <is>
          <t>66 000 + 32 640 + 1 600 = 100 240 kr</t>
        </is>
      </c>
    </row>
    <row r="27" ht="30" customHeight="1">
      <c r="B27" s="24" t="inlineStr">
        <is>
          <t>2C b) Selvkost</t>
        </is>
      </c>
      <c r="C27" s="10" t="n">
        <v>113857</v>
      </c>
      <c r="D27" s="24" t="inlineStr">
        <is>
          <t>100 240 + 13 617 = 113 857 kr</t>
        </is>
      </c>
    </row>
    <row r="28" ht="30" customHeight="1">
      <c r="B28" s="24" t="inlineStr">
        <is>
          <t>2C c) Fortjeneste</t>
        </is>
      </c>
      <c r="C28" s="10" t="n">
        <v>10733</v>
      </c>
      <c r="D28" s="24" t="inlineStr">
        <is>
          <t>124 590 − 113 857 = 10 733 kr (8,6 % av prisen)</t>
        </is>
      </c>
    </row>
    <row r="29" ht="30" customHeight="1">
      <c r="B29" s="24" t="inlineStr">
        <is>
          <t>2C d) Sorteringen</t>
        </is>
      </c>
      <c r="C29" s="10" t="inlineStr"/>
      <c r="D29" s="24" t="inlineStr">
        <is>
          <t>Direkte: ladebokser og infrastruktur, montørtimer, kjøring. Indirekte: Idas tid, husleie, forsikring</t>
        </is>
      </c>
    </row>
    <row r="30" ht="30" customHeight="1">
      <c r="B30" s="24" t="inlineStr">
        <is>
          <t>2C e) Usikkert</t>
        </is>
      </c>
      <c r="C30" s="10" t="inlineStr"/>
      <c r="D30" s="24" t="inlineStr">
        <is>
          <t>Timeanslaget og satsen 267 kr. Ti timer for mye spiser 9 070 av 10 733. Kari bør sjekke timeanslaget mot liknende anlegg og befare tavla før hun sier ja</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2026-10-31T05:58:20Z</dcterms:created>
  <dcterms:modified xmlns:dcterms="http://purl.org/dc/terms/" xmlns:xsi="http://www.w3.org/2001/XMLSchema-instance" xsi:type="dcterms:W3CDTF">2026-10-31T05:58:20Z</dcterms:modified>
</cp:coreProperties>
</file>