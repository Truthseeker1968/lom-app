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<sst xmlns="http://schemas.openxmlformats.org/spreadsheetml/2006/main" count="144" uniqueCount="124">
  <si>
    <t xml:space="preserve">Klasseoppgaver til Økonomistyring kapittel 2: Viktige bedriftsøkonomiske begreper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</si>
  <si>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</si>
  <si>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</si>
  <si>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</si>
  <si>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</si>
  <si>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</si>
  <si>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</si>
  <si>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</si>
  <si>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</si>
  <si>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våren: tre tall for det samme materiellet (Nordlys)</t>
  </si>
  <si>
    <t xml:space="preserve">A2</t>
  </si>
  <si>
    <t xml:space="preserve">Din egen el-bedrift: hva løper uansett? (Egen el-bedrift)</t>
  </si>
  <si>
    <t xml:space="preserve">B1</t>
  </si>
  <si>
    <t xml:space="preserve">Nordlys, seks ladepunkter: direkte, indirekte og selvkost (Nordlys)</t>
  </si>
  <si>
    <t xml:space="preserve">B2</t>
  </si>
  <si>
    <t xml:space="preserve">Din egen el-bedrift: hva koster en montør? (Egen el-bedrift)</t>
  </si>
  <si>
    <t xml:space="preserve">Læreboka</t>
  </si>
  <si>
    <t xml:space="preserve">Hjertnes, J. og Skorpen, K.: Økonomistyring for LØM-emnet, kapittel 2.</t>
  </si>
  <si>
    <t xml:space="preserve">Appen</t>
  </si>
  <si>
    <t xml:space="preserve">Økonomistyring kap. 2 → Øv → Klasseoppgaver gir fasit per deloppgave.</t>
  </si>
  <si>
    <t xml:space="preserve">A1 · Nordlys, våren: tre tall for det samme materiellet</t>
  </si>
  <si>
    <t xml:space="preserve">25 minutter · Helst alene. Sammen med sidemannen eller flere hvis du vil. Ark og blyant, appen (PC eller mobil) eller læreboka.</t>
  </si>
  <si>
    <t xml:space="preserve">Kort oppsummert: Utgift er når du anskaffer noe og forplikter deg til å betale. Utbetaling er når pengene går ut av kontoen. Kostnad er det som er brukt opp i perioden. Varekostnaden regnes med formelen inngående beholdning + varekjøp − utgående beholdning. Med 30 dagers kreditt betaler du i en måned for det du kjøpte måneden før.</t>
  </si>
  <si>
    <t xml:space="preserve">Ida er kalkulatør og innkjøper hos Nordlys Elektro. Hun kjøper kabel, vern og tavlemateriell hos Polarlys Elektro Grossist, som gir 30 dagers kreditt: det som kjøpes i én måned, betales måneden etter. Lageret var 1 250 000 kr 1. mars, og februarkjøpet var 760 000 kr. Mars er regnet ferdig i tabellen. Gå fram slik for april og mai: lageret ved starten av måneden er lageret ved slutten av måneden før; varekostnaden er lager ved start pluss varekjøp minus lager ved slutt; utbetalingen er forrige måneds varekjøp.</t>
  </si>
  <si>
    <t xml:space="preserve">Kr</t>
  </si>
  <si>
    <t xml:space="preserve">Mars</t>
  </si>
  <si>
    <t xml:space="preserve">April</t>
  </si>
  <si>
    <t xml:space="preserve">Mai</t>
  </si>
  <si>
    <t xml:space="preserve">Lager ved starten (IB)</t>
  </si>
  <si>
    <t xml:space="preserve">+ Varekjøp (utgift)</t>
  </si>
  <si>
    <t xml:space="preserve">− Lager ved slutten (UB)</t>
  </si>
  <si>
    <t xml:space="preserve">= Varekostnad</t>
  </si>
  <si>
    <t xml:space="preserve">Utbetalt til Polarlys</t>
  </si>
  <si>
    <t xml:space="preserve">Gule celler med spørsmålstegn kan du fylle inn selv mens du regner.</t>
  </si>
  <si>
    <t xml:space="preserve">Deloppgave</t>
  </si>
  <si>
    <t xml:space="preserve">Ditt svar</t>
  </si>
  <si>
    <t xml:space="preserve">Sjekk</t>
  </si>
  <si>
    <t xml:space="preserve">a)  Varekostnaden i april, i kroner: lager ved starten av april pluss varekjøpet i april minus lager ved slutten av april.</t>
  </si>
  <si>
    <t xml:space="preserve">b)  Hvor mye går ut av kontoen til Polarlys i april? Husk 30 dagers kreditt.</t>
  </si>
  <si>
    <t xml:space="preserve">c)  Legg sammen for mars, april og mai. Hvor mye mer gikk ut av kontoen til Polarlys enn det som ble varekostnad? Regn sum utbetalt minus sum varekostnad.</t>
  </si>
  <si>
    <t xml:space="preserve">d)  Ida regner varekostnaden i mai som lager før minus lager etter: 1 380 000 − 1 100 000 = 280 000 kr. Hva er feil?   A: Ingenting. Varekostnaden er endringen i lageret   B: Varekjøpet i mai mangler. Riktig er 1 380 000 + 520 000 − 1 100 000 = 800 000   C: Hun skulle brukt utbetalingen i mai, 640 000   (skriv bokstaven)</t>
  </si>
  <si>
    <t xml:space="preserve">e)  Kari sier: «Regnskapet viste overskudd i april, men kontoen var trang.» Forklar hvordan det kan henge sammen med utgift, utbetaling og kostnad, og foreslå ett tiltak. To–tre setninger.</t>
  </si>
  <si>
    <t xml:space="preserve">Kilde: Hjertnes, J. og Skorpen, K.: Økonomistyring for LØM-emnet, kap. 2, avsnitt 2.2.1 (utgift, utbetaling, kostnad og varekostnadsformelen).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</si>
  <si>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</si>
  <si>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hva løper uansett?</t>
  </si>
  <si>
    <t xml:space="preserve">Kort oppsummert: Faste kostnader er upåvirket av aktivitetsnivået; boka kaller dem også kapasitetskostnader: avskrivninger, renter, husleie og lønn, i alle fall på kort sikt. Variable kostnader følger aktiviteten, som materiellet til jobbene. Faste kostnader per enhet = faste totale kostnader / antall enheter. Færre fakturerbare timer betyr at hver time må bære mer.</t>
  </si>
  <si>
    <t xml:space="preserve">Fjell Elektro AS er en nystartet installasjonsbedrift i Oslo med to montører og én eier som er faglig ansvarlig og selv jobber halve tiden ute på oppdrag. Budsjettet regner med 3 500 fakturerbare timer i året. Forutsetningene står under. Gå fram slik: avgjør for hver kostnad om den løper uansett hvor mange jobber dere har (fast) eller følger jobbene (variabel); legg sammen de faste kostnadene utenom lønn (avskrivning, andre driftskostnader og renter); del på antall fakturerbare timer.</t>
  </si>
  <si>
    <t xml:space="preserve">Forutsetning</t>
  </si>
  <si>
    <t xml:space="preserve">Verdi</t>
  </si>
  <si>
    <t xml:space="preserve">Fakturerbare timer</t>
  </si>
  <si>
    <t xml:space="preserve">3 500 i året (2 montører à 1 400 timer, eier 700 timer)</t>
  </si>
  <si>
    <t xml:space="preserve">Materiell til jobbene</t>
  </si>
  <si>
    <t xml:space="preserve">1 400 000 kr i året; følger jobbene</t>
  </si>
  <si>
    <t xml:space="preserve">Utstyr og verktøy</t>
  </si>
  <si>
    <t xml:space="preserve">Kjøpt for 300 000 kr, lineær avskrivning over 5 år</t>
  </si>
  <si>
    <t xml:space="preserve">Andre driftskostnader</t>
  </si>
  <si>
    <t xml:space="preserve">519 000 kr: to servicebiler på leasing 144 000, lokaler 120 000, forsikring 45 000, telefon, IT og regnskapsfører 110 000, markedsføring 40 000, diverse 60 000</t>
  </si>
  <si>
    <t xml:space="preserve">Banklån</t>
  </si>
  <si>
    <t xml:space="preserve">500 000 kr til 7,5 % rente</t>
  </si>
  <si>
    <t xml:space="preserve">Lønn</t>
  </si>
  <si>
    <t xml:space="preserve">Montører 560 000 kr hver og eier 700 000 kr, fast månedslønn</t>
  </si>
  <si>
    <t xml:space="preserve">a)  Sum faste kostnader utenom lønn for året, i kroner: avskrivning på utstyret, andre driftskostnader og renter på banklånet.</t>
  </si>
  <si>
    <t xml:space="preserve">b)  Faste kostnader utenom lønn per fakturerbar time, i hele kroner, når dere fakturerer 3 500 timer.</t>
  </si>
  <si>
    <t xml:space="preserve">c)  Hva blir faste kostnader utenom lønn per fakturerbar time hvis dere bare fakturerer 3 000 timer? Hele kroner.</t>
  </si>
  <si>
    <t xml:space="preserve">d)  Er dette en fast kostnad for Fjell Elektro? Spør for hver post: forsvinner kostnaden hvis dere sier nei til en jobb?</t>
  </si>
  <si>
    <t xml:space="preserve">      Leasing av servicebilene 144 000 kr   (Ja eller Nei)</t>
  </si>
  <si>
    <t xml:space="preserve">      Materiell til jobbene 1 400 000 kr   (Ja eller Nei)</t>
  </si>
  <si>
    <t xml:space="preserve">      Avskrivning på utstyret 60 000 kr   (Ja eller Nei)</t>
  </si>
  <si>
    <t xml:space="preserve">      Renter på banklånet 37 500 kr   (Ja eller Nei)</t>
  </si>
  <si>
    <t xml:space="preserve">      Lokaler 120 000 kr   (Ja eller Nei)</t>
  </si>
  <si>
    <t xml:space="preserve">      Markedsføring 40 000 kr   (Ja eller Nei)</t>
  </si>
  <si>
    <t xml:space="preserve">e)  Montørene har fast månedslønn. Er lønna deres en fast eller en variabel kostnad, og hva bør eieren gjøre i en stille måned? To–tre setninger.</t>
  </si>
  <si>
    <t xml:space="preserve">Kilde: Hjertnes, J. og Skorpen, K.: Økonomistyring for LØM-emnet, kap. 2, avsnitt 2.2.2 (faste og variable kostnader, faste kostnader per enhet) og 2.4.3 (avskrivninger). Fjell Elektro AS er en konstruert casebedrift.</t>
  </si>
  <si>
    <t xml:space="preserve">B1 · Nordlys, seks ladepunkter: direkte, indirekte og selvkost</t>
  </si>
  <si>
    <t xml:space="preserve">Kort oppsummert: Direkte kostnader kan knyttes til et bestemt oppdrag (kalkyleobjektet): materiell, montørtimer og kjøring dit. Indirekte kostnader er felles for alle jobbene: husleie, administrasjon, strøm på verkstedet. Selvkost er direkte pluss jobbens andel av de indirekte. Fortjeneste er pris minus selvkost.</t>
  </si>
  <si>
    <t xml:space="preserve">Borettslaget vil ha seks ladepunkter på parkeringsplassen. Hvert ladepunkt krever ladeboks og materiell for 6 500 kr og to montørtimer. Ida regner direkte lønnskostnad med en timesats på 640 kr, og kjøringen til borettslaget koster 800 kr. De indirekte kostnadene fordeler hun med 267 kr per montørtime (Nordlys' faste kostnader 3 840 000 delt på 14 400 fakturerte timer, avrundet). Prisen er 8 830 kr per ladepunkt uten mva. Gå fram slik: regn de direkte kostnadene, legg til den indirekte andelen, sammenlikn med prisen.</t>
  </si>
  <si>
    <t xml:space="preserve">Post</t>
  </si>
  <si>
    <t xml:space="preserve">Mengde</t>
  </si>
  <si>
    <t xml:space="preserve">Kr per enhet</t>
  </si>
  <si>
    <t xml:space="preserve">Ladeboks og materiell</t>
  </si>
  <si>
    <t xml:space="preserve">6 stk</t>
  </si>
  <si>
    <t xml:space="preserve">Montørtimer (timesats)</t>
  </si>
  <si>
    <t xml:space="preserve">12 timer</t>
  </si>
  <si>
    <t xml:space="preserve">Kjøring til borettslaget</t>
  </si>
  <si>
    <t xml:space="preserve">1 tur</t>
  </si>
  <si>
    <t xml:space="preserve">Indirekte, per montørtime</t>
  </si>
  <si>
    <t xml:space="preserve">Pris til kunden, uten mva</t>
  </si>
  <si>
    <t xml:space="preserve">a)  Sum direkte kostnader for jobben, i kroner: materiell, montørtimer og kjøring.</t>
  </si>
  <si>
    <t xml:space="preserve">b)  Selvkosten for jobben, i kroner: direkte kostnader pluss den indirekte andelen, 267 kr per montørtime.</t>
  </si>
  <si>
    <t xml:space="preserve">c)  Fortjenesten på jobben, i kroner: salgsinntekt minus selvkost.</t>
  </si>
  <si>
    <t xml:space="preserve">d)  Er dette en direkte kostnad for ladepunktjobben? Spør: kan kostnaden knyttes til akkurat denne jobben?</t>
  </si>
  <si>
    <t xml:space="preserve">      Ladeboksene og materiellet   (Ja eller Nei)</t>
  </si>
  <si>
    <t xml:space="preserve">      Montørtimene i borettslaget   (Ja eller Nei)</t>
  </si>
  <si>
    <t xml:space="preserve">      Kjøringen til borettslaget   (Ja eller Nei)</t>
  </si>
  <si>
    <t xml:space="preserve">      Husleien på verkstedet   (Ja eller Nei)</t>
  </si>
  <si>
    <t xml:space="preserve">      Idas lønn mens hun kalkulerer   (Ja eller Nei)</t>
  </si>
  <si>
    <t xml:space="preserve">      Strømmen på verkstedet   (Ja eller Nei)</t>
  </si>
  <si>
    <t xml:space="preserve">e)  Se på fortjenesten du fant i c, i prosent av prisen. Hva er usikkert i kalkylen, og hva skal Kari se etter før hun sier ja? To–tre setninger.</t>
  </si>
  <si>
    <t xml:space="preserve">Kilde: Hjertnes, J. og Skorpen, K.: Økonomistyring for LØM-emnet, kap. 2, avsnitt 2.2.3 (direkte og indirekte kostnader, kalkyleobjekt, håndverksbedrift) og 2.3.1 (fortjeneste = STI − STK). Fordeling av indirekte kostnader: kap. 5. Nordlys Elektro AS er en konstruert casebedrift.</t>
  </si>
  <si>
    <t xml:space="preserve">B2 · Din egen el-bedrift: hva koster en montør?</t>
  </si>
  <si>
    <t xml:space="preserve">Kort oppsummert: Lønnskostnaden er lønn pluss arbeidsgiveravgift, feriepenger og sosiale kostnader (pensjon, yrkesskadeforsikring, sykepenger i arbeidsgiverperioden, lønn for bevegelige helligdager). Bokas tabell 2.4 summerer til 46,8 % av brutto lønn, men postene varierer mellom bedrifter: alder (feriepenger), pensjonsordning og sone (arbeidsgiveravgift). Ikke-fakturerbar tid er ikke en sosial kostnad; den tas inn i timepriskalkylen i kap. 5.</t>
  </si>
  <si>
    <t xml:space="preserve">Fjell Elektro AS ligger i Oslo (sone I, arbeidsgiveravgift 14,1 %) og bruker bokas tabell 2.4 med 46,8 % sosiale kostnader. En montør har 560 000 kr i årslønn. Han fakturerer 1 400 timer og har i tillegg 400 timer i året til kjøring, opplæring og garantiarbeid. Gå fram slik: gang lønna med 1 + prosentsatsen. For b og c bytter du ut én post i tabellen: regn ut den nye summen, så den nye lønnskostnaden.</t>
  </si>
  <si>
    <t xml:space="preserve">Årslønn, montør</t>
  </si>
  <si>
    <t xml:space="preserve">560 000 kr</t>
  </si>
  <si>
    <t xml:space="preserve">Sosiale kostnader</t>
  </si>
  <si>
    <t xml:space="preserve">Bokas tabell 2.4: 46,8 % av lønn</t>
  </si>
  <si>
    <t xml:space="preserve">Feriepenger inkl. aga</t>
  </si>
  <si>
    <t xml:space="preserve">13,7 % (12 % × 1,141). Fra 60 år: 14,3 % × 1,141 = 16,3 %</t>
  </si>
  <si>
    <t xml:space="preserve">Pensjon i tabellen</t>
  </si>
  <si>
    <t xml:space="preserve">8,0 % + aga på pensjon 1,1 %. Minstekrav (OTP): 2 % + 0,3 %</t>
  </si>
  <si>
    <t xml:space="preserve">Timer per montør</t>
  </si>
  <si>
    <t xml:space="preserve">1 400 fakturerbare + 400 ikke-fakturerbare = 1 800 betalte</t>
  </si>
  <si>
    <t xml:space="preserve">a)  Lønnskostnaden for montøren for ett år, i kroner, med bokas 46,8 % sosiale kostnader.</t>
  </si>
  <si>
    <t xml:space="preserve">b)  Montøren er 61 år og får 14,3 % feriepenger. Feriepenger inkludert arbeidsgiveravgift blir da 16,3 % i stedet for 13,7 %. Hva blir lønnskostnaden?</t>
  </si>
  <si>
    <t xml:space="preserve">c)  Fjell velger minstekravet for obligatorisk tjenestepensjon: 2 % pensjon og 0,3 % arbeidsgiveravgift på pensjon, i stedet for bokas 8,0 % og 1,1 %. Hva blir lønnskostnaden (montør under 60)?</t>
  </si>
  <si>
    <t xml:space="preserve">d)  Hører dette med i de sosiale kostnadene på lønna (bokas tabell 2.4)?</t>
  </si>
  <si>
    <t xml:space="preserve">      Arbeidsgiveravgift på lønn   (Ja eller Nei)</t>
  </si>
  <si>
    <t xml:space="preserve">      Feriepenger   (Ja eller Nei)</t>
  </si>
  <si>
    <t xml:space="preserve">      Pensjonspremie (OTP)   (Ja eller Nei)</t>
  </si>
  <si>
    <t xml:space="preserve">      Sykepenger i arbeidsgiverperioden   (Ja eller Nei)</t>
  </si>
  <si>
    <t xml:space="preserve">      400 timer kjøring, opplæring og garantiarbeid   (Ja eller Nei)</t>
  </si>
  <si>
    <t xml:space="preserve">      Leasing av servicebilen   (Ja eller Nei)</t>
  </si>
  <si>
    <t xml:space="preserve">e)  Eieren vil sette timeprisen ut fra montørens timelønn: 560 000 / 1 800 betalte timer = 311 kr. Hva sier du til ham? Bruk lønnskostnaden fra a og de fakturerbare timene.</t>
  </si>
  <si>
    <t xml:space="preserve">Kilde: Hjertnes, J. og Skorpen, K.: Økonomistyring for LØM-emnet, kap. 2, avsnitt 2.4 og 2.4.1 med tabell 2.4 (sosiale kostnader 46,8 %). Pensjon minst 2 %: lov om obligatorisk tjenestepensjon § 4. Arbeidsgiveravgift 14,1 % i sone I (Skatteetaten). Ikke-fakturerbar tid i timepriskalkylen: kap. 5.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</si>
</sst>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F4F6FA"/>
        <bgColor rgb="FFFFFFFF"/>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left" vertical="bottom" textRotation="0" wrapText="true" indent="0" shrinkToFit="false"/>
      <protection locked="true" hidden="false"/>
    </xf>
    <xf numFmtId="165" fontId="6" fillId="4"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4"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48.75" hidden="false" customHeight="true" outlineLevel="0" collapsed="false">
      <c r="A4" s="6" t="s">
        <v>22</v>
      </c>
      <c r="B4" s="6"/>
      <c r="C4" s="6"/>
      <c r="D4" s="6"/>
      <c r="E4" s="6"/>
      <c r="F4" s="6"/>
      <c r="G4" s="6"/>
    </row>
    <row r="5" customFormat="false" ht="78.75" hidden="false" customHeight="true" outlineLevel="0" collapsed="false">
      <c r="A5" s="7" t="s">
        <v>23</v>
      </c>
      <c r="B5" s="7"/>
      <c r="C5" s="7"/>
      <c r="D5" s="7"/>
      <c r="E5" s="7"/>
      <c r="F5" s="7"/>
      <c r="G5" s="7"/>
    </row>
    <row r="7" customFormat="false" ht="15" hidden="false" customHeight="false" outlineLevel="0" collapsed="false">
      <c r="A7" s="8" t="s">
        <v>24</v>
      </c>
      <c r="B7" s="9" t="s">
        <v>25</v>
      </c>
      <c r="C7" s="9" t="s">
        <v>26</v>
      </c>
      <c r="D7" s="9" t="s">
        <v>27</v>
      </c>
    </row>
    <row r="8" customFormat="false" ht="15" hidden="false" customHeight="false" outlineLevel="0" collapsed="false">
      <c r="A8" s="10" t="s">
        <v>28</v>
      </c>
      <c r="B8" s="11" t="n">
        <v>1250000</v>
      </c>
      <c r="C8" s="12"/>
      <c r="D8" s="12"/>
    </row>
    <row r="9" customFormat="false" ht="15" hidden="false" customHeight="false" outlineLevel="0" collapsed="false">
      <c r="A9" s="13" t="s">
        <v>29</v>
      </c>
      <c r="B9" s="14" t="n">
        <v>890000</v>
      </c>
      <c r="C9" s="14" t="n">
        <v>640000</v>
      </c>
      <c r="D9" s="14" t="n">
        <v>520000</v>
      </c>
    </row>
    <row r="10" customFormat="false" ht="15" hidden="false" customHeight="false" outlineLevel="0" collapsed="false">
      <c r="A10" s="10" t="s">
        <v>30</v>
      </c>
      <c r="B10" s="11" t="n">
        <v>1460000</v>
      </c>
      <c r="C10" s="11" t="n">
        <v>1380000</v>
      </c>
      <c r="D10" s="11" t="n">
        <v>1100000</v>
      </c>
    </row>
    <row r="11" customFormat="false" ht="15" hidden="false" customHeight="false" outlineLevel="0" collapsed="false">
      <c r="A11" s="15" t="s">
        <v>31</v>
      </c>
      <c r="B11" s="16" t="n">
        <v>680000</v>
      </c>
      <c r="C11" s="12"/>
      <c r="D11" s="12"/>
    </row>
    <row r="12" customFormat="false" ht="15" hidden="false" customHeight="false" outlineLevel="0" collapsed="false">
      <c r="A12" s="10" t="s">
        <v>32</v>
      </c>
      <c r="B12" s="11" t="n">
        <v>760000</v>
      </c>
      <c r="C12" s="12"/>
      <c r="D12" s="12"/>
    </row>
    <row r="13" customFormat="false" ht="15" hidden="false" customHeight="true" outlineLevel="0" collapsed="false">
      <c r="A13" s="6" t="s">
        <v>33</v>
      </c>
      <c r="B13" s="6"/>
      <c r="C13" s="6"/>
      <c r="D13" s="6"/>
      <c r="E13" s="6"/>
      <c r="F13" s="6"/>
      <c r="G13" s="6"/>
    </row>
    <row r="15" customFormat="false" ht="15" hidden="false" customHeight="false" outlineLevel="0" collapsed="false">
      <c r="A15" s="17" t="s">
        <v>34</v>
      </c>
      <c r="B15" s="17"/>
      <c r="C15" s="17"/>
      <c r="D15" s="17"/>
      <c r="E15" s="17"/>
      <c r="F15" s="17" t="s">
        <v>35</v>
      </c>
      <c r="G15" s="17" t="s">
        <v>36</v>
      </c>
    </row>
    <row r="16" customFormat="false" ht="33.75" hidden="false" customHeight="true" outlineLevel="0" collapsed="false">
      <c r="A16" s="7" t="s">
        <v>37</v>
      </c>
      <c r="B16" s="7"/>
      <c r="C16" s="7"/>
      <c r="D16" s="7"/>
      <c r="E16" s="7"/>
      <c r="F16" s="12"/>
      <c r="G16" s="18" t="str">
        <f aca="false">IF(F16="","",IF(ABS(F16-(720000))&lt;=0.000000001,"Riktig","Prøv igjen"))</f>
        <v/>
      </c>
    </row>
    <row r="17" customFormat="false" ht="18.75" hidden="false" customHeight="true" outlineLevel="0" collapsed="false">
      <c r="A17" s="7" t="s">
        <v>38</v>
      </c>
      <c r="B17" s="7"/>
      <c r="C17" s="7"/>
      <c r="D17" s="7"/>
      <c r="E17" s="7"/>
      <c r="F17" s="12"/>
      <c r="G17" s="18" t="str">
        <f aca="false">IF(F17="","",IF(ABS(F17-(890000))&lt;=0.000000001,"Riktig","Prøv igjen"))</f>
        <v/>
      </c>
    </row>
    <row r="18" customFormat="false" ht="33.75" hidden="false" customHeight="true" outlineLevel="0" collapsed="false">
      <c r="A18" s="7" t="s">
        <v>39</v>
      </c>
      <c r="B18" s="7"/>
      <c r="C18" s="7"/>
      <c r="D18" s="7"/>
      <c r="E18" s="7"/>
      <c r="F18" s="12"/>
      <c r="G18" s="18" t="str">
        <f aca="false">IF(F18="","",IF(ABS(F18-(90000))&lt;=0.000000001,"Riktig","Prøv igjen"))</f>
        <v/>
      </c>
    </row>
    <row r="19" customFormat="false" ht="63.75" hidden="false" customHeight="true" outlineLevel="0" collapsed="false">
      <c r="A19" s="7" t="s">
        <v>40</v>
      </c>
      <c r="B19" s="7"/>
      <c r="C19" s="7"/>
      <c r="D19" s="7"/>
      <c r="E19" s="7"/>
      <c r="F19" s="19"/>
      <c r="G19" s="18" t="str">
        <f aca="false">IF(F19="","",IF(UPPER(TRIM(F19))="B","Riktig","Prøv igjen"))</f>
        <v/>
      </c>
    </row>
    <row r="20" customFormat="false" ht="33.75" hidden="false" customHeight="true" outlineLevel="0" collapsed="false">
      <c r="A20" s="7" t="s">
        <v>41</v>
      </c>
      <c r="B20" s="7"/>
      <c r="C20" s="7"/>
      <c r="D20" s="7"/>
      <c r="E20" s="7"/>
    </row>
    <row r="21" customFormat="false" ht="15" hidden="false" customHeight="false" outlineLevel="0" collapsed="false">
      <c r="A21" s="20"/>
      <c r="B21" s="20"/>
      <c r="C21" s="20"/>
      <c r="D21" s="20"/>
      <c r="E21" s="20"/>
      <c r="F21" s="20"/>
      <c r="G21" s="20"/>
    </row>
    <row r="22" customFormat="false" ht="15" hidden="false" customHeight="false" outlineLevel="0" collapsed="false">
      <c r="A22" s="20"/>
      <c r="B22" s="20"/>
      <c r="C22" s="20"/>
      <c r="D22" s="20"/>
      <c r="E22" s="20"/>
      <c r="F22" s="20"/>
      <c r="G22" s="20"/>
    </row>
    <row r="23" customFormat="false" ht="15" hidden="false" customHeight="false" outlineLevel="0" collapsed="false">
      <c r="A23" s="20"/>
      <c r="B23" s="20"/>
      <c r="C23" s="20"/>
      <c r="D23" s="20"/>
      <c r="E23" s="20"/>
      <c r="F23" s="20"/>
      <c r="G23" s="20"/>
    </row>
    <row r="25" customFormat="false" ht="33.75" hidden="false" customHeight="true" outlineLevel="0" collapsed="false">
      <c r="A25" s="6" t="s">
        <v>42</v>
      </c>
      <c r="B25" s="6"/>
      <c r="C25" s="6"/>
      <c r="D25" s="6"/>
      <c r="E25" s="6"/>
      <c r="F25" s="6"/>
      <c r="G25" s="6"/>
    </row>
    <row r="26" customFormat="false" ht="15" hidden="false" customHeight="true" outlineLevel="0" collapsed="false">
      <c r="A26" s="6" t="s">
        <v>43</v>
      </c>
      <c r="B26" s="6"/>
      <c r="C26" s="6"/>
      <c r="D26" s="6"/>
      <c r="E26" s="6"/>
      <c r="F26" s="6"/>
      <c r="G26" s="6"/>
    </row>
  </sheetData>
  <mergeCells count="12">
    <mergeCell ref="A4:G4"/>
    <mergeCell ref="A5:G5"/>
    <mergeCell ref="A13:G13"/>
    <mergeCell ref="A15:E15"/>
    <mergeCell ref="A16:E16"/>
    <mergeCell ref="A17:E17"/>
    <mergeCell ref="A18:E18"/>
    <mergeCell ref="A19:E19"/>
    <mergeCell ref="A20:E20"/>
    <mergeCell ref="A21:G23"/>
    <mergeCell ref="A25:G25"/>
    <mergeCell ref="A26:G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44</v>
      </c>
    </row>
    <row r="2" customFormat="false" ht="15" hidden="false" customHeight="false" outlineLevel="0" collapsed="false">
      <c r="A2" s="2" t="s">
        <v>21</v>
      </c>
    </row>
    <row r="4" customFormat="false" ht="63.75" hidden="false" customHeight="true" outlineLevel="0" collapsed="false">
      <c r="A4" s="6" t="s">
        <v>45</v>
      </c>
      <c r="B4" s="6"/>
      <c r="C4" s="6"/>
      <c r="D4" s="6"/>
      <c r="E4" s="6"/>
      <c r="F4" s="6"/>
      <c r="G4" s="6"/>
    </row>
    <row r="5" customFormat="false" ht="78.75" hidden="false" customHeight="true" outlineLevel="0" collapsed="false">
      <c r="A5" s="7" t="s">
        <v>46</v>
      </c>
      <c r="B5" s="7"/>
      <c r="C5" s="7"/>
      <c r="D5" s="7"/>
      <c r="E5" s="7"/>
      <c r="F5" s="7"/>
      <c r="G5" s="7"/>
    </row>
    <row r="7" customFormat="false" ht="15" hidden="false" customHeight="false" outlineLevel="0" collapsed="false">
      <c r="A7" s="17" t="s">
        <v>47</v>
      </c>
      <c r="B7" s="17" t="s">
        <v>48</v>
      </c>
      <c r="C7" s="17"/>
      <c r="D7" s="17"/>
      <c r="E7" s="17"/>
      <c r="F7" s="17"/>
      <c r="G7" s="17"/>
    </row>
    <row r="8" customFormat="false" ht="18.75" hidden="false" customHeight="true" outlineLevel="0" collapsed="false">
      <c r="A8" s="21" t="s">
        <v>49</v>
      </c>
      <c r="B8" s="7" t="s">
        <v>50</v>
      </c>
      <c r="C8" s="7"/>
      <c r="D8" s="7"/>
      <c r="E8" s="7"/>
      <c r="F8" s="7"/>
      <c r="G8" s="7"/>
    </row>
    <row r="9" customFormat="false" ht="18.75" hidden="false" customHeight="true" outlineLevel="0" collapsed="false">
      <c r="A9" s="21" t="s">
        <v>51</v>
      </c>
      <c r="B9" s="7" t="s">
        <v>52</v>
      </c>
      <c r="C9" s="7"/>
      <c r="D9" s="7"/>
      <c r="E9" s="7"/>
      <c r="F9" s="7"/>
      <c r="G9" s="7"/>
    </row>
    <row r="10" customFormat="false" ht="18.75" hidden="false" customHeight="true" outlineLevel="0" collapsed="false">
      <c r="A10" s="21" t="s">
        <v>53</v>
      </c>
      <c r="B10" s="7" t="s">
        <v>54</v>
      </c>
      <c r="C10" s="7"/>
      <c r="D10" s="7"/>
      <c r="E10" s="7"/>
      <c r="F10" s="7"/>
      <c r="G10" s="7"/>
    </row>
    <row r="11" customFormat="false" ht="33.75" hidden="false" customHeight="true" outlineLevel="0" collapsed="false">
      <c r="A11" s="21" t="s">
        <v>55</v>
      </c>
      <c r="B11" s="7" t="s">
        <v>56</v>
      </c>
      <c r="C11" s="7"/>
      <c r="D11" s="7"/>
      <c r="E11" s="7"/>
      <c r="F11" s="7"/>
      <c r="G11" s="7"/>
    </row>
    <row r="12" customFormat="false" ht="18.75" hidden="false" customHeight="true" outlineLevel="0" collapsed="false">
      <c r="A12" s="21" t="s">
        <v>57</v>
      </c>
      <c r="B12" s="7" t="s">
        <v>58</v>
      </c>
      <c r="C12" s="7"/>
      <c r="D12" s="7"/>
      <c r="E12" s="7"/>
      <c r="F12" s="7"/>
      <c r="G12" s="7"/>
    </row>
    <row r="13" customFormat="false" ht="18.75" hidden="false" customHeight="true" outlineLevel="0" collapsed="false">
      <c r="A13" s="21" t="s">
        <v>59</v>
      </c>
      <c r="B13" s="7" t="s">
        <v>60</v>
      </c>
      <c r="C13" s="7"/>
      <c r="D13" s="7"/>
      <c r="E13" s="7"/>
      <c r="F13" s="7"/>
      <c r="G13" s="7"/>
    </row>
    <row r="15" customFormat="false" ht="15" hidden="false" customHeight="false" outlineLevel="0" collapsed="false">
      <c r="A15" s="17" t="s">
        <v>34</v>
      </c>
      <c r="B15" s="17"/>
      <c r="C15" s="17"/>
      <c r="D15" s="17"/>
      <c r="E15" s="17"/>
      <c r="F15" s="17" t="s">
        <v>35</v>
      </c>
      <c r="G15" s="17" t="s">
        <v>36</v>
      </c>
    </row>
    <row r="16" customFormat="false" ht="33.75" hidden="false" customHeight="true" outlineLevel="0" collapsed="false">
      <c r="A16" s="7" t="s">
        <v>61</v>
      </c>
      <c r="B16" s="7"/>
      <c r="C16" s="7"/>
      <c r="D16" s="7"/>
      <c r="E16" s="7"/>
      <c r="F16" s="12"/>
      <c r="G16" s="18" t="str">
        <f aca="false">IF(F16="","",IF(ABS(F16-(616500))&lt;=0.000000001,"Riktig","Prøv igjen"))</f>
        <v/>
      </c>
    </row>
    <row r="17" customFormat="false" ht="33.75" hidden="false" customHeight="true" outlineLevel="0" collapsed="false">
      <c r="A17" s="7" t="s">
        <v>62</v>
      </c>
      <c r="B17" s="7"/>
      <c r="C17" s="7"/>
      <c r="D17" s="7"/>
      <c r="E17" s="7"/>
      <c r="F17" s="12"/>
      <c r="G17" s="18" t="str">
        <f aca="false">IF(F17="","",IF(ABS(F17-(176))&lt;=1,"Riktig","Prøv igjen"))</f>
        <v/>
      </c>
    </row>
    <row r="18" customFormat="false" ht="33.75" hidden="false" customHeight="true" outlineLevel="0" collapsed="false">
      <c r="A18" s="7" t="s">
        <v>63</v>
      </c>
      <c r="B18" s="7"/>
      <c r="C18" s="7"/>
      <c r="D18" s="7"/>
      <c r="E18" s="7"/>
      <c r="F18" s="12"/>
      <c r="G18" s="18" t="str">
        <f aca="false">IF(F18="","",IF(ABS(F18-(206))&lt;=1,"Riktig","Prøv igjen"))</f>
        <v/>
      </c>
    </row>
    <row r="19" customFormat="false" ht="33.75" hidden="false" customHeight="true" outlineLevel="0" collapsed="false">
      <c r="A19" s="7" t="s">
        <v>64</v>
      </c>
      <c r="B19" s="7"/>
      <c r="C19" s="7"/>
      <c r="D19" s="7"/>
      <c r="E19" s="7"/>
    </row>
    <row r="20" customFormat="false" ht="15" hidden="false" customHeight="true" outlineLevel="0" collapsed="false">
      <c r="A20" s="7" t="s">
        <v>65</v>
      </c>
      <c r="B20" s="7"/>
      <c r="C20" s="7"/>
      <c r="D20" s="7"/>
      <c r="E20" s="7"/>
      <c r="F20" s="19"/>
      <c r="G20" s="18" t="str">
        <f aca="false">IF(F20="","",IF(UPPER(TRIM(F20))="JA","Riktig","Prøv igjen"))</f>
        <v/>
      </c>
    </row>
    <row r="21" customFormat="false" ht="15" hidden="false" customHeight="true" outlineLevel="0" collapsed="false">
      <c r="A21" s="7" t="s">
        <v>66</v>
      </c>
      <c r="B21" s="7"/>
      <c r="C21" s="7"/>
      <c r="D21" s="7"/>
      <c r="E21" s="7"/>
      <c r="F21" s="19"/>
      <c r="G21" s="18" t="str">
        <f aca="false">IF(F21="","",IF(UPPER(TRIM(F21))="NEI","Riktig","Prøv igjen"))</f>
        <v/>
      </c>
    </row>
    <row r="22" customFormat="false" ht="15" hidden="false" customHeight="true" outlineLevel="0" collapsed="false">
      <c r="A22" s="7" t="s">
        <v>67</v>
      </c>
      <c r="B22" s="7"/>
      <c r="C22" s="7"/>
      <c r="D22" s="7"/>
      <c r="E22" s="7"/>
      <c r="F22" s="19"/>
      <c r="G22" s="18" t="str">
        <f aca="false">IF(F22="","",IF(UPPER(TRIM(F22))="JA","Riktig","Prøv igjen"))</f>
        <v/>
      </c>
    </row>
    <row r="23" customFormat="false" ht="15" hidden="false" customHeight="true" outlineLevel="0" collapsed="false">
      <c r="A23" s="7" t="s">
        <v>68</v>
      </c>
      <c r="B23" s="7"/>
      <c r="C23" s="7"/>
      <c r="D23" s="7"/>
      <c r="E23" s="7"/>
      <c r="F23" s="19"/>
      <c r="G23" s="18" t="str">
        <f aca="false">IF(F23="","",IF(UPPER(TRIM(F23))="JA","Riktig","Prøv igjen"))</f>
        <v/>
      </c>
    </row>
    <row r="24" customFormat="false" ht="15" hidden="false" customHeight="true" outlineLevel="0" collapsed="false">
      <c r="A24" s="7" t="s">
        <v>69</v>
      </c>
      <c r="B24" s="7"/>
      <c r="C24" s="7"/>
      <c r="D24" s="7"/>
      <c r="E24" s="7"/>
      <c r="F24" s="19"/>
      <c r="G24" s="18" t="str">
        <f aca="false">IF(F24="","",IF(UPPER(TRIM(F24))="JA","Riktig","Prøv igjen"))</f>
        <v/>
      </c>
    </row>
    <row r="25" customFormat="false" ht="15" hidden="false" customHeight="true" outlineLevel="0" collapsed="false">
      <c r="A25" s="7" t="s">
        <v>70</v>
      </c>
      <c r="B25" s="7"/>
      <c r="C25" s="7"/>
      <c r="D25" s="7"/>
      <c r="E25" s="7"/>
      <c r="F25" s="19"/>
      <c r="G25" s="18" t="str">
        <f aca="false">IF(F25="","",IF(UPPER(TRIM(F25))="JA","Riktig","Prøv igjen"))</f>
        <v/>
      </c>
    </row>
    <row r="26" customFormat="false" ht="33.75" hidden="false" customHeight="true" outlineLevel="0" collapsed="false">
      <c r="A26" s="7" t="s">
        <v>71</v>
      </c>
      <c r="B26" s="7"/>
      <c r="C26" s="7"/>
      <c r="D26" s="7"/>
      <c r="E26" s="7"/>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1" customFormat="false" ht="33.75" hidden="false" customHeight="true" outlineLevel="0" collapsed="false">
      <c r="A31" s="6" t="s">
        <v>72</v>
      </c>
      <c r="B31" s="6"/>
      <c r="C31" s="6"/>
      <c r="D31" s="6"/>
      <c r="E31" s="6"/>
      <c r="F31" s="6"/>
      <c r="G31" s="6"/>
    </row>
    <row r="32" customFormat="false" ht="15" hidden="false" customHeight="true" outlineLevel="0" collapsed="false">
      <c r="A32" s="6" t="s">
        <v>43</v>
      </c>
      <c r="B32" s="6"/>
      <c r="C32" s="6"/>
      <c r="D32" s="6"/>
      <c r="E32" s="6"/>
      <c r="F32" s="6"/>
      <c r="G32" s="6"/>
    </row>
  </sheetData>
  <mergeCells count="24">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A24:E24"/>
    <mergeCell ref="A25:E25"/>
    <mergeCell ref="A26:E26"/>
    <mergeCell ref="A27: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73</v>
      </c>
    </row>
    <row r="2" customFormat="false" ht="15" hidden="false" customHeight="false" outlineLevel="0" collapsed="false">
      <c r="A2" s="2" t="s">
        <v>21</v>
      </c>
    </row>
    <row r="4" customFormat="false" ht="48.75" hidden="false" customHeight="true" outlineLevel="0" collapsed="false">
      <c r="A4" s="6" t="s">
        <v>74</v>
      </c>
      <c r="B4" s="6"/>
      <c r="C4" s="6"/>
      <c r="D4" s="6"/>
      <c r="E4" s="6"/>
      <c r="F4" s="6"/>
      <c r="G4" s="6"/>
    </row>
    <row r="5" customFormat="false" ht="78.75" hidden="false" customHeight="true" outlineLevel="0" collapsed="false">
      <c r="A5" s="7" t="s">
        <v>75</v>
      </c>
      <c r="B5" s="7"/>
      <c r="C5" s="7"/>
      <c r="D5" s="7"/>
      <c r="E5" s="7"/>
      <c r="F5" s="7"/>
      <c r="G5" s="7"/>
    </row>
    <row r="7" customFormat="false" ht="15" hidden="false" customHeight="false" outlineLevel="0" collapsed="false">
      <c r="A7" s="8" t="s">
        <v>76</v>
      </c>
      <c r="B7" s="9" t="s">
        <v>77</v>
      </c>
      <c r="C7" s="9" t="s">
        <v>78</v>
      </c>
    </row>
    <row r="8" customFormat="false" ht="15" hidden="false" customHeight="false" outlineLevel="0" collapsed="false">
      <c r="A8" s="10" t="s">
        <v>79</v>
      </c>
      <c r="B8" s="22" t="s">
        <v>80</v>
      </c>
      <c r="C8" s="11" t="n">
        <v>6500</v>
      </c>
    </row>
    <row r="9" customFormat="false" ht="15" hidden="false" customHeight="false" outlineLevel="0" collapsed="false">
      <c r="A9" s="13" t="s">
        <v>81</v>
      </c>
      <c r="B9" s="23" t="s">
        <v>82</v>
      </c>
      <c r="C9" s="14" t="n">
        <v>640</v>
      </c>
    </row>
    <row r="10" customFormat="false" ht="15" hidden="false" customHeight="false" outlineLevel="0" collapsed="false">
      <c r="A10" s="10" t="s">
        <v>83</v>
      </c>
      <c r="B10" s="22" t="s">
        <v>84</v>
      </c>
      <c r="C10" s="11" t="n">
        <v>800</v>
      </c>
    </row>
    <row r="11" customFormat="false" ht="15" hidden="false" customHeight="false" outlineLevel="0" collapsed="false">
      <c r="A11" s="13" t="s">
        <v>85</v>
      </c>
      <c r="B11" s="23" t="s">
        <v>82</v>
      </c>
      <c r="C11" s="14" t="n">
        <v>267</v>
      </c>
    </row>
    <row r="12" customFormat="false" ht="15" hidden="false" customHeight="false" outlineLevel="0" collapsed="false">
      <c r="A12" s="10" t="s">
        <v>86</v>
      </c>
      <c r="B12" s="22" t="s">
        <v>80</v>
      </c>
      <c r="C12" s="11" t="n">
        <v>8830</v>
      </c>
    </row>
    <row r="13" customFormat="false" ht="15" hidden="false" customHeight="true" outlineLevel="0" collapsed="false">
      <c r="A13" s="6" t="s">
        <v>33</v>
      </c>
      <c r="B13" s="6"/>
      <c r="C13" s="6"/>
      <c r="D13" s="6"/>
      <c r="E13" s="6"/>
      <c r="F13" s="6"/>
      <c r="G13" s="6"/>
    </row>
    <row r="15" customFormat="false" ht="15" hidden="false" customHeight="false" outlineLevel="0" collapsed="false">
      <c r="A15" s="17" t="s">
        <v>34</v>
      </c>
      <c r="B15" s="17"/>
      <c r="C15" s="17"/>
      <c r="D15" s="17"/>
      <c r="E15" s="17"/>
      <c r="F15" s="17" t="s">
        <v>35</v>
      </c>
      <c r="G15" s="17" t="s">
        <v>36</v>
      </c>
    </row>
    <row r="16" customFormat="false" ht="18.75" hidden="false" customHeight="true" outlineLevel="0" collapsed="false">
      <c r="A16" s="7" t="s">
        <v>87</v>
      </c>
      <c r="B16" s="7"/>
      <c r="C16" s="7"/>
      <c r="D16" s="7"/>
      <c r="E16" s="7"/>
      <c r="F16" s="12"/>
      <c r="G16" s="18" t="str">
        <f aca="false">IF(F16="","",IF(ABS(F16-(47480))&lt;=0.000000001,"Riktig","Prøv igjen"))</f>
        <v/>
      </c>
    </row>
    <row r="17" customFormat="false" ht="33.75" hidden="false" customHeight="true" outlineLevel="0" collapsed="false">
      <c r="A17" s="7" t="s">
        <v>88</v>
      </c>
      <c r="B17" s="7"/>
      <c r="C17" s="7"/>
      <c r="D17" s="7"/>
      <c r="E17" s="7"/>
      <c r="F17" s="12"/>
      <c r="G17" s="18" t="str">
        <f aca="false">IF(F17="","",IF(ABS(F17-(50684))&lt;=0.000000001,"Riktig","Prøv igjen"))</f>
        <v/>
      </c>
    </row>
    <row r="18" customFormat="false" ht="18.75" hidden="false" customHeight="true" outlineLevel="0" collapsed="false">
      <c r="A18" s="7" t="s">
        <v>89</v>
      </c>
      <c r="B18" s="7"/>
      <c r="C18" s="7"/>
      <c r="D18" s="7"/>
      <c r="E18" s="7"/>
      <c r="F18" s="12"/>
      <c r="G18" s="18" t="str">
        <f aca="false">IF(F18="","",IF(ABS(F18-(2296))&lt;=0.000000001,"Riktig","Prøv igjen"))</f>
        <v/>
      </c>
    </row>
    <row r="19" customFormat="false" ht="33.75" hidden="false" customHeight="true" outlineLevel="0" collapsed="false">
      <c r="A19" s="7" t="s">
        <v>90</v>
      </c>
      <c r="B19" s="7"/>
      <c r="C19" s="7"/>
      <c r="D19" s="7"/>
      <c r="E19" s="7"/>
    </row>
    <row r="20" customFormat="false" ht="15" hidden="false" customHeight="true" outlineLevel="0" collapsed="false">
      <c r="A20" s="7" t="s">
        <v>91</v>
      </c>
      <c r="B20" s="7"/>
      <c r="C20" s="7"/>
      <c r="D20" s="7"/>
      <c r="E20" s="7"/>
      <c r="F20" s="19"/>
      <c r="G20" s="18" t="str">
        <f aca="false">IF(F20="","",IF(UPPER(TRIM(F20))="JA","Riktig","Prøv igjen"))</f>
        <v/>
      </c>
    </row>
    <row r="21" customFormat="false" ht="15" hidden="false" customHeight="true" outlineLevel="0" collapsed="false">
      <c r="A21" s="7" t="s">
        <v>92</v>
      </c>
      <c r="B21" s="7"/>
      <c r="C21" s="7"/>
      <c r="D21" s="7"/>
      <c r="E21" s="7"/>
      <c r="F21" s="19"/>
      <c r="G21" s="18" t="str">
        <f aca="false">IF(F21="","",IF(UPPER(TRIM(F21))="JA","Riktig","Prøv igjen"))</f>
        <v/>
      </c>
    </row>
    <row r="22" customFormat="false" ht="15" hidden="false" customHeight="true" outlineLevel="0" collapsed="false">
      <c r="A22" s="7" t="s">
        <v>93</v>
      </c>
      <c r="B22" s="7"/>
      <c r="C22" s="7"/>
      <c r="D22" s="7"/>
      <c r="E22" s="7"/>
      <c r="F22" s="19"/>
      <c r="G22" s="18" t="str">
        <f aca="false">IF(F22="","",IF(UPPER(TRIM(F22))="JA","Riktig","Prøv igjen"))</f>
        <v/>
      </c>
    </row>
    <row r="23" customFormat="false" ht="15" hidden="false" customHeight="true" outlineLevel="0" collapsed="false">
      <c r="A23" s="7" t="s">
        <v>94</v>
      </c>
      <c r="B23" s="7"/>
      <c r="C23" s="7"/>
      <c r="D23" s="7"/>
      <c r="E23" s="7"/>
      <c r="F23" s="19"/>
      <c r="G23" s="18" t="str">
        <f aca="false">IF(F23="","",IF(UPPER(TRIM(F23))="NEI","Riktig","Prøv igjen"))</f>
        <v/>
      </c>
    </row>
    <row r="24" customFormat="false" ht="15" hidden="false" customHeight="true" outlineLevel="0" collapsed="false">
      <c r="A24" s="7" t="s">
        <v>95</v>
      </c>
      <c r="B24" s="7"/>
      <c r="C24" s="7"/>
      <c r="D24" s="7"/>
      <c r="E24" s="7"/>
      <c r="F24" s="19"/>
      <c r="G24" s="18" t="str">
        <f aca="false">IF(F24="","",IF(UPPER(TRIM(F24))="NEI","Riktig","Prøv igjen"))</f>
        <v/>
      </c>
    </row>
    <row r="25" customFormat="false" ht="15" hidden="false" customHeight="true" outlineLevel="0" collapsed="false">
      <c r="A25" s="7" t="s">
        <v>96</v>
      </c>
      <c r="B25" s="7"/>
      <c r="C25" s="7"/>
      <c r="D25" s="7"/>
      <c r="E25" s="7"/>
      <c r="F25" s="19"/>
      <c r="G25" s="18" t="str">
        <f aca="false">IF(F25="","",IF(UPPER(TRIM(F25))="NEI","Riktig","Prøv igjen"))</f>
        <v/>
      </c>
    </row>
    <row r="26" customFormat="false" ht="33.75" hidden="false" customHeight="true" outlineLevel="0" collapsed="false">
      <c r="A26" s="7" t="s">
        <v>97</v>
      </c>
      <c r="B26" s="7"/>
      <c r="C26" s="7"/>
      <c r="D26" s="7"/>
      <c r="E26" s="7"/>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1" customFormat="false" ht="48.75" hidden="false" customHeight="true" outlineLevel="0" collapsed="false">
      <c r="A31" s="6" t="s">
        <v>98</v>
      </c>
      <c r="B31" s="6"/>
      <c r="C31" s="6"/>
      <c r="D31" s="6"/>
      <c r="E31" s="6"/>
      <c r="F31" s="6"/>
      <c r="G31" s="6"/>
    </row>
    <row r="32" customFormat="false" ht="15" hidden="false" customHeight="true" outlineLevel="0" collapsed="false">
      <c r="A32" s="6" t="s">
        <v>43</v>
      </c>
      <c r="B32" s="6"/>
      <c r="C32" s="6"/>
      <c r="D32" s="6"/>
      <c r="E32" s="6"/>
      <c r="F32" s="6"/>
      <c r="G32" s="6"/>
    </row>
  </sheetData>
  <mergeCells count="18">
    <mergeCell ref="A4:G4"/>
    <mergeCell ref="A5:G5"/>
    <mergeCell ref="A13:G13"/>
    <mergeCell ref="A15:E15"/>
    <mergeCell ref="A16:E16"/>
    <mergeCell ref="A17:E17"/>
    <mergeCell ref="A18:E18"/>
    <mergeCell ref="A19:E19"/>
    <mergeCell ref="A20:E20"/>
    <mergeCell ref="A21:E21"/>
    <mergeCell ref="A22:E22"/>
    <mergeCell ref="A23:E23"/>
    <mergeCell ref="A24:E24"/>
    <mergeCell ref="A25:E25"/>
    <mergeCell ref="A26:E26"/>
    <mergeCell ref="A27: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99</v>
      </c>
    </row>
    <row r="2" customFormat="false" ht="15" hidden="false" customHeight="false" outlineLevel="0" collapsed="false">
      <c r="A2" s="2" t="s">
        <v>21</v>
      </c>
    </row>
    <row r="4" customFormat="false" ht="63.75" hidden="false" customHeight="true" outlineLevel="0" collapsed="false">
      <c r="A4" s="6" t="s">
        <v>100</v>
      </c>
      <c r="B4" s="6"/>
      <c r="C4" s="6"/>
      <c r="D4" s="6"/>
      <c r="E4" s="6"/>
      <c r="F4" s="6"/>
      <c r="G4" s="6"/>
    </row>
    <row r="5" customFormat="false" ht="63.75" hidden="false" customHeight="true" outlineLevel="0" collapsed="false">
      <c r="A5" s="7" t="s">
        <v>101</v>
      </c>
      <c r="B5" s="7"/>
      <c r="C5" s="7"/>
      <c r="D5" s="7"/>
      <c r="E5" s="7"/>
      <c r="F5" s="7"/>
      <c r="G5" s="7"/>
    </row>
    <row r="7" customFormat="false" ht="15" hidden="false" customHeight="false" outlineLevel="0" collapsed="false">
      <c r="A7" s="17" t="s">
        <v>47</v>
      </c>
      <c r="B7" s="17" t="s">
        <v>48</v>
      </c>
      <c r="C7" s="17"/>
      <c r="D7" s="17"/>
      <c r="E7" s="17"/>
      <c r="F7" s="17"/>
      <c r="G7" s="17"/>
    </row>
    <row r="8" customFormat="false" ht="18.75" hidden="false" customHeight="true" outlineLevel="0" collapsed="false">
      <c r="A8" s="21" t="s">
        <v>102</v>
      </c>
      <c r="B8" s="7" t="s">
        <v>103</v>
      </c>
      <c r="C8" s="7"/>
      <c r="D8" s="7"/>
      <c r="E8" s="7"/>
      <c r="F8" s="7"/>
      <c r="G8" s="7"/>
    </row>
    <row r="9" customFormat="false" ht="18.75" hidden="false" customHeight="true" outlineLevel="0" collapsed="false">
      <c r="A9" s="21" t="s">
        <v>104</v>
      </c>
      <c r="B9" s="7" t="s">
        <v>105</v>
      </c>
      <c r="C9" s="7"/>
      <c r="D9" s="7"/>
      <c r="E9" s="7"/>
      <c r="F9" s="7"/>
      <c r="G9" s="7"/>
    </row>
    <row r="10" customFormat="false" ht="18.75" hidden="false" customHeight="true" outlineLevel="0" collapsed="false">
      <c r="A10" s="21" t="s">
        <v>106</v>
      </c>
      <c r="B10" s="7" t="s">
        <v>107</v>
      </c>
      <c r="C10" s="7"/>
      <c r="D10" s="7"/>
      <c r="E10" s="7"/>
      <c r="F10" s="7"/>
      <c r="G10" s="7"/>
    </row>
    <row r="11" customFormat="false" ht="18.75" hidden="false" customHeight="true" outlineLevel="0" collapsed="false">
      <c r="A11" s="21" t="s">
        <v>108</v>
      </c>
      <c r="B11" s="7" t="s">
        <v>109</v>
      </c>
      <c r="C11" s="7"/>
      <c r="D11" s="7"/>
      <c r="E11" s="7"/>
      <c r="F11" s="7"/>
      <c r="G11" s="7"/>
    </row>
    <row r="12" customFormat="false" ht="18.75" hidden="false" customHeight="true" outlineLevel="0" collapsed="false">
      <c r="A12" s="21" t="s">
        <v>110</v>
      </c>
      <c r="B12" s="7" t="s">
        <v>111</v>
      </c>
      <c r="C12" s="7"/>
      <c r="D12" s="7"/>
      <c r="E12" s="7"/>
      <c r="F12" s="7"/>
      <c r="G12" s="7"/>
    </row>
    <row r="14" customFormat="false" ht="15" hidden="false" customHeight="false" outlineLevel="0" collapsed="false">
      <c r="A14" s="17" t="s">
        <v>34</v>
      </c>
      <c r="B14" s="17"/>
      <c r="C14" s="17"/>
      <c r="D14" s="17"/>
      <c r="E14" s="17"/>
      <c r="F14" s="17" t="s">
        <v>35</v>
      </c>
      <c r="G14" s="17" t="s">
        <v>36</v>
      </c>
    </row>
    <row r="15" customFormat="false" ht="18.75" hidden="false" customHeight="true" outlineLevel="0" collapsed="false">
      <c r="A15" s="7" t="s">
        <v>112</v>
      </c>
      <c r="B15" s="7"/>
      <c r="C15" s="7"/>
      <c r="D15" s="7"/>
      <c r="E15" s="7"/>
      <c r="F15" s="12"/>
      <c r="G15" s="18" t="str">
        <f aca="false">IF(F15="","",IF(ABS(F15-(822080))&lt;=0.000000001,"Riktig","Prøv igjen"))</f>
        <v/>
      </c>
    </row>
    <row r="16" customFormat="false" ht="33.75" hidden="false" customHeight="true" outlineLevel="0" collapsed="false">
      <c r="A16" s="7" t="s">
        <v>113</v>
      </c>
      <c r="B16" s="7"/>
      <c r="C16" s="7"/>
      <c r="D16" s="7"/>
      <c r="E16" s="7"/>
      <c r="F16" s="12"/>
      <c r="G16" s="18" t="str">
        <f aca="false">IF(F16="","",IF(ABS(F16-(836640))&lt;=0.000000001,"Riktig","Prøv igjen"))</f>
        <v/>
      </c>
    </row>
    <row r="17" customFormat="false" ht="48.75" hidden="false" customHeight="true" outlineLevel="0" collapsed="false">
      <c r="A17" s="7" t="s">
        <v>114</v>
      </c>
      <c r="B17" s="7"/>
      <c r="C17" s="7"/>
      <c r="D17" s="7"/>
      <c r="E17" s="7"/>
      <c r="F17" s="12"/>
      <c r="G17" s="18" t="str">
        <f aca="false">IF(F17="","",IF(ABS(F17-(784000))&lt;=0.000000001,"Riktig","Prøv igjen"))</f>
        <v/>
      </c>
    </row>
    <row r="18" customFormat="false" ht="18.75" hidden="false" customHeight="true" outlineLevel="0" collapsed="false">
      <c r="A18" s="7" t="s">
        <v>115</v>
      </c>
      <c r="B18" s="7"/>
      <c r="C18" s="7"/>
      <c r="D18" s="7"/>
      <c r="E18" s="7"/>
    </row>
    <row r="19" customFormat="false" ht="15" hidden="false" customHeight="true" outlineLevel="0" collapsed="false">
      <c r="A19" s="7" t="s">
        <v>116</v>
      </c>
      <c r="B19" s="7"/>
      <c r="C19" s="7"/>
      <c r="D19" s="7"/>
      <c r="E19" s="7"/>
      <c r="F19" s="19"/>
      <c r="G19" s="18" t="str">
        <f aca="false">IF(F19="","",IF(UPPER(TRIM(F19))="JA","Riktig","Prøv igjen"))</f>
        <v/>
      </c>
    </row>
    <row r="20" customFormat="false" ht="15" hidden="false" customHeight="true" outlineLevel="0" collapsed="false">
      <c r="A20" s="7" t="s">
        <v>117</v>
      </c>
      <c r="B20" s="7"/>
      <c r="C20" s="7"/>
      <c r="D20" s="7"/>
      <c r="E20" s="7"/>
      <c r="F20" s="19"/>
      <c r="G20" s="18" t="str">
        <f aca="false">IF(F20="","",IF(UPPER(TRIM(F20))="JA","Riktig","Prøv igjen"))</f>
        <v/>
      </c>
    </row>
    <row r="21" customFormat="false" ht="15" hidden="false" customHeight="true" outlineLevel="0" collapsed="false">
      <c r="A21" s="7" t="s">
        <v>118</v>
      </c>
      <c r="B21" s="7"/>
      <c r="C21" s="7"/>
      <c r="D21" s="7"/>
      <c r="E21" s="7"/>
      <c r="F21" s="19"/>
      <c r="G21" s="18" t="str">
        <f aca="false">IF(F21="","",IF(UPPER(TRIM(F21))="JA","Riktig","Prøv igjen"))</f>
        <v/>
      </c>
    </row>
    <row r="22" customFormat="false" ht="15" hidden="false" customHeight="true" outlineLevel="0" collapsed="false">
      <c r="A22" s="7" t="s">
        <v>119</v>
      </c>
      <c r="B22" s="7"/>
      <c r="C22" s="7"/>
      <c r="D22" s="7"/>
      <c r="E22" s="7"/>
      <c r="F22" s="19"/>
      <c r="G22" s="18" t="str">
        <f aca="false">IF(F22="","",IF(UPPER(TRIM(F22))="JA","Riktig","Prøv igjen"))</f>
        <v/>
      </c>
    </row>
    <row r="23" customFormat="false" ht="15" hidden="false" customHeight="true" outlineLevel="0" collapsed="false">
      <c r="A23" s="7" t="s">
        <v>120</v>
      </c>
      <c r="B23" s="7"/>
      <c r="C23" s="7"/>
      <c r="D23" s="7"/>
      <c r="E23" s="7"/>
      <c r="F23" s="19"/>
      <c r="G23" s="18" t="str">
        <f aca="false">IF(F23="","",IF(UPPER(TRIM(F23))="NEI","Riktig","Prøv igjen"))</f>
        <v/>
      </c>
    </row>
    <row r="24" customFormat="false" ht="15" hidden="false" customHeight="true" outlineLevel="0" collapsed="false">
      <c r="A24" s="7" t="s">
        <v>121</v>
      </c>
      <c r="B24" s="7"/>
      <c r="C24" s="7"/>
      <c r="D24" s="7"/>
      <c r="E24" s="7"/>
      <c r="F24" s="19"/>
      <c r="G24" s="18" t="str">
        <f aca="false">IF(F24="","",IF(UPPER(TRIM(F24))="NEI","Riktig","Prøv igjen"))</f>
        <v/>
      </c>
    </row>
    <row r="25" customFormat="false" ht="33.75" hidden="false" customHeight="true" outlineLevel="0" collapsed="false">
      <c r="A25" s="7" t="s">
        <v>122</v>
      </c>
      <c r="B25" s="7"/>
      <c r="C25" s="7"/>
      <c r="D25" s="7"/>
      <c r="E25" s="7"/>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30" customFormat="false" ht="63.75" hidden="false" customHeight="true" outlineLevel="0" collapsed="false">
      <c r="A30" s="6" t="s">
        <v>123</v>
      </c>
      <c r="B30" s="6"/>
      <c r="C30" s="6"/>
      <c r="D30" s="6"/>
      <c r="E30" s="6"/>
      <c r="F30" s="6"/>
      <c r="G30" s="6"/>
    </row>
    <row r="31" customFormat="false" ht="15" hidden="false" customHeight="true" outlineLevel="0" collapsed="false">
      <c r="A31" s="6" t="s">
        <v>43</v>
      </c>
      <c r="B31" s="6"/>
      <c r="C31" s="6"/>
      <c r="D31" s="6"/>
      <c r="E31" s="6"/>
      <c r="F31" s="6"/>
      <c r="G31" s="6"/>
    </row>
  </sheetData>
  <mergeCells count="23">
    <mergeCell ref="A4:G4"/>
    <mergeCell ref="A5:G5"/>
    <mergeCell ref="B7:G7"/>
    <mergeCell ref="B8:G8"/>
    <mergeCell ref="B9:G9"/>
    <mergeCell ref="B10:G10"/>
    <mergeCell ref="B11:G11"/>
    <mergeCell ref="B12:G12"/>
    <mergeCell ref="A14:E14"/>
    <mergeCell ref="A15:E15"/>
    <mergeCell ref="A16:E16"/>
    <mergeCell ref="A17:E17"/>
    <mergeCell ref="A18:E18"/>
    <mergeCell ref="A19:E19"/>
    <mergeCell ref="A20:E20"/>
    <mergeCell ref="A21:E21"/>
    <mergeCell ref="A22:E22"/>
    <mergeCell ref="A23:E23"/>
    <mergeCell ref="A24:E24"/>
    <mergeCell ref="A25:E25"/>
    <mergeCell ref="A26:G28"/>
    <mergeCell ref="A30:G30"/>
    <mergeCell ref="A31:G3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2026-10-11T06:26:09Z</dcterms:created>
  <dc:creator>openpyxl</dc:creator>
  <dc:description/>
  <dc:language>en-US</dc:language>
  <cp:lastModifiedBy/>
  <dcterms:modified xsi:type="dcterms:W3CDTF">2026-10-11T06:26:09Z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