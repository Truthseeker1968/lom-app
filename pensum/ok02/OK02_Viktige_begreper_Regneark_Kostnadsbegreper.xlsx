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Utgift og kostnad" sheetId="3" state="visible" r:id="rId5"/>
    <sheet name="Fast eller variabel" sheetId="4" state="visible" r:id="rId6"/>
    <sheet name="Per enhet" sheetId="5" state="visible" r:id="rId7"/>
    <sheet name="Avskrivning" sheetId="6" state="visible" r:id="rId8"/>
    <sheet name="Lønnspåslag" sheetId="7" state="visible" r:id="rId9"/>
    <sheet name="Scenari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<sst xmlns="http://schemas.openxmlformats.org/spreadsheetml/2006/main" count="369" uniqueCount="334">
  <si>
    <t xml:space="preserve">Fra salg til resultat. Den enkle versjonen</t>
  </si>
  <si>
    <t xml:space="preserve">Fyll inn de fire gule cellene. Svaret står i den grønne. Alt annet regner seg selv. Vil du gå dypere, ligger hele modellen i arkene bak.</t>
  </si>
  <si>
    <t xml:space="preserve">Det du vet</t>
  </si>
  <si>
    <t xml:space="preserve">Hvor mye fakturerte bedriften i året?</t>
  </si>
  <si>
    <t xml:space="preserve">Salgsinntekten. Pris ganger antall, for alle jobbene til sammen.</t>
  </si>
  <si>
    <t xml:space="preserve">Hvor mye kostet det som følger jobbene?</t>
  </si>
  <si>
    <t xml:space="preserve">Variable kostnader. De forsvinner hvis dere sier nei til jobbene.</t>
  </si>
  <si>
    <t xml:space="preserve">Hvor mye kostet det som kommer uansett?</t>
  </si>
  <si>
    <t xml:space="preserve">Faste kostnader: husleie, forsikring, administrasjon, avskrivninger.</t>
  </si>
  <si>
    <t xml:space="preserve">Hvor mange timer fikk kundene regning for?</t>
  </si>
  <si>
    <t xml:space="preserve">Fakturerte montørtimer for hele bedriften.</t>
  </si>
  <si>
    <t xml:space="preserve">Regnestykket</t>
  </si>
  <si>
    <t xml:space="preserve">Sum kostnader</t>
  </si>
  <si>
    <t xml:space="preserve">Faste pluss variable.</t>
  </si>
  <si>
    <t xml:space="preserve">Faste kostnader av alle kostnadene</t>
  </si>
  <si>
    <t xml:space="preserve">Lavt hos en installatør. Mesteparten følger jobbene.</t>
  </si>
  <si>
    <t xml:space="preserve">Dekningsbidrag: salg minus variable</t>
  </si>
  <si>
    <t xml:space="preserve">Det jobbene gir til å dekke de faste kostnadene.</t>
  </si>
  <si>
    <t xml:space="preserve">Dekningsbidrag i prosent av salget</t>
  </si>
  <si>
    <t xml:space="preserve">Hvor mye av hver krone som går til de faste og til overskudd.</t>
  </si>
  <si>
    <t xml:space="preserve">Faste kostnader per fakturert time</t>
  </si>
  <si>
    <t xml:space="preserve">Dette tallet endrer seg når timene endrer seg.</t>
  </si>
  <si>
    <t xml:space="preserve">DRIFTSRESULTAT</t>
  </si>
  <si>
    <t xml:space="preserve">Dekningsbidrag minus faste kostnader. Det samme tallet som i regnskapet.</t>
  </si>
  <si>
    <t xml:space="preserve">Hva svaret betyr</t>
  </si>
  <si>
    <t xml:space="preserve">Prøv selv</t>
  </si>
  <si>
    <t xml:space="preserve">1. Sett fakturerte timer (B8) til 10 000. Hva skjer med de faste kostnadene per time?</t>
  </si>
  <si>
    <t xml:space="preserve">2. Sett de faste kostnadene (B7) 10 prosent høyere. Hvor mye faller driftsresultatet?</t>
  </si>
  <si>
    <t xml:space="preserve">3. Flytt 400 000 kroner fra variable (B6) til faste (B7). Hva skjer med dekningsbidraget og med driftsresultatet?</t>
  </si>
  <si>
    <t xml:space="preserve">Tallene er Nordlys Elektro AS sine for 2026 (faktaarket). Kilde: Økonomistyring for LØM-emnet, kap. 2.2.2. Nordlys Elektro AS er en konstruert casebedrift.</t>
  </si>
  <si>
    <t xml:space="preserve">Kostnadsbegreper</t>
  </si>
  <si>
    <t xml:space="preserve">LØM Økonomistyring kap. 2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</si>
  <si>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</si>
  <si>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</si>
  <si>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</si>
  <si>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</si>
  <si>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</si>
  <si>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</si>
  <si>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</si>
  <si>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</si>
  <si>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</si>
  <si>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</si>
  <si>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Fra salgsinntekt via dekningsbidrag til driftsresultat.</t>
  </si>
  <si>
    <t xml:space="preserve">Utgift og kostnad</t>
  </si>
  <si>
    <t xml:space="preserve">De tre tallene for det samme materiellet: hva du kjøpte, hva du betalte, hva du brukte opp.</t>
  </si>
  <si>
    <t xml:space="preserve">Fast eller variabel</t>
  </si>
  <si>
    <t xml:space="preserve">Sorteringen. De sju Nordlys-postene ligger inne, og under dem er det plass til dine egne.</t>
  </si>
  <si>
    <t xml:space="preserve">Per enhet</t>
  </si>
  <si>
    <t xml:space="preserve">Hovedarket: hva som skjer med faste og variable per enhet når aktiviteten endres. Her ligger den ene cellen du styrer alt fra: B5.</t>
  </si>
  <si>
    <t xml:space="preserve">Avskrivning</t>
  </si>
  <si>
    <t xml:space="preserve">Lineær metode mot saldometoden på den samme servicebilen.</t>
  </si>
  <si>
    <t xml:space="preserve">Lønnspåslag</t>
  </si>
  <si>
    <t xml:space="preserve">Hva en ansatt faktisk koster, ikke hva som står på lønnsslippen.</t>
  </si>
  <si>
    <t xml:space="preserve">Scenario</t>
  </si>
  <si>
    <t xml:space="preserve">Tre spørsmål: hva skjer når aktiviteten faller, hva en kampanjepris gjør med dekningsbidraget, og hvorfor en bedrift med full ordrebok kan gå med underskudd.</t>
  </si>
  <si>
    <t xml:space="preserve">Tallene som ligger inne er Nordlys Elektro AS sine egne tall for 2026.</t>
  </si>
  <si>
    <t xml:space="preserve">Arket er laget for å brukes på jobben etterpå: bytt ut de gule cellene med dine egne tall.</t>
  </si>
  <si>
    <t xml:space="preserve">Merk: arket «Per enhet» forutsetter at de variable kostnadene er proporsjonale med</t>
  </si>
  <si>
    <t xml:space="preserve">aktiviteten. Det holder så lenge jobbmiksen er den samme.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</si>
  <si>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</si>
  <si>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</si>
  <si>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</si>
  <si>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«Per enhet»!B5</t>
  </si>
  <si>
    <t xml:space="preserve">Fakturerte montørtimer i året</t>
  </si>
  <si>
    <t xml:space="preserve">Endrer du denne cellen, følger hele blokken i rad 10 til 16 og midtkolonnen i scenario A med.</t>
  </si>
  <si>
    <t xml:space="preserve">Hvilken oppgave bruker hvilket ark</t>
  </si>
  <si>
    <t xml:space="preserve">Oppgave i øvingsheftet</t>
  </si>
  <si>
    <t xml:space="preserve">Ark</t>
  </si>
  <si>
    <t xml:space="preserve">Celler du endrer og leser av</t>
  </si>
  <si>
    <t xml:space="preserve">A1 · Ida bestiller kabel</t>
  </si>
  <si>
    <t xml:space="preserve">Les av radene 10 til 12 og summene i rad 13.</t>
  </si>
  <si>
    <t xml:space="preserve">A2 · Sorter de tolv kostnadene</t>
  </si>
  <si>
    <t xml:space="preserve">Skriv F eller V i kolonne C og se hva som skjer med summene nederst.</t>
  </si>
  <si>
    <t xml:space="preserve">A3 · Klasseoppgave: din egen avdeling</t>
  </si>
  <si>
    <t xml:space="preserve">Legg dine egne kostnader i de tomme radene 14 til 19, med beløp i kolonne B og F eller V i kolonne C.</t>
  </si>
  <si>
    <t xml:space="preserve">1 · Utgift, utbetaling og kostnad</t>
  </si>
  <si>
    <t xml:space="preserve">Endre B5, B6 og B7, og varekjøp og lager i kolonne B og C. Les av kolonne D, E og F og summene i rad 13. Sett B7 til 0 for deloppgave e).</t>
  </si>
  <si>
    <t xml:space="preserve">2 · Fast eller variabel — og hva det betyr per time</t>
  </si>
  <si>
    <t xml:space="preserve">Fast eller variabel, Per enhet</t>
  </si>
  <si>
    <t xml:space="preserve">Sorter i «Fast eller variabel». Regn per time i «Per enhet»: endre B5, og les av B10 til B16 og tabellen i rad 20 til 24.</t>
  </si>
  <si>
    <t xml:space="preserve">3 · Direkte, indirekte og proporsjonalitet</t>
  </si>
  <si>
    <t xml:space="preserve">Legg brutto månedslønn i B5 og les av samlet lønnskostnad nederst.</t>
  </si>
  <si>
    <t xml:space="preserve">4 · Priselastisitet — og fellen i resonnementet</t>
  </si>
  <si>
    <t xml:space="preserve">Scenario B: endre B26 til B32, og les av elastisiteten i B37, salgsinntekten i B40, dekningsbidraget i B43 og hva kampanjen måtte solgt i B44 og B45.</t>
  </si>
  <si>
    <t xml:space="preserve">5 · Eksamensnær: full ordrebok, og likevel underskudd</t>
  </si>
  <si>
    <t xml:space="preserve">Scenario C: endre B56 til B61, og les av B63, B65, B67, B68, B70, B71, B72, B73 og B75. Scenario A viser hva faste kostnader per time gjør når aktiviteten endres.</t>
  </si>
  <si>
    <t xml:space="preserve">Kontrollradene</t>
  </si>
  <si>
    <t xml:space="preserve">Hvert regneark har en kontrollblokk. Står det OK, henger tallene sammen. Står det AVVIK, farges cellen rød, og teksten sier hva som ikke går opp.</t>
  </si>
  <si>
    <t xml:space="preserve">To unntak: kontrollen i scenario B og den første i scenario C skal vise AVVIK med tallene som ligger inne. Der er avviket selve svaret — salgsinntekten stiger mens dekningsbidraget faller, og bedriften ligger under nullpunktet med full ordrebok.</t>
  </si>
  <si>
    <t xml:space="preserve">Ett tredje unntak: legger du inn dine egne kostnader i arket «Fast eller variabel», slår kontrollen mot resultatregnskapet ut. Det er meningen — den gjelder Nordlys-tallene slik de står.</t>
  </si>
  <si>
    <t xml:space="preserve">Kontroller i arbeidsboka: Utgift og kostnad B16, Utgift og kostnad B17, Fast eller variabel B33, Fast eller variabel B35, Per enhet B29, Per enhet B30, Per enhet B31, Avskrivning B26, Avskrivning B27, Avskrivning B28, Lønnspåslag B21, Lønnspåslag B22, Scenario B20, Scenario B49, Scenario B50, Scenario B78, Scenario B80, Scenario B81</t>
  </si>
  <si>
    <t xml:space="preserve">Slik henger kapitlet sammen med resten</t>
  </si>
  <si>
    <t xml:space="preserve">Delingen i faste og variable kostnader er den samme delingen timeprisen i kapittel 5 bygger på, og nullpunktet i B15 i arket «Per enhet» er det samme nullpunktet kapittel 8 regner for serviceavdelingen. Skillet mellom kostnad og utbetaling er grunnen til at kapittel 9 har både resultatbudsjett og likviditetsbudsjett.</t>
  </si>
  <si>
    <t xml:space="preserve">Kilder</t>
  </si>
  <si>
    <t xml:space="preserve">Hjertnes, J. og Skorpen, K.: Økonomistyring for LØM-emnet (ISBN 978-82-450-5544-3), kapittel 2 «Viktige bedriftsøkonomiske begreper», avsnitt 2.2.1 til 2.2.4, 2.3.1 og 2.4.3.</t>
  </si>
  <si>
    <t xml:space="preserve">Tabell 2.4, Hjertnes/Skorpen, Økonomistyring for LØM-emnet, kap. 2. Saldosats for varebil: skatteetaten.no.</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</si>
  <si>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</si>
  <si>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</si>
  <si>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Utgift, utbetaling og kostnad</t>
  </si>
  <si>
    <t xml:space="preserve">Endre de gule cellene. Alt annet regner seg selv.</t>
  </si>
  <si>
    <t xml:space="preserve">1 · Forutsetninger</t>
  </si>
  <si>
    <t xml:space="preserve">Varelager 1. mars (IB)</t>
  </si>
  <si>
    <t xml:space="preserve">Verdien av materiellet på hylla ved periodens begynnelse.</t>
  </si>
  <si>
    <t xml:space="preserve">Varekjøp i februar</t>
  </si>
  <si>
    <t xml:space="preserve">Betales i mars, siden kreditten er 30 dager.</t>
  </si>
  <si>
    <t xml:space="preserve">Kredittid fra grossisten, dager</t>
  </si>
  <si>
    <t xml:space="preserve">Sett den til 0 og se hva som skjer med kolonne E.</t>
  </si>
  <si>
    <t xml:space="preserve">Måned</t>
  </si>
  <si>
    <t xml:space="preserve">Varekjøp</t>
  </si>
  <si>
    <t xml:space="preserve">Lager UB</t>
  </si>
  <si>
    <t xml:space="preserve">Utgift</t>
  </si>
  <si>
    <t xml:space="preserve">Utbetaling</t>
  </si>
  <si>
    <t xml:space="preserve">Varekostnad</t>
  </si>
  <si>
    <t xml:space="preserve">Slik regnes det</t>
  </si>
  <si>
    <t xml:space="preserve">Mars</t>
  </si>
  <si>
    <t xml:space="preserve">Varekostnad = lager IB + varekjøp − lager UB</t>
  </si>
  <si>
    <t xml:space="preserve">April</t>
  </si>
  <si>
    <t xml:space="preserve">Mai</t>
  </si>
  <si>
    <t xml:space="preserve">Sum kvartalet</t>
  </si>
  <si>
    <t xml:space="preserve">Tre helt ulike tall for det samme materiellet.</t>
  </si>
  <si>
    <t xml:space="preserve">Kontroll</t>
  </si>
  <si>
    <t xml:space="preserve">Går varekostnaden opp over hele kvartalet?</t>
  </si>
  <si>
    <t xml:space="preserve">Er de tre summene tre ulike tall?</t>
  </si>
  <si>
    <t xml:space="preserve">Dette er hele poenget i kapittel 2</t>
  </si>
  <si>
    <t xml:space="preserve">Utgiften forteller hva du har forpliktet deg til. Den oppstår når du bestiller.</t>
  </si>
  <si>
    <t xml:space="preserve">Utbetalingen forteller hva som har forlatt kontoen. Den avgjør om det er penger til lønn den 15.</t>
  </si>
  <si>
    <t xml:space="preserve">Kostnaden forteller hva du har brukt opp. Den avgjør om måneden gikk med overskudd.</t>
  </si>
  <si>
    <t xml:space="preserve">Prøv dette: sett kredittiden i B7 til 0. Da — og bare da — er utgift og utbetaling det samme. Legg merke til at varekostnaden ikke rører seg.</t>
  </si>
  <si>
    <t xml:space="preserve">Kilde: Økonomistyring for LØM-emnet kap. 2.2.1. Tallene er Nordlys Elektro AS, mars til mai 2026, med Polarlys Elektro Grossist AS som leverandør.</t>
  </si>
  <si>
    <t xml:space="preserve">Fast eller variabel?</t>
  </si>
  <si>
    <t xml:space="preserve">Skriv F eller V i kolonne C. Legg inn dine egne kostnader nederst.</t>
  </si>
  <si>
    <t xml:space="preserve">Testen: forsvinner kostnaden hvis dere sier nei til jobben? Gjør den det, er den variabel (V). Løper den videre uansett, er den fast (F).</t>
  </si>
  <si>
    <t xml:space="preserve">Kostnad</t>
  </si>
  <si>
    <t xml:space="preserve">Beløp per år</t>
  </si>
  <si>
    <t xml:space="preserve">F/V</t>
  </si>
  <si>
    <t xml:space="preserve">Hvorfor</t>
  </si>
  <si>
    <t xml:space="preserve">Varekostnad materiell</t>
  </si>
  <si>
    <t xml:space="preserve">V</t>
  </si>
  <si>
    <t xml:space="preserve">Kabel, skap og kursutstyr som går rett inn i den enkelte jobben.</t>
  </si>
  <si>
    <t xml:space="preserve">Varekostnad innleide montører</t>
  </si>
  <si>
    <t xml:space="preserve">Innleide montører i topper, bestilt per prosjekt.</t>
  </si>
  <si>
    <t xml:space="preserve">Produksjonslønn (montører og lærlinger)</t>
  </si>
  <si>
    <t xml:space="preserve">Timen som går til en konkret jobb. Læreboka skiller den fra administrasjonslønn.</t>
  </si>
  <si>
    <t xml:space="preserve">Drivstoff og forbruksmateriell på oppdrag</t>
  </si>
  <si>
    <t xml:space="preserve">Følger kjøringen til og fra oppdragene.</t>
  </si>
  <si>
    <t xml:space="preserve">Administrasjonslønn</t>
  </si>
  <si>
    <t xml:space="preserve">F</t>
  </si>
  <si>
    <t xml:space="preserve">Daglig leder, kalkulatør, driftsleder og kontor. Løper i juli også.</t>
  </si>
  <si>
    <t xml:space="preserve">Avskrivninger</t>
  </si>
  <si>
    <t xml:space="preserve">Følger avskrivningsplanen og tida, ikke kilometerne.</t>
  </si>
  <si>
    <t xml:space="preserve">Husleie, forsikring, IT, telefon, regnskap og kurs</t>
  </si>
  <si>
    <t xml:space="preserve">Kapasitetskostnader — de følger av hvor stor bedrift dere har valgt å være.</t>
  </si>
  <si>
    <t xml:space="preserve">Seks tomme rader: skriv inn kostnader fra din egen arbeidsplass, beløpet per år, og F eller V.</t>
  </si>
  <si>
    <t xml:space="preserve">Sum faste kostnader (FTK)</t>
  </si>
  <si>
    <t xml:space="preserve">Dette beløpet må dekkes før én krone blir til overskudd.</t>
  </si>
  <si>
    <t xml:space="preserve">Sum variable kostnader (VTK)</t>
  </si>
  <si>
    <t xml:space="preserve">Dette forsvinner hvis dere ikke tar jobbene.</t>
  </si>
  <si>
    <t xml:space="preserve">Sum kostnader (TK = FTK + VTK)</t>
  </si>
  <si>
    <t xml:space="preserve">Faste kostnader i prosent av totalen</t>
  </si>
  <si>
    <t xml:space="preserve">En installatør ligger typisk lavt her — mesteparten av kostnadene følger jobbene.</t>
  </si>
  <si>
    <t xml:space="preserve">Salgsinntekt for året</t>
  </si>
  <si>
    <t xml:space="preserve">= Dekningsbidrag</t>
  </si>
  <si>
    <t xml:space="preserve">Salgsinntekt minus variable kostnader.</t>
  </si>
  <si>
    <t xml:space="preserve">Dekningsgrad</t>
  </si>
  <si>
    <t xml:space="preserve">= Driftsresultat</t>
  </si>
  <si>
    <t xml:space="preserve">Dekningsbidrag minus faste kostnader.</t>
  </si>
  <si>
    <t xml:space="preserve">Sum driftskostnader i resultatregnskapet 2026</t>
  </si>
  <si>
    <t xml:space="preserve">Går delingen opp mot resultatregnskapet?</t>
  </si>
  <si>
    <t xml:space="preserve">Legger du inn dine egne kostnader i de tomme radene, vil denne slå ut. Det er meningen: kontrollen gjelder Nordlys-tallene slik de står.</t>
  </si>
  <si>
    <t xml:space="preserve">Går dekningsbidraget minus faste kostnader opp mot driftsresultatet?</t>
  </si>
  <si>
    <t xml:space="preserve">Prøv dette: sett F på en av de variable postene og se hva som skjer med prosenten — og med driftsresultatet. Sorteringen er ikke en formalitet; den avgjør hele kalkylen i kapittel 5.</t>
  </si>
  <si>
    <t xml:space="preserve">Kilde: Økonomistyring for LØM-emnet kap. 2.2.2. Tallene er Nordlys Elektro AS 2026.</t>
  </si>
  <si>
    <t xml:space="preserve">Hva skjer per enhet når aktiviteten endres?</t>
  </si>
  <si>
    <t xml:space="preserve">Hovedarket i kapittel 2. Endre de gule cellene og se på kolonne D og E.</t>
  </si>
  <si>
    <t xml:space="preserve">1 · Årets tall</t>
  </si>
  <si>
    <t xml:space="preserve">FAKTURERTE MONTØRTIMER — den ene knappen</t>
  </si>
  <si>
    <t xml:space="preserve">Dette er cellen du endrer. Aktivitetsmålet i en elektrobedrift.</t>
  </si>
  <si>
    <t xml:space="preserve">Salgsinntekt</t>
  </si>
  <si>
    <t xml:space="preserve">Variable totale kostnader (VTK)</t>
  </si>
  <si>
    <t xml:space="preserve">Faste totale kostnader (FTK)</t>
  </si>
  <si>
    <t xml:space="preserve">Inntekt per fakturert time</t>
  </si>
  <si>
    <t xml:space="preserve">Variable kostnader per time (VEK)</t>
  </si>
  <si>
    <t xml:space="preserve">= Dekningsbidrag per time (DB)</t>
  </si>
  <si>
    <t xml:space="preserve">Dette tallet står stille når aktiviteten endres. Det er derfor det er nyttig.</t>
  </si>
  <si>
    <t xml:space="preserve">Faste kostnader per time</t>
  </si>
  <si>
    <t xml:space="preserve">Dette tallet endrer seg hele tiden. Det er derfor det er farlig å styre etter.</t>
  </si>
  <si>
    <t xml:space="preserve">= Igjen per time</t>
  </si>
  <si>
    <t xml:space="preserve">Nullpunkt i fakturerte timer</t>
  </si>
  <si>
    <t xml:space="preserve">Faste kostnader delt på dekningsbidrag per time. Under dette taper bedriften penger.</t>
  </si>
  <si>
    <t xml:space="preserve">Margin: timer over nullpunktet</t>
  </si>
  <si>
    <t xml:space="preserve">2 · Samme kostnader, ulikt aktivitetsnivå</t>
  </si>
  <si>
    <t xml:space="preserve">Fakturerte timer</t>
  </si>
  <si>
    <t xml:space="preserve">Faste totalt</t>
  </si>
  <si>
    <t xml:space="preserve">Faste per enhet</t>
  </si>
  <si>
    <t xml:space="preserve">Variable per enhet</t>
  </si>
  <si>
    <t xml:space="preserve">Kostnad per enhet</t>
  </si>
  <si>
    <t xml:space="preserve">Driftsresultat</t>
  </si>
  <si>
    <t xml:space="preserve">Legg merke til to ting: kolonne C faller når timene stiger, mens kolonne D står bom stille. De faste kostnadene har ikke endret seg med en eneste krone — det er bare antallet timer de fordeles på som er ulikt.</t>
  </si>
  <si>
    <t xml:space="preserve">Faller faste kostnader per enhet når aktiviteten stiger?</t>
  </si>
  <si>
    <t xml:space="preserve">Står variable kostnader per enhet stille?</t>
  </si>
  <si>
    <t xml:space="preserve">Stemmer nullpunktet med tabellen?</t>
  </si>
  <si>
    <t xml:space="preserve">Prøv dette: sett fakturerte timer i B5 ned til nullpunktet i B15. Da skal «igjen per time» i B14 bli null.</t>
  </si>
  <si>
    <t xml:space="preserve">Merk: arket forutsetter at de variable kostnadene er proporsjonale med aktiviteten. Det holder så lenge jobbmiksen er den samme. Følger materiellet jobben og ikke timen, blir det en forenkling — en ærlig en, men en forenkling.</t>
  </si>
  <si>
    <t xml:space="preserve">Kilde: Økonomistyring for LØM-emnet kap. 2.2.2 og figurene 2.2 til 2.5. Tallene er Nordlys Elektro AS 2026.</t>
  </si>
  <si>
    <t xml:space="preserve">Avskrivning: lineær metode mot saldometoden</t>
  </si>
  <si>
    <t xml:space="preserve">Samme servicebil, to metoder. Endre de gule cellene.</t>
  </si>
  <si>
    <t xml:space="preserve">1 · Bilen</t>
  </si>
  <si>
    <t xml:space="preserve">Anskaffelseskost</t>
  </si>
  <si>
    <t xml:space="preserve">Økonomisk levetid, år</t>
  </si>
  <si>
    <t xml:space="preserve">Antatt restverdi etter levetiden</t>
  </si>
  <si>
    <t xml:space="preserve">Salgssummen du regner med å få når bilen er utrangert.</t>
  </si>
  <si>
    <t xml:space="preserve">Saldosats, varebil</t>
  </si>
  <si>
    <t xml:space="preserve">Skattemessig sats. Kilde: skatteetaten.no, saldogruppe for varebiler.</t>
  </si>
  <si>
    <t xml:space="preserve">2 · Lineær metode</t>
  </si>
  <si>
    <t xml:space="preserve">Årlig avskrivning uten restverdi</t>
  </si>
  <si>
    <t xml:space="preserve">Samme beløp hvert år. Bokført verdi blir null når levetiden er ute.</t>
  </si>
  <si>
    <t xml:space="preserve">Årlig avskrivning med restverdi</t>
  </si>
  <si>
    <t xml:space="preserve">Restverdi gir lavere årlig avskrivning — du avskriver bare det du faktisk bruker opp.</t>
  </si>
  <si>
    <t xml:space="preserve">Avskrivningssats, lineært</t>
  </si>
  <si>
    <t xml:space="preserve">3 · Avskrivningsplan</t>
  </si>
  <si>
    <t xml:space="preserve">År</t>
  </si>
  <si>
    <t xml:space="preserve">Lineært, avskrivning</t>
  </si>
  <si>
    <t xml:space="preserve">Lineært, bokført verdi</t>
  </si>
  <si>
    <t xml:space="preserve">Saldo, avskrivning</t>
  </si>
  <si>
    <t xml:space="preserve">Saldo, bokført verdi</t>
  </si>
  <si>
    <t xml:space="preserve">År 1</t>
  </si>
  <si>
    <t xml:space="preserve">År 2</t>
  </si>
  <si>
    <t xml:space="preserve">År 3</t>
  </si>
  <si>
    <t xml:space="preserve">År 4</t>
  </si>
  <si>
    <t xml:space="preserve">År 5</t>
  </si>
  <si>
    <t xml:space="preserve">År 6</t>
  </si>
  <si>
    <t xml:space="preserve">År 7</t>
  </si>
  <si>
    <t xml:space="preserve">Gir saldometoden høyere avskrivning det første året?</t>
  </si>
  <si>
    <t xml:space="preserve">Kommer saldometoden noen gang ned i null?</t>
  </si>
  <si>
    <t xml:space="preserve">Gir restverdi lavere årlig lineær avskrivning?</t>
  </si>
  <si>
    <t xml:space="preserve">Merk: avskrivning er ikke en utbetaling. Pengene forsvant da bilen ble kjøpt — kolonnene fordeler bare kostnaden over årene bilen brukes. Derfor er avskrivningen en fast kostnad: den følger tida, ikke kilometerne.</t>
  </si>
  <si>
    <t xml:space="preserve">Kilde: Økonomistyring for LØM-emnet kap. 2.4.3. Saldosats: skatteetaten.no. Bilen er servicebilen Nordlys kjøpte i 2026.</t>
  </si>
  <si>
    <t xml:space="preserve">Hva koster en ansatt?</t>
  </si>
  <si>
    <t xml:space="preserve">Ikke det som står på lønnsslippen. Endre brutto månedslønn i den gule cellen.</t>
  </si>
  <si>
    <t xml:space="preserve">1 · Utgangspunktet</t>
  </si>
  <si>
    <t xml:space="preserve">Brutto månedslønn</t>
  </si>
  <si>
    <t xml:space="preserve">Det som står på lønnsslippen, før skatt.</t>
  </si>
  <si>
    <t xml:space="preserve">2 · Sosiale kostnader (Tabell 2.4)</t>
  </si>
  <si>
    <t xml:space="preserve">Post</t>
  </si>
  <si>
    <t xml:space="preserve">Prosent av brutto lønn</t>
  </si>
  <si>
    <t xml:space="preserve">Kroner</t>
  </si>
  <si>
    <t xml:space="preserve">Feriepenger, inkludert arbeidsgiveravgift</t>
  </si>
  <si>
    <t xml:space="preserve">Arbeidsgiveravgift på lønn</t>
  </si>
  <si>
    <t xml:space="preserve">Pensjonspremie</t>
  </si>
  <si>
    <t xml:space="preserve">Arbeidsgiveravgift på pensjon</t>
  </si>
  <si>
    <t xml:space="preserve">Lønn for bevegelige helligdager, høytidsdager m.m.</t>
  </si>
  <si>
    <t xml:space="preserve">Premie til yrkesskadetrygd</t>
  </si>
  <si>
    <t xml:space="preserve">Sykepenger i arbeidsgiverperioden</t>
  </si>
  <si>
    <t xml:space="preserve">= Sum sosiale kostnader</t>
  </si>
  <si>
    <t xml:space="preserve">= Samlet lønnskostnad per måned</t>
  </si>
  <si>
    <t xml:space="preserve">Dette er tallet som skal inn i kalkylen — ikke månedslønna.</t>
  </si>
  <si>
    <t xml:space="preserve">Samlet lønnskostnad per år</t>
  </si>
  <si>
    <t xml:space="preserve">Stemmer summen med Tabell 2.4?</t>
  </si>
  <si>
    <t xml:space="preserve">Er samlet lønnskostnad høyere enn brutto lønn?</t>
  </si>
  <si>
    <t xml:space="preserve">Tallene i Tabell 2.4 varierer mellom bedrifter og bransjer og tjener som illustrasjon, men størrelsesordenen er reell. Legg inn din egen bedrifts satser i kolonne B, så følger kronene med.</t>
  </si>
  <si>
    <t xml:space="preserve">Kilde: Tabell 2.4, Hjertnes/Skorpen, Økonomistyring for LØM-emnet, kap. 2.</t>
  </si>
  <si>
    <t xml:space="preserve">Tre scenarioer</t>
  </si>
  <si>
    <t xml:space="preserve">Endre de gule cellene og se hva som skjer. Alle tall hentes fra de andre arkene.</t>
  </si>
  <si>
    <t xml:space="preserve">Scenario A · aktivitetsnivået endrer seg</t>
  </si>
  <si>
    <t xml:space="preserve">Kostnadene er de samme. Det eneste som endrer seg, er hvor mange timer som faktureres.</t>
  </si>
  <si>
    <t xml:space="preserve">Lavt nivå</t>
  </si>
  <si>
    <t xml:space="preserve">Dagens nivå</t>
  </si>
  <si>
    <t xml:space="preserve">Høyt nivå</t>
  </si>
  <si>
    <t xml:space="preserve">Hva raden betyr</t>
  </si>
  <si>
    <t xml:space="preserve">Fakturerte montørtimer</t>
  </si>
  <si>
    <t xml:space="preserve">Midtkolonnen henter fra «Per enhet»!B5. De to gule kan du endre fritt.</t>
  </si>
  <si>
    <t xml:space="preserve">Faste totale kostnader</t>
  </si>
  <si>
    <t xml:space="preserve">Uendret på alle tre nivåene. Det er nettopp derfor de heter faste.</t>
  </si>
  <si>
    <t xml:space="preserve">Her skjer det som er hele poenget: tallet faller når timene stiger.</t>
  </si>
  <si>
    <t xml:space="preserve">Variable kostnader per time</t>
  </si>
  <si>
    <t xml:space="preserve">Står bom stille.</t>
  </si>
  <si>
    <t xml:space="preserve">Inntekt per time</t>
  </si>
  <si>
    <t xml:space="preserve">= Dekningsbidrag per time</t>
  </si>
  <si>
    <t xml:space="preserve">Legg merke til hvor fort resultatet snur når timene faller.</t>
  </si>
  <si>
    <t xml:space="preserve">Nullpunkt i timer</t>
  </si>
  <si>
    <t xml:space="preserve">Det samme tallet i alle tre kolonnene — nullpunktet flytter seg ikke når aktiviteten endres.</t>
  </si>
  <si>
    <t xml:space="preserve">Faller faste per time når timene stiger?</t>
  </si>
  <si>
    <t xml:space="preserve">Scenario B · prisen settes ned på et elastisk produkt</t>
  </si>
  <si>
    <t xml:space="preserve">Kampanjen på ladepunkter, oppgave 4 i øvingsheftet. Regn først, drøft etterpå.</t>
  </si>
  <si>
    <t xml:space="preserve">Pris før, uten mva.</t>
  </si>
  <si>
    <t xml:space="preserve">Antall solgt før</t>
  </si>
  <si>
    <t xml:space="preserve">Kampanjepris, uten mva.</t>
  </si>
  <si>
    <t xml:space="preserve">Antall solgt etter, anslag</t>
  </si>
  <si>
    <t xml:space="preserve">Materiell per enhet</t>
  </si>
  <si>
    <t xml:space="preserve">Montørtimer per enhet</t>
  </si>
  <si>
    <t xml:space="preserve">Lønnskostnad per montørtime</t>
  </si>
  <si>
    <t xml:space="preserve">= Variable kostnader per enhet</t>
  </si>
  <si>
    <t xml:space="preserve">Endring i mengde</t>
  </si>
  <si>
    <t xml:space="preserve">Endring i pris</t>
  </si>
  <si>
    <t xml:space="preserve">= Elastisitetskoeffisient (Ep)</t>
  </si>
  <si>
    <t xml:space="preserve">Tallverdien over 1: elastisk. Under 1: uelastisk. Fortegnet er alltid negativt.</t>
  </si>
  <si>
    <t xml:space="preserve">Salgsinntekt før</t>
  </si>
  <si>
    <t xml:space="preserve">Salgsinntekt etter</t>
  </si>
  <si>
    <t xml:space="preserve">= Endring i salgsinntekt</t>
  </si>
  <si>
    <t xml:space="preserve">Positivt: kampanjen gir mer omsetning, akkurat som teorien sier.</t>
  </si>
  <si>
    <t xml:space="preserve">Dekningsbidrag før</t>
  </si>
  <si>
    <t xml:space="preserve">Dekningsbidrag etter</t>
  </si>
  <si>
    <t xml:space="preserve">= Endring i dekningsbidrag</t>
  </si>
  <si>
    <t xml:space="preserve">Negativt: kampanjen gir mindre til å dekke de faste kostnadene. Det er hele fellen.</t>
  </si>
  <si>
    <t xml:space="preserve">Antall som måtte selges for å holde dekningsbidraget</t>
  </si>
  <si>
    <t xml:space="preserve">Nødvendig økning i prosent</t>
  </si>
  <si>
    <t xml:space="preserve">Ekstra montørtimer kampanjen krever</t>
  </si>
  <si>
    <t xml:space="preserve">Timer som da ikke kan brukes på andre oppdrag.</t>
  </si>
  <si>
    <t xml:space="preserve">Er produktet elastisk?</t>
  </si>
  <si>
    <t xml:space="preserve">Går salgsinntekt og dekningsbidrag hver sin vei?</t>
  </si>
  <si>
    <t xml:space="preserve">Her SKAL det stå AVVIK med tallene som ligger inne. Det er hele poenget i oppgave 4: salgsinntekt er ikke lønnsomhet.</t>
  </si>
  <si>
    <t xml:space="preserve">Scenario C · full ordrebok, og likevel underskudd</t>
  </si>
  <si>
    <t xml:space="preserve">Oppgave 5 i øvingsheftet. Bedriften har samme kostnadsstruktur som Nordlys — det eneste som skiller dem, er hvor mange timer som faktureres.</t>
  </si>
  <si>
    <t xml:space="preserve">Variable totale kostnader</t>
  </si>
  <si>
    <t xml:space="preserve">Antall montører</t>
  </si>
  <si>
    <t xml:space="preserve">Tilgjengelige timer per montør</t>
  </si>
  <si>
    <t xml:space="preserve">Negativt — og bedriften har full ordrebok.</t>
  </si>
  <si>
    <t xml:space="preserve">Dekningsbidrag per fakturert time</t>
  </si>
  <si>
    <t xml:space="preserve">Timer som mangler opp til nullpunktet</t>
  </si>
  <si>
    <t xml:space="preserve">Ganger dekningsbidraget per time er dette nøyaktig underskuddet.</t>
  </si>
  <si>
    <t xml:space="preserve">Tilgjengelige montørtimer totalt</t>
  </si>
  <si>
    <t xml:space="preserve">Faktureringsgrad</t>
  </si>
  <si>
    <t xml:space="preserve">Så stor del av timene bedriften betaler lønn for, havner på en faktura.</t>
  </si>
  <si>
    <t xml:space="preserve">Prosentpoeng faktureringsgrad som mangler</t>
  </si>
  <si>
    <t xml:space="preserve">Ett prosentpoeng faktureringsgrad er verdt</t>
  </si>
  <si>
    <t xml:space="preserve">Alternativ 2: nødvendig kutt i faste kostnader</t>
  </si>
  <si>
    <t xml:space="preserve">Kuttet i prosent av de faste kostnadene</t>
  </si>
  <si>
    <t xml:space="preserve">Alternativ 3: nødvendig prisøkning</t>
  </si>
  <si>
    <t xml:space="preserve">Prisen på alt bedriften fakturerer, materiell medregnet.</t>
  </si>
  <si>
    <t xml:space="preserve">Ligger bedriften under nullpunktet?</t>
  </si>
  <si>
    <t xml:space="preserve">Her SKAL det stå AVVIK med tallene som ligger inne. Det er hele poenget i oppgave 5.</t>
  </si>
  <si>
    <t xml:space="preserve">Stemmer underskuddet med timene som mangler?</t>
  </si>
  <si>
    <t xml:space="preserve">Er faktureringsgraden lavere enn Nordlys sin?</t>
  </si>
  <si>
    <t xml:space="preserve">Kilde: Økonomistyring for LØM-emnet kap. 2.2.2 og 2.3.1, med støtte i kap. 5 om timepris og kap. 8 om nullpunkt. Tallene er Nordlys Elektro AS 2026. Vestli Elektro AS er konstruert for øvingen, med samme kostnadsstruktur som Nordlys.</t>
  </si>
</sst>
</file>

<file path=xl/styles.xml><?xml version="1.0" encoding="utf-8"?>
<styleSheet xmlns="http://schemas.openxmlformats.org/spreadsheetml/2006/main">
  <numFmts count="7">
    <numFmt numFmtId="164" formatCode="General"/>
    <numFmt numFmtId="165" formatCode="#,##0"/>
    <numFmt numFmtId="166" formatCode="0.0\ %"/>
    <numFmt numFmtId="167" formatCode="#,##0.00"/>
    <numFmt numFmtId="168" formatCode="#,##0&quot; kr&quot;"/>
    <numFmt numFmtId="169" formatCode="0.0%"/>
    <numFmt numFmtId="170"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70" fontId="11"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7" fontId="11"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1"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22400000</v>
      </c>
      <c r="C5" s="7" t="s">
        <v>4</v>
      </c>
    </row>
    <row r="6" customFormat="false" ht="15" hidden="false" customHeight="true" outlineLevel="0" collapsed="false">
      <c r="A6" s="5" t="s">
        <v>5</v>
      </c>
      <c r="B6" s="6" t="n">
        <v>17216000</v>
      </c>
      <c r="C6" s="7" t="s">
        <v>6</v>
      </c>
    </row>
    <row r="7" customFormat="false" ht="15" hidden="false" customHeight="true" outlineLevel="0" collapsed="false">
      <c r="A7" s="5" t="s">
        <v>7</v>
      </c>
      <c r="B7" s="6" t="n">
        <v>3840000</v>
      </c>
      <c r="C7" s="7" t="s">
        <v>8</v>
      </c>
    </row>
    <row r="8" customFormat="false" ht="15" hidden="false" customHeight="true" outlineLevel="0" collapsed="false">
      <c r="A8" s="5" t="s">
        <v>9</v>
      </c>
      <c r="B8" s="6" t="n">
        <v>14400</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B6+B7</f>
        <v>21056000</v>
      </c>
      <c r="C11" s="7" t="s">
        <v>13</v>
      </c>
    </row>
    <row r="12" customFormat="false" ht="15" hidden="false" customHeight="true" outlineLevel="0" collapsed="false">
      <c r="A12" s="5" t="s">
        <v>14</v>
      </c>
      <c r="B12" s="9" t="n">
        <f aca="false">B7/B11</f>
        <v>0.182370820668693</v>
      </c>
      <c r="C12" s="7" t="s">
        <v>15</v>
      </c>
    </row>
    <row r="13" customFormat="false" ht="15" hidden="false" customHeight="true" outlineLevel="0" collapsed="false">
      <c r="A13" s="5" t="s">
        <v>16</v>
      </c>
      <c r="B13" s="8" t="n">
        <f aca="false">B5-B6</f>
        <v>5184000</v>
      </c>
      <c r="C13" s="7" t="s">
        <v>17</v>
      </c>
    </row>
    <row r="14" customFormat="false" ht="15" hidden="false" customHeight="true" outlineLevel="0" collapsed="false">
      <c r="A14" s="5" t="s">
        <v>18</v>
      </c>
      <c r="B14" s="9" t="n">
        <f aca="false">B13/B5</f>
        <v>0.231428571428571</v>
      </c>
      <c r="C14" s="7" t="s">
        <v>19</v>
      </c>
    </row>
    <row r="15" customFormat="false" ht="15" hidden="false" customHeight="true" outlineLevel="0" collapsed="false">
      <c r="A15" s="5" t="s">
        <v>20</v>
      </c>
      <c r="B15" s="10" t="n">
        <f aca="false">B7/B8</f>
        <v>266.666666666667</v>
      </c>
      <c r="C15" s="7" t="s">
        <v>21</v>
      </c>
    </row>
    <row r="16" customFormat="false" ht="15" hidden="false" customHeight="true" outlineLevel="0" collapsed="false"/>
    <row r="17" customFormat="false" ht="21" hidden="false" customHeight="true" outlineLevel="0" collapsed="false">
      <c r="A17" s="11" t="s">
        <v>22</v>
      </c>
      <c r="B17" s="12" t="n">
        <f aca="false">B13-B7</f>
        <v>1344000</v>
      </c>
      <c r="C17" s="7" t="s">
        <v>23</v>
      </c>
    </row>
    <row r="18" customFormat="false" ht="15" hidden="false" customHeight="true" outlineLevel="0" collapsed="false"/>
    <row r="19" customFormat="false" ht="15" hidden="false" customHeight="true" outlineLevel="0" collapsed="false">
      <c r="A19" s="3" t="s">
        <v>24</v>
      </c>
      <c r="B19" s="4"/>
      <c r="C19" s="4"/>
    </row>
    <row r="20" customFormat="false" ht="33.75" hidden="false" customHeight="true" outlineLevel="0" collapsed="false">
      <c r="A20" s="13" t="str">
        <f aca="false">"Jobbene gir "&amp;TEXT(ROUND(B13,0),"#,##0")&amp;" kroner til å dekke de faste kostnadene. Når de faste er betalt, er "&amp;TEXT(ROUND(B17,0),"#,##0")&amp;" kroner igjen."</f>
        <v>Jobbene gir 5,184,000 kroner til å dekke de faste kostnadene. Når de faste er betalt, er 1,344,000 kroner igjen.</v>
      </c>
      <c r="B20" s="13"/>
      <c r="C20" s="13"/>
    </row>
    <row r="21" customFormat="false" ht="15" hidden="false" customHeight="true" outlineLevel="0" collapsed="false"/>
    <row r="22" customFormat="false" ht="15" hidden="false" customHeight="true" outlineLevel="0" collapsed="false">
      <c r="A22" s="3" t="s">
        <v>25</v>
      </c>
      <c r="B22" s="4"/>
      <c r="C22" s="4"/>
    </row>
    <row r="23" customFormat="false" ht="15" hidden="false" customHeight="true" outlineLevel="0" collapsed="false">
      <c r="A23" s="14" t="s">
        <v>26</v>
      </c>
      <c r="B23" s="14"/>
      <c r="C23" s="14"/>
    </row>
    <row r="24" customFormat="false" ht="15" hidden="false" customHeight="true" outlineLevel="0" collapsed="false">
      <c r="A24" s="14" t="s">
        <v>27</v>
      </c>
      <c r="B24" s="14"/>
      <c r="C24" s="14"/>
    </row>
    <row r="25" customFormat="false" ht="27" hidden="false" customHeight="true" outlineLevel="0" collapsed="false">
      <c r="A25" s="14" t="s">
        <v>28</v>
      </c>
      <c r="B25" s="14"/>
      <c r="C25" s="14"/>
    </row>
    <row r="26" customFormat="false" ht="15" hidden="false" customHeight="true" outlineLevel="0" collapsed="false"/>
    <row r="27" customFormat="false" ht="27" hidden="false" customHeight="true" outlineLevel="0" collapsed="false">
      <c r="A27" s="2" t="s">
        <v>29</v>
      </c>
      <c r="B27" s="2"/>
      <c r="C27" s="2"/>
    </row>
  </sheetData>
  <mergeCells count="6">
    <mergeCell ref="A2:C2"/>
    <mergeCell ref="A20:C20"/>
    <mergeCell ref="A23:C23"/>
    <mergeCell ref="A24:C24"/>
    <mergeCell ref="A25:C25"/>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4"/>
  </cols>
  <sheetData>
    <row r="1" customFormat="false" ht="17.35" hidden="false" customHeight="false" outlineLevel="0" collapsed="false">
      <c r="A1" s="1" t="s">
        <v>30</v>
      </c>
    </row>
    <row r="2" customFormat="false" ht="15" hidden="false" customHeight="false" outlineLevel="0" collapsed="false">
      <c r="A2" s="15" t="s">
        <v>31</v>
      </c>
    </row>
    <row r="3" customFormat="false" ht="15" hidden="false" customHeight="false" outlineLevel="0" collapsed="false">
      <c r="A3" s="16" t="s">
        <v>32</v>
      </c>
    </row>
    <row r="4" customFormat="false" ht="15" hidden="false" customHeight="false" outlineLevel="0" collapsed="false">
      <c r="A4" s="17" t="s">
        <v>33</v>
      </c>
    </row>
    <row r="5" customFormat="false" ht="15" hidden="false" customHeight="false" outlineLevel="0" collapsed="false">
      <c r="A5" s="18" t="s">
        <v>34</v>
      </c>
      <c r="B5" s="19" t="s">
        <v>35</v>
      </c>
    </row>
    <row r="6" customFormat="false" ht="15" hidden="false" customHeight="false" outlineLevel="0" collapsed="false">
      <c r="A6" s="20" t="s">
        <v>36</v>
      </c>
      <c r="B6" s="19" t="s">
        <v>37</v>
      </c>
    </row>
    <row r="7" customFormat="false" ht="15" hidden="false" customHeight="false" outlineLevel="0" collapsed="false">
      <c r="A7" s="20" t="s">
        <v>38</v>
      </c>
      <c r="B7" s="19" t="s">
        <v>39</v>
      </c>
    </row>
    <row r="9" customFormat="false" ht="15" hidden="false" customHeight="false" outlineLevel="0" collapsed="false">
      <c r="A9" s="17" t="s">
        <v>40</v>
      </c>
    </row>
    <row r="10" customFormat="false" ht="15" hidden="false" customHeight="false" outlineLevel="0" collapsed="false">
      <c r="A10" s="21" t="s">
        <v>41</v>
      </c>
      <c r="B10" s="19" t="s">
        <v>42</v>
      </c>
    </row>
    <row r="11" customFormat="false" ht="15" hidden="false" customHeight="false" outlineLevel="0" collapsed="false">
      <c r="A11" s="21" t="s">
        <v>43</v>
      </c>
      <c r="B11" s="19" t="s">
        <v>44</v>
      </c>
    </row>
    <row r="12" customFormat="false" ht="15" hidden="false" customHeight="false" outlineLevel="0" collapsed="false">
      <c r="A12" s="21" t="s">
        <v>45</v>
      </c>
      <c r="B12" s="19" t="s">
        <v>46</v>
      </c>
    </row>
    <row r="13" customFormat="false" ht="15" hidden="false" customHeight="false" outlineLevel="0" collapsed="false">
      <c r="A13" s="21" t="s">
        <v>47</v>
      </c>
      <c r="B13" s="19" t="s">
        <v>48</v>
      </c>
    </row>
    <row r="14" customFormat="false" ht="15" hidden="false" customHeight="false" outlineLevel="0" collapsed="false">
      <c r="A14" s="21" t="s">
        <v>49</v>
      </c>
      <c r="B14" s="19" t="s">
        <v>50</v>
      </c>
    </row>
    <row r="15" customFormat="false" ht="15" hidden="false" customHeight="false" outlineLevel="0" collapsed="false">
      <c r="A15" s="21" t="s">
        <v>51</v>
      </c>
      <c r="B15" s="19" t="s">
        <v>52</v>
      </c>
    </row>
    <row r="16" customFormat="false" ht="15" hidden="false" customHeight="false" outlineLevel="0" collapsed="false">
      <c r="A16" s="21" t="s">
        <v>53</v>
      </c>
      <c r="B16" s="19" t="s">
        <v>54</v>
      </c>
    </row>
    <row r="18" customFormat="false" ht="15" hidden="false" customHeight="false" outlineLevel="0" collapsed="false">
      <c r="A18" s="16" t="s">
        <v>55</v>
      </c>
    </row>
    <row r="19" customFormat="false" ht="15" hidden="false" customHeight="false" outlineLevel="0" collapsed="false">
      <c r="A19" s="16" t="s">
        <v>56</v>
      </c>
    </row>
    <row r="20" customFormat="false" ht="15" hidden="false" customHeight="false" outlineLevel="0" collapsed="false">
      <c r="A20" s="16" t="s">
        <v>57</v>
      </c>
    </row>
    <row r="21" customFormat="false" ht="15" hidden="false" customHeight="false" outlineLevel="0" collapsed="false">
      <c r="A21" s="16" t="s">
        <v>58</v>
      </c>
    </row>
    <row r="23" customFormat="false" ht="15" hidden="false" customHeight="false" outlineLevel="0" collapsed="false">
      <c r="A23" s="16" t="s">
        <v>59</v>
      </c>
    </row>
    <row r="24" customFormat="false" ht="15" hidden="false" customHeight="false" outlineLevel="0" collapsed="false">
      <c r="A24" s="16" t="s">
        <v>60</v>
      </c>
    </row>
    <row r="26" customFormat="false" ht="15" hidden="false" customHeight="false" outlineLevel="0" collapsed="false">
      <c r="A26" s="17" t="s">
        <v>61</v>
      </c>
    </row>
    <row r="27" customFormat="false" ht="15" hidden="false" customHeight="false" outlineLevel="0" collapsed="false">
      <c r="A27" s="19" t="s">
        <v>62</v>
      </c>
      <c r="B27" s="19" t="s">
        <v>63</v>
      </c>
      <c r="C27" s="19" t="s">
        <v>64</v>
      </c>
    </row>
    <row r="29" customFormat="false" ht="15" hidden="false" customHeight="false" outlineLevel="0" collapsed="false">
      <c r="A29" s="17" t="s">
        <v>65</v>
      </c>
    </row>
    <row r="30" customFormat="false" ht="27.75" hidden="false" customHeight="true" outlineLevel="0" collapsed="false">
      <c r="A30" s="22" t="s">
        <v>66</v>
      </c>
      <c r="B30" s="22" t="s">
        <v>67</v>
      </c>
      <c r="C30" s="22" t="s">
        <v>68</v>
      </c>
    </row>
    <row r="31" customFormat="false" ht="15" hidden="false" customHeight="false" outlineLevel="0" collapsed="false">
      <c r="A31" s="19" t="s">
        <v>69</v>
      </c>
      <c r="B31" s="21" t="s">
        <v>43</v>
      </c>
      <c r="C31" s="19" t="s">
        <v>70</v>
      </c>
    </row>
    <row r="32" customFormat="false" ht="15" hidden="false" customHeight="false" outlineLevel="0" collapsed="false">
      <c r="A32" s="19" t="s">
        <v>71</v>
      </c>
      <c r="B32" s="21" t="s">
        <v>45</v>
      </c>
      <c r="C32" s="19" t="s">
        <v>72</v>
      </c>
    </row>
    <row r="33" customFormat="false" ht="15" hidden="false" customHeight="false" outlineLevel="0" collapsed="false">
      <c r="A33" s="19" t="s">
        <v>73</v>
      </c>
      <c r="B33" s="21" t="s">
        <v>45</v>
      </c>
      <c r="C33" s="19" t="s">
        <v>74</v>
      </c>
    </row>
    <row r="34" customFormat="false" ht="15" hidden="false" customHeight="false" outlineLevel="0" collapsed="false">
      <c r="A34" s="19" t="s">
        <v>75</v>
      </c>
      <c r="B34" s="21" t="s">
        <v>43</v>
      </c>
      <c r="C34" s="19" t="s">
        <v>76</v>
      </c>
    </row>
    <row ht="27" customHeight="true" r="35" customFormat="false" hidden="false" outlineLevel="0" collapsed="false">
      <c s="41" r="A35" t="s">
        <v>77</v>
      </c>
      <c r="B35" s="21" t="s">
        <v>78</v>
      </c>
      <c r="C35" s="19" t="s">
        <v>79</v>
      </c>
    </row>
    <row r="36" customFormat="false" ht="15" hidden="false" customHeight="false" outlineLevel="0" collapsed="false">
      <c r="A36" s="19" t="s">
        <v>80</v>
      </c>
      <c r="B36" s="21" t="s">
        <v>51</v>
      </c>
      <c r="C36" s="19" t="s">
        <v>81</v>
      </c>
    </row>
    <row r="37" customFormat="false" ht="15" hidden="false" customHeight="false" outlineLevel="0" collapsed="false">
      <c r="A37" s="19" t="s">
        <v>82</v>
      </c>
      <c r="B37" s="21" t="s">
        <v>53</v>
      </c>
      <c r="C37" s="19" t="s">
        <v>83</v>
      </c>
    </row>
    <row ht="27" customHeight="true" r="38" customFormat="false" hidden="false" outlineLevel="0" collapsed="false">
      <c s="41" r="A38" t="s">
        <v>84</v>
      </c>
      <c r="B38" s="21" t="s">
        <v>53</v>
      </c>
      <c r="C38" s="19" t="s">
        <v>85</v>
      </c>
    </row>
    <row r="40" customFormat="false" ht="15" hidden="false" customHeight="false" outlineLevel="0" collapsed="false">
      <c r="A40" s="17" t="s">
        <v>86</v>
      </c>
    </row>
    <row r="41" customFormat="false" ht="15" hidden="false" customHeight="false" outlineLevel="0" collapsed="false">
      <c r="A41" s="19" t="s">
        <v>87</v>
      </c>
    </row>
    <row r="42" customFormat="false" ht="15" hidden="false" customHeight="false" outlineLevel="0" collapsed="false">
      <c r="A42" s="19" t="s">
        <v>88</v>
      </c>
    </row>
    <row r="43" customFormat="false" ht="15" hidden="false" customHeight="false" outlineLevel="0" collapsed="false">
      <c r="A43" s="19" t="s">
        <v>89</v>
      </c>
    </row>
    <row r="44" customFormat="false" ht="15" hidden="false" customHeight="false" outlineLevel="0" collapsed="false">
      <c r="A44" s="16" t="s">
        <v>90</v>
      </c>
    </row>
    <row r="46" customFormat="false" ht="15" hidden="false" customHeight="false" outlineLevel="0" collapsed="false">
      <c r="A46" s="17" t="s">
        <v>91</v>
      </c>
    </row>
    <row r="47" customFormat="false" ht="15" hidden="false" customHeight="false" outlineLevel="0" collapsed="false">
      <c r="A47" s="19" t="s">
        <v>92</v>
      </c>
    </row>
    <row r="49" customFormat="false" ht="15" hidden="false" customHeight="false" outlineLevel="0" collapsed="false">
      <c r="A49" s="17" t="s">
        <v>93</v>
      </c>
    </row>
    <row r="50" customFormat="false" ht="15" hidden="false" customHeight="false" outlineLevel="0" collapsed="false">
      <c r="A50" s="16" t="s">
        <v>94</v>
      </c>
    </row>
    <row r="51" customFormat="false" ht="15" hidden="false" customHeight="false" outlineLevel="0" collapsed="false">
      <c r="A51" s="16" t="s">
        <v>95</v>
      </c>
    </row>
    <row r="52" customFormat="false" ht="15" hidden="false" customHeight="false" outlineLevel="0" collapsed="false">
      <c r="A52" s="16" t="s">
        <v>96</v>
      </c>
    </row>
    <row r="53" customFormat="false" ht="15" hidden="false" customHeight="false" outlineLevel="0" collapsed="false">
      <c r="A53" s="16" t="s">
        <v>97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5"/>
    <col collapsed="false" customWidth="true" hidden="false" outlineLevel="0" max="7" min="7" style="0" width="50"/>
  </cols>
  <sheetData>
    <row r="1" customFormat="false" ht="17.35" hidden="false" customHeight="false" outlineLevel="0" collapsed="false">
      <c r="A1" s="1" t="s">
        <v>98</v>
      </c>
    </row>
    <row r="2" customFormat="false" ht="15" hidden="false" customHeight="false" outlineLevel="0" collapsed="false">
      <c r="A2" s="15" t="s">
        <v>99</v>
      </c>
    </row>
    <row r="4" customFormat="false" ht="15" hidden="false" customHeight="false" outlineLevel="0" collapsed="false">
      <c r="A4" s="17" t="s">
        <v>100</v>
      </c>
    </row>
    <row r="5" customFormat="false" ht="15" hidden="false" customHeight="false" outlineLevel="0" collapsed="false">
      <c r="A5" s="19" t="s">
        <v>101</v>
      </c>
      <c r="B5" s="23" t="n">
        <v>1250000</v>
      </c>
      <c r="G5" s="19" t="s">
        <v>102</v>
      </c>
    </row>
    <row r="6" customFormat="false" ht="15" hidden="false" customHeight="false" outlineLevel="0" collapsed="false">
      <c r="A6" s="19" t="s">
        <v>103</v>
      </c>
      <c r="B6" s="23" t="n">
        <v>760000</v>
      </c>
      <c r="G6" s="19" t="s">
        <v>104</v>
      </c>
    </row>
    <row ht="27" customHeight="true" r="7" customFormat="false" hidden="false" outlineLevel="0" collapsed="false">
      <c s="41" r="A7" t="s">
        <v>105</v>
      </c>
      <c r="B7" s="24" t="n">
        <v>30</v>
      </c>
      <c r="G7" s="19" t="s">
        <v>106</v>
      </c>
    </row>
    <row r="9" customFormat="false" ht="27.75" hidden="false" customHeight="true" outlineLevel="0" collapsed="false">
      <c r="A9" s="22" t="s">
        <v>107</v>
      </c>
      <c r="B9" s="22" t="s">
        <v>108</v>
      </c>
      <c r="C9" s="22" t="s">
        <v>109</v>
      </c>
      <c r="D9" s="22" t="s">
        <v>110</v>
      </c>
      <c r="E9" s="22" t="s">
        <v>111</v>
      </c>
      <c r="F9" s="22" t="s">
        <v>112</v>
      </c>
      <c r="G9" s="22" t="s">
        <v>113</v>
      </c>
    </row>
    <row r="10" customFormat="false" ht="15" hidden="false" customHeight="false" outlineLevel="0" collapsed="false">
      <c r="A10" s="19" t="s">
        <v>114</v>
      </c>
      <c r="B10" s="23" t="n">
        <v>890000</v>
      </c>
      <c r="C10" s="23" t="n">
        <v>1460000</v>
      </c>
      <c r="D10" s="25" t="n">
        <f aca="false">B10</f>
        <v>890000</v>
      </c>
      <c r="E10" s="25" t="n">
        <f aca="false">IF($B$7=0,B10,$B$6)</f>
        <v>760000</v>
      </c>
      <c r="F10" s="25" t="n">
        <f aca="false">$B$5+B10-C10</f>
        <v>680000</v>
      </c>
      <c r="G10" s="19" t="s">
        <v>115</v>
      </c>
    </row>
    <row r="11" customFormat="false" ht="15" hidden="false" customHeight="false" outlineLevel="0" collapsed="false">
      <c r="A11" s="19" t="s">
        <v>116</v>
      </c>
      <c r="B11" s="23" t="n">
        <v>640000</v>
      </c>
      <c r="C11" s="23" t="n">
        <v>1380000</v>
      </c>
      <c r="D11" s="25" t="n">
        <f aca="false">B11</f>
        <v>640000</v>
      </c>
      <c r="E11" s="25" t="n">
        <f aca="false">IF($B$7=0,B11,B10)</f>
        <v>890000</v>
      </c>
      <c r="F11" s="25" t="n">
        <f aca="false">C10+B11-C11</f>
        <v>720000</v>
      </c>
      <c r="G11" s="19" t="s">
        <v>115</v>
      </c>
    </row>
    <row r="12" customFormat="false" ht="15" hidden="false" customHeight="false" outlineLevel="0" collapsed="false">
      <c r="A12" s="19" t="s">
        <v>117</v>
      </c>
      <c r="B12" s="23" t="n">
        <v>520000</v>
      </c>
      <c r="C12" s="23" t="n">
        <v>1100000</v>
      </c>
      <c r="D12" s="25" t="n">
        <f aca="false">B12</f>
        <v>520000</v>
      </c>
      <c r="E12" s="25" t="n">
        <f aca="false">IF($B$7=0,B12,B11)</f>
        <v>640000</v>
      </c>
      <c r="F12" s="25" t="n">
        <f aca="false">C11+B12-C12</f>
        <v>800000</v>
      </c>
      <c r="G12" s="19" t="s">
        <v>115</v>
      </c>
    </row>
    <row r="13" customFormat="false" ht="15" hidden="false" customHeight="false" outlineLevel="0" collapsed="false">
      <c r="A13" s="21" t="s">
        <v>118</v>
      </c>
      <c r="D13" s="26" t="n">
        <f aca="false">SUM(D10:D12)</f>
        <v>2050000</v>
      </c>
      <c r="E13" s="26" t="n">
        <f aca="false">SUM(E10:E12)</f>
        <v>2290000</v>
      </c>
      <c r="F13" s="26" t="n">
        <f aca="false">SUM(F10:F12)</f>
        <v>2200000</v>
      </c>
      <c r="G13" s="19" t="s">
        <v>119</v>
      </c>
    </row>
    <row r="15" customFormat="false" ht="15" hidden="false" customHeight="false" outlineLevel="0" collapsed="false">
      <c r="A15" s="17" t="s">
        <v>120</v>
      </c>
    </row>
    <row ht="27" customHeight="true" r="16" customFormat="false" hidden="false" outlineLevel="0" collapsed="false">
      <c s="41" r="A16" t="s">
        <v>121</v>
      </c>
      <c r="B16" s="27" t="str">
        <f aca="false">IF(ABS($B$5+D13-C12-F13)&lt;1,"OK — lager IB pluss alle kjøp minus lager UB er lik summen av varekostnadene","AVVIK: sjekk lagertallene i kolonne C")</f>
        <v>OK — lager IB pluss alle kjøp minus lager UB er lik summen av varekostnadene</v>
      </c>
    </row>
    <row ht="27" customHeight="true" r="17" customFormat="false" hidden="false" outlineLevel="0" collapsed="false">
      <c s="41" r="A17" t="s">
        <v>122</v>
      </c>
      <c r="B17" s="27" t="str">
        <f aca="false">IF(AND(D13&lt;&gt;E13,E13&lt;&gt;F13,D13&lt;&gt;F13),"OK — utgift, utbetaling og varekostnad er tre ulike tall. Det er hele poenget i kapitlet","AVVIK: to av summene er like — da forsvinner poenget")</f>
        <v>OK — utgift, utbetaling og varekostnad er tre ulike tall. Det er hele poenget i kapitlet</v>
      </c>
    </row>
    <row r="19" customFormat="false" ht="15" hidden="false" customHeight="false" outlineLevel="0" collapsed="false">
      <c r="A19" s="17" t="s">
        <v>123</v>
      </c>
    </row>
    <row r="20" customFormat="false" ht="15" hidden="false" customHeight="false" outlineLevel="0" collapsed="false">
      <c r="A20" s="19" t="s">
        <v>124</v>
      </c>
    </row>
    <row r="21" customFormat="false" ht="15" hidden="false" customHeight="false" outlineLevel="0" collapsed="false">
      <c r="A21" s="19" t="s">
        <v>125</v>
      </c>
    </row>
    <row r="22" customFormat="false" ht="15" hidden="false" customHeight="false" outlineLevel="0" collapsed="false">
      <c r="A22" s="19" t="s">
        <v>126</v>
      </c>
    </row>
    <row r="23" customFormat="false" ht="15" hidden="false" customHeight="false" outlineLevel="0" collapsed="false">
      <c r="A23" s="21" t="s">
        <v>127</v>
      </c>
    </row>
    <row r="24" customFormat="false" ht="15" hidden="false" customHeight="false" outlineLevel="0" collapsed="false">
      <c r="A24" s="16" t="s">
        <v>128</v>
      </c>
    </row>
  </sheetData>
  <conditionalFormatting sqref="B16">
    <cfRule type="expression" priority="2" aboveAverage="0" equalAverage="0" bottom="0" percent="0" rank="0" text="" dxfId="0">
      <formula>LEFT(B16,5)="AVVIK"</formula>
    </cfRule>
  </conditionalFormatting>
  <conditionalFormatting sqref="B17">
    <cfRule type="expression" priority="3" aboveAverage="0" equalAverage="0" bottom="0" percent="0" rank="0" text="" dxfId="0">
      <formula>LEFT(B17,5)="AVVIK"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8"/>
    <col collapsed="false" customWidth="true" hidden="false" outlineLevel="0" max="4" min="4" style="0" width="60"/>
  </cols>
  <sheetData>
    <row r="1" customFormat="false" ht="17.35" hidden="false" customHeight="false" outlineLevel="0" collapsed="false">
      <c r="A1" s="1" t="s">
        <v>129</v>
      </c>
    </row>
    <row r="2" customFormat="false" ht="15" hidden="false" customHeight="false" outlineLevel="0" collapsed="false">
      <c r="A2" s="15" t="s">
        <v>130</v>
      </c>
    </row>
    <row r="4" customFormat="false" ht="15" hidden="false" customHeight="false" outlineLevel="0" collapsed="false">
      <c r="A4" s="17" t="s">
        <v>131</v>
      </c>
    </row>
    <row r="6" customFormat="false" ht="27.75" hidden="false" customHeight="true" outlineLevel="0" collapsed="false">
      <c r="A6" s="22" t="s">
        <v>132</v>
      </c>
      <c r="B6" s="22" t="s">
        <v>133</v>
      </c>
      <c r="C6" s="22" t="s">
        <v>134</v>
      </c>
      <c r="D6" s="22" t="s">
        <v>135</v>
      </c>
    </row>
    <row r="7" customFormat="false" ht="15" hidden="false" customHeight="false" outlineLevel="0" collapsed="false">
      <c r="A7" s="19" t="s">
        <v>136</v>
      </c>
      <c r="B7" s="23" t="n">
        <v>7990000</v>
      </c>
      <c r="C7" s="18" t="s">
        <v>137</v>
      </c>
      <c r="D7" s="19" t="s">
        <v>138</v>
      </c>
    </row>
    <row r="8" customFormat="false" ht="15" hidden="false" customHeight="false" outlineLevel="0" collapsed="false">
      <c r="A8" s="19" t="s">
        <v>139</v>
      </c>
      <c r="B8" s="23" t="n">
        <v>400000</v>
      </c>
      <c r="C8" s="18" t="s">
        <v>137</v>
      </c>
      <c r="D8" s="19" t="s">
        <v>140</v>
      </c>
    </row>
    <row r="9" customFormat="false" ht="15" hidden="false" customHeight="false" outlineLevel="0" collapsed="false">
      <c r="A9" s="19" t="s">
        <v>141</v>
      </c>
      <c r="B9" s="23" t="n">
        <v>8440000</v>
      </c>
      <c r="C9" s="18" t="s">
        <v>137</v>
      </c>
      <c r="D9" s="19" t="s">
        <v>142</v>
      </c>
    </row>
    <row r="10" customFormat="false" ht="15" hidden="false" customHeight="false" outlineLevel="0" collapsed="false">
      <c r="A10" s="19" t="s">
        <v>143</v>
      </c>
      <c r="B10" s="23" t="n">
        <v>386000</v>
      </c>
      <c r="C10" s="18" t="s">
        <v>137</v>
      </c>
      <c r="D10" s="19" t="s">
        <v>144</v>
      </c>
    </row>
    <row r="11" customFormat="false" ht="15" hidden="false" customHeight="false" outlineLevel="0" collapsed="false">
      <c r="A11" s="19" t="s">
        <v>145</v>
      </c>
      <c r="B11" s="23" t="n">
        <v>2220000</v>
      </c>
      <c r="C11" s="18" t="s">
        <v>146</v>
      </c>
      <c r="D11" s="19" t="s">
        <v>147</v>
      </c>
    </row>
    <row r="12" customFormat="false" ht="15" hidden="false" customHeight="false" outlineLevel="0" collapsed="false">
      <c r="A12" s="19" t="s">
        <v>148</v>
      </c>
      <c r="B12" s="23" t="n">
        <v>620000</v>
      </c>
      <c r="C12" s="18" t="s">
        <v>146</v>
      </c>
      <c r="D12" s="19" t="s">
        <v>149</v>
      </c>
    </row>
    <row r="13" customFormat="false" ht="15" hidden="false" customHeight="false" outlineLevel="0" collapsed="false">
      <c r="A13" s="19" t="s">
        <v>150</v>
      </c>
      <c r="B13" s="23" t="n">
        <v>1000000</v>
      </c>
      <c r="C13" s="18" t="s">
        <v>146</v>
      </c>
      <c r="D13" s="19" t="s">
        <v>151</v>
      </c>
    </row>
    <row r="14" customFormat="false" ht="15" hidden="false" customHeight="false" outlineLevel="0" collapsed="false">
      <c r="A14" s="18"/>
      <c r="B14" s="23" t="n">
        <v>0</v>
      </c>
      <c r="C14" s="18"/>
      <c r="D14" s="19" t="s">
        <v>152</v>
      </c>
    </row>
    <row r="15" customFormat="false" ht="15" hidden="false" customHeight="false" outlineLevel="0" collapsed="false">
      <c r="A15" s="18"/>
      <c r="B15" s="23" t="n">
        <v>0</v>
      </c>
      <c r="C15" s="18"/>
    </row>
    <row r="16" customFormat="false" ht="15" hidden="false" customHeight="false" outlineLevel="0" collapsed="false">
      <c r="A16" s="18"/>
      <c r="B16" s="23" t="n">
        <v>0</v>
      </c>
      <c r="C16" s="18"/>
    </row>
    <row r="17" customFormat="false" ht="15" hidden="false" customHeight="false" outlineLevel="0" collapsed="false">
      <c r="A17" s="18"/>
      <c r="B17" s="23" t="n">
        <v>0</v>
      </c>
      <c r="C17" s="18"/>
    </row>
    <row r="18" customFormat="false" ht="15" hidden="false" customHeight="false" outlineLevel="0" collapsed="false">
      <c r="A18" s="18"/>
      <c r="B18" s="23" t="n">
        <v>0</v>
      </c>
      <c r="C18" s="18"/>
    </row>
    <row r="19" customFormat="false" ht="15" hidden="false" customHeight="false" outlineLevel="0" collapsed="false">
      <c r="A19" s="18"/>
      <c r="B19" s="23" t="n">
        <v>0</v>
      </c>
      <c r="C19" s="18"/>
    </row>
    <row r="21" customFormat="false" ht="15" hidden="false" customHeight="false" outlineLevel="0" collapsed="false">
      <c r="A21" s="21" t="s">
        <v>153</v>
      </c>
      <c r="B21" s="26" t="n">
        <f aca="false">SUMIF($C$7:$C$19,"F",$B$7:$B$19)</f>
        <v>3840000</v>
      </c>
      <c r="D21" s="19" t="s">
        <v>154</v>
      </c>
    </row>
    <row r="22" customFormat="false" ht="15" hidden="false" customHeight="false" outlineLevel="0" collapsed="false">
      <c r="A22" s="21" t="s">
        <v>155</v>
      </c>
      <c r="B22" s="26" t="n">
        <f aca="false">SUMIF($C$7:$C$19,"V",$B$7:$B$19)</f>
        <v>17216000</v>
      </c>
      <c r="D22" s="19" t="s">
        <v>156</v>
      </c>
    </row>
    <row r="23" customFormat="false" ht="15" hidden="false" customHeight="false" outlineLevel="0" collapsed="false">
      <c r="A23" s="21" t="s">
        <v>157</v>
      </c>
      <c r="B23" s="26" t="n">
        <f aca="false">B21+B22</f>
        <v>21056000</v>
      </c>
    </row>
    <row r="24" customFormat="false" ht="15" hidden="false" customHeight="false" outlineLevel="0" collapsed="false">
      <c r="A24" s="19" t="s">
        <v>158</v>
      </c>
      <c r="B24" s="28" t="n">
        <f aca="false">IF(B23=0,0,B21/B23)</f>
        <v>0.182370820668693</v>
      </c>
      <c r="D24" s="19" t="s">
        <v>159</v>
      </c>
    </row>
    <row r="26" customFormat="false" ht="15" hidden="false" customHeight="false" outlineLevel="0" collapsed="false">
      <c r="A26" s="19" t="s">
        <v>160</v>
      </c>
      <c r="B26" s="23" t="n">
        <v>22400000</v>
      </c>
    </row>
    <row r="27" customFormat="false" ht="15" hidden="false" customHeight="false" outlineLevel="0" collapsed="false">
      <c r="A27" s="21" t="s">
        <v>161</v>
      </c>
      <c r="B27" s="26" t="n">
        <f aca="false">B26-B22</f>
        <v>5184000</v>
      </c>
      <c r="D27" s="19" t="s">
        <v>162</v>
      </c>
    </row>
    <row r="28" customFormat="false" ht="15" hidden="false" customHeight="false" outlineLevel="0" collapsed="false">
      <c r="A28" s="19" t="s">
        <v>163</v>
      </c>
      <c r="B28" s="28" t="n">
        <f aca="false">IF(B26=0,0,B27/B26)</f>
        <v>0.231428571428571</v>
      </c>
    </row>
    <row r="29" customFormat="false" ht="15" hidden="false" customHeight="false" outlineLevel="0" collapsed="false">
      <c r="A29" s="21" t="s">
        <v>164</v>
      </c>
      <c r="B29" s="26" t="n">
        <f aca="false">B27-B21</f>
        <v>1344000</v>
      </c>
      <c r="D29" s="19" t="s">
        <v>165</v>
      </c>
    </row>
    <row r="31" customFormat="false" ht="15" hidden="false" customHeight="false" outlineLevel="0" collapsed="false">
      <c r="A31" s="17" t="s">
        <v>120</v>
      </c>
    </row>
    <row r="32" customFormat="false" ht="15" hidden="false" customHeight="false" outlineLevel="0" collapsed="false">
      <c r="A32" s="19" t="s">
        <v>166</v>
      </c>
      <c r="B32" s="23" t="n">
        <v>21056000</v>
      </c>
    </row>
    <row r="33" customFormat="false" ht="15" hidden="false" customHeight="false" outlineLevel="0" collapsed="false">
      <c r="A33" s="19" t="s">
        <v>167</v>
      </c>
      <c r="B33" s="27" t="str">
        <f aca="false">IF(ABS(B23-B32)&lt;1,"OK — faste pluss variable er lik sum driftskostnader i resultatregnskapet","AVVIK: delingen går ikke opp mot resultatregnskapet — det er riktig så snart du har lagt inn dine egne kostnader")</f>
        <v>OK — faste pluss variable er lik sum driftskostnader i resultatregnskapet</v>
      </c>
    </row>
    <row r="34" customFormat="false" ht="15" hidden="false" customHeight="false" outlineLevel="0" collapsed="false">
      <c r="A34" s="16" t="s">
        <v>168</v>
      </c>
    </row>
    <row ht="27" customHeight="true" r="35" customFormat="false" hidden="false" outlineLevel="0" collapsed="false">
      <c s="41" r="A35" t="s">
        <v>169</v>
      </c>
      <c r="B35" s="27" t="str">
        <f aca="false">IF(ABS(B27-B21-B29)&lt;1,"OK — dekningsbidrag minus faste kostnader er driftsresultatet. Det er sammenhengen kapittel 8 bygger videre på","AVVIK: regnestykket henger ikke sammen")</f>
        <v>OK — dekningsbidrag minus faste kostnader er driftsresultatet. Det er sammenhengen kapittel 8 bygger videre på</v>
      </c>
    </row>
    <row r="37" customFormat="false" ht="15" hidden="false" customHeight="false" outlineLevel="0" collapsed="false">
      <c r="A37" s="21" t="s">
        <v>170</v>
      </c>
    </row>
    <row r="38" customFormat="false" ht="15" hidden="false" customHeight="false" outlineLevel="0" collapsed="false">
      <c r="A38" s="16" t="s">
        <v>171</v>
      </c>
    </row>
  </sheetData>
  <conditionalFormatting sqref="B33">
    <cfRule type="expression" priority="2" aboveAverage="0" equalAverage="0" bottom="0" percent="0" rank="0" text="" dxfId="0">
      <formula>LEFT(B33,5)="AVVIK"</formula>
    </cfRule>
  </conditionalFormatting>
  <conditionalFormatting sqref="B35">
    <cfRule type="expression" priority="3" aboveAverage="0" equalAverage="0" bottom="0" percent="0" rank="0" text="" dxfId="0">
      <formula>LEFT(B35,5)="AVVIK"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s>
  <sheetData>
    <row r="1" customFormat="false" ht="17.35" hidden="false" customHeight="false" outlineLevel="0" collapsed="false">
      <c r="A1" s="1" t="s">
        <v>172</v>
      </c>
    </row>
    <row r="2" customFormat="false" ht="15" hidden="false" customHeight="false" outlineLevel="0" collapsed="false">
      <c r="A2" s="15" t="s">
        <v>173</v>
      </c>
    </row>
    <row r="4" customFormat="false" ht="15" hidden="false" customHeight="false" outlineLevel="0" collapsed="false">
      <c r="A4" s="17" t="s">
        <v>174</v>
      </c>
    </row>
    <row ht="27" customHeight="true" r="5" customFormat="false" hidden="false" outlineLevel="0" collapsed="false">
      <c s="42" r="A5" t="s">
        <v>175</v>
      </c>
      <c r="B5" s="24" t="n">
        <v>14400</v>
      </c>
      <c r="D5" s="19" t="s">
        <v>176</v>
      </c>
    </row>
    <row r="6" customFormat="false" ht="15" hidden="false" customHeight="false" outlineLevel="0" collapsed="false">
      <c r="A6" s="19" t="s">
        <v>177</v>
      </c>
      <c r="B6" s="23" t="n">
        <v>22400000</v>
      </c>
    </row>
    <row r="7" customFormat="false" ht="15" hidden="false" customHeight="false" outlineLevel="0" collapsed="false">
      <c r="A7" s="19" t="s">
        <v>178</v>
      </c>
      <c r="B7" s="23" t="n">
        <v>17216000</v>
      </c>
    </row>
    <row r="8" customFormat="false" ht="15" hidden="false" customHeight="false" outlineLevel="0" collapsed="false">
      <c r="A8" s="19" t="s">
        <v>179</v>
      </c>
      <c r="B8" s="23" t="n">
        <v>3840000</v>
      </c>
    </row>
    <row r="10" customFormat="false" ht="15" hidden="false" customHeight="false" outlineLevel="0" collapsed="false">
      <c r="A10" s="19" t="s">
        <v>180</v>
      </c>
      <c r="B10" s="29" t="n">
        <f aca="false">B6/B5</f>
        <v>1555.55555555556</v>
      </c>
    </row>
    <row r="11" customFormat="false" ht="15" hidden="false" customHeight="false" outlineLevel="0" collapsed="false">
      <c r="A11" s="19" t="s">
        <v>181</v>
      </c>
      <c r="B11" s="29" t="n">
        <f aca="false">B7/B5</f>
        <v>1195.55555555556</v>
      </c>
    </row>
    <row r="12" customFormat="false" ht="15" hidden="false" customHeight="false" outlineLevel="0" collapsed="false">
      <c r="A12" s="21" t="s">
        <v>182</v>
      </c>
      <c r="B12" s="30" t="n">
        <f aca="false">B10-B11</f>
        <v>360</v>
      </c>
      <c r="D12" s="19" t="s">
        <v>183</v>
      </c>
    </row>
    <row r="13" customFormat="false" ht="15" hidden="false" customHeight="false" outlineLevel="0" collapsed="false">
      <c r="A13" s="19" t="s">
        <v>184</v>
      </c>
      <c r="B13" s="29" t="n">
        <f aca="false">B8/B5</f>
        <v>266.666666666667</v>
      </c>
      <c r="D13" s="19" t="s">
        <v>185</v>
      </c>
    </row>
    <row r="14" customFormat="false" ht="15" hidden="false" customHeight="false" outlineLevel="0" collapsed="false">
      <c r="A14" s="21" t="s">
        <v>186</v>
      </c>
      <c r="B14" s="30" t="n">
        <f aca="false">B12-B13</f>
        <v>93.3333333333333</v>
      </c>
    </row>
    <row r="15" customFormat="false" ht="15" hidden="false" customHeight="false" outlineLevel="0" collapsed="false">
      <c r="A15" s="21" t="s">
        <v>187</v>
      </c>
      <c r="B15" s="31" t="n">
        <f aca="false">B8/B12</f>
        <v>10666.6666666667</v>
      </c>
      <c r="D15" s="19" t="s">
        <v>188</v>
      </c>
    </row>
    <row r="16" customFormat="false" ht="15" hidden="false" customHeight="false" outlineLevel="0" collapsed="false">
      <c r="A16" s="19" t="s">
        <v>189</v>
      </c>
      <c r="B16" s="32" t="n">
        <f aca="false">B5-B15</f>
        <v>3733.33333333333</v>
      </c>
    </row>
    <row r="18" customFormat="false" ht="15" hidden="false" customHeight="false" outlineLevel="0" collapsed="false">
      <c r="A18" s="17" t="s">
        <v>190</v>
      </c>
    </row>
    <row r="19" customFormat="false" ht="27.75" hidden="false" customHeight="true" outlineLevel="0" collapsed="false">
      <c r="A19" s="22" t="s">
        <v>191</v>
      </c>
      <c r="B19" s="22" t="s">
        <v>192</v>
      </c>
      <c r="C19" s="22" t="s">
        <v>193</v>
      </c>
      <c r="D19" s="22" t="s">
        <v>194</v>
      </c>
      <c r="E19" s="22" t="s">
        <v>195</v>
      </c>
      <c r="F19" s="22" t="s">
        <v>177</v>
      </c>
      <c r="G19" s="22" t="s">
        <v>12</v>
      </c>
      <c r="H19" s="22" t="s">
        <v>196</v>
      </c>
    </row>
    <row r="20" customFormat="false" ht="15" hidden="false" customHeight="false" outlineLevel="0" collapsed="false">
      <c r="A20" s="24" t="n">
        <v>10000</v>
      </c>
      <c r="B20" s="25" t="n">
        <f aca="false">$B$8</f>
        <v>3840000</v>
      </c>
      <c r="C20" s="33" t="n">
        <f aca="false">$B$8/A20</f>
        <v>384</v>
      </c>
      <c r="D20" s="33" t="n">
        <f aca="false">$B$11</f>
        <v>1195.55555555556</v>
      </c>
      <c r="E20" s="33" t="n">
        <f aca="false">C20+D20</f>
        <v>1579.55555555556</v>
      </c>
      <c r="F20" s="25" t="n">
        <f aca="false">$B$10*A20</f>
        <v>15555555.5555556</v>
      </c>
      <c r="G20" s="25" t="n">
        <f aca="false">$B$8+$B$11*A20</f>
        <v>15795555.5555556</v>
      </c>
      <c r="H20" s="26" t="n">
        <f aca="false">F20-G20</f>
        <v>-240000</v>
      </c>
    </row>
    <row r="21" customFormat="false" ht="15" hidden="false" customHeight="false" outlineLevel="0" collapsed="false">
      <c r="A21" s="24" t="n">
        <v>12000</v>
      </c>
      <c r="B21" s="25" t="n">
        <f aca="false">$B$8</f>
        <v>3840000</v>
      </c>
      <c r="C21" s="33" t="n">
        <f aca="false">$B$8/A21</f>
        <v>320</v>
      </c>
      <c r="D21" s="33" t="n">
        <f aca="false">$B$11</f>
        <v>1195.55555555556</v>
      </c>
      <c r="E21" s="33" t="n">
        <f aca="false">C21+D21</f>
        <v>1515.55555555556</v>
      </c>
      <c r="F21" s="25" t="n">
        <f aca="false">$B$10*A21</f>
        <v>18666666.6666667</v>
      </c>
      <c r="G21" s="25" t="n">
        <f aca="false">$B$8+$B$11*A21</f>
        <v>18186666.6666667</v>
      </c>
      <c r="H21" s="26" t="n">
        <f aca="false">F21-G21</f>
        <v>480000</v>
      </c>
    </row>
    <row r="22" customFormat="false" ht="15" hidden="false" customHeight="false" outlineLevel="0" collapsed="false">
      <c r="A22" s="24" t="n">
        <v>14400</v>
      </c>
      <c r="B22" s="25" t="n">
        <f aca="false">$B$8</f>
        <v>3840000</v>
      </c>
      <c r="C22" s="33" t="n">
        <f aca="false">$B$8/A22</f>
        <v>266.666666666667</v>
      </c>
      <c r="D22" s="33" t="n">
        <f aca="false">$B$11</f>
        <v>1195.55555555556</v>
      </c>
      <c r="E22" s="33" t="n">
        <f aca="false">C22+D22</f>
        <v>1462.22222222222</v>
      </c>
      <c r="F22" s="25" t="n">
        <f aca="false">$B$10*A22</f>
        <v>22400000</v>
      </c>
      <c r="G22" s="25" t="n">
        <f aca="false">$B$8+$B$11*A22</f>
        <v>21056000</v>
      </c>
      <c r="H22" s="26" t="n">
        <f aca="false">F22-G22</f>
        <v>1344000</v>
      </c>
    </row>
    <row r="23" customFormat="false" ht="15" hidden="false" customHeight="false" outlineLevel="0" collapsed="false">
      <c r="A23" s="24" t="n">
        <v>16000</v>
      </c>
      <c r="B23" s="25" t="n">
        <f aca="false">$B$8</f>
        <v>3840000</v>
      </c>
      <c r="C23" s="33" t="n">
        <f aca="false">$B$8/A23</f>
        <v>240</v>
      </c>
      <c r="D23" s="33" t="n">
        <f aca="false">$B$11</f>
        <v>1195.55555555556</v>
      </c>
      <c r="E23" s="33" t="n">
        <f aca="false">C23+D23</f>
        <v>1435.55555555556</v>
      </c>
      <c r="F23" s="25" t="n">
        <f aca="false">$B$10*A23</f>
        <v>24888888.8888889</v>
      </c>
      <c r="G23" s="25" t="n">
        <f aca="false">$B$8+$B$11*A23</f>
        <v>22968888.8888889</v>
      </c>
      <c r="H23" s="26" t="n">
        <f aca="false">F23-G23</f>
        <v>1920000</v>
      </c>
    </row>
    <row r="24" customFormat="false" ht="15" hidden="false" customHeight="false" outlineLevel="0" collapsed="false">
      <c r="A24" s="24" t="n">
        <v>18000</v>
      </c>
      <c r="B24" s="25" t="n">
        <f aca="false">$B$8</f>
        <v>3840000</v>
      </c>
      <c r="C24" s="33" t="n">
        <f aca="false">$B$8/A24</f>
        <v>213.333333333333</v>
      </c>
      <c r="D24" s="33" t="n">
        <f aca="false">$B$11</f>
        <v>1195.55555555556</v>
      </c>
      <c r="E24" s="33" t="n">
        <f aca="false">C24+D24</f>
        <v>1408.88888888889</v>
      </c>
      <c r="F24" s="25" t="n">
        <f aca="false">$B$10*A24</f>
        <v>28000000</v>
      </c>
      <c r="G24" s="25" t="n">
        <f aca="false">$B$8+$B$11*A24</f>
        <v>25360000</v>
      </c>
      <c r="H24" s="26" t="n">
        <f aca="false">F24-G24</f>
        <v>2640000</v>
      </c>
    </row>
    <row r="26" customFormat="false" ht="15" hidden="false" customHeight="false" outlineLevel="0" collapsed="false">
      <c r="A26" s="21" t="s">
        <v>197</v>
      </c>
    </row>
    <row r="28" customFormat="false" ht="15" hidden="false" customHeight="false" outlineLevel="0" collapsed="false">
      <c r="A28" s="17" t="s">
        <v>120</v>
      </c>
    </row>
    <row ht="27" customHeight="true" r="29" customFormat="false" hidden="false" outlineLevel="0" collapsed="false">
      <c s="41" r="A29" t="s">
        <v>198</v>
      </c>
      <c r="B29" s="27" t="str">
        <f aca="false">IF(C20&gt;C24,"OK — faste per enhet faller når aktiviteten stiger. Det er hele figuren i læreboka","AVVIK: sjekk at timene i kolonne A stiger nedover")</f>
        <v>OK — faste per enhet faller når aktiviteten stiger. Det er hele figuren i læreboka</v>
      </c>
    </row>
    <row r="30" customFormat="false" ht="15" hidden="false" customHeight="false" outlineLevel="0" collapsed="false">
      <c r="A30" s="19" t="s">
        <v>199</v>
      </c>
      <c r="B30" s="27" t="str">
        <f aca="false">IF(ABS(D20-D24)&lt;0.01,"OK — variable per enhet er den samme på alle nivåene. Arket forutsetter proporsjonale variable kostnader","AVVIK: de variable per enhet endrer seg — da er de ikke proporsjonale")</f>
        <v>OK — variable per enhet er den samme på alle nivåene. Arket forutsetter proporsjonale variable kostnader</v>
      </c>
    </row>
    <row r="31" customFormat="false" ht="15" hidden="false" customHeight="false" outlineLevel="0" collapsed="false">
      <c r="A31" s="19" t="s">
        <v>200</v>
      </c>
      <c r="B31" s="27" t="str">
        <f aca="false">IF(AND(H20&lt;0,H24&gt;0),"OK — det laveste nivået gir underskudd og det høyeste overskudd. Nullpunktet ligger mellom dem","AVVIK: nullpunktet ligger utenfor tabellen — legg inn et lavere eller høyere aktivitetsnivå i kolonne A")</f>
        <v>OK — det laveste nivået gir underskudd og det høyeste overskudd. Nullpunktet ligger mellom dem</v>
      </c>
    </row>
    <row r="33" customFormat="false" ht="15" hidden="false" customHeight="false" outlineLevel="0" collapsed="false">
      <c r="A33" s="21" t="s">
        <v>201</v>
      </c>
    </row>
    <row r="34" customFormat="false" ht="15" hidden="false" customHeight="false" outlineLevel="0" collapsed="false">
      <c r="A34" s="16" t="s">
        <v>202</v>
      </c>
    </row>
    <row r="35" customFormat="false" ht="15" hidden="false" customHeight="false" outlineLevel="0" collapsed="false">
      <c r="A35" s="16" t="s">
        <v>203</v>
      </c>
    </row>
  </sheetData>
  <conditionalFormatting sqref="B29">
    <cfRule type="expression" priority="2" aboveAverage="0" equalAverage="0" bottom="0" percent="0" rank="0" text="" dxfId="0">
      <formula>LEFT(B29,5)="AVVIK"</formula>
    </cfRule>
  </conditionalFormatting>
  <conditionalFormatting sqref="B30">
    <cfRule type="expression" priority="3" aboveAverage="0" equalAverage="0" bottom="0" percent="0" rank="0" text="" dxfId="0">
      <formula>LEFT(B30,5)="AVVIK"</formula>
    </cfRule>
  </conditionalFormatting>
  <conditionalFormatting sqref="B31">
    <cfRule type="expression" priority="4"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46"/>
  </cols>
  <sheetData>
    <row r="1" customFormat="false" ht="17.35" hidden="false" customHeight="false" outlineLevel="0" collapsed="false">
      <c r="A1" s="1" t="s">
        <v>204</v>
      </c>
    </row>
    <row r="2" customFormat="false" ht="15" hidden="false" customHeight="false" outlineLevel="0" collapsed="false">
      <c r="A2" s="15" t="s">
        <v>205</v>
      </c>
    </row>
    <row r="4" customFormat="false" ht="15" hidden="false" customHeight="false" outlineLevel="0" collapsed="false">
      <c r="A4" s="17" t="s">
        <v>206</v>
      </c>
    </row>
    <row r="5" customFormat="false" ht="15" hidden="false" customHeight="false" outlineLevel="0" collapsed="false">
      <c r="A5" s="19" t="s">
        <v>207</v>
      </c>
      <c r="B5" s="23" t="n">
        <v>450000</v>
      </c>
    </row>
    <row r="6" customFormat="false" ht="15" hidden="false" customHeight="false" outlineLevel="0" collapsed="false">
      <c r="A6" s="19" t="s">
        <v>208</v>
      </c>
      <c r="B6" s="24" t="n">
        <v>5</v>
      </c>
    </row>
    <row r="7" customFormat="false" ht="15" hidden="false" customHeight="false" outlineLevel="0" collapsed="false">
      <c r="A7" s="19" t="s">
        <v>209</v>
      </c>
      <c r="B7" s="23" t="n">
        <v>100000</v>
      </c>
      <c r="F7" s="19" t="s">
        <v>210</v>
      </c>
    </row>
    <row r="8" customFormat="false" ht="15" hidden="false" customHeight="false" outlineLevel="0" collapsed="false">
      <c r="A8" s="19" t="s">
        <v>211</v>
      </c>
      <c r="B8" s="34" t="n">
        <v>0.24</v>
      </c>
      <c r="F8" s="19" t="s">
        <v>212</v>
      </c>
    </row>
    <row r="10" customFormat="false" ht="15" hidden="false" customHeight="false" outlineLevel="0" collapsed="false">
      <c r="A10" s="17" t="s">
        <v>213</v>
      </c>
    </row>
    <row r="11" customFormat="false" ht="15" hidden="false" customHeight="false" outlineLevel="0" collapsed="false">
      <c r="A11" s="19" t="s">
        <v>214</v>
      </c>
      <c r="B11" s="26" t="n">
        <f aca="false">B5/B6</f>
        <v>90000</v>
      </c>
      <c r="F11" s="19" t="s">
        <v>215</v>
      </c>
    </row>
    <row r="12" customFormat="false" ht="15" hidden="false" customHeight="false" outlineLevel="0" collapsed="false">
      <c r="A12" s="19" t="s">
        <v>216</v>
      </c>
      <c r="B12" s="26" t="n">
        <f aca="false">(B5-B7)/B6</f>
        <v>70000</v>
      </c>
      <c r="F12" s="19" t="s">
        <v>217</v>
      </c>
    </row>
    <row r="13" customFormat="false" ht="15" hidden="false" customHeight="false" outlineLevel="0" collapsed="false">
      <c r="A13" s="19" t="s">
        <v>218</v>
      </c>
      <c r="B13" s="35" t="n">
        <f aca="false">1/B6</f>
        <v>0.2</v>
      </c>
    </row>
    <row r="15" customFormat="false" ht="15" hidden="false" customHeight="false" outlineLevel="0" collapsed="false">
      <c r="A15" s="17" t="s">
        <v>219</v>
      </c>
    </row>
    <row r="16" customFormat="false" ht="27.75" hidden="false" customHeight="true" outlineLevel="0" collapsed="false">
      <c r="A16" s="22" t="s">
        <v>220</v>
      </c>
      <c r="B16" s="22" t="s">
        <v>221</v>
      </c>
      <c r="C16" s="22" t="s">
        <v>222</v>
      </c>
      <c r="D16" s="22" t="s">
        <v>223</v>
      </c>
      <c r="E16" s="22" t="s">
        <v>224</v>
      </c>
    </row>
    <row r="17" customFormat="false" ht="15" hidden="false" customHeight="false" outlineLevel="0" collapsed="false">
      <c r="A17" s="19" t="s">
        <v>225</v>
      </c>
      <c r="B17" s="25" t="n">
        <f aca="false">IF(1&lt;=$B$6,$B$11,0)</f>
        <v>90000</v>
      </c>
      <c r="C17" s="25" t="n">
        <f aca="false">MAX($B$5-$B$11*MIN(1,$B$6),0)</f>
        <v>360000</v>
      </c>
      <c r="D17" s="25" t="n">
        <f aca="false">$B$5*$B$8</f>
        <v>108000</v>
      </c>
      <c r="E17" s="25" t="n">
        <f aca="false">$B$5-D17</f>
        <v>342000</v>
      </c>
    </row>
    <row r="18" customFormat="false" ht="15" hidden="false" customHeight="false" outlineLevel="0" collapsed="false">
      <c r="A18" s="19" t="s">
        <v>226</v>
      </c>
      <c r="B18" s="25" t="n">
        <f aca="false">IF(2&lt;=$B$6,$B$11,0)</f>
        <v>90000</v>
      </c>
      <c r="C18" s="25" t="n">
        <f aca="false">MAX($B$5-$B$11*MIN(2,$B$6),0)</f>
        <v>270000</v>
      </c>
      <c r="D18" s="25" t="n">
        <f aca="false">E17*$B$8</f>
        <v>82080</v>
      </c>
      <c r="E18" s="25" t="n">
        <f aca="false">E17-D18</f>
        <v>259920</v>
      </c>
    </row>
    <row r="19" customFormat="false" ht="15" hidden="false" customHeight="false" outlineLevel="0" collapsed="false">
      <c r="A19" s="19" t="s">
        <v>227</v>
      </c>
      <c r="B19" s="25" t="n">
        <f aca="false">IF(3&lt;=$B$6,$B$11,0)</f>
        <v>90000</v>
      </c>
      <c r="C19" s="25" t="n">
        <f aca="false">MAX($B$5-$B$11*MIN(3,$B$6),0)</f>
        <v>180000</v>
      </c>
      <c r="D19" s="25" t="n">
        <f aca="false">E18*$B$8</f>
        <v>62380.8</v>
      </c>
      <c r="E19" s="25" t="n">
        <f aca="false">E18-D19</f>
        <v>197539.2</v>
      </c>
    </row>
    <row r="20" customFormat="false" ht="15" hidden="false" customHeight="false" outlineLevel="0" collapsed="false">
      <c r="A20" s="19" t="s">
        <v>228</v>
      </c>
      <c r="B20" s="25" t="n">
        <f aca="false">IF(4&lt;=$B$6,$B$11,0)</f>
        <v>90000</v>
      </c>
      <c r="C20" s="25" t="n">
        <f aca="false">MAX($B$5-$B$11*MIN(4,$B$6),0)</f>
        <v>90000</v>
      </c>
      <c r="D20" s="25" t="n">
        <f aca="false">E19*$B$8</f>
        <v>47409.408</v>
      </c>
      <c r="E20" s="25" t="n">
        <f aca="false">E19-D20</f>
        <v>150129.792</v>
      </c>
    </row>
    <row r="21" customFormat="false" ht="15" hidden="false" customHeight="false" outlineLevel="0" collapsed="false">
      <c r="A21" s="19" t="s">
        <v>229</v>
      </c>
      <c r="B21" s="25" t="n">
        <f aca="false">IF(5&lt;=$B$6,$B$11,0)</f>
        <v>90000</v>
      </c>
      <c r="C21" s="25" t="n">
        <f aca="false">MAX($B$5-$B$11*MIN(5,$B$6),0)</f>
        <v>0</v>
      </c>
      <c r="D21" s="25" t="n">
        <f aca="false">E20*$B$8</f>
        <v>36031.15008</v>
      </c>
      <c r="E21" s="25" t="n">
        <f aca="false">E20-D21</f>
        <v>114098.64192</v>
      </c>
    </row>
    <row r="22" customFormat="false" ht="15" hidden="false" customHeight="false" outlineLevel="0" collapsed="false">
      <c r="A22" s="19" t="s">
        <v>230</v>
      </c>
      <c r="B22" s="25" t="n">
        <f aca="false">IF(6&lt;=$B$6,$B$11,0)</f>
        <v>0</v>
      </c>
      <c r="C22" s="25" t="n">
        <f aca="false">MAX($B$5-$B$11*MIN(6,$B$6),0)</f>
        <v>0</v>
      </c>
      <c r="D22" s="25" t="n">
        <f aca="false">E21*$B$8</f>
        <v>27383.6740608</v>
      </c>
      <c r="E22" s="25" t="n">
        <f aca="false">E21-D22</f>
        <v>86714.9678592</v>
      </c>
    </row>
    <row r="23" customFormat="false" ht="15" hidden="false" customHeight="false" outlineLevel="0" collapsed="false">
      <c r="A23" s="19" t="s">
        <v>231</v>
      </c>
      <c r="B23" s="25" t="n">
        <f aca="false">IF(7&lt;=$B$6,$B$11,0)</f>
        <v>0</v>
      </c>
      <c r="C23" s="25" t="n">
        <f aca="false">MAX($B$5-$B$11*MIN(7,$B$6),0)</f>
        <v>0</v>
      </c>
      <c r="D23" s="25" t="n">
        <f aca="false">E22*$B$8</f>
        <v>20811.592286208</v>
      </c>
      <c r="E23" s="25" t="n">
        <f aca="false">E22-D23</f>
        <v>65903.375572992</v>
      </c>
    </row>
    <row r="25" customFormat="false" ht="15" hidden="false" customHeight="false" outlineLevel="0" collapsed="false">
      <c r="A25" s="17" t="s">
        <v>120</v>
      </c>
    </row>
    <row ht="27" customHeight="true" r="26" customFormat="false" hidden="false" outlineLevel="0" collapsed="false">
      <c s="41" r="A26" t="s">
        <v>232</v>
      </c>
      <c r="B26" s="27" t="str">
        <f aca="false">IF(D17&gt;B17,"OK — saldometoden avskriver mest i starten og minst mot slutten. Det er den store forskjellen mellom metodene","AVVIK: sjekk saldosatsen i B8 mot levetiden i B6")</f>
        <v>OK — saldometoden avskriver mest i starten og minst mot slutten. Det er den store forskjellen mellom metodene</v>
      </c>
    </row>
    <row ht="27" customHeight="true" r="27" customFormat="false" hidden="false" outlineLevel="0" collapsed="false">
      <c s="41" r="A27" t="s">
        <v>233</v>
      </c>
      <c r="B27" s="27" t="str">
        <f aca="false">IF(E23&gt;0,"OK — saldometoden bringer aldri bokført verdi helt ned i null. Den avskriver en prosent av restverdien hvert år","AVVIK: saldosatsen kan ikke være 100 prosent eller mer")</f>
        <v>OK — saldometoden bringer aldri bokført verdi helt ned i null. Den avskriver en prosent av restverdien hvert år</v>
      </c>
    </row>
    <row ht="27" customHeight="true" r="28" customFormat="false" hidden="false" outlineLevel="0" collapsed="false">
      <c s="41" r="A28" t="s">
        <v>234</v>
      </c>
      <c r="B28" s="27" t="str">
        <f aca="false">IF(B12&lt;=B11,"OK — restverdi gir lavere årlig avskrivning","AVVIK: restverdien i B7 kan ikke være negativ")</f>
        <v>OK — restverdi gir lavere årlig avskrivning</v>
      </c>
    </row>
    <row r="30" customFormat="false" ht="15" hidden="false" customHeight="false" outlineLevel="0" collapsed="false">
      <c r="A30" s="21" t="s">
        <v>235</v>
      </c>
    </row>
    <row r="31" customFormat="false" ht="15" hidden="false" customHeight="false" outlineLevel="0" collapsed="false">
      <c r="A31" s="16" t="s">
        <v>236</v>
      </c>
    </row>
  </sheetData>
  <conditionalFormatting sqref="B26">
    <cfRule type="expression" priority="2" aboveAverage="0" equalAverage="0" bottom="0" percent="0" rank="0" text="" dxfId="0">
      <formula>LEFT(B26,5)="AVVIK"</formula>
    </cfRule>
  </conditionalFormatting>
  <conditionalFormatting sqref="B27">
    <cfRule type="expression" priority="3" aboveAverage="0" equalAverage="0" bottom="0" percent="0" rank="0" text="" dxfId="0">
      <formula>LEFT(B27,5)="AVVIK"</formula>
    </cfRule>
  </conditionalFormatting>
  <conditionalFormatting sqref="B28">
    <cfRule type="expression" priority="4" aboveAverage="0" equalAverage="0" bottom="0" percent="0" rank="0" text="" dxfId="0">
      <formula>LEFT(B28,5)="AVVIK"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0"/>
  </cols>
  <sheetData>
    <row r="1" customFormat="false" ht="17.35" hidden="false" customHeight="false" outlineLevel="0" collapsed="false">
      <c r="A1" s="1" t="s">
        <v>237</v>
      </c>
    </row>
    <row r="2" customFormat="false" ht="15" hidden="false" customHeight="false" outlineLevel="0" collapsed="false">
      <c r="A2" s="15" t="s">
        <v>238</v>
      </c>
    </row>
    <row r="4" customFormat="false" ht="15" hidden="false" customHeight="false" outlineLevel="0" collapsed="false">
      <c r="A4" s="17" t="s">
        <v>239</v>
      </c>
    </row>
    <row r="5" customFormat="false" ht="15" hidden="false" customHeight="false" outlineLevel="0" collapsed="false">
      <c r="A5" s="19" t="s">
        <v>240</v>
      </c>
      <c r="B5" s="23" t="n">
        <v>40000</v>
      </c>
      <c r="D5" s="19" t="s">
        <v>241</v>
      </c>
    </row>
    <row r="7" customFormat="false" ht="15" hidden="false" customHeight="false" outlineLevel="0" collapsed="false">
      <c r="A7" s="17" t="s">
        <v>242</v>
      </c>
    </row>
    <row r="8" customFormat="false" ht="27.75" hidden="false" customHeight="true" outlineLevel="0" collapsed="false">
      <c r="A8" s="22" t="s">
        <v>243</v>
      </c>
      <c r="B8" s="22" t="s">
        <v>244</v>
      </c>
      <c r="C8" s="22" t="s">
        <v>245</v>
      </c>
    </row>
    <row r="9" customFormat="false" ht="15" hidden="false" customHeight="false" outlineLevel="0" collapsed="false">
      <c r="A9" s="19" t="s">
        <v>246</v>
      </c>
      <c r="B9" s="34" t="n">
        <v>0.137</v>
      </c>
      <c r="C9" s="25" t="n">
        <f aca="false">$B$5*B9</f>
        <v>5480</v>
      </c>
    </row>
    <row r="10" customFormat="false" ht="15" hidden="false" customHeight="false" outlineLevel="0" collapsed="false">
      <c r="A10" s="19" t="s">
        <v>247</v>
      </c>
      <c r="B10" s="34" t="n">
        <v>0.141</v>
      </c>
      <c r="C10" s="25" t="n">
        <f aca="false">$B$5*B10</f>
        <v>5640</v>
      </c>
    </row>
    <row r="11" customFormat="false" ht="15" hidden="false" customHeight="false" outlineLevel="0" collapsed="false">
      <c r="A11" s="19" t="s">
        <v>248</v>
      </c>
      <c r="B11" s="34" t="n">
        <v>0.08</v>
      </c>
      <c r="C11" s="25" t="n">
        <f aca="false">$B$5*B11</f>
        <v>3200</v>
      </c>
    </row>
    <row r="12" customFormat="false" ht="15" hidden="false" customHeight="false" outlineLevel="0" collapsed="false">
      <c r="A12" s="19" t="s">
        <v>249</v>
      </c>
      <c r="B12" s="34" t="n">
        <v>0.011</v>
      </c>
      <c r="C12" s="25" t="n">
        <f aca="false">$B$5*B12</f>
        <v>440</v>
      </c>
    </row>
    <row r="13" customFormat="false" ht="15" hidden="false" customHeight="false" outlineLevel="0" collapsed="false">
      <c r="A13" s="19" t="s">
        <v>250</v>
      </c>
      <c r="B13" s="34" t="n">
        <v>0.045</v>
      </c>
      <c r="C13" s="25" t="n">
        <f aca="false">$B$5*B13</f>
        <v>1800</v>
      </c>
    </row>
    <row r="14" customFormat="false" ht="15" hidden="false" customHeight="false" outlineLevel="0" collapsed="false">
      <c r="A14" s="19" t="s">
        <v>251</v>
      </c>
      <c r="B14" s="34" t="n">
        <v>0.004</v>
      </c>
      <c r="C14" s="25" t="n">
        <f aca="false">$B$5*B14</f>
        <v>160</v>
      </c>
    </row>
    <row r="15" customFormat="false" ht="15" hidden="false" customHeight="false" outlineLevel="0" collapsed="false">
      <c r="A15" s="19" t="s">
        <v>252</v>
      </c>
      <c r="B15" s="34" t="n">
        <v>0.05</v>
      </c>
      <c r="C15" s="25" t="n">
        <f aca="false">$B$5*B15</f>
        <v>2000</v>
      </c>
    </row>
    <row r="16" customFormat="false" ht="15" hidden="false" customHeight="false" outlineLevel="0" collapsed="false">
      <c r="A16" s="21" t="s">
        <v>253</v>
      </c>
      <c r="B16" s="36" t="n">
        <f aca="false">SUM(B9:B15)</f>
        <v>0.468</v>
      </c>
      <c r="C16" s="26" t="n">
        <f aca="false">SUM(C9:C15)</f>
        <v>18720</v>
      </c>
    </row>
    <row r="17" customFormat="false" ht="15" hidden="false" customHeight="false" outlineLevel="0" collapsed="false">
      <c r="A17" s="21" t="s">
        <v>254</v>
      </c>
      <c r="B17" s="36" t="n">
        <f aca="false">1+B16</f>
        <v>1.468</v>
      </c>
      <c r="C17" s="26" t="n">
        <f aca="false">B5+C16</f>
        <v>58720</v>
      </c>
      <c r="D17" s="19" t="s">
        <v>255</v>
      </c>
    </row>
    <row r="18" customFormat="false" ht="15" hidden="false" customHeight="false" outlineLevel="0" collapsed="false">
      <c r="A18" s="19" t="s">
        <v>256</v>
      </c>
      <c r="C18" s="37" t="n">
        <f aca="false">C17*12</f>
        <v>704640</v>
      </c>
    </row>
    <row r="20" customFormat="false" ht="15" hidden="false" customHeight="false" outlineLevel="0" collapsed="false">
      <c r="A20" s="17" t="s">
        <v>120</v>
      </c>
    </row>
    <row r="21" customFormat="false" ht="15" hidden="false" customHeight="false" outlineLevel="0" collapsed="false">
      <c r="A21" s="19" t="s">
        <v>257</v>
      </c>
      <c r="B21" s="27" t="str">
        <f aca="false">IF(ABS(B16-0.468)&lt;0.0001,"OK — de sju postene summerer til 46,8 prosent, som i Tabell 2.4","AVVIK: summen avviker fra Tabell 2.4. Det er riktig hvis du har lagt inn dine egne satser")</f>
        <v>OK — de sju postene summerer til 46,8 prosent, som i Tabell 2.4</v>
      </c>
    </row>
    <row r="22" customFormat="false" ht="15" hidden="false" customHeight="false" outlineLevel="0" collapsed="false">
      <c r="A22" s="19" t="s">
        <v>258</v>
      </c>
      <c r="B22" s="27" t="str">
        <f aca="false">IF(C17&gt;B5,"OK — en ansatt koster mer enn månedslønna. Det er derfor timeprisen aldri kan settes lik timelønna","AVVIK: påslagene kan ikke være negative")</f>
        <v>OK — en ansatt koster mer enn månedslønna. Det er derfor timeprisen aldri kan settes lik timelønna</v>
      </c>
    </row>
    <row r="24" customFormat="false" ht="15" hidden="false" customHeight="false" outlineLevel="0" collapsed="false">
      <c r="A24" s="21" t="s">
        <v>259</v>
      </c>
    </row>
    <row r="25" customFormat="false" ht="15" hidden="false" customHeight="false" outlineLevel="0" collapsed="false">
      <c r="A25" s="16" t="s">
        <v>260</v>
      </c>
    </row>
  </sheetData>
  <conditionalFormatting sqref="B21">
    <cfRule type="expression" priority="2" aboveAverage="0" equalAverage="0" bottom="0" percent="0" rank="0" text="" dxfId="0">
      <formula>LEFT(B21,5)="AVVIK"</formula>
    </cfRule>
  </conditionalFormatting>
  <conditionalFormatting sqref="B22">
    <cfRule type="expression" priority="3" aboveAverage="0" equalAverage="0" bottom="0" percent="0" rank="0" text="" dxfId="0">
      <formula>LEFT(B22,5)="AVVIK"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18"/>
    <col collapsed="false" customWidth="true" hidden="false" outlineLevel="0" max="5" min="5" style="0" width="54"/>
  </cols>
  <sheetData>
    <row r="1" customFormat="false" ht="17.35" hidden="false" customHeight="false" outlineLevel="0" collapsed="false">
      <c r="A1" s="1" t="s">
        <v>261</v>
      </c>
    </row>
    <row r="2" customFormat="false" ht="15" hidden="false" customHeight="false" outlineLevel="0" collapsed="false">
      <c r="A2" s="15" t="s">
        <v>262</v>
      </c>
    </row>
    <row r="4" customFormat="false" ht="15" hidden="false" customHeight="false" outlineLevel="0" collapsed="false">
      <c r="A4" s="17" t="s">
        <v>263</v>
      </c>
    </row>
    <row r="5" customFormat="false" ht="15" hidden="false" customHeight="false" outlineLevel="0" collapsed="false">
      <c r="A5" s="16" t="s">
        <v>264</v>
      </c>
    </row>
    <row r="7" customFormat="false" ht="27.75" hidden="false" customHeight="true" outlineLevel="0" collapsed="false">
      <c r="A7" s="22"/>
      <c r="B7" s="22" t="s">
        <v>265</v>
      </c>
      <c r="C7" s="22" t="s">
        <v>266</v>
      </c>
      <c r="D7" s="22" t="s">
        <v>267</v>
      </c>
      <c r="E7" s="22" t="s">
        <v>268</v>
      </c>
    </row>
    <row r="8" customFormat="false" ht="15" hidden="false" customHeight="false" outlineLevel="0" collapsed="false">
      <c r="A8" s="21" t="s">
        <v>269</v>
      </c>
      <c r="B8" s="24" t="n">
        <v>10000</v>
      </c>
      <c r="C8" s="32" t="n">
        <f aca="false">'Per enhet'!B5</f>
        <v>14400</v>
      </c>
      <c r="D8" s="24" t="n">
        <v>16000</v>
      </c>
      <c r="E8" s="19" t="s">
        <v>270</v>
      </c>
    </row>
    <row r="9" customFormat="false" ht="15" hidden="false" customHeight="false" outlineLevel="0" collapsed="false">
      <c r="A9" s="19" t="s">
        <v>271</v>
      </c>
      <c r="B9" s="25" t="n">
        <f aca="false">'Per enhet'!$B$8</f>
        <v>3840000</v>
      </c>
      <c r="C9" s="25" t="n">
        <f aca="false">'Per enhet'!$B$8</f>
        <v>3840000</v>
      </c>
      <c r="D9" s="25" t="n">
        <f aca="false">'Per enhet'!$B$8</f>
        <v>3840000</v>
      </c>
      <c r="E9" s="19" t="s">
        <v>272</v>
      </c>
    </row>
    <row r="10" customFormat="false" ht="15" hidden="false" customHeight="false" outlineLevel="0" collapsed="false">
      <c r="A10" s="19" t="s">
        <v>184</v>
      </c>
      <c r="B10" s="33" t="n">
        <f aca="false">B9/B8</f>
        <v>384</v>
      </c>
      <c r="C10" s="33" t="n">
        <f aca="false">C9/C8</f>
        <v>266.666666666667</v>
      </c>
      <c r="D10" s="33" t="n">
        <f aca="false">D9/D8</f>
        <v>240</v>
      </c>
      <c r="E10" s="19" t="s">
        <v>273</v>
      </c>
    </row>
    <row r="11" customFormat="false" ht="15" hidden="false" customHeight="false" outlineLevel="0" collapsed="false">
      <c r="A11" s="19" t="s">
        <v>274</v>
      </c>
      <c r="B11" s="33" t="n">
        <f aca="false">'Per enhet'!$B$11</f>
        <v>1195.55555555556</v>
      </c>
      <c r="C11" s="33" t="n">
        <f aca="false">'Per enhet'!$B$11</f>
        <v>1195.55555555556</v>
      </c>
      <c r="D11" s="33" t="n">
        <f aca="false">'Per enhet'!$B$11</f>
        <v>1195.55555555556</v>
      </c>
      <c r="E11" s="19" t="s">
        <v>275</v>
      </c>
    </row>
    <row r="12" customFormat="false" ht="15" hidden="false" customHeight="false" outlineLevel="0" collapsed="false">
      <c r="A12" s="19" t="s">
        <v>276</v>
      </c>
      <c r="B12" s="33" t="n">
        <f aca="false">'Per enhet'!$B$10</f>
        <v>1555.55555555556</v>
      </c>
      <c r="C12" s="33" t="n">
        <f aca="false">'Per enhet'!$B$10</f>
        <v>1555.55555555556</v>
      </c>
      <c r="D12" s="33" t="n">
        <f aca="false">'Per enhet'!$B$10</f>
        <v>1555.55555555556</v>
      </c>
    </row>
    <row r="13" customFormat="false" ht="15" hidden="false" customHeight="false" outlineLevel="0" collapsed="false">
      <c r="A13" s="21" t="s">
        <v>277</v>
      </c>
      <c r="B13" s="30" t="n">
        <f aca="false">B12-B11</f>
        <v>360</v>
      </c>
      <c r="C13" s="30" t="n">
        <f aca="false">C12-C11</f>
        <v>360</v>
      </c>
      <c r="D13" s="30" t="n">
        <f aca="false">D12-D11</f>
        <v>360</v>
      </c>
    </row>
    <row r="14" customFormat="false" ht="15" hidden="false" customHeight="false" outlineLevel="0" collapsed="false">
      <c r="A14" s="19" t="s">
        <v>177</v>
      </c>
      <c r="B14" s="25" t="n">
        <f aca="false">B12*B8</f>
        <v>15555555.5555556</v>
      </c>
      <c r="C14" s="25" t="n">
        <f aca="false">C12*C8</f>
        <v>22400000</v>
      </c>
      <c r="D14" s="25" t="n">
        <f aca="false">D12*D8</f>
        <v>24888888.8888889</v>
      </c>
    </row>
    <row r="15" customFormat="false" ht="15" hidden="false" customHeight="false" outlineLevel="0" collapsed="false">
      <c r="A15" s="19" t="s">
        <v>12</v>
      </c>
      <c r="B15" s="25" t="n">
        <f aca="false">B9+B11*B8</f>
        <v>15795555.5555556</v>
      </c>
      <c r="C15" s="25" t="n">
        <f aca="false">C9+C11*C8</f>
        <v>21056000</v>
      </c>
      <c r="D15" s="25" t="n">
        <f aca="false">D9+D11*D8</f>
        <v>22968888.8888889</v>
      </c>
    </row>
    <row r="16" customFormat="false" ht="15" hidden="false" customHeight="false" outlineLevel="0" collapsed="false">
      <c r="A16" s="21" t="s">
        <v>164</v>
      </c>
      <c r="B16" s="26" t="n">
        <f aca="false">B14-B15</f>
        <v>-240000</v>
      </c>
      <c r="C16" s="26" t="n">
        <f aca="false">C14-C15</f>
        <v>1344000</v>
      </c>
      <c r="D16" s="26" t="n">
        <f aca="false">D14-D15</f>
        <v>1920000</v>
      </c>
      <c r="E16" s="19" t="s">
        <v>278</v>
      </c>
    </row>
    <row r="17" customFormat="false" ht="15" hidden="false" customHeight="false" outlineLevel="0" collapsed="false">
      <c r="A17" s="19" t="s">
        <v>279</v>
      </c>
      <c r="B17" s="38" t="n">
        <f aca="false">B9/B13</f>
        <v>10666.6666666667</v>
      </c>
      <c r="C17" s="38" t="n">
        <f aca="false">C9/C13</f>
        <v>10666.6666666667</v>
      </c>
      <c r="D17" s="38" t="n">
        <f aca="false">D9/D13</f>
        <v>10666.6666666667</v>
      </c>
      <c r="E17" s="19" t="s">
        <v>280</v>
      </c>
    </row>
    <row r="19" customFormat="false" ht="15" hidden="false" customHeight="false" outlineLevel="0" collapsed="false">
      <c r="A19" s="17" t="s">
        <v>120</v>
      </c>
    </row>
    <row r="20" customFormat="false" ht="15" hidden="false" customHeight="false" outlineLevel="0" collapsed="false">
      <c r="A20" s="19" t="s">
        <v>281</v>
      </c>
      <c r="B20" s="27" t="str">
        <f aca="false">IF(AND(B10&gt;C10,C10&gt;D10),"OK — faste kostnader per time faller når aktiviteten stiger, mens dekningsbidraget per time står stille","AVVIK: sjekk at B8 er lavere enn C8 og C8 lavere enn D8")</f>
        <v>OK — faste kostnader per time faller når aktiviteten stiger, mens dekningsbidraget per time står stille</v>
      </c>
    </row>
    <row r="23" customFormat="false" ht="15" hidden="false" customHeight="false" outlineLevel="0" collapsed="false">
      <c r="A23" s="17" t="s">
        <v>282</v>
      </c>
    </row>
    <row r="24" customFormat="false" ht="15" hidden="false" customHeight="false" outlineLevel="0" collapsed="false">
      <c r="A24" s="16" t="s">
        <v>283</v>
      </c>
    </row>
    <row r="26" customFormat="false" ht="15" hidden="false" customHeight="false" outlineLevel="0" collapsed="false">
      <c r="A26" s="19" t="s">
        <v>284</v>
      </c>
      <c r="B26" s="23" t="n">
        <v>8830</v>
      </c>
    </row>
    <row r="27" customFormat="false" ht="15" hidden="false" customHeight="false" outlineLevel="0" collapsed="false">
      <c r="A27" s="19" t="s">
        <v>285</v>
      </c>
      <c r="B27" s="24" t="n">
        <v>180</v>
      </c>
    </row>
    <row r="28" customFormat="false" ht="15" hidden="false" customHeight="false" outlineLevel="0" collapsed="false">
      <c r="A28" s="19" t="s">
        <v>286</v>
      </c>
      <c r="B28" s="23" t="n">
        <v>8400</v>
      </c>
    </row>
    <row r="29" customFormat="false" ht="15" hidden="false" customHeight="false" outlineLevel="0" collapsed="false">
      <c r="A29" s="19" t="s">
        <v>287</v>
      </c>
      <c r="B29" s="24" t="n">
        <v>215</v>
      </c>
    </row>
    <row r="30" customFormat="false" ht="15" hidden="false" customHeight="false" outlineLevel="0" collapsed="false">
      <c r="A30" s="19" t="s">
        <v>288</v>
      </c>
      <c r="B30" s="23" t="n">
        <v>6500</v>
      </c>
    </row>
    <row r="31" customFormat="false" ht="15" hidden="false" customHeight="false" outlineLevel="0" collapsed="false">
      <c r="A31" s="19" t="s">
        <v>289</v>
      </c>
      <c r="B31" s="24" t="n">
        <v>2</v>
      </c>
    </row>
    <row r="32" customFormat="false" ht="15" hidden="false" customHeight="false" outlineLevel="0" collapsed="false">
      <c r="A32" s="19" t="s">
        <v>290</v>
      </c>
      <c r="B32" s="23" t="n">
        <v>640</v>
      </c>
    </row>
    <row r="33" customFormat="false" ht="15" hidden="false" customHeight="false" outlineLevel="0" collapsed="false">
      <c r="A33" s="21" t="s">
        <v>291</v>
      </c>
      <c r="B33" s="26" t="n">
        <f aca="false">B30+B31*B32</f>
        <v>7780</v>
      </c>
    </row>
    <row r="35" customFormat="false" ht="15" hidden="false" customHeight="false" outlineLevel="0" collapsed="false">
      <c r="A35" s="19" t="s">
        <v>292</v>
      </c>
      <c r="B35" s="35" t="n">
        <f aca="false">(B29-B27)/B27</f>
        <v>0.194444444444444</v>
      </c>
    </row>
    <row r="36" customFormat="false" ht="15" hidden="false" customHeight="false" outlineLevel="0" collapsed="false">
      <c r="A36" s="19" t="s">
        <v>293</v>
      </c>
      <c r="B36" s="35" t="n">
        <f aca="false">(B28-B26)/B26</f>
        <v>-0.0486976217440544</v>
      </c>
    </row>
    <row r="37" customFormat="false" ht="15" hidden="false" customHeight="false" outlineLevel="0" collapsed="false">
      <c r="A37" s="21" t="s">
        <v>294</v>
      </c>
      <c r="B37" s="39" t="n">
        <f aca="false">B35/B36</f>
        <v>-3.99289405684755</v>
      </c>
      <c r="E37" s="19" t="s">
        <v>295</v>
      </c>
    </row>
    <row r="38" customFormat="false" ht="15" hidden="false" customHeight="false" outlineLevel="0" collapsed="false">
      <c r="A38" s="19" t="s">
        <v>296</v>
      </c>
      <c r="B38" s="25" t="n">
        <f aca="false">B26*B27</f>
        <v>1589400</v>
      </c>
    </row>
    <row r="39" customFormat="false" ht="15" hidden="false" customHeight="false" outlineLevel="0" collapsed="false">
      <c r="A39" s="19" t="s">
        <v>297</v>
      </c>
      <c r="B39" s="25" t="n">
        <f aca="false">B28*B29</f>
        <v>1806000</v>
      </c>
    </row>
    <row r="40" customFormat="false" ht="15" hidden="false" customHeight="false" outlineLevel="0" collapsed="false">
      <c r="A40" s="21" t="s">
        <v>298</v>
      </c>
      <c r="B40" s="26" t="n">
        <f aca="false">B39-B38</f>
        <v>216600</v>
      </c>
      <c r="E40" s="19" t="s">
        <v>299</v>
      </c>
    </row>
    <row r="41" customFormat="false" ht="15" hidden="false" customHeight="false" outlineLevel="0" collapsed="false">
      <c r="A41" s="19" t="s">
        <v>300</v>
      </c>
      <c r="B41" s="25" t="n">
        <f aca="false">(B26-B33)*B27</f>
        <v>189000</v>
      </c>
    </row>
    <row r="42" customFormat="false" ht="15" hidden="false" customHeight="false" outlineLevel="0" collapsed="false">
      <c r="A42" s="19" t="s">
        <v>301</v>
      </c>
      <c r="B42" s="25" t="n">
        <f aca="false">(B28-B33)*B29</f>
        <v>133300</v>
      </c>
    </row>
    <row r="43" customFormat="false" ht="15" hidden="false" customHeight="false" outlineLevel="0" collapsed="false">
      <c r="A43" s="21" t="s">
        <v>302</v>
      </c>
      <c r="B43" s="26" t="n">
        <f aca="false">B42-B41</f>
        <v>-55700</v>
      </c>
      <c r="E43" s="19" t="s">
        <v>303</v>
      </c>
    </row>
    <row r="44" customFormat="false" ht="15" hidden="false" customHeight="false" outlineLevel="0" collapsed="false">
      <c r="A44" s="19" t="s">
        <v>304</v>
      </c>
      <c r="B44" s="32" t="n">
        <f aca="false">B41/(B28-B33)</f>
        <v>304.838709677419</v>
      </c>
    </row>
    <row r="45" customFormat="false" ht="15" hidden="false" customHeight="false" outlineLevel="0" collapsed="false">
      <c r="A45" s="19" t="s">
        <v>305</v>
      </c>
      <c r="B45" s="28" t="n">
        <f aca="false">B44/B27-1</f>
        <v>0.693548387096774</v>
      </c>
    </row>
    <row r="46" customFormat="false" ht="15" hidden="false" customHeight="false" outlineLevel="0" collapsed="false">
      <c r="A46" s="19" t="s">
        <v>306</v>
      </c>
      <c r="B46" s="38" t="n">
        <f aca="false">(B29-B27)*B31</f>
        <v>70</v>
      </c>
      <c r="E46" s="19" t="s">
        <v>307</v>
      </c>
    </row>
    <row r="48" customFormat="false" ht="15" hidden="false" customHeight="false" outlineLevel="0" collapsed="false">
      <c r="A48" s="17" t="s">
        <v>120</v>
      </c>
    </row>
    <row r="49" customFormat="false" ht="15" hidden="false" customHeight="false" outlineLevel="0" collapsed="false">
      <c r="A49" s="19" t="s">
        <v>308</v>
      </c>
      <c r="B49" s="27" t="str">
        <f aca="false">IF(ABS(B37)&gt;1,"OK — tallverdien er over 1, altså elastisk etterspørsel","AVVIK: tallverdien er under 1 — da er etterspørselen uelastisk, og en prisreduksjon senker også salgsinntekten")</f>
        <v>OK — tallverdien er over 1, altså elastisk etterspørsel</v>
      </c>
    </row>
    <row r="50" customFormat="false" ht="15" hidden="false" customHeight="false" outlineLevel="0" collapsed="false">
      <c r="A50" s="19" t="s">
        <v>309</v>
      </c>
      <c r="B50" s="27" t="str">
        <f aca="false">IF(AND(B40&gt;0,B43&lt;0),"AVVIK: salgsinntekten stiger mens dekningsbidraget faller — kampanjen gir mer arbeid og mindre penger","OK — salgsinntekt og dekningsbidrag trekker i samme retning")</f>
        <v>AVVIK: salgsinntekten stiger mens dekningsbidraget faller — kampanjen gir mer arbeid og mindre penger</v>
      </c>
    </row>
    <row r="51" customFormat="false" ht="15" hidden="false" customHeight="false" outlineLevel="0" collapsed="false">
      <c r="A51" s="16" t="s">
        <v>310</v>
      </c>
    </row>
    <row r="53" customFormat="false" ht="15" hidden="false" customHeight="false" outlineLevel="0" collapsed="false">
      <c r="A53" s="17" t="s">
        <v>311</v>
      </c>
    </row>
    <row r="54" customFormat="false" ht="15" hidden="false" customHeight="false" outlineLevel="0" collapsed="false">
      <c r="A54" s="16" t="s">
        <v>312</v>
      </c>
    </row>
    <row r="56" customFormat="false" ht="15" hidden="false" customHeight="false" outlineLevel="0" collapsed="false">
      <c r="A56" s="19" t="s">
        <v>269</v>
      </c>
      <c r="B56" s="24" t="n">
        <v>10000</v>
      </c>
    </row>
    <row r="57" customFormat="false" ht="15" hidden="false" customHeight="false" outlineLevel="0" collapsed="false">
      <c r="A57" s="19" t="s">
        <v>177</v>
      </c>
      <c r="B57" s="23" t="n">
        <v>15555555.5555556</v>
      </c>
    </row>
    <row r="58" customFormat="false" ht="15" hidden="false" customHeight="false" outlineLevel="0" collapsed="false">
      <c r="A58" s="19" t="s">
        <v>313</v>
      </c>
      <c r="B58" s="23" t="n">
        <v>11955555.5555556</v>
      </c>
    </row>
    <row r="59" customFormat="false" ht="15" hidden="false" customHeight="false" outlineLevel="0" collapsed="false">
      <c r="A59" s="19" t="s">
        <v>271</v>
      </c>
      <c r="B59" s="23" t="n">
        <v>3840000</v>
      </c>
    </row>
    <row r="60" customFormat="false" ht="15" hidden="false" customHeight="false" outlineLevel="0" collapsed="false">
      <c r="A60" s="19" t="s">
        <v>314</v>
      </c>
      <c r="B60" s="24" t="n">
        <v>12</v>
      </c>
    </row>
    <row r="61" customFormat="false" ht="15" hidden="false" customHeight="false" outlineLevel="0" collapsed="false">
      <c r="A61" s="19" t="s">
        <v>315</v>
      </c>
      <c r="B61" s="24" t="n">
        <v>1695</v>
      </c>
    </row>
    <row r="63" customFormat="false" ht="15" hidden="false" customHeight="false" outlineLevel="0" collapsed="false">
      <c r="A63" s="21" t="s">
        <v>161</v>
      </c>
      <c r="B63" s="26" t="n">
        <f aca="false">B57-B58</f>
        <v>3600000</v>
      </c>
    </row>
    <row r="64" customFormat="false" ht="15" hidden="false" customHeight="false" outlineLevel="0" collapsed="false">
      <c r="A64" s="19" t="s">
        <v>163</v>
      </c>
      <c r="B64" s="28" t="n">
        <f aca="false">B63/B57</f>
        <v>0.231428571428571</v>
      </c>
    </row>
    <row r="65" customFormat="false" ht="15" hidden="false" customHeight="false" outlineLevel="0" collapsed="false">
      <c r="A65" s="21" t="s">
        <v>164</v>
      </c>
      <c r="B65" s="26" t="n">
        <f aca="false">B63-B59</f>
        <v>-240000</v>
      </c>
      <c r="E65" s="19" t="s">
        <v>316</v>
      </c>
    </row>
    <row r="66" customFormat="false" ht="15" hidden="false" customHeight="false" outlineLevel="0" collapsed="false">
      <c r="A66" s="19" t="s">
        <v>317</v>
      </c>
      <c r="B66" s="29" t="n">
        <f aca="false">B63/B56</f>
        <v>360</v>
      </c>
    </row>
    <row r="67" customFormat="false" ht="15" hidden="false" customHeight="false" outlineLevel="0" collapsed="false">
      <c r="A67" s="21" t="s">
        <v>187</v>
      </c>
      <c r="B67" s="31" t="n">
        <f aca="false">B59/B66</f>
        <v>10666.6666666667</v>
      </c>
    </row>
    <row r="68" customFormat="false" ht="15" hidden="false" customHeight="false" outlineLevel="0" collapsed="false">
      <c r="A68" s="21" t="s">
        <v>318</v>
      </c>
      <c r="B68" s="31" t="n">
        <f aca="false">B67-B56</f>
        <v>666.666666666666</v>
      </c>
      <c r="E68" s="19" t="s">
        <v>319</v>
      </c>
    </row>
    <row r="69" customFormat="false" ht="15" hidden="false" customHeight="false" outlineLevel="0" collapsed="false">
      <c r="A69" s="19" t="s">
        <v>320</v>
      </c>
      <c r="B69" s="38" t="n">
        <f aca="false">B60*B61</f>
        <v>20340</v>
      </c>
    </row>
    <row r="70" customFormat="false" ht="15" hidden="false" customHeight="false" outlineLevel="0" collapsed="false">
      <c r="A70" s="21" t="s">
        <v>321</v>
      </c>
      <c r="B70" s="36" t="n">
        <f aca="false">B56/B69</f>
        <v>0.491642084562439</v>
      </c>
      <c r="E70" s="19" t="s">
        <v>322</v>
      </c>
    </row>
    <row r="71" customFormat="false" ht="15" hidden="false" customHeight="false" outlineLevel="0" collapsed="false">
      <c r="A71" s="19" t="s">
        <v>323</v>
      </c>
      <c r="B71" s="40" t="n">
        <f aca="false">B68/B69*100</f>
        <v>3.27761389708292</v>
      </c>
    </row>
    <row r="72" customFormat="false" ht="15" hidden="false" customHeight="false" outlineLevel="0" collapsed="false">
      <c r="A72" s="19" t="s">
        <v>324</v>
      </c>
      <c r="B72" s="37" t="n">
        <f aca="false">B69*0.01*B66</f>
        <v>73224</v>
      </c>
    </row>
    <row r="73" customFormat="false" ht="15" hidden="false" customHeight="false" outlineLevel="0" collapsed="false">
      <c r="A73" s="19" t="s">
        <v>325</v>
      </c>
      <c r="B73" s="37" t="n">
        <f aca="false">-B65</f>
        <v>240000</v>
      </c>
    </row>
    <row r="74" customFormat="false" ht="15" hidden="false" customHeight="false" outlineLevel="0" collapsed="false">
      <c r="A74" s="19" t="s">
        <v>326</v>
      </c>
      <c r="B74" s="35" t="n">
        <f aca="false">B73/B59</f>
        <v>0.0625</v>
      </c>
    </row>
    <row r="75" customFormat="false" ht="15" hidden="false" customHeight="false" outlineLevel="0" collapsed="false">
      <c r="A75" s="19" t="s">
        <v>327</v>
      </c>
      <c r="B75" s="28" t="n">
        <f aca="false">-B65/B57</f>
        <v>0.0154285714285714</v>
      </c>
      <c r="E75" s="19" t="s">
        <v>328</v>
      </c>
    </row>
    <row r="77" customFormat="false" ht="15" hidden="false" customHeight="false" outlineLevel="0" collapsed="false">
      <c r="A77" s="17" t="s">
        <v>120</v>
      </c>
    </row>
    <row r="78" customFormat="false" ht="15" hidden="false" customHeight="false" outlineLevel="0" collapsed="false">
      <c r="A78" s="19" t="s">
        <v>329</v>
      </c>
      <c r="B78" s="27" t="str">
        <f aca="false">IF(B56&lt;B67,"AVVIK: bedriften fakturerer færre timer enn nullpunktet krever — den taper penger med full ordrebok","OK — bedriften ligger over nullpunktet")</f>
        <v>AVVIK: bedriften fakturerer færre timer enn nullpunktet krever — den taper penger med full ordrebok</v>
      </c>
    </row>
    <row r="79" customFormat="false" ht="15" hidden="false" customHeight="false" outlineLevel="0" collapsed="false">
      <c r="A79" s="16" t="s">
        <v>330</v>
      </c>
    </row>
    <row r="80" customFormat="false" ht="15" hidden="false" customHeight="false" outlineLevel="0" collapsed="false">
      <c r="A80" s="19" t="s">
        <v>331</v>
      </c>
      <c r="B80" s="27" t="str">
        <f aca="false">IF(ABS(B68*B66+B65)&lt;10,"OK — timene som mangler ganger dekningsbidraget per time er nøyaktig underskuddet. Det er slik du viser styret hvor pengene blir av","AVVIK: regnestykket henger ikke sammen")</f>
        <v>OK — timene som mangler ganger dekningsbidraget per time er nøyaktig underskuddet. Det er slik du viser styret hvor pengene blir av</v>
      </c>
    </row>
    <row r="81" customFormat="false" ht="15" hidden="false" customHeight="false" outlineLevel="0" collapsed="false">
      <c r="A81" s="19" t="s">
        <v>332</v>
      </c>
      <c r="B81" s="27" t="str">
        <f aca="false">IF(B70&lt;0.708,"OK — bedriften fakturerer en mindre del av timene enn Nordlys gjør. Der ligger forskjellen","OK — faktureringsgraden er på Nordlys-nivå eller bedre")</f>
        <v>OK — bedriften fakturerer en mindre del av timene enn Nordlys gjør. Der ligger forskjellen</v>
      </c>
    </row>
    <row r="83" customFormat="false" ht="15" hidden="false" customHeight="false" outlineLevel="0" collapsed="false">
      <c r="A83" s="16" t="s">
        <v>333</v>
      </c>
    </row>
    <row r="84" customFormat="false" ht="15" hidden="false" customHeight="false" outlineLevel="0" collapsed="false">
      <c r="A84" s="16" t="s">
        <v>96</v>
      </c>
    </row>
  </sheetData>
  <conditionalFormatting sqref="B20">
    <cfRule type="expression" priority="2" aboveAverage="0" equalAverage="0" bottom="0" percent="0" rank="0" text="" dxfId="0">
      <formula>LEFT(B20,5)="AVVIK"</formula>
    </cfRule>
  </conditionalFormatting>
  <conditionalFormatting sqref="B49">
    <cfRule type="expression" priority="3" aboveAverage="0" equalAverage="0" bottom="0" percent="0" rank="0" text="" dxfId="0">
      <formula>LEFT(B49,5)="AVVIK"</formula>
    </cfRule>
  </conditionalFormatting>
  <conditionalFormatting sqref="B50">
    <cfRule type="expression" priority="4" aboveAverage="0" equalAverage="0" bottom="0" percent="0" rank="0" text="" dxfId="0">
      <formula>LEFT(B50,5)="AVVIK"</formula>
    </cfRule>
  </conditionalFormatting>
  <conditionalFormatting sqref="B78">
    <cfRule type="expression" priority="5" aboveAverage="0" equalAverage="0" bottom="0" percent="0" rank="0" text="" dxfId="0">
      <formula>LEFT(B78,5)="AVVIK"</formula>
    </cfRule>
  </conditionalFormatting>
  <conditionalFormatting sqref="B80">
    <cfRule type="expression" priority="6" aboveAverage="0" equalAverage="0" bottom="0" percent="0" rank="0" text="" dxfId="0">
      <formula>LEFT(B80,5)="AVVIK"</formula>
    </cfRule>
  </conditionalFormatting>
  <conditionalFormatting sqref="B81">
    <cfRule type="expression" priority="7" aboveAverage="0" equalAverage="0" bottom="0" percent="0" rank="0" text="" dxfId="0">
      <formula>LEFT(B81,5)="AVVIK"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2026-09-11T09:29:27Z</dcterms:created>
  <dc:creator>openpyxl</dc:creator>
  <dc:description/>
  <dc:language>en-US</dc:language>
  <cp:lastModifiedBy/>
  <dcterms:modified xsi:type="dcterms:W3CDTF">2026-10-07T06:02:32Z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