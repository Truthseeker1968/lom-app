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<sst xmlns="http://schemas.openxmlformats.org/spreadsheetml/2006/main" count="144" uniqueCount="118">
  <si>
    <t xml:space="preserve">Klasseoppgaver til Økonomistyring kapittel 8: Nullpunktsanalyse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</si>
  <si>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</si>
  <si>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</si>
  <si>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</si>
  <si>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</si>
  <si>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</si>
  <si>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</si>
  <si>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</si>
  <si>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</si>
  <si>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hvor mange oppdrag må serviceavdelingen ha? (Nordlys)</t>
  </si>
  <si>
    <t xml:space="preserve">A2</t>
  </si>
  <si>
    <t xml:space="preserve">Din egen el-bedrift: hvor mange timer må Fjell Elektro fakturere? (Egen el-bedrift)</t>
  </si>
  <si>
    <t xml:space="preserve">B1</t>
  </si>
  <si>
    <t xml:space="preserve">Nordlys: risikomargin, overskuddskrav og borettslagets rabatt (Nordlys)</t>
  </si>
  <si>
    <t xml:space="preserve">B2</t>
  </si>
  <si>
    <t xml:space="preserve">Din egen el-bedrift: hvor mye tåler Fjell Elektro? (Egen el-bedrift)</t>
  </si>
  <si>
    <t xml:space="preserve">Læreboka</t>
  </si>
  <si>
    <t xml:space="preserve">Hjertnes, J. og Skorpen, K.: Økonomistyring for LØM-emnet, kapittel 8.</t>
  </si>
  <si>
    <t xml:space="preserve">Appen</t>
  </si>
  <si>
    <t xml:space="preserve">Økonomistyring kap. 8 → Øv → Klasseoppgaver gir fasit per deloppgave.</t>
  </si>
  <si>
    <t xml:space="preserve">A1 · Nordlys: hvor mange oppdrag må serviceavdelingen ha?</t>
  </si>
  <si>
    <t xml:space="preserve">25 minutter · Helst alene. Sammen med sidemannen eller flere hvis du vil. Ark og blyant, appen (PC eller mobil) eller læreboka.</t>
  </si>
  <si>
    <t xml:space="preserve">Kort oppsummert: Hvert oppdrag legger igjen et dekningsbidrag: pris minus variable kostnader per oppdrag (DB = P − VEK). Nullpunktet er salget der dekningsbidragene akkurat dekker de faste kostnadene. I antall: NPM = FTK / DB per enhet. I kroner: NPO = FTK × 100 / DG, der dekningsgraden DG = DB × 100 / P. Kontroll: nullpunktet i kroner er omtrent nullpunktet i antall ganger prisen.</t>
  </si>
  <si>
    <t xml:space="preserve">Casen er lagt til 2026/2027; regnestykket er det samme uansett år. Tom Berg er driftsleder for serviceavdelingen i Nordlys, med fire montører og en lærling. To av montørene hans tar sikringsskapbytter, feilsøking og el-kontroller; regnestykket gjelder de oppdragene. Et oppdrag faktureres i snitt med 18 500 kr uten mva. Materiellet og montørtimene på akkurat den jobben koster 11 200 kr. Avdelingen bærer 2 100 000 kr i året i faste kostnader: verksted, servicebiler, forsikring og ledelse. Tom har planlagt 210 oppdrag neste år. Montørene har mye å gjøre, og Tom mener avdelingen bærer seg. Gå fram slik: dekningsbidraget per oppdrag først, så nullpunktet i antall, så dekningsgraden og nullpunktet i kroner. Til slutt: hva skal Kari si til Tom?</t>
  </si>
  <si>
    <t xml:space="preserve">Forutsetning</t>
  </si>
  <si>
    <t xml:space="preserve">Verdi</t>
  </si>
  <si>
    <t xml:space="preserve">Pris per oppdrag (P)</t>
  </si>
  <si>
    <t xml:space="preserve">18 500 kr uten mva</t>
  </si>
  <si>
    <t xml:space="preserve">Variable kostnader (VEK)</t>
  </si>
  <si>
    <t xml:space="preserve">11 200 kr per oppdrag: materiell og montørtimer på jobben</t>
  </si>
  <si>
    <t xml:space="preserve">Faste kostnader (FTK)</t>
  </si>
  <si>
    <t xml:space="preserve">2 100 000 kr i året</t>
  </si>
  <si>
    <t xml:space="preserve">Planlagt neste år</t>
  </si>
  <si>
    <t xml:space="preserve">210 oppdrag</t>
  </si>
  <si>
    <t xml:space="preserve">Kapasitet</t>
  </si>
  <si>
    <t xml:space="preserve">400 oppdrag (de 2 montørene × 1 200 timer, 6 timer per oppdrag)</t>
  </si>
  <si>
    <t xml:space="preserve">Deloppgave</t>
  </si>
  <si>
    <t xml:space="preserve">Ditt svar</t>
  </si>
  <si>
    <t xml:space="preserve">Sjekk</t>
  </si>
  <si>
    <t xml:space="preserve">a)  Dekningsbidraget per oppdrag, i kroner: prisen minus de variable kostnadene per oppdrag.</t>
  </si>
  <si>
    <t xml:space="preserve">b)  Nullpunktet i antall oppdrag: de faste kostnadene delt på dekningsbidraget per oppdrag. Et halvt oppdrag finnes ikke, så rund opp.</t>
  </si>
  <si>
    <t xml:space="preserve">c)  Nullpunktet i kroner: de faste kostnadene ganger 100, delt på dekningsgraden i prosent. Regn først dekningsgraden (DB × 100 / P) med to desimaler.</t>
  </si>
  <si>
    <t xml:space="preserve">d)  En kollega regner nullpunktet i kroner slik: 2 100 000 × 100 / 7 300 = 28 767 kr. Hva har han gjort feil?   A: Han har brukt dekningsbidraget i kroner der dekningsgraden i prosent skal stå   B: Han har glemt å runde opp til hele oppdrag   C: Han har glemt merverdiavgiften på prisen   (skriv bokstaven)</t>
  </si>
  <si>
    <t xml:space="preserve">e)  Tom mener avdelingen bærer seg, fordi montørene har mye å gjøre. Hva svarer du ham? To setninger, med tall: resultatet ved 210 oppdrag, og hva som skal til.</t>
  </si>
  <si>
    <t xml:space="preserve">Kilde: Hjertnes, J. og Skorpen, K.: Økonomistyring for LØM-emnet, kap. 8, avsnitt 8.1 og 8.2 (nullpunkt i mengde og i kroner).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</si>
  <si>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</si>
  <si>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hvor mange timer må Fjell Elektro fakturere?</t>
  </si>
  <si>
    <t xml:space="preserve">Kort oppsummert: Nullpunktsanalysen trenger en enhet. I en installasjonsbedrift kan enheten være en fakturerbar time, med snittet av materiellet som følger timen (læreboka: gjennomsnittspris og gjennomsnittlig kostnad per enhet). Hva som er fast og variabelt, avhenger av bedriften: har montørene fast månedslønn, er lønna en fast kostnad. Nullpunkt = faste kostnader / dekningsbidrag per enhet.</t>
  </si>
  <si>
    <t xml:space="preserve">Fjell Elektro AS (samme bedrift som i kapittel 9) har budsjettert 3 500 fakturerbare timer i første driftsår: to montører à 1 400 timer og eieren Mona Fjell 700 timer. Timeprisen er 890 kr uten mva. Materiellet følger timene: i snitt kjøpes det inn for 400 kr per fakturerbar time, og det selges videre med 20 % påslag, altså for 480 kr. Montørene og Mona har fast månedslønn, så lønnskostnaden på 2 671 760 kr (lønn + 46,8 % sosiale kostnader) kommer uansett hvor mange timer som faktureres. I tillegg kommer avskrivninger på 60 000 kr og andre driftskostnader på 519 000 kr. Resultatbudsjettet viser et driftsresultat på 144 240 kr. Regn ut dekningsbidraget per fakturerbar time, de faste kostnadene og nullpunktet i timer.</t>
  </si>
  <si>
    <t xml:space="preserve">Fakturerbare timer</t>
  </si>
  <si>
    <t xml:space="preserve">3 500 (2 × 1 400 + Mona 700)</t>
  </si>
  <si>
    <t xml:space="preserve">Per fakturerbar time</t>
  </si>
  <si>
    <t xml:space="preserve">Timepris 890 kr + materiell solgt for 480 kr</t>
  </si>
  <si>
    <t xml:space="preserve">Variabel kostnad</t>
  </si>
  <si>
    <t xml:space="preserve">Materiell, 400 kr innkjøp per time</t>
  </si>
  <si>
    <t xml:space="preserve">Lønnskostnad</t>
  </si>
  <si>
    <t xml:space="preserve">2 671 760 kr, fast månedslønn</t>
  </si>
  <si>
    <t xml:space="preserve">Avskrivninger</t>
  </si>
  <si>
    <t xml:space="preserve">60 000 kr</t>
  </si>
  <si>
    <t xml:space="preserve">Andre driftskostnader</t>
  </si>
  <si>
    <t xml:space="preserve">519 000 kr (leasing, lokaler, IT …)</t>
  </si>
  <si>
    <t xml:space="preserve">Driftsresultat i budsjettet</t>
  </si>
  <si>
    <t xml:space="preserve">144 240 kr</t>
  </si>
  <si>
    <t xml:space="preserve">a)  Dekningsbidraget per fakturerbar time, i kroner: det kunden betaler per time (timepris pluss materiell) minus den variable kostnaden per time (materiellinnkjøpet).</t>
  </si>
  <si>
    <t xml:space="preserve">b)  De faste kostnadene i året, i kroner: alt som kommer uansett hvor mange timer som faktureres.</t>
  </si>
  <si>
    <t xml:space="preserve">c)  Nullpunktet i fakturerbare timer: faste kostnader delt på dekningsbidraget per time. Rund opp til hele timer.</t>
  </si>
  <si>
    <t xml:space="preserve">d)  Hvilke poster er variable kostnader i Fjell Elektros nullpunktsanalyse, med fakturerbar time som enhet? Spør for hver post: blir den mindre hvis det faktureres færre timer?</t>
  </si>
  <si>
    <t xml:space="preserve">      Materiell til jobbene, 400 kr per time   (Ja eller Nei)</t>
  </si>
  <si>
    <t xml:space="preserve">      Montørlønn med sosiale kostnader   (Ja eller Nei)</t>
  </si>
  <si>
    <t xml:space="preserve">      Leasing av servicebilene   (Ja eller Nei)</t>
  </si>
  <si>
    <t xml:space="preserve">      Avskrivning på utstyr, 60 000 kr   (Ja eller Nei)</t>
  </si>
  <si>
    <t xml:space="preserve">      Påslaget på materiellet, 80 kr per time   (Ja eller Nei)</t>
  </si>
  <si>
    <t xml:space="preserve">      Renter på banklånet, 37 500 kr   (Ja eller Nei)</t>
  </si>
  <si>
    <t xml:space="preserve">e)  Mona fakturerer selv 700 timer. Hvor mange fakturerbare timer må hver av de to montørene ha for at Fjell Elektro skal gå i null, og hva betyr det for Mona som leder? To setninger.</t>
  </si>
  <si>
    <t xml:space="preserve">Kilde: Hjertnes, J. og Skorpen, K.: Økonomistyring for LØM-emnet, kap. 8, avsnitt 8.1–8.2 (gjennomsnittspris og gjennomsnittskostnad per enhet). Faste og variable kostnader: kap. 2.2.2. Resultatbudsjettet: kap. 9 (OK09 A2).</t>
  </si>
  <si>
    <t xml:space="preserve">B1 · Nordlys: risikomargin, overskuddskrav og borettslagets rabatt</t>
  </si>
  <si>
    <t xml:space="preserve">Kort oppsummert: Risikomarginen er avstanden fra planlagt salg ned til nullpunktet, i antall, kroner eller prosent: RM (%) = (STI − NPO) × 100 / STI. Er den negativ, taper avdelingen allerede penger. Skal avdelingen gi et overskudd, legges overskuddet til de faste kostnadene før du deler på DB, fordi DB totalt = FTK + resultat. En prisøkning går rett inn i dekningsbidraget.</t>
  </si>
  <si>
    <t xml:space="preserve">Casen er lagt til 2026/2027. Serviceavdelingen har nullpunkt på 288 oppdrag (5 321 918 kr med uavrundet dekningsgrad), og Tom har planlagt 210. Kari mener løsningen er å selge mer: hun vil ha avdelingen opp i 320 oppdrag til full pris, og hun krever 300 000 kr i overskudd. Hun spør også hva som skjer hvis prisen settes opp 8 %. Samtidig ligger et tilbud på Toms bord: et borettslag vil ha el-kontroll i 40 leiligheter, men krever 15 % rabatt. Uten avtalen ligger avdelingen an til 280 oppdrag til full pris. Gå fram slik: risikomarginen ved 320, så antall oppdrag for overskuddskravet med og uten prisøkning, så borettslaget.</t>
  </si>
  <si>
    <t xml:space="preserve">Pris, variable, DB per oppdrag</t>
  </si>
  <si>
    <t xml:space="preserve">18 500 · 11 200 · 7 300 kr</t>
  </si>
  <si>
    <t xml:space="preserve">2 100 000 kr</t>
  </si>
  <si>
    <t xml:space="preserve">Nullpunkt</t>
  </si>
  <si>
    <t xml:space="preserve">288 oppdrag = 5 321 918 kr</t>
  </si>
  <si>
    <t xml:space="preserve">Karis mål</t>
  </si>
  <si>
    <t xml:space="preserve">320 oppdrag til full pris</t>
  </si>
  <si>
    <t xml:space="preserve">Overskuddskrav</t>
  </si>
  <si>
    <t xml:space="preserve">300 000 kr</t>
  </si>
  <si>
    <t xml:space="preserve">Prisen opp 8 %</t>
  </si>
  <si>
    <t xml:space="preserve">19 980 kr per oppdrag</t>
  </si>
  <si>
    <t xml:space="preserve">Borettslaget</t>
  </si>
  <si>
    <t xml:space="preserve">40 oppdrag, 15 % rabatt; 280 andre er sikre</t>
  </si>
  <si>
    <t xml:space="preserve">400 oppdrag</t>
  </si>
  <si>
    <t xml:space="preserve">a)  Risikomarginen i prosent ved 320 oppdrag: (salgsinntekt − nullpunkt i kroner) × 100 / salgsinntekt. Én desimal.</t>
  </si>
  <si>
    <t xml:space="preserve">b)  Hvor mange oppdrag trengs for 300 000 kr i overskudd med uendret pris? Legg overskuddet til de faste kostnadene, del på DB og rund opp.</t>
  </si>
  <si>
    <t xml:space="preserve">c)  Samme overskuddskrav, men prisen settes opp 8 % til 19 980 kr. Hvor mange oppdrag trengs nå? Rund opp.</t>
  </si>
  <si>
    <t xml:space="preserve">d)  Med de 210 oppdragene Tom har planlagt, er risikomarginen 210 − 288 = −78 oppdrag. Hva betyr det?   A: Avdelingen har en liten margin og tåler å miste 78 oppdrag   B: Avdelingen taper allerede penger og må skaffe 78 oppdrag til for å gå i null   C: Avdelingen ligger 78 oppdrag over kapasiteten   (skriv bokstaven)</t>
  </si>
  <si>
    <t xml:space="preserve">e)  Borettslaget vil ha 40 oppdrag til 15 % rabatt, altså 15 725 kr per oppdrag og 4 525 kr i dekningsbidrag. Skal Tom ta jobben? Regn resultatet med og uten avtalen, gi tre argumenter og si hvilken opplysning du mangler for å være sikker.</t>
  </si>
  <si>
    <t xml:space="preserve">Kilde: Hjertnes, J. og Skorpen, K.: Økonomistyring for LØM-emnet, kap. 8, avsnitt 8.2 (risikomargin; DB totalt = FTK + resultat) og 8.3 (endring i pris). Rabatt og gjennomsnittspris: avsnitt 8.1. Nordlys Elektro AS er en konstruert casebedrift.</t>
  </si>
  <si>
    <t xml:space="preserve">B2 · Din egen el-bedrift: hvor mye tåler Fjell Elektro?</t>
  </si>
  <si>
    <t xml:space="preserve">Kort oppsummert: Risikomarginen kan regnes i enheter (her fakturerbare timer), i kroner og i prosent. Den sier hvor mye salget kan falle før bedriften går i null. Den er ikke det samme som driftsmarginen, som sier hvor stor del av salget som blir overskudd. En prisøkning går rett inn i dekningsbidraget og senker nullpunktet mest, men analysen sier ingenting om hvor mange kunder som sier nei.</t>
  </si>
  <si>
    <t xml:space="preserve">Fjell Elektro AS har faste kostnader på 3 250 760 kr og 970 kr i dekningsbidrag per fakturerbar time (oppgave A2). Nullpunktet er 3 352 timer, eller 4 591 280 kr i salgsinntekt. Budsjettet er 3 500 timer og 4 795 000 kr. Mona synes marginen ser tynn ut. Hun vurderer å sette timeprisen opp 5 %, fra 890 til 934,50 kr uten mva; materiellet selges som før. Kundene er boligkunder og små næringskunder i Oslo øst, og bedriften har ingen faste rammeavtaler. Regn ut risikomarginen i timer og i prosent, og nullpunktet etter en prisøkning.</t>
  </si>
  <si>
    <t xml:space="preserve">3 250 760 kr</t>
  </si>
  <si>
    <t xml:space="preserve">DB per fakturerbar time</t>
  </si>
  <si>
    <t xml:space="preserve">970 kr (1 370 − 400)</t>
  </si>
  <si>
    <t xml:space="preserve">3 352 timer = 4 591 280 kr</t>
  </si>
  <si>
    <t xml:space="preserve">Budsjett</t>
  </si>
  <si>
    <t xml:space="preserve">3 500 timer = 4 795 000 kr</t>
  </si>
  <si>
    <t xml:space="preserve">144 240 kr (driftsmargin 3,0 %)</t>
  </si>
  <si>
    <t xml:space="preserve">Timepris opp 5 %</t>
  </si>
  <si>
    <t xml:space="preserve">890 → 934,50 kr, materiellet uendret</t>
  </si>
  <si>
    <t xml:space="preserve">Kunder</t>
  </si>
  <si>
    <t xml:space="preserve">Bolig og små næringskunder, ingen rammeavtaler</t>
  </si>
  <si>
    <t xml:space="preserve">a)  Risikomarginen i fakturerbare timer: budsjetterte timer minus nullpunktet i timer.</t>
  </si>
  <si>
    <t xml:space="preserve">b)  Risikomarginen i prosent: (salgsinntekt − nullpunkt i kroner) × 100 / salgsinntekt. Én desimal.</t>
  </si>
  <si>
    <t xml:space="preserve">c)  Timeprisen settes opp 5 % til 934,50 kr; materiellet er uendret. Hva blir det nye nullpunktet i fakturerbare timer? Rund opp.</t>
  </si>
  <si>
    <t xml:space="preserve">d)  Mona sier: «Risikomarginen er 4,2 %. Da tjener vi altså 4,2 % av det vi selger.» Hva betyr 4,2 % egentlig?   A: Ja: driftsresultatet er 4,2 % av salgsinntekten   B: Nei: salget kan falle 4,2 % før bedriften går i null   C: Nei: 4,2 % av timene er ikke fakturerbare   (skriv bokstaven)</t>
  </si>
  <si>
    <t xml:space="preserve">e)  Skal Mona sette timeprisen opp 5 %? Gi en anbefaling med tall. Regn gjerne hvor mange timer hun kan miste etter prisøkningen og fortsatt tjene like mye som i dag, og si hva nullpunktsanalysen ikke ser.</t>
  </si>
  <si>
    <t xml:space="preserve">Kilde: Hjertnes, J. og Skorpen, K.: Økonomistyring for LØM-emnet, kap. 8, avsnitt 8.2 (risikomargin) og 8.3 (endring i pris). Resultatbudsjettet: kap. 9 (OK09 A2). Tallene bygger på oppgave A2.</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</si>
</sst>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4">
    <fill>
      <patternFill patternType="none"/>
    </fill>
    <fill>
      <patternFill patternType="gray125"/>
    </fill>
    <fill>
      <patternFill patternType="solid">
        <fgColor rgb="FF2F4A6D"/>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4" customFormat="false" ht="15" hidden="false" customHeight="false" outlineLevel="0" collapsed="false">
      <c r="A14" s="8" t="s">
        <v>36</v>
      </c>
      <c r="B14" s="8"/>
      <c r="C14" s="8"/>
      <c r="D14" s="8"/>
      <c r="E14" s="8"/>
      <c r="F14" s="8" t="s">
        <v>37</v>
      </c>
      <c r="G14" s="8" t="s">
        <v>38</v>
      </c>
    </row>
    <row r="15" customFormat="false" ht="18.75" hidden="false" customHeight="true" outlineLevel="0" collapsed="false">
      <c r="A15" s="7" t="s">
        <v>39</v>
      </c>
      <c r="B15" s="7"/>
      <c r="C15" s="7"/>
      <c r="D15" s="7"/>
      <c r="E15" s="7"/>
      <c r="F15" s="10"/>
      <c r="G15" s="11" t="str">
        <f aca="false">IF(F15="","",IF(ABS(F15-(7300))&lt;=0.000000001,"Riktig","Prøv igjen"))</f>
        <v/>
      </c>
    </row>
    <row r="16" customFormat="false" ht="33.75" hidden="false" customHeight="true" outlineLevel="0" collapsed="false">
      <c r="A16" s="7" t="s">
        <v>40</v>
      </c>
      <c r="B16" s="7"/>
      <c r="C16" s="7"/>
      <c r="D16" s="7"/>
      <c r="E16" s="7"/>
      <c r="F16" s="10"/>
      <c r="G16" s="11" t="str">
        <f aca="false">IF(F16="","",IF(ABS(F16-(288))&lt;=0.000000001,"Riktig","Prøv igjen"))</f>
        <v/>
      </c>
    </row>
    <row r="17" customFormat="false" ht="33.75" hidden="false" customHeight="true" outlineLevel="0" collapsed="false">
      <c r="A17" s="7" t="s">
        <v>41</v>
      </c>
      <c r="B17" s="7"/>
      <c r="C17" s="7"/>
      <c r="D17" s="7"/>
      <c r="E17" s="7"/>
      <c r="F17" s="10"/>
      <c r="G17" s="11" t="str">
        <f aca="false">IF(F17="","",IF(ABS(F17-(5321845))&lt;=100,"Riktig","Prøv igjen"))</f>
        <v/>
      </c>
    </row>
    <row r="18" customFormat="false" ht="63.75" hidden="false" customHeight="true" outlineLevel="0" collapsed="false">
      <c r="A18" s="7" t="s">
        <v>42</v>
      </c>
      <c r="B18" s="7"/>
      <c r="C18" s="7"/>
      <c r="D18" s="7"/>
      <c r="E18" s="7"/>
      <c r="F18" s="12"/>
      <c r="G18" s="11" t="str">
        <f aca="false">IF(F18="","",IF(UPPER(TRIM(F18))="A","Riktig","Prøv igjen"))</f>
        <v/>
      </c>
    </row>
    <row r="19" customFormat="false" ht="33.75" hidden="false" customHeight="true" outlineLevel="0" collapsed="false">
      <c r="A19" s="7" t="s">
        <v>43</v>
      </c>
      <c r="B19" s="7"/>
      <c r="C19" s="7"/>
      <c r="D19" s="7"/>
      <c r="E19" s="7"/>
    </row>
    <row r="20" customFormat="false" ht="15" hidden="false" customHeight="false" outlineLevel="0" collapsed="false">
      <c r="A20" s="13"/>
      <c r="B20" s="13"/>
      <c r="C20" s="13"/>
      <c r="D20" s="13"/>
      <c r="E20" s="13"/>
      <c r="F20" s="13"/>
      <c r="G20" s="13"/>
    </row>
    <row r="21" customFormat="false" ht="15" hidden="false" customHeight="false" outlineLevel="0" collapsed="false">
      <c r="A21" s="13"/>
      <c r="B21" s="13"/>
      <c r="C21" s="13"/>
      <c r="D21" s="13"/>
      <c r="E21" s="13"/>
      <c r="F21" s="13"/>
      <c r="G21" s="13"/>
    </row>
    <row r="22" customFormat="false" ht="15" hidden="false" customHeight="false" outlineLevel="0" collapsed="false">
      <c r="A22" s="13"/>
      <c r="B22" s="13"/>
      <c r="C22" s="13"/>
      <c r="D22" s="13"/>
      <c r="E22" s="13"/>
      <c r="F22" s="13"/>
      <c r="G22" s="13"/>
    </row>
    <row r="24" customFormat="false" ht="33.75" hidden="false" customHeight="true" outlineLevel="0" collapsed="false">
      <c r="A24" s="6" t="s">
        <v>44</v>
      </c>
      <c r="B24" s="6"/>
      <c r="C24" s="6"/>
      <c r="D24" s="6"/>
      <c r="E24" s="6"/>
      <c r="F24" s="6"/>
      <c r="G24" s="6"/>
    </row>
    <row r="25" customFormat="false" ht="15" hidden="false" customHeight="true" outlineLevel="0" collapsed="false">
      <c r="A25" s="6" t="s">
        <v>45</v>
      </c>
      <c r="B25" s="6"/>
      <c r="C25" s="6"/>
      <c r="D25" s="6"/>
      <c r="E25" s="6"/>
      <c r="F25" s="6"/>
      <c r="G25" s="6"/>
    </row>
  </sheetData>
  <mergeCells count="17">
    <mergeCell ref="A4:G4"/>
    <mergeCell ref="A5:G5"/>
    <mergeCell ref="B7:G7"/>
    <mergeCell ref="B8:G8"/>
    <mergeCell ref="B9:G9"/>
    <mergeCell ref="B10:G10"/>
    <mergeCell ref="B11:G11"/>
    <mergeCell ref="B12:G12"/>
    <mergeCell ref="A14:E14"/>
    <mergeCell ref="A15:E15"/>
    <mergeCell ref="A16:E16"/>
    <mergeCell ref="A17:E17"/>
    <mergeCell ref="A18:E18"/>
    <mergeCell ref="A19:E19"/>
    <mergeCell ref="A20:G22"/>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46</v>
      </c>
    </row>
    <row r="2" customFormat="false" ht="15" hidden="false" customHeight="false" outlineLevel="0" collapsed="false">
      <c r="A2" s="2" t="s">
        <v>21</v>
      </c>
    </row>
    <row r="4" customFormat="false" ht="63.75" hidden="false" customHeight="true" outlineLevel="0" collapsed="false">
      <c r="A4" s="6" t="s">
        <v>47</v>
      </c>
      <c r="B4" s="6"/>
      <c r="C4" s="6"/>
      <c r="D4" s="6"/>
      <c r="E4" s="6"/>
      <c r="F4" s="6"/>
      <c r="G4" s="6"/>
    </row>
    <row r="5" customFormat="false" ht="108.75" hidden="false" customHeight="true" outlineLevel="0" collapsed="false">
      <c r="A5" s="7" t="s">
        <v>48</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49</v>
      </c>
      <c r="B8" s="7" t="s">
        <v>50</v>
      </c>
      <c r="C8" s="7"/>
      <c r="D8" s="7"/>
      <c r="E8" s="7"/>
      <c r="F8" s="7"/>
      <c r="G8" s="7"/>
    </row>
    <row r="9" customFormat="false" ht="18.75" hidden="false" customHeight="true" outlineLevel="0" collapsed="false">
      <c r="A9" s="9" t="s">
        <v>51</v>
      </c>
      <c r="B9" s="7" t="s">
        <v>52</v>
      </c>
      <c r="C9" s="7"/>
      <c r="D9" s="7"/>
      <c r="E9" s="7"/>
      <c r="F9" s="7"/>
      <c r="G9" s="7"/>
    </row>
    <row r="10" customFormat="false" ht="18.75" hidden="false" customHeight="true" outlineLevel="0" collapsed="false">
      <c r="A10" s="9" t="s">
        <v>53</v>
      </c>
      <c r="B10" s="7" t="s">
        <v>54</v>
      </c>
      <c r="C10" s="7"/>
      <c r="D10" s="7"/>
      <c r="E10" s="7"/>
      <c r="F10" s="7"/>
      <c r="G10" s="7"/>
    </row>
    <row r="11" customFormat="false" ht="18.75" hidden="false" customHeight="true" outlineLevel="0" collapsed="false">
      <c r="A11" s="9" t="s">
        <v>55</v>
      </c>
      <c r="B11" s="7" t="s">
        <v>56</v>
      </c>
      <c r="C11" s="7"/>
      <c r="D11" s="7"/>
      <c r="E11" s="7"/>
      <c r="F11" s="7"/>
      <c r="G11" s="7"/>
    </row>
    <row r="12" customFormat="false" ht="18.75" hidden="false" customHeight="true" outlineLevel="0" collapsed="false">
      <c r="A12" s="9" t="s">
        <v>57</v>
      </c>
      <c r="B12" s="7" t="s">
        <v>58</v>
      </c>
      <c r="C12" s="7"/>
      <c r="D12" s="7"/>
      <c r="E12" s="7"/>
      <c r="F12" s="7"/>
      <c r="G12" s="7"/>
    </row>
    <row r="13" customFormat="false" ht="18.75" hidden="false" customHeight="true" outlineLevel="0" collapsed="false">
      <c r="A13" s="9" t="s">
        <v>59</v>
      </c>
      <c r="B13" s="7" t="s">
        <v>60</v>
      </c>
      <c r="C13" s="7"/>
      <c r="D13" s="7"/>
      <c r="E13" s="7"/>
      <c r="F13" s="7"/>
      <c r="G13" s="7"/>
    </row>
    <row r="14" customFormat="false" ht="18.75" hidden="false" customHeight="true" outlineLevel="0" collapsed="false">
      <c r="A14" s="9" t="s">
        <v>61</v>
      </c>
      <c r="B14" s="7" t="s">
        <v>62</v>
      </c>
      <c r="C14" s="7"/>
      <c r="D14" s="7"/>
      <c r="E14" s="7"/>
      <c r="F14" s="7"/>
      <c r="G14" s="7"/>
    </row>
    <row r="16" customFormat="false" ht="15" hidden="false" customHeight="false" outlineLevel="0" collapsed="false">
      <c r="A16" s="8" t="s">
        <v>36</v>
      </c>
      <c r="B16" s="8"/>
      <c r="C16" s="8"/>
      <c r="D16" s="8"/>
      <c r="E16" s="8"/>
      <c r="F16" s="8" t="s">
        <v>37</v>
      </c>
      <c r="G16" s="8" t="s">
        <v>38</v>
      </c>
    </row>
    <row r="17" customFormat="false" ht="33.75" hidden="false" customHeight="true" outlineLevel="0" collapsed="false">
      <c r="A17" s="7" t="s">
        <v>63</v>
      </c>
      <c r="B17" s="7"/>
      <c r="C17" s="7"/>
      <c r="D17" s="7"/>
      <c r="E17" s="7"/>
      <c r="F17" s="10"/>
      <c r="G17" s="11" t="str">
        <f aca="false">IF(F17="","",IF(ABS(F17-(970))&lt;=0.000000001,"Riktig","Prøv igjen"))</f>
        <v/>
      </c>
    </row>
    <row r="18" customFormat="false" ht="33.75" hidden="false" customHeight="true" outlineLevel="0" collapsed="false">
      <c r="A18" s="7" t="s">
        <v>64</v>
      </c>
      <c r="B18" s="7"/>
      <c r="C18" s="7"/>
      <c r="D18" s="7"/>
      <c r="E18" s="7"/>
      <c r="F18" s="10"/>
      <c r="G18" s="11" t="str">
        <f aca="false">IF(F18="","",IF(ABS(F18-(3250760))&lt;=0.000000001,"Riktig","Prøv igjen"))</f>
        <v/>
      </c>
    </row>
    <row r="19" customFormat="false" ht="33.75" hidden="false" customHeight="true" outlineLevel="0" collapsed="false">
      <c r="A19" s="7" t="s">
        <v>65</v>
      </c>
      <c r="B19" s="7"/>
      <c r="C19" s="7"/>
      <c r="D19" s="7"/>
      <c r="E19" s="7"/>
      <c r="F19" s="10"/>
      <c r="G19" s="11" t="str">
        <f aca="false">IF(F19="","",IF(ABS(F19-(3352))&lt;=0.000000001,"Riktig","Prøv igjen"))</f>
        <v/>
      </c>
    </row>
    <row r="20" customFormat="false" ht="33.75" hidden="false" customHeight="true" outlineLevel="0" collapsed="false">
      <c r="A20" s="7" t="s">
        <v>66</v>
      </c>
      <c r="B20" s="7"/>
      <c r="C20" s="7"/>
      <c r="D20" s="7"/>
      <c r="E20" s="7"/>
    </row>
    <row r="21" customFormat="false" ht="15" hidden="false" customHeight="true" outlineLevel="0" collapsed="false">
      <c r="A21" s="7" t="s">
        <v>67</v>
      </c>
      <c r="B21" s="7"/>
      <c r="C21" s="7"/>
      <c r="D21" s="7"/>
      <c r="E21" s="7"/>
      <c r="F21" s="12"/>
      <c r="G21" s="11" t="str">
        <f aca="false">IF(F21="","",IF(UPPER(TRIM(F21))="JA","Riktig","Prøv igjen"))</f>
        <v/>
      </c>
    </row>
    <row r="22" customFormat="false" ht="15" hidden="false" customHeight="true" outlineLevel="0" collapsed="false">
      <c r="A22" s="7" t="s">
        <v>68</v>
      </c>
      <c r="B22" s="7"/>
      <c r="C22" s="7"/>
      <c r="D22" s="7"/>
      <c r="E22" s="7"/>
      <c r="F22" s="12"/>
      <c r="G22" s="11" t="str">
        <f aca="false">IF(F22="","",IF(UPPER(TRIM(F22))="NEI","Riktig","Prøv igjen"))</f>
        <v/>
      </c>
    </row>
    <row r="23" customFormat="false" ht="15" hidden="false" customHeight="true" outlineLevel="0" collapsed="false">
      <c r="A23" s="7" t="s">
        <v>69</v>
      </c>
      <c r="B23" s="7"/>
      <c r="C23" s="7"/>
      <c r="D23" s="7"/>
      <c r="E23" s="7"/>
      <c r="F23" s="12"/>
      <c r="G23" s="11" t="str">
        <f aca="false">IF(F23="","",IF(UPPER(TRIM(F23))="NEI","Riktig","Prøv igjen"))</f>
        <v/>
      </c>
    </row>
    <row r="24" customFormat="false" ht="15" hidden="false" customHeight="true" outlineLevel="0" collapsed="false">
      <c r="A24" s="7" t="s">
        <v>70</v>
      </c>
      <c r="B24" s="7"/>
      <c r="C24" s="7"/>
      <c r="D24" s="7"/>
      <c r="E24" s="7"/>
      <c r="F24" s="12"/>
      <c r="G24" s="11" t="str">
        <f aca="false">IF(F24="","",IF(UPPER(TRIM(F24))="NEI","Riktig","Prøv igjen"))</f>
        <v/>
      </c>
    </row>
    <row r="25" customFormat="false" ht="15" hidden="false" customHeight="true" outlineLevel="0" collapsed="false">
      <c r="A25" s="7" t="s">
        <v>71</v>
      </c>
      <c r="B25" s="7"/>
      <c r="C25" s="7"/>
      <c r="D25" s="7"/>
      <c r="E25" s="7"/>
      <c r="F25" s="12"/>
      <c r="G25" s="11" t="str">
        <f aca="false">IF(F25="","",IF(UPPER(TRIM(F25))="NEI","Riktig","Prøv igjen"))</f>
        <v/>
      </c>
    </row>
    <row r="26" customFormat="false" ht="15" hidden="false" customHeight="true" outlineLevel="0" collapsed="false">
      <c r="A26" s="7" t="s">
        <v>72</v>
      </c>
      <c r="B26" s="7"/>
      <c r="C26" s="7"/>
      <c r="D26" s="7"/>
      <c r="E26" s="7"/>
      <c r="F26" s="12"/>
      <c r="G26" s="11" t="str">
        <f aca="false">IF(F26="","",IF(UPPER(TRIM(F26))="NEI","Riktig","Prøv igjen"))</f>
        <v/>
      </c>
    </row>
    <row r="27" customFormat="false" ht="33.75" hidden="false" customHeight="true" outlineLevel="0" collapsed="false">
      <c r="A27" s="7" t="s">
        <v>73</v>
      </c>
      <c r="B27" s="7"/>
      <c r="C27" s="7"/>
      <c r="D27" s="7"/>
      <c r="E27" s="7"/>
    </row>
    <row r="28" customFormat="false" ht="15" hidden="false" customHeight="false" outlineLevel="0" collapsed="false">
      <c r="A28" s="13"/>
      <c r="B28" s="13"/>
      <c r="C28" s="13"/>
      <c r="D28" s="13"/>
      <c r="E28" s="13"/>
      <c r="F28" s="13"/>
      <c r="G28" s="13"/>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2" customFormat="false" ht="33.75" hidden="false" customHeight="true" outlineLevel="0" collapsed="false">
      <c r="A32" s="6" t="s">
        <v>74</v>
      </c>
      <c r="B32" s="6"/>
      <c r="C32" s="6"/>
      <c r="D32" s="6"/>
      <c r="E32" s="6"/>
      <c r="F32" s="6"/>
      <c r="G32" s="6"/>
    </row>
    <row r="33" customFormat="false" ht="15" hidden="false" customHeight="true" outlineLevel="0" collapsed="false">
      <c r="A33" s="6" t="s">
        <v>45</v>
      </c>
      <c r="B33" s="6"/>
      <c r="C33" s="6"/>
      <c r="D33" s="6"/>
      <c r="E33" s="6"/>
      <c r="F33" s="6"/>
      <c r="G33" s="6"/>
    </row>
  </sheetData>
  <mergeCells count="25">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E27"/>
    <mergeCell ref="A28:G30"/>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75</v>
      </c>
    </row>
    <row r="2" customFormat="false" ht="15" hidden="false" customHeight="false" outlineLevel="0" collapsed="false">
      <c r="A2" s="2" t="s">
        <v>21</v>
      </c>
    </row>
    <row r="4" customFormat="false" ht="63.75" hidden="false" customHeight="true" outlineLevel="0" collapsed="false">
      <c r="A4" s="6" t="s">
        <v>76</v>
      </c>
      <c r="B4" s="6"/>
      <c r="C4" s="6"/>
      <c r="D4" s="6"/>
      <c r="E4" s="6"/>
      <c r="F4" s="6"/>
      <c r="G4" s="6"/>
    </row>
    <row r="5" customFormat="false" ht="93.75" hidden="false" customHeight="true" outlineLevel="0" collapsed="false">
      <c r="A5" s="7" t="s">
        <v>77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78</v>
      </c>
      <c r="B8" s="7" t="s">
        <v>79</v>
      </c>
      <c r="C8" s="7"/>
      <c r="D8" s="7"/>
      <c r="E8" s="7"/>
      <c r="F8" s="7"/>
      <c r="G8" s="7"/>
    </row>
    <row r="9" customFormat="false" ht="18.75" hidden="false" customHeight="true" outlineLevel="0" collapsed="false">
      <c r="A9" s="9" t="s">
        <v>30</v>
      </c>
      <c r="B9" s="7" t="s">
        <v>80</v>
      </c>
      <c r="C9" s="7"/>
      <c r="D9" s="7"/>
      <c r="E9" s="7"/>
      <c r="F9" s="7"/>
      <c r="G9" s="7"/>
    </row>
    <row r="10" customFormat="false" ht="18.75" hidden="false" customHeight="true" outlineLevel="0" collapsed="false">
      <c r="A10" s="9" t="s">
        <v>81</v>
      </c>
      <c r="B10" s="7" t="s">
        <v>82</v>
      </c>
      <c r="C10" s="7"/>
      <c r="D10" s="7"/>
      <c r="E10" s="7"/>
      <c r="F10" s="7"/>
      <c r="G10" s="7"/>
    </row>
    <row r="11" customFormat="false" ht="18.75" hidden="false" customHeight="true" outlineLevel="0" collapsed="false">
      <c r="A11" s="9" t="s">
        <v>83</v>
      </c>
      <c r="B11" s="7" t="s">
        <v>84</v>
      </c>
      <c r="C11" s="7"/>
      <c r="D11" s="7"/>
      <c r="E11" s="7"/>
      <c r="F11" s="7"/>
      <c r="G11" s="7"/>
    </row>
    <row r="12" customFormat="false" ht="18.75" hidden="false" customHeight="true" outlineLevel="0" collapsed="false">
      <c r="A12" s="9" t="s">
        <v>85</v>
      </c>
      <c r="B12" s="7" t="s">
        <v>86</v>
      </c>
      <c r="C12" s="7"/>
      <c r="D12" s="7"/>
      <c r="E12" s="7"/>
      <c r="F12" s="7"/>
      <c r="G12" s="7"/>
    </row>
    <row r="13" customFormat="false" ht="18.75" hidden="false" customHeight="true" outlineLevel="0" collapsed="false">
      <c r="A13" s="9" t="s">
        <v>87</v>
      </c>
      <c r="B13" s="7" t="s">
        <v>88</v>
      </c>
      <c r="C13" s="7"/>
      <c r="D13" s="7"/>
      <c r="E13" s="7"/>
      <c r="F13" s="7"/>
      <c r="G13" s="7"/>
    </row>
    <row r="14" customFormat="false" ht="18.75" hidden="false" customHeight="true" outlineLevel="0" collapsed="false">
      <c r="A14" s="9" t="s">
        <v>89</v>
      </c>
      <c r="B14" s="7" t="s">
        <v>90</v>
      </c>
      <c r="C14" s="7"/>
      <c r="D14" s="7"/>
      <c r="E14" s="7"/>
      <c r="F14" s="7"/>
      <c r="G14" s="7"/>
    </row>
    <row r="15" customFormat="false" ht="18.75" hidden="false" customHeight="true" outlineLevel="0" collapsed="false">
      <c r="A15" s="9" t="s">
        <v>34</v>
      </c>
      <c r="B15" s="7" t="s">
        <v>91</v>
      </c>
      <c r="C15" s="7"/>
      <c r="D15" s="7"/>
      <c r="E15" s="7"/>
      <c r="F15" s="7"/>
      <c r="G15" s="7"/>
    </row>
    <row r="17" customFormat="false" ht="15" hidden="false" customHeight="false" outlineLevel="0" collapsed="false">
      <c r="A17" s="8" t="s">
        <v>36</v>
      </c>
      <c r="B17" s="8"/>
      <c r="C17" s="8"/>
      <c r="D17" s="8"/>
      <c r="E17" s="8"/>
      <c r="F17" s="8" t="s">
        <v>37</v>
      </c>
      <c r="G17" s="8" t="s">
        <v>38</v>
      </c>
    </row>
    <row r="18" customFormat="false" ht="33.75" hidden="false" customHeight="true" outlineLevel="0" collapsed="false">
      <c r="A18" s="7" t="s">
        <v>92</v>
      </c>
      <c r="B18" s="7"/>
      <c r="C18" s="7"/>
      <c r="D18" s="7"/>
      <c r="E18" s="7"/>
      <c r="F18" s="10"/>
      <c r="G18" s="11" t="str">
        <f aca="false">IF(F18="","",IF(ABS(F18-(10.1))&lt;=0.1,"Riktig","Prøv igjen"))</f>
        <v/>
      </c>
    </row>
    <row r="19" customFormat="false" ht="33.75" hidden="false" customHeight="true" outlineLevel="0" collapsed="false">
      <c r="A19" s="7" t="s">
        <v>93</v>
      </c>
      <c r="B19" s="7"/>
      <c r="C19" s="7"/>
      <c r="D19" s="7"/>
      <c r="E19" s="7"/>
      <c r="F19" s="10"/>
      <c r="G19" s="11" t="str">
        <f aca="false">IF(F19="","",IF(ABS(F19-(329))&lt;=0.000000001,"Riktig","Prøv igjen"))</f>
        <v/>
      </c>
    </row>
    <row r="20" customFormat="false" ht="33.75" hidden="false" customHeight="true" outlineLevel="0" collapsed="false">
      <c r="A20" s="7" t="s">
        <v>94</v>
      </c>
      <c r="B20" s="7"/>
      <c r="C20" s="7"/>
      <c r="D20" s="7"/>
      <c r="E20" s="7"/>
      <c r="F20" s="10"/>
      <c r="G20" s="11" t="str">
        <f aca="false">IF(F20="","",IF(ABS(F20-(274))&lt;=0.000000001,"Riktig","Prøv igjen"))</f>
        <v/>
      </c>
    </row>
    <row r="21" customFormat="false" ht="63.75" hidden="false" customHeight="true" outlineLevel="0" collapsed="false">
      <c r="A21" s="7" t="s">
        <v>95</v>
      </c>
      <c r="B21" s="7"/>
      <c r="C21" s="7"/>
      <c r="D21" s="7"/>
      <c r="E21" s="7"/>
      <c r="F21" s="12"/>
      <c r="G21" s="11" t="str">
        <f aca="false">IF(F21="","",IF(UPPER(TRIM(F21))="B","Riktig","Prøv igjen"))</f>
        <v/>
      </c>
    </row>
    <row r="22" customFormat="false" ht="48.75" hidden="false" customHeight="true" outlineLevel="0" collapsed="false">
      <c r="A22" s="7" t="s">
        <v>96</v>
      </c>
      <c r="B22" s="7"/>
      <c r="C22" s="7"/>
      <c r="D22" s="7"/>
      <c r="E22" s="7"/>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5" customFormat="false" ht="15" hidden="false" customHeight="false" outlineLevel="0" collapsed="false">
      <c r="A25" s="13"/>
      <c r="B25" s="13"/>
      <c r="C25" s="13"/>
      <c r="D25" s="13"/>
      <c r="E25" s="13"/>
      <c r="F25" s="13"/>
      <c r="G25" s="13"/>
    </row>
    <row r="27" customFormat="false" ht="48.75" hidden="false" customHeight="true" outlineLevel="0" collapsed="false">
      <c r="A27" s="6" t="s">
        <v>97</v>
      </c>
      <c r="B27" s="6"/>
      <c r="C27" s="6"/>
      <c r="D27" s="6"/>
      <c r="E27" s="6"/>
      <c r="F27" s="6"/>
      <c r="G27" s="6"/>
    </row>
    <row r="28" customFormat="false" ht="15" hidden="false" customHeight="true" outlineLevel="0" collapsed="false">
      <c r="A28" s="6" t="s">
        <v>45</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98</v>
      </c>
    </row>
    <row r="2" customFormat="false" ht="15" hidden="false" customHeight="false" outlineLevel="0" collapsed="false">
      <c r="A2" s="2" t="s">
        <v>21</v>
      </c>
    </row>
    <row r="4" customFormat="false" ht="63.75" hidden="false" customHeight="true" outlineLevel="0" collapsed="false">
      <c r="A4" s="6" t="s">
        <v>99</v>
      </c>
      <c r="B4" s="6"/>
      <c r="C4" s="6"/>
      <c r="D4" s="6"/>
      <c r="E4" s="6"/>
      <c r="F4" s="6"/>
      <c r="G4" s="6"/>
    </row>
    <row r="5" customFormat="false" ht="78.75" hidden="false" customHeight="true" outlineLevel="0" collapsed="false">
      <c r="A5" s="7" t="s">
        <v>100</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30</v>
      </c>
      <c r="B8" s="7" t="s">
        <v>101</v>
      </c>
      <c r="C8" s="7"/>
      <c r="D8" s="7"/>
      <c r="E8" s="7"/>
      <c r="F8" s="7"/>
      <c r="G8" s="7"/>
    </row>
    <row r="9" customFormat="false" ht="18.75" hidden="false" customHeight="true" outlineLevel="0" collapsed="false">
      <c r="A9" s="9" t="s">
        <v>102</v>
      </c>
      <c r="B9" s="7" t="s">
        <v>103</v>
      </c>
      <c r="C9" s="7"/>
      <c r="D9" s="7"/>
      <c r="E9" s="7"/>
      <c r="F9" s="7"/>
      <c r="G9" s="7"/>
    </row>
    <row r="10" customFormat="false" ht="18.75" hidden="false" customHeight="true" outlineLevel="0" collapsed="false">
      <c r="A10" s="9" t="s">
        <v>81</v>
      </c>
      <c r="B10" s="7" t="s">
        <v>104</v>
      </c>
      <c r="C10" s="7"/>
      <c r="D10" s="7"/>
      <c r="E10" s="7"/>
      <c r="F10" s="7"/>
      <c r="G10" s="7"/>
    </row>
    <row r="11" customFormat="false" ht="18.75" hidden="false" customHeight="true" outlineLevel="0" collapsed="false">
      <c r="A11" s="9" t="s">
        <v>105</v>
      </c>
      <c r="B11" s="7" t="s">
        <v>106</v>
      </c>
      <c r="C11" s="7"/>
      <c r="D11" s="7"/>
      <c r="E11" s="7"/>
      <c r="F11" s="7"/>
      <c r="G11" s="7"/>
    </row>
    <row r="12" customFormat="false" ht="18.75" hidden="false" customHeight="true" outlineLevel="0" collapsed="false">
      <c r="A12" s="9" t="s">
        <v>61</v>
      </c>
      <c r="B12" s="7" t="s">
        <v>107</v>
      </c>
      <c r="C12" s="7"/>
      <c r="D12" s="7"/>
      <c r="E12" s="7"/>
      <c r="F12" s="7"/>
      <c r="G12" s="7"/>
    </row>
    <row r="13" customFormat="false" ht="18.75" hidden="false" customHeight="true" outlineLevel="0" collapsed="false">
      <c r="A13" s="9" t="s">
        <v>108</v>
      </c>
      <c r="B13" s="7" t="s">
        <v>109</v>
      </c>
      <c r="C13" s="7"/>
      <c r="D13" s="7"/>
      <c r="E13" s="7"/>
      <c r="F13" s="7"/>
      <c r="G13" s="7"/>
    </row>
    <row r="14" customFormat="false" ht="18.75" hidden="false" customHeight="true" outlineLevel="0" collapsed="false">
      <c r="A14" s="9" t="s">
        <v>110</v>
      </c>
      <c r="B14" s="7" t="s">
        <v>111</v>
      </c>
      <c r="C14" s="7"/>
      <c r="D14" s="7"/>
      <c r="E14" s="7"/>
      <c r="F14" s="7"/>
      <c r="G14" s="7"/>
    </row>
    <row r="16" customFormat="false" ht="15" hidden="false" customHeight="false" outlineLevel="0" collapsed="false">
      <c r="A16" s="8" t="s">
        <v>36</v>
      </c>
      <c r="B16" s="8"/>
      <c r="C16" s="8"/>
      <c r="D16" s="8"/>
      <c r="E16" s="8"/>
      <c r="F16" s="8" t="s">
        <v>37</v>
      </c>
      <c r="G16" s="8" t="s">
        <v>38</v>
      </c>
    </row>
    <row r="17" customFormat="false" ht="18.75" hidden="false" customHeight="true" outlineLevel="0" collapsed="false">
      <c r="A17" s="7" t="s">
        <v>112</v>
      </c>
      <c r="B17" s="7"/>
      <c r="C17" s="7"/>
      <c r="D17" s="7"/>
      <c r="E17" s="7"/>
      <c r="F17" s="10"/>
      <c r="G17" s="11" t="str">
        <f aca="false">IF(F17="","",IF(ABS(F17-(148))&lt;=0.000000001,"Riktig","Prøv igjen"))</f>
        <v/>
      </c>
    </row>
    <row r="18" customFormat="false" ht="33.75" hidden="false" customHeight="true" outlineLevel="0" collapsed="false">
      <c r="A18" s="7" t="s">
        <v>113</v>
      </c>
      <c r="B18" s="7"/>
      <c r="C18" s="7"/>
      <c r="D18" s="7"/>
      <c r="E18" s="7"/>
      <c r="F18" s="10"/>
      <c r="G18" s="11" t="str">
        <f aca="false">IF(F18="","",IF(ABS(F18-(4.2))&lt;=0.1,"Riktig","Prøv igjen"))</f>
        <v/>
      </c>
    </row>
    <row r="19" customFormat="false" ht="33.75" hidden="false" customHeight="true" outlineLevel="0" collapsed="false">
      <c r="A19" s="7" t="s">
        <v>114</v>
      </c>
      <c r="B19" s="7"/>
      <c r="C19" s="7"/>
      <c r="D19" s="7"/>
      <c r="E19" s="7"/>
      <c r="F19" s="10"/>
      <c r="G19" s="11" t="str">
        <f aca="false">IF(F19="","",IF(ABS(F19-(3205))&lt;=0.000000001,"Riktig","Prøv igjen"))</f>
        <v/>
      </c>
    </row>
    <row r="20" customFormat="false" ht="63.75" hidden="false" customHeight="true" outlineLevel="0" collapsed="false">
      <c r="A20" s="7" t="s">
        <v>115</v>
      </c>
      <c r="B20" s="7"/>
      <c r="C20" s="7"/>
      <c r="D20" s="7"/>
      <c r="E20" s="7"/>
      <c r="F20" s="12"/>
      <c r="G20" s="11" t="str">
        <f aca="false">IF(F20="","",IF(UPPER(TRIM(F20))="B","Riktig","Prøv igjen"))</f>
        <v/>
      </c>
    </row>
    <row r="21" customFormat="false" ht="48.75" hidden="false" customHeight="true" outlineLevel="0" collapsed="false">
      <c r="A21" s="7" t="s">
        <v>116</v>
      </c>
      <c r="B21" s="7"/>
      <c r="C21" s="7"/>
      <c r="D21" s="7"/>
      <c r="E21" s="7"/>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6" customFormat="false" ht="33.75" hidden="false" customHeight="true" outlineLevel="0" collapsed="false">
      <c r="A26" s="6" t="s">
        <v>117</v>
      </c>
      <c r="B26" s="6"/>
      <c r="C26" s="6"/>
      <c r="D26" s="6"/>
      <c r="E26" s="6"/>
      <c r="F26" s="6"/>
      <c r="G26" s="6"/>
    </row>
    <row r="27" customFormat="false" ht="15" hidden="false" customHeight="true" outlineLevel="0" collapsed="false">
      <c r="A27" s="6" t="s">
        <v>45</v>
      </c>
      <c r="B27" s="6"/>
      <c r="C27" s="6"/>
      <c r="D27" s="6"/>
      <c r="E27" s="6"/>
      <c r="F27" s="6"/>
      <c r="G27" s="6"/>
    </row>
  </sheetData>
  <mergeCells count="19">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2026-10-11T06:40:56Z</dcterms:created>
  <dc:creator>openpyxl</dc:creator>
  <dc:description/>
  <dc:language>en-US</dc:language>
  <cp:lastModifiedBy/>
  <dcterms:modified xsi:type="dcterms:W3CDTF">2026-10-11T06:40:56Z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