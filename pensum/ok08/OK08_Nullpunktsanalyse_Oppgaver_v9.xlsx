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 sheetId="1" state="visible" r:id="rId1"/>
    <sheet xmlns:r="http://schemas.openxmlformats.org/officeDocument/2006/relationships" name="1A" sheetId="2" state="visible" r:id="rId2"/>
    <sheet xmlns:r="http://schemas.openxmlformats.org/officeDocument/2006/relationships" name="1B" sheetId="3" state="visible" r:id="rId3"/>
    <sheet xmlns:r="http://schemas.openxmlformats.org/officeDocument/2006/relationships" name="1C" sheetId="4" state="visible" r:id="rId4"/>
    <sheet xmlns:r="http://schemas.openxmlformats.org/officeDocument/2006/relationships" name="Fasit"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mbria"/>
      <b val="1"/>
      <color rgb="002F4A6D"/>
      <sz val="16"/>
    </font>
    <font>
      <name val="Calibri"/>
      <sz val="11"/>
    </font>
    <font>
      <name val="Calibri"/>
      <b val="1"/>
      <sz val="11"/>
    </font>
    <font>
      <name val="Calibri"/>
      <i val="1"/>
      <color rgb="00595959"/>
      <sz val="10"/>
    </font>
    <font>
      <name val="Calibri"/>
      <b val="1"/>
      <color rgb="00FFFFFF"/>
      <sz val="11"/>
    </font>
    <font>
      <name val="Calibri"/>
      <family val="2"/>
      <b val="1"/>
      <color theme="1"/>
      <sz val="11"/>
      <scheme val="minor"/>
    </font>
    <font>
      <name val="Calibri"/>
      <sz val="10.5"/>
    </font>
    <font>
      <name val="Calibri"/>
      <i val="1"/>
      <color rgb="002F4A6D"/>
      <sz val="10.5"/>
    </font>
  </fonts>
  <fills count="6">
    <fill>
      <patternFill/>
    </fill>
    <fill>
      <patternFill patternType="gray125"/>
    </fill>
    <fill>
      <patternFill patternType="solid">
        <fgColor rgb="00DDEBF7"/>
      </patternFill>
    </fill>
    <fill>
      <patternFill patternType="solid">
        <fgColor rgb="002F4A6D"/>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horizontal="left" vertical="center"/>
    </xf>
    <xf numFmtId="0" fontId="5" fillId="3" borderId="1" applyAlignment="1" pivotButton="0" quotePrefix="0" xfId="0">
      <alignment horizontal="right" vertical="center"/>
    </xf>
    <xf numFmtId="0" fontId="0" fillId="0" borderId="1" pivotButton="0" quotePrefix="0" xfId="0"/>
    <xf numFmtId="3" fontId="0" fillId="0" borderId="1" applyAlignment="1" pivotButton="0" quotePrefix="0" xfId="0">
      <alignment horizontal="right" vertical="center"/>
    </xf>
    <xf numFmtId="3" fontId="0" fillId="4" borderId="1" applyAlignment="1" pivotButton="0" quotePrefix="0" xfId="0">
      <alignment horizontal="right" vertical="center"/>
    </xf>
    <xf numFmtId="0" fontId="6" fillId="0" borderId="0" pivotButton="0" quotePrefix="0" xfId="0"/>
    <xf numFmtId="0" fontId="0" fillId="0" borderId="0" applyAlignment="1" pivotButton="0" quotePrefix="0" xfId="0">
      <alignment vertical="top" wrapText="1"/>
    </xf>
    <xf numFmtId="164" fontId="0" fillId="4" borderId="1" applyAlignment="1" pivotButton="0" quotePrefix="0" xfId="0">
      <alignment horizontal="right" vertical="center"/>
    </xf>
    <xf numFmtId="0" fontId="4" fillId="0" borderId="0" pivotButton="0" quotePrefix="0" xfId="0"/>
    <xf numFmtId="0" fontId="7" fillId="0" borderId="0" applyAlignment="1" pivotButton="0" quotePrefix="0" xfId="0">
      <alignment vertical="top" wrapText="1"/>
    </xf>
    <xf numFmtId="0" fontId="0" fillId="4" borderId="1" pivotButton="0" quotePrefix="0" xfId="0"/>
    <xf numFmtId="0" fontId="3" fillId="0" borderId="0" pivotButton="0" quotePrefix="0" xfId="0"/>
    <xf numFmtId="0" fontId="0" fillId="2" borderId="0" applyAlignment="1" pivotButton="0" quotePrefix="0" xfId="0">
      <alignment vertical="top" wrapText="1"/>
    </xf>
    <xf numFmtId="0" fontId="0" fillId="4" borderId="1" applyAlignment="1" pivotButton="0" quotePrefix="0" xfId="0">
      <alignment vertical="top" wrapText="1"/>
    </xf>
    <xf numFmtId="0" fontId="8" fillId="0" borderId="0" applyAlignment="1" pivotButton="0" quotePrefix="0" xfId="0">
      <alignment vertical="top" wrapText="1"/>
    </xf>
    <xf numFmtId="4" fontId="0" fillId="0" borderId="1" applyAlignment="1" pivotButton="0" quotePrefix="0" xfId="0">
      <alignment horizontal="right" vertical="center"/>
    </xf>
    <xf numFmtId="3" fontId="0" fillId="5" borderId="1" applyAlignment="1" pivotButton="0" quotePrefix="0" xfId="0">
      <alignment horizontal="right" vertical="center"/>
    </xf>
    <xf numFmtId="4" fontId="0" fillId="5" borderId="1" applyAlignment="1" pivotButton="0" quotePrefix="0" xfId="0">
      <alignment horizontal="right" vertical="center"/>
    </xf>
    <xf numFmtId="0" fontId="1" fillId="0" borderId="0" pivotButton="0" quotePrefix="0" xfId="0"/>
    <xf numFmtId="0" fontId="5" fillId="3" borderId="1" pivotButton="0" quotePrefix="0" xfId="0"/>
    <xf numFmtId="0" fontId="0" fillId="0" borderId="1" applyAlignment="1" pivotButton="0" quotePrefix="0" xfId="0">
      <alignment vertical="top" wrapText="1"/>
    </xf>
  </cellXfs>
  <cellStyles count="1">
    <cellStyle name="Normal" xfId="0" builtinId="0" hidden="0"/>
  </cellStyles>
  <dxfs count="3">
    <dxf>
      <fill>
        <patternFill patternType="solid">
          <fgColor rgb="00E2EFDA"/>
        </patternFill>
      </fill>
    </dxf>
    <dxf>
      <fill>
        <patternFill patternType="solid">
          <fgColor rgb="00F8CBAD"/>
        </patternFill>
      </fill>
    </dxf>
    <dxf>
      <fill>
        <patternFill patternType="solid">
          <f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B18"/>
  <sheetViews>
    <sheetView workbookViewId="0">
      <selection activeCell="A1" sqref="A1"/>
    </sheetView>
  </sheetViews>
  <sheetFormatPr baseColWidth="8" defaultRowHeight="15"/>
  <cols>
    <col width="3" customWidth="1" min="1" max="1"/>
    <col width="110" customWidth="1" min="2" max="2"/>
  </cols>
  <sheetData>
    <row r="2" ht="26" customHeight="1">
      <c r="B2" s="1" t="inlineStr">
        <is>
          <t>Nullpunktsanalyse: oppgaver til kapittel 8</t>
        </is>
      </c>
    </row>
    <row r="3" ht="30" customHeight="1">
      <c r="B3" s="2" t="inlineStr">
        <is>
          <t>Økonomistyring for LØM-emnet (Hjertnes og Skorpen), kapittel 8. Versjon 9, november 2026. Nordlys Elektro AS og Fjell Elektro AS er konstruerte casebedrifter; tallene er faktaarkene.</t>
        </is>
      </c>
    </row>
    <row r="5" ht="15" customHeight="1">
      <c r="B5" s="3" t="inlineStr">
        <is>
          <t>Slik bruker du arbeidsboka</t>
        </is>
      </c>
    </row>
    <row r="6" ht="45" customHeight="1">
      <c r="B6" s="2" t="inlineStr">
        <is>
          <t>Hver fane er én oppgave. Øverst på fanen står situasjonen, så begrepene og tallene du trenger, så oppgaven trinn for trinn, og til slutt svarfeltene. Alt du trenger for å løse oppgaven, står på fanen. Du kan jobbe alene, i par eller i gruppe; det velger du selv.</t>
        </is>
      </c>
    </row>
    <row r="7" ht="30" customHeight="1">
      <c r="B7" s="2" t="inlineStr">
        <is>
          <t>Fargene forteller hva du skal gjøre. Gule celler fyller du inn selv. Hvite celler er tall som er gitt. Grønne celler regner arket ut for deg, og dem skal du ikke endre.</t>
        </is>
      </c>
    </row>
    <row r="8" ht="45" customHeight="1">
      <c r="B8" s="4" t="inlineStr">
        <is>
          <t>Du trenger ingen kalkulator. Regn i Excel: skriv likhetstegn og regnestykket rett i den gule cellen, for eksempel =2100000/7300, og trykk Enter. Arket godtar svaret med eller uten desimaler, og du trenger ikke runde av selv. Prosent kan skrives som 25,9 %, 0,259 eller 25,9.</t>
        </is>
      </c>
    </row>
    <row r="9" ht="45" customHeight="1">
      <c r="B9" s="2" t="inlineStr">
        <is>
          <t>Ved siden av hvert svarfelt står en sjekk. Grønn betyr riktig, og da står regnestykket der, så du ser hvorfor. Rød betyr ikke riktig ennå: sjekken sier om svaret er for høyt eller for lavt, hva som sannsynligvis gikk galt, og hva du bør se på. Den gir ikke svaret.</t>
        </is>
      </c>
    </row>
    <row r="10" ht="30" customHeight="1">
      <c r="B10" s="2" t="inlineStr">
        <is>
          <t>Står du helt fast, skriver du JA i cellen «Står du fast?» på fanen. Da kommer regnestykket fram med ord. Fasiten med alle tall og utregninger ligger på den siste fanen, «Fasit». Prøv oppgaven selv før du ser der.</t>
        </is>
      </c>
    </row>
    <row r="12" ht="15" customHeight="1">
      <c r="B12" s="3" t="inlineStr">
        <is>
          <t>Fanene</t>
        </is>
      </c>
    </row>
    <row r="13" ht="15" customHeight="1">
      <c r="B13" s="2" t="inlineStr">
        <is>
          <t>1A  Nordlys 2026: nullpunktet i kroner og i timer</t>
        </is>
      </c>
    </row>
    <row r="14" ht="15" customHeight="1">
      <c r="B14" s="2" t="inlineStr">
        <is>
          <t>1B  Sikkerhetsmarginen, og serviceavdelingen som føler at den har mye å gjøre</t>
        </is>
      </c>
    </row>
    <row r="15" ht="15" customHeight="1">
      <c r="B15" s="2" t="inlineStr">
        <is>
          <t>1C  Fire tiltak før et stille år: hva skjer med nullpunktet?</t>
        </is>
      </c>
    </row>
    <row r="16" ht="15" customHeight="1">
      <c r="B16" s="2" t="inlineStr">
        <is>
          <t>Fasit  Alle svar med regnestykket skrevet ut</t>
        </is>
      </c>
    </row>
    <row r="18" ht="30" customHeight="1">
      <c r="B18" s="5" t="inlineStr">
        <is>
          <t>Dette er øvingsmateriell til repetisjons- og øvingsstøtte. I besvarelser, caser, prosjektoppgaver og eksamen gjelder lærebøkene og oppgitte primærkilder.</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Z33"/>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Han har brukt dekningsbidraget i kroner der dekningsgraden i prosent skal stå</t>
        </is>
      </c>
    </row>
    <row r="2" ht="26" customHeight="1">
      <c r="B2" s="1" t="inlineStr">
        <is>
          <t>Oppgave 1A: Nordlys 2026: nullpunktet i kroner og i timer</t>
        </is>
      </c>
      <c r="Z2" t="inlineStr">
        <is>
          <t>Han har glemt å runde opp til hele timer</t>
        </is>
      </c>
    </row>
    <row r="3" ht="15" customHeight="1">
      <c r="B3" s="5" t="inlineStr">
        <is>
          <t>Alene, i par eller i gruppe, slik du vil.</t>
        </is>
      </c>
      <c r="Z3" t="inlineStr">
        <is>
          <t>Han har glemt merverdiavgiften på salgsinntekten</t>
        </is>
      </c>
    </row>
    <row r="4" ht="16" customHeight="1">
      <c r="B4" s="3" t="inlineStr">
        <is>
          <t>Situasjonen</t>
        </is>
      </c>
    </row>
    <row r="5" ht="60" customHeight="1">
      <c r="B5" s="2" t="inlineStr">
        <is>
          <t>Kari Nordlund er daglig leder i Nordlys Elektro. Banken skal fornye kassekreditten og ber om budsjett for 2027, og et nybyggprosjekt som ikke er kontraktsfestet, kan bli skjøvet til 2028. Kari vil vite hvor mye Nordlys må selge for å gå i null, og ber regnskapsføreren dele regnskapet i faste og variable kostnader. Regnskapet for 2026 er delt i faste og variable kostnader, slik kapittel 2 gjør det.</t>
        </is>
      </c>
    </row>
    <row r="6" ht="16" customHeight="1">
      <c r="B6" s="3" t="inlineStr">
        <is>
          <t>Begrepene du trenger</t>
        </is>
      </c>
    </row>
    <row r="7" ht="60" customHeight="1">
      <c r="B7" s="2" t="inlineStr">
        <is>
          <t>Dekningsbidrag = salgsinntekt − variable kostnader. Dekningsgrad = dekningsbidrag / salgsinntekt: øre igjen av hver krone etter de variable. Nullpunktomsetning = faste kostnader / dekningsgrad. Dekningsbidrag per time = dekningsbidrag / fakturerte timer. Nullpunkt i timer = faste kostnader / dekningsbidrag per time. I nullpunktet er dekningsbidraget akkurat lik de faste kostnadene.</t>
        </is>
      </c>
    </row>
    <row r="8"/>
    <row r="9" ht="16" customHeight="1">
      <c r="B9" s="3" t="inlineStr">
        <is>
          <t>Tallene, i kroner</t>
        </is>
      </c>
    </row>
    <row r="10" ht="30" customHeight="1">
      <c r="B10" s="2" t="inlineStr">
        <is>
          <t>Nordlys' resultatregnskap for 2026, delt i faste og variable kostnader slik kapittel 2 gjør det. Dekningsbidraget regner du selv.</t>
        </is>
      </c>
    </row>
    <row r="11">
      <c r="B11" s="6" t="inlineStr">
        <is>
          <t>Nordlys 2026</t>
        </is>
      </c>
      <c r="C11" s="7" t="inlineStr">
        <is>
          <t>Kroner</t>
        </is>
      </c>
    </row>
    <row r="12">
      <c r="B12" s="8" t="inlineStr">
        <is>
          <t>Salgsinntekt (14 400 fakturerte timer, timepris 890 kr pluss materiell)</t>
        </is>
      </c>
      <c r="C12" s="9" t="n">
        <v>22400000</v>
      </c>
    </row>
    <row r="13">
      <c r="B13" s="8" t="inlineStr">
        <is>
          <t>Variable kostnader (materiell, montørlønn, innleie, kjøring)</t>
        </is>
      </c>
      <c r="C13" s="9" t="n">
        <v>17216000</v>
      </c>
    </row>
    <row r="14">
      <c r="B14" s="8" t="inlineStr">
        <is>
          <t>Dekningsbidrag totalt (salgsinntekt − variable kostnader)</t>
        </is>
      </c>
      <c r="C14" s="10" t="n"/>
    </row>
    <row r="15">
      <c r="B15" s="8" t="inlineStr">
        <is>
          <t>Faste kostnader (administrasjon, avskrivninger, husleie, forsikring)</t>
        </is>
      </c>
      <c r="C15" s="9" t="n">
        <v>3840000</v>
      </c>
    </row>
    <row r="16">
      <c r="B16" s="8" t="inlineStr">
        <is>
          <t>Fakturerte timer</t>
        </is>
      </c>
      <c r="C16" s="9" t="n">
        <v>14400</v>
      </c>
    </row>
    <row r="17"/>
    <row r="18" ht="16" customHeight="1">
      <c r="B18" s="3" t="inlineStr">
        <is>
          <t>Oppgaven, trinn for trinn</t>
        </is>
      </c>
    </row>
    <row r="19" ht="75" customHeight="1">
      <c r="B19" s="2" t="inlineStr">
        <is>
          <t>1. Regn dekningsbidraget totalt i den gule cellen i tabellen (a): salgsinntekt minus variable kostnader.
2. Regn dekningsgraden (b): dekningsbidrag delt på salgsinntekt. Cellen er prosentformatert, så skriv for eksempel 25 % eller 0,25.
3. Regn nullpunktomsetningen (c): faste kostnader delt på dekningsgraden som desimaltall. Svar i hele kroner.
4. Regn dekningsbidraget per fakturert time (d) og nullpunktet i timer (e). Rund opp til hele timer.
5. Velg i f hva kollegaen gjorde feil.</t>
        </is>
      </c>
    </row>
    <row r="20"/>
    <row r="21">
      <c r="B21" s="11" t="inlineStr">
        <is>
          <t>Sjekk av tabellen</t>
        </is>
      </c>
    </row>
    <row r="22" ht="36" customHeight="1">
      <c r="B22" t="inlineStr">
        <is>
          <t>a) Dekningsbidrag totalt (den gule cellen i tabellen):</t>
        </is>
      </c>
      <c r="C22" s="12">
        <f>IF(C14="","Skriv svaret i den gule cellen.",IF(ISTEXT(C14),"Skriv bare tallet, uten mellomrom, enhet eller tekst. Enheten står ved siden av cellen. Du kan også skrive regnestykket med likhetstegn foran, for eksempel =2100000/7300.",IF(ABS(C14-(C12-C13))&lt;=0.99,"Riktig. 22 400 000 − 17 216 000 = 5 184 000 kr.",IF(ABS(C14-(C12-C13-C15))&lt;=0.99,"Du har trukket fra de faste kostnadene også. Det er driftsresultatet. Dekningsbidraget er salgsinntekt minus bare de variable.",IF(ABS(C14-(C12-C15))&lt;=0.99,"Du har trukket fra de faste kostnadene. Det er de variable som skal trekkes fra.",IF(IFERROR(AND(C14&lt;&gt;0,(C12-C13)&lt;&gt;0,ROUND(LOG10(ABS(C14/(C12-C13))),0)&lt;&gt;0,ABS(LOG10(ABS(C14/(C12-C13)))-ROUND(LOG10(ABS(C14/(C12-C13))),0))&lt;0.004),FALSE),"Sifrene stemmer, men antall nuller eller plasseringen av kommaet er feil. Sjekk om du har regnet i kroner, tusen kroner eller prosent.",IF(ABS(C14-(C12-C13))&lt;=MAX(0.99,0.01*ABS(C12-C13)),"Riktig. 22 400 000 − 17 216 000 = 5 184 000 kr. Svaret ditt ligger litt fra arkets tall fordi du har rundet av underveis. Det er helt greit.",IF(C14&gt;(C12-C13),"Ikke riktig ennå. Svaret ditt er for høyt. Tips: Dekningsbidrag = salgsinntekt − variable kostnader.","Ikke riktig ennå. Svaret ditt er for lavt. Tips: Dekningsbidrag = salgsinntekt − variable kostnader."))))))))</f>
        <v/>
      </c>
    </row>
    <row r="23"/>
    <row r="24" ht="48" customHeight="1">
      <c r="B24" s="12" t="inlineStr">
        <is>
          <t>b) Dekningsgrad: dekningsbidrag delt på salgsinntekt (prosent)</t>
        </is>
      </c>
      <c r="C24" s="13" t="n"/>
      <c r="D24" s="14" t="inlineStr">
        <is>
          <t>av salget</t>
        </is>
      </c>
      <c r="G24" s="15">
        <f>IF(C24="","Skriv svaret i den gule cellen.",IF(ISTEXT(C24),"Skriv bare tallet, uten mellomrom, enhet eller tekst. Enheten står ved siden av cellen. Du kan også skrive regnestykket med likhetstegn foran, for eksempel =2100000/7300.",IF(ABS(C24-((C12-C13)/C12))&lt;=0.0015,"Riktig. 5 184 000 × 100 / 22 400 000 = 23,1 %.",IF(ABS(C24/100-((C12-C13)/C12))&lt;=0.0015,"Riktig. 5 184 000 × 100 / 22 400 000 = 23,1 %.",IF(ABS(C24-(C15/C12))&lt;=0.0015,"Du har delt de faste kostnadene på salgsinntekten. Dekningsgraden er dekningsbidraget delt på salgsinntekten.",IF(ABS(C24-((C12-C13)/(C13+C15)))&lt;=0.0015,"Du har delt på kostnadene. Dekningsgraden er dekningsbidraget delt på salgsinntekten.",IF(IFERROR(AND(C24&lt;&gt;0,((C12-C13)/C12)&lt;&gt;0,ROUND(LOG10(ABS(C24/((C12-C13)/C12))),0)&lt;&gt;0,ABS(LOG10(ABS(C24/((C12-C13)/C12)))-ROUND(LOG10(ABS(C24/((C12-C13)/C12))),0))&lt;0.004),FALSE),"Sifrene stemmer, men antall nuller eller plasseringen av kommaet er feil. Sjekk om du har regnet i kroner, tusen kroner eller prosent.",IF(ABS(C24-((C12-C13)/C12))&lt;=MAX(0.0015,0.01*ABS((C12-C13)/C12)),"Riktig. 5 184 000 × 100 / 22 400 000 = 23,1 %. Svaret ditt ligger litt fra arkets tall fordi du har rundet av underveis. Det er helt greit.",IF(C24&gt;((C12-C13)/C12),"Ikke riktig ennå. Svaret ditt er for høyt. Tips: Dekningsgrad = dekningsbidrag / salgsinntekt.","Ikke riktig ennå. Svaret ditt er for lavt. Tips: Dekningsgrad = dekningsbidrag / salgsinntekt.")))))))))</f>
        <v/>
      </c>
    </row>
    <row r="25" ht="48" customHeight="1">
      <c r="B25" s="12" t="inlineStr">
        <is>
          <t>c) Nullpunktomsetning: faste kostnader delt på dekningsgraden (hele kroner)</t>
        </is>
      </c>
      <c r="C25" s="10" t="n"/>
      <c r="D25" s="14" t="inlineStr">
        <is>
          <t>kr</t>
        </is>
      </c>
      <c r="G25" s="15">
        <f>IF(C25="","Skriv svaret i den gule cellen.",IF(ISTEXT(C25),"Skriv bare tallet, uten mellomrom, enhet eller tekst. Enheten står ved siden av cellen. Du kan også skrive regnestykket med likhetstegn foran, for eksempel =2100000/7300.",IF(ABS(C25-(C15/((C12-C13)/C12)))&lt;=50000,"Riktig. 3 840 000 / 0,2314 = 16 592 593 kr, om lag 16,6 millioner (16 623 377 med dekningsgrad avrundet til 23,1 %)",IF(ABS(C25-(C15*100/(C12-C13)))&lt;=50000,"Du har delt på dekningsbidraget i kroner. Svaret ligner ikke en omsetning. I kroner deler du på dekningsgraden.",IF(ABS(C25-(C15/(((C12-C13)/C12)*100)))&lt;=50000,"Du har delt på dekningsgraden i prosent uten å gange med 100. Del på desimaltallet, eller gang med 100 først.",IF(ABS(C25-(C15*((C12-C13)/C12)))&lt;=50000,"Du har ganget med dekningsgraden. Nullpunktet er de faste kostnadene delt på dekningsgraden.",IF(IFERROR(AND(C25&lt;&gt;0,(C15/((C12-C13)/C12))&lt;&gt;0,ROUND(LOG10(ABS(C25/(C15/((C12-C13)/C12)))),0)&lt;&gt;0,ABS(LOG10(ABS(C25/(C15/((C12-C13)/C12))))-ROUND(LOG10(ABS(C25/(C15/((C12-C13)/C12)))),0))&lt;0.004),FALSE),"Sifrene stemmer, men antall nuller eller plasseringen av kommaet er feil. Sjekk om du har regnet i kroner, tusen kroner eller prosent.",IF(ABS(C25-(C15/((C12-C13)/C12)))&lt;=MAX(50000,0.01*ABS(C15/((C12-C13)/C12))),"Riktig. 3 840 000 / 0,2314 = 16 592 593 kr, om lag 16,6 millioner (16 623 377 med dekningsgrad avrundet til 23,1 %) Svaret ditt ligger litt fra arkets tall fordi du har rundet av underveis. Det er helt greit.",IF(C25&gt;(C15/((C12-C13)/C12)),"Ikke riktig ennå. Svaret ditt er for høyt. Tips: Nullpunktomsetning = faste kostnader / dekningsgrad. Med dekningsgrad 23,1 % blir det om lag 16,6 millioner.","Ikke riktig ennå. Svaret ditt er for lavt. Tips: Nullpunktomsetning = faste kostnader / dekningsgrad. Med dekningsgrad 23,1 % blir det om lag 16,6 millioner.")))))))))</f>
        <v/>
      </c>
    </row>
    <row r="26" ht="48" customHeight="1">
      <c r="B26" s="12" t="inlineStr">
        <is>
          <t>d) Dekningsbidrag per fakturert time: dekningsbidrag delt på timene (hele kroner)</t>
        </is>
      </c>
      <c r="C26" s="10" t="n"/>
      <c r="D26" s="14" t="inlineStr">
        <is>
          <t>kr per time</t>
        </is>
      </c>
      <c r="G26" s="15">
        <f>IF(C26="","Skriv svaret i den gule cellen.",IF(ISTEXT(C26),"Skriv bare tallet, uten mellomrom, enhet eller tekst. Enheten står ved siden av cellen. Du kan også skrive regnestykket med likhetstegn foran, for eksempel =2100000/7300.",IF(ABS(C26-(ROUND((C12-C13)/C16,0)))&lt;=1,"Riktig. 5 184 000 / 14 400 = 360 kr.",IF(ABS(C26-(ROUND(C12/C16,0)))&lt;=1,"Du har delt salgsinntekten på timene. Det er omsetningen per time. Del dekningsbidraget på timene.",IF(ABS(C26-(ROUND(C15/C16,0)))&lt;=1,"Du har delt de faste kostnadene på timene. Det er de faste per time fra kapittel 2. Her er det dekningsbidraget som skal deles.",IF(IFERROR(AND(C26&lt;&gt;0,(ROUND((C12-C13)/C16,0))&lt;&gt;0,ROUND(LOG10(ABS(C26/(ROUND((C12-C13)/C16,0)))),0)&lt;&gt;0,ABS(LOG10(ABS(C26/(ROUND((C12-C13)/C16,0))))-ROUND(LOG10(ABS(C26/(ROUND((C12-C13)/C16,0)))),0))&lt;0.004),FALSE),"Sifrene stemmer, men antall nuller eller plasseringen av kommaet er feil. Sjekk om du har regnet i kroner, tusen kroner eller prosent.",IF(ABS(C26-(ROUND((C12-C13)/C16,0)))&lt;=MAX(1,0.01*ABS(ROUND((C12-C13)/C16,0))),"Riktig. 5 184 000 / 14 400 = 360 kr. Svaret ditt ligger litt fra arkets tall fordi du har rundet av underveis. Det er helt greit.",IF(C26&gt;(ROUND((C12-C13)/C16,0)),"Ikke riktig ennå. Svaret ditt er for høyt. Tips: Regnestykket er dekningsbidrag delt på timene (hele kroner).","Ikke riktig ennå. Svaret ditt er for lavt. Tips: Regnestykket er dekningsbidrag delt på timene (hele kroner)."))))))))</f>
        <v/>
      </c>
    </row>
    <row r="27" ht="48" customHeight="1">
      <c r="B27" s="12" t="inlineStr">
        <is>
          <t>e) Nullpunkt i fakturerte timer: faste kostnader delt på dekningsbidrag per time (rund opp)</t>
        </is>
      </c>
      <c r="C27" s="10" t="n"/>
      <c r="D27" s="14" t="inlineStr">
        <is>
          <t>timer</t>
        </is>
      </c>
      <c r="G27" s="15">
        <f>IF(C27="","Skriv svaret i den gule cellen.",IF(ISTEXT(C27),"Skriv bare tallet, uten mellomrom, enhet eller tekst. Enheten står ved siden av cellen. Du kan også skrive regnestykket med likhetstegn foran, for eksempel =2100000/7300.",IF(ABS(C27-(ROUND(C15/((C12-C13)/C16),0)))&lt;=1,"Riktig. 3 840 000 / 360 = 10 666,7, rundet opp til 10 667 timer. Kontroll: 10 667 × 1 556 ≈ 16,6 millioner.",IF(ABS(C27-(ROUND(C15/(C15/C16),0)))&lt;=1,"Du har delt på de faste kostnadene per time. Da får du bare timene tilbake. Del på dekningsbidraget per time, 360 kr.",IF(ABS(C27-(ROUND(C15/((C12-C13)/C12)/890,0)))&lt;=1,"Du har delt nullpunktomsetningen på timeprisen 890. Men omsetningen per time er 1 556 kr, for materiellet er med. Del de faste på dekningsbidraget per time.",IF(ABS(C27-((ROUND(C15/((C12-C13)/C16),0))-1))&lt;=1,"Nesten: regnestykket er riktig, men du har rundet ned. Et halvt oppdrag eller en halv time finnes ikke, og på tallet under når du ikke nullpunktet. Rund opp.",IF(IFERROR(AND(C27&lt;&gt;0,(ROUND(C15/((C12-C13)/C16),0))&lt;&gt;0,ROUND(LOG10(ABS(C27/(ROUND(C15/((C12-C13)/C16),0)))),0)&lt;&gt;0,ABS(LOG10(ABS(C27/(ROUND(C15/((C12-C13)/C16),0))))-ROUND(LOG10(ABS(C27/(ROUND(C15/((C12-C13)/C16),0)))),0))&lt;0.004),FALSE),"Sifrene stemmer, men antall nuller eller plasseringen av kommaet er feil. Sjekk om du har regnet i kroner, tusen kroner eller prosent.",IF(ABS(C27-(ROUND(C15/((C12-C13)/C16),0)))&lt;=MAX(1,0.01*ABS(ROUND(C15/((C12-C13)/C16),0))),"Riktig. 3 840 000 / 360 = 10 666,7, rundet opp til 10 667 timer. Kontroll: 10 667 × 1 556 ≈ 16,6 millioner. Svaret ditt ligger litt fra arkets tall fordi du har rundet av underveis. Det er helt greit.",IF(C27&gt;(ROUND(C15/((C12-C13)/C16),0)),"Ikke riktig ennå. Svaret ditt er for høyt. Tips: Nullpunkt i timer = faste kostnader / dekningsbidrag per time = 3 840 000 / 360.","Ikke riktig ennå. Svaret ditt er for lavt. Tips: Nullpunkt i timer = faste kostnader / dekningsbidrag per time = 3 840 000 / 360.")))))))))</f>
        <v/>
      </c>
    </row>
    <row r="28"/>
    <row r="29" ht="40" customHeight="1">
      <c r="B29" s="12" t="inlineStr">
        <is>
          <t>f) En kollega regner nullpunktomsetningen slik: 3 840 000 × 100 / 5 184 000 = 74 kr. Hva har han gjort feil?</t>
        </is>
      </c>
      <c r="C29" s="16" t="n"/>
      <c r="G29" s="15">
        <f>IF(C29="","Velg i nedtrekksmenyen.",IF(C29="Han har brukt dekningsbidraget i kroner der dekningsgraden i prosent skal stå","Riktig. I kroner deler du på dekningsgraden (23,1), ikke på dekningsbidraget (5 184 000). Se på størrelsen: et nullpunkt på 74 kr ligner ikke en omsetning. Kontroll: nullpunkt i timer × omsetning per time ≈ 16,6 millioner.","Ikke riktig. Les forklaringen og prøv et annet svar: I kroner deler du på dekningsgraden (23,1), ikke på dekningsbidraget (5 184 000). Se på størrelsen: et nullpunkt på 74 kr ligner ikke en omsetning. Kontroll: nullpunkt i timer × omsetning per time ≈ 16,6 millioner."))</f>
        <v/>
      </c>
    </row>
    <row r="30">
      <c r="B30" s="17" t="inlineStr">
        <is>
          <t>Står du fast? Skriv JA i den gule cellen:</t>
        </is>
      </c>
      <c r="C30" s="16" t="n"/>
    </row>
    <row r="31" ht="32" customHeight="1">
      <c r="B31" s="18">
        <f>IF(C30="JA","Hint: a: 22 400 000 − 17 216 000 = 5 184 000. b: 5 184 000 / 22 400 000 = 23,1 %. c: 3 840 000 / 0,2314 = 16 592 593 kr. d: 5 184 000 / 14 400 = 360 kr. e: 3 840 000 / 360 = 10 667 timer.","")</f>
        <v/>
      </c>
    </row>
    <row r="32"/>
    <row r="33" ht="30" customHeight="1">
      <c r="B33" s="5" t="inlineStr">
        <is>
          <t>Gule celler fyller du inn, gjerne som regnestykke: =2100000/7300. Grønne regnes ut av arket. Sjekken til høyre sier om svaret stemmer, og hva du bør se på hvis ikke.</t>
        </is>
      </c>
    </row>
  </sheetData>
  <mergeCells count="13">
    <mergeCell ref="B3:G3"/>
    <mergeCell ref="B2:G2"/>
    <mergeCell ref="B19:G19"/>
    <mergeCell ref="B10:G10"/>
    <mergeCell ref="B33:G33"/>
    <mergeCell ref="B5:G5"/>
    <mergeCell ref="B31:G31"/>
    <mergeCell ref="B9:G9"/>
    <mergeCell ref="B4:G4"/>
    <mergeCell ref="B18:G18"/>
    <mergeCell ref="C22:G22"/>
    <mergeCell ref="B7:G7"/>
    <mergeCell ref="B6:G6"/>
  </mergeCells>
  <conditionalFormatting sqref="C22">
    <cfRule type="expression" priority="1" dxfId="0">
      <formula>LEFT(C22,6)="Riktig"</formula>
    </cfRule>
    <cfRule type="expression" priority="2" dxfId="1">
      <formula>AND(C22&lt;&gt;"",LEFT(C22,6)&lt;&gt;"Riktig",LEFT(C22,5)&lt;&gt;"Skriv")</formula>
    </cfRule>
  </conditionalFormatting>
  <conditionalFormatting sqref="G24">
    <cfRule type="expression" priority="3" dxfId="0">
      <formula>LEFT(G24,6)="Riktig"</formula>
    </cfRule>
    <cfRule type="expression" priority="4" dxfId="2">
      <formula>LEFT(G24,6)="Nesten"</formula>
    </cfRule>
    <cfRule type="expression" priority="5" dxfId="1">
      <formula>AND(G24&lt;&gt;"",LEFT(G24,6)&lt;&gt;"Riktig",LEFT(G24,6)&lt;&gt;"Nesten",LEFT(G24,5)&lt;&gt;"Skriv")</formula>
    </cfRule>
  </conditionalFormatting>
  <conditionalFormatting sqref="G25">
    <cfRule type="expression" priority="6" dxfId="0">
      <formula>LEFT(G25,6)="Riktig"</formula>
    </cfRule>
    <cfRule type="expression" priority="7" dxfId="2">
      <formula>LEFT(G25,6)="Nesten"</formula>
    </cfRule>
    <cfRule type="expression" priority="8" dxfId="1">
      <formula>AND(G25&lt;&gt;"",LEFT(G25,6)&lt;&gt;"Riktig",LEFT(G25,6)&lt;&gt;"Nesten",LEFT(G25,5)&lt;&gt;"Skriv")</formula>
    </cfRule>
  </conditionalFormatting>
  <conditionalFormatting sqref="G26">
    <cfRule type="expression" priority="9" dxfId="0">
      <formula>LEFT(G26,6)="Riktig"</formula>
    </cfRule>
    <cfRule type="expression" priority="10" dxfId="2">
      <formula>LEFT(G26,6)="Nesten"</formula>
    </cfRule>
    <cfRule type="expression" priority="11" dxfId="1">
      <formula>AND(G26&lt;&gt;"",LEFT(G26,6)&lt;&gt;"Riktig",LEFT(G26,6)&lt;&gt;"Nesten",LEFT(G26,5)&lt;&gt;"Skriv")</formula>
    </cfRule>
  </conditionalFormatting>
  <conditionalFormatting sqref="G27">
    <cfRule type="expression" priority="12" dxfId="0">
      <formula>LEFT(G27,6)="Riktig"</formula>
    </cfRule>
    <cfRule type="expression" priority="13" dxfId="2">
      <formula>LEFT(G27,6)="Nesten"</formula>
    </cfRule>
    <cfRule type="expression" priority="14" dxfId="1">
      <formula>AND(G27&lt;&gt;"",LEFT(G27,6)&lt;&gt;"Riktig",LEFT(G27,6)&lt;&gt;"Nesten",LEFT(G27,5)&lt;&gt;"Skriv")</formula>
    </cfRule>
  </conditionalFormatting>
  <conditionalFormatting sqref="G29">
    <cfRule type="expression" priority="15" dxfId="0">
      <formula>LEFT(G29,6)="Riktig"</formula>
    </cfRule>
    <cfRule type="expression" priority="16" dxfId="1">
      <formula>LEFT(G29,4)="Ikke"</formula>
    </cfRule>
  </conditionalFormatting>
  <dataValidations count="2">
    <dataValidation sqref="C29" showDropDown="0" showInputMessage="0" showErrorMessage="0" allowBlank="1" type="list">
      <formula1>$Z$1:$Z$3</formula1>
    </dataValidation>
    <dataValidation sqref="C30"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43"/>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s>
  <sheetData>
    <row r="1"/>
    <row r="2" ht="26" customHeight="1">
      <c r="B2" s="1" t="inlineStr">
        <is>
          <t>Oppgave 1B: Sikkerhetsmarginen, og serviceavdelingen som føler at den har mye å gjøre</t>
        </is>
      </c>
    </row>
    <row r="3" ht="15" customHeight="1">
      <c r="B3" s="5" t="inlineStr">
        <is>
          <t>Alene, i par eller i gruppe, slik du vil.</t>
        </is>
      </c>
    </row>
    <row r="4" ht="16" customHeight="1">
      <c r="B4" s="3" t="inlineStr">
        <is>
          <t>Situasjonen</t>
        </is>
      </c>
    </row>
    <row r="5" ht="45" customHeight="1">
      <c r="B5" s="2" t="inlineStr">
        <is>
          <t>Først hele Nordlys: hvor mye kan salget svikte før tapet kommer? Så serviceavdelingen: Tom Berg er driftsleder, og to av montørene hans tar sikringsskapbytter, feilsøking og el-kontroller. Tom har planlagt 210 oppdrag neste år, synes montørene har mye å gjøre, og mener avdelingen bærer seg. Timene som ikke går til service, lånes ut til prosjektavdelingen.</t>
        </is>
      </c>
    </row>
    <row r="6" ht="16" customHeight="1">
      <c r="B6" s="3" t="inlineStr">
        <is>
          <t>Begrepene du trenger</t>
        </is>
      </c>
    </row>
    <row r="7" ht="45" customHeight="1">
      <c r="B7" s="2" t="inlineStr">
        <is>
          <t>Sikkerhetsmargin (boka: risikomargin) = virkelig salg − salget i nullpunktet, i kroner, timer eller prosent av salget. Dekningsbidrag per oppdrag = pris − variable kostnader per oppdrag. Nullpunkt i antall = faste kostnader / dekningsbidrag per enhet, rundet opp. Resultat = dekningsbidrag totalt − faste kostnader.</t>
        </is>
      </c>
    </row>
    <row r="8"/>
    <row r="9" ht="16" customHeight="1">
      <c r="B9" s="3" t="inlineStr">
        <is>
          <t>Tallene</t>
        </is>
      </c>
    </row>
    <row r="10" ht="60" customHeight="1">
      <c r="B10" s="2" t="inlineStr">
        <is>
          <t>Hele Nordlys 2026: salgsinntekt 22 400 000 kr, nullpunktomsetning 16 592 593 kr (fra oppgave 1A), 14 400 fakturerte timer og nullpunkt 10 667 timer. Serviceavdelingen: et oppdrag faktureres med 18 500 kr uten merverdiavgift, materiellet og montørtimene på jobben koster 11 200 kr, avdelingens faste kostnader er 2 100 000 kr i året, og Tom har planlagt 210 oppdrag. Kapasiteten er 400 oppdrag.</t>
        </is>
      </c>
    </row>
    <row r="11">
      <c r="B11" s="6" t="inlineStr">
        <is>
          <t>Hele Nordlys 2026</t>
        </is>
      </c>
      <c r="C11" s="7" t="inlineStr">
        <is>
          <t>Verdi</t>
        </is>
      </c>
    </row>
    <row r="12">
      <c r="B12" s="8" t="inlineStr">
        <is>
          <t>Salgsinntekt, kr</t>
        </is>
      </c>
      <c r="C12" s="9" t="n">
        <v>22400000</v>
      </c>
    </row>
    <row r="13">
      <c r="B13" s="8" t="inlineStr">
        <is>
          <t>Nullpunktomsetning, kr (fra oppgave 1A)</t>
        </is>
      </c>
      <c r="C13" s="9" t="n">
        <v>16592593</v>
      </c>
    </row>
    <row r="14">
      <c r="B14" s="8" t="inlineStr">
        <is>
          <t>Fakturerte timer</t>
        </is>
      </c>
      <c r="C14" s="9" t="n">
        <v>14400</v>
      </c>
    </row>
    <row r="15">
      <c r="B15" s="8" t="inlineStr">
        <is>
          <t>Nullpunkt i timer (fra oppgave 1A)</t>
        </is>
      </c>
      <c r="C15" s="9" t="n">
        <v>10667</v>
      </c>
    </row>
    <row r="16"/>
    <row r="17">
      <c r="B17" s="6" t="inlineStr">
        <is>
          <t>Serviceavdelingen</t>
        </is>
      </c>
      <c r="C17" s="7" t="inlineStr">
        <is>
          <t>Verdi</t>
        </is>
      </c>
    </row>
    <row r="18">
      <c r="B18" s="8" t="inlineStr">
        <is>
          <t>Pris per oppdrag, kr uten merverdiavgift</t>
        </is>
      </c>
      <c r="C18" s="9" t="n">
        <v>18500</v>
      </c>
    </row>
    <row r="19">
      <c r="B19" s="8" t="inlineStr">
        <is>
          <t>Variable kostnader per oppdrag, kr (materiell og timer)</t>
        </is>
      </c>
      <c r="C19" s="9" t="n">
        <v>11200</v>
      </c>
    </row>
    <row r="20">
      <c r="B20" s="8" t="inlineStr">
        <is>
          <t>Faste kostnader i året, kr</t>
        </is>
      </c>
      <c r="C20" s="9" t="n">
        <v>2100000</v>
      </c>
    </row>
    <row r="21">
      <c r="B21" s="8" t="inlineStr">
        <is>
          <t>Planlagte oppdrag</t>
        </is>
      </c>
      <c r="C21" s="9" t="n">
        <v>210</v>
      </c>
    </row>
    <row r="22">
      <c r="B22" s="8" t="inlineStr">
        <is>
          <t>Kapasitet, oppdrag</t>
        </is>
      </c>
      <c r="C22" s="9" t="n">
        <v>400</v>
      </c>
    </row>
    <row r="23"/>
    <row r="24" ht="16" customHeight="1">
      <c r="B24" s="3" t="inlineStr">
        <is>
          <t>Oppgaven, trinn for trinn</t>
        </is>
      </c>
    </row>
    <row r="25" ht="45" customHeight="1">
      <c r="B25" s="2" t="inlineStr">
        <is>
          <t>1. Sikkerhetsmarginen for hele Nordlys: i kroner (a), i prosent av salgsinntekten (b) og i timer (c).
2. Serviceavdelingen: dekningsbidraget per oppdrag (d), nullpunktet i antall oppdrag, rundet opp (e), og resultatet ved 210 oppdrag (f). Et tap skriver du med minus foran.
3. Svar Tom i g.</t>
        </is>
      </c>
    </row>
    <row r="26"/>
    <row r="27" ht="48" customHeight="1">
      <c r="B27" s="12" t="inlineStr">
        <is>
          <t>a) Sikkerhetsmargin i kroner: salgsinntekt minus nullpunktomsetning</t>
        </is>
      </c>
      <c r="C27" s="10" t="n"/>
      <c r="D27" s="14" t="inlineStr">
        <is>
          <t>kr</t>
        </is>
      </c>
      <c r="G27" s="15">
        <f>IF(C27="","Skriv svaret i den gule cellen.",IF(ISTEXT(C27),"Skriv bare tallet, uten mellomrom, enhet eller tekst. Enheten står ved siden av cellen. Du kan også skrive regnestykket med likhetstegn foran, for eksempel =2100000/7300.",IF(ABS(C27-(22400000-16592593))&lt;=50000,"Riktig. 22 400 000 − 16 592 593 = 5 807 407 kr.",IF(ABS(C27-(22400000-3840000))&lt;=50000,"Du har trukket fra de faste kostnadene. Trekk fra nullpunktomsetningen, 16 592 593.",IF(ABS(C27-(16592593-22400000))&lt;=50000,"Fortegnet er snudd. Salgsinntekten minus nullpunktomsetningen, så blir marginen positiv.",IF(IFERROR(AND(C27&lt;&gt;0,(22400000-16592593)&lt;&gt;0,ROUND(LOG10(ABS(C27/(22400000-16592593))),0)&lt;&gt;0,ABS(LOG10(ABS(C27/(22400000-16592593)))-ROUND(LOG10(ABS(C27/(22400000-16592593))),0))&lt;0.004),FALSE),"Sifrene stemmer, men antall nuller eller plasseringen av kommaet er feil. Sjekk om du har regnet i kroner, tusen kroner eller prosent.",IF(ABS(C27-(22400000-16592593))&lt;=MAX(50000,0.01*ABS(22400000-16592593)),"Riktig. 22 400 000 − 16 592 593 = 5 807 407 kr. Svaret ditt ligger litt fra arkets tall fordi du har rundet av underveis. Det er helt greit.",IF(C27&gt;(22400000-16592593),"Ikke riktig ennå. Svaret ditt er for høyt. Tips: Regnestykket er salgsinntekt minus nullpunktomsetning.","Ikke riktig ennå. Svaret ditt er for lavt. Tips: Regnestykket er salgsinntekt minus nullpunktomsetning."))))))))</f>
        <v/>
      </c>
    </row>
    <row r="28" ht="48" customHeight="1">
      <c r="B28" s="12" t="inlineStr">
        <is>
          <t>b) Sikkerhetsmargin i prosent av salgsinntekten</t>
        </is>
      </c>
      <c r="C28" s="13" t="n"/>
      <c r="D28" s="14" t="inlineStr">
        <is>
          <t>av salget</t>
        </is>
      </c>
      <c r="G28" s="15">
        <f>IF(C28="","Skriv svaret i den gule cellen.",IF(ISTEXT(C28),"Skriv bare tallet, uten mellomrom, enhet eller tekst. Enheten står ved siden av cellen. Du kan også skrive regnestykket med likhetstegn foran, for eksempel =2100000/7300.",IF(ABS(C28-((22400000-16592593)/22400000))&lt;=0.003,"Riktig. 5 807 407 × 100 / 22 400 000 = 25,9 % med bokas forutsetning om variabel montørlønn. Med fast montørlønn: nullpunkt 12 980 timer og margin 9,9 %.",IF(ABS(C28/100-((22400000-16592593)/22400000))&lt;=0.003,"Riktig. 5 807 407 × 100 / 22 400 000 = 25,9 % med bokas forutsetning om variabel montørlønn. Med fast montørlønn: nullpunkt 12 980 timer og margin 9,9 %.",IF(ABS(C28-((22400000-16592593)/16592593))&lt;=0.003,"Du har delt på nullpunktomsetningen. Marginen i prosent regnes av salgsinntekten, 22 400 000.",IF(IFERROR(AND(C28&lt;&gt;0,((22400000-16592593)/22400000)&lt;&gt;0,ROUND(LOG10(ABS(C28/((22400000-16592593)/22400000))),0)&lt;&gt;0,ABS(LOG10(ABS(C28/((22400000-16592593)/22400000)))-ROUND(LOG10(ABS(C28/((22400000-16592593)/22400000))),0))&lt;0.004),FALSE),"Sifrene stemmer, men antall nuller eller plasseringen av kommaet er feil. Sjekk om du har regnet i kroner, tusen kroner eller prosent.",IF(ABS(C28-((22400000-16592593)/22400000))&lt;=MAX(0.003,0.01*ABS((22400000-16592593)/22400000)),"Riktig. 5 807 407 × 100 / 22 400 000 = 25,9 % med bokas forutsetning om variabel montørlønn. Med fast montørlønn: nullpunkt 12 980 timer og margin 9,9 %. Svaret ditt ligger litt fra arkets tall fordi du har rundet av underveis. Det er helt greit.",IF(C28&gt;((22400000-16592593)/22400000),"Ikke riktig ennå. Svaret ditt er for høyt. Tips: Sikkerhetsmargin i prosent = sikkerhetsmargin i kroner / salgsinntekt. Cellen er prosentformatert.","Ikke riktig ennå. Svaret ditt er for lavt. Tips: Sikkerhetsmargin i prosent = sikkerhetsmargin i kroner / salgsinntekt. Cellen er prosentformatert."))))))))</f>
        <v/>
      </c>
    </row>
    <row r="29" ht="48" customHeight="1">
      <c r="B29" s="12" t="inlineStr">
        <is>
          <t>c) Sikkerhetsmargin i timer: fakturerte timer minus nullpunkt i timer</t>
        </is>
      </c>
      <c r="C29" s="10" t="n"/>
      <c r="D29" s="14" t="inlineStr">
        <is>
          <t>timer</t>
        </is>
      </c>
      <c r="G29" s="15">
        <f>IF(C29="","Skriv svaret i den gule cellen.",IF(ISTEXT(C29),"Skriv bare tallet, uten mellomrom, enhet eller tekst. Enheten står ved siden av cellen. Du kan også skrive regnestykket med likhetstegn foran, for eksempel =2100000/7300.",IF(ABS(C29-(14400-10667))&lt;=1,"Riktig. 14 400 − 10 667 = 3 733 timer.",IF(ABS(C29-(10667))&lt;=1,"Det er nullpunktet. Marginen er timene over nullpunktet: 14 400 − 10 667.",IF(IFERROR(AND(C29&lt;&gt;0,(14400-10667)&lt;&gt;0,ROUND(LOG10(ABS(C29/(14400-10667))),0)&lt;&gt;0,ABS(LOG10(ABS(C29/(14400-10667)))-ROUND(LOG10(ABS(C29/(14400-10667))),0))&lt;0.004),FALSE),"Sifrene stemmer, men antall nuller eller plasseringen av kommaet er feil. Sjekk om du har regnet i kroner, tusen kroner eller prosent.",IF(ABS(C29-(14400-10667))&lt;=MAX(1,0.01*ABS(14400-10667)),"Riktig. 14 400 − 10 667 = 3 733 timer. Svaret ditt ligger litt fra arkets tall fordi du har rundet av underveis. Det er helt greit.",IF(C29&gt;(14400-10667),"Ikke riktig ennå. Svaret ditt er for høyt. Tips: Regnestykket er fakturerte timer minus nullpunkt i timer.","Ikke riktig ennå. Svaret ditt er for lavt. Tips: Regnestykket er fakturerte timer minus nullpunkt i timer.")))))))</f>
        <v/>
      </c>
    </row>
    <row r="30"/>
    <row r="31" ht="48" customHeight="1">
      <c r="B31" s="12" t="inlineStr">
        <is>
          <t>d) Serviceavdelingen: dekningsbidrag per oppdrag</t>
        </is>
      </c>
      <c r="C31" s="10" t="n"/>
      <c r="D31" s="14" t="inlineStr">
        <is>
          <t>kr per oppdrag</t>
        </is>
      </c>
      <c r="G31" s="15">
        <f>IF(C31="","Skriv svaret i den gule cellen.",IF(ISTEXT(C31),"Skriv bare tallet, uten mellomrom, enhet eller tekst. Enheten står ved siden av cellen. Du kan også skrive regnestykket med likhetstegn foran, for eksempel =2100000/7300.",IF(ABS(C31-(18500-11200))&lt;=0.99,"Riktig. 18 500 − 11 200 = 7 300 kr.",IF(ABS(C31-(18500))&lt;=0.99,"Det er prisen. Trekk fra de variable kostnadene på jobben, 11 200.",IF(ABS(C31-(11200))&lt;=0.99,"Det er de variable kostnadene. Dekningsbidraget er prisen minus dem.",IF(IFERROR(AND(C31&lt;&gt;0,(18500-11200)&lt;&gt;0,ROUND(LOG10(ABS(C31/(18500-11200))),0)&lt;&gt;0,ABS(LOG10(ABS(C31/(18500-11200)))-ROUND(LOG10(ABS(C31/(18500-11200))),0))&lt;0.004),FALSE),"Sifrene stemmer, men antall nuller eller plasseringen av kommaet er feil. Sjekk om du har regnet i kroner, tusen kroner eller prosent.",IF(ABS(C31-(18500-11200))&lt;=MAX(0.99,0.01*ABS(18500-11200)),"Riktig. 18 500 − 11 200 = 7 300 kr. Svaret ditt ligger litt fra arkets tall fordi du har rundet av underveis. Det er helt greit.",IF(C31&gt;(18500-11200),"Ikke riktig ennå. Svaret ditt er for høyt. Tips: Regnestykket er dekningsbidrag per oppdrag.","Ikke riktig ennå. Svaret ditt er for lavt. Tips: Regnestykket er dekningsbidrag per oppdrag."))))))))</f>
        <v/>
      </c>
    </row>
    <row r="32" ht="48" customHeight="1">
      <c r="B32" s="12" t="inlineStr">
        <is>
          <t>e) Nullpunkt i antall oppdrag: faste kostnader delt på dekningsbidrag per oppdrag (rund opp)</t>
        </is>
      </c>
      <c r="C32" s="10" t="n"/>
      <c r="D32" s="14" t="inlineStr">
        <is>
          <t>oppdrag</t>
        </is>
      </c>
      <c r="G32" s="15">
        <f>IF(C32="","Skriv svaret i den gule cellen.",IF(ISTEXT(C32),"Skriv bare tallet, uten mellomrom, enhet eller tekst. Enheten står ved siden av cellen. Du kan også skrive regnestykket med likhetstegn foran, for eksempel =2100000/7300.",IF(ABS(C32-(288))&lt;=0.99,"Riktig. 2 100 000 / 7 300 = 287,7, rundet opp til 288 oppdrag.",IF(ABS(C32-(287))&lt;=0.99,"287 oppdrag gir 287 × 7 300 = 2 095 100 kr, som ikke dekker de faste på 2 100 000. Rund opp til hele oppdrag.",IF(ABS(C32-(ROUND(2100000/18500,0)))&lt;=0.99,"Du har delt på prisen. Del på dekningsbidraget per oppdrag, 7 300.",IF(ABS(C32-(ROUND(2100000/11200,0)))&lt;=0.99,"Du har delt på de variable kostnadene. Del på dekningsbidraget per oppdrag.",IF(ABS(C32-((288)-1))&lt;=0.99,"Nesten: regnestykket er riktig, men du har rundet ned. Et halvt oppdrag eller en halv time finnes ikke, og på tallet under når du ikke nullpunktet. Rund opp.",IF(IFERROR(AND(C32&lt;&gt;0,(288)&lt;&gt;0,ROUND(LOG10(ABS(C32/(288))),0)&lt;&gt;0,ABS(LOG10(ABS(C32/(288)))-ROUND(LOG10(ABS(C32/(288))),0))&lt;0.004),FALSE),"Sifrene stemmer, men antall nuller eller plasseringen av kommaet er feil. Sjekk om du har regnet i kroner, tusen kroner eller prosent.",IF(ABS(C32-(288))&lt;=MAX(0.99,0.01*ABS(288)),"Riktig. 2 100 000 / 7 300 = 287,7, rundet opp til 288 oppdrag. Svaret ditt ligger litt fra arkets tall fordi du har rundet av underveis. Det er helt greit.",IF(C32&gt;(288),"Ikke riktig ennå. Svaret ditt er for høyt. Tips: 2 100 000 / 7 300 = 287,7. Et halvt oppdrag finnes ikke, så rund opp til hele oppdrag.","Ikke riktig ennå. Svaret ditt er for lavt. Tips: 2 100 000 / 7 300 = 287,7. Et halvt oppdrag finnes ikke, så rund opp til hele oppdrag."))))))))))</f>
        <v/>
      </c>
    </row>
    <row r="33" ht="48" customHeight="1">
      <c r="B33" s="12" t="inlineStr">
        <is>
          <t>f) Resultat ved 210 oppdrag: dekningsbidrag ved 210 minus faste kostnader (tap med minus)</t>
        </is>
      </c>
      <c r="C33" s="10" t="n"/>
      <c r="D33" s="14" t="inlineStr">
        <is>
          <t>kr</t>
        </is>
      </c>
      <c r="G33" s="15">
        <f>IF(C33="","Skriv svaret i den gule cellen.",IF(ISTEXT(C33),"Skriv bare tallet, uten mellomrom, enhet eller tekst. Enheten står ved siden av cellen. Du kan også skrive regnestykket med likhetstegn foran, for eksempel =2100000/7300.",IF(ABS(C33-(210*7300-2100000))&lt;=0.99,"Riktig. 210 × 7 300 − 2 100 000 = −567 000 kr.",IF(ABS(C33-(210*7300))&lt;=0.99,"Det er dekningsbidraget ved 210 oppdrag. Trekk fra de faste kostnadene, 2 100 000.",IF(ABS(C33-(210*18500-2100000))&lt;=0.99,"Du har brukt prisen. Bruk dekningsbidraget per oppdrag, 7 300.",IF(ABS(C33-(2100000-210*7300))&lt;=0.99,"Fortegnet er snudd: avdelingen taper penger, så resultatet er negativt.",IF(IFERROR(AND(C33&lt;&gt;0,(210*7300-2100000)&lt;&gt;0,ROUND(LOG10(ABS(C33/(210*7300-2100000))),0)&lt;&gt;0,ABS(LOG10(ABS(C33/(210*7300-2100000)))-ROUND(LOG10(ABS(C33/(210*7300-2100000))),0))&lt;0.004),FALSE),"Sifrene stemmer, men antall nuller eller plasseringen av kommaet er feil. Sjekk om du har regnet i kroner, tusen kroner eller prosent.",IF(ABS(C33-(210*7300-2100000))&lt;=MAX(0.99,0.01*ABS(210*7300-2100000)),"Riktig. 210 × 7 300 − 2 100 000 = −567 000 kr. Svaret ditt ligger litt fra arkets tall fordi du har rundet av underveis. Det er helt greit.",IF(C33&gt;(210*7300-2100000),"Ikke riktig ennå. Svaret ditt er for høyt. Tips: Regnestykket er dekningsbidrag ved 210 minus faste kostnader (tap med minus).","Ikke riktig ennå. Svaret ditt er for lavt. Tips: Regnestykket er dekningsbidrag ved 210 minus faste kostnader (tap med minus).")))))))))</f>
        <v/>
      </c>
    </row>
    <row r="34"/>
    <row r="35" ht="30" customHeight="1">
      <c r="B35" s="2" t="inlineStr">
        <is>
          <t>g) Tom sier at serviceavdelingen bærer seg fordi han synes montørene har mye å gjøre. Svar ham i to setninger, med nullpunktet og resultatet ved 210 oppdrag.</t>
        </is>
      </c>
    </row>
    <row r="36" ht="22" customHeight="1">
      <c r="B36" s="19" t="n"/>
    </row>
    <row r="37" ht="22" customHeight="1"/>
    <row r="38" ht="22" customHeight="1"/>
    <row r="39" ht="40" customHeight="1">
      <c r="B39" s="20">
        <f>IF(LEN(B36)&lt;40,"",IF(AND(ISNUMBER(SEARCH("288",B36)),ISNUMBER(SEARCH("567",B36))),"Bra: du bruker både nullpunktet 288 og tapet på 567 000. Si også at kapasiteten er 400, så det står ikke på montørene.",IF(OR(ISNUMBER(SEARCH("288",B36)),ISNUMBER(SEARCH("567",B36))),"Du har med ett av tallene. Ta med både nullpunktet (288 oppdrag) og resultatet ved 210 (−567 000 kr).","Tips: nullpunktet er 288 oppdrag, og 210 er 78 under. Ved 210 oppdrag taper avdelingen 567 000 kr. Mye å gjøre er ikke det samme som lønnsomt; kapasiteten er 400.")))</f>
        <v/>
      </c>
    </row>
    <row r="40">
      <c r="B40" s="17" t="inlineStr">
        <is>
          <t>Står du fast? Skriv JA i den gule cellen:</t>
        </is>
      </c>
      <c r="C40" s="16" t="n"/>
    </row>
    <row r="41" ht="32" customHeight="1">
      <c r="B41" s="18">
        <f>IF(C40="JA","Hint: a: 22 400 000 − 16 592 593 = 5 807 407. b: 5 807 407 / 22 400 000 = 25,9 %. c: 14 400 − 10 667 = 3 733. d: 18 500 − 11 200 = 7 300. e: 2 100 000 / 7 300 = 287,7 → 288. f: 210 × 7 300 − 2 100 000 = −567 000.","")</f>
        <v/>
      </c>
    </row>
    <row r="42"/>
    <row r="43" ht="30" customHeight="1">
      <c r="B43" s="5" t="inlineStr">
        <is>
          <t>Gule celler fyller du inn, gjerne som regnestykke: =2100000/7300. Grønne regnes ut av arket. Sjekken til høyre sier om svaret stemmer, og hva du bør se på hvis ikke.</t>
        </is>
      </c>
    </row>
  </sheetData>
  <mergeCells count="15">
    <mergeCell ref="B3:G3"/>
    <mergeCell ref="B2:G2"/>
    <mergeCell ref="B24:G24"/>
    <mergeCell ref="B10:G10"/>
    <mergeCell ref="B39:G39"/>
    <mergeCell ref="B5:G5"/>
    <mergeCell ref="B36:G38"/>
    <mergeCell ref="B9:G9"/>
    <mergeCell ref="B41:G41"/>
    <mergeCell ref="B35:G35"/>
    <mergeCell ref="B4:G4"/>
    <mergeCell ref="B43:G43"/>
    <mergeCell ref="B7:G7"/>
    <mergeCell ref="B25:G25"/>
    <mergeCell ref="B6:G6"/>
  </mergeCells>
  <conditionalFormatting sqref="G27">
    <cfRule type="expression" priority="1" dxfId="0">
      <formula>LEFT(G27,6)="Riktig"</formula>
    </cfRule>
    <cfRule type="expression" priority="2" dxfId="2">
      <formula>LEFT(G27,6)="Nesten"</formula>
    </cfRule>
    <cfRule type="expression" priority="3" dxfId="1">
      <formula>AND(G27&lt;&gt;"",LEFT(G27,6)&lt;&gt;"Riktig",LEFT(G27,6)&lt;&gt;"Nesten",LEFT(G27,5)&lt;&gt;"Skriv")</formula>
    </cfRule>
  </conditionalFormatting>
  <conditionalFormatting sqref="G28">
    <cfRule type="expression" priority="4" dxfId="0">
      <formula>LEFT(G28,6)="Riktig"</formula>
    </cfRule>
    <cfRule type="expression" priority="5" dxfId="2">
      <formula>LEFT(G28,6)="Nesten"</formula>
    </cfRule>
    <cfRule type="expression" priority="6" dxfId="1">
      <formula>AND(G28&lt;&gt;"",LEFT(G28,6)&lt;&gt;"Riktig",LEFT(G28,6)&lt;&gt;"Nesten",LEFT(G28,5)&lt;&gt;"Skriv")</formula>
    </cfRule>
  </conditionalFormatting>
  <conditionalFormatting sqref="G29">
    <cfRule type="expression" priority="7" dxfId="0">
      <formula>LEFT(G29,6)="Riktig"</formula>
    </cfRule>
    <cfRule type="expression" priority="8" dxfId="2">
      <formula>LEFT(G29,6)="Nesten"</formula>
    </cfRule>
    <cfRule type="expression" priority="9" dxfId="1">
      <formula>AND(G29&lt;&gt;"",LEFT(G29,6)&lt;&gt;"Riktig",LEFT(G29,6)&lt;&gt;"Nesten",LEFT(G29,5)&lt;&gt;"Skriv")</formula>
    </cfRule>
  </conditionalFormatting>
  <conditionalFormatting sqref="G31">
    <cfRule type="expression" priority="10" dxfId="0">
      <formula>LEFT(G31,6)="Riktig"</formula>
    </cfRule>
    <cfRule type="expression" priority="11" dxfId="2">
      <formula>LEFT(G31,6)="Nesten"</formula>
    </cfRule>
    <cfRule type="expression" priority="12" dxfId="1">
      <formula>AND(G31&lt;&gt;"",LEFT(G31,6)&lt;&gt;"Riktig",LEFT(G31,6)&lt;&gt;"Nesten",LEFT(G31,5)&lt;&gt;"Skriv")</formula>
    </cfRule>
  </conditionalFormatting>
  <conditionalFormatting sqref="G32">
    <cfRule type="expression" priority="13" dxfId="0">
      <formula>LEFT(G32,6)="Riktig"</formula>
    </cfRule>
    <cfRule type="expression" priority="14" dxfId="2">
      <formula>LEFT(G32,6)="Nesten"</formula>
    </cfRule>
    <cfRule type="expression" priority="15" dxfId="1">
      <formula>AND(G32&lt;&gt;"",LEFT(G32,6)&lt;&gt;"Riktig",LEFT(G32,6)&lt;&gt;"Nesten",LEFT(G32,5)&lt;&gt;"Skriv")</formula>
    </cfRule>
  </conditionalFormatting>
  <conditionalFormatting sqref="G33">
    <cfRule type="expression" priority="16" dxfId="0">
      <formula>LEFT(G33,6)="Riktig"</formula>
    </cfRule>
    <cfRule type="expression" priority="17" dxfId="2">
      <formula>LEFT(G33,6)="Nesten"</formula>
    </cfRule>
    <cfRule type="expression" priority="18" dxfId="1">
      <formula>AND(G33&lt;&gt;"",LEFT(G33,6)&lt;&gt;"Riktig",LEFT(G33,6)&lt;&gt;"Nesten",LEFT(G33,5)&lt;&gt;"Skriv")</formula>
    </cfRule>
  </conditionalFormatting>
  <dataValidations count="1">
    <dataValidation sqref="C40"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38"/>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Timeprisen opp 5 %</t>
        </is>
      </c>
    </row>
    <row r="2" ht="26" customHeight="1">
      <c r="B2" s="1" t="inlineStr">
        <is>
          <t>Oppgave 1C: Fire tiltak før et stille år: hva skjer med nullpunktet?</t>
        </is>
      </c>
      <c r="Z2" t="inlineStr">
        <is>
          <t>Faste kostnader ned 10 %</t>
        </is>
      </c>
    </row>
    <row r="3" ht="15" customHeight="1">
      <c r="B3" s="5" t="inlineStr">
        <is>
          <t>Alene, i par eller i gruppe, slik du vil.</t>
        </is>
      </c>
      <c r="Z3" t="inlineStr">
        <is>
          <t>De gir samme nullpunkt</t>
        </is>
      </c>
    </row>
    <row r="4" ht="16" customHeight="1">
      <c r="B4" s="3" t="inlineStr">
        <is>
          <t>Situasjonen</t>
        </is>
      </c>
    </row>
    <row r="5" ht="60" customHeight="1">
      <c r="B5" s="2" t="inlineStr">
        <is>
          <t>Kari tror 2027 blir et stille år og vurderer fire tiltak: en ny servicebil på leasing og én til på kontoret, eller det motsatte: si opp leasingen på en bil og kutte kurs som ikke er lovpålagt, for eksempel produktkurs hos leverandørene (FSE-kurset og førstehjelp skal holdes minst hver 12. måned etter FSE § 7). Og timeprisen: opp 5 % for å tjene mer per time, eller ned 5 % for å vinne flere jobber. Hun endrer én ting om gangen, slik boka gjør det.</t>
        </is>
      </c>
    </row>
    <row r="6" ht="16" customHeight="1">
      <c r="B6" s="3" t="inlineStr">
        <is>
          <t>Begrepene du trenger</t>
        </is>
      </c>
    </row>
    <row r="7" ht="45" customHeight="1">
      <c r="B7" s="2" t="inlineStr">
        <is>
          <t>Nullpunkt i timer = faste kostnader / dekningsbidrag per time. En endring i de faste kostnadene flytter nullpunktet uten å røre dekningsbidraget. En endring i timeprisen går i sin helhet inn i dekningsbidraget per time, for de variable kostnadene er de samme. Resultat = timer × dekningsbidrag per time − faste kostnader.</t>
        </is>
      </c>
    </row>
    <row r="8"/>
    <row r="9" ht="16" customHeight="1">
      <c r="B9" s="3" t="inlineStr">
        <is>
          <t>Tallene</t>
        </is>
      </c>
    </row>
    <row r="10" ht="60" customHeight="1">
      <c r="B10" s="2" t="inlineStr">
        <is>
          <t>Nordlys i dag: faste kostnader 3 840 000 kr, dekningsbidrag 360 kr per fakturert time, 14 400 fakturerte timer, timepris 890 kr. Nullpunktet er 10 667 timer. Kari vurderer fire tiltak før det hun tror blir et stille år, og hun endrer én ting om gangen, slik boka gjør det i eksempeloppgaven i avsnitt 8.3. Dekningsbidraget på 360 kr per time bygger på bokas forutsetning om at montørlønna følger timene.</t>
        </is>
      </c>
    </row>
    <row r="11">
      <c r="B11" s="6" t="inlineStr">
        <is>
          <t>Tiltak</t>
        </is>
      </c>
      <c r="C11" s="7" t="inlineStr">
        <is>
          <t>Faste kostnader</t>
        </is>
      </c>
      <c r="D11" s="7" t="inlineStr">
        <is>
          <t>Dekningsbidrag per time</t>
        </is>
      </c>
    </row>
    <row r="12">
      <c r="B12" s="8" t="inlineStr">
        <is>
          <t>I dag</t>
        </is>
      </c>
      <c r="C12" s="9" t="n">
        <v>3840000</v>
      </c>
      <c r="D12" s="21" t="n">
        <v>360</v>
      </c>
    </row>
    <row r="13">
      <c r="B13" s="8" t="inlineStr">
        <is>
          <t>a) Ny servicebil på leasing og én til på kontoret: faste kostnader opp 10 %</t>
        </is>
      </c>
      <c r="C13" s="22">
        <f>ROUND(C12*1.1,0)</f>
        <v/>
      </c>
      <c r="D13" s="21" t="n">
        <v>360</v>
      </c>
    </row>
    <row r="14">
      <c r="B14" s="8" t="inlineStr">
        <is>
          <t>c) Si opp leasingen på en bil og kutte produktkurs: faste kostnader ned 10 %</t>
        </is>
      </c>
      <c r="C14" s="22">
        <f>ROUND(C12*0.9,0)</f>
        <v/>
      </c>
      <c r="D14" s="21" t="n">
        <v>360</v>
      </c>
    </row>
    <row r="15">
      <c r="B15" s="8" t="inlineStr">
        <is>
          <t>d) Timeprisen opp 5 %: 890 → 934,50 kr</t>
        </is>
      </c>
      <c r="C15" s="9" t="n">
        <v>3840000</v>
      </c>
      <c r="D15" s="23">
        <f>D12+890*0.05</f>
        <v/>
      </c>
    </row>
    <row r="16">
      <c r="B16" s="8" t="inlineStr">
        <is>
          <t>e) Timeprisen ned 5 % for å vinne jobber: 890 → 845,50 kr</t>
        </is>
      </c>
      <c r="C16" s="9" t="n">
        <v>3840000</v>
      </c>
      <c r="D16" s="23">
        <f>D12-890*0.05</f>
        <v/>
      </c>
    </row>
    <row r="17"/>
    <row r="18" ht="16" customHeight="1">
      <c r="B18" s="3" t="inlineStr">
        <is>
          <t>Oppgaven, trinn for trinn</t>
        </is>
      </c>
    </row>
    <row r="19" ht="60" customHeight="1">
      <c r="B19" s="2" t="inlineStr">
        <is>
          <t>1. Regn nullpunktet i timer for hvert tiltak: faste kostnader delt på dekningsbidrag per time. Rund opp til hele timer (a, c, d, e).
2. Regn den nye sikkerhetsmarginen i prosent etter a (b): (14 400 − nytt nullpunkt) / 14 400.
3. Regn resultatet i et stille år med 10 000 timer og uendret pris (f): timer × 360 − faste kostnader. Tap med minus.
4. Velg i g hvilket tiltak som gir lavest nullpunkt, og skriv rådet til Kari i h.</t>
        </is>
      </c>
    </row>
    <row r="20"/>
    <row r="21" ht="48" customHeight="1">
      <c r="B21" s="12" t="inlineStr">
        <is>
          <t>a) Nullpunkt i timer når de faste kostnadene stiger 10 %</t>
        </is>
      </c>
      <c r="C21" s="10" t="n"/>
      <c r="D21" s="14" t="inlineStr">
        <is>
          <t>timer</t>
        </is>
      </c>
      <c r="G21" s="15">
        <f>IF(C21="","Skriv svaret i den gule cellen.",IF(ISTEXT(C21),"Skriv bare tallet, uten mellomrom, enhet eller tekst. Enheten står ved siden av cellen. Du kan også skrive regnestykket med likhetstegn foran, for eksempel =2100000/7300.",IF(ABS(C21-(ROUND(3840000*1.1/360,0)))&lt;=1,"Riktig. 4 224 000 / 360 = 11 733,3, rundet opp til 11 734 timer.",IF(ABS(C21-(ROUND(3840000/360,0)))&lt;=1,"Det er nullpunktet i dag. Bruk de nye faste kostnadene, 4 224 000.",IF(ABS(C21-(ROUND(3840000*1.1/(360*1.1),0)))&lt;=1,"Du har økt dekningsbidraget per time også. Det er uendret på 360; bare de faste kostnadene stiger.",IF(IFERROR(AND(C21&lt;&gt;0,(ROUND(3840000*1.1/360,0))&lt;&gt;0,ROUND(LOG10(ABS(C21/(ROUND(3840000*1.1/360,0)))),0)&lt;&gt;0,ABS(LOG10(ABS(C21/(ROUND(3840000*1.1/360,0))))-ROUND(LOG10(ABS(C21/(ROUND(3840000*1.1/360,0)))),0))&lt;0.004),FALSE),"Sifrene stemmer, men antall nuller eller plasseringen av kommaet er feil. Sjekk om du har regnet i kroner, tusen kroner eller prosent.",IF(ABS(C21-(ROUND(3840000*1.1/360,0)))&lt;=MAX(1,0.01*ABS(ROUND(3840000*1.1/360,0))),"Riktig. 4 224 000 / 360 = 11 733,3, rundet opp til 11 734 timer. Svaret ditt ligger litt fra arkets tall fordi du har rundet av underveis. Det er helt greit.",IF(C21&gt;(ROUND(3840000*1.1/360,0)),"Ikke riktig ennå. Svaret ditt er for høyt. Tips: Se på regnestykket øverst på fanen, og sjekk at du har med alle leddene.","Ikke riktig ennå. Svaret ditt er for lavt. Tips: Se på regnestykket øverst på fanen, og sjekk at du har med alle leddene."))))))))</f>
        <v/>
      </c>
    </row>
    <row r="22" ht="48" customHeight="1">
      <c r="B22" s="12" t="inlineStr">
        <is>
          <t>b) Ny sikkerhetsmargin i prosent etter a: (14 400 − nytt nullpunkt) / 14 400</t>
        </is>
      </c>
      <c r="C22" s="13" t="n"/>
      <c r="D22" s="14" t="inlineStr">
        <is>
          <t>av timene</t>
        </is>
      </c>
      <c r="G22" s="15">
        <f>IF(C22="","Skriv svaret i den gule cellen.",IF(ISTEXT(C22),"Skriv bare tallet, uten mellomrom, enhet eller tekst. Enheten står ved siden av cellen. Du kan også skrive regnestykket med likhetstegn foran, for eksempel =2100000/7300.",IF(ABS(C22-((14400-ROUND(3840000*1.1/360,0))/14400))&lt;=0.003,"Riktig. (14 400 − 11 734) / 14 400 = 2 666 / 14 400 = 18,5 %.",IF(ABS(C22/100-((14400-ROUND(3840000*1.1/360,0))/14400))&lt;=0.003,"Riktig. (14 400 − 11 734) / 14 400 = 2 666 / 14 400 = 18,5 %.",IF(ABS(C22-((14400-ROUND(3840000/360,0))/14400))&lt;=0.003,"Det er marginen i dag, 25,9 %. Bruk det nye nullpunktet fra a.",IF(IFERROR(AND(C22&lt;&gt;0,((14400-ROUND(3840000*1.1/360,0))/14400)&lt;&gt;0,ROUND(LOG10(ABS(C22/((14400-ROUND(3840000*1.1/360,0))/14400))),0)&lt;&gt;0,ABS(LOG10(ABS(C22/((14400-ROUND(3840000*1.1/360,0))/14400)))-ROUND(LOG10(ABS(C22/((14400-ROUND(3840000*1.1/360,0))/14400))),0))&lt;0.004),FALSE),"Sifrene stemmer, men antall nuller eller plasseringen av kommaet er feil. Sjekk om du har regnet i kroner, tusen kroner eller prosent.",IF(ABS(C22-((14400-ROUND(3840000*1.1/360,0))/14400))&lt;=MAX(0.003,0.01*ABS((14400-ROUND(3840000*1.1/360,0))/14400)),"Riktig. (14 400 − 11 734) / 14 400 = 2 666 / 14 400 = 18,5 %. Svaret ditt ligger litt fra arkets tall fordi du har rundet av underveis. Det er helt greit.",IF(C22&gt;((14400-ROUND(3840000*1.1/360,0))/14400),"Ikke riktig ennå. Svaret ditt er for høyt. Tips: Margin i timer = 14 400 − nullpunktet fra a. Delt på 14 400. Cellen er prosentformatert.","Ikke riktig ennå. Svaret ditt er for lavt. Tips: Margin i timer = 14 400 − nullpunktet fra a. Delt på 14 400. Cellen er prosentformatert."))))))))</f>
        <v/>
      </c>
    </row>
    <row r="23" ht="48" customHeight="1">
      <c r="B23" s="12" t="inlineStr">
        <is>
          <t>c) Nullpunkt i timer når de faste kostnadene går ned 10 %</t>
        </is>
      </c>
      <c r="C23" s="10" t="n"/>
      <c r="D23" s="14" t="inlineStr">
        <is>
          <t>timer</t>
        </is>
      </c>
      <c r="G23" s="15">
        <f>IF(C23="","Skriv svaret i den gule cellen.",IF(ISTEXT(C23),"Skriv bare tallet, uten mellomrom, enhet eller tekst. Enheten står ved siden av cellen. Du kan også skrive regnestykket med likhetstegn foran, for eksempel =2100000/7300.",IF(ABS(C23-(ROUND(3840000*0.9/360,0)))&lt;=1,"Riktig. 3 456 000 / 360 = 9 600 timer.",IF(ABS(C23-(ROUND(3840000/360,0)))&lt;=1,"Det er nullpunktet i dag. Bruk de nye faste kostnadene, 3 456 000.",IF(IFERROR(AND(C23&lt;&gt;0,(ROUND(3840000*0.9/360,0))&lt;&gt;0,ROUND(LOG10(ABS(C23/(ROUND(3840000*0.9/360,0)))),0)&lt;&gt;0,ABS(LOG10(ABS(C23/(ROUND(3840000*0.9/360,0))))-ROUND(LOG10(ABS(C23/(ROUND(3840000*0.9/360,0)))),0))&lt;0.004),FALSE),"Sifrene stemmer, men antall nuller eller plasseringen av kommaet er feil. Sjekk om du har regnet i kroner, tusen kroner eller prosent.",IF(ABS(C23-(ROUND(3840000*0.9/360,0)))&lt;=MAX(1,0.01*ABS(ROUND(3840000*0.9/360,0))),"Riktig. 3 456 000 / 360 = 9 600 timer. Svaret ditt ligger litt fra arkets tall fordi du har rundet av underveis. Det er helt greit.",IF(C23&gt;(ROUND(3840000*0.9/360,0)),"Ikke riktig ennå. Svaret ditt er for høyt. Tips: Se på regnestykket øverst på fanen, og sjekk at du har med alle leddene.","Ikke riktig ennå. Svaret ditt er for lavt. Tips: Se på regnestykket øverst på fanen, og sjekk at du har med alle leddene.")))))))</f>
        <v/>
      </c>
    </row>
    <row r="24" ht="48" customHeight="1">
      <c r="B24" s="12" t="inlineStr">
        <is>
          <t>d) Nullpunkt i timer når timeprisen går opp 5 % (dekningsbidrag per time 360 + 44,50)</t>
        </is>
      </c>
      <c r="C24" s="10" t="n"/>
      <c r="D24" s="14" t="inlineStr">
        <is>
          <t>timer</t>
        </is>
      </c>
      <c r="G24" s="15">
        <f>IF(C24="","Skriv svaret i den gule cellen.",IF(ISTEXT(C24),"Skriv bare tallet, uten mellomrom, enhet eller tekst. Enheten står ved siden av cellen. Du kan også skrive regnestykket med likhetstegn foran, for eksempel =2100000/7300.",IF(ABS(C24-(ROUND(3840000/404.5,0)))&lt;=1,"Riktig. 3 840 000 / 404,50 = 9 493,2, rundet opp til 9 494 timer.",IF(ABS(C24-(ROUND(3840000/(360*1.05),0)))&lt;=1,"Du har økt dekningsbidraget med 5 %. Det er timeprisen som øker 5 %: 44,50 kr, og hele beløpet går inn i dekningsbidraget per time, som blir 404,50.",IF(ABS(C24-(ROUND(3840000/360,0)))&lt;=1,"Det er nullpunktet i dag. Dekningsbidraget per time er nå 360 + 44,50 = 404,50.",IF(IFERROR(AND(C24&lt;&gt;0,(ROUND(3840000/404.5,0))&lt;&gt;0,ROUND(LOG10(ABS(C24/(ROUND(3840000/404.5,0)))),0)&lt;&gt;0,ABS(LOG10(ABS(C24/(ROUND(3840000/404.5,0))))-ROUND(LOG10(ABS(C24/(ROUND(3840000/404.5,0)))),0))&lt;0.004),FALSE),"Sifrene stemmer, men antall nuller eller plasseringen av kommaet er feil. Sjekk om du har regnet i kroner, tusen kroner eller prosent.",IF(ABS(C24-(ROUND(3840000/404.5,0)))&lt;=MAX(1,0.01*ABS(ROUND(3840000/404.5,0))),"Riktig. 3 840 000 / 404,50 = 9 493,2, rundet opp til 9 494 timer. Svaret ditt ligger litt fra arkets tall fordi du har rundet av underveis. Det er helt greit.",IF(C24&gt;(ROUND(3840000/404.5,0)),"Ikke riktig ennå. Svaret ditt er for høyt. Tips: Se på regnestykket øverst på fanen, og sjekk at du har med alle leddene.","Ikke riktig ennå. Svaret ditt er for lavt. Tips: Se på regnestykket øverst på fanen, og sjekk at du har med alle leddene."))))))))</f>
        <v/>
      </c>
    </row>
    <row r="25" ht="48" customHeight="1">
      <c r="B25" s="12" t="inlineStr">
        <is>
          <t>e) Nullpunkt i timer når timeprisen går ned 5 % (dekningsbidrag per time 360 − 44,50)</t>
        </is>
      </c>
      <c r="C25" s="10" t="n"/>
      <c r="D25" s="14" t="inlineStr">
        <is>
          <t>timer</t>
        </is>
      </c>
      <c r="G25" s="15">
        <f>IF(C25="","Skriv svaret i den gule cellen.",IF(ISTEXT(C25),"Skriv bare tallet, uten mellomrom, enhet eller tekst. Enheten står ved siden av cellen. Du kan også skrive regnestykket med likhetstegn foran, for eksempel =2100000/7300.",IF(ABS(C25-(ROUND(3840000/315.5,0)))&lt;=1,"Riktig. 3 840 000 / 315,50 = 12 171,2, rundet opp til 12 172 timer.",IF(ABS(C25-(ROUND(3840000/(360*0.95),0)))&lt;=1,"Du har redusert dekningsbidraget med 5 %. Det er timeprisen som faller 5 %: 44,50 kr, så dekningsbidraget per time blir 315,50.",IF(ABS(C25-(ROUND(3840000/404.5,0)))&lt;=1,"Det er svaret i d, prisen opp. Her går prisen ned: 315,50 kr per time.",IF(IFERROR(AND(C25&lt;&gt;0,(ROUND(3840000/315.5,0))&lt;&gt;0,ROUND(LOG10(ABS(C25/(ROUND(3840000/315.5,0)))),0)&lt;&gt;0,ABS(LOG10(ABS(C25/(ROUND(3840000/315.5,0))))-ROUND(LOG10(ABS(C25/(ROUND(3840000/315.5,0)))),0))&lt;0.004),FALSE),"Sifrene stemmer, men antall nuller eller plasseringen av kommaet er feil. Sjekk om du har regnet i kroner, tusen kroner eller prosent.",IF(ABS(C25-(ROUND(3840000/315.5,0)))&lt;=MAX(1,0.01*ABS(ROUND(3840000/315.5,0))),"Riktig. 3 840 000 / 315,50 = 12 171,2, rundet opp til 12 172 timer. Svaret ditt ligger litt fra arkets tall fordi du har rundet av underveis. Det er helt greit.",IF(C25&gt;(ROUND(3840000/315.5,0)),"Ikke riktig ennå. Svaret ditt er for høyt. Tips: Se på regnestykket øverst på fanen, og sjekk at du har med alle leddene.","Ikke riktig ennå. Svaret ditt er for lavt. Tips: Se på regnestykket øverst på fanen, og sjekk at du har med alle leddene."))))))))</f>
        <v/>
      </c>
    </row>
    <row r="26" ht="48" customHeight="1">
      <c r="B26" s="12" t="inlineStr">
        <is>
          <t>f) Resultat i et stille år med 10 000 timer og uendret pris, med bokas forutsetning om at montørlønna følger timene (tap med minus)</t>
        </is>
      </c>
      <c r="C26" s="10" t="n"/>
      <c r="D26" s="14" t="inlineStr">
        <is>
          <t>kr</t>
        </is>
      </c>
      <c r="G26" s="15">
        <f>IF(C26="","Skriv svaret i den gule cellen.",IF(ISTEXT(C26),"Skriv bare tallet, uten mellomrom, enhet eller tekst. Enheten står ved siden av cellen. Du kan også skrive regnestykket med likhetstegn foran, for eksempel =2100000/7300.",IF(ABS(C26-(10000*360-3840000))&lt;=0.99,"Riktig. 10 000 × 360 − 3 840 000 = −240 000 kr med bokas forutsetning. Med fast montørlønn som løper uansett: 10 000 × 946 − 12 280 000 ≈ −2 820 000 kr.",IF(ABS(C26-(10000*360))&lt;=0.99,"Det er dekningsbidraget ved 10 000 timer. Trekk fra de faste kostnadene, 3 840 000.",IF(ABS(C26-(3840000-10000*360))&lt;=0.99,"Fortegnet er snudd: Nordlys taper penger ved 10 000 timer, så resultatet er negativt.",IF(ABS(C26-(14400*360-3840000))&lt;=0.99,"Det er resultatet ved 14 400 timer, 1 344 000. Oppgaven spør om 10 000 timer.",IF(IFERROR(AND(C26&lt;&gt;0,(10000*360-3840000)&lt;&gt;0,ROUND(LOG10(ABS(C26/(10000*360-3840000))),0)&lt;&gt;0,ABS(LOG10(ABS(C26/(10000*360-3840000)))-ROUND(LOG10(ABS(C26/(10000*360-3840000))),0))&lt;0.004),FALSE),"Sifrene stemmer, men antall nuller eller plasseringen av kommaet er feil. Sjekk om du har regnet i kroner, tusen kroner eller prosent.",IF(ABS(C26-(10000*360-3840000))&lt;=MAX(0.99,0.01*ABS(10000*360-3840000)),"Riktig. 10 000 × 360 − 3 840 000 = −240 000 kr med bokas forutsetning. Med fast montørlønn som løper uansett: 10 000 × 946 − 12 280 000 ≈ −2 820 000 kr. Svaret ditt ligger litt fra arkets tall fordi du har rundet av underveis. Det er helt greit.",IF(C26&gt;(10000*360-3840000),"Ikke riktig ennå. Svaret ditt er for høyt. Tips: Se på regnestykket øverst på fanen, og sjekk at du har med alle leddene.","Ikke riktig ennå. Svaret ditt er for lavt. Tips: Se på regnestykket øverst på fanen, og sjekk at du har med alle leddene.")))))))))</f>
        <v/>
      </c>
    </row>
    <row r="27"/>
    <row r="28" ht="40" customHeight="1">
      <c r="B28" s="12" t="inlineStr">
        <is>
          <t>g) Kari kan velge ett tiltak: timeprisen opp 5 % eller de faste kostnadene ned 10 %. Hvilket gir lavest nullpunkt?</t>
        </is>
      </c>
      <c r="C28" s="16" t="n"/>
      <c r="G28" s="15">
        <f>IF(C28="","Velg i nedtrekksmenyen.",IF(C28="Timeprisen opp 5 %","Riktig. 5 % på prisen er 44,50 kr, og hele beløpet går inn i dekningsbidraget per time: 12,4 % mer per time. 10 % på de faste er bare 10 % på de faste. Derfor 9 494 timer mot 9 600. Men prisen er også spaken kunden kan si nei til, og timeprisen skal regnes av normal aktivitet: et stille år er ingen grunn til å sette den opp (kapittel 5).","Ikke riktig. Les forklaringen og prøv et annet svar: 5 % på prisen er 44,50 kr, og hele beløpet går inn i dekningsbidraget per time: 12,4 % mer per time. 10 % på de faste er bare 10 % på de faste. Derfor 9 494 timer mot 9 600. Men prisen er også spaken kunden kan si nei til, og timeprisen skal regnes av normal aktivitet: et stille år er ingen grunn til å sette den opp (kapittel 5)."))</f>
        <v/>
      </c>
    </row>
    <row r="29"/>
    <row r="30" ht="30" customHeight="1">
      <c r="B30" s="2" t="inlineStr">
        <is>
          <t>h) Skriv rådet til Kari før det stille året: hva bør hun gjøre med timeprisen og de faste kostnadene, og hva sier tallene om et år med 10 000 timer? (Tre setninger.)</t>
        </is>
      </c>
    </row>
    <row r="31" ht="22" customHeight="1">
      <c r="B31" s="19" t="n"/>
    </row>
    <row r="32" ht="22" customHeight="1"/>
    <row r="33" ht="22" customHeight="1"/>
    <row r="34" ht="40" customHeight="1">
      <c r="B34" s="20">
        <f>IF(LEN(B31)&lt;40,"",IF(AND(ISNUMBER(SEARCH("pris",B31)),ISNUMBER(SEARCH("faste",B31))),"Bra: du tar stilling til både prisen og de faste kostnadene. Si også at et år med 10 000 timer går med tap uansett, så ordreboka må fylles først.",IF(OR(ISNUMBER(SEARCH("pris",B31)),ISNUMBER(SEARCH("faste",B31))),"Du er på sporet. Ta med både timeprisen (virker mest på papiret, men skal ikke settes opp fordi året blir stille) og de faste kostnadene (bilen og kontorplassen kan vente).","Tips: prisen flytter nullpunktet mest, men timeprisen regnes av normal aktivitet, og i et stille år mister du heller oppdrag. Bilen og kontorplassen bør vente til timene er der. Og 10 000 timer gir −240 000 kr med bokas forutsetning, og nær −2,8 millioner når montørene får fast lønn uansett: det er ordreboka som må fylles.")))</f>
        <v/>
      </c>
    </row>
    <row r="35">
      <c r="B35" s="17" t="inlineStr">
        <is>
          <t>Står du fast? Skriv JA i den gule cellen:</t>
        </is>
      </c>
      <c r="C35" s="16" t="n"/>
    </row>
    <row r="36" ht="45" customHeight="1">
      <c r="B36" s="18">
        <f>IF(C35="JA","Hint: a: 4 224 000 / 360 = 11 733,3 → 11 734. b: (14 400 − 11 734) / 14 400 = 18,5 %. c: 3 456 000 / 360 = 9 600. d: 3 840 000 / 404,50 = 9 493,2 → 9 494. e: 3 840 000 / 315,50 = 12 171,2 → 12 172. f: 10 000 × 360 − 3 840 000 = −240 000.","")</f>
        <v/>
      </c>
    </row>
    <row r="37"/>
    <row r="38" ht="30" customHeight="1">
      <c r="B38" s="5" t="inlineStr">
        <is>
          <t>Gule celler fyller du inn, gjerne som regnestykke: =2100000/7300. Grønne regnes ut av arket. Sjekken til høyre sier om svaret stemmer, og hva du bør se på hvis ikke.</t>
        </is>
      </c>
    </row>
  </sheetData>
  <mergeCells count="15">
    <mergeCell ref="B3:G3"/>
    <mergeCell ref="B2:G2"/>
    <mergeCell ref="B19:G19"/>
    <mergeCell ref="B34:G34"/>
    <mergeCell ref="B10:G10"/>
    <mergeCell ref="B38:G38"/>
    <mergeCell ref="B5:G5"/>
    <mergeCell ref="B36:G36"/>
    <mergeCell ref="B9:G9"/>
    <mergeCell ref="B31:G33"/>
    <mergeCell ref="B4:G4"/>
    <mergeCell ref="B18:G18"/>
    <mergeCell ref="B30:G30"/>
    <mergeCell ref="B7:G7"/>
    <mergeCell ref="B6:G6"/>
  </mergeCells>
  <conditionalFormatting sqref="G21">
    <cfRule type="expression" priority="1" dxfId="0">
      <formula>LEFT(G21,6)="Riktig"</formula>
    </cfRule>
    <cfRule type="expression" priority="2" dxfId="2">
      <formula>LEFT(G21,6)="Nesten"</formula>
    </cfRule>
    <cfRule type="expression" priority="3" dxfId="1">
      <formula>AND(G21&lt;&gt;"",LEFT(G21,6)&lt;&gt;"Riktig",LEFT(G21,6)&lt;&gt;"Nesten",LEFT(G21,5)&lt;&gt;"Skriv")</formula>
    </cfRule>
  </conditionalFormatting>
  <conditionalFormatting sqref="G22">
    <cfRule type="expression" priority="4" dxfId="0">
      <formula>LEFT(G22,6)="Riktig"</formula>
    </cfRule>
    <cfRule type="expression" priority="5" dxfId="2">
      <formula>LEFT(G22,6)="Nesten"</formula>
    </cfRule>
    <cfRule type="expression" priority="6" dxfId="1">
      <formula>AND(G22&lt;&gt;"",LEFT(G22,6)&lt;&gt;"Riktig",LEFT(G22,6)&lt;&gt;"Nesten",LEFT(G22,5)&lt;&gt;"Skriv")</formula>
    </cfRule>
  </conditionalFormatting>
  <conditionalFormatting sqref="G23">
    <cfRule type="expression" priority="7" dxfId="0">
      <formula>LEFT(G23,6)="Riktig"</formula>
    </cfRule>
    <cfRule type="expression" priority="8" dxfId="2">
      <formula>LEFT(G23,6)="Nesten"</formula>
    </cfRule>
    <cfRule type="expression" priority="9" dxfId="1">
      <formula>AND(G23&lt;&gt;"",LEFT(G23,6)&lt;&gt;"Riktig",LEFT(G23,6)&lt;&gt;"Nesten",LEFT(G23,5)&lt;&gt;"Skriv")</formula>
    </cfRule>
  </conditionalFormatting>
  <conditionalFormatting sqref="G24">
    <cfRule type="expression" priority="10" dxfId="0">
      <formula>LEFT(G24,6)="Riktig"</formula>
    </cfRule>
    <cfRule type="expression" priority="11" dxfId="2">
      <formula>LEFT(G24,6)="Nesten"</formula>
    </cfRule>
    <cfRule type="expression" priority="12" dxfId="1">
      <formula>AND(G24&lt;&gt;"",LEFT(G24,6)&lt;&gt;"Riktig",LEFT(G24,6)&lt;&gt;"Nesten",LEFT(G24,5)&lt;&gt;"Skriv")</formula>
    </cfRule>
  </conditionalFormatting>
  <conditionalFormatting sqref="G25">
    <cfRule type="expression" priority="13" dxfId="0">
      <formula>LEFT(G25,6)="Riktig"</formula>
    </cfRule>
    <cfRule type="expression" priority="14" dxfId="2">
      <formula>LEFT(G25,6)="Nesten"</formula>
    </cfRule>
    <cfRule type="expression" priority="15" dxfId="1">
      <formula>AND(G25&lt;&gt;"",LEFT(G25,6)&lt;&gt;"Riktig",LEFT(G25,6)&lt;&gt;"Nesten",LEFT(G25,5)&lt;&gt;"Skriv")</formula>
    </cfRule>
  </conditionalFormatting>
  <conditionalFormatting sqref="G26">
    <cfRule type="expression" priority="16" dxfId="0">
      <formula>LEFT(G26,6)="Riktig"</formula>
    </cfRule>
    <cfRule type="expression" priority="17" dxfId="2">
      <formula>LEFT(G26,6)="Nesten"</formula>
    </cfRule>
    <cfRule type="expression" priority="18" dxfId="1">
      <formula>AND(G26&lt;&gt;"",LEFT(G26,6)&lt;&gt;"Riktig",LEFT(G26,6)&lt;&gt;"Nesten",LEFT(G26,5)&lt;&gt;"Skriv")</formula>
    </cfRule>
  </conditionalFormatting>
  <conditionalFormatting sqref="G28">
    <cfRule type="expression" priority="19" dxfId="0">
      <formula>LEFT(G28,6)="Riktig"</formula>
    </cfRule>
    <cfRule type="expression" priority="20" dxfId="1">
      <formula>LEFT(G28,4)="Ikke"</formula>
    </cfRule>
  </conditionalFormatting>
  <dataValidations count="2">
    <dataValidation sqref="C28" showDropDown="0" showInputMessage="0" showErrorMessage="0" allowBlank="1" type="list">
      <formula1>$Z$1:$Z$3</formula1>
    </dataValidation>
    <dataValidation sqref="C35"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B2:D26"/>
  <sheetViews>
    <sheetView workbookViewId="0">
      <selection activeCell="A1" sqref="A1"/>
    </sheetView>
  </sheetViews>
  <sheetFormatPr baseColWidth="8" defaultRowHeight="15"/>
  <cols>
    <col width="3" customWidth="1" min="1" max="1"/>
    <col width="40" customWidth="1" min="2" max="2"/>
    <col width="16" customWidth="1" min="3" max="3"/>
    <col width="78" customWidth="1" min="4" max="4"/>
  </cols>
  <sheetData>
    <row r="2">
      <c r="B2" s="24" t="inlineStr">
        <is>
          <t>Fasit, kapittel 8</t>
        </is>
      </c>
    </row>
    <row r="3" ht="30" customHeight="1">
      <c r="B3" s="5" t="inlineStr">
        <is>
          <t>Prøv oppgaven selv før du leser her. Regnestykket står ved siden av hvert svar. Tallene hentes fra fasitformlene, så de stemmer alltid med oppgavefanene.</t>
        </is>
      </c>
    </row>
    <row r="5">
      <c r="B5" s="25" t="inlineStr">
        <is>
          <t>Oppgave</t>
        </is>
      </c>
      <c r="C5" s="25" t="inlineStr">
        <is>
          <t>Svar</t>
        </is>
      </c>
      <c r="D5" s="25" t="inlineStr">
        <is>
          <t>Regnestykket</t>
        </is>
      </c>
    </row>
    <row r="6" ht="30" customHeight="1">
      <c r="B6" s="26" t="inlineStr">
        <is>
          <t>1A a) Dekningsbidrag totalt</t>
        </is>
      </c>
      <c r="C6" s="22" t="n">
        <v>5184000</v>
      </c>
      <c r="D6" s="26" t="inlineStr">
        <is>
          <t>22 400 000 − 17 216 000 = 5 184 000 kr</t>
        </is>
      </c>
    </row>
    <row r="7" ht="30" customHeight="1">
      <c r="B7" s="26" t="inlineStr">
        <is>
          <t>1A b) Dekningsgrad</t>
        </is>
      </c>
      <c r="C7" s="22" t="inlineStr"/>
      <c r="D7" s="26" t="inlineStr">
        <is>
          <t>5 184 000 × 100 / 22 400 000 = 23,1 %</t>
        </is>
      </c>
    </row>
    <row r="8" ht="30" customHeight="1">
      <c r="B8" s="26" t="inlineStr">
        <is>
          <t>1A c) Nullpunktomsetning</t>
        </is>
      </c>
      <c r="C8" s="22" t="n">
        <v>16592593</v>
      </c>
      <c r="D8" s="26" t="inlineStr">
        <is>
          <t>3 840 000 / 0,2314 = 16 592 593 kr, om lag 16,6 millioner (16 623 377 med dekningsgrad avrundet til 23,1 %)</t>
        </is>
      </c>
    </row>
    <row r="9" ht="30" customHeight="1">
      <c r="B9" s="26" t="inlineStr">
        <is>
          <t>1A d) Dekningsbidrag per time</t>
        </is>
      </c>
      <c r="C9" s="22" t="n">
        <v>360</v>
      </c>
      <c r="D9" s="26" t="inlineStr">
        <is>
          <t>5 184 000 / 14 400 = 360 kr</t>
        </is>
      </c>
    </row>
    <row r="10" ht="30" customHeight="1">
      <c r="B10" s="26" t="inlineStr">
        <is>
          <t>1A e) Nullpunkt i timer</t>
        </is>
      </c>
      <c r="C10" s="22" t="n">
        <v>10667</v>
      </c>
      <c r="D10" s="26" t="inlineStr">
        <is>
          <t>3 840 000 / 360 = 10 666,7, rundet opp til 10 667 timer. Kontroll: 10 667 × 1 556 ≈ 16,6 millioner</t>
        </is>
      </c>
    </row>
    <row r="11" ht="30" customHeight="1">
      <c r="B11" s="26" t="inlineStr">
        <is>
          <t>1A f) Kollegaens feil</t>
        </is>
      </c>
      <c r="C11" s="22" t="inlineStr"/>
      <c r="D11" s="26" t="inlineStr">
        <is>
          <t>Dekningsbidraget i kroner står der dekningsgraden skal stå. Riktig: 3 840 000 × 100 / 23,14 = 16 592 593 kr</t>
        </is>
      </c>
    </row>
    <row r="12" ht="30" customHeight="1">
      <c r="B12" s="26" t="inlineStr">
        <is>
          <t>1B a) Sikkerhetsmargin i kroner</t>
        </is>
      </c>
      <c r="C12" s="22" t="n">
        <v>5807407</v>
      </c>
      <c r="D12" s="26" t="inlineStr">
        <is>
          <t>22 400 000 − 16 592 593 = 5 807 407 kr</t>
        </is>
      </c>
    </row>
    <row r="13" ht="30" customHeight="1">
      <c r="B13" s="26" t="inlineStr">
        <is>
          <t>1B b) Sikkerhetsmargin i prosent</t>
        </is>
      </c>
      <c r="C13" s="22" t="inlineStr"/>
      <c r="D13" s="26" t="inlineStr">
        <is>
          <t>5 807 407 × 100 / 22 400 000 = 25,9 % med bokas forutsetning om variabel montørlønn. Med fast montørlønn: nullpunkt 12 980 timer og margin 9,9 %</t>
        </is>
      </c>
    </row>
    <row r="14" ht="30" customHeight="1">
      <c r="B14" s="26" t="inlineStr">
        <is>
          <t>1B c) Sikkerhetsmargin i timer</t>
        </is>
      </c>
      <c r="C14" s="22" t="n">
        <v>3733</v>
      </c>
      <c r="D14" s="26" t="inlineStr">
        <is>
          <t>14 400 − 10 667 = 3 733 timer</t>
        </is>
      </c>
    </row>
    <row r="15" ht="30" customHeight="1">
      <c r="B15" s="26" t="inlineStr">
        <is>
          <t>1B d) Dekningsbidrag per oppdrag</t>
        </is>
      </c>
      <c r="C15" s="22" t="n">
        <v>7300</v>
      </c>
      <c r="D15" s="26" t="inlineStr">
        <is>
          <t>18 500 − 11 200 = 7 300 kr</t>
        </is>
      </c>
    </row>
    <row r="16" ht="30" customHeight="1">
      <c r="B16" s="26" t="inlineStr">
        <is>
          <t>1B e) Nullpunkt i oppdrag</t>
        </is>
      </c>
      <c r="C16" s="22" t="n">
        <v>288</v>
      </c>
      <c r="D16" s="26" t="inlineStr">
        <is>
          <t>2 100 000 / 7 300 = 287,7, rundet opp til 288 oppdrag</t>
        </is>
      </c>
    </row>
    <row r="17" ht="30" customHeight="1">
      <c r="B17" s="26" t="inlineStr">
        <is>
          <t>1B f) Resultat ved 210 oppdrag</t>
        </is>
      </c>
      <c r="C17" s="22" t="n">
        <v>-567000</v>
      </c>
      <c r="D17" s="26" t="inlineStr">
        <is>
          <t>210 × 7 300 − 2 100 000 = −567 000 kr</t>
        </is>
      </c>
    </row>
    <row r="18" ht="45" customHeight="1">
      <c r="B18" s="26" t="inlineStr">
        <is>
          <t>1B g) Svaret til Tom</t>
        </is>
      </c>
      <c r="C18" s="22" t="inlineStr"/>
      <c r="D18" s="26" t="inlineStr">
        <is>
          <t>Nullpunktet er 288 oppdrag; 210 er 78 under, og avdelingen taper 567 000 kr. Kapasiteten er 400, så det står ikke på montørene. Mye å gjøre er ikke det samme som lønnsomt</t>
        </is>
      </c>
    </row>
    <row r="19" ht="30" customHeight="1">
      <c r="B19" s="26" t="inlineStr">
        <is>
          <t>1C a) Faste + 10 %</t>
        </is>
      </c>
      <c r="C19" s="22" t="n">
        <v>11734</v>
      </c>
      <c r="D19" s="26" t="inlineStr">
        <is>
          <t>4 224 000 / 360 = 11 733,3, rundet opp til 11 734 timer</t>
        </is>
      </c>
    </row>
    <row r="20" ht="30" customHeight="1">
      <c r="B20" s="26" t="inlineStr">
        <is>
          <t>1C b) Ny sikkerhetsmargin</t>
        </is>
      </c>
      <c r="C20" s="22" t="inlineStr"/>
      <c r="D20" s="26" t="inlineStr">
        <is>
          <t>(14 400 − 11 734) / 14 400 = 2 666 / 14 400 = 18,5 %</t>
        </is>
      </c>
    </row>
    <row r="21" ht="30" customHeight="1">
      <c r="B21" s="26" t="inlineStr">
        <is>
          <t>1C c) Faste − 10 %</t>
        </is>
      </c>
      <c r="C21" s="22" t="n">
        <v>9600</v>
      </c>
      <c r="D21" s="26" t="inlineStr">
        <is>
          <t>3 456 000 / 360 = 9 600 timer</t>
        </is>
      </c>
    </row>
    <row r="22" ht="30" customHeight="1">
      <c r="B22" s="26" t="inlineStr">
        <is>
          <t>1C d) Timepris + 5 %</t>
        </is>
      </c>
      <c r="C22" s="22" t="n">
        <v>9494</v>
      </c>
      <c r="D22" s="26" t="inlineStr">
        <is>
          <t>3 840 000 / 404,50 = 9 493,2, rundet opp til 9 494 timer</t>
        </is>
      </c>
    </row>
    <row r="23" ht="30" customHeight="1">
      <c r="B23" s="26" t="inlineStr">
        <is>
          <t>1C e) Timepris − 5 %</t>
        </is>
      </c>
      <c r="C23" s="22" t="n">
        <v>12172</v>
      </c>
      <c r="D23" s="26" t="inlineStr">
        <is>
          <t>3 840 000 / 315,50 = 12 171,2, rundet opp til 12 172 timer</t>
        </is>
      </c>
    </row>
    <row r="24" ht="30" customHeight="1">
      <c r="B24" s="26" t="inlineStr">
        <is>
          <t>1C f) Resultat ved 10 000 timer</t>
        </is>
      </c>
      <c r="C24" s="22" t="n">
        <v>-240000</v>
      </c>
      <c r="D24" s="26" t="inlineStr">
        <is>
          <t>10 000 × 360 − 3 840 000 = −240 000 kr med bokas forutsetning. Med fast montørlønn som løper uansett: 10 000 × 946 − 12 280 000 ≈ −2 820 000 kr</t>
        </is>
      </c>
    </row>
    <row r="25" ht="30" customHeight="1">
      <c r="B25" s="26" t="inlineStr">
        <is>
          <t>1C g) Lavest nullpunkt</t>
        </is>
      </c>
      <c r="C25" s="22" t="inlineStr"/>
      <c r="D25" s="26" t="inlineStr">
        <is>
          <t>Timeprisen opp 5 %: 9 494 timer mot 9 600. 44,50 kr er 12,4 % av dekningsbidraget per time</t>
        </is>
      </c>
    </row>
    <row r="26" ht="60" customHeight="1">
      <c r="B26" s="26" t="inlineStr">
        <is>
          <t>1C h) Rådet til Kari</t>
        </is>
      </c>
      <c r="C26" s="22" t="inlineStr"/>
      <c r="D26" s="26" t="inlineStr">
        <is>
          <t>Ikke sett opp timeprisen fordi året blir stille: prisen regnes av normal aktivitet (kapittel 5), og kunden kan si nei. Bilen og kontorplassen bør vente til timene er der. Et år med 10 000 timer gir −240 000 kr etter boka og om lag −2,8 millioner med fast montørlønn; ordreboka må fylles først</t>
        </is>
      </c>
    </row>
  </sheetData>
  <sheetProtection selectLockedCells="0" selectUnlockedCells="0" sheet="1" objects="0" insertRows="1" insertHyperlinks="1" autoFilter="1" scenarios="0" formatColumns="1" deleteColumns="1" insertColumns="1" pivotTables="1" deleteRows="1" formatCells="1" formatRows="1" sort="1"/>
  <mergeCells count="1">
    <mergeCell ref="B3:D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2026-10-31T05:58:22Z</dcterms:created>
  <dcterms:modified xmlns:dcterms="http://purl.org/dc/terms/" xmlns:xsi="http://www.w3.org/2001/XMLSchema-instance" xsi:type="dcterms:W3CDTF">2026-10-31T05:58:22Z</dcterms:modified>
</cp:coreProperties>
</file>