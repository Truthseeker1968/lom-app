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her" sheetId="1" state="visible" r:id="rId3"/>
    <sheet name="1A" sheetId="2" state="visible" r:id="rId4"/>
    <sheet name="1B" sheetId="3" state="visible" r:id="rId5"/>
    <sheet name="1C" sheetId="4" state="visible" r:id="rId6"/>
    <sheet name="Fasit"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<sst xmlns="http://schemas.openxmlformats.org/spreadsheetml/2006/main" count="168" uniqueCount="144">
  <si>
    <t xml:space="preserve">Nullpunktsanalyse: oppgaver til kapittel 8</t>
  </si>
  <si>
    <t xml:space="preserve">Økonomistyring for LØM-emnet (Hjertnes og Skorpen), kapittel 8. Versjon 6, oktober 2026. Nordlys Elektro AS og Fjell Elektro AS er konstruerte casebedrifter; tallene er faktaarkene.</t>
  </si>
  <si>
    <t xml:space="preserve">Slik bruker du arbeidsboka</t>
  </si>
  <si>
    <t xml:space="preserve">Hver fane er én oppgave. Øverst på fanen står situasjonen, så begrepene og tallene du trenger, så oppgaven trinn for trinn, og til slutt svarfeltene. Alt du trenger for å løse oppgaven, står på fanen. Du kan jobbe alene, i par eller i gruppe; det velger du selv.</t>
  </si>
  <si>
    <t xml:space="preserve">Fargene forteller hva du skal gjøre. Gule celler fyller du inn selv. Hvite celler er tall som er gitt. Grønne celler regner arket ut for deg, og dem skal du ikke endre.</t>
  </si>
  <si>
    <t xml:space="preserve">Ved siden av hvert svarfelt står en sjekk. Den sier «Riktig» når svaret stemmer. Er svaret feil, sier den hva som sannsynligvis gikk galt, slik at du vet hva du skal se på en gang til. Sjekken gir ikke svaret.</t>
  </si>
  <si>
    <t xml:space="preserve">Står du helt fast, skriver du JA i cellen «Står du fast?» på fanen. Da kommer regnestykket fram med ord. Fasiten med alle tall og utregninger ligger på den siste fanen, «Fasit». Prøv oppgaven selv før du ser der.</t>
  </si>
  <si>
    <t xml:space="preserve">Fanene</t>
  </si>
  <si>
    <t xml:space="preserve">1A  Nordlys 2026: nullpunktet i kroner og i timer</t>
  </si>
  <si>
    <t xml:space="preserve">1B  Sikkerhetsmarginen, og serviceavdelingen som har mye å gjøre</t>
  </si>
  <si>
    <t xml:space="preserve">1C  Fire tiltak før et stille år: hva skjer med nullpunktet?</t>
  </si>
  <si>
    <t xml:space="preserve">Fasit  Alle svar med regnestykket skrevet ut</t>
  </si>
  <si>
    <t xml:space="preserve">Dette er øvingsmateriell til repetisjons- og øvingsstøtte. I besvarelser, caser, prosjektoppgaver og eksamen gjelder lærebøkene og oppgitte primærkilder.</t>
  </si>
  <si>
    <t xml:space="preserve">Han har brukt dekningsbidraget i kroner der dekningsgraden i prosent skal stå</t>
  </si>
  <si>
    <t xml:space="preserve">Oppgave 1A: Nordlys 2026: nullpunktet i kroner og i timer</t>
  </si>
  <si>
    <t xml:space="preserve">Han har glemt å runde opp til hele timer</t>
  </si>
  <si>
    <t xml:space="preserve">Alene, i par eller i gruppe, slik du vil.</t>
  </si>
  <si>
    <t xml:space="preserve">Han har glemt merverdiavgiften på salgsinntekten</t>
  </si>
  <si>
    <t xml:space="preserve">Situasjonen</t>
  </si>
  <si>
    <t xml:space="preserve">Kari Nordlund er daglig leder i Nordlys Elektro. Hun legger budsjettet for 2027, og et nybyggprosjekt kan bli utsatt. Hun spør Ida, som er kalkulatør: hvor mye må vi selge for å gå i null? Regnskapet for 2026 er delt i faste og variable kostnader, slik kapittel 2 gjør det.</t>
  </si>
  <si>
    <t xml:space="preserve">Begrepene du trenger</t>
  </si>
  <si>
    <t xml:space="preserve">Dekningsbidrag = salgsinntekt − variable kostnader. Dekningsgrad = dekningsbidrag / salgsinntekt: øre igjen av hver krone etter de variable. Nullpunktomsetning = faste kostnader / dekningsgrad. Dekningsbidrag per time = dekningsbidrag / fakturerte timer. Nullpunkt i timer = faste kostnader / dekningsbidrag per time. I nullpunktet er dekningsbidraget akkurat lik de faste kostnadene.</t>
  </si>
  <si>
    <t xml:space="preserve">Tallene, i kroner</t>
  </si>
  <si>
    <t xml:space="preserve">Nordlys' resultatregnskap for 2026, delt i faste og variable kostnader slik kapittel 2 gjør det. Dekningsbidraget regner du selv.</t>
  </si>
  <si>
    <t xml:space="preserve">Nordlys 2026</t>
  </si>
  <si>
    <t xml:space="preserve">Kroner</t>
  </si>
  <si>
    <t xml:space="preserve">Salgsinntekt (14 400 fakturerte timer, timepris 890 kr pluss materiell)</t>
  </si>
  <si>
    <t xml:space="preserve">Variable kostnader (materiell, montørlønn, innleie, kjøring)</t>
  </si>
  <si>
    <t xml:space="preserve">Dekningsbidrag totalt (salgsinntekt − variable kostnader)</t>
  </si>
  <si>
    <t xml:space="preserve">Faste kostnader (administrasjon, avskrivninger, husleie, forsikring)</t>
  </si>
  <si>
    <t xml:space="preserve">Fakturerte timer</t>
  </si>
  <si>
    <t xml:space="preserve">Oppgaven, trinn for trinn</t>
  </si>
  <si>
    <t xml:space="preserve">1. Regn dekningsbidraget totalt i den gule cellen i tabellen (a): salgsinntekt minus variable kostnader.
2. Regn dekningsgraden (b): dekningsbidrag delt på salgsinntekt. Cellen er prosentformatert, så skriv for eksempel 25 % eller 0,25.
3. Regn nullpunktomsetningen (c): faste kostnader delt på dekningsgraden som desimaltall. Svar i hele kroner.
4. Regn dekningsbidraget per fakturert time (d) og nullpunktet i timer (e). Rund opp til hele timer.
5. Velg i f hva kollegaen gjorde feil.</t>
  </si>
  <si>
    <t xml:space="preserve">Sjekk av tabellen</t>
  </si>
  <si>
    <t xml:space="preserve">a) Dekningsbidrag totalt (den gule cellen i tabellen):</t>
  </si>
  <si>
    <t xml:space="preserve">b) Dekningsgrad: dekningsbidrag delt på salgsinntekt (prosent)</t>
  </si>
  <si>
    <t xml:space="preserve">av salget</t>
  </si>
  <si>
    <t xml:space="preserve">c) Nullpunktomsetning: faste kostnader delt på dekningsgraden (hele kroner)</t>
  </si>
  <si>
    <t xml:space="preserve">kr</t>
  </si>
  <si>
    <t xml:space="preserve">d) Dekningsbidrag per fakturert time: dekningsbidrag delt på timene (hele kroner)</t>
  </si>
  <si>
    <t xml:space="preserve">kr per time</t>
  </si>
  <si>
    <t xml:space="preserve">e) Nullpunkt i fakturerte timer: faste kostnader delt på dekningsbidrag per time (rund opp)</t>
  </si>
  <si>
    <t xml:space="preserve">timer</t>
  </si>
  <si>
    <t xml:space="preserve">f) En kollega regner nullpunktomsetningen slik: 3 840 000 × 100 / 5 184 000 = 74 kr. Hva har han gjort feil?</t>
  </si>
  <si>
    <t xml:space="preserve">Står du fast? Skriv JA i den gule cellen:</t>
  </si>
  <si>
    <t xml:space="preserve">Gule celler fyller du inn. Grønne regnes ut av arket. Sjekken til høyre forteller om svaret stemmer, og hva du bør se på hvis ikke.</t>
  </si>
  <si>
    <t xml:space="preserve">Oppgave 1B: Sikkerhetsmarginen, og serviceavdelingen som har mye å gjøre</t>
  </si>
  <si>
    <t xml:space="preserve">Først hele Nordlys: hvor mye kan salget svikte før tapet kommer? Så serviceavdelingen: Tom Berg er driftsleder, og to av montørene hans tar sikringsskapbytter, feilsøking og el-kontroller. Tom har planlagt 210 oppdrag neste år, montørene har mye å gjøre, og han mener avdelingen bærer seg.</t>
  </si>
  <si>
    <t xml:space="preserve">Sikkerhetsmargin (boka: risikomargin) = virkelig salg − salget i nullpunktet, i kroner, timer eller prosent av salget. Dekningsbidrag per oppdrag = pris − variable kostnader per oppdrag. Nullpunkt i antall = faste kostnader / dekningsbidrag per enhet, rundet opp. Resultat = dekningsbidrag totalt − faste kostnader.</t>
  </si>
  <si>
    <t xml:space="preserve">Tallene</t>
  </si>
  <si>
    <t xml:space="preserve">Hele Nordlys 2026: salgsinntekt 22 400 000 kr, nullpunktomsetning 16 592 593 kr (fra oppgave 1A), 14 400 fakturerte timer og nullpunkt 10 667 timer. Serviceavdelingen: et oppdrag faktureres med 18 500 kr uten merverdiavgift, materiellet og montørtimene på jobben koster 11 200 kr, avdelingens faste kostnader er 2 100 000 kr i året, og Tom har planlagt 210 oppdrag. Kapasiteten er 400 oppdrag.</t>
  </si>
  <si>
    <t xml:space="preserve">Hele Nordlys 2026</t>
  </si>
  <si>
    <t xml:space="preserve">Verdi</t>
  </si>
  <si>
    <t xml:space="preserve">Salgsinntekt, kr</t>
  </si>
  <si>
    <t xml:space="preserve">Nullpunktomsetning, kr (fra oppgave 1A)</t>
  </si>
  <si>
    <t xml:space="preserve">Nullpunkt i timer (fra oppgave 1A)</t>
  </si>
  <si>
    <t xml:space="preserve">Serviceavdelingen</t>
  </si>
  <si>
    <t xml:space="preserve">Pris per oppdrag, kr uten merverdiavgift</t>
  </si>
  <si>
    <t xml:space="preserve">Variable kostnader per oppdrag, kr (materiell og timer)</t>
  </si>
  <si>
    <t xml:space="preserve">Faste kostnader i året, kr</t>
  </si>
  <si>
    <t xml:space="preserve">Planlagte oppdrag</t>
  </si>
  <si>
    <t xml:space="preserve">Kapasitet, oppdrag</t>
  </si>
  <si>
    <t xml:space="preserve">1. Sikkerhetsmarginen for hele Nordlys: i kroner (a), i prosent av salgsinntekten (b) og i timer (c).
2. Serviceavdelingen: dekningsbidraget per oppdrag (d), nullpunktet i antall oppdrag, rundet opp (e), og resultatet ved 210 oppdrag (f). Et tap skriver du med minus foran.
3. Svar Tom i g.</t>
  </si>
  <si>
    <t xml:space="preserve">a) Sikkerhetsmargin i kroner: salgsinntekt minus nullpunktomsetning</t>
  </si>
  <si>
    <t xml:space="preserve">b) Sikkerhetsmargin i prosent av salgsinntekten</t>
  </si>
  <si>
    <t xml:space="preserve">c) Sikkerhetsmargin i timer: fakturerte timer minus nullpunkt i timer</t>
  </si>
  <si>
    <t xml:space="preserve">d) Serviceavdelingen: dekningsbidrag per oppdrag</t>
  </si>
  <si>
    <t xml:space="preserve">kr per oppdrag</t>
  </si>
  <si>
    <t xml:space="preserve">e) Nullpunkt i antall oppdrag: faste kostnader delt på dekningsbidrag per oppdrag (rund opp)</t>
  </si>
  <si>
    <t xml:space="preserve">oppdrag</t>
  </si>
  <si>
    <t xml:space="preserve">f) Resultat ved 210 oppdrag: dekningsbidrag ved 210 minus faste kostnader (tap med minus)</t>
  </si>
  <si>
    <t xml:space="preserve">g) Tom sier at serviceavdelingen bærer seg fordi montørene har mye å gjøre. Svar ham i to setninger, med nullpunktet og resultatet ved 210 oppdrag.</t>
  </si>
  <si>
    <t xml:space="preserve">Timeprisen opp 5 %</t>
  </si>
  <si>
    <t xml:space="preserve">Oppgave 1C: Fire tiltak før et stille år: hva skjer med nullpunktet?</t>
  </si>
  <si>
    <t xml:space="preserve">Faste kostnader ned 10 %</t>
  </si>
  <si>
    <t xml:space="preserve">De gir samme nullpunkt</t>
  </si>
  <si>
    <t xml:space="preserve">Kari tror 2027 blir et stille år og vurderer fire tiltak: en ny servicebil på leasing og én til på kontoret, eller det motsatte: si opp leasingen på en bil og kutte kurs. Og timeprisen: opp 5 % for å tjene mer per time, eller ned 5 % for å vinne flere jobber. Hun endrer én ting om gangen, slik boka gjør det.</t>
  </si>
  <si>
    <t xml:space="preserve">Nullpunkt i timer = faste kostnader / dekningsbidrag per time. En endring i de faste kostnadene flytter nullpunktet uten å røre dekningsbidraget. En endring i timeprisen går i sin helhet inn i dekningsbidraget per time, for de variable kostnadene er de samme. Resultat = timer × dekningsbidrag per time − faste kostnader.</t>
  </si>
  <si>
    <t xml:space="preserve">Nordlys i dag: faste kostnader 3 840 000 kr, dekningsbidrag 360 kr per fakturert time, 14 400 fakturerte timer, timepris 890 kr. Nullpunktet er 10 667 timer. Kari vurderer fire tiltak før det hun tror blir et stille år, og hun endrer én ting om gangen, slik boka gjør det i eksempeloppgaven i avsnitt 8.3.</t>
  </si>
  <si>
    <t xml:space="preserve">Tiltak</t>
  </si>
  <si>
    <t xml:space="preserve">Faste kostnader</t>
  </si>
  <si>
    <t xml:space="preserve">Dekningsbidrag per time</t>
  </si>
  <si>
    <t xml:space="preserve">I dag</t>
  </si>
  <si>
    <t xml:space="preserve">a) Ny servicebil på leasing og én til på kontoret: faste kostnader opp 10 %</t>
  </si>
  <si>
    <t xml:space="preserve">c) Si opp leasingen på en bil og kutte kurs: faste kostnader ned 10 %</t>
  </si>
  <si>
    <t xml:space="preserve">d) Timeprisen opp 5 %: 890 → 934,50 kr</t>
  </si>
  <si>
    <t xml:space="preserve">e) Timeprisen ned 5 % for å vinne jobber: 890 → 845,50 kr</t>
  </si>
  <si>
    <t xml:space="preserve">1. Regn nullpunktet i timer for hvert tiltak: faste kostnader delt på dekningsbidrag per time. Rund opp til hele timer (a, c, d, e).
2. Regn den nye sikkerhetsmarginen i prosent etter a (b): (14 400 − nytt nullpunkt) / 14 400.
3. Regn resultatet i et stille år med 10 000 timer og uendret pris (f): timer × 360 − faste kostnader. Tap med minus.
4. Velg i g hvilket tiltak som gir lavest nullpunkt, og skriv rådet til Kari i h.</t>
  </si>
  <si>
    <t xml:space="preserve">a) Nullpunkt i timer når de faste kostnadene stiger 10 %</t>
  </si>
  <si>
    <t xml:space="preserve">b) Ny sikkerhetsmargin i prosent etter a: (14 400 − nytt nullpunkt) / 14 400</t>
  </si>
  <si>
    <t xml:space="preserve">av timene</t>
  </si>
  <si>
    <t xml:space="preserve">c) Nullpunkt i timer når de faste kostnadene går ned 10 %</t>
  </si>
  <si>
    <t xml:space="preserve">d) Nullpunkt i timer når timeprisen går opp 5 % (dekningsbidrag per time 360 + 44,50)</t>
  </si>
  <si>
    <t xml:space="preserve">e) Nullpunkt i timer når timeprisen går ned 5 % (dekningsbidrag per time 360 − 44,50)</t>
  </si>
  <si>
    <t xml:space="preserve">f) Resultat i et stille år med 10 000 timer og uendret pris (tap med minus)</t>
  </si>
  <si>
    <t xml:space="preserve">g) Kari kan velge ett tiltak: timeprisen opp 5 % eller de faste kostnadene ned 10 %. Hvilket gir lavest nullpunkt?</t>
  </si>
  <si>
    <t xml:space="preserve">h) Skriv rådet til Kari før det stille året: hva bør hun gjøre med timeprisen og de faste kostnadene, og hva sier tallene om et år med 10 000 timer? (Tre setninger.)</t>
  </si>
  <si>
    <t xml:space="preserve">Fasit, kapittel 8</t>
  </si>
  <si>
    <t xml:space="preserve">Prøv oppgaven selv før du leser her. Regnestykket står ved siden av hvert svar. Tallene hentes fra fasitformlene, så de stemmer alltid med oppgavefanene.</t>
  </si>
  <si>
    <t xml:space="preserve">Oppgave</t>
  </si>
  <si>
    <t xml:space="preserve">Svar</t>
  </si>
  <si>
    <t xml:space="preserve">Regnestykket</t>
  </si>
  <si>
    <t xml:space="preserve">1A a) Dekningsbidrag totalt</t>
  </si>
  <si>
    <t xml:space="preserve">22 400 000 − 17 216 000 = 5 184 000 kr</t>
  </si>
  <si>
    <t xml:space="preserve">1A b) Dekningsgrad</t>
  </si>
  <si>
    <t xml:space="preserve">5 184 000 × 100 / 22 400 000 = 23,1 %</t>
  </si>
  <si>
    <t xml:space="preserve">1A c) Nullpunktomsetning</t>
  </si>
  <si>
    <t xml:space="preserve">3 840 000 / 0,2314 = 16 592 593 kr, om lag 16,6 millioner (16 623 377 med dekningsgrad avrundet til 23,1 %)</t>
  </si>
  <si>
    <t xml:space="preserve">1A d) Dekningsbidrag per time</t>
  </si>
  <si>
    <t xml:space="preserve">5 184 000 / 14 400 = 360 kr</t>
  </si>
  <si>
    <t xml:space="preserve">1A e) Nullpunkt i timer</t>
  </si>
  <si>
    <t xml:space="preserve">3 840 000 / 360 = 10 666,7, rundet opp til 10 667 timer. Kontroll: 10 667 × 1 556 ≈ 16,6 millioner</t>
  </si>
  <si>
    <t xml:space="preserve">1A f) Kollegaens feil</t>
  </si>
  <si>
    <t xml:space="preserve">Dekningsbidraget i kroner står der dekningsgraden skal stå. Riktig: 3 840 000 × 100 / 23,14 = 16 592 593 kr</t>
  </si>
  <si>
    <t xml:space="preserve">1B a) Sikkerhetsmargin i kroner</t>
  </si>
  <si>
    <t xml:space="preserve">22 400 000 − 16 592 593 = 5 807 407 kr</t>
  </si>
  <si>
    <t xml:space="preserve">1B b) Sikkerhetsmargin i prosent</t>
  </si>
  <si>
    <t xml:space="preserve">5 807 407 × 100 / 22 400 000 = 25,9 %. Hver fjerde time kan svikte</t>
  </si>
  <si>
    <t xml:space="preserve">1B c) Sikkerhetsmargin i timer</t>
  </si>
  <si>
    <t xml:space="preserve">14 400 − 10 667 = 3 733 timer</t>
  </si>
  <si>
    <t xml:space="preserve">1B d) Dekningsbidrag per oppdrag</t>
  </si>
  <si>
    <t xml:space="preserve">18 500 − 11 200 = 7 300 kr</t>
  </si>
  <si>
    <t xml:space="preserve">1B e) Nullpunkt i oppdrag</t>
  </si>
  <si>
    <t xml:space="preserve">2 100 000 / 7 300 = 287,7, rundet opp til 288 oppdrag</t>
  </si>
  <si>
    <t xml:space="preserve">1B f) Resultat ved 210 oppdrag</t>
  </si>
  <si>
    <t xml:space="preserve">210 × 7 300 − 2 100 000 = −567 000 kr</t>
  </si>
  <si>
    <t xml:space="preserve">1B g) Svaret til Tom</t>
  </si>
  <si>
    <t xml:space="preserve">Nullpunktet er 288 oppdrag; 210 er 78 under, og avdelingen taper 567 000 kr. Kapasiteten er 400, så det står ikke på montørene. Mye å gjøre er ikke det samme som lønnsomt</t>
  </si>
  <si>
    <t xml:space="preserve">1C a) Faste + 10 %</t>
  </si>
  <si>
    <t xml:space="preserve">4 224 000 / 360 = 11 733,3, rundet opp til 11 734 timer</t>
  </si>
  <si>
    <t xml:space="preserve">1C b) Ny sikkerhetsmargin</t>
  </si>
  <si>
    <t xml:space="preserve">(14 400 − 11 734) / 14 400 = 2 666 / 14 400 = 18,5 %</t>
  </si>
  <si>
    <t xml:space="preserve">1C c) Faste − 10 %</t>
  </si>
  <si>
    <t xml:space="preserve">3 456 000 / 360 = 9 600 timer</t>
  </si>
  <si>
    <t xml:space="preserve">1C d) Timepris + 5 %</t>
  </si>
  <si>
    <t xml:space="preserve">3 840 000 / 404,50 = 9 493,2, rundet opp til 9 494 timer</t>
  </si>
  <si>
    <t xml:space="preserve">1C e) Timepris − 5 %</t>
  </si>
  <si>
    <t xml:space="preserve">3 840 000 / 315,50 = 12 171,2, rundet opp til 12 172 timer</t>
  </si>
  <si>
    <t xml:space="preserve">1C f) Resultat ved 10 000 timer</t>
  </si>
  <si>
    <t xml:space="preserve">10 000 × 360 − 3 840 000 = −240 000 kr</t>
  </si>
  <si>
    <t xml:space="preserve">1C g) Lavest nullpunkt</t>
  </si>
  <si>
    <t xml:space="preserve">Timeprisen opp 5 %: 9 494 timer mot 9 600. 44,50 kr er 12,4 % av dekningsbidraget per time</t>
  </si>
  <si>
    <t xml:space="preserve">1C h) Rådet til Kari</t>
  </si>
  <si>
    <t xml:space="preserve">Prisen virker mest, men kunden kan si nei. Bilen og kontorplassen bør vente til timene er der. Et år med 10 000 timer gir −240 000 kr uansett; ordreboka må fylles først</t>
  </si>
</sst>
</file>

<file path=xl/styles.xml><?xml version="1.0" encoding="utf-8"?>
<styleSheet xmlns="http://schemas.openxmlformats.org/spreadsheetml/2006/main">
  <numFmts count="4">
    <numFmt numFmtId="164" formatCode="General"/>
    <numFmt numFmtId="165" formatCode="#,##0"/>
    <numFmt numFmtId="166" formatCode="0.0%"/>
    <numFmt numFmtId="167" formatCode="#,##0.00"/>
  </numFmts>
  <fonts count="12">
    <font>
      <sz val="11"/>
      <color theme="1"/>
      <name val="Calibri"/>
      <family val="2"/>
      <charset val="1"/>
    </font>
    <font>
      <sz val="10"/>
      <name val="Arial"/>
      <family val="0"/>
    </font>
    <font>
      <sz val="10"/>
      <name val="Arial"/>
      <family val="0"/>
    </font>
    <font>
      <sz val="10"/>
      <name val="Arial"/>
      <family val="0"/>
    </font>
    <font>
      <b val="true"/>
      <sz val="16"/>
      <color rgb="FF2F4A6D"/>
      <name val="Cambria"/>
      <family val="0"/>
      <charset val="1"/>
    </font>
    <font>
      <sz val="11"/>
      <name val="Calibri"/>
      <family val="0"/>
      <charset val="1"/>
    </font>
    <font>
      <b val="true"/>
      <sz val="11"/>
      <name val="Calibri"/>
      <family val="0"/>
      <charset val="1"/>
    </font>
    <font>
      <i val="true"/>
      <sz val="10"/>
      <color rgb="FF595959"/>
      <name val="Calibri"/>
      <family val="0"/>
      <charset val="1"/>
    </font>
    <font>
      <b val="true"/>
      <sz val="11"/>
      <color rgb="FFFFFFFF"/>
      <name val="Calibri"/>
      <family val="0"/>
      <charset val="1"/>
    </font>
    <font>
      <b val="true"/>
      <sz val="11"/>
      <color theme="1"/>
      <name val="Calibri"/>
      <family val="2"/>
      <charset val="1"/>
    </font>
    <font>
      <sz val="10.5"/>
      <name val="Calibri"/>
      <family val="0"/>
      <charset val="1"/>
    </font>
    <font>
      <i val="true"/>
      <sz val="10.5"/>
      <color rgb="FF2F4A6D"/>
      <name val="Calibri"/>
      <family val="0"/>
      <charset val="1"/>
    </font>
  </fonts>
  <fills count="6">
    <fill>
      <patternFill patternType="none"/>
    </fill>
    <fill>
      <patternFill patternType="gray125"/>
    </fill>
    <fill>
      <patternFill patternType="solid">
        <fgColor rgb="FF2F4A6D"/>
        <bgColor rgb="FF333333"/>
      </patternFill>
    </fill>
    <fill>
      <patternFill patternType="solid">
        <fgColor rgb="FFFFF2CC"/>
        <bgColor rgb="FFE2EFDA"/>
      </patternFill>
    </fill>
    <fill>
      <patternFill patternType="solid">
        <fgColor rgb="FFDDEBF7"/>
        <bgColor rgb="FFE2EFDA"/>
      </patternFill>
    </fill>
    <fill>
      <patternFill patternType="solid">
        <fgColor rgb="FFE2EFDA"/>
        <bgColor rgb="FFDDEBF7"/>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top style="thin">
        <color rgb="FFBFBFBF"/>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4"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left" vertical="center" textRotation="0" wrapText="false" indent="0" shrinkToFit="false"/>
      <protection locked="true" hidden="false"/>
    </xf>
    <xf numFmtId="164" fontId="8" fillId="2" borderId="1" xfId="0" applyFont="true" applyBorder="true" applyAlignment="true" applyProtection="false">
      <alignment horizontal="right" vertical="center" textRotation="0" wrapText="false" indent="0" shrinkToFit="false"/>
      <protection locked="true" hidden="false"/>
    </xf>
    <xf numFmtId="164" fontId="0" fillId="0" borderId="1" xfId="0" applyFont="true" applyBorder="true" applyAlignment="false" applyProtection="false">
      <alignment horizontal="general" vertical="bottom" textRotation="0" wrapText="false" indent="0" shrinkToFit="false"/>
      <protection locked="true" hidden="false"/>
    </xf>
    <xf numFmtId="165" fontId="0" fillId="0" borderId="1" xfId="0" applyFont="false" applyBorder="true" applyAlignment="true" applyProtection="false">
      <alignment horizontal="right" vertical="center" textRotation="0" wrapText="false" indent="0" shrinkToFit="false"/>
      <protection locked="true" hidden="false"/>
    </xf>
    <xf numFmtId="165" fontId="0" fillId="3" borderId="1" xfId="0" applyFont="false" applyBorder="true" applyAlignment="true" applyProtection="false">
      <alignment horizontal="right" vertical="center"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false" applyBorder="true" applyAlignment="true" applyProtection="false">
      <alignment horizontal="general" vertical="top" textRotation="0" wrapText="tru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6" fontId="0" fillId="3" borderId="1" xfId="0" applyFont="false" applyBorder="true" applyAlignment="true" applyProtection="false">
      <alignment horizontal="right" vertical="center"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xf numFmtId="164" fontId="0" fillId="3" borderId="1" xfId="0" applyFont="false" applyBorder="tru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0" fillId="4" borderId="0" xfId="0" applyFont="false" applyBorder="true" applyAlignment="true" applyProtection="false">
      <alignment horizontal="general" vertical="top" textRotation="0" wrapText="true" indent="0" shrinkToFit="false"/>
      <protection locked="true" hidden="false"/>
    </xf>
    <xf numFmtId="164" fontId="0" fillId="3" borderId="2" xfId="0" applyFont="false" applyBorder="true" applyAlignment="true" applyProtection="false">
      <alignment horizontal="general" vertical="top" textRotation="0" wrapText="true" indent="0" shrinkToFit="false"/>
      <protection locked="true" hidden="false"/>
    </xf>
    <xf numFmtId="164" fontId="11" fillId="0" borderId="0" xfId="0" applyFont="true" applyBorder="true" applyAlignment="true" applyProtection="false">
      <alignment horizontal="general" vertical="top" textRotation="0" wrapText="true" indent="0" shrinkToFit="false"/>
      <protection locked="true" hidden="false"/>
    </xf>
    <xf numFmtId="167" fontId="0" fillId="0" borderId="1" xfId="0" applyFont="false" applyBorder="true" applyAlignment="true" applyProtection="false">
      <alignment horizontal="right" vertical="center" textRotation="0" wrapText="false" indent="0" shrinkToFit="false"/>
      <protection locked="true" hidden="false"/>
    </xf>
    <xf numFmtId="165" fontId="0" fillId="5" borderId="1" xfId="0" applyFont="false" applyBorder="true" applyAlignment="true" applyProtection="false">
      <alignment horizontal="right" vertical="center" textRotation="0" wrapText="false" indent="0" shrinkToFit="false"/>
      <protection locked="true" hidden="false"/>
    </xf>
    <xf numFmtId="167" fontId="0" fillId="5" borderId="1" xfId="0" applyFont="false" applyBorder="true" applyAlignment="true" applyProtection="false">
      <alignment horizontal="right" vertical="center"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0"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bgColor rgb="FFE2EFDA"/>
        </patternFill>
      </fill>
    </dxf>
    <dxf>
      <fill>
        <patternFill>
          <bgColor rgb="FFF8CBAD"/>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B1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10"/>
  </cols>
  <sheetData>
    <row r="2" customFormat="false" ht="25.5" hidden="false" customHeight="true" outlineLevel="0" collapsed="false">
      <c r="B2" s="1" t="s">
        <v>0</v>
      </c>
    </row>
    <row r="3" customFormat="false" ht="30" hidden="false" customHeight="true" outlineLevel="0" collapsed="false">
      <c r="B3" s="2" t="s">
        <v>1</v>
      </c>
    </row>
    <row r="5" customFormat="false" ht="15" hidden="false" customHeight="true" outlineLevel="0" collapsed="false">
      <c r="B5" s="3" t="s">
        <v>2</v>
      </c>
    </row>
    <row r="6" customFormat="false" ht="45" hidden="false" customHeight="true" outlineLevel="0" collapsed="false">
      <c r="B6" s="2" t="s">
        <v>3</v>
      </c>
    </row>
    <row r="7" customFormat="false" ht="30" hidden="false" customHeight="true" outlineLevel="0" collapsed="false">
      <c r="B7" s="2" t="s">
        <v>4</v>
      </c>
    </row>
    <row r="8" customFormat="false" ht="30" hidden="false" customHeight="true" outlineLevel="0" collapsed="false">
      <c r="B8" s="2" t="s">
        <v>5</v>
      </c>
    </row>
    <row r="9" customFormat="false" ht="30" hidden="false" customHeight="true" outlineLevel="0" collapsed="false">
      <c r="B9" s="2" t="s">
        <v>6</v>
      </c>
    </row>
    <row r="11" customFormat="false" ht="15" hidden="false" customHeight="true" outlineLevel="0" collapsed="false">
      <c r="B11" s="3" t="s">
        <v>7</v>
      </c>
    </row>
    <row r="12" customFormat="false" ht="15" hidden="false" customHeight="true" outlineLevel="0" collapsed="false">
      <c r="B12" s="2" t="s">
        <v>8</v>
      </c>
    </row>
    <row r="13" customFormat="false" ht="15" hidden="false" customHeight="true" outlineLevel="0" collapsed="false">
      <c r="B13" s="2" t="s">
        <v>9</v>
      </c>
    </row>
    <row r="14" customFormat="false" ht="15" hidden="false" customHeight="true" outlineLevel="0" collapsed="false">
      <c r="B14" s="2" t="s">
        <v>10</v>
      </c>
    </row>
    <row r="15" customFormat="false" ht="15" hidden="false" customHeight="true" outlineLevel="0" collapsed="false">
      <c r="B15" s="2" t="s">
        <v>11</v>
      </c>
    </row>
    <row r="17" customFormat="false" ht="30" hidden="false" customHeight="true" outlineLevel="0" collapsed="false">
      <c r="B17" s="4" t="s">
        <v>12</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13</v>
      </c>
    </row>
    <row r="2" customFormat="false" ht="25.5" hidden="false" customHeight="true" outlineLevel="0" collapsed="false">
      <c r="B2" s="5" t="s">
        <v>14</v>
      </c>
      <c r="C2" s="5"/>
      <c r="D2" s="5"/>
      <c r="E2" s="5"/>
      <c r="F2" s="5"/>
      <c r="G2" s="5"/>
      <c r="Z2" s="6" t="s">
        <v>15</v>
      </c>
    </row>
    <row r="3" customFormat="false" ht="15" hidden="false" customHeight="true" outlineLevel="0" collapsed="false">
      <c r="B3" s="7" t="s">
        <v>16</v>
      </c>
      <c r="C3" s="7"/>
      <c r="D3" s="7"/>
      <c r="E3" s="7"/>
      <c r="F3" s="7"/>
      <c r="G3" s="7"/>
      <c r="Z3" s="6" t="s">
        <v>17</v>
      </c>
    </row>
    <row r="4" customFormat="false" ht="15.75" hidden="false" customHeight="true" outlineLevel="0" collapsed="false">
      <c r="B4" s="8" t="s">
        <v>18</v>
      </c>
      <c r="C4" s="8"/>
      <c r="D4" s="8"/>
      <c r="E4" s="8"/>
      <c r="F4" s="8"/>
      <c r="G4" s="8"/>
    </row>
    <row r="5" customFormat="false" ht="45" hidden="false" customHeight="true" outlineLevel="0" collapsed="false">
      <c r="B5" s="9" t="s">
        <v>19</v>
      </c>
      <c r="C5" s="9"/>
      <c r="D5" s="9"/>
      <c r="E5" s="9"/>
      <c r="F5" s="9"/>
      <c r="G5" s="9"/>
    </row>
    <row r="6" customFormat="false" ht="15.75" hidden="false" customHeight="true" outlineLevel="0" collapsed="false">
      <c r="B6" s="8" t="s">
        <v>20</v>
      </c>
      <c r="C6" s="8"/>
      <c r="D6" s="8"/>
      <c r="E6" s="8"/>
      <c r="F6" s="8"/>
      <c r="G6" s="8"/>
    </row>
    <row r="7" customFormat="false" ht="60" hidden="false" customHeight="true" outlineLevel="0" collapsed="false">
      <c r="B7" s="9" t="s">
        <v>21</v>
      </c>
      <c r="C7" s="9"/>
      <c r="D7" s="9"/>
      <c r="E7" s="9"/>
      <c r="F7" s="9"/>
      <c r="G7" s="9"/>
    </row>
    <row r="9" customFormat="false" ht="15.75" hidden="false" customHeight="true" outlineLevel="0" collapsed="false">
      <c r="B9" s="8" t="s">
        <v>22</v>
      </c>
      <c r="C9" s="8"/>
      <c r="D9" s="8"/>
      <c r="E9" s="8"/>
      <c r="F9" s="8"/>
      <c r="G9" s="8"/>
    </row>
    <row r="10" customFormat="false" ht="30" hidden="false" customHeight="true" outlineLevel="0" collapsed="false">
      <c r="B10" s="9" t="s">
        <v>23</v>
      </c>
      <c r="C10" s="9"/>
      <c r="D10" s="9"/>
      <c r="E10" s="9"/>
      <c r="F10" s="9"/>
      <c r="G10" s="9"/>
    </row>
    <row r="11" customFormat="false" ht="15" hidden="false" customHeight="false" outlineLevel="0" collapsed="false">
      <c r="B11" s="10" t="s">
        <v>24</v>
      </c>
      <c r="C11" s="11" t="s">
        <v>25</v>
      </c>
    </row>
    <row r="12" customFormat="false" ht="15" hidden="false" customHeight="false" outlineLevel="0" collapsed="false">
      <c r="B12" s="12" t="s">
        <v>26</v>
      </c>
      <c r="C12" s="13" t="n">
        <v>22400000</v>
      </c>
    </row>
    <row r="13" customFormat="false" ht="15" hidden="false" customHeight="false" outlineLevel="0" collapsed="false">
      <c r="B13" s="12" t="s">
        <v>27</v>
      </c>
      <c r="C13" s="13" t="n">
        <v>17216000</v>
      </c>
    </row>
    <row r="14" customFormat="false" ht="15" hidden="false" customHeight="false" outlineLevel="0" collapsed="false">
      <c r="B14" s="12" t="s">
        <v>28</v>
      </c>
      <c r="C14" s="14"/>
    </row>
    <row r="15" customFormat="false" ht="15" hidden="false" customHeight="false" outlineLevel="0" collapsed="false">
      <c r="B15" s="12" t="s">
        <v>29</v>
      </c>
      <c r="C15" s="13" t="n">
        <v>3840000</v>
      </c>
    </row>
    <row r="16" customFormat="false" ht="15" hidden="false" customHeight="false" outlineLevel="0" collapsed="false">
      <c r="B16" s="12" t="s">
        <v>30</v>
      </c>
      <c r="C16" s="13" t="n">
        <v>14400</v>
      </c>
    </row>
    <row r="18" customFormat="false" ht="15.75" hidden="false" customHeight="true" outlineLevel="0" collapsed="false">
      <c r="B18" s="8" t="s">
        <v>31</v>
      </c>
      <c r="C18" s="8"/>
      <c r="D18" s="8"/>
      <c r="E18" s="8"/>
      <c r="F18" s="8"/>
      <c r="G18" s="8"/>
    </row>
    <row r="19" customFormat="false" ht="75" hidden="false" customHeight="true" outlineLevel="0" collapsed="false">
      <c r="B19" s="9" t="s">
        <v>32</v>
      </c>
      <c r="C19" s="9"/>
      <c r="D19" s="9"/>
      <c r="E19" s="9"/>
      <c r="F19" s="9"/>
      <c r="G19" s="9"/>
    </row>
    <row r="21" customFormat="false" ht="15" hidden="false" customHeight="false" outlineLevel="0" collapsed="false">
      <c r="B21" s="15" t="s">
        <v>33</v>
      </c>
    </row>
    <row r="22" customFormat="false" ht="36" hidden="false" customHeight="true" outlineLevel="0" collapsed="false">
      <c r="B22" s="0" t="s">
        <v>34</v>
      </c>
      <c r="C22" s="16" t="str">
        <f aca="false">IF(C14="","Skriv svaret i cellen C14.",IF(C14=(C12-C13),"Riktig.",IF(C14=(C12-C13-C15),"Du har trukket fra de faste kostnadene også. Det er driftsresultatet. Dekningsbidraget er salgsinntekt minus bare de variable.",IF(C14=(C12-C15),"Du har trukket fra de faste kostnadene. Det er de variable som skal trekkes fra.","Ikke riktig ennå. Dekningsbidrag = salgsinntekt − variable kostnader."))))</f>
        <v>Skriv svaret i cellen C14.</v>
      </c>
      <c r="D22" s="16"/>
      <c r="E22" s="16"/>
      <c r="F22" s="16"/>
      <c r="G22" s="16"/>
    </row>
    <row r="24" customFormat="false" ht="43.5" hidden="false" customHeight="true" outlineLevel="0" collapsed="false">
      <c r="B24" s="17" t="s">
        <v>35</v>
      </c>
      <c r="C24" s="18"/>
      <c r="D24" s="19" t="s">
        <v>36</v>
      </c>
      <c r="G24" s="20" t="str">
        <f aca="false">IF(C24="","Skriv svaret i den gule cellen.",IF(ABS(C24-(C12-C13)/C12)&lt;=0.0015,"Riktig.",IF(ABS(C24-C15/C12)&lt;=0.0015,"Du har delt de faste kostnadene på salgsinntekten. Dekningsgraden er dekningsbidraget delt på salgsinntekten.",IF(ABS(C24-(C12-C13)/(C13+C15))&lt;=0.0015,"Du har delt på kostnadene. Dekningsgraden er dekningsbidraget delt på salgsinntekten.",IF(ABS(C24-(C12-C13)/C12*100)&lt;=0.15,"Cellen er prosentformatert: skriv 23 % eller 0,23, ikke 23.","Ikke riktig ennå. Dekningsgrad = dekningsbidrag / salgsinntekt.")))))</f>
        <v>Skriv svaret i den gule cellen.</v>
      </c>
    </row>
    <row r="25" customFormat="false" ht="43.5" hidden="false" customHeight="true" outlineLevel="0" collapsed="false">
      <c r="B25" s="17" t="s">
        <v>37</v>
      </c>
      <c r="C25" s="14"/>
      <c r="D25" s="19" t="s">
        <v>38</v>
      </c>
      <c r="G25" s="20" t="str">
        <f aca="false">IF(C25="","Skriv svaret i den gule cellen.",IF(ABS(C25-(C15/((C12-C13)/C12)))&lt;=50000,"Riktig.",IF(ABS(C25-(C15*100/(C12-C13)))&lt;=50000,"Du har delt på dekningsbidraget i kroner. Svaret ligner ikke en omsetning. I kroner deler du på dekningsgraden.",IF(ABS(C25-(C15/(((C12-C13)/C12)*100)))&lt;=50000,"Du har delt på dekningsgraden i prosent uten å gange med 100. Del på desimaltallet, eller gang med 100 først.",IF(ABS(C25-(C15*((C12-C13)/C12)))&lt;=50000,"Du har ganget med dekningsgraden. Nullpunktet er de faste kostnadene delt på dekningsgraden.","Ikke riktig ennå. Nullpunktomsetning = faste kostnader / dekningsgrad. Med dekningsgrad 23,1 % blir det om lag 16,6 millioner.")))))</f>
        <v>Skriv svaret i den gule cellen.</v>
      </c>
    </row>
    <row r="26" customFormat="false" ht="43.5" hidden="false" customHeight="true" outlineLevel="0" collapsed="false">
      <c r="B26" s="17" t="s">
        <v>39</v>
      </c>
      <c r="C26" s="14"/>
      <c r="D26" s="19" t="s">
        <v>40</v>
      </c>
      <c r="G26" s="20" t="str">
        <f aca="false">IF(C26="","Skriv svaret i den gule cellen.",IF(ABS(C26-(ROUND((C12-C13)/C16,0)))&lt;=1,"Riktig.",IF(ABS(C26-(ROUND(C12/C16,0)))&lt;=1,"Du har delt salgsinntekten på timene. Det er omsetningen per time. Del dekningsbidraget på timene.",IF(ABS(C26-(ROUND(C15/C16,0)))&lt;=1,"Du har delt de faste kostnadene på timene. Det er de faste per time fra kapittel 2. Her er det dekningsbidraget som skal deles.","Ikke riktig ennå. Se på regnestykket øverst på fanen, og sjekk at du har med alle leddene."))))</f>
        <v>Skriv svaret i den gule cellen.</v>
      </c>
    </row>
    <row r="27" customFormat="false" ht="43.5" hidden="false" customHeight="true" outlineLevel="0" collapsed="false">
      <c r="B27" s="17" t="s">
        <v>41</v>
      </c>
      <c r="C27" s="14"/>
      <c r="D27" s="19" t="s">
        <v>42</v>
      </c>
      <c r="G27" s="20" t="str">
        <f aca="false">IF(C27="","Skriv svaret i den gule cellen.",IF(ABS(C27-(ROUND(C15/((C12-C13)/C16),0)))&lt;=1,"Riktig.",IF(ABS(C27-(ROUND(C15/(C15/C16),0)))&lt;=1,"Du har delt på de faste kostnadene per time. Da får du bare timene tilbake. Del på dekningsbidraget per time, 360 kr.",IF(ABS(C27-(ROUND(C15/((C12-C13)/C12)/890,0)))&lt;=1,"Du har delt nullpunktomsetningen på timeprisen 890. Men omsetningen per time er 1 556 kr, for materiellet er med. Del de faste på dekningsbidraget per time.","Ikke riktig ennå. Nullpunkt i timer = faste kostnader / dekningsbidrag per time = 3 840 000 / 360."))))</f>
        <v>Skriv svaret i den gule cellen.</v>
      </c>
    </row>
    <row r="29" customFormat="false" ht="39.75" hidden="false" customHeight="true" outlineLevel="0" collapsed="false">
      <c r="B29" s="17" t="s">
        <v>43</v>
      </c>
      <c r="C29" s="21"/>
      <c r="G29" s="20" t="str">
        <f aca="false">IF(C29="","Velg i nedtrekksmenyen.",IF(C29="Han har brukt dekningsbidraget i kroner der dekningsgraden i prosent skal stå","Riktig. I kroner deler du på dekningsgraden (23,1), ikke på dekningsbidraget (5 184 000). Se på størrelsen: et nullpunkt på 74 kr ligner ikke en omsetning. Kontroll: nullpunkt i timer × omsetning per time ≈ 16,6 millioner.","Ikke riktig. I kroner deler du på dekningsgraden (23,1), ikke på dekningsbidraget (5 184 000). Se på størrelsen: et nullpunkt på 74 kr ligner ikke en omsetning. Kontroll: nullpunkt i timer × omsetning per time ≈ 16,6 millioner."))</f>
        <v>Velg i nedtrekksmenyen.</v>
      </c>
    </row>
    <row r="30" customFormat="false" ht="15" hidden="false" customHeight="false" outlineLevel="0" collapsed="false">
      <c r="B30" s="22" t="s">
        <v>44</v>
      </c>
      <c r="C30" s="21"/>
    </row>
    <row r="31" customFormat="false" ht="31.5" hidden="false" customHeight="true" outlineLevel="0" collapsed="false">
      <c r="B31" s="23" t="str">
        <f aca="false">IF(C30="JA","Hint: a: 22 400 000 − 17 216 000 = 5 184 000. b: 5 184 000 / 22 400 000 = 23,1 %. c: 3 840 000 / 0,2314 = 16 592 593 kr. d: 5 184 000 / 14 400 = 360 kr. e: 3 840 000 / 360 = 10 667 timer.","")</f>
        <v/>
      </c>
      <c r="C31" s="23"/>
      <c r="D31" s="23"/>
      <c r="E31" s="23"/>
      <c r="F31" s="23"/>
      <c r="G31" s="23"/>
    </row>
    <row r="33" customFormat="false" ht="30" hidden="false" customHeight="true" outlineLevel="0" collapsed="false">
      <c r="B33" s="7" t="s">
        <v>45</v>
      </c>
      <c r="C33" s="7"/>
      <c r="D33" s="7"/>
      <c r="E33" s="7"/>
      <c r="F33" s="7"/>
      <c r="G33" s="7"/>
    </row>
  </sheetData>
  <mergeCells count="13">
    <mergeCell ref="B2:G2"/>
    <mergeCell ref="B3:G3"/>
    <mergeCell ref="B4:G4"/>
    <mergeCell ref="B5:G5"/>
    <mergeCell ref="B6:G6"/>
    <mergeCell ref="B7:G7"/>
    <mergeCell ref="B9:G9"/>
    <mergeCell ref="B10:G10"/>
    <mergeCell ref="B18:G18"/>
    <mergeCell ref="B19:G19"/>
    <mergeCell ref="C22:G22"/>
    <mergeCell ref="B31:G31"/>
    <mergeCell ref="B33:G33"/>
  </mergeCells>
  <conditionalFormatting sqref="C22">
    <cfRule type="expression" priority="2" aboveAverage="0" equalAverage="0" bottom="0" percent="0" rank="0" text="" dxfId="0">
      <formula>LEFT(C22,6)="Riktig"</formula>
    </cfRule>
    <cfRule type="expression" priority="3" aboveAverage="0" equalAverage="0" bottom="0" percent="0" rank="0" text="" dxfId="1">
      <formula>AND(C22&lt;&gt;"",LEFT(C22,6)&lt;&gt;"Riktig",LEFT(C22,5)&lt;&gt;"Skriv")</formula>
    </cfRule>
  </conditionalFormatting>
  <conditionalFormatting sqref="G24">
    <cfRule type="expression" priority="4" aboveAverage="0" equalAverage="0" bottom="0" percent="0" rank="0" text="" dxfId="0">
      <formula>LEFT(G24,6)="Riktig"</formula>
    </cfRule>
    <cfRule type="expression" priority="5" aboveAverage="0" equalAverage="0" bottom="0" percent="0" rank="0" text="" dxfId="1">
      <formula>AND(G24&lt;&gt;"",LEFT(G24,6)&lt;&gt;"Riktig",LEFT(G24,5)&lt;&gt;"Skriv")</formula>
    </cfRule>
  </conditionalFormatting>
  <conditionalFormatting sqref="G25">
    <cfRule type="expression" priority="6" aboveAverage="0" equalAverage="0" bottom="0" percent="0" rank="0" text="" dxfId="0">
      <formula>LEFT(G25,6)="Riktig"</formula>
    </cfRule>
    <cfRule type="expression" priority="7" aboveAverage="0" equalAverage="0" bottom="0" percent="0" rank="0" text="" dxfId="1">
      <formula>AND(G25&lt;&gt;"",LEFT(G25,6)&lt;&gt;"Riktig",LEFT(G25,5)&lt;&gt;"Skriv")</formula>
    </cfRule>
  </conditionalFormatting>
  <conditionalFormatting sqref="G26">
    <cfRule type="expression" priority="8" aboveAverage="0" equalAverage="0" bottom="0" percent="0" rank="0" text="" dxfId="0">
      <formula>LEFT(G26,6)="Riktig"</formula>
    </cfRule>
    <cfRule type="expression" priority="9" aboveAverage="0" equalAverage="0" bottom="0" percent="0" rank="0" text="" dxfId="1">
      <formula>AND(G26&lt;&gt;"",LEFT(G26,6)&lt;&gt;"Riktig",LEFT(G26,5)&lt;&gt;"Skriv")</formula>
    </cfRule>
  </conditionalFormatting>
  <conditionalFormatting sqref="G27">
    <cfRule type="expression" priority="10" aboveAverage="0" equalAverage="0" bottom="0" percent="0" rank="0" text="" dxfId="0">
      <formula>LEFT(G27,6)="Riktig"</formula>
    </cfRule>
    <cfRule type="expression" priority="11" aboveAverage="0" equalAverage="0" bottom="0" percent="0" rank="0" text="" dxfId="1">
      <formula>AND(G27&lt;&gt;"",LEFT(G27,6)&lt;&gt;"Riktig",LEFT(G27,5)&lt;&gt;"Skriv")</formula>
    </cfRule>
  </conditionalFormatting>
  <conditionalFormatting sqref="G29">
    <cfRule type="expression" priority="12" aboveAverage="0" equalAverage="0" bottom="0" percent="0" rank="0" text="" dxfId="0">
      <formula>LEFT(G29,6)="Riktig"</formula>
    </cfRule>
    <cfRule type="expression" priority="13" aboveAverage="0" equalAverage="0" bottom="0" percent="0" rank="0" text="" dxfId="1">
      <formula>LEFT(G29,4)="Ikke"</formula>
    </cfRule>
  </conditionalFormatting>
  <dataValidations count="2">
    <dataValidation allowBlank="true" errorStyle="stop" operator="between" showDropDown="false" showErrorMessage="false" showInputMessage="false" sqref="C29" type="list">
      <formula1>$Z$1:$Z$3</formula1>
      <formula2>0</formula2>
    </dataValidation>
    <dataValidation allowBlank="true" errorStyle="stop" operator="between" showDropDown="false" showErrorMessage="false" showInputMessage="false" sqref="C30"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G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s>
  <sheetData>
    <row r="2" customFormat="false" ht="25.5" hidden="false" customHeight="true" outlineLevel="0" collapsed="false">
      <c r="B2" s="5" t="s">
        <v>46</v>
      </c>
      <c r="C2" s="5"/>
      <c r="D2" s="5"/>
      <c r="E2" s="5"/>
      <c r="F2" s="5"/>
      <c r="G2" s="5"/>
    </row>
    <row r="3" customFormat="false" ht="15" hidden="false" customHeight="true" outlineLevel="0" collapsed="false">
      <c r="B3" s="7" t="s">
        <v>16</v>
      </c>
      <c r="C3" s="7"/>
      <c r="D3" s="7"/>
      <c r="E3" s="7"/>
      <c r="F3" s="7"/>
      <c r="G3" s="7"/>
    </row>
    <row r="4" customFormat="false" ht="15.75" hidden="false" customHeight="true" outlineLevel="0" collapsed="false">
      <c r="B4" s="8" t="s">
        <v>18</v>
      </c>
      <c r="C4" s="8"/>
      <c r="D4" s="8"/>
      <c r="E4" s="8"/>
      <c r="F4" s="8"/>
      <c r="G4" s="8"/>
    </row>
    <row r="5" customFormat="false" ht="45" hidden="false" customHeight="true" outlineLevel="0" collapsed="false">
      <c r="B5" s="9" t="s">
        <v>47</v>
      </c>
      <c r="C5" s="9"/>
      <c r="D5" s="9"/>
      <c r="E5" s="9"/>
      <c r="F5" s="9"/>
      <c r="G5" s="9"/>
    </row>
    <row r="6" customFormat="false" ht="15.75" hidden="false" customHeight="true" outlineLevel="0" collapsed="false">
      <c r="B6" s="8" t="s">
        <v>20</v>
      </c>
      <c r="C6" s="8"/>
      <c r="D6" s="8"/>
      <c r="E6" s="8"/>
      <c r="F6" s="8"/>
      <c r="G6" s="8"/>
    </row>
    <row r="7" customFormat="false" ht="45" hidden="false" customHeight="true" outlineLevel="0" collapsed="false">
      <c r="B7" s="9" t="s">
        <v>48</v>
      </c>
      <c r="C7" s="9"/>
      <c r="D7" s="9"/>
      <c r="E7" s="9"/>
      <c r="F7" s="9"/>
      <c r="G7" s="9"/>
    </row>
    <row r="9" customFormat="false" ht="15.75" hidden="false" customHeight="true" outlineLevel="0" collapsed="false">
      <c r="B9" s="8" t="s">
        <v>49</v>
      </c>
      <c r="C9" s="8"/>
      <c r="D9" s="8"/>
      <c r="E9" s="8"/>
      <c r="F9" s="8"/>
      <c r="G9" s="8"/>
    </row>
    <row r="10" customFormat="false" ht="60" hidden="false" customHeight="true" outlineLevel="0" collapsed="false">
      <c r="B10" s="9" t="s">
        <v>50</v>
      </c>
      <c r="C10" s="9"/>
      <c r="D10" s="9"/>
      <c r="E10" s="9"/>
      <c r="F10" s="9"/>
      <c r="G10" s="9"/>
    </row>
    <row r="11" customFormat="false" ht="15" hidden="false" customHeight="false" outlineLevel="0" collapsed="false">
      <c r="B11" s="10" t="s">
        <v>51</v>
      </c>
      <c r="C11" s="11" t="s">
        <v>52</v>
      </c>
    </row>
    <row r="12" customFormat="false" ht="15" hidden="false" customHeight="false" outlineLevel="0" collapsed="false">
      <c r="B12" s="12" t="s">
        <v>53</v>
      </c>
      <c r="C12" s="13" t="n">
        <v>22400000</v>
      </c>
    </row>
    <row r="13" customFormat="false" ht="15" hidden="false" customHeight="false" outlineLevel="0" collapsed="false">
      <c r="B13" s="12" t="s">
        <v>54</v>
      </c>
      <c r="C13" s="13" t="n">
        <v>16592593</v>
      </c>
    </row>
    <row r="14" customFormat="false" ht="15" hidden="false" customHeight="false" outlineLevel="0" collapsed="false">
      <c r="B14" s="12" t="s">
        <v>30</v>
      </c>
      <c r="C14" s="13" t="n">
        <v>14400</v>
      </c>
    </row>
    <row r="15" customFormat="false" ht="15" hidden="false" customHeight="false" outlineLevel="0" collapsed="false">
      <c r="B15" s="12" t="s">
        <v>55</v>
      </c>
      <c r="C15" s="13" t="n">
        <v>10667</v>
      </c>
    </row>
    <row r="17" customFormat="false" ht="15" hidden="false" customHeight="false" outlineLevel="0" collapsed="false">
      <c r="B17" s="10" t="s">
        <v>56</v>
      </c>
      <c r="C17" s="11" t="s">
        <v>52</v>
      </c>
    </row>
    <row r="18" customFormat="false" ht="15" hidden="false" customHeight="false" outlineLevel="0" collapsed="false">
      <c r="B18" s="12" t="s">
        <v>57</v>
      </c>
      <c r="C18" s="13" t="n">
        <v>18500</v>
      </c>
    </row>
    <row r="19" customFormat="false" ht="15" hidden="false" customHeight="false" outlineLevel="0" collapsed="false">
      <c r="B19" s="12" t="s">
        <v>58</v>
      </c>
      <c r="C19" s="13" t="n">
        <v>11200</v>
      </c>
    </row>
    <row r="20" customFormat="false" ht="15" hidden="false" customHeight="false" outlineLevel="0" collapsed="false">
      <c r="B20" s="12" t="s">
        <v>59</v>
      </c>
      <c r="C20" s="13" t="n">
        <v>2100000</v>
      </c>
    </row>
    <row r="21" customFormat="false" ht="15" hidden="false" customHeight="false" outlineLevel="0" collapsed="false">
      <c r="B21" s="12" t="s">
        <v>60</v>
      </c>
      <c r="C21" s="13" t="n">
        <v>210</v>
      </c>
    </row>
    <row r="22" customFormat="false" ht="15" hidden="false" customHeight="false" outlineLevel="0" collapsed="false">
      <c r="B22" s="12" t="s">
        <v>61</v>
      </c>
      <c r="C22" s="13" t="n">
        <v>400</v>
      </c>
    </row>
    <row r="24" customFormat="false" ht="15.75" hidden="false" customHeight="true" outlineLevel="0" collapsed="false">
      <c r="B24" s="8" t="s">
        <v>31</v>
      </c>
      <c r="C24" s="8"/>
      <c r="D24" s="8"/>
      <c r="E24" s="8"/>
      <c r="F24" s="8"/>
      <c r="G24" s="8"/>
    </row>
    <row r="25" customFormat="false" ht="45" hidden="false" customHeight="true" outlineLevel="0" collapsed="false">
      <c r="B25" s="9" t="s">
        <v>62</v>
      </c>
      <c r="C25" s="9"/>
      <c r="D25" s="9"/>
      <c r="E25" s="9"/>
      <c r="F25" s="9"/>
      <c r="G25" s="9"/>
    </row>
    <row r="27" customFormat="false" ht="43.5" hidden="false" customHeight="true" outlineLevel="0" collapsed="false">
      <c r="B27" s="17" t="s">
        <v>63</v>
      </c>
      <c r="C27" s="14"/>
      <c r="D27" s="19" t="s">
        <v>38</v>
      </c>
      <c r="G27" s="20" t="str">
        <f aca="false">IF(C27="","Skriv svaret i den gule cellen.",IF(ABS(C27-(22400000-16592593))&lt;=50000,"Riktig.",IF(ABS(C27-(22400000-3840000))&lt;=50000,"Du har trukket fra de faste kostnadene. Trekk fra nullpunktomsetningen, 16 592 593.",IF(ABS(C27-(16592593-22400000))&lt;=50000,"Fortegnet er snudd. Salgsinntekten minus nullpunktomsetningen, så blir marginen positiv.","Ikke riktig ennå. Se på regnestykket øverst på fanen, og sjekk at du har med alle leddene."))))</f>
        <v>Skriv svaret i den gule cellen.</v>
      </c>
    </row>
    <row r="28" customFormat="false" ht="43.5" hidden="false" customHeight="true" outlineLevel="0" collapsed="false">
      <c r="B28" s="17" t="s">
        <v>64</v>
      </c>
      <c r="C28" s="18"/>
      <c r="D28" s="19" t="s">
        <v>36</v>
      </c>
      <c r="G28" s="20" t="str">
        <f aca="false">IF(C28="","Skriv svaret i den gule cellen.",IF(ABS(C28-((22400000-16592593)/22400000))&lt;=0.003,"Riktig.",IF(ABS(C28-((22400000-16592593)/16592593))&lt;=0.003,"Du har delt på nullpunktomsetningen. Marginen i prosent regnes av salgsinntekten, 22 400 000.","Ikke riktig ennå. Sikkerhetsmargin i prosent = sikkerhetsmargin i kroner / salgsinntekt. Cellen er prosentformatert.")))</f>
        <v>Skriv svaret i den gule cellen.</v>
      </c>
    </row>
    <row r="29" customFormat="false" ht="43.5" hidden="false" customHeight="true" outlineLevel="0" collapsed="false">
      <c r="B29" s="17" t="s">
        <v>65</v>
      </c>
      <c r="C29" s="14"/>
      <c r="D29" s="19" t="s">
        <v>42</v>
      </c>
      <c r="G29" s="20" t="str">
        <f aca="false">IF(C29="","Skriv svaret i den gule cellen.",IF(ABS(C29-(14400-10667))&lt;=1,"Riktig.",IF(ABS(C29-(10667))&lt;=1,"Det er nullpunktet. Marginen er timene over nullpunktet: 14 400 − 10 667.","Ikke riktig ennå. Se på regnestykket øverst på fanen, og sjekk at du har med alle leddene.")))</f>
        <v>Skriv svaret i den gule cellen.</v>
      </c>
    </row>
    <row r="31" customFormat="false" ht="43.5" hidden="false" customHeight="true" outlineLevel="0" collapsed="false">
      <c r="B31" s="17" t="s">
        <v>66</v>
      </c>
      <c r="C31" s="14"/>
      <c r="D31" s="19" t="s">
        <v>67</v>
      </c>
      <c r="G31" s="20" t="str">
        <f aca="false">IF(C31="","Skriv svaret i den gule cellen.",IF(C31=(18500-11200),"Riktig.",IF(ABS(C31-(18500))&lt;=0,"Det er prisen. Trekk fra de variable kostnadene på jobben, 11 200.",IF(ABS(C31-(11200))&lt;=0,"Det er de variable kostnadene. Dekningsbidraget er prisen minus dem.","Ikke riktig ennå. Se på regnestykket øverst på fanen, og sjekk at du har med alle leddene."))))</f>
        <v>Skriv svaret i den gule cellen.</v>
      </c>
    </row>
    <row r="32" customFormat="false" ht="43.5" hidden="false" customHeight="true" outlineLevel="0" collapsed="false">
      <c r="B32" s="17" t="s">
        <v>68</v>
      </c>
      <c r="C32" s="14"/>
      <c r="D32" s="19" t="s">
        <v>69</v>
      </c>
      <c r="G32" s="20" t="str">
        <f aca="false">IF(C32="","Skriv svaret i den gule cellen.",IF(C32=(288),"Riktig.",IF(ABS(C32-(287))&lt;=0,"287 oppdrag gir 287 × 7 300 = 2 095 100 kr, som ikke dekker de faste på 2 100 000. Rund opp til hele oppdrag.",IF(ABS(C32-(ROUND(2100000/18500,0)))&lt;=0,"Du har delt på prisen. Del på dekningsbidraget per oppdrag, 7 300.",IF(ABS(C32-(ROUND(2100000/11200,0)))&lt;=0,"Du har delt på de variable kostnadene. Del på dekningsbidraget per oppdrag.","Ikke riktig ennå. 2 100 000 / 7 300 = 287,7. Et halvt oppdrag finnes ikke, så rund opp til hele oppdrag.")))))</f>
        <v>Skriv svaret i den gule cellen.</v>
      </c>
    </row>
    <row r="33" customFormat="false" ht="43.5" hidden="false" customHeight="true" outlineLevel="0" collapsed="false">
      <c r="B33" s="17" t="s">
        <v>70</v>
      </c>
      <c r="C33" s="14"/>
      <c r="D33" s="19" t="s">
        <v>38</v>
      </c>
      <c r="G33" s="20" t="str">
        <f aca="false">IF(C33="","Skriv svaret i den gule cellen.",IF(C33=(210*7300-2100000),"Riktig.",IF(ABS(C33-(210*7300))&lt;=0,"Det er dekningsbidraget ved 210 oppdrag. Trekk fra de faste kostnadene, 2 100 000.",IF(ABS(C33-(210*18500-2100000))&lt;=0,"Du har brukt prisen. Bruk dekningsbidraget per oppdrag, 7 300.",IF(ABS(C33-(2100000-210*7300))&lt;=0,"Fortegnet er snudd: avdelingen taper penger, så resultatet er negativt.","Ikke riktig ennå. Se på regnestykket øverst på fanen, og sjekk at du har med alle leddene.")))))</f>
        <v>Skriv svaret i den gule cellen.</v>
      </c>
    </row>
    <row r="35" customFormat="false" ht="30" hidden="false" customHeight="true" outlineLevel="0" collapsed="false">
      <c r="B35" s="9" t="s">
        <v>71</v>
      </c>
      <c r="C35" s="9"/>
      <c r="D35" s="9"/>
      <c r="E35" s="9"/>
      <c r="F35" s="9"/>
      <c r="G35" s="9"/>
    </row>
    <row r="36" customFormat="false" ht="21.75" hidden="false" customHeight="true" outlineLevel="0" collapsed="false">
      <c r="B36" s="24"/>
      <c r="C36" s="24"/>
      <c r="D36" s="24"/>
      <c r="E36" s="24"/>
      <c r="F36" s="24"/>
      <c r="G36" s="24"/>
    </row>
    <row r="37" customFormat="false" ht="21.75" hidden="false" customHeight="true" outlineLevel="0" collapsed="false">
      <c r="B37" s="24"/>
      <c r="C37" s="24"/>
      <c r="D37" s="24"/>
      <c r="E37" s="24"/>
      <c r="F37" s="24"/>
      <c r="G37" s="24"/>
    </row>
    <row r="38" customFormat="false" ht="21.75" hidden="false" customHeight="true" outlineLevel="0" collapsed="false">
      <c r="B38" s="24"/>
      <c r="C38" s="24"/>
      <c r="D38" s="24"/>
      <c r="E38" s="24"/>
      <c r="F38" s="24"/>
      <c r="G38" s="24"/>
    </row>
    <row r="39" customFormat="false" ht="39.75" hidden="false" customHeight="true" outlineLevel="0" collapsed="false">
      <c r="B39" s="25" t="str">
        <f aca="false">IF(LEN(B36)&lt;40,"",IF(AND(ISNUMBER(SEARCH("288",B36)),ISNUMBER(SEARCH("567",B36))),"Bra: du bruker både nullpunktet 288 og tapet på 567 000. Si også at kapasiteten er 400, så det står ikke på montørene.",IF(OR(ISNUMBER(SEARCH("288",B36)),ISNUMBER(SEARCH("567",B36))),"Du har med ett av tallene. Ta med både nullpunktet (288 oppdrag) og resultatet ved 210 (−567 000 kr).","Tips: nullpunktet er 288 oppdrag, og 210 er 78 under. Ved 210 oppdrag taper avdelingen 567 000 kr. Mye å gjøre er ikke det samme som lønnsomt; kapasiteten er 400.")))</f>
        <v/>
      </c>
      <c r="C39" s="25"/>
      <c r="D39" s="25"/>
      <c r="E39" s="25"/>
      <c r="F39" s="25"/>
      <c r="G39" s="25"/>
    </row>
    <row r="40" customFormat="false" ht="15" hidden="false" customHeight="false" outlineLevel="0" collapsed="false">
      <c r="B40" s="22" t="s">
        <v>44</v>
      </c>
      <c r="C40" s="21"/>
    </row>
    <row r="41" customFormat="false" ht="31.5" hidden="false" customHeight="true" outlineLevel="0" collapsed="false">
      <c r="B41" s="23" t="str">
        <f aca="false">IF(C40="JA","Hint: a: 22 400 000 − 16 592 593 = 5 807 407. b: 5 807 407 / 22 400 000 = 25,9 %. c: 14 400 − 10 667 = 3 733. d: 18 500 − 11 200 = 7 300. e: 2 100 000 / 7 300 = 287,7 → 288. f: 210 × 7 300 − 2 100 000 = −567 000.","")</f>
        <v/>
      </c>
      <c r="C41" s="23"/>
      <c r="D41" s="23"/>
      <c r="E41" s="23"/>
      <c r="F41" s="23"/>
      <c r="G41" s="23"/>
    </row>
    <row r="43" customFormat="false" ht="30" hidden="false" customHeight="true" outlineLevel="0" collapsed="false">
      <c r="B43" s="7" t="s">
        <v>45</v>
      </c>
      <c r="C43" s="7"/>
      <c r="D43" s="7"/>
      <c r="E43" s="7"/>
      <c r="F43" s="7"/>
      <c r="G43" s="7"/>
    </row>
  </sheetData>
  <mergeCells count="15">
    <mergeCell ref="B2:G2"/>
    <mergeCell ref="B3:G3"/>
    <mergeCell ref="B4:G4"/>
    <mergeCell ref="B5:G5"/>
    <mergeCell ref="B6:G6"/>
    <mergeCell ref="B7:G7"/>
    <mergeCell ref="B9:G9"/>
    <mergeCell ref="B10:G10"/>
    <mergeCell ref="B24:G24"/>
    <mergeCell ref="B25:G25"/>
    <mergeCell ref="B35:G35"/>
    <mergeCell ref="B36:G38"/>
    <mergeCell ref="B39:G39"/>
    <mergeCell ref="B41:G41"/>
    <mergeCell ref="B43:G43"/>
  </mergeCells>
  <conditionalFormatting sqref="G27">
    <cfRule type="expression" priority="2" aboveAverage="0" equalAverage="0" bottom="0" percent="0" rank="0" text="" dxfId="0">
      <formula>LEFT(G27,6)="Riktig"</formula>
    </cfRule>
    <cfRule type="expression" priority="3" aboveAverage="0" equalAverage="0" bottom="0" percent="0" rank="0" text="" dxfId="1">
      <formula>AND(G27&lt;&gt;"",LEFT(G27,6)&lt;&gt;"Riktig",LEFT(G27,5)&lt;&gt;"Skriv")</formula>
    </cfRule>
  </conditionalFormatting>
  <conditionalFormatting sqref="G28">
    <cfRule type="expression" priority="4" aboveAverage="0" equalAverage="0" bottom="0" percent="0" rank="0" text="" dxfId="0">
      <formula>LEFT(G28,6)="Riktig"</formula>
    </cfRule>
    <cfRule type="expression" priority="5" aboveAverage="0" equalAverage="0" bottom="0" percent="0" rank="0" text="" dxfId="1">
      <formula>AND(G28&lt;&gt;"",LEFT(G28,6)&lt;&gt;"Riktig",LEFT(G28,5)&lt;&gt;"Skriv")</formula>
    </cfRule>
  </conditionalFormatting>
  <conditionalFormatting sqref="G29">
    <cfRule type="expression" priority="6" aboveAverage="0" equalAverage="0" bottom="0" percent="0" rank="0" text="" dxfId="0">
      <formula>LEFT(G29,6)="Riktig"</formula>
    </cfRule>
    <cfRule type="expression" priority="7" aboveAverage="0" equalAverage="0" bottom="0" percent="0" rank="0" text="" dxfId="1">
      <formula>AND(G29&lt;&gt;"",LEFT(G29,6)&lt;&gt;"Riktig",LEFT(G29,5)&lt;&gt;"Skriv")</formula>
    </cfRule>
  </conditionalFormatting>
  <conditionalFormatting sqref="G31">
    <cfRule type="expression" priority="8" aboveAverage="0" equalAverage="0" bottom="0" percent="0" rank="0" text="" dxfId="0">
      <formula>LEFT(G31,6)="Riktig"</formula>
    </cfRule>
    <cfRule type="expression" priority="9" aboveAverage="0" equalAverage="0" bottom="0" percent="0" rank="0" text="" dxfId="1">
      <formula>AND(G31&lt;&gt;"",LEFT(G31,6)&lt;&gt;"Riktig",LEFT(G31,5)&lt;&gt;"Skriv")</formula>
    </cfRule>
  </conditionalFormatting>
  <conditionalFormatting sqref="G32">
    <cfRule type="expression" priority="10" aboveAverage="0" equalAverage="0" bottom="0" percent="0" rank="0" text="" dxfId="0">
      <formula>LEFT(G32,6)="Riktig"</formula>
    </cfRule>
    <cfRule type="expression" priority="11" aboveAverage="0" equalAverage="0" bottom="0" percent="0" rank="0" text="" dxfId="1">
      <formula>AND(G32&lt;&gt;"",LEFT(G32,6)&lt;&gt;"Riktig",LEFT(G32,5)&lt;&gt;"Skriv")</formula>
    </cfRule>
  </conditionalFormatting>
  <conditionalFormatting sqref="G33">
    <cfRule type="expression" priority="12" aboveAverage="0" equalAverage="0" bottom="0" percent="0" rank="0" text="" dxfId="0">
      <formula>LEFT(G33,6)="Riktig"</formula>
    </cfRule>
    <cfRule type="expression" priority="13" aboveAverage="0" equalAverage="0" bottom="0" percent="0" rank="0" text="" dxfId="1">
      <formula>AND(G33&lt;&gt;"",LEFT(G33,6)&lt;&gt;"Riktig",LEFT(G33,5)&lt;&gt;"Skriv")</formula>
    </cfRule>
  </conditionalFormatting>
  <dataValidations count="1">
    <dataValidation allowBlank="true" errorStyle="stop" operator="between" showDropDown="false" showErrorMessage="false" showInputMessage="false" sqref="C40"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3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72</v>
      </c>
    </row>
    <row r="2" customFormat="false" ht="25.5" hidden="false" customHeight="true" outlineLevel="0" collapsed="false">
      <c r="B2" s="5" t="s">
        <v>73</v>
      </c>
      <c r="C2" s="5"/>
      <c r="D2" s="5"/>
      <c r="E2" s="5"/>
      <c r="F2" s="5"/>
      <c r="G2" s="5"/>
      <c r="Z2" s="6" t="s">
        <v>74</v>
      </c>
    </row>
    <row r="3" customFormat="false" ht="15" hidden="false" customHeight="true" outlineLevel="0" collapsed="false">
      <c r="B3" s="7" t="s">
        <v>16</v>
      </c>
      <c r="C3" s="7"/>
      <c r="D3" s="7"/>
      <c r="E3" s="7"/>
      <c r="F3" s="7"/>
      <c r="G3" s="7"/>
      <c r="Z3" s="6" t="s">
        <v>75</v>
      </c>
    </row>
    <row r="4" customFormat="false" ht="15.75" hidden="false" customHeight="true" outlineLevel="0" collapsed="false">
      <c r="B4" s="8" t="s">
        <v>18</v>
      </c>
      <c r="C4" s="8"/>
      <c r="D4" s="8"/>
      <c r="E4" s="8"/>
      <c r="F4" s="8"/>
      <c r="G4" s="8"/>
    </row>
    <row r="5" customFormat="false" ht="45" hidden="false" customHeight="true" outlineLevel="0" collapsed="false">
      <c r="B5" s="9" t="s">
        <v>76</v>
      </c>
      <c r="C5" s="9"/>
      <c r="D5" s="9"/>
      <c r="E5" s="9"/>
      <c r="F5" s="9"/>
      <c r="G5" s="9"/>
    </row>
    <row r="6" customFormat="false" ht="15.75" hidden="false" customHeight="true" outlineLevel="0" collapsed="false">
      <c r="B6" s="8" t="s">
        <v>20</v>
      </c>
      <c r="C6" s="8"/>
      <c r="D6" s="8"/>
      <c r="E6" s="8"/>
      <c r="F6" s="8"/>
      <c r="G6" s="8"/>
    </row>
    <row r="7" customFormat="false" ht="45" hidden="false" customHeight="true" outlineLevel="0" collapsed="false">
      <c r="B7" s="9" t="s">
        <v>77</v>
      </c>
      <c r="C7" s="9"/>
      <c r="D7" s="9"/>
      <c r="E7" s="9"/>
      <c r="F7" s="9"/>
      <c r="G7" s="9"/>
    </row>
    <row r="9" customFormat="false" ht="15.75" hidden="false" customHeight="true" outlineLevel="0" collapsed="false">
      <c r="B9" s="8" t="s">
        <v>49</v>
      </c>
      <c r="C9" s="8"/>
      <c r="D9" s="8"/>
      <c r="E9" s="8"/>
      <c r="F9" s="8"/>
      <c r="G9" s="8"/>
    </row>
    <row r="10" customFormat="false" ht="45" hidden="false" customHeight="true" outlineLevel="0" collapsed="false">
      <c r="B10" s="9" t="s">
        <v>78</v>
      </c>
      <c r="C10" s="9"/>
      <c r="D10" s="9"/>
      <c r="E10" s="9"/>
      <c r="F10" s="9"/>
      <c r="G10" s="9"/>
    </row>
    <row r="11" customFormat="false" ht="15" hidden="false" customHeight="false" outlineLevel="0" collapsed="false">
      <c r="B11" s="10" t="s">
        <v>79</v>
      </c>
      <c r="C11" s="11" t="s">
        <v>80</v>
      </c>
      <c r="D11" s="11" t="s">
        <v>81</v>
      </c>
    </row>
    <row r="12" customFormat="false" ht="15" hidden="false" customHeight="false" outlineLevel="0" collapsed="false">
      <c r="B12" s="12" t="s">
        <v>82</v>
      </c>
      <c r="C12" s="13" t="n">
        <v>3840000</v>
      </c>
      <c r="D12" s="26" t="n">
        <v>360</v>
      </c>
    </row>
    <row r="13" customFormat="false" ht="15" hidden="false" customHeight="false" outlineLevel="0" collapsed="false">
      <c r="B13" s="12" t="s">
        <v>83</v>
      </c>
      <c r="C13" s="27" t="n">
        <f aca="false">ROUND(C12*1.1,0)</f>
        <v>4224000</v>
      </c>
      <c r="D13" s="26" t="n">
        <v>360</v>
      </c>
    </row>
    <row r="14" customFormat="false" ht="15" hidden="false" customHeight="false" outlineLevel="0" collapsed="false">
      <c r="B14" s="12" t="s">
        <v>84</v>
      </c>
      <c r="C14" s="27" t="n">
        <f aca="false">ROUND(C12*0.9,0)</f>
        <v>3456000</v>
      </c>
      <c r="D14" s="26" t="n">
        <v>360</v>
      </c>
    </row>
    <row r="15" customFormat="false" ht="15" hidden="false" customHeight="false" outlineLevel="0" collapsed="false">
      <c r="B15" s="12" t="s">
        <v>85</v>
      </c>
      <c r="C15" s="13" t="n">
        <v>3840000</v>
      </c>
      <c r="D15" s="28" t="n">
        <f aca="false">D12+890*0.05</f>
        <v>404.5</v>
      </c>
    </row>
    <row r="16" customFormat="false" ht="15" hidden="false" customHeight="false" outlineLevel="0" collapsed="false">
      <c r="B16" s="12" t="s">
        <v>86</v>
      </c>
      <c r="C16" s="13" t="n">
        <v>3840000</v>
      </c>
      <c r="D16" s="28" t="n">
        <f aca="false">D12-890*0.05</f>
        <v>315.5</v>
      </c>
    </row>
    <row r="18" customFormat="false" ht="15.75" hidden="false" customHeight="true" outlineLevel="0" collapsed="false">
      <c r="B18" s="8" t="s">
        <v>31</v>
      </c>
      <c r="C18" s="8"/>
      <c r="D18" s="8"/>
      <c r="E18" s="8"/>
      <c r="F18" s="8"/>
      <c r="G18" s="8"/>
    </row>
    <row r="19" customFormat="false" ht="60" hidden="false" customHeight="true" outlineLevel="0" collapsed="false">
      <c r="B19" s="9" t="s">
        <v>87</v>
      </c>
      <c r="C19" s="9"/>
      <c r="D19" s="9"/>
      <c r="E19" s="9"/>
      <c r="F19" s="9"/>
      <c r="G19" s="9"/>
    </row>
    <row r="21" customFormat="false" ht="43.5" hidden="false" customHeight="true" outlineLevel="0" collapsed="false">
      <c r="B21" s="17" t="s">
        <v>88</v>
      </c>
      <c r="C21" s="14"/>
      <c r="D21" s="19" t="s">
        <v>42</v>
      </c>
      <c r="G21" s="20" t="str">
        <f aca="false">IF(C21="","Skriv svaret i den gule cellen.",IF(ABS(C21-(ROUND(3840000*1.1/360,0)))&lt;=1,"Riktig.",IF(ABS(C21-(ROUND(3840000/360,0)))&lt;=1,"Det er nullpunktet i dag. Bruk de nye faste kostnadene, 4 224 000.",IF(ABS(C21-(ROUND(3840000*1.1/(360*1.1),0)))&lt;=1,"Du har økt dekningsbidraget per time også. Det er uendret på 360; bare de faste kostnadene stiger.","Ikke riktig ennå. Se på regnestykket øverst på fanen, og sjekk at du har med alle leddene."))))</f>
        <v>Skriv svaret i den gule cellen.</v>
      </c>
    </row>
    <row r="22" customFormat="false" ht="43.5" hidden="false" customHeight="true" outlineLevel="0" collapsed="false">
      <c r="B22" s="17" t="s">
        <v>89</v>
      </c>
      <c r="C22" s="18"/>
      <c r="D22" s="19" t="s">
        <v>90</v>
      </c>
      <c r="G22" s="20" t="str">
        <f aca="false">IF(C22="","Skriv svaret i den gule cellen.",IF(ABS(C22-((14400-ROUND(3840000*1.1/360,0))/14400))&lt;=0.003,"Riktig.",IF(ABS(C22-((14400-ROUND(3840000/360,0))/14400))&lt;=0.003,"Det er marginen i dag, 25,9 %. Bruk det nye nullpunktet fra a.","Ikke riktig ennå. Margin i timer = 14 400 − nullpunktet fra a. Delt på 14 400. Cellen er prosentformatert.")))</f>
        <v>Skriv svaret i den gule cellen.</v>
      </c>
    </row>
    <row r="23" customFormat="false" ht="43.5" hidden="false" customHeight="true" outlineLevel="0" collapsed="false">
      <c r="B23" s="17" t="s">
        <v>91</v>
      </c>
      <c r="C23" s="14"/>
      <c r="D23" s="19" t="s">
        <v>42</v>
      </c>
      <c r="G23" s="20" t="str">
        <f aca="false">IF(C23="","Skriv svaret i den gule cellen.",IF(ABS(C23-(ROUND(3840000*0.9/360,0)))&lt;=1,"Riktig.",IF(ABS(C23-(ROUND(3840000/360,0)))&lt;=1,"Det er nullpunktet i dag. Bruk de nye faste kostnadene, 3 456 000.","Ikke riktig ennå. Se på regnestykket øverst på fanen, og sjekk at du har med alle leddene.")))</f>
        <v>Skriv svaret i den gule cellen.</v>
      </c>
    </row>
    <row r="24" customFormat="false" ht="43.5" hidden="false" customHeight="true" outlineLevel="0" collapsed="false">
      <c r="B24" s="17" t="s">
        <v>92</v>
      </c>
      <c r="C24" s="14"/>
      <c r="D24" s="19" t="s">
        <v>42</v>
      </c>
      <c r="G24" s="20" t="str">
        <f aca="false">IF(C24="","Skriv svaret i den gule cellen.",IF(ABS(C24-(ROUND(3840000/404.5,0)))&lt;=1,"Riktig.",IF(ABS(C24-(ROUND(3840000/(360*1.05),0)))&lt;=1,"Du har økt dekningsbidraget med 5 %. Det er timeprisen som øker 5 %: 44,50 kr, og hele beløpet går inn i dekningsbidraget per time, som blir 404,50.",IF(ABS(C24-(ROUND(3840000/360,0)))&lt;=1,"Det er nullpunktet i dag. Dekningsbidraget per time er nå 360 + 44,50 = 404,50.","Ikke riktig ennå. Se på regnestykket øverst på fanen, og sjekk at du har med alle leddene."))))</f>
        <v>Skriv svaret i den gule cellen.</v>
      </c>
    </row>
    <row r="25" customFormat="false" ht="43.5" hidden="false" customHeight="true" outlineLevel="0" collapsed="false">
      <c r="B25" s="17" t="s">
        <v>93</v>
      </c>
      <c r="C25" s="14"/>
      <c r="D25" s="19" t="s">
        <v>42</v>
      </c>
      <c r="G25" s="20" t="str">
        <f aca="false">IF(C25="","Skriv svaret i den gule cellen.",IF(ABS(C25-(ROUND(3840000/315.5,0)))&lt;=1,"Riktig.",IF(ABS(C25-(ROUND(3840000/(360*0.95),0)))&lt;=1,"Du har redusert dekningsbidraget med 5 %. Det er timeprisen som faller 5 %: 44,50 kr, så dekningsbidraget per time blir 315,50.",IF(ABS(C25-(ROUND(3840000/404.5,0)))&lt;=1,"Det er svaret i d, prisen opp. Her går prisen ned: 315,50 kr per time.","Ikke riktig ennå. Se på regnestykket øverst på fanen, og sjekk at du har med alle leddene."))))</f>
        <v>Skriv svaret i den gule cellen.</v>
      </c>
    </row>
    <row r="26" customFormat="false" ht="43.5" hidden="false" customHeight="true" outlineLevel="0" collapsed="false">
      <c r="B26" s="17" t="s">
        <v>94</v>
      </c>
      <c r="C26" s="14"/>
      <c r="D26" s="19" t="s">
        <v>38</v>
      </c>
      <c r="G26" s="20" t="str">
        <f aca="false">IF(C26="","Skriv svaret i den gule cellen.",IF(C26=(10000*360-3840000),"Riktig.",IF(ABS(C26-(10000*360))&lt;=0,"Det er dekningsbidraget ved 10 000 timer. Trekk fra de faste kostnadene, 3 840 000.",IF(ABS(C26-(3840000-10000*360))&lt;=0,"Fortegnet er snudd: Nordlys taper penger ved 10 000 timer, så resultatet er negativt.",IF(ABS(C26-(14400*360-3840000))&lt;=0,"Det er resultatet ved 14 400 timer, 1 344 000. Oppgaven spør om 10 000 timer.","Ikke riktig ennå. Se på regnestykket øverst på fanen, og sjekk at du har med alle leddene.")))))</f>
        <v>Skriv svaret i den gule cellen.</v>
      </c>
    </row>
    <row r="28" customFormat="false" ht="39.75" hidden="false" customHeight="true" outlineLevel="0" collapsed="false">
      <c r="B28" s="17" t="s">
        <v>95</v>
      </c>
      <c r="C28" s="21"/>
      <c r="G28" s="20" t="str">
        <f aca="false">IF(C28="","Velg i nedtrekksmenyen.",IF(C28="Timeprisen opp 5 %","Riktig. 5 % på prisen er 44,50 kr, og hele beløpet går inn i dekningsbidraget per time: 12,4 % mer per time. 10 % på de faste er bare 10 % på de faste. Derfor 9 494 timer mot 9 600. Men prisen er også spaken kunden kan si nei til.","Ikke riktig. 5 % på prisen er 44,50 kr, og hele beløpet går inn i dekningsbidraget per time: 12,4 % mer per time. 10 % på de faste er bare 10 % på de faste. Derfor 9 494 timer mot 9 600. Men prisen er også spaken kunden kan si nei til."))</f>
        <v>Velg i nedtrekksmenyen.</v>
      </c>
    </row>
    <row r="30" customFormat="false" ht="30" hidden="false" customHeight="true" outlineLevel="0" collapsed="false">
      <c r="B30" s="9" t="s">
        <v>96</v>
      </c>
      <c r="C30" s="9"/>
      <c r="D30" s="9"/>
      <c r="E30" s="9"/>
      <c r="F30" s="9"/>
      <c r="G30" s="9"/>
    </row>
    <row r="31" customFormat="false" ht="21.75" hidden="false" customHeight="true" outlineLevel="0" collapsed="false">
      <c r="B31" s="24"/>
      <c r="C31" s="24"/>
      <c r="D31" s="24"/>
      <c r="E31" s="24"/>
      <c r="F31" s="24"/>
      <c r="G31" s="24"/>
    </row>
    <row r="32" customFormat="false" ht="21.75" hidden="false" customHeight="true" outlineLevel="0" collapsed="false">
      <c r="B32" s="24"/>
      <c r="C32" s="24"/>
      <c r="D32" s="24"/>
      <c r="E32" s="24"/>
      <c r="F32" s="24"/>
      <c r="G32" s="24"/>
    </row>
    <row r="33" customFormat="false" ht="21.75" hidden="false" customHeight="true" outlineLevel="0" collapsed="false">
      <c r="B33" s="24"/>
      <c r="C33" s="24"/>
      <c r="D33" s="24"/>
      <c r="E33" s="24"/>
      <c r="F33" s="24"/>
      <c r="G33" s="24"/>
    </row>
    <row r="34" customFormat="false" ht="39.75" hidden="false" customHeight="true" outlineLevel="0" collapsed="false">
      <c r="B34" s="25" t="str">
        <f aca="false">IF(LEN(B31)&lt;40,"",IF(AND(ISNUMBER(SEARCH("pris",B31)),ISNUMBER(SEARCH("faste",B31))),"Bra: du tar stilling til både prisen og de faste kostnadene. Si også at et år med 10 000 timer går med tap uansett, så ordreboka må fylles først.",IF(OR(ISNUMBER(SEARCH("pris",B31)),ISNUMBER(SEARCH("faste",B31))),"Du er på sporet. Ta med både timeprisen (virker mest, men kunden kan si nei) og de faste kostnadene (bilen og kontorplassen kan vente).","Tips: prisen flytter nullpunktet mest, men kunden kan si nei. Bilen og kontorplassen bør vente til timene er der. Og 10 000 timer gir −240 000 kr uansett: det er ordreboka som må fylles.")))</f>
        <v/>
      </c>
      <c r="C34" s="25"/>
      <c r="D34" s="25"/>
      <c r="E34" s="25"/>
      <c r="F34" s="25"/>
      <c r="G34" s="25"/>
    </row>
    <row r="35" customFormat="false" ht="15" hidden="false" customHeight="false" outlineLevel="0" collapsed="false">
      <c r="B35" s="22" t="s">
        <v>44</v>
      </c>
      <c r="C35" s="21"/>
    </row>
    <row r="36" customFormat="false" ht="45" hidden="false" customHeight="true" outlineLevel="0" collapsed="false">
      <c r="B36" s="23" t="str">
        <f aca="false">IF(C35="JA","Hint: a: 4 224 000 / 360 = 11 733,3 → 11 734. b: (14 400 − 11 734) / 14 400 = 18,5 %. c: 3 456 000 / 360 = 9 600. d: 3 840 000 / 404,50 = 9 493,2 → 9 494. e: 3 840 000 / 315,50 = 12 171,2 → 12 172. f: 10 000 × 360 − 3 840 000 = −240 000.","")</f>
        <v/>
      </c>
      <c r="C36" s="23"/>
      <c r="D36" s="23"/>
      <c r="E36" s="23"/>
      <c r="F36" s="23"/>
      <c r="G36" s="23"/>
    </row>
    <row r="38" customFormat="false" ht="30" hidden="false" customHeight="true" outlineLevel="0" collapsed="false">
      <c r="B38" s="7" t="s">
        <v>45</v>
      </c>
      <c r="C38" s="7"/>
      <c r="D38" s="7"/>
      <c r="E38" s="7"/>
      <c r="F38" s="7"/>
      <c r="G38" s="7"/>
    </row>
  </sheetData>
  <mergeCells count="15">
    <mergeCell ref="B2:G2"/>
    <mergeCell ref="B3:G3"/>
    <mergeCell ref="B4:G4"/>
    <mergeCell ref="B5:G5"/>
    <mergeCell ref="B6:G6"/>
    <mergeCell ref="B7:G7"/>
    <mergeCell ref="B9:G9"/>
    <mergeCell ref="B10:G10"/>
    <mergeCell ref="B18:G18"/>
    <mergeCell ref="B19:G19"/>
    <mergeCell ref="B30:G30"/>
    <mergeCell ref="B31:G33"/>
    <mergeCell ref="B34:G34"/>
    <mergeCell ref="B36:G36"/>
    <mergeCell ref="B38:G38"/>
  </mergeCells>
  <conditionalFormatting sqref="G21">
    <cfRule type="expression" priority="2" aboveAverage="0" equalAverage="0" bottom="0" percent="0" rank="0" text="" dxfId="0">
      <formula>LEFT(G21,6)="Riktig"</formula>
    </cfRule>
    <cfRule type="expression" priority="3" aboveAverage="0" equalAverage="0" bottom="0" percent="0" rank="0" text="" dxfId="1">
      <formula>AND(G21&lt;&gt;"",LEFT(G21,6)&lt;&gt;"Riktig",LEFT(G21,5)&lt;&gt;"Skriv")</formula>
    </cfRule>
  </conditionalFormatting>
  <conditionalFormatting sqref="G22">
    <cfRule type="expression" priority="4" aboveAverage="0" equalAverage="0" bottom="0" percent="0" rank="0" text="" dxfId="0">
      <formula>LEFT(G22,6)="Riktig"</formula>
    </cfRule>
    <cfRule type="expression" priority="5" aboveAverage="0" equalAverage="0" bottom="0" percent="0" rank="0" text="" dxfId="1">
      <formula>AND(G22&lt;&gt;"",LEFT(G22,6)&lt;&gt;"Riktig",LEFT(G22,5)&lt;&gt;"Skriv")</formula>
    </cfRule>
  </conditionalFormatting>
  <conditionalFormatting sqref="G23">
    <cfRule type="expression" priority="6" aboveAverage="0" equalAverage="0" bottom="0" percent="0" rank="0" text="" dxfId="0">
      <formula>LEFT(G23,6)="Riktig"</formula>
    </cfRule>
    <cfRule type="expression" priority="7" aboveAverage="0" equalAverage="0" bottom="0" percent="0" rank="0" text="" dxfId="1">
      <formula>AND(G23&lt;&gt;"",LEFT(G23,6)&lt;&gt;"Riktig",LEFT(G23,5)&lt;&gt;"Skriv")</formula>
    </cfRule>
  </conditionalFormatting>
  <conditionalFormatting sqref="G24">
    <cfRule type="expression" priority="8" aboveAverage="0" equalAverage="0" bottom="0" percent="0" rank="0" text="" dxfId="0">
      <formula>LEFT(G24,6)="Riktig"</formula>
    </cfRule>
    <cfRule type="expression" priority="9" aboveAverage="0" equalAverage="0" bottom="0" percent="0" rank="0" text="" dxfId="1">
      <formula>AND(G24&lt;&gt;"",LEFT(G24,6)&lt;&gt;"Riktig",LEFT(G24,5)&lt;&gt;"Skriv")</formula>
    </cfRule>
  </conditionalFormatting>
  <conditionalFormatting sqref="G25">
    <cfRule type="expression" priority="10" aboveAverage="0" equalAverage="0" bottom="0" percent="0" rank="0" text="" dxfId="0">
      <formula>LEFT(G25,6)="Riktig"</formula>
    </cfRule>
    <cfRule type="expression" priority="11" aboveAverage="0" equalAverage="0" bottom="0" percent="0" rank="0" text="" dxfId="1">
      <formula>AND(G25&lt;&gt;"",LEFT(G25,6)&lt;&gt;"Riktig",LEFT(G25,5)&lt;&gt;"Skriv")</formula>
    </cfRule>
  </conditionalFormatting>
  <conditionalFormatting sqref="G26">
    <cfRule type="expression" priority="12" aboveAverage="0" equalAverage="0" bottom="0" percent="0" rank="0" text="" dxfId="0">
      <formula>LEFT(G26,6)="Riktig"</formula>
    </cfRule>
    <cfRule type="expression" priority="13" aboveAverage="0" equalAverage="0" bottom="0" percent="0" rank="0" text="" dxfId="1">
      <formula>AND(G26&lt;&gt;"",LEFT(G26,6)&lt;&gt;"Riktig",LEFT(G26,5)&lt;&gt;"Skriv")</formula>
    </cfRule>
  </conditionalFormatting>
  <conditionalFormatting sqref="G28">
    <cfRule type="expression" priority="14" aboveAverage="0" equalAverage="0" bottom="0" percent="0" rank="0" text="" dxfId="0">
      <formula>LEFT(G28,6)="Riktig"</formula>
    </cfRule>
    <cfRule type="expression" priority="15" aboveAverage="0" equalAverage="0" bottom="0" percent="0" rank="0" text="" dxfId="1">
      <formula>LEFT(G28,4)="Ikke"</formula>
    </cfRule>
  </conditionalFormatting>
  <dataValidations count="2">
    <dataValidation allowBlank="true" errorStyle="stop" operator="between" showDropDown="false" showErrorMessage="false" showInputMessage="false" sqref="C28" type="list">
      <formula1>$Z$1:$Z$3</formula1>
      <formula2>0</formula2>
    </dataValidation>
    <dataValidation allowBlank="true" errorStyle="stop" operator="between" showDropDown="false" showErrorMessage="false" showInputMessage="false" sqref="C35"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D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0"/>
    <col collapsed="false" customWidth="true" hidden="false" outlineLevel="0" max="3" min="3" style="0" width="16"/>
    <col collapsed="false" customWidth="true" hidden="false" outlineLevel="0" max="4" min="4" style="0" width="78"/>
  </cols>
  <sheetData>
    <row r="2" customFormat="false" ht="19.7" hidden="false" customHeight="false" outlineLevel="0" collapsed="false">
      <c r="B2" s="29" t="s">
        <v>97</v>
      </c>
    </row>
    <row r="3" customFormat="false" ht="30" hidden="false" customHeight="true" outlineLevel="0" collapsed="false">
      <c r="B3" s="7" t="s">
        <v>98</v>
      </c>
      <c r="C3" s="7"/>
      <c r="D3" s="7"/>
    </row>
    <row r="5" customFormat="false" ht="15" hidden="false" customHeight="false" outlineLevel="0" collapsed="false">
      <c r="B5" s="30" t="s">
        <v>99</v>
      </c>
      <c r="C5" s="30" t="s">
        <v>100</v>
      </c>
      <c r="D5" s="30" t="s">
        <v>101</v>
      </c>
    </row>
    <row r="6" customFormat="false" ht="30" hidden="false" customHeight="true" outlineLevel="0" collapsed="false">
      <c r="B6" s="31" t="s">
        <v>102</v>
      </c>
      <c r="C6" s="27" t="n">
        <v>5184000</v>
      </c>
      <c r="D6" s="31" t="s">
        <v>103</v>
      </c>
    </row>
    <row r="7" customFormat="false" ht="30" hidden="false" customHeight="true" outlineLevel="0" collapsed="false">
      <c r="B7" s="31" t="s">
        <v>104</v>
      </c>
      <c r="C7" s="27"/>
      <c r="D7" s="31" t="s">
        <v>105</v>
      </c>
    </row>
    <row r="8" customFormat="false" ht="30" hidden="false" customHeight="true" outlineLevel="0" collapsed="false">
      <c r="B8" s="31" t="s">
        <v>106</v>
      </c>
      <c r="C8" s="27" t="n">
        <v>16592593</v>
      </c>
      <c r="D8" s="31" t="s">
        <v>107</v>
      </c>
    </row>
    <row r="9" customFormat="false" ht="30" hidden="false" customHeight="true" outlineLevel="0" collapsed="false">
      <c r="B9" s="31" t="s">
        <v>108</v>
      </c>
      <c r="C9" s="27" t="n">
        <v>360</v>
      </c>
      <c r="D9" s="31" t="s">
        <v>109</v>
      </c>
    </row>
    <row r="10" customFormat="false" ht="30" hidden="false" customHeight="true" outlineLevel="0" collapsed="false">
      <c r="B10" s="31" t="s">
        <v>110</v>
      </c>
      <c r="C10" s="27" t="n">
        <v>10667</v>
      </c>
      <c r="D10" s="31" t="s">
        <v>111</v>
      </c>
    </row>
    <row r="11" customFormat="false" ht="30" hidden="false" customHeight="true" outlineLevel="0" collapsed="false">
      <c r="B11" s="31" t="s">
        <v>112</v>
      </c>
      <c r="C11" s="27"/>
      <c r="D11" s="31" t="s">
        <v>113</v>
      </c>
    </row>
    <row r="12" customFormat="false" ht="30" hidden="false" customHeight="true" outlineLevel="0" collapsed="false">
      <c r="B12" s="31" t="s">
        <v>114</v>
      </c>
      <c r="C12" s="27" t="n">
        <v>5807407</v>
      </c>
      <c r="D12" s="31" t="s">
        <v>115</v>
      </c>
    </row>
    <row r="13" customFormat="false" ht="30" hidden="false" customHeight="true" outlineLevel="0" collapsed="false">
      <c r="B13" s="31" t="s">
        <v>116</v>
      </c>
      <c r="C13" s="27"/>
      <c r="D13" s="31" t="s">
        <v>117</v>
      </c>
    </row>
    <row r="14" customFormat="false" ht="30" hidden="false" customHeight="true" outlineLevel="0" collapsed="false">
      <c r="B14" s="31" t="s">
        <v>118</v>
      </c>
      <c r="C14" s="27" t="n">
        <v>3733</v>
      </c>
      <c r="D14" s="31" t="s">
        <v>119</v>
      </c>
    </row>
    <row r="15" customFormat="false" ht="30" hidden="false" customHeight="true" outlineLevel="0" collapsed="false">
      <c r="B15" s="31" t="s">
        <v>120</v>
      </c>
      <c r="C15" s="27" t="n">
        <v>7300</v>
      </c>
      <c r="D15" s="31" t="s">
        <v>121</v>
      </c>
    </row>
    <row r="16" customFormat="false" ht="30" hidden="false" customHeight="true" outlineLevel="0" collapsed="false">
      <c r="B16" s="31" t="s">
        <v>122</v>
      </c>
      <c r="C16" s="27" t="n">
        <v>288</v>
      </c>
      <c r="D16" s="31" t="s">
        <v>123</v>
      </c>
    </row>
    <row r="17" customFormat="false" ht="30" hidden="false" customHeight="true" outlineLevel="0" collapsed="false">
      <c r="B17" s="31" t="s">
        <v>124</v>
      </c>
      <c r="C17" s="27" t="n">
        <v>-567000</v>
      </c>
      <c r="D17" s="31" t="s">
        <v>125</v>
      </c>
    </row>
    <row r="18" customFormat="false" ht="45" hidden="false" customHeight="true" outlineLevel="0" collapsed="false">
      <c r="B18" s="31" t="s">
        <v>126</v>
      </c>
      <c r="C18" s="27"/>
      <c r="D18" s="31" t="s">
        <v>127</v>
      </c>
    </row>
    <row r="19" customFormat="false" ht="30" hidden="false" customHeight="true" outlineLevel="0" collapsed="false">
      <c r="B19" s="31" t="s">
        <v>128</v>
      </c>
      <c r="C19" s="27" t="n">
        <v>11734</v>
      </c>
      <c r="D19" s="31" t="s">
        <v>129</v>
      </c>
    </row>
    <row r="20" customFormat="false" ht="30" hidden="false" customHeight="true" outlineLevel="0" collapsed="false">
      <c r="B20" s="31" t="s">
        <v>130</v>
      </c>
      <c r="C20" s="27"/>
      <c r="D20" s="31" t="s">
        <v>131</v>
      </c>
    </row>
    <row r="21" customFormat="false" ht="30" hidden="false" customHeight="true" outlineLevel="0" collapsed="false">
      <c r="B21" s="31" t="s">
        <v>132</v>
      </c>
      <c r="C21" s="27" t="n">
        <v>9600</v>
      </c>
      <c r="D21" s="31" t="s">
        <v>133</v>
      </c>
    </row>
    <row r="22" customFormat="false" ht="30" hidden="false" customHeight="true" outlineLevel="0" collapsed="false">
      <c r="B22" s="31" t="s">
        <v>134</v>
      </c>
      <c r="C22" s="27" t="n">
        <v>9494</v>
      </c>
      <c r="D22" s="31" t="s">
        <v>135</v>
      </c>
    </row>
    <row r="23" customFormat="false" ht="30" hidden="false" customHeight="true" outlineLevel="0" collapsed="false">
      <c r="B23" s="31" t="s">
        <v>136</v>
      </c>
      <c r="C23" s="27" t="n">
        <v>12172</v>
      </c>
      <c r="D23" s="31" t="s">
        <v>137</v>
      </c>
    </row>
    <row r="24" customFormat="false" ht="30" hidden="false" customHeight="true" outlineLevel="0" collapsed="false">
      <c r="B24" s="31" t="s">
        <v>138</v>
      </c>
      <c r="C24" s="27" t="n">
        <v>-240000</v>
      </c>
      <c r="D24" s="31" t="s">
        <v>139</v>
      </c>
    </row>
    <row r="25" customFormat="false" ht="30" hidden="false" customHeight="true" outlineLevel="0" collapsed="false">
      <c r="B25" s="31" t="s">
        <v>140</v>
      </c>
      <c r="C25" s="27"/>
      <c r="D25" s="31" t="s">
        <v>141</v>
      </c>
    </row>
    <row r="26" customFormat="false" ht="30" hidden="false" customHeight="true" outlineLevel="0" collapsed="false">
      <c r="B26" s="31" t="s">
        <v>142</v>
      </c>
      <c r="C26" s="27"/>
      <c r="D26" s="31" t="s">
        <v>143</v>
      </c>
    </row>
  </sheetData>
  <sheetProtection sheet="true"/>
  <mergeCells count="1">
    <mergeCell ref="B3:D3"/>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2026-10-14T17:45:03Z</dcterms:created>
  <dc:creator>openpyxl</dc:creator>
  <dc:description/>
  <dc:language>en-US</dc:language>
  <cp:lastModifiedBy/>
  <dcterms:modified xsi:type="dcterms:W3CDTF">2026-10-14T17:45:03Z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