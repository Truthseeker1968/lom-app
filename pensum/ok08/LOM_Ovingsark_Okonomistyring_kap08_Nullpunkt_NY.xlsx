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Nullpunkt" sheetId="3" state="visible" r:id="rId5"/>
    <sheet name="Spakene" sheetId="4" state="visible" r:id="rId6"/>
    <sheet name="Rabatt" sheetId="5" state="visible" r:id="rId7"/>
    <sheet name="Scenario" sheetId="6" state="visible" r:id="rId8"/>
    <sheet name="Din avdeli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<sst xmlns="http://schemas.openxmlformats.org/spreadsheetml/2006/main" count="317" uniqueCount="271">
  <si>
    <t xml:space="preserve">Hvor mange oppdrag må til? Den enkle versjonen</t>
  </si>
  <si>
    <t xml:space="preserve">Fyll inn de fire gule cellene. Svaret står i den grønne. Alt annet regner seg selv. Vil du gå dypere, ligger hele modellen i arkene bak.</t>
  </si>
  <si>
    <t xml:space="preserve">Det du vet</t>
  </si>
  <si>
    <t xml:space="preserve">Hva betaler kunden for ett oppdrag, uten mva.?</t>
  </si>
  <si>
    <t xml:space="preserve">Det som står på fakturaen for ett serviceoppdrag.</t>
  </si>
  <si>
    <t xml:space="preserve">Hva koster materiell og montørtimer på ett oppdrag?</t>
  </si>
  <si>
    <t xml:space="preserve">Det du slipper å betale hvis jobben ikke blir noe av. Det er de variable kostnadene.</t>
  </si>
  <si>
    <t xml:space="preserve">Hva koster det som kommer uansett, i løpet av et år?</t>
  </si>
  <si>
    <t xml:space="preserve">Verksted, servicebiler, forsikring og lønn til dem som ikke fakturerer. Det er de faste kostnadene.</t>
  </si>
  <si>
    <t xml:space="preserve">Hvor mange oppdrag har dere planlagt neste år?</t>
  </si>
  <si>
    <t xml:space="preserve">Antallet du regner med å selge. Full kalender betyr ikke at tallet er høyt nok.</t>
  </si>
  <si>
    <t xml:space="preserve">Regnestykket</t>
  </si>
  <si>
    <t xml:space="preserve">Dekningsbidrag per oppdrag</t>
  </si>
  <si>
    <t xml:space="preserve">Pris minus variable kostnader. Det hvert oppdrag legger igjen til de faste kostnadene.</t>
  </si>
  <si>
    <t xml:space="preserve">Dekningsgrad</t>
  </si>
  <si>
    <t xml:space="preserve">Dekningsbidraget i prosent av prisen. Så mange øre av hver krone blir igjen.</t>
  </si>
  <si>
    <t xml:space="preserve">Nullpunkt i oppdrag, før avrunding</t>
  </si>
  <si>
    <t xml:space="preserve">Faste kostnader delt på dekningsbidraget.</t>
  </si>
  <si>
    <t xml:space="preserve">Nullpunkt i kroner</t>
  </si>
  <si>
    <t xml:space="preserve">Faste kostnader delt på dekningsGRADEN, ikke på dekningsbidraget.</t>
  </si>
  <si>
    <t xml:space="preserve">NULLPUNKT I ANTALL OPPDRAG</t>
  </si>
  <si>
    <t xml:space="preserve">Rundet opp til hele oppdrag. Et halvt oppdrag finnes ikke.</t>
  </si>
  <si>
    <t xml:space="preserve">Resultat med det planlagte antallet</t>
  </si>
  <si>
    <t xml:space="preserve">Alle dekningsbidragene minus de faste kostnadene. Minus betyr tap.</t>
  </si>
  <si>
    <t xml:space="preserve">Risikomargin i antall oppdrag</t>
  </si>
  <si>
    <t xml:space="preserve">Planen minus nullpunktet. Negativ margin betyr at avdelingen allerede taper penger.</t>
  </si>
  <si>
    <t xml:space="preserve">Hva svaret betyr</t>
  </si>
  <si>
    <t xml:space="preserve">Prøv selv</t>
  </si>
  <si>
    <t xml:space="preserve">1. Sett planlagt antall (B8) til 320. Hva blir resultatet nå?</t>
  </si>
  <si>
    <t xml:space="preserve">2. Sett prisen (B5) 8 prosent opp, til 19 980. Hvor mye faller nullpunktet?</t>
  </si>
  <si>
    <t xml:space="preserve">3. Hva må B8 minst være for at resultatet skal bli større enn null?</t>
  </si>
  <si>
    <t xml:space="preserve">Tallene er serviceavdelingen i Nordlys Elektro AS, de samme som i kapittel 2, 5 og 7. Kilde: Økonomistyring for LØM-emnet, kap. 8.1 og 8.2. Nordlys Elektro AS er en konstruert casebedrift.</t>
  </si>
  <si>
    <t xml:space="preserve">Nullpunktsanalyse</t>
  </si>
  <si>
    <t xml:space="preserve">LØM Økonomistyring kap. 8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</si>
  <si>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</si>
  <si>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</si>
  <si>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</si>
  <si>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</si>
  <si>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</si>
  <si>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</si>
  <si>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</si>
  <si>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</si>
  <si>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</si>
  <si>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</si>
  <si>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Fire gule celler, ett svar. Nullpunktet regnet på den enkleste måten.</t>
  </si>
  <si>
    <t xml:space="preserve">Nullpunkt</t>
  </si>
  <si>
    <t xml:space="preserve">Kalkulatoren. Pris, variable kostnader og faste kostnader inn — nullpunkt, resultat og risikomargin ut. De andre arkene henter tallene sine herfra.</t>
  </si>
  <si>
    <t xml:space="preserve">Spakene</t>
  </si>
  <si>
    <t xml:space="preserve">Tre tiltak på samme prosent: prisen opp, variable ned, faste ned. Se hvilken som gir mest, og hvorfor.</t>
  </si>
  <si>
    <t xml:space="preserve">Rabatt</t>
  </si>
  <si>
    <t xml:space="preserve">Hva en rabatt til én stor kunde gjør med snittpris, nullpunkt og risikomargin — og hva den koster hvis kapasiteten er full.</t>
  </si>
  <si>
    <t xml:space="preserve">Scenario</t>
  </si>
  <si>
    <t xml:space="preserve">Skal avdelingen legges ned? Hva som faktisk forsvinner, hvor grensen går, og hvilke veier ut som finnes.</t>
  </si>
  <si>
    <t xml:space="preserve">Din avdeling</t>
  </si>
  <si>
    <t xml:space="preserve">Samme oppsett, tomt. Legg inn tallene for din egen avdeling.</t>
  </si>
  <si>
    <t xml:space="preserve">Tallene som ligger inne er serviceavdelingen i Nordlys Elektro AS, den samme avdelingen du møter i kapittel 2, 5 og 7.</t>
  </si>
  <si>
    <t xml:space="preserve">Nullpunktet i antall rundes alltid OPP til hele enheter: det er ikke nådd før hele oppdraget er fakturert.</t>
  </si>
  <si>
    <t xml:space="preserve">Nullpunktet i kroner regnes av DEKNINGSGRADEN, ikke av dekningsbidraget. Deler du på dekningsbidraget, blir svaret flere hundre ganger for lite.</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</si>
  <si>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</si>
  <si>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</si>
  <si>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 tre knappene</t>
  </si>
  <si>
    <t xml:space="preserve">Nullpunkt!B5</t>
  </si>
  <si>
    <t xml:space="preserve">Prisen per oppdrag</t>
  </si>
  <si>
    <t xml:space="preserve">Den sterkeste spaken: hele påslaget går rett inn i dekningsbidraget.</t>
  </si>
  <si>
    <t xml:space="preserve">Nullpunkt!B6</t>
  </si>
  <si>
    <t xml:space="preserve">Variable kostnader per oppdrag</t>
  </si>
  <si>
    <t xml:space="preserve">Nest sterkest, fordi beløpet er stort.</t>
  </si>
  <si>
    <t xml:space="preserve">Nullpunkt!B9</t>
  </si>
  <si>
    <t xml:space="preserve">Faste kostnader i året</t>
  </si>
  <si>
    <t xml:space="preserve">Virker bare på telleren i nullpunktsformelen — og tar med seg kapasitet.</t>
  </si>
  <si>
    <t xml:space="preserve">Hvilken oppgave bruker hvilket ark</t>
  </si>
  <si>
    <t xml:space="preserve">Oppgave i øvingsheftet</t>
  </si>
  <si>
    <t xml:space="preserve">Ark</t>
  </si>
  <si>
    <t xml:space="preserve">Celler du endrer og leser av</t>
  </si>
  <si>
    <t xml:space="preserve">A1 · Går avdelingen i pluss?</t>
  </si>
  <si>
    <t xml:space="preserve">Les av B7, B8, B15, B16 og resultatet i B25.</t>
  </si>
  <si>
    <t xml:space="preserve">A2 · Klasseoppgave: rabatten fra borettslaget</t>
  </si>
  <si>
    <t xml:space="preserve">Endre B5, B6 og B7. Les av B12, C19, C21, C22, C25, C26 og forskjellen i C28.</t>
  </si>
  <si>
    <t xml:space="preserve">1 · Serviceavdelingen i utgangspunktet</t>
  </si>
  <si>
    <t xml:space="preserve">Endre B5, B6, B9 og B21. Les av B7, B8, B15, B16, B17, B25, B26 og B28.</t>
  </si>
  <si>
    <t xml:space="preserve">2 · Hvor mange oppdrag må Tom skaffe?</t>
  </si>
  <si>
    <t xml:space="preserve">Sett ønsket resultat i B38 og les av B39 og B40. Kapasiteten står i B12.</t>
  </si>
  <si>
    <t xml:space="preserve">3 · De tre spakene</t>
  </si>
  <si>
    <t xml:space="preserve">Endre prosenten i B4 og volumet i B5. Les av rad 11, 13, 15, 16 og rangeringen i rad 17.</t>
  </si>
  <si>
    <t xml:space="preserve">4 · Rabatten til borettslaget</t>
  </si>
  <si>
    <t xml:space="preserve">Endre B5, B6 og B7. Les av hele sammenlikningen i rad 18 til 28, og fortrengningsregningen i B31 og B32.</t>
  </si>
  <si>
    <t xml:space="preserve">5 · Eksamensnær: skal avdelingen legges ned?</t>
  </si>
  <si>
    <t xml:space="preserve">Sett felleskostnadsandelen i B6. Les av B7, B8, rad 12 til 17, grensene i B20 til B23, veiene ut i rad 27 og 28, og døråpnereffekten i B36 og B37.</t>
  </si>
  <si>
    <t xml:space="preserve">Kontrollradene</t>
  </si>
  <si>
    <t xml:space="preserve">Hvert regneark har en kontrollblokk. Står det OK, henger tallene sammen. Står det AVVIK, farges cellen rød, og teksten sier hva som ikke går opp.</t>
  </si>
  <si>
    <t xml:space="preserve">Ett unntak: arket «Din avdeling» står på AVVIK til du har fylt inn dine egne tall.</t>
  </si>
  <si>
    <t xml:space="preserve">Kontroller i arbeidsboka: Nullpunkt B43, Nullpunkt B44, Nullpunkt B45, Nullpunkt B46, Spakene B21, Spakene B22, Spakene B23, Rabatt B35, Rabatt B36, Rabatt B37, Rabatt B38, Scenario B40, Scenario B41, Scenario B42, Din avdeling B26, Din avdeling B28</t>
  </si>
  <si>
    <t xml:space="preserve">Slik henger kapitlene sammen</t>
  </si>
  <si>
    <t xml:space="preserve">Nullpunktet er timeprisen fra kapittel 5 sett fra en annen kant. Timeprisen svarer på hva timen må koste; nullpunktet svarer på hvor mange av dem du må selge. Arket Nullpunkt regner om nullpunktet til montørtimer i rad 34 og 35, og andelen du leser der, er den samme faktureringsgraden kapittel 5 handler om. Dekningsbidraget per oppdrag er det samme som rangeres i kapittel 7, og de faste kostnadene er de samme som deles ut i kapittel 2.</t>
  </si>
  <si>
    <t xml:space="preserve">Kilder</t>
  </si>
  <si>
    <t xml:space="preserve">Hjertnes, J. og Skorpen, K.: Økonomistyring for LØM-emnet (ISBN 978-82-450-5544-3), kapittel 8 «Nullpunktsanalyse», avsnitt 8.1 til 8.4. Formler for nullpunkt, dekningsgrad og risikomargin: formelsamlingen til LØM-emnet.</t>
  </si>
  <si>
    <t xml:space="preserve">Bransjetall: NHO Elektro, Lønnsomhetsrapport 2025, gjengitt i Elektro 24-7 19.08.2026 (hentet 10.09.2026). De 809 er bedriftene i datagrunnlaget, ikke bransjen. NHO Elektro oppgir ikke svarprosent.</t>
  </si>
  <si>
    <t xml:space="preserve">Nordlys Elektro AS er en konstruert casebedrift. Tallene henger sammen på tvers av alle ti kapitlene i Bok 1.</t>
  </si>
  <si>
    <t xml:space="preserve">Hvor mange oppdrag må til før avdelingen tjener penger?</t>
  </si>
  <si>
    <t xml:space="preserve">Endre de gule cellene. Alt annet regner seg selv.</t>
  </si>
  <si>
    <t xml:space="preserve">1 · Avdelingen</t>
  </si>
  <si>
    <t xml:space="preserve">Pris per oppdrag, uten mva.</t>
  </si>
  <si>
    <t xml:space="preserve">Det kunden betaler for ett serviceoppdrag.</t>
  </si>
  <si>
    <t xml:space="preserve">Materiell og montørtimer som går med til nettopp dette oppdraget.</t>
  </si>
  <si>
    <t xml:space="preserve">= Dekningsbidrag per oppdrag</t>
  </si>
  <si>
    <t xml:space="preserve">Det oppdraget bidrar med til å dekke de faste kostnadene.</t>
  </si>
  <si>
    <t xml:space="preserve">Dekningsbidraget i prosent av prisen. Brukes til nullpunktet i kroner.</t>
  </si>
  <si>
    <t xml:space="preserve">Løper enten avdelingen har oppdrag eller ikke.</t>
  </si>
  <si>
    <t xml:space="preserve">Montørtimer per oppdrag</t>
  </si>
  <si>
    <t xml:space="preserve">Montørtimer avdelingen har i året</t>
  </si>
  <si>
    <t xml:space="preserve">Kapasitet i antall oppdrag</t>
  </si>
  <si>
    <t xml:space="preserve">Taket. Over dette må avdelingen ansette.</t>
  </si>
  <si>
    <t xml:space="preserve">2 · Nullpunktet</t>
  </si>
  <si>
    <t xml:space="preserve">Nullpunkt i antall oppdrag</t>
  </si>
  <si>
    <t xml:space="preserve">Faste kostnader delt på dekningsbidrag per oppdrag.</t>
  </si>
  <si>
    <t xml:space="preserve">avrundet opp til hele oppdrag</t>
  </si>
  <si>
    <t xml:space="preserve">Nullpunktet er ikke nådd før hele oppdraget er fakturert. Rund alltid OPP.</t>
  </si>
  <si>
    <t xml:space="preserve">Faste kostnader delt på DEKNINGSGRADEN — ikke på dekningsbidraget.</t>
  </si>
  <si>
    <t xml:space="preserve">Kontrollregning: nullpunkt i oppdrag × pris</t>
  </si>
  <si>
    <t xml:space="preserve">3 · Planen for året</t>
  </si>
  <si>
    <t xml:space="preserve">Planlagt antall oppdrag</t>
  </si>
  <si>
    <t xml:space="preserve">Den ene cellen som forteller om avdelingen tjener penger eller ikke.</t>
  </si>
  <si>
    <t xml:space="preserve">Salgsinntekt</t>
  </si>
  <si>
    <t xml:space="preserve">Dekningsbidrag totalt</t>
  </si>
  <si>
    <t xml:space="preserve">− faste kostnader</t>
  </si>
  <si>
    <t xml:space="preserve">= Resultat</t>
  </si>
  <si>
    <t xml:space="preserve">Risikomargin i kroner</t>
  </si>
  <si>
    <t xml:space="preserve">Risikomargin i prosent</t>
  </si>
  <si>
    <t xml:space="preserve">Hvor mye salget kan falle før avdelingen går i minus.</t>
  </si>
  <si>
    <t xml:space="preserve">Kapasitetsutnyttelse</t>
  </si>
  <si>
    <t xml:space="preserve">Dom</t>
  </si>
  <si>
    <t xml:space="preserve">4 · Broen til kapittel 5</t>
  </si>
  <si>
    <t xml:space="preserve">Dekningsbidrag per montørtime</t>
  </si>
  <si>
    <t xml:space="preserve">Sammenlikn med oppdragstypene i kapittel 7.</t>
  </si>
  <si>
    <t xml:space="preserve">Nullpunktet i montørtimer</t>
  </si>
  <si>
    <t xml:space="preserve">Andel av kapasiteten nullpunktet krever</t>
  </si>
  <si>
    <t xml:space="preserve">Dette er faktureringsgraden fra kapittel 5, sett fra en annen kant: så stor del av timene må faktisk selges.</t>
  </si>
  <si>
    <t xml:space="preserve">5 · Hva skal til for et overskudd?</t>
  </si>
  <si>
    <t xml:space="preserve">Ønsket resultat</t>
  </si>
  <si>
    <t xml:space="preserve">Oppdrag som må til</t>
  </si>
  <si>
    <t xml:space="preserve">Økning fra planen</t>
  </si>
  <si>
    <t xml:space="preserve">Er dette realistisk på ett år? Det er sjelden det.</t>
  </si>
  <si>
    <t xml:space="preserve">Kontroll</t>
  </si>
  <si>
    <t xml:space="preserve">Gir de to nullpunktsformlene samme svar?</t>
  </si>
  <si>
    <t xml:space="preserve">Er dekningsbidraget positivt?</t>
  </si>
  <si>
    <t xml:space="preserve">Ligger nullpunktet innenfor kapasiteten?</t>
  </si>
  <si>
    <t xml:space="preserve">Henger resultatet sammen med risikomarginen?</t>
  </si>
  <si>
    <t xml:space="preserve">Prøv dette: sett planlagt antall i B21 opp til dommen i D30 snur. Det tallet er nullpunktet, og det er hele kapitlet.</t>
  </si>
  <si>
    <t xml:space="preserve">Kilde: Bok 1 kap. 8.1 og 8.2, og formlene for nullpunkt og risikomargin i formelsamlingen. Tallene er serviceavdelingen i Nordlys Elektro AS.</t>
  </si>
  <si>
    <t xml:space="preserve">Tre spaker, samme prosent, helt ulik virkning</t>
  </si>
  <si>
    <t xml:space="preserve">Endre prosenten i B4 og se hvilken spak som gir mest.</t>
  </si>
  <si>
    <t xml:space="preserve">Tiltakets størrelse</t>
  </si>
  <si>
    <t xml:space="preserve">Samme prosent på alle tre tiltakene. Det er nettopp poenget.</t>
  </si>
  <si>
    <t xml:space="preserve">Volum vi måler på, antall oppdrag</t>
  </si>
  <si>
    <t xml:space="preserve">Nivået Tom må opp på for å ha en margin i det hele tatt.</t>
  </si>
  <si>
    <t xml:space="preserve">Uten tiltak</t>
  </si>
  <si>
    <t xml:space="preserve">A · prisen opp</t>
  </si>
  <si>
    <t xml:space="preserve">B · variable ned</t>
  </si>
  <si>
    <t xml:space="preserve">C · faste ned</t>
  </si>
  <si>
    <t xml:space="preserve">Hva raden betyr</t>
  </si>
  <si>
    <t xml:space="preserve">Pris per oppdrag</t>
  </si>
  <si>
    <t xml:space="preserve">Legg merke til at C ikke rører dekningsbidraget i det hele tatt.</t>
  </si>
  <si>
    <t xml:space="preserve">= Nullpunkt i antall oppdrag</t>
  </si>
  <si>
    <t xml:space="preserve">Resultat ved volumet i B5</t>
  </si>
  <si>
    <t xml:space="preserve">Rangering — hvem senker nullpunktet mest</t>
  </si>
  <si>
    <t xml:space="preserve">1 er best. Prisøkningen vinner fordi hele påslaget går rett inn i dekningsbidraget.</t>
  </si>
  <si>
    <t xml:space="preserve">Forbedring i resultat mot «uten tiltak»</t>
  </si>
  <si>
    <t xml:space="preserve">Vinner prisøkningen?</t>
  </si>
  <si>
    <t xml:space="preserve">Slår variable ned de faste ned?</t>
  </si>
  <si>
    <t xml:space="preserve">Senker alle tre tiltakene nullpunktet?</t>
  </si>
  <si>
    <t xml:space="preserve">Prøv dette: sett prosenten i B4 til det nivået som gjør at tiltak C alene bringer avdelingen over nullpunktet. Se hvor stort kuttet må være.</t>
  </si>
  <si>
    <t xml:space="preserve">Kilde: Bok 1 kap. 8.3 om hvordan endringer i pris og kostnader flytter nullpunktet.</t>
  </si>
  <si>
    <t xml:space="preserve">Hva en rabatt gjør med nullpunktet</t>
  </si>
  <si>
    <t xml:space="preserve">Et borettslag vil ha mange oppdrag, men til lavere pris. Er det verdt det?</t>
  </si>
  <si>
    <t xml:space="preserve">1 · Tilbudet</t>
  </si>
  <si>
    <t xml:space="preserve">Rabatt borettslaget krever</t>
  </si>
  <si>
    <t xml:space="preserve">Antall oppdrag i avtalen</t>
  </si>
  <si>
    <t xml:space="preserve">Samlet volum avdelingen regner med</t>
  </si>
  <si>
    <t xml:space="preserve">Med avtalen. Uten avtalen blir volumet dette minus oppdragene i B6.</t>
  </si>
  <si>
    <t xml:space="preserve">Oppdrag til full pris</t>
  </si>
  <si>
    <t xml:space="preserve">2 · Det rabatterte oppdraget</t>
  </si>
  <si>
    <t xml:space="preserve">Rabattert pris</t>
  </si>
  <si>
    <t xml:space="preserve">= Dekningsbidrag per rabattert oppdrag</t>
  </si>
  <si>
    <t xml:space="preserve">Fortsatt positivt: hvert rabattert oppdrag bidrar til å dekke faste kostnader.</t>
  </si>
  <si>
    <t xml:space="preserve">Dekningsgrad på det rabatterte oppdraget</t>
  </si>
  <si>
    <t xml:space="preserve">Samlet dekningsbidrag fra avtalen</t>
  </si>
  <si>
    <t xml:space="preserve">Penger som ellers ikke ville kommet inn — hvis kapasiteten er ledig.</t>
  </si>
  <si>
    <t xml:space="preserve">3 · Avdelingen med og uten avtalen</t>
  </si>
  <si>
    <t xml:space="preserve">Uten avtalen</t>
  </si>
  <si>
    <t xml:space="preserve">Med avtalen</t>
  </si>
  <si>
    <t xml:space="preserve">Antall oppdrag</t>
  </si>
  <si>
    <t xml:space="preserve">Uten avtalen forsvinner de rabatterte oppdragene helt. Det er alternativet.</t>
  </si>
  <si>
    <t xml:space="preserve">Gjennomsnittspris</t>
  </si>
  <si>
    <t xml:space="preserve">Gjennomsnittlig dekningsbidrag</t>
  </si>
  <si>
    <t xml:space="preserve">Gjennomsnittlig dekningsgrad</t>
  </si>
  <si>
    <t xml:space="preserve">Rabatten løfter nullpunktet: det skal flere oppdrag til når hvert av dem bidrar med mindre.</t>
  </si>
  <si>
    <t xml:space="preserve">Forskjell i resultat</t>
  </si>
  <si>
    <t xml:space="preserve">Skal være lik det samlede dekningsbidraget fra avtalen i B14.</t>
  </si>
  <si>
    <t xml:space="preserve">4 · Og hvis oppdragene fortrenger jobber til full pris?</t>
  </si>
  <si>
    <t xml:space="preserve">Resultat hvis de samme oppdragene kunne vært solgt til full pris</t>
  </si>
  <si>
    <t xml:space="preserve">Hva rabatten koster da</t>
  </si>
  <si>
    <t xml:space="preserve">Er kapasiteten full, er rabatten et tap — ikke en gevinst. Spørsmålet er alltid hva alternativet til oppdraget er.</t>
  </si>
  <si>
    <t xml:space="preserve">Er det rabatterte oppdraget fortsatt lønnsomt å ta?</t>
  </si>
  <si>
    <t xml:space="preserve">Løfter rabatten nullpunktet?</t>
  </si>
  <si>
    <t xml:space="preserve">Stemmer forskjellen i resultat med bidraget fra avtalen?</t>
  </si>
  <si>
    <t xml:space="preserve">Er det kapasitet til avtalen?</t>
  </si>
  <si>
    <t xml:space="preserve">Prøv dette: skru rabatten i B5 oppover til dekningsbidraget i B12 blir null. Den prosenten er den absolutte grensen — og den ligger langt over det du bør godta.</t>
  </si>
  <si>
    <t xml:space="preserve">Kilde: Bok 1 kap. 8.3 og 8.4 om endret pris og om gjennomsnittspris når deler av volumet selges med rabatt.</t>
  </si>
  <si>
    <t xml:space="preserve">Skal serviceavdelingen legges ned?</t>
  </si>
  <si>
    <t xml:space="preserve">Oppgave 5 i øvingsheftet. Regn først, drøft etterpå.</t>
  </si>
  <si>
    <t xml:space="preserve">1 · De faste kostnadene er ikke én ting</t>
  </si>
  <si>
    <t xml:space="preserve">Faste kostnader avdelingen bærer</t>
  </si>
  <si>
    <t xml:space="preserve">Andel som er felleskostnader fordelt fra Nordlys</t>
  </si>
  <si>
    <t xml:space="preserve">Kontor, regnskap, IT og daglig leder. Legges avdelingen ned, flyttes disse over på de andre avdelingene — de forsvinner ikke.</t>
  </si>
  <si>
    <t xml:space="preserve">Felleskostnader som blir igjen</t>
  </si>
  <si>
    <t xml:space="preserve">Unngåelige faste kostnader</t>
  </si>
  <si>
    <t xml:space="preserve">Egen leasingbil, eget lager, egen avdelingsleder. Disse forsvinner med avdelingen.</t>
  </si>
  <si>
    <t xml:space="preserve">2 · De to alternativene</t>
  </si>
  <si>
    <t xml:space="preserve">Drive videre</t>
  </si>
  <si>
    <t xml:space="preserve">Legge ned</t>
  </si>
  <si>
    <t xml:space="preserve">0</t>
  </si>
  <si>
    <t xml:space="preserve">Dekningsbidrag</t>
  </si>
  <si>
    <t xml:space="preserve">Alt dekningsbidraget forsvinner med avdelingen.</t>
  </si>
  <si>
    <t xml:space="preserve">− faste kostnader Nordlys sitter igjen med</t>
  </si>
  <si>
    <t xml:space="preserve">= Resultat for Nordlys</t>
  </si>
  <si>
    <t xml:space="preserve">Nedleggelse endrer resultatet med</t>
  </si>
  <si>
    <t xml:space="preserve">Negativt tall: nedleggelse gjør vondt verre.</t>
  </si>
  <si>
    <t xml:space="preserve">3 · Hvor går grensen?</t>
  </si>
  <si>
    <t xml:space="preserve">Oppdrag som må til for å forsvare at avdelingen drives videre</t>
  </si>
  <si>
    <t xml:space="preserve">Unngåelige faste kostnader delt på dekningsbidrag per oppdrag. Under dette volumet lønner nedleggelse seg.</t>
  </si>
  <si>
    <t xml:space="preserve">Nullpunktet — der avdelingen går i null på papiret</t>
  </si>
  <si>
    <t xml:space="preserve">Avstanden mellom de to grensene</t>
  </si>
  <si>
    <t xml:space="preserve">Mellom disse to tallene går avdelingen i minus i regnskapet, og skal likevel drives videre. Det er hele poenget i oppgaven.</t>
  </si>
  <si>
    <t xml:space="preserve">Hvor avdelingen ligger nå</t>
  </si>
  <si>
    <t xml:space="preserve">4 · Veiene ut</t>
  </si>
  <si>
    <t xml:space="preserve">Styrets krav til overskudd</t>
  </si>
  <si>
    <t xml:space="preserve">Oppdrag som må til, uendret pris</t>
  </si>
  <si>
    <t xml:space="preserve">Kolonne C: hvor mye volumet må øke fra planen.</t>
  </si>
  <si>
    <t xml:space="preserve">Oppdrag som må til med prisen opp</t>
  </si>
  <si>
    <t xml:space="preserve">Prisøkningen fra tiltak A i arket Spakene.</t>
  </si>
  <si>
    <t xml:space="preserve">Er målet mulig innenfor kapasiteten?</t>
  </si>
  <si>
    <t xml:space="preserve">5 · Det tallene ikke ser: serviceoppdrag som døråpner</t>
  </si>
  <si>
    <t xml:space="preserve">Andel serviceoppdrag som fører til et større oppdrag</t>
  </si>
  <si>
    <t xml:space="preserve">Didaktisk anslag. Sett ditt eget — poenget er å tvinge fram et tall.</t>
  </si>
  <si>
    <t xml:space="preserve">Dekningsbidrag på det større oppdraget</t>
  </si>
  <si>
    <t xml:space="preserve">Solcelleanlegget fra kapittel 7.</t>
  </si>
  <si>
    <t xml:space="preserve">Antall slike oppdrag i året</t>
  </si>
  <si>
    <t xml:space="preserve">Dekningsbidrag serviceavdelingen skaffer andre avdelinger</t>
  </si>
  <si>
    <t xml:space="preserve">Resultat for Nordlys når døråpnereffekten regnes med</t>
  </si>
  <si>
    <t xml:space="preserve">Fortsatt negativt — men mindre. Og nå er hensynet tallfestet i stedet for å være en påstand.</t>
  </si>
  <si>
    <t xml:space="preserve">Går avdelingen faktisk i minus?</t>
  </si>
  <si>
    <t xml:space="preserve">Ligger nedleggelsesgrensen under nullpunktet?</t>
  </si>
  <si>
    <t xml:space="preserve">Er døråpnereffekten alene nok?</t>
  </si>
  <si>
    <t xml:space="preserve">Legg merke til hva som skiller de to grensene i rad 20 og 21. Nullpunktet svarer på om avdelingen tjener penger. Nedleggelsesgrensen svarer på om Nordlys er tjent med å ha den. Det er to helt ulike spørsmål, og bare det ene står i læreboka.</t>
  </si>
  <si>
    <t xml:space="preserve">Kilde: Bok 1 kap. 8.1 til 8.4, og kapittel 2 om faste og variable kostnader. Skillet mellom unngåelige og ikke-unngåelige faste kostnader følger av bidragsmetoden i kapittel 5. Bransjetall: NHO Elektro, Lønnsomhetsrapport 2025, gjengitt i Elektro 24-7 19.08.2026 (hentet 10.09.2026). De 809 er bedriftene i datagrunnlaget, ikke bransjen. NHO Elektro oppgir ikke svarprosent.</t>
  </si>
  <si>
    <t xml:space="preserve">Din egen avdeling</t>
  </si>
  <si>
    <t xml:space="preserve">Samme regnestykke, ingen tall. Fyll inn de gule cellene.</t>
  </si>
  <si>
    <t xml:space="preserve">Pris per oppdrag eller per enhet</t>
  </si>
  <si>
    <t xml:space="preserve">Uten mva.</t>
  </si>
  <si>
    <t xml:space="preserve">Materiell og lønn som følger oppdraget.</t>
  </si>
  <si>
    <t xml:space="preserve">Husleie, forsikring, leasing, fast lønn.</t>
  </si>
  <si>
    <t xml:space="preserve">Timer per oppdrag</t>
  </si>
  <si>
    <t xml:space="preserve">Til kapasitetsregningen.</t>
  </si>
  <si>
    <t xml:space="preserve">Timer avdelingen har i året</t>
  </si>
  <si>
    <t xml:space="preserve">Antall ansatte ganget med timene hver av dem selger.</t>
  </si>
  <si>
    <t xml:space="preserve">avrundet opp</t>
  </si>
  <si>
    <t xml:space="preserve">3 · Planen</t>
  </si>
  <si>
    <t xml:space="preserve">Resultat</t>
  </si>
  <si>
    <t xml:space="preserve">Er arket fylt ut?</t>
  </si>
  <si>
    <t xml:space="preserve">Dette arket starter tomt, så kontrollen står på AVVIK til du har fylt inn tallene.</t>
  </si>
  <si>
    <t xml:space="preserve">Ta arket med på jobb. Nullpunktet er det ene tallet en avdelingsleder bør kunne i hodet før året begynner.</t>
  </si>
</sst>
</file>

<file path=xl/styles.xml><?xml version="1.0" encoding="utf-8"?>
<styleSheet xmlns="http://schemas.openxmlformats.org/spreadsheetml/2006/main">
  <numFmts count="9">
    <numFmt numFmtId="164" formatCode="General"/>
    <numFmt numFmtId="165" formatCode="#,##0"/>
    <numFmt numFmtId="166" formatCode="0"/>
    <numFmt numFmtId="167" formatCode="0.0\ %"/>
    <numFmt numFmtId="168" formatCode="#,##0.0"/>
    <numFmt numFmtId="169" formatCode="#,##0&quot; kr&quot;"/>
    <numFmt numFmtId="170" formatCode="0.0%"/>
    <numFmt numFmtId="171" formatCode="#,##0.00"/>
    <numFmt numFmtId="172" formatCode="#,##0.00&quot; kr&quot;"/>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8"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6" fontId="10" fillId="5"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71"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72" fontId="7" fillId="6"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18500</v>
      </c>
      <c r="C5" s="7" t="s">
        <v>4</v>
      </c>
    </row>
    <row r="6" customFormat="false" ht="15" hidden="false" customHeight="true" outlineLevel="0" collapsed="false">
      <c r="A6" s="5" t="s">
        <v>5</v>
      </c>
      <c r="B6" s="6" t="n">
        <v>11200</v>
      </c>
      <c r="C6" s="7" t="s">
        <v>6</v>
      </c>
    </row>
    <row r="7" customFormat="false" ht="15" hidden="false" customHeight="true" outlineLevel="0" collapsed="false">
      <c r="A7" s="5" t="s">
        <v>7</v>
      </c>
      <c r="B7" s="6" t="n">
        <v>2100000</v>
      </c>
      <c r="C7" s="7" t="s">
        <v>8</v>
      </c>
    </row>
    <row r="8" customFormat="false" ht="15" hidden="false" customHeight="true" outlineLevel="0" collapsed="false">
      <c r="A8" s="5" t="s">
        <v>9</v>
      </c>
      <c r="B8" s="8" t="n">
        <v>210</v>
      </c>
      <c r="C8" s="7" t="s">
        <v>10</v>
      </c>
    </row>
    <row r="9" customFormat="false" ht="15" hidden="false" customHeight="true" outlineLevel="0" collapsed="false"/>
    <row r="10" customFormat="false" ht="15" hidden="false" customHeight="true" outlineLevel="0" collapsed="false">
      <c r="A10" s="3" t="s">
        <v>11</v>
      </c>
      <c r="B10" s="4"/>
      <c r="C10" s="4"/>
    </row>
    <row r="11" customFormat="false" ht="15" hidden="false" customHeight="true" outlineLevel="0" collapsed="false">
      <c r="A11" s="5" t="s">
        <v>12</v>
      </c>
      <c r="B11" s="9" t="n">
        <f aca="false">B5-B6</f>
        <v>7300</v>
      </c>
      <c r="C11" s="7" t="s">
        <v>13</v>
      </c>
    </row>
    <row r="12" customFormat="false" ht="15" hidden="false" customHeight="true" outlineLevel="0" collapsed="false">
      <c r="A12" s="5" t="s">
        <v>14</v>
      </c>
      <c r="B12" s="10" t="n">
        <f aca="false">B11/B5</f>
        <v>0.394594594594595</v>
      </c>
      <c r="C12" s="7" t="s">
        <v>15</v>
      </c>
    </row>
    <row r="13" customFormat="false" ht="15" hidden="false" customHeight="true" outlineLevel="0" collapsed="false">
      <c r="A13" s="5" t="s">
        <v>16</v>
      </c>
      <c r="B13" s="11" t="n">
        <f aca="false">B7/B11</f>
        <v>287.671232876712</v>
      </c>
      <c r="C13" s="7" t="s">
        <v>17</v>
      </c>
    </row>
    <row r="14" customFormat="false" ht="15" hidden="false" customHeight="true" outlineLevel="0" collapsed="false">
      <c r="A14" s="5" t="s">
        <v>18</v>
      </c>
      <c r="B14" s="9" t="n">
        <f aca="false">B7/B12</f>
        <v>5321917.80821918</v>
      </c>
      <c r="C14" s="7" t="s">
        <v>19</v>
      </c>
    </row>
    <row r="15" customFormat="false" ht="15" hidden="false" customHeight="true" outlineLevel="0" collapsed="false"/>
    <row r="16" customFormat="false" ht="21" hidden="false" customHeight="true" outlineLevel="0" collapsed="false">
      <c r="A16" s="12" t="s">
        <v>20</v>
      </c>
      <c r="B16" s="13" t="n">
        <f aca="false">IF(B13&gt;ROUND(B13,0),ROUND(B13,0)+1,ROUND(B13,0))</f>
        <v>288</v>
      </c>
      <c r="C16" s="7" t="s">
        <v>21</v>
      </c>
    </row>
    <row r="17" customFormat="false" ht="15" hidden="false" customHeight="true" outlineLevel="0" collapsed="false">
      <c r="A17" s="5" t="s">
        <v>22</v>
      </c>
      <c r="B17" s="9" t="n">
        <f aca="false">B8*B11-B7</f>
        <v>-567000</v>
      </c>
      <c r="C17" s="7" t="s">
        <v>23</v>
      </c>
    </row>
    <row r="18" customFormat="false" ht="15" hidden="false" customHeight="true" outlineLevel="0" collapsed="false">
      <c r="A18" s="5" t="s">
        <v>24</v>
      </c>
      <c r="B18" s="14" t="n">
        <f aca="false">B8-B16</f>
        <v>-78</v>
      </c>
      <c r="C18" s="7" t="s">
        <v>25</v>
      </c>
    </row>
    <row r="19" customFormat="false" ht="15" hidden="false" customHeight="true" outlineLevel="0" collapsed="false"/>
    <row r="20" customFormat="false" ht="15" hidden="false" customHeight="true" outlineLevel="0" collapsed="false">
      <c r="A20" s="3" t="s">
        <v>26</v>
      </c>
      <c r="B20" s="4"/>
      <c r="C20" s="4"/>
    </row>
    <row r="21" customFormat="false" ht="33.75" hidden="false" customHeight="true" outlineLevel="0" collapsed="false">
      <c r="A21" s="15" t="str">
        <f aca="false">"Avdelingen må ha "&amp;TEXT(ROUND(B16,0),"0")&amp;" oppdrag før den tjener noe. Med "&amp;TEXT(ROUND(B8,0),"0")&amp;" oppdrag blir resultatet "&amp;TEXT(ROUND(B17,0),"#,##0")&amp;" kroner."</f>
        <v>Avdelingen må ha 288 oppdrag før den tjener noe. Med 210 oppdrag blir resultatet -567,000 kroner.</v>
      </c>
      <c r="B21" s="15"/>
      <c r="C21" s="15"/>
    </row>
    <row r="22" customFormat="false" ht="15" hidden="false" customHeight="true" outlineLevel="0" collapsed="false"/>
    <row r="23" customFormat="false" ht="15" hidden="false" customHeight="true" outlineLevel="0" collapsed="false">
      <c r="A23" s="3" t="s">
        <v>27</v>
      </c>
      <c r="B23" s="4"/>
      <c r="C23" s="4"/>
    </row>
    <row r="24" customFormat="false" ht="15" hidden="false" customHeight="true" outlineLevel="0" collapsed="false">
      <c r="A24" s="16" t="s">
        <v>28</v>
      </c>
      <c r="B24" s="16"/>
      <c r="C24" s="16"/>
    </row>
    <row r="25" customFormat="false" ht="15" hidden="false" customHeight="true" outlineLevel="0" collapsed="false">
      <c r="A25" s="16" t="s">
        <v>29</v>
      </c>
      <c r="B25" s="16"/>
      <c r="C25" s="16"/>
    </row>
    <row r="26" customFormat="false" ht="15" hidden="false" customHeight="true" outlineLevel="0" collapsed="false">
      <c r="A26" s="16" t="s">
        <v>30</v>
      </c>
      <c r="B26" s="16"/>
      <c r="C26" s="16"/>
    </row>
    <row r="27" customFormat="false" ht="15" hidden="false" customHeight="true" outlineLevel="0" collapsed="false"/>
    <row r="28" customFormat="false" ht="27" hidden="false" customHeight="true" outlineLevel="0" collapsed="false">
      <c r="A28" s="2" t="s">
        <v>31</v>
      </c>
      <c r="B28" s="2"/>
      <c r="C28" s="2"/>
    </row>
  </sheetData>
  <mergeCells count="6">
    <mergeCell ref="A2:C2"/>
    <mergeCell ref="A21:C21"/>
    <mergeCell ref="A24:C24"/>
    <mergeCell ref="A25:C25"/>
    <mergeCell ref="A26:C26"/>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32</v>
      </c>
    </row>
    <row r="2" customFormat="false" ht="15" hidden="false" customHeight="false" outlineLevel="0" collapsed="false">
      <c r="A2" s="17" t="s">
        <v>33</v>
      </c>
    </row>
    <row r="3" customFormat="false" ht="15" hidden="false" customHeight="false" outlineLevel="0" collapsed="false">
      <c r="A3" s="18" t="s">
        <v>34</v>
      </c>
    </row>
    <row r="4" customFormat="false" ht="15" hidden="false" customHeight="false" outlineLevel="0" collapsed="false">
      <c r="A4" s="19" t="s">
        <v>35</v>
      </c>
    </row>
    <row r="5" customFormat="false" ht="15" hidden="false" customHeight="false" outlineLevel="0" collapsed="false">
      <c r="A5" s="20" t="s">
        <v>36</v>
      </c>
      <c r="B5" s="21" t="s">
        <v>37</v>
      </c>
    </row>
    <row r="6" customFormat="false" ht="15" hidden="false" customHeight="false" outlineLevel="0" collapsed="false">
      <c r="A6" s="22" t="s">
        <v>38</v>
      </c>
      <c r="B6" s="21" t="s">
        <v>39</v>
      </c>
    </row>
    <row r="7" customFormat="false" ht="15" hidden="false" customHeight="false" outlineLevel="0" collapsed="false">
      <c r="A7" s="22" t="s">
        <v>40</v>
      </c>
      <c r="B7" s="21" t="s">
        <v>41</v>
      </c>
    </row>
    <row r="9" customFormat="false" ht="15" hidden="false" customHeight="false" outlineLevel="0" collapsed="false">
      <c r="A9" s="19" t="s">
        <v>42</v>
      </c>
    </row>
    <row r="10" customFormat="false" ht="15" hidden="false" customHeight="false" outlineLevel="0" collapsed="false">
      <c r="A10" s="23" t="s">
        <v>43</v>
      </c>
      <c r="B10" s="21" t="s">
        <v>44</v>
      </c>
    </row>
    <row r="11" customFormat="false" ht="15" hidden="false" customHeight="false" outlineLevel="0" collapsed="false">
      <c r="A11" s="23" t="s">
        <v>45</v>
      </c>
      <c r="B11" s="21" t="s">
        <v>46</v>
      </c>
    </row>
    <row r="12" customFormat="false" ht="15" hidden="false" customHeight="false" outlineLevel="0" collapsed="false">
      <c r="A12" s="23" t="s">
        <v>47</v>
      </c>
      <c r="B12" s="21" t="s">
        <v>48</v>
      </c>
    </row>
    <row r="13" customFormat="false" ht="15" hidden="false" customHeight="false" outlineLevel="0" collapsed="false">
      <c r="A13" s="23" t="s">
        <v>49</v>
      </c>
      <c r="B13" s="21" t="s">
        <v>50</v>
      </c>
    </row>
    <row r="14" customFormat="false" ht="15" hidden="false" customHeight="false" outlineLevel="0" collapsed="false">
      <c r="A14" s="23" t="s">
        <v>51</v>
      </c>
      <c r="B14" s="21" t="s">
        <v>52</v>
      </c>
    </row>
    <row r="15" customFormat="false" ht="15" hidden="false" customHeight="false" outlineLevel="0" collapsed="false">
      <c r="A15" s="23" t="s">
        <v>53</v>
      </c>
      <c r="B15" s="21" t="s">
        <v>54</v>
      </c>
    </row>
    <row r="17" customFormat="false" ht="15" hidden="false" customHeight="false" outlineLevel="0" collapsed="false">
      <c r="A17" s="18" t="s">
        <v>55</v>
      </c>
    </row>
    <row r="18" customFormat="false" ht="15" hidden="false" customHeight="false" outlineLevel="0" collapsed="false">
      <c r="A18" s="18" t="s">
        <v>56</v>
      </c>
    </row>
    <row r="19" customFormat="false" ht="15" hidden="false" customHeight="false" outlineLevel="0" collapsed="false">
      <c r="A19" s="18" t="s">
        <v>57</v>
      </c>
    </row>
    <row r="21" customFormat="false" ht="15" hidden="false" customHeight="false" outlineLevel="0" collapsed="false">
      <c r="A21" s="18" t="s">
        <v>58</v>
      </c>
    </row>
    <row r="22" customFormat="false" ht="15" hidden="false" customHeight="false" outlineLevel="0" collapsed="false">
      <c r="A22" s="18" t="s">
        <v>59</v>
      </c>
    </row>
    <row r="24" customFormat="false" ht="15" hidden="false" customHeight="false" outlineLevel="0" collapsed="false">
      <c r="A24" s="19" t="s">
        <v>60</v>
      </c>
    </row>
    <row r="25" customFormat="false" ht="15" hidden="false" customHeight="false" outlineLevel="0" collapsed="false">
      <c r="A25" s="21" t="s">
        <v>61</v>
      </c>
      <c r="B25" s="21" t="s">
        <v>62</v>
      </c>
      <c r="C25" s="21" t="s">
        <v>63</v>
      </c>
    </row>
    <row r="26" customFormat="false" ht="15" hidden="false" customHeight="false" outlineLevel="0" collapsed="false">
      <c r="A26" s="21" t="s">
        <v>64</v>
      </c>
      <c r="B26" s="21" t="s">
        <v>65</v>
      </c>
      <c r="C26" s="21" t="s">
        <v>66</v>
      </c>
    </row>
    <row r="27" customFormat="false" ht="15" hidden="false" customHeight="false" outlineLevel="0" collapsed="false">
      <c r="A27" s="21" t="s">
        <v>67</v>
      </c>
      <c r="B27" s="21" t="s">
        <v>68</v>
      </c>
      <c r="C27" s="21" t="s">
        <v>69</v>
      </c>
    </row>
    <row r="29" customFormat="false" ht="15" hidden="false" customHeight="false" outlineLevel="0" collapsed="false">
      <c r="A29" s="19" t="s">
        <v>70</v>
      </c>
    </row>
    <row r="30" customFormat="false" ht="27.75" hidden="false" customHeight="true" outlineLevel="0" collapsed="false">
      <c r="A30" s="24" t="s">
        <v>71</v>
      </c>
      <c r="B30" s="24" t="s">
        <v>72</v>
      </c>
      <c r="C30" s="24" t="s">
        <v>73</v>
      </c>
    </row>
    <row r="31" customFormat="false" ht="15" hidden="false" customHeight="false" outlineLevel="0" collapsed="false">
      <c r="A31" s="21" t="s">
        <v>74</v>
      </c>
      <c r="B31" s="23" t="s">
        <v>45</v>
      </c>
      <c r="C31" s="21" t="s">
        <v>75</v>
      </c>
    </row>
    <row r="32" customFormat="false" ht="15" hidden="false" customHeight="false" outlineLevel="0" collapsed="false">
      <c r="A32" s="21" t="s">
        <v>76</v>
      </c>
      <c r="B32" s="23" t="s">
        <v>49</v>
      </c>
      <c r="C32" s="21" t="s">
        <v>77</v>
      </c>
    </row>
    <row r="33" customFormat="false" ht="15" hidden="false" customHeight="false" outlineLevel="0" collapsed="false">
      <c r="A33" s="21" t="s">
        <v>78</v>
      </c>
      <c r="B33" s="23" t="s">
        <v>45</v>
      </c>
      <c r="C33" s="21" t="s">
        <v>79</v>
      </c>
    </row>
    <row r="34" customFormat="false" ht="15" hidden="false" customHeight="false" outlineLevel="0" collapsed="false">
      <c r="A34" s="21" t="s">
        <v>80</v>
      </c>
      <c r="B34" s="23" t="s">
        <v>45</v>
      </c>
      <c r="C34" s="21" t="s">
        <v>81</v>
      </c>
    </row>
    <row r="35" customFormat="false" ht="15" hidden="false" customHeight="false" outlineLevel="0" collapsed="false">
      <c r="A35" s="21" t="s">
        <v>82</v>
      </c>
      <c r="B35" s="23" t="s">
        <v>47</v>
      </c>
      <c r="C35" s="21" t="s">
        <v>83</v>
      </c>
    </row>
    <row r="36" customFormat="false" ht="15" hidden="false" customHeight="false" outlineLevel="0" collapsed="false">
      <c r="A36" s="21" t="s">
        <v>84</v>
      </c>
      <c r="B36" s="23" t="s">
        <v>49</v>
      </c>
      <c r="C36" s="21" t="s">
        <v>85</v>
      </c>
    </row>
    <row r="37" customFormat="false" ht="15" hidden="false" customHeight="false" outlineLevel="0" collapsed="false">
      <c r="A37" s="21" t="s">
        <v>86</v>
      </c>
      <c r="B37" s="23" t="s">
        <v>51</v>
      </c>
      <c r="C37" s="21" t="s">
        <v>87</v>
      </c>
    </row>
    <row r="39" customFormat="false" ht="15" hidden="false" customHeight="false" outlineLevel="0" collapsed="false">
      <c r="A39" s="19" t="s">
        <v>88</v>
      </c>
    </row>
    <row r="40" customFormat="false" ht="15" hidden="false" customHeight="false" outlineLevel="0" collapsed="false">
      <c r="A40" s="21" t="s">
        <v>89</v>
      </c>
    </row>
    <row r="41" customFormat="false" ht="15" hidden="false" customHeight="false" outlineLevel="0" collapsed="false">
      <c r="A41" s="21" t="s">
        <v>90</v>
      </c>
    </row>
    <row r="42" customFormat="false" ht="15" hidden="false" customHeight="false" outlineLevel="0" collapsed="false">
      <c r="A42" s="18" t="s">
        <v>91</v>
      </c>
    </row>
    <row r="44" customFormat="false" ht="15" hidden="false" customHeight="false" outlineLevel="0" collapsed="false">
      <c r="A44" s="19" t="s">
        <v>92</v>
      </c>
    </row>
    <row r="45" customFormat="false" ht="15" hidden="false" customHeight="false" outlineLevel="0" collapsed="false">
      <c r="A45" s="21" t="s">
        <v>93</v>
      </c>
    </row>
    <row r="47" customFormat="false" ht="15" hidden="false" customHeight="false" outlineLevel="0" collapsed="false">
      <c r="A47" s="19" t="s">
        <v>94</v>
      </c>
    </row>
    <row r="48" customFormat="false" ht="15" hidden="false" customHeight="false" outlineLevel="0" collapsed="false">
      <c r="A48" s="18" t="s">
        <v>95</v>
      </c>
    </row>
    <row r="49" customFormat="false" ht="15" hidden="false" customHeight="false" outlineLevel="0" collapsed="false">
      <c r="A49" s="18" t="s">
        <v>96</v>
      </c>
    </row>
    <row r="50" customFormat="false" ht="15" hidden="false" customHeight="false" outlineLevel="0" collapsed="false">
      <c r="A50" s="18" t="s">
        <v>97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4"/>
    <col collapsed="false" customWidth="true" hidden="false" outlineLevel="0" max="4" min="4" style="0" width="56"/>
  </cols>
  <sheetData>
    <row r="1" customFormat="false" ht="17.35" hidden="false" customHeight="false" outlineLevel="0" collapsed="false">
      <c r="A1" s="1" t="s">
        <v>98</v>
      </c>
    </row>
    <row r="2" customFormat="false" ht="15" hidden="false" customHeight="false" outlineLevel="0" collapsed="false">
      <c r="A2" s="17" t="s">
        <v>99</v>
      </c>
    </row>
    <row r="4" customFormat="false" ht="15" hidden="false" customHeight="false" outlineLevel="0" collapsed="false">
      <c r="A4" s="19" t="s">
        <v>100</v>
      </c>
    </row>
    <row r="5" customFormat="false" ht="15" hidden="false" customHeight="false" outlineLevel="0" collapsed="false">
      <c r="A5" s="21" t="s">
        <v>101</v>
      </c>
      <c r="B5" s="25" t="n">
        <v>18500</v>
      </c>
      <c r="D5" s="21" t="s">
        <v>102</v>
      </c>
    </row>
    <row r="6" customFormat="false" ht="15" hidden="false" customHeight="false" outlineLevel="0" collapsed="false">
      <c r="A6" s="21" t="s">
        <v>65</v>
      </c>
      <c r="B6" s="25" t="n">
        <v>11200</v>
      </c>
      <c r="D6" s="21" t="s">
        <v>103</v>
      </c>
    </row>
    <row r="7" customFormat="false" ht="15" hidden="false" customHeight="false" outlineLevel="0" collapsed="false">
      <c r="A7" s="23" t="s">
        <v>104</v>
      </c>
      <c r="B7" s="26" t="n">
        <f aca="false">B5-B6</f>
        <v>7300</v>
      </c>
      <c r="D7" s="21" t="s">
        <v>105</v>
      </c>
    </row>
    <row r="8" customFormat="false" ht="15" hidden="false" customHeight="false" outlineLevel="0" collapsed="false">
      <c r="A8" s="21" t="s">
        <v>14</v>
      </c>
      <c r="B8" s="27" t="n">
        <f aca="false">B7/B5</f>
        <v>0.394594594594595</v>
      </c>
      <c r="D8" s="21" t="s">
        <v>106</v>
      </c>
    </row>
    <row r="9" customFormat="false" ht="15" hidden="false" customHeight="false" outlineLevel="0" collapsed="false">
      <c r="A9" s="21" t="s">
        <v>68</v>
      </c>
      <c r="B9" s="25" t="n">
        <v>2100000</v>
      </c>
      <c r="D9" s="21" t="s">
        <v>107</v>
      </c>
    </row>
    <row r="10" customFormat="false" ht="15" hidden="false" customHeight="false" outlineLevel="0" collapsed="false">
      <c r="A10" s="21" t="s">
        <v>108</v>
      </c>
      <c r="B10" s="28" t="n">
        <v>6</v>
      </c>
    </row>
    <row r="11" customFormat="false" ht="15" hidden="false" customHeight="false" outlineLevel="0" collapsed="false">
      <c r="A11" s="21" t="s">
        <v>109</v>
      </c>
      <c r="B11" s="28" t="n">
        <v>2400</v>
      </c>
    </row>
    <row r="12" customFormat="false" ht="15" hidden="false" customHeight="false" outlineLevel="0" collapsed="false">
      <c r="A12" s="21" t="s">
        <v>110</v>
      </c>
      <c r="B12" s="29" t="n">
        <f aca="false">B11/B10</f>
        <v>400</v>
      </c>
      <c r="D12" s="21" t="s">
        <v>111</v>
      </c>
    </row>
    <row r="14" customFormat="false" ht="15" hidden="false" customHeight="false" outlineLevel="0" collapsed="false">
      <c r="A14" s="19" t="s">
        <v>112</v>
      </c>
    </row>
    <row r="15" customFormat="false" ht="15" hidden="false" customHeight="false" outlineLevel="0" collapsed="false">
      <c r="A15" s="21" t="s">
        <v>113</v>
      </c>
      <c r="B15" s="30" t="n">
        <f aca="false">B9/B7</f>
        <v>287.671232876712</v>
      </c>
      <c r="D15" s="21" t="s">
        <v>114</v>
      </c>
    </row>
    <row r="16" customFormat="false" ht="15" hidden="false" customHeight="false" outlineLevel="0" collapsed="false">
      <c r="A16" s="23" t="s">
        <v>115</v>
      </c>
      <c r="B16" s="31" t="n">
        <f aca="false">ROUNDUP(B15,0)</f>
        <v>288</v>
      </c>
      <c r="D16" s="21" t="s">
        <v>116</v>
      </c>
    </row>
    <row r="17" customFormat="false" ht="15" hidden="false" customHeight="false" outlineLevel="0" collapsed="false">
      <c r="A17" s="21" t="s">
        <v>18</v>
      </c>
      <c r="B17" s="26" t="n">
        <f aca="false">B9/B8</f>
        <v>5321917.80821918</v>
      </c>
      <c r="D17" s="21" t="s">
        <v>117</v>
      </c>
    </row>
    <row r="18" customFormat="false" ht="15" hidden="false" customHeight="false" outlineLevel="0" collapsed="false">
      <c r="A18" s="21" t="s">
        <v>118</v>
      </c>
      <c r="B18" s="32" t="n">
        <f aca="false">B15*B5</f>
        <v>5321917.80821918</v>
      </c>
    </row>
    <row r="20" customFormat="false" ht="15" hidden="false" customHeight="false" outlineLevel="0" collapsed="false">
      <c r="A20" s="19" t="s">
        <v>119</v>
      </c>
    </row>
    <row r="21" customFormat="false" ht="15" hidden="false" customHeight="false" outlineLevel="0" collapsed="false">
      <c r="A21" s="21" t="s">
        <v>120</v>
      </c>
      <c r="B21" s="28" t="n">
        <v>210</v>
      </c>
      <c r="D21" s="21" t="s">
        <v>121</v>
      </c>
    </row>
    <row r="22" customFormat="false" ht="15" hidden="false" customHeight="false" outlineLevel="0" collapsed="false">
      <c r="A22" s="21" t="s">
        <v>122</v>
      </c>
      <c r="B22" s="32" t="n">
        <f aca="false">B21*B5</f>
        <v>3885000</v>
      </c>
    </row>
    <row r="23" customFormat="false" ht="15" hidden="false" customHeight="false" outlineLevel="0" collapsed="false">
      <c r="A23" s="21" t="s">
        <v>123</v>
      </c>
      <c r="B23" s="32" t="n">
        <f aca="false">B21*B7</f>
        <v>1533000</v>
      </c>
    </row>
    <row r="24" customFormat="false" ht="15" hidden="false" customHeight="false" outlineLevel="0" collapsed="false">
      <c r="A24" s="21" t="s">
        <v>124</v>
      </c>
      <c r="B24" s="32" t="n">
        <f aca="false">B9</f>
        <v>2100000</v>
      </c>
    </row>
    <row r="25" customFormat="false" ht="15" hidden="false" customHeight="false" outlineLevel="0" collapsed="false">
      <c r="A25" s="23" t="s">
        <v>125</v>
      </c>
      <c r="B25" s="26" t="n">
        <f aca="false">B23-B9</f>
        <v>-567000</v>
      </c>
    </row>
    <row r="26" customFormat="false" ht="15" hidden="false" customHeight="false" outlineLevel="0" collapsed="false">
      <c r="A26" s="21" t="s">
        <v>24</v>
      </c>
      <c r="B26" s="33" t="n">
        <f aca="false">B21-B15</f>
        <v>-77.6712328767123</v>
      </c>
    </row>
    <row r="27" customFormat="false" ht="15" hidden="false" customHeight="false" outlineLevel="0" collapsed="false">
      <c r="A27" s="21" t="s">
        <v>126</v>
      </c>
      <c r="B27" s="32" t="n">
        <f aca="false">B22-B17</f>
        <v>-1436917.80821918</v>
      </c>
    </row>
    <row r="28" customFormat="false" ht="15" hidden="false" customHeight="false" outlineLevel="0" collapsed="false">
      <c r="A28" s="21" t="s">
        <v>127</v>
      </c>
      <c r="B28" s="27" t="n">
        <f aca="false">B27/B22</f>
        <v>-0.36986301369863</v>
      </c>
      <c r="D28" s="21" t="s">
        <v>128</v>
      </c>
    </row>
    <row r="29" customFormat="false" ht="15" hidden="false" customHeight="false" outlineLevel="0" collapsed="false">
      <c r="A29" s="21" t="s">
        <v>129</v>
      </c>
      <c r="B29" s="34" t="n">
        <f aca="false">B21*B10/B11</f>
        <v>0.525</v>
      </c>
    </row>
    <row r="30" customFormat="false" ht="15" hidden="false" customHeight="false" outlineLevel="0" collapsed="false">
      <c r="A30" s="21" t="s">
        <v>130</v>
      </c>
      <c r="D30" s="35" t="str">
        <f aca="false">IF(B25&gt;0,"Over nullpunktet — avdelingen tjener penger",IF(B25=0,"Nøyaktig i null","Under nullpunktet — avdelingen taper penger"))</f>
        <v>Under nullpunktet — avdelingen taper penger</v>
      </c>
    </row>
    <row r="32" customFormat="false" ht="15" hidden="false" customHeight="false" outlineLevel="0" collapsed="false">
      <c r="A32" s="19" t="s">
        <v>131</v>
      </c>
    </row>
    <row r="33" customFormat="false" ht="15" hidden="false" customHeight="false" outlineLevel="0" collapsed="false">
      <c r="A33" s="21" t="s">
        <v>132</v>
      </c>
      <c r="B33" s="36" t="n">
        <f aca="false">B7/B10</f>
        <v>1216.66666666667</v>
      </c>
      <c r="D33" s="21" t="s">
        <v>133</v>
      </c>
    </row>
    <row r="34" customFormat="false" ht="15" hidden="false" customHeight="false" outlineLevel="0" collapsed="false">
      <c r="A34" s="21" t="s">
        <v>134</v>
      </c>
      <c r="B34" s="29" t="n">
        <f aca="false">B15*B10</f>
        <v>1726.02739726027</v>
      </c>
    </row>
    <row r="35" customFormat="false" ht="15" hidden="false" customHeight="false" outlineLevel="0" collapsed="false">
      <c r="A35" s="21" t="s">
        <v>135</v>
      </c>
      <c r="B35" s="27" t="n">
        <f aca="false">B34/B11</f>
        <v>0.719178082191781</v>
      </c>
      <c r="D35" s="21" t="s">
        <v>136</v>
      </c>
    </row>
    <row r="37" customFormat="false" ht="15" hidden="false" customHeight="false" outlineLevel="0" collapsed="false">
      <c r="A37" s="19" t="s">
        <v>137</v>
      </c>
    </row>
    <row r="38" customFormat="false" ht="15" hidden="false" customHeight="false" outlineLevel="0" collapsed="false">
      <c r="A38" s="21" t="s">
        <v>138</v>
      </c>
      <c r="B38" s="25" t="n">
        <v>300000</v>
      </c>
    </row>
    <row r="39" customFormat="false" ht="15" hidden="false" customHeight="false" outlineLevel="0" collapsed="false">
      <c r="A39" s="21" t="s">
        <v>139</v>
      </c>
      <c r="B39" s="30" t="n">
        <f aca="false">(B9+B38)/B7</f>
        <v>328.767123287671</v>
      </c>
    </row>
    <row r="40" customFormat="false" ht="15" hidden="false" customHeight="false" outlineLevel="0" collapsed="false">
      <c r="A40" s="21" t="s">
        <v>140</v>
      </c>
      <c r="B40" s="34" t="n">
        <f aca="false">B39/B21-1</f>
        <v>0.565557729941292</v>
      </c>
      <c r="D40" s="21" t="s">
        <v>141</v>
      </c>
    </row>
    <row r="42" customFormat="false" ht="15" hidden="false" customHeight="false" outlineLevel="0" collapsed="false">
      <c r="A42" s="19" t="s">
        <v>142</v>
      </c>
    </row>
    <row r="43" customFormat="false" ht="15" hidden="false" customHeight="false" outlineLevel="0" collapsed="false">
      <c r="A43" s="21" t="s">
        <v>143</v>
      </c>
      <c r="B43" s="37" t="str">
        <f aca="false">IF(ABS(B17-B18)&lt;1,"OK — nullpunkt i kroner stemmer med nullpunkt i oppdrag ganget med prisen","AVVIK: de to formlene gir ulikt svar — sjekk at du har delt på dekningsgraden og ikke på dekningsbidraget")</f>
        <v>OK — nullpunkt i kroner stemmer med nullpunkt i oppdrag ganget med prisen</v>
      </c>
    </row>
    <row r="44" customFormat="false" ht="15" hidden="false" customHeight="false" outlineLevel="0" collapsed="false">
      <c r="A44" s="21" t="s">
        <v>144</v>
      </c>
      <c r="B44" s="37" t="str">
        <f aca="false">IF(B7&gt;0,"OK — hvert oppdrag bidrar til å dekke de faste kostnadene","AVVIK: negativt dekningsbidrag — da finnes det ikke noe nullpunkt, og hvert oppdrag gjør vondt verre")</f>
        <v>OK — hvert oppdrag bidrar til å dekke de faste kostnadene</v>
      </c>
    </row>
    <row r="45" customFormat="false" ht="15" hidden="false" customHeight="false" outlineLevel="0" collapsed="false">
      <c r="A45" s="21" t="s">
        <v>145</v>
      </c>
      <c r="B45" s="37" t="str">
        <f aca="false">IF(B16&lt;=B12,"OK — avdelingen kan i det hele tatt nå nullpunktet med de montørene den har","AVVIK: nullpunktet ligger over kapasiteten — da må enten prisen opp, kostnadene ned eller bemanningen opp")</f>
        <v>OK — avdelingen kan i det hele tatt nå nullpunktet med de montørene den har</v>
      </c>
    </row>
    <row r="46" customFormat="false" ht="15" hidden="false" customHeight="false" outlineLevel="0" collapsed="false">
      <c r="A46" s="21" t="s">
        <v>146</v>
      </c>
      <c r="B46" s="37" t="str">
        <f aca="false">IF(ABS(B27*B8-B25)&lt;1,"OK — risikomarginen i kroner ganget med dekningsgraden er lik resultatet","AVVIK: risikomarginen stemmer ikke med resultatet")</f>
        <v>OK — risikomarginen i kroner ganget med dekningsgraden er lik resultatet</v>
      </c>
    </row>
    <row r="48" customFormat="false" ht="15" hidden="false" customHeight="false" outlineLevel="0" collapsed="false">
      <c r="A48" s="23" t="s">
        <v>147</v>
      </c>
    </row>
    <row r="49" customFormat="false" ht="15" hidden="false" customHeight="false" outlineLevel="0" collapsed="false">
      <c r="A49" s="18" t="s">
        <v>148</v>
      </c>
    </row>
  </sheetData>
  <conditionalFormatting sqref="B43">
    <cfRule type="expression" priority="2" aboveAverage="0" equalAverage="0" bottom="0" percent="0" rank="0" text="" dxfId="0">
      <formula>LEFT(B43,5)="AVVIK"</formula>
    </cfRule>
  </conditionalFormatting>
  <conditionalFormatting sqref="B44">
    <cfRule type="expression" priority="3" aboveAverage="0" equalAverage="0" bottom="0" percent="0" rank="0" text="" dxfId="0">
      <formula>LEFT(B44,5)="AVVIK"</formula>
    </cfRule>
  </conditionalFormatting>
  <conditionalFormatting sqref="B45">
    <cfRule type="expression" priority="4" aboveAverage="0" equalAverage="0" bottom="0" percent="0" rank="0" text="" dxfId="0">
      <formula>LEFT(B45,5)="AVVIK"</formula>
    </cfRule>
  </conditionalFormatting>
  <conditionalFormatting sqref="B46">
    <cfRule type="expression" priority="5" aboveAverage="0" equalAverage="0" bottom="0" percent="0" rank="0" text="" dxfId="0">
      <formula>LEFT(B46,5)="AVVIK"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7"/>
    <col collapsed="false" customWidth="true" hidden="false" outlineLevel="0" max="6" min="6" style="0" width="48"/>
  </cols>
  <sheetData>
    <row r="1" customFormat="false" ht="17.35" hidden="false" customHeight="false" outlineLevel="0" collapsed="false">
      <c r="A1" s="1" t="s">
        <v>149</v>
      </c>
    </row>
    <row r="2" customFormat="false" ht="15" hidden="false" customHeight="false" outlineLevel="0" collapsed="false">
      <c r="A2" s="17" t="s">
        <v>150</v>
      </c>
    </row>
    <row r="4" customFormat="false" ht="15" hidden="false" customHeight="false" outlineLevel="0" collapsed="false">
      <c r="A4" s="21" t="s">
        <v>151</v>
      </c>
      <c r="B4" s="38" t="n">
        <v>0.08</v>
      </c>
      <c r="F4" s="21" t="s">
        <v>152</v>
      </c>
    </row>
    <row r="5" customFormat="false" ht="15" hidden="false" customHeight="false" outlineLevel="0" collapsed="false">
      <c r="A5" s="21" t="s">
        <v>153</v>
      </c>
      <c r="B5" s="28" t="n">
        <v>320</v>
      </c>
      <c r="F5" s="21" t="s">
        <v>154</v>
      </c>
    </row>
    <row r="7" customFormat="false" ht="27.75" hidden="false" customHeight="true" outlineLevel="0" collapsed="false">
      <c r="A7" s="24"/>
      <c r="B7" s="24" t="s">
        <v>155</v>
      </c>
      <c r="C7" s="24" t="s">
        <v>156</v>
      </c>
      <c r="D7" s="24" t="s">
        <v>157</v>
      </c>
      <c r="E7" s="24" t="s">
        <v>158</v>
      </c>
      <c r="F7" s="24" t="s">
        <v>159</v>
      </c>
    </row>
    <row r="8" customFormat="false" ht="15" hidden="false" customHeight="false" outlineLevel="0" collapsed="false">
      <c r="A8" s="21" t="s">
        <v>160</v>
      </c>
      <c r="B8" s="32" t="n">
        <f aca="false">Nullpunkt!$B$5</f>
        <v>18500</v>
      </c>
      <c r="C8" s="32" t="n">
        <f aca="false">Nullpunkt!$B$5*(1+$B$4)</f>
        <v>19980</v>
      </c>
      <c r="D8" s="32" t="n">
        <f aca="false">Nullpunkt!$B$5</f>
        <v>18500</v>
      </c>
      <c r="E8" s="32" t="n">
        <f aca="false">Nullpunkt!$B$5</f>
        <v>18500</v>
      </c>
    </row>
    <row r="9" customFormat="false" ht="15" hidden="false" customHeight="false" outlineLevel="0" collapsed="false">
      <c r="A9" s="21" t="s">
        <v>65</v>
      </c>
      <c r="B9" s="32" t="n">
        <f aca="false">Nullpunkt!$B$6</f>
        <v>11200</v>
      </c>
      <c r="C9" s="32" t="n">
        <f aca="false">Nullpunkt!$B$6</f>
        <v>11200</v>
      </c>
      <c r="D9" s="32" t="n">
        <f aca="false">Nullpunkt!$B$6*(1-$B$4)</f>
        <v>10304</v>
      </c>
      <c r="E9" s="32" t="n">
        <f aca="false">Nullpunkt!$B$6</f>
        <v>11200</v>
      </c>
    </row>
    <row r="10" customFormat="false" ht="15" hidden="false" customHeight="false" outlineLevel="0" collapsed="false">
      <c r="A10" s="21" t="s">
        <v>68</v>
      </c>
      <c r="B10" s="32" t="n">
        <f aca="false">Nullpunkt!$B$9</f>
        <v>2100000</v>
      </c>
      <c r="C10" s="32" t="n">
        <f aca="false">Nullpunkt!$B$9</f>
        <v>2100000</v>
      </c>
      <c r="D10" s="32" t="n">
        <f aca="false">Nullpunkt!$B$9</f>
        <v>2100000</v>
      </c>
      <c r="E10" s="32" t="n">
        <f aca="false">Nullpunkt!$B$9*(1-$B$4)</f>
        <v>1932000</v>
      </c>
    </row>
    <row r="11" customFormat="false" ht="15" hidden="false" customHeight="false" outlineLevel="0" collapsed="false">
      <c r="A11" s="23" t="s">
        <v>104</v>
      </c>
      <c r="B11" s="26" t="n">
        <f aca="false">B8-B9</f>
        <v>7300</v>
      </c>
      <c r="C11" s="26" t="n">
        <f aca="false">C8-C9</f>
        <v>8780</v>
      </c>
      <c r="D11" s="26" t="n">
        <f aca="false">D8-D9</f>
        <v>8196</v>
      </c>
      <c r="E11" s="26" t="n">
        <f aca="false">E8-E9</f>
        <v>7300</v>
      </c>
      <c r="F11" s="21" t="s">
        <v>161</v>
      </c>
    </row>
    <row r="12" customFormat="false" ht="15" hidden="false" customHeight="false" outlineLevel="0" collapsed="false">
      <c r="A12" s="21" t="s">
        <v>14</v>
      </c>
      <c r="B12" s="34" t="n">
        <f aca="false">B11/B8</f>
        <v>0.394594594594595</v>
      </c>
      <c r="C12" s="34" t="n">
        <f aca="false">C11/C8</f>
        <v>0.439439439439439</v>
      </c>
      <c r="D12" s="34" t="n">
        <f aca="false">D11/D8</f>
        <v>0.443027027027027</v>
      </c>
      <c r="E12" s="34" t="n">
        <f aca="false">E11/E8</f>
        <v>0.394594594594595</v>
      </c>
    </row>
    <row r="13" customFormat="false" ht="15" hidden="false" customHeight="false" outlineLevel="0" collapsed="false">
      <c r="A13" s="23" t="s">
        <v>162</v>
      </c>
      <c r="B13" s="30" t="n">
        <f aca="false">B10/B11</f>
        <v>287.671232876712</v>
      </c>
      <c r="C13" s="30" t="n">
        <f aca="false">C10/C11</f>
        <v>239.179954441913</v>
      </c>
      <c r="D13" s="30" t="n">
        <f aca="false">D10/D11</f>
        <v>256.222547584187</v>
      </c>
      <c r="E13" s="30" t="n">
        <f aca="false">E10/E11</f>
        <v>264.657534246575</v>
      </c>
    </row>
    <row r="14" customFormat="false" ht="15" hidden="false" customHeight="false" outlineLevel="0" collapsed="false">
      <c r="A14" s="21" t="s">
        <v>18</v>
      </c>
      <c r="B14" s="32" t="n">
        <f aca="false">B10/B12</f>
        <v>5321917.80821918</v>
      </c>
      <c r="C14" s="32" t="n">
        <f aca="false">C10/C12</f>
        <v>4778815.48974943</v>
      </c>
      <c r="D14" s="32" t="n">
        <f aca="false">D10/D12</f>
        <v>4740117.13030747</v>
      </c>
      <c r="E14" s="32" t="n">
        <f aca="false">E10/E12</f>
        <v>4896164.38356164</v>
      </c>
    </row>
    <row r="15" customFormat="false" ht="15" hidden="false" customHeight="false" outlineLevel="0" collapsed="false">
      <c r="A15" s="23" t="s">
        <v>163</v>
      </c>
      <c r="B15" s="26" t="n">
        <f aca="false">$B$5*B11-B10</f>
        <v>236000</v>
      </c>
      <c r="C15" s="26" t="n">
        <f aca="false">$B$5*C11-C10</f>
        <v>709600</v>
      </c>
      <c r="D15" s="26" t="n">
        <f aca="false">$B$5*D11-D10</f>
        <v>522720</v>
      </c>
      <c r="E15" s="26" t="n">
        <f aca="false">$B$5*E11-E10</f>
        <v>404000</v>
      </c>
    </row>
    <row r="16" customFormat="false" ht="15" hidden="false" customHeight="false" outlineLevel="0" collapsed="false">
      <c r="A16" s="21" t="s">
        <v>127</v>
      </c>
      <c r="B16" s="34" t="n">
        <f aca="false">($B$5*B8-B14)/($B$5*B8)</f>
        <v>0.101027397260274</v>
      </c>
      <c r="C16" s="34" t="n">
        <f aca="false">($B$5*C8-C14)/($B$5*C8)</f>
        <v>0.252562642369021</v>
      </c>
      <c r="D16" s="34" t="n">
        <f aca="false">($B$5*D8-D14)/($B$5*D8)</f>
        <v>0.199304538799414</v>
      </c>
      <c r="E16" s="34" t="n">
        <f aca="false">($B$5*E8-E14)/($B$5*E8)</f>
        <v>0.172945205479452</v>
      </c>
    </row>
    <row r="17" customFormat="false" ht="15" hidden="false" customHeight="false" outlineLevel="0" collapsed="false">
      <c r="A17" s="21" t="s">
        <v>164</v>
      </c>
      <c r="C17" s="31" t="n">
        <f aca="false">RANK(C13,$C$13:$E$13,1)</f>
        <v>1</v>
      </c>
      <c r="D17" s="31" t="n">
        <f aca="false">RANK(D13,$C$13:$E$13,1)</f>
        <v>2</v>
      </c>
      <c r="E17" s="31" t="n">
        <f aca="false">RANK(E13,$C$13:$E$13,1)</f>
        <v>3</v>
      </c>
      <c r="F17" s="21" t="s">
        <v>165</v>
      </c>
    </row>
    <row r="18" customFormat="false" ht="15" hidden="false" customHeight="false" outlineLevel="0" collapsed="false">
      <c r="A18" s="21" t="s">
        <v>166</v>
      </c>
      <c r="C18" s="32" t="n">
        <f aca="false">C15-$B$15</f>
        <v>473600</v>
      </c>
      <c r="D18" s="32" t="n">
        <f aca="false">D15-$B$15</f>
        <v>286720</v>
      </c>
      <c r="E18" s="32" t="n">
        <f aca="false">E15-$B$15</f>
        <v>168000</v>
      </c>
    </row>
    <row r="20" customFormat="false" ht="15" hidden="false" customHeight="false" outlineLevel="0" collapsed="false">
      <c r="A20" s="19" t="s">
        <v>142</v>
      </c>
    </row>
    <row r="21" customFormat="false" ht="15" hidden="false" customHeight="false" outlineLevel="0" collapsed="false">
      <c r="A21" s="21" t="s">
        <v>167</v>
      </c>
      <c r="B21" s="37" t="str">
        <f aca="false">IF(AND(C13&lt;D13,C13&lt;E13),"OK — prisen opp senker nullpunktet mest av de tre","AVVIK: med disse tallene vinner et annet tiltak — les rangeringen i rad 17 og forklar hvorfor")</f>
        <v>OK — prisen opp senker nullpunktet mest av de tre</v>
      </c>
    </row>
    <row r="22" customFormat="false" ht="15" hidden="false" customHeight="false" outlineLevel="0" collapsed="false">
      <c r="A22" s="21" t="s">
        <v>168</v>
      </c>
      <c r="B22" s="37" t="str">
        <f aca="false">IF(D13&lt;E13,"OK — å kutte i de variable kostnadene slår å kutte like mye i de faste, fordi de variable er størst av de to","AVVIK: her er de faste kostnadene per oppdrag større enn de variable — da snur rangeringen, og det er verdt å forklare hvorfor")</f>
        <v>OK — å kutte i de variable kostnadene slår å kutte like mye i de faste, fordi de variable er størst av de to</v>
      </c>
    </row>
    <row r="23" customFormat="false" ht="15" hidden="false" customHeight="false" outlineLevel="0" collapsed="false">
      <c r="A23" s="21" t="s">
        <v>169</v>
      </c>
      <c r="B23" s="37" t="str">
        <f aca="false">IF(AND(C13&lt;B13,D13&lt;B13,E13&lt;B13),"OK — alle tre tiltakene virker, de virker bare ulikt mye","AVVIK: et tiltak som ikke senker nullpunktet, er ikke et tiltak — sjekk fortegnet på prosenten i B4")</f>
        <v>OK — alle tre tiltakene virker, de virker bare ulikt mye</v>
      </c>
    </row>
    <row r="25" customFormat="false" ht="15" hidden="false" customHeight="false" outlineLevel="0" collapsed="false">
      <c r="A25" s="23" t="s">
        <v>170</v>
      </c>
    </row>
    <row r="26" customFormat="false" ht="15" hidden="false" customHeight="false" outlineLevel="0" collapsed="false">
      <c r="A26" s="18" t="s">
        <v>171</v>
      </c>
    </row>
  </sheetData>
  <conditionalFormatting sqref="B21">
    <cfRule type="expression" priority="2" aboveAverage="0" equalAverage="0" bottom="0" percent="0" rank="0" text="" dxfId="0">
      <formula>LEFT(B21,5)="AVVIK"</formula>
    </cfRule>
  </conditionalFormatting>
  <conditionalFormatting sqref="B22">
    <cfRule type="expression" priority="3" aboveAverage="0" equalAverage="0" bottom="0" percent="0" rank="0" text="" dxfId="0">
      <formula>LEFT(B22,5)="AVVIK"</formula>
    </cfRule>
  </conditionalFormatting>
  <conditionalFormatting sqref="B23">
    <cfRule type="expression" priority="4" aboveAverage="0" equalAverage="0" bottom="0" percent="0" rank="0" text="" dxfId="0">
      <formula>LEFT(B23,5)="AVVIK"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7"/>
    <col collapsed="false" customWidth="true" hidden="false" outlineLevel="0" max="4" min="4" style="0" width="14"/>
    <col collapsed="false" customWidth="true" hidden="false" outlineLevel="0" max="5" min="5" style="0" width="52"/>
  </cols>
  <sheetData>
    <row r="1" customFormat="false" ht="17.35" hidden="false" customHeight="false" outlineLevel="0" collapsed="false">
      <c r="A1" s="1" t="s">
        <v>172</v>
      </c>
    </row>
    <row r="2" customFormat="false" ht="15" hidden="false" customHeight="false" outlineLevel="0" collapsed="false">
      <c r="A2" s="17" t="s">
        <v>173</v>
      </c>
    </row>
    <row r="4" customFormat="false" ht="15" hidden="false" customHeight="false" outlineLevel="0" collapsed="false">
      <c r="A4" s="19" t="s">
        <v>174</v>
      </c>
    </row>
    <row r="5" customFormat="false" ht="15" hidden="false" customHeight="false" outlineLevel="0" collapsed="false">
      <c r="A5" s="21" t="s">
        <v>175</v>
      </c>
      <c r="B5" s="38" t="n">
        <v>0.15</v>
      </c>
    </row>
    <row r="6" customFormat="false" ht="15" hidden="false" customHeight="false" outlineLevel="0" collapsed="false">
      <c r="A6" s="21" t="s">
        <v>176</v>
      </c>
      <c r="B6" s="28" t="n">
        <v>40</v>
      </c>
    </row>
    <row r="7" customFormat="false" ht="15" hidden="false" customHeight="false" outlineLevel="0" collapsed="false">
      <c r="A7" s="21" t="s">
        <v>177</v>
      </c>
      <c r="B7" s="28" t="n">
        <v>320</v>
      </c>
      <c r="E7" s="21" t="s">
        <v>178</v>
      </c>
    </row>
    <row r="8" customFormat="false" ht="15" hidden="false" customHeight="false" outlineLevel="0" collapsed="false">
      <c r="A8" s="21" t="s">
        <v>179</v>
      </c>
      <c r="B8" s="29" t="n">
        <f aca="false">B7-B6</f>
        <v>280</v>
      </c>
    </row>
    <row r="10" customFormat="false" ht="15" hidden="false" customHeight="false" outlineLevel="0" collapsed="false">
      <c r="A10" s="19" t="s">
        <v>180</v>
      </c>
    </row>
    <row r="11" customFormat="false" ht="15" hidden="false" customHeight="false" outlineLevel="0" collapsed="false">
      <c r="A11" s="21" t="s">
        <v>181</v>
      </c>
      <c r="B11" s="32" t="n">
        <f aca="false">Nullpunkt!$B$5*(1-B5)</f>
        <v>15725</v>
      </c>
    </row>
    <row r="12" customFormat="false" ht="15" hidden="false" customHeight="false" outlineLevel="0" collapsed="false">
      <c r="A12" s="23" t="s">
        <v>182</v>
      </c>
      <c r="B12" s="26" t="n">
        <f aca="false">B11-Nullpunkt!$B$6</f>
        <v>4525</v>
      </c>
      <c r="E12" s="21" t="s">
        <v>183</v>
      </c>
    </row>
    <row r="13" customFormat="false" ht="15" hidden="false" customHeight="false" outlineLevel="0" collapsed="false">
      <c r="A13" s="21" t="s">
        <v>184</v>
      </c>
      <c r="B13" s="34" t="n">
        <f aca="false">B12/B11</f>
        <v>0.287758346581876</v>
      </c>
    </row>
    <row r="14" customFormat="false" ht="15" hidden="false" customHeight="false" outlineLevel="0" collapsed="false">
      <c r="A14" s="23" t="s">
        <v>185</v>
      </c>
      <c r="B14" s="26" t="n">
        <f aca="false">B6*B12</f>
        <v>181000</v>
      </c>
      <c r="E14" s="21" t="s">
        <v>186</v>
      </c>
    </row>
    <row r="16" customFormat="false" ht="15" hidden="false" customHeight="false" outlineLevel="0" collapsed="false">
      <c r="A16" s="19" t="s">
        <v>187</v>
      </c>
    </row>
    <row r="17" customFormat="false" ht="27.75" hidden="false" customHeight="true" outlineLevel="0" collapsed="false">
      <c r="A17" s="24"/>
      <c r="B17" s="24" t="s">
        <v>188</v>
      </c>
      <c r="C17" s="24" t="s">
        <v>189</v>
      </c>
      <c r="D17" s="24"/>
      <c r="E17" s="24" t="s">
        <v>159</v>
      </c>
    </row>
    <row r="18" customFormat="false" ht="15" hidden="false" customHeight="false" outlineLevel="0" collapsed="false">
      <c r="A18" s="21" t="s">
        <v>190</v>
      </c>
      <c r="B18" s="29" t="n">
        <f aca="false">B8</f>
        <v>280</v>
      </c>
      <c r="C18" s="29" t="n">
        <f aca="false">B7</f>
        <v>320</v>
      </c>
      <c r="E18" s="21" t="s">
        <v>191</v>
      </c>
    </row>
    <row r="19" customFormat="false" ht="15" hidden="false" customHeight="false" outlineLevel="0" collapsed="false">
      <c r="A19" s="21" t="s">
        <v>192</v>
      </c>
      <c r="B19" s="36" t="n">
        <f aca="false">Nullpunkt!$B$5</f>
        <v>18500</v>
      </c>
      <c r="C19" s="36" t="n">
        <f aca="false">(B6*B11+B8*Nullpunkt!$B$5)/B7</f>
        <v>18153.125</v>
      </c>
    </row>
    <row r="20" customFormat="false" ht="15" hidden="false" customHeight="false" outlineLevel="0" collapsed="false">
      <c r="A20" s="21" t="s">
        <v>193</v>
      </c>
      <c r="B20" s="36" t="n">
        <f aca="false">B19-Nullpunkt!$B$6</f>
        <v>7300</v>
      </c>
      <c r="C20" s="36" t="n">
        <f aca="false">C19-Nullpunkt!$B$6</f>
        <v>6953.125</v>
      </c>
    </row>
    <row r="21" customFormat="false" ht="15" hidden="false" customHeight="false" outlineLevel="0" collapsed="false">
      <c r="A21" s="21" t="s">
        <v>194</v>
      </c>
      <c r="B21" s="34" t="n">
        <f aca="false">B20/B19</f>
        <v>0.394594594594595</v>
      </c>
      <c r="C21" s="34" t="n">
        <f aca="false">C20/C19</f>
        <v>0.383026338440351</v>
      </c>
    </row>
    <row r="22" customFormat="false" ht="15" hidden="false" customHeight="false" outlineLevel="0" collapsed="false">
      <c r="A22" s="23" t="s">
        <v>113</v>
      </c>
      <c r="B22" s="30" t="n">
        <f aca="false">Nullpunkt!$B$9/B20</f>
        <v>287.671232876712</v>
      </c>
      <c r="C22" s="30" t="n">
        <f aca="false">Nullpunkt!$B$9/C20</f>
        <v>302.022471910112</v>
      </c>
      <c r="E22" s="21" t="s">
        <v>195</v>
      </c>
    </row>
    <row r="23" customFormat="false" ht="15" hidden="false" customHeight="false" outlineLevel="0" collapsed="false">
      <c r="A23" s="21" t="s">
        <v>18</v>
      </c>
      <c r="B23" s="32" t="n">
        <f aca="false">Nullpunkt!$B$9/B21</f>
        <v>5321917.80821918</v>
      </c>
      <c r="C23" s="32" t="n">
        <f aca="false">Nullpunkt!$B$9/C21</f>
        <v>5482651.68539326</v>
      </c>
    </row>
    <row r="24" customFormat="false" ht="15" hidden="false" customHeight="false" outlineLevel="0" collapsed="false">
      <c r="A24" s="21" t="s">
        <v>122</v>
      </c>
      <c r="B24" s="32" t="n">
        <f aca="false">B18*B19</f>
        <v>5180000</v>
      </c>
      <c r="C24" s="32" t="n">
        <f aca="false">C18*C19</f>
        <v>5809000</v>
      </c>
    </row>
    <row r="25" customFormat="false" ht="15" hidden="false" customHeight="false" outlineLevel="0" collapsed="false">
      <c r="A25" s="23" t="s">
        <v>125</v>
      </c>
      <c r="B25" s="26" t="n">
        <f aca="false">B18*B20-Nullpunkt!$B$9</f>
        <v>-56000</v>
      </c>
      <c r="C25" s="26" t="n">
        <f aca="false">C18*C20-Nullpunkt!$B$9</f>
        <v>125000</v>
      </c>
    </row>
    <row r="26" customFormat="false" ht="15" hidden="false" customHeight="false" outlineLevel="0" collapsed="false">
      <c r="A26" s="21" t="s">
        <v>127</v>
      </c>
      <c r="B26" s="34" t="n">
        <f aca="false">(B24-B23)/B24</f>
        <v>-0.0273972602739725</v>
      </c>
      <c r="C26" s="34" t="n">
        <f aca="false">(C24-C23)/C24</f>
        <v>0.0561797752808988</v>
      </c>
    </row>
    <row r="27" customFormat="false" ht="15" hidden="false" customHeight="false" outlineLevel="0" collapsed="false">
      <c r="A27" s="21" t="s">
        <v>129</v>
      </c>
      <c r="B27" s="34" t="n">
        <f aca="false">B18*Nullpunkt!$B$10/Nullpunkt!$B$11</f>
        <v>0.7</v>
      </c>
      <c r="C27" s="34" t="n">
        <f aca="false">C18*Nullpunkt!$B$10/Nullpunkt!$B$11</f>
        <v>0.8</v>
      </c>
    </row>
    <row r="28" customFormat="false" ht="15" hidden="false" customHeight="false" outlineLevel="0" collapsed="false">
      <c r="A28" s="23" t="s">
        <v>196</v>
      </c>
      <c r="C28" s="26" t="n">
        <f aca="false">C25-B25</f>
        <v>181000</v>
      </c>
      <c r="E28" s="21" t="s">
        <v>197</v>
      </c>
    </row>
    <row r="30" customFormat="false" ht="15" hidden="false" customHeight="false" outlineLevel="0" collapsed="false">
      <c r="A30" s="19" t="s">
        <v>198</v>
      </c>
    </row>
    <row r="31" customFormat="false" ht="15" hidden="false" customHeight="false" outlineLevel="0" collapsed="false">
      <c r="A31" s="21" t="s">
        <v>199</v>
      </c>
      <c r="B31" s="26" t="n">
        <f aca="false">B7*(Nullpunkt!$B$5-Nullpunkt!$B$6)-Nullpunkt!$B$9</f>
        <v>236000</v>
      </c>
    </row>
    <row r="32" customFormat="false" ht="15" hidden="false" customHeight="false" outlineLevel="0" collapsed="false">
      <c r="A32" s="21" t="s">
        <v>200</v>
      </c>
      <c r="B32" s="26" t="n">
        <f aca="false">C25-B31</f>
        <v>-111000</v>
      </c>
      <c r="E32" s="21" t="s">
        <v>201</v>
      </c>
    </row>
    <row r="34" customFormat="false" ht="15" hidden="false" customHeight="false" outlineLevel="0" collapsed="false">
      <c r="A34" s="19" t="s">
        <v>142</v>
      </c>
    </row>
    <row r="35" customFormat="false" ht="15" hidden="false" customHeight="false" outlineLevel="0" collapsed="false">
      <c r="A35" s="21" t="s">
        <v>202</v>
      </c>
      <c r="B35" s="37" t="str">
        <f aca="false">IF(B12&gt;0,"OK — positivt dekningsbidrag: oppdraget bidrar til å dekke faste kostnader du har uansett","AVVIK: rabatten er så stor at oppdraget koster mer enn det gir — si nei uansett kapasitet")</f>
        <v>OK — positivt dekningsbidrag: oppdraget bidrar til å dekke faste kostnader du har uansett</v>
      </c>
    </row>
    <row r="36" customFormat="false" ht="15" hidden="false" customHeight="false" outlineLevel="0" collapsed="false">
      <c r="A36" s="21" t="s">
        <v>203</v>
      </c>
      <c r="B36" s="37" t="str">
        <f aca="false">IF(C22&gt;B22,"OK — nullpunktet stiger, som det skal når snittprisen faller","AVVIK: en rabatt kan ikke senke nullpunktet")</f>
        <v>OK — nullpunktet stiger, som det skal når snittprisen faller</v>
      </c>
    </row>
    <row r="37" customFormat="false" ht="15" hidden="false" customHeight="false" outlineLevel="0" collapsed="false">
      <c r="A37" s="21" t="s">
        <v>204</v>
      </c>
      <c r="B37" s="37" t="str">
        <f aca="false">IF(ABS(C28-B14)&lt;1,"OK — forskjellen i resultat er nøyaktig dekningsbidraget fra de rabatterte oppdragene","AVVIK: regnestykket henger ikke sammen")</f>
        <v>OK — forskjellen i resultat er nøyaktig dekningsbidraget fra de rabatterte oppdragene</v>
      </c>
    </row>
    <row r="38" customFormat="false" ht="15" hidden="false" customHeight="false" outlineLevel="0" collapsed="false">
      <c r="A38" s="21" t="s">
        <v>205</v>
      </c>
      <c r="B38" s="37" t="str">
        <f aca="false">IF(C27&lt;=1,"OK — avdelingen har montørtimer nok til hele volumet","AVVIK: volumet med avtalen overstiger kapasiteten — da fortrenger de rabatterte oppdragene jobber til full pris, og rad 31 og 32 er svaret")</f>
        <v>OK — avdelingen har montørtimer nok til hele volumet</v>
      </c>
    </row>
    <row r="40" customFormat="false" ht="15" hidden="false" customHeight="false" outlineLevel="0" collapsed="false">
      <c r="A40" s="23" t="s">
        <v>206</v>
      </c>
    </row>
    <row r="41" customFormat="false" ht="15" hidden="false" customHeight="false" outlineLevel="0" collapsed="false">
      <c r="A41" s="18" t="s">
        <v>207</v>
      </c>
    </row>
  </sheetData>
  <conditionalFormatting sqref="B35">
    <cfRule type="expression" priority="2" aboveAverage="0" equalAverage="0" bottom="0" percent="0" rank="0" text="" dxfId="0">
      <formula>LEFT(B35,5)="AVVIK"</formula>
    </cfRule>
  </conditionalFormatting>
  <conditionalFormatting sqref="B36">
    <cfRule type="expression" priority="3" aboveAverage="0" equalAverage="0" bottom="0" percent="0" rank="0" text="" dxfId="0">
      <formula>LEFT(B36,5)="AVVIK"</formula>
    </cfRule>
  </conditionalFormatting>
  <conditionalFormatting sqref="B37">
    <cfRule type="expression" priority="4" aboveAverage="0" equalAverage="0" bottom="0" percent="0" rank="0" text="" dxfId="0">
      <formula>LEFT(B37,5)="AVVIK"</formula>
    </cfRule>
  </conditionalFormatting>
  <conditionalFormatting sqref="B38">
    <cfRule type="expression" priority="5" aboveAverage="0" equalAverage="0" bottom="0" percent="0" rank="0" text="" dxfId="0">
      <formula>LEFT(B38,5)="AVVIK"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3" min="2" style="0" width="18"/>
    <col collapsed="false" customWidth="true" hidden="false" outlineLevel="0" max="4" min="4" style="0" width="14"/>
    <col collapsed="false" customWidth="true" hidden="false" outlineLevel="0" max="5" min="5" style="0" width="52"/>
  </cols>
  <sheetData>
    <row r="1" customFormat="false" ht="17.35" hidden="false" customHeight="false" outlineLevel="0" collapsed="false">
      <c r="A1" s="1" t="s">
        <v>208</v>
      </c>
    </row>
    <row r="2" customFormat="false" ht="15" hidden="false" customHeight="false" outlineLevel="0" collapsed="false">
      <c r="A2" s="17" t="s">
        <v>209</v>
      </c>
    </row>
    <row r="4" customFormat="false" ht="15" hidden="false" customHeight="false" outlineLevel="0" collapsed="false">
      <c r="A4" s="19" t="s">
        <v>210</v>
      </c>
    </row>
    <row r="5" customFormat="false" ht="15" hidden="false" customHeight="false" outlineLevel="0" collapsed="false">
      <c r="A5" s="21" t="s">
        <v>211</v>
      </c>
      <c r="B5" s="32" t="n">
        <f aca="false">Nullpunkt!B9</f>
        <v>2100000</v>
      </c>
    </row>
    <row r="6" customFormat="false" ht="15" hidden="false" customHeight="false" outlineLevel="0" collapsed="false">
      <c r="A6" s="21" t="s">
        <v>212</v>
      </c>
      <c r="B6" s="38" t="n">
        <v>0.35</v>
      </c>
      <c r="E6" s="21" t="s">
        <v>213</v>
      </c>
    </row>
    <row r="7" customFormat="false" ht="15" hidden="false" customHeight="false" outlineLevel="0" collapsed="false">
      <c r="A7" s="23" t="s">
        <v>214</v>
      </c>
      <c r="B7" s="26" t="n">
        <f aca="false">B5*B6</f>
        <v>735000</v>
      </c>
    </row>
    <row r="8" customFormat="false" ht="15" hidden="false" customHeight="false" outlineLevel="0" collapsed="false">
      <c r="A8" s="23" t="s">
        <v>215</v>
      </c>
      <c r="B8" s="26" t="n">
        <f aca="false">B5-B7</f>
        <v>1365000</v>
      </c>
      <c r="E8" s="21" t="s">
        <v>216</v>
      </c>
    </row>
    <row r="10" customFormat="false" ht="15" hidden="false" customHeight="false" outlineLevel="0" collapsed="false">
      <c r="A10" s="19" t="s">
        <v>217</v>
      </c>
    </row>
    <row r="11" customFormat="false" ht="27.75" hidden="false" customHeight="true" outlineLevel="0" collapsed="false">
      <c r="A11" s="24"/>
      <c r="B11" s="24" t="s">
        <v>218</v>
      </c>
      <c r="C11" s="24" t="s">
        <v>219</v>
      </c>
      <c r="D11" s="24"/>
      <c r="E11" s="24" t="s">
        <v>159</v>
      </c>
    </row>
    <row r="12" customFormat="false" ht="15" hidden="false" customHeight="false" outlineLevel="0" collapsed="false">
      <c r="A12" s="21" t="s">
        <v>190</v>
      </c>
      <c r="B12" s="29" t="n">
        <f aca="false">Nullpunkt!B21</f>
        <v>210</v>
      </c>
      <c r="C12" s="21" t="s">
        <v>220</v>
      </c>
    </row>
    <row r="13" customFormat="false" ht="15" hidden="false" customHeight="false" outlineLevel="0" collapsed="false">
      <c r="A13" s="21" t="s">
        <v>221</v>
      </c>
      <c r="B13" s="32" t="n">
        <f aca="false">B12*Nullpunkt!$B$7</f>
        <v>1533000</v>
      </c>
      <c r="C13" s="32" t="n">
        <f aca="false">0</f>
        <v>0</v>
      </c>
      <c r="E13" s="21" t="s">
        <v>222</v>
      </c>
    </row>
    <row r="14" customFormat="false" ht="15" hidden="false" customHeight="false" outlineLevel="0" collapsed="false">
      <c r="A14" s="21" t="s">
        <v>223</v>
      </c>
      <c r="B14" s="32" t="n">
        <f aca="false">B5</f>
        <v>2100000</v>
      </c>
      <c r="C14" s="32" t="n">
        <f aca="false">B7</f>
        <v>735000</v>
      </c>
    </row>
    <row r="15" customFormat="false" ht="15" hidden="false" customHeight="false" outlineLevel="0" collapsed="false">
      <c r="A15" s="23" t="s">
        <v>224</v>
      </c>
      <c r="B15" s="26" t="n">
        <f aca="false">B13-B14</f>
        <v>-567000</v>
      </c>
      <c r="C15" s="26" t="n">
        <f aca="false">C13-C14</f>
        <v>-735000</v>
      </c>
    </row>
    <row r="16" customFormat="false" ht="15" hidden="false" customHeight="false" outlineLevel="0" collapsed="false">
      <c r="A16" s="23" t="s">
        <v>225</v>
      </c>
      <c r="C16" s="26" t="n">
        <f aca="false">C15-B15</f>
        <v>-168000</v>
      </c>
      <c r="E16" s="21" t="s">
        <v>226</v>
      </c>
    </row>
    <row r="17" customFormat="false" ht="15" hidden="false" customHeight="false" outlineLevel="0" collapsed="false">
      <c r="A17" s="21" t="s">
        <v>130</v>
      </c>
      <c r="E17" s="35" t="str">
        <f aca="false">IF(C16&gt;0,"Nedleggelse forbedrer resultatet","Nedleggelse forverrer resultatet — dekningsbidraget som forsvinner er større enn kostnadene som spares")</f>
        <v>Nedleggelse forverrer resultatet — dekningsbidraget som forsvinner er større enn kostnadene som spares</v>
      </c>
    </row>
    <row r="19" customFormat="false" ht="15" hidden="false" customHeight="false" outlineLevel="0" collapsed="false">
      <c r="A19" s="19" t="s">
        <v>227</v>
      </c>
    </row>
    <row r="20" customFormat="false" ht="15" hidden="false" customHeight="false" outlineLevel="0" collapsed="false">
      <c r="A20" s="23" t="s">
        <v>228</v>
      </c>
      <c r="B20" s="30" t="n">
        <f aca="false">B8/Nullpunkt!$B$7</f>
        <v>186.986301369863</v>
      </c>
      <c r="E20" s="21" t="s">
        <v>229</v>
      </c>
    </row>
    <row r="21" customFormat="false" ht="15" hidden="false" customHeight="false" outlineLevel="0" collapsed="false">
      <c r="A21" s="21" t="s">
        <v>230</v>
      </c>
      <c r="B21" s="33" t="n">
        <f aca="false">Nullpunkt!B15</f>
        <v>287.671232876712</v>
      </c>
    </row>
    <row r="22" customFormat="false" ht="15" hidden="false" customHeight="false" outlineLevel="0" collapsed="false">
      <c r="A22" s="21" t="s">
        <v>231</v>
      </c>
      <c r="B22" s="33" t="n">
        <f aca="false">B21-B20</f>
        <v>100.684931506849</v>
      </c>
      <c r="E22" s="21" t="s">
        <v>232</v>
      </c>
    </row>
    <row r="23" customFormat="false" ht="15" hidden="false" customHeight="false" outlineLevel="0" collapsed="false">
      <c r="A23" s="21" t="s">
        <v>233</v>
      </c>
      <c r="B23" s="29" t="n">
        <f aca="false">Nullpunkt!B21</f>
        <v>210</v>
      </c>
      <c r="E23" s="35" t="str">
        <f aca="false">IF(B23&lt;B20,"Under nedleggelsesgrensen — nedleggelse er forsvarlig",IF(B23&lt;B21,"Mellom nedleggelsesgrensen og nullpunktet — går i minus, men skal drives videre","Over nullpunktet — tjener penger"))</f>
        <v>Mellom nedleggelsesgrensen og nullpunktet — går i minus, men skal drives videre</v>
      </c>
    </row>
    <row r="25" customFormat="false" ht="15" hidden="false" customHeight="false" outlineLevel="0" collapsed="false">
      <c r="A25" s="19" t="s">
        <v>234</v>
      </c>
    </row>
    <row r="26" customFormat="false" ht="15" hidden="false" customHeight="false" outlineLevel="0" collapsed="false">
      <c r="A26" s="21" t="s">
        <v>235</v>
      </c>
      <c r="B26" s="32" t="n">
        <f aca="false">Nullpunkt!B38</f>
        <v>300000</v>
      </c>
    </row>
    <row r="27" customFormat="false" ht="15" hidden="false" customHeight="false" outlineLevel="0" collapsed="false">
      <c r="A27" s="21" t="s">
        <v>236</v>
      </c>
      <c r="B27" s="33" t="n">
        <f aca="false">(B5+B26)/Nullpunkt!$B$7</f>
        <v>328.767123287671</v>
      </c>
      <c r="C27" s="34" t="n">
        <f aca="false">B27/Nullpunkt!$B$21-1</f>
        <v>0.565557729941292</v>
      </c>
      <c r="E27" s="21" t="s">
        <v>237</v>
      </c>
    </row>
    <row r="28" customFormat="false" ht="15" hidden="false" customHeight="false" outlineLevel="0" collapsed="false">
      <c r="A28" s="21" t="s">
        <v>238</v>
      </c>
      <c r="B28" s="33" t="n">
        <f aca="false">(B5+B26)/Spakene!$C$11</f>
        <v>273.348519362187</v>
      </c>
      <c r="C28" s="34" t="n">
        <f aca="false">B28/Nullpunkt!$B$21-1</f>
        <v>0.301659616010413</v>
      </c>
      <c r="E28" s="21" t="s">
        <v>239</v>
      </c>
    </row>
    <row r="29" customFormat="false" ht="15" hidden="false" customHeight="false" outlineLevel="0" collapsed="false">
      <c r="A29" s="21" t="s">
        <v>110</v>
      </c>
      <c r="B29" s="29" t="n">
        <f aca="false">Nullpunkt!B12</f>
        <v>400</v>
      </c>
    </row>
    <row r="30" customFormat="false" ht="15" hidden="false" customHeight="false" outlineLevel="0" collapsed="false">
      <c r="A30" s="21" t="s">
        <v>240</v>
      </c>
      <c r="E30" s="35" t="str">
        <f aca="false">IF(B28&lt;=B29,"Ja — men bare hvis hver eneste montørtime går til fakturerbart arbeid","Nei — da må avdelingen bemannes opp, og de faste kostnadene stiger")</f>
        <v>Ja — men bare hvis hver eneste montørtime går til fakturerbart arbeid</v>
      </c>
    </row>
    <row r="32" customFormat="false" ht="15" hidden="false" customHeight="false" outlineLevel="0" collapsed="false">
      <c r="A32" s="19" t="s">
        <v>241</v>
      </c>
    </row>
    <row r="33" customFormat="false" ht="15" hidden="false" customHeight="false" outlineLevel="0" collapsed="false">
      <c r="A33" s="21" t="s">
        <v>242</v>
      </c>
      <c r="B33" s="38" t="n">
        <v>0.05</v>
      </c>
      <c r="E33" s="21" t="s">
        <v>243</v>
      </c>
    </row>
    <row r="34" customFormat="false" ht="15" hidden="false" customHeight="false" outlineLevel="0" collapsed="false">
      <c r="A34" s="21" t="s">
        <v>244</v>
      </c>
      <c r="B34" s="25" t="n">
        <v>4400</v>
      </c>
      <c r="E34" s="21" t="s">
        <v>245</v>
      </c>
    </row>
    <row r="35" customFormat="false" ht="15" hidden="false" customHeight="false" outlineLevel="0" collapsed="false">
      <c r="A35" s="21" t="s">
        <v>246</v>
      </c>
      <c r="B35" s="33" t="n">
        <f aca="false">Nullpunkt!B21*B33</f>
        <v>10.5</v>
      </c>
    </row>
    <row r="36" customFormat="false" ht="15" hidden="false" customHeight="false" outlineLevel="0" collapsed="false">
      <c r="A36" s="23" t="s">
        <v>247</v>
      </c>
      <c r="B36" s="26" t="n">
        <f aca="false">B35*B34</f>
        <v>46200</v>
      </c>
    </row>
    <row r="37" customFormat="false" ht="15" hidden="false" customHeight="false" outlineLevel="0" collapsed="false">
      <c r="A37" s="23" t="s">
        <v>248</v>
      </c>
      <c r="B37" s="26" t="n">
        <f aca="false">B15+B36</f>
        <v>-520800</v>
      </c>
      <c r="E37" s="21" t="s">
        <v>249</v>
      </c>
    </row>
    <row r="39" customFormat="false" ht="15" hidden="false" customHeight="false" outlineLevel="0" collapsed="false">
      <c r="A39" s="19" t="s">
        <v>142</v>
      </c>
    </row>
    <row r="40" customFormat="false" ht="15" hidden="false" customHeight="false" outlineLevel="0" collapsed="false">
      <c r="A40" s="21" t="s">
        <v>250</v>
      </c>
      <c r="B40" s="37" t="str">
        <f aca="false">IF(B15&lt;0,"OK — avdelingen går i minus med det volumet som ligger inne. Det er derfor saken er på styrets bord","AVVIK: avdelingen tjener penger — da finnes det ingen sak")</f>
        <v>OK — avdelingen går i minus med det volumet som ligger inne. Det er derfor saken er på styrets bord</v>
      </c>
    </row>
    <row r="41" customFormat="false" ht="15" hidden="false" customHeight="false" outlineLevel="0" collapsed="false">
      <c r="A41" s="21" t="s">
        <v>251</v>
      </c>
      <c r="B41" s="37" t="str">
        <f aca="false">IF(B20&lt;B21,"OK — det finnes et område der avdelingen går i minus og likevel skal drives videre","AVVIK: med disse tallene er nedleggelsesgrensen lik nullpunktet — sjekk felleskostnadsandelen i B6")</f>
        <v>OK — det finnes et område der avdelingen går i minus og likevel skal drives videre</v>
      </c>
    </row>
    <row r="42" customFormat="false" ht="15" hidden="false" customHeight="false" outlineLevel="0" collapsed="false">
      <c r="A42" s="21" t="s">
        <v>252</v>
      </c>
      <c r="B42" s="37" t="str">
        <f aca="false">IF(B37&lt;0,"OK — døråpnereffekten alene snur ikke underskuddet. Den må kombineres med volum eller pris","AVVIK: med dette anslaget er saken løst av seg selv — sett et mer nøkternt tall i B33")</f>
        <v>OK — døråpnereffekten alene snur ikke underskuddet. Den må kombineres med volum eller pris</v>
      </c>
    </row>
    <row r="44" customFormat="false" ht="15" hidden="false" customHeight="false" outlineLevel="0" collapsed="false">
      <c r="A44" s="23" t="s">
        <v>253</v>
      </c>
    </row>
    <row r="45" customFormat="false" ht="15" hidden="false" customHeight="false" outlineLevel="0" collapsed="false">
      <c r="A45" s="18" t="s">
        <v>254</v>
      </c>
    </row>
  </sheetData>
  <conditionalFormatting sqref="B40">
    <cfRule type="expression" priority="2" aboveAverage="0" equalAverage="0" bottom="0" percent="0" rank="0" text="" dxfId="0">
      <formula>LEFT(B40,5)="AVVIK"</formula>
    </cfRule>
  </conditionalFormatting>
  <conditionalFormatting sqref="B41">
    <cfRule type="expression" priority="3" aboveAverage="0" equalAverage="0" bottom="0" percent="0" rank="0" text="" dxfId="0">
      <formula>LEFT(B41,5)="AVVIK"</formula>
    </cfRule>
  </conditionalFormatting>
  <conditionalFormatting sqref="B42">
    <cfRule type="expression" priority="4" aboveAverage="0" equalAverage="0" bottom="0" percent="0" rank="0" text="" dxfId="0">
      <formula>LEFT(B42,5)="AVVIK"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4"/>
    <col collapsed="false" customWidth="true" hidden="false" outlineLevel="0" max="4" min="4" style="0" width="56"/>
  </cols>
  <sheetData>
    <row r="1" customFormat="false" ht="17.35" hidden="false" customHeight="false" outlineLevel="0" collapsed="false">
      <c r="A1" s="1" t="s">
        <v>255</v>
      </c>
    </row>
    <row r="2" customFormat="false" ht="15" hidden="false" customHeight="false" outlineLevel="0" collapsed="false">
      <c r="A2" s="17" t="s">
        <v>256</v>
      </c>
    </row>
    <row r="4" customFormat="false" ht="15" hidden="false" customHeight="false" outlineLevel="0" collapsed="false">
      <c r="A4" s="19" t="s">
        <v>100</v>
      </c>
    </row>
    <row r="5" customFormat="false" ht="15" hidden="false" customHeight="false" outlineLevel="0" collapsed="false">
      <c r="A5" s="21" t="s">
        <v>257</v>
      </c>
      <c r="B5" s="25" t="n">
        <v>0</v>
      </c>
      <c r="D5" s="21" t="s">
        <v>258</v>
      </c>
    </row>
    <row r="6" customFormat="false" ht="15" hidden="false" customHeight="false" outlineLevel="0" collapsed="false">
      <c r="A6" s="21" t="s">
        <v>65</v>
      </c>
      <c r="B6" s="25" t="n">
        <v>0</v>
      </c>
      <c r="D6" s="21" t="s">
        <v>259</v>
      </c>
    </row>
    <row r="7" customFormat="false" ht="15" hidden="false" customHeight="false" outlineLevel="0" collapsed="false">
      <c r="A7" s="23" t="s">
        <v>104</v>
      </c>
      <c r="B7" s="26" t="n">
        <f aca="false">B5-B6</f>
        <v>0</v>
      </c>
    </row>
    <row r="8" customFormat="false" ht="15" hidden="false" customHeight="false" outlineLevel="0" collapsed="false">
      <c r="A8" s="21" t="s">
        <v>68</v>
      </c>
      <c r="B8" s="25" t="n">
        <v>0</v>
      </c>
      <c r="D8" s="21" t="s">
        <v>260</v>
      </c>
    </row>
    <row r="9" customFormat="false" ht="15" hidden="false" customHeight="false" outlineLevel="0" collapsed="false">
      <c r="A9" s="21" t="s">
        <v>261</v>
      </c>
      <c r="B9" s="39" t="n">
        <v>0</v>
      </c>
      <c r="D9" s="21" t="s">
        <v>262</v>
      </c>
    </row>
    <row r="10" customFormat="false" ht="15" hidden="false" customHeight="false" outlineLevel="0" collapsed="false">
      <c r="A10" s="21" t="s">
        <v>263</v>
      </c>
      <c r="B10" s="39" t="n">
        <v>0</v>
      </c>
      <c r="D10" s="21" t="s">
        <v>264</v>
      </c>
    </row>
    <row r="11" customFormat="false" ht="15" hidden="false" customHeight="false" outlineLevel="0" collapsed="false">
      <c r="A11" s="21" t="s">
        <v>110</v>
      </c>
      <c r="B11" s="33" t="str">
        <f aca="false">IF(B9=0,"",B10/B9)</f>
        <v/>
      </c>
    </row>
    <row r="13" customFormat="false" ht="15" hidden="false" customHeight="false" outlineLevel="0" collapsed="false">
      <c r="A13" s="19" t="s">
        <v>112</v>
      </c>
    </row>
    <row r="14" customFormat="false" ht="15" hidden="false" customHeight="false" outlineLevel="0" collapsed="false">
      <c r="A14" s="21" t="s">
        <v>14</v>
      </c>
      <c r="B14" s="34" t="str">
        <f aca="false">IF(B5=0,"",B7/B5)</f>
        <v/>
      </c>
    </row>
    <row r="15" customFormat="false" ht="15" hidden="false" customHeight="false" outlineLevel="0" collapsed="false">
      <c r="A15" s="21" t="s">
        <v>113</v>
      </c>
      <c r="B15" s="30" t="str">
        <f aca="false">IF(B7&lt;=0,"",B8/B7)</f>
        <v/>
      </c>
    </row>
    <row r="16" customFormat="false" ht="15" hidden="false" customHeight="false" outlineLevel="0" collapsed="false">
      <c r="A16" s="21" t="s">
        <v>265</v>
      </c>
      <c r="B16" s="29" t="str">
        <f aca="false">IF(B7&lt;=0,"",ROUNDUP(B15,0))</f>
        <v/>
      </c>
    </row>
    <row r="17" customFormat="false" ht="15" hidden="false" customHeight="false" outlineLevel="0" collapsed="false">
      <c r="A17" s="21" t="s">
        <v>18</v>
      </c>
      <c r="B17" s="26" t="str">
        <f aca="false">IF(B14="","",B8/B14)</f>
        <v/>
      </c>
    </row>
    <row r="19" customFormat="false" ht="15" hidden="false" customHeight="false" outlineLevel="0" collapsed="false">
      <c r="A19" s="19" t="s">
        <v>266</v>
      </c>
    </row>
    <row r="20" customFormat="false" ht="15" hidden="false" customHeight="false" outlineLevel="0" collapsed="false">
      <c r="A20" s="21" t="s">
        <v>120</v>
      </c>
      <c r="B20" s="28" t="n">
        <v>0</v>
      </c>
    </row>
    <row r="21" customFormat="false" ht="15" hidden="false" customHeight="false" outlineLevel="0" collapsed="false">
      <c r="A21" s="21" t="s">
        <v>267</v>
      </c>
      <c r="B21" s="26" t="n">
        <f aca="false">B20*B7-B8</f>
        <v>0</v>
      </c>
    </row>
    <row r="22" customFormat="false" ht="15" hidden="false" customHeight="false" outlineLevel="0" collapsed="false">
      <c r="A22" s="21" t="s">
        <v>127</v>
      </c>
      <c r="B22" s="34" t="str">
        <f aca="false">IF(OR(B20=0,B5=0),"",(B20*B5-B17)/(B20*B5))</f>
        <v/>
      </c>
    </row>
    <row r="23" customFormat="false" ht="15" hidden="false" customHeight="false" outlineLevel="0" collapsed="false">
      <c r="A23" s="21" t="s">
        <v>129</v>
      </c>
      <c r="B23" s="34" t="str">
        <f aca="false">IF(B10=0,"",B20*B9/B10)</f>
        <v/>
      </c>
    </row>
    <row r="25" customFormat="false" ht="15" hidden="false" customHeight="false" outlineLevel="0" collapsed="false">
      <c r="A25" s="19" t="s">
        <v>142</v>
      </c>
    </row>
    <row r="26" customFormat="false" ht="15" hidden="false" customHeight="false" outlineLevel="0" collapsed="false">
      <c r="A26" s="21" t="s">
        <v>268</v>
      </c>
      <c r="B26" s="37" t="str">
        <f aca="false">IF(B5=0,"AVVIK: fyll inn prisen i B5 før du leser av noe annet",IF(B7&lt;=0,"AVVIK: dekningsbidraget er null eller negativt — sjekk B5 og B6","OK — arket regner på din egen avdeling"))</f>
        <v>AVVIK: fyll inn prisen i B5 før du leser av noe annet</v>
      </c>
    </row>
    <row r="27" customFormat="false" ht="15" hidden="false" customHeight="false" outlineLevel="0" collapsed="false">
      <c r="A27" s="18" t="s">
        <v>269</v>
      </c>
    </row>
    <row r="28" customFormat="false" ht="15" hidden="false" customHeight="false" outlineLevel="0" collapsed="false">
      <c r="A28" s="21" t="s">
        <v>145</v>
      </c>
      <c r="B28" s="37" t="str">
        <f aca="false">IF(OR(B7&lt;=0,B9=0,B10=0),"OK — fyll inn timer og kapasitet for å få denne kontrollen",IF(B16&lt;=B11,"OK — nullpunktet er mulig å nå med den bemanningen du har","AVVIK: nullpunktet ligger over kapasiteten"))</f>
        <v>OK — fyll inn timer og kapasitet for å få denne kontrollen</v>
      </c>
    </row>
    <row r="30" customFormat="false" ht="15" hidden="false" customHeight="false" outlineLevel="0" collapsed="false">
      <c r="A30" s="18" t="s">
        <v>270</v>
      </c>
    </row>
  </sheetData>
  <conditionalFormatting sqref="B26">
    <cfRule type="expression" priority="2" aboveAverage="0" equalAverage="0" bottom="0" percent="0" rank="0" text="" dxfId="0">
      <formula>LEFT(B26,5)="AVVIK"</formula>
    </cfRule>
  </conditionalFormatting>
  <conditionalFormatting sqref="B28">
    <cfRule type="expression" priority="3" aboveAverage="0" equalAverage="0" bottom="0" percent="0" rank="0" text="" dxfId="0">
      <formula>LEFT(B28,5)="AVVIK"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2026-09-14T08:33:12Z</dcterms:created>
  <dc:creator>openpyxl</dc:creator>
  <dc:description/>
  <dc:language>en-US</dc:language>
  <cp:lastModifiedBy/>
  <dcterms:modified xsi:type="dcterms:W3CDTF">2026-10-07T06:03:52Z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