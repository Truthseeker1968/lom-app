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Nullpunkt" sheetId="2" state="visible" r:id="rId2"/>
    <sheet xmlns:r="http://schemas.openxmlformats.org/officeDocument/2006/relationships" name="Spakene" sheetId="3" state="visible" r:id="rId3"/>
    <sheet xmlns:r="http://schemas.openxmlformats.org/officeDocument/2006/relationships" name="Rabatt" sheetId="4" state="visible" r:id="rId4"/>
    <sheet xmlns:r="http://schemas.openxmlformats.org/officeDocument/2006/relationships" name="Scenario" sheetId="5" state="visible" r:id="rId5"/>
    <sheet xmlns:r="http://schemas.openxmlformats.org/officeDocument/2006/relationships" name="Din avdeling" sheetId="6" state="visible" r:id="rId6"/>
  </sheets>
  <definedNames/>
  <calcPr calcId="124519" fullCalcOnLoad="1"/>
</workbook>
</file>

<file path=xl/styles.xml><?xml version="1.0" encoding="utf-8"?>
<styleSheet xmlns="http://schemas.openxmlformats.org/spreadsheetml/2006/main">
  <numFmts count="3">
    <numFmt numFmtId="164" formatCode="#,##0 &quot;kr&quot;"/>
    <numFmt numFmtId="165" formatCode="0.0%"/>
    <numFmt numFmtId="166" formatCode="#,##0.00 &quot;kr&quot;"/>
  </numFmts>
  <fonts count="9">
    <font>
      <name val="Calibri"/>
      <family val="2"/>
      <color theme="1"/>
      <sz val="11"/>
      <scheme val="minor"/>
    </font>
    <font>
      <name val="Arial"/>
      <b val="1"/>
      <color rgb="001F3864"/>
      <sz val="14"/>
    </font>
    <font>
      <name val="Arial"/>
      <i val="1"/>
      <color rgb="00595959"/>
      <sz val="10"/>
    </font>
    <font>
      <name val="Arial"/>
      <b val="1"/>
      <color rgb="001F3864"/>
      <sz val="10"/>
    </font>
    <font>
      <name val="Arial"/>
      <sz val="10"/>
    </font>
    <font>
      <name val="Arial"/>
      <color rgb="000000FF"/>
      <sz val="10"/>
    </font>
    <font>
      <name val="Arial"/>
      <b val="1"/>
      <sz val="10"/>
    </font>
    <font>
      <name val="Arial"/>
      <i val="1"/>
      <color rgb="00595959"/>
      <sz val="9"/>
    </font>
    <font>
      <name val="Arial"/>
      <b val="1"/>
      <color rgb="00FFFFFF"/>
      <sz val="10"/>
    </font>
  </fonts>
  <fills count="6">
    <fill>
      <patternFill/>
    </fill>
    <fill>
      <patternFill patternType="gray125"/>
    </fill>
    <fill>
      <patternFill patternType="solid">
        <fgColor rgb="00FFF2CC"/>
      </patternFill>
    </fill>
    <fill>
      <patternFill patternType="solid">
        <fgColor rgb="00DCE6F4"/>
      </patternFill>
    </fill>
    <fill>
      <patternFill patternType="solid">
        <fgColor rgb="00F2F2F2"/>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7" fillId="0" borderId="0" pivotButton="0" quotePrefix="0" xfId="0"/>
    <xf numFmtId="0" fontId="3" fillId="0" borderId="0" pivotButton="0" quotePrefix="0" xfId="0"/>
    <xf numFmtId="0" fontId="5" fillId="2" borderId="1" pivotButton="0" quotePrefix="0" xfId="0"/>
    <xf numFmtId="0" fontId="4" fillId="0" borderId="0" pivotButton="0" quotePrefix="0" xfId="0"/>
    <xf numFmtId="0" fontId="4" fillId="4" borderId="1" pivotButton="0" quotePrefix="0" xfId="0"/>
    <xf numFmtId="0" fontId="6" fillId="0" borderId="0" pivotButton="0" quotePrefix="0" xfId="0"/>
    <xf numFmtId="0" fontId="8" fillId="5" borderId="0" applyAlignment="1" pivotButton="0" quotePrefix="0" xfId="0">
      <alignment horizontal="center" vertical="center" wrapText="1"/>
    </xf>
    <xf numFmtId="164" fontId="5" fillId="2" borderId="1" pivotButton="0" quotePrefix="0" xfId="0"/>
    <xf numFmtId="164" fontId="6" fillId="3" borderId="1" pivotButton="0" quotePrefix="0" xfId="0"/>
    <xf numFmtId="165" fontId="6" fillId="3" borderId="1" pivotButton="0" quotePrefix="0" xfId="0"/>
    <xf numFmtId="3" fontId="5" fillId="2" borderId="1" pivotButton="0" quotePrefix="0" xfId="0"/>
    <xf numFmtId="3" fontId="4" fillId="4" borderId="1" pivotButton="0" quotePrefix="0" xfId="0"/>
    <xf numFmtId="4" fontId="6" fillId="3" borderId="1" pivotButton="0" quotePrefix="0" xfId="0"/>
    <xf numFmtId="3" fontId="6" fillId="3" borderId="1" pivotButton="0" quotePrefix="0" xfId="0"/>
    <xf numFmtId="164" fontId="4" fillId="4" borderId="1" pivotButton="0" quotePrefix="0" xfId="0"/>
    <xf numFmtId="4" fontId="4" fillId="4" borderId="1" pivotButton="0" quotePrefix="0" xfId="0"/>
    <xf numFmtId="165" fontId="4" fillId="4" borderId="1" pivotButton="0" quotePrefix="0" xfId="0"/>
    <xf numFmtId="0" fontId="6" fillId="3" borderId="1" pivotButton="0" quotePrefix="0" xfId="0"/>
    <xf numFmtId="166" fontId="4" fillId="4" borderId="1" pivotButton="0" quotePrefix="0" xfId="0"/>
    <xf numFmtId="0" fontId="6" fillId="4" borderId="1" pivotButton="0" quotePrefix="0" xfId="0"/>
    <xf numFmtId="165" fontId="5" fillId="2" borderId="1" pivotButton="0" quotePrefix="0" xfId="0"/>
    <xf numFmtId="4" fontId="5" fillId="2"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49"/>
  <sheetViews>
    <sheetView showGridLines="0" workbookViewId="0">
      <selection activeCell="A1" sqref="A1"/>
    </sheetView>
  </sheetViews>
  <sheetFormatPr baseColWidth="8" defaultRowHeight="15"/>
  <cols>
    <col width="40" customWidth="1" min="1" max="1"/>
    <col width="30" customWidth="1" min="2" max="2"/>
    <col width="62" customWidth="1" min="3" max="3"/>
  </cols>
  <sheetData>
    <row r="1">
      <c r="A1" s="1" t="inlineStr">
        <is>
          <t>Nullpunktsanalyse</t>
        </is>
      </c>
    </row>
    <row r="2">
      <c r="A2" s="2" t="inlineStr">
        <is>
          <t>LØM Økonomistyring kap. 8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Nullpunkt</t>
        </is>
      </c>
      <c r="B10" s="6" t="inlineStr">
        <is>
          <t>Kalkulatoren. Pris, variable kostnader og faste kostnader inn — nullpunkt, resultat og risikomargin ut. De andre arkene henter tallene sine herfra.</t>
        </is>
      </c>
    </row>
    <row r="11">
      <c r="A11" s="8" t="inlineStr">
        <is>
          <t>Spakene</t>
        </is>
      </c>
      <c r="B11" s="6" t="inlineStr">
        <is>
          <t>Tre tiltak på samme prosent: prisen opp, variable ned, faste ned. Se hvilken som gir mest, og hvorfor.</t>
        </is>
      </c>
    </row>
    <row r="12">
      <c r="A12" s="8" t="inlineStr">
        <is>
          <t>Rabatt</t>
        </is>
      </c>
      <c r="B12" s="6" t="inlineStr">
        <is>
          <t>Hva en rabatt til én stor kunde gjør med snittpris, nullpunkt og risikomargin — og hva den koster hvis kapasiteten er full.</t>
        </is>
      </c>
    </row>
    <row r="13">
      <c r="A13" s="8" t="inlineStr">
        <is>
          <t>Scenario</t>
        </is>
      </c>
      <c r="B13" s="6" t="inlineStr">
        <is>
          <t>Skal avdelingen legges ned? Hva som faktisk forsvinner, hvor grensen går, og hvilke veier ut som finnes.</t>
        </is>
      </c>
    </row>
    <row r="14">
      <c r="A14" s="8" t="inlineStr">
        <is>
          <t>Din avdeling</t>
        </is>
      </c>
      <c r="B14" s="6" t="inlineStr">
        <is>
          <t>Samme oppsett, tomt. Legg inn tallene for din egen avdeling.</t>
        </is>
      </c>
    </row>
    <row r="16">
      <c r="A16" s="3" t="inlineStr">
        <is>
          <t>Tallene som ligger inne er serviceavdelingen i Nordlys Elektro AS, den samme avdelingen du møter i kapittel 2, 5 og 7.</t>
        </is>
      </c>
    </row>
    <row r="17">
      <c r="A17" s="3" t="inlineStr">
        <is>
          <t>Nullpunktet i antall rundes alltid OPP til hele enheter: det er ikke nådd før hele oppdraget er fakturert.</t>
        </is>
      </c>
    </row>
    <row r="18">
      <c r="A18" s="3" t="inlineStr">
        <is>
          <t>Nullpunktet i kroner regnes av DEKNINGSGRADEN, ikke av dekningsbidraget. Deler du på dekningsbidraget, blir svaret flere hundre ganger for lite.</t>
        </is>
      </c>
    </row>
    <row r="20">
      <c r="A20" s="3" t="inlineStr">
        <is>
          <t>Tallene som ligger inne er et eksempel fra en elektrobedrift. Bytt dem ut med dine egne — alle formler følger med.</t>
        </is>
      </c>
    </row>
    <row r="21">
      <c r="A21" s="3" t="inlineStr">
        <is>
          <t>Arbeidsregneark til LØM · Fagskolen Oslo, Avdeling Elkraft. Regnearket er øvingsstøtte, ikke et regnskapssystem.</t>
        </is>
      </c>
    </row>
    <row r="23">
      <c r="A23" s="4" t="inlineStr">
        <is>
          <t>De tre knappene</t>
        </is>
      </c>
    </row>
    <row r="24">
      <c r="A24" s="6" t="inlineStr">
        <is>
          <t>Nullpunkt!B5</t>
        </is>
      </c>
      <c r="B24" s="6" t="inlineStr">
        <is>
          <t>Prisen per oppdrag</t>
        </is>
      </c>
      <c r="C24" s="6" t="inlineStr">
        <is>
          <t>Den sterkeste spaken: hele påslaget går rett inn i dekningsbidraget.</t>
        </is>
      </c>
    </row>
    <row r="25">
      <c r="A25" s="6" t="inlineStr">
        <is>
          <t>Nullpunkt!B6</t>
        </is>
      </c>
      <c r="B25" s="6" t="inlineStr">
        <is>
          <t>Variable kostnader per oppdrag</t>
        </is>
      </c>
      <c r="C25" s="6" t="inlineStr">
        <is>
          <t>Nest sterkest, fordi beløpet er stort.</t>
        </is>
      </c>
    </row>
    <row r="26">
      <c r="A26" s="6" t="inlineStr">
        <is>
          <t>Nullpunkt!B9</t>
        </is>
      </c>
      <c r="B26" s="6" t="inlineStr">
        <is>
          <t>Faste kostnader i året</t>
        </is>
      </c>
      <c r="C26" s="6" t="inlineStr">
        <is>
          <t>Virker bare på telleren i nullpunktsformelen — og tar med seg kapasitet.</t>
        </is>
      </c>
    </row>
    <row r="28">
      <c r="A28" s="4" t="inlineStr">
        <is>
          <t>Hvilken oppgave bruker hvilket ark</t>
        </is>
      </c>
    </row>
    <row r="29" ht="28" customHeight="1">
      <c r="A29" s="9" t="inlineStr">
        <is>
          <t>Oppgave i øvingsheftet</t>
        </is>
      </c>
      <c r="B29" s="9" t="inlineStr">
        <is>
          <t>Ark</t>
        </is>
      </c>
      <c r="C29" s="9" t="inlineStr">
        <is>
          <t>Celler du endrer og leser av</t>
        </is>
      </c>
    </row>
    <row r="30">
      <c r="A30" s="6" t="inlineStr">
        <is>
          <t>A1 · Går avdelingen i pluss?</t>
        </is>
      </c>
      <c r="B30" s="8" t="inlineStr">
        <is>
          <t>Nullpunkt</t>
        </is>
      </c>
      <c r="C30" s="6" t="inlineStr">
        <is>
          <t>Les av B7, B8, B15, B16 og resultatet i B25.</t>
        </is>
      </c>
    </row>
    <row r="31">
      <c r="A31" s="6" t="inlineStr">
        <is>
          <t>A2 · Klasseoppgave: rabatten fra borettslaget</t>
        </is>
      </c>
      <c r="B31" s="8" t="inlineStr">
        <is>
          <t>Rabatt</t>
        </is>
      </c>
      <c r="C31" s="6" t="inlineStr">
        <is>
          <t>Endre B5, B6 og B7. Les av B12, C19, C21, C22, C25, C26 og forskjellen i C28.</t>
        </is>
      </c>
    </row>
    <row r="32">
      <c r="A32" s="6" t="inlineStr">
        <is>
          <t>1 · Serviceavdelingen i utgangspunktet</t>
        </is>
      </c>
      <c r="B32" s="8" t="inlineStr">
        <is>
          <t>Nullpunkt</t>
        </is>
      </c>
      <c r="C32" s="6" t="inlineStr">
        <is>
          <t>Endre B5, B6, B9 og B21. Les av B7, B8, B15, B16, B17, B25, B26 og B28.</t>
        </is>
      </c>
    </row>
    <row r="33">
      <c r="A33" s="6" t="inlineStr">
        <is>
          <t>2 · Hvor mange oppdrag må Tom skaffe?</t>
        </is>
      </c>
      <c r="B33" s="8" t="inlineStr">
        <is>
          <t>Nullpunkt</t>
        </is>
      </c>
      <c r="C33" s="6" t="inlineStr">
        <is>
          <t>Sett ønsket resultat i B38 og les av B39 og B40. Kapasiteten står i B12.</t>
        </is>
      </c>
    </row>
    <row r="34">
      <c r="A34" s="6" t="inlineStr">
        <is>
          <t>3 · De tre spakene</t>
        </is>
      </c>
      <c r="B34" s="8" t="inlineStr">
        <is>
          <t>Spakene</t>
        </is>
      </c>
      <c r="C34" s="6" t="inlineStr">
        <is>
          <t>Endre prosenten i B4 og volumet i B5. Les av rad 11, 13, 15, 16 og rangeringen i rad 17.</t>
        </is>
      </c>
    </row>
    <row r="35">
      <c r="A35" s="6" t="inlineStr">
        <is>
          <t>4 · Rabatten til borettslaget</t>
        </is>
      </c>
      <c r="B35" s="8" t="inlineStr">
        <is>
          <t>Rabatt</t>
        </is>
      </c>
      <c r="C35" s="6" t="inlineStr">
        <is>
          <t>Endre B5, B6 og B7. Les av hele sammenlikningen i rad 18 til 28, og fortrengningsregningen i B31 og B32.</t>
        </is>
      </c>
    </row>
    <row r="36">
      <c r="A36" s="6" t="inlineStr">
        <is>
          <t>5 · Eksamensnær: skal avdelingen legges ned?</t>
        </is>
      </c>
      <c r="B36" s="8" t="inlineStr">
        <is>
          <t>Scenario</t>
        </is>
      </c>
      <c r="C36" s="6" t="inlineStr">
        <is>
          <t>Sett felleskostnadsandelen i B6. Les av B7, B8, rad 12 til 17, grensene i B20 til B23, veiene ut i rad 27 og 28, og døråpnereffekten i B36 og B37.</t>
        </is>
      </c>
    </row>
    <row r="38">
      <c r="A38" s="4" t="inlineStr">
        <is>
          <t>Kontrollradene</t>
        </is>
      </c>
    </row>
    <row r="39">
      <c r="A39" s="6" t="inlineStr">
        <is>
          <t>Hvert regneark har en kontrollblokk. Står det OK, henger tallene sammen. Står det AVVIK, farges cellen rød, og teksten sier hva som ikke går opp.</t>
        </is>
      </c>
    </row>
    <row r="40">
      <c r="A40" s="6" t="inlineStr">
        <is>
          <t>Ett unntak: arket «Din avdeling» står på AVVIK til du har fylt inn dine egne tall.</t>
        </is>
      </c>
    </row>
    <row r="41">
      <c r="A41" s="3" t="inlineStr">
        <is>
          <t>Kontroller i arbeidsboka: Nullpunkt B43, Nullpunkt B44, Nullpunkt B45, Nullpunkt B46, Spakene B21, Spakene B22, Spakene B23, Rabatt B35, Rabatt B36, Rabatt B37, Rabatt B38, Scenario B40, Scenario B41, Scenario B42, Din avdeling B26, Din avdeling B28</t>
        </is>
      </c>
    </row>
    <row r="43">
      <c r="A43" s="4" t="inlineStr">
        <is>
          <t>Slik henger kapitlene sammen</t>
        </is>
      </c>
    </row>
    <row r="44">
      <c r="A44" s="6" t="inlineStr">
        <is>
          <t>Nullpunktet er timeprisen fra kapittel 5 sett fra en annen kant. Timeprisen svarer på hva timen må koste; nullpunktet svarer på hvor mange av dem du må selge. Arket Nullpunkt regner om nullpunktet til montørtimer i rad 34 og 35, og andelen du leser der, er den samme faktureringsgraden kapittel 5 handler om. Dekningsbidraget per oppdrag er det samme som rangeres i kapittel 7, og de faste kostnadene er de samme som deles ut i kapittel 2.</t>
        </is>
      </c>
    </row>
    <row r="46">
      <c r="A46" s="4" t="inlineStr">
        <is>
          <t>Kilder</t>
        </is>
      </c>
    </row>
    <row r="47">
      <c r="A47" s="3" t="inlineStr">
        <is>
          <t>Hjertnes, J. og Skorpen, K.: Økonomistyring for LØM-emnet (ISBN 978-82-450-5544-3), kapittel 8 «Nullpunktsanalyse», avsnitt 8.1 til 8.4. Formler for nullpunkt, dekningsgrad og risikomargin: formelsamlingen til LØM-emnet.</t>
        </is>
      </c>
    </row>
    <row r="48">
      <c r="A48" s="3" t="inlineStr">
        <is>
          <t>Bransjetall: NHO Elektro, Lønnsomhetsrapport 2025, gjengitt i Elektro 24-7 19.08.2026 (hentet 10.09.2026). De 809 er bedriftene i datagrunnlaget, ikke bransjen. NHO Elektro oppgir ikke svarprosent.</t>
        </is>
      </c>
    </row>
    <row r="49">
      <c r="A49" s="3" t="inlineStr">
        <is>
          <t>Nordlys Elektro AS er en konstruert casebedrift. Tallene henger sammen på tvers av alle ti kapitlene i Bok 1.</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49"/>
  <sheetViews>
    <sheetView showGridLines="0" workbookViewId="0">
      <pane ySplit="3" topLeftCell="A4" activePane="bottomLeft" state="frozen"/>
      <selection pane="bottomLeft" activeCell="A1" sqref="A1"/>
    </sheetView>
  </sheetViews>
  <sheetFormatPr baseColWidth="8" defaultRowHeight="15"/>
  <cols>
    <col width="46" customWidth="1" min="1" max="1"/>
    <col width="16" customWidth="1" min="2" max="2"/>
    <col width="14" customWidth="1" min="3" max="3"/>
    <col width="56" customWidth="1" min="4" max="4"/>
  </cols>
  <sheetData>
    <row r="1">
      <c r="A1" s="1" t="inlineStr">
        <is>
          <t>Hvor mange oppdrag må til før avdelingen tjener penger?</t>
        </is>
      </c>
    </row>
    <row r="2">
      <c r="A2" s="2" t="inlineStr">
        <is>
          <t>Endre de gule cellene. Alt annet regner seg selv.</t>
        </is>
      </c>
    </row>
    <row r="4">
      <c r="A4" s="4" t="inlineStr">
        <is>
          <t>1 · Avdelingen</t>
        </is>
      </c>
    </row>
    <row r="5">
      <c r="A5" s="6" t="inlineStr">
        <is>
          <t>Pris per oppdrag, uten mva.</t>
        </is>
      </c>
      <c r="B5" s="10" t="n">
        <v>18500</v>
      </c>
      <c r="D5" s="6" t="inlineStr">
        <is>
          <t>Det kunden betaler for ett serviceoppdrag.</t>
        </is>
      </c>
    </row>
    <row r="6">
      <c r="A6" s="6" t="inlineStr">
        <is>
          <t>Variable kostnader per oppdrag</t>
        </is>
      </c>
      <c r="B6" s="10" t="n">
        <v>11200</v>
      </c>
      <c r="D6" s="6" t="inlineStr">
        <is>
          <t>Materiell og montørtimer som går med til nettopp dette oppdraget.</t>
        </is>
      </c>
    </row>
    <row r="7">
      <c r="A7" s="8" t="inlineStr">
        <is>
          <t>= Dekningsbidrag per oppdrag</t>
        </is>
      </c>
      <c r="B7" s="11">
        <f>B5-B6</f>
        <v/>
      </c>
      <c r="D7" s="6" t="inlineStr">
        <is>
          <t>Det oppdraget bidrar med til å dekke de faste kostnadene.</t>
        </is>
      </c>
    </row>
    <row r="8">
      <c r="A8" s="6" t="inlineStr">
        <is>
          <t>Dekningsgrad</t>
        </is>
      </c>
      <c r="B8" s="12">
        <f>B7/B5</f>
        <v/>
      </c>
      <c r="D8" s="6" t="inlineStr">
        <is>
          <t>Dekningsbidraget i prosent av prisen. Brukes til nullpunktet i kroner.</t>
        </is>
      </c>
    </row>
    <row r="9">
      <c r="A9" s="6" t="inlineStr">
        <is>
          <t>Faste kostnader i året</t>
        </is>
      </c>
      <c r="B9" s="10" t="n">
        <v>2100000</v>
      </c>
      <c r="D9" s="6" t="inlineStr">
        <is>
          <t>Løper enten avdelingen har oppdrag eller ikke.</t>
        </is>
      </c>
    </row>
    <row r="10">
      <c r="A10" s="6" t="inlineStr">
        <is>
          <t>Montørtimer per oppdrag</t>
        </is>
      </c>
      <c r="B10" s="13" t="n">
        <v>6</v>
      </c>
    </row>
    <row r="11">
      <c r="A11" s="6" t="inlineStr">
        <is>
          <t>Montørtimer avdelingen har i året</t>
        </is>
      </c>
      <c r="B11" s="13" t="n">
        <v>2400</v>
      </c>
    </row>
    <row r="12">
      <c r="A12" s="6" t="inlineStr">
        <is>
          <t>Kapasitet i antall oppdrag</t>
        </is>
      </c>
      <c r="B12" s="14">
        <f>B11/B10</f>
        <v/>
      </c>
      <c r="D12" s="6" t="inlineStr">
        <is>
          <t>Taket. Over dette må avdelingen ansette.</t>
        </is>
      </c>
    </row>
    <row r="14">
      <c r="A14" s="4" t="inlineStr">
        <is>
          <t>2 · Nullpunktet</t>
        </is>
      </c>
    </row>
    <row r="15">
      <c r="A15" s="6" t="inlineStr">
        <is>
          <t>Nullpunkt i antall oppdrag</t>
        </is>
      </c>
      <c r="B15" s="15">
        <f>B9/B7</f>
        <v/>
      </c>
      <c r="D15" s="6" t="inlineStr">
        <is>
          <t>Faste kostnader delt på dekningsbidrag per oppdrag.</t>
        </is>
      </c>
    </row>
    <row r="16">
      <c r="A16" s="8" t="inlineStr">
        <is>
          <t>avrundet opp til hele oppdrag</t>
        </is>
      </c>
      <c r="B16" s="16">
        <f>ROUNDUP(B15,0)</f>
        <v/>
      </c>
      <c r="D16" s="6" t="inlineStr">
        <is>
          <t>Nullpunktet er ikke nådd før hele oppdraget er fakturert. Rund alltid OPP.</t>
        </is>
      </c>
    </row>
    <row r="17">
      <c r="A17" s="6" t="inlineStr">
        <is>
          <t>Nullpunkt i kroner</t>
        </is>
      </c>
      <c r="B17" s="11">
        <f>B9/B8</f>
        <v/>
      </c>
      <c r="D17" s="6" t="inlineStr">
        <is>
          <t>Faste kostnader delt på DEKNINGSGRADEN — ikke på dekningsbidraget.</t>
        </is>
      </c>
    </row>
    <row r="18">
      <c r="A18" s="6" t="inlineStr">
        <is>
          <t>Kontrollregning: nullpunkt i oppdrag × pris</t>
        </is>
      </c>
      <c r="B18" s="17">
        <f>B15*B5</f>
        <v/>
      </c>
    </row>
    <row r="20">
      <c r="A20" s="4" t="inlineStr">
        <is>
          <t>3 · Planen for året</t>
        </is>
      </c>
    </row>
    <row r="21">
      <c r="A21" s="6" t="inlineStr">
        <is>
          <t>Planlagt antall oppdrag</t>
        </is>
      </c>
      <c r="B21" s="13" t="n">
        <v>210</v>
      </c>
      <c r="D21" s="6" t="inlineStr">
        <is>
          <t>Den ene cellen som forteller om avdelingen tjener penger eller ikke.</t>
        </is>
      </c>
    </row>
    <row r="22">
      <c r="A22" s="6" t="inlineStr">
        <is>
          <t>Salgsinntekt</t>
        </is>
      </c>
      <c r="B22" s="17">
        <f>B21*B5</f>
        <v/>
      </c>
    </row>
    <row r="23">
      <c r="A23" s="6" t="inlineStr">
        <is>
          <t>Dekningsbidrag totalt</t>
        </is>
      </c>
      <c r="B23" s="17">
        <f>B21*B7</f>
        <v/>
      </c>
    </row>
    <row r="24">
      <c r="A24" s="6" t="inlineStr">
        <is>
          <t>− faste kostnader</t>
        </is>
      </c>
      <c r="B24" s="17">
        <f>B9</f>
        <v/>
      </c>
    </row>
    <row r="25">
      <c r="A25" s="8" t="inlineStr">
        <is>
          <t>= Resultat</t>
        </is>
      </c>
      <c r="B25" s="11">
        <f>B23-B9</f>
        <v/>
      </c>
    </row>
    <row r="26">
      <c r="A26" s="6" t="inlineStr">
        <is>
          <t>Risikomargin i antall oppdrag</t>
        </is>
      </c>
      <c r="B26" s="18">
        <f>B21-B15</f>
        <v/>
      </c>
    </row>
    <row r="27">
      <c r="A27" s="6" t="inlineStr">
        <is>
          <t>Risikomargin i kroner</t>
        </is>
      </c>
      <c r="B27" s="17">
        <f>B22-B17</f>
        <v/>
      </c>
    </row>
    <row r="28">
      <c r="A28" s="6" t="inlineStr">
        <is>
          <t>Risikomargin i prosent</t>
        </is>
      </c>
      <c r="B28" s="12">
        <f>B27/B22</f>
        <v/>
      </c>
      <c r="D28" s="6" t="inlineStr">
        <is>
          <t>Hvor mye salget kan falle før avdelingen går i minus.</t>
        </is>
      </c>
    </row>
    <row r="29">
      <c r="A29" s="6" t="inlineStr">
        <is>
          <t>Kapasitetsutnyttelse</t>
        </is>
      </c>
      <c r="B29" s="19">
        <f>B21*B10/B11</f>
        <v/>
      </c>
    </row>
    <row r="30">
      <c r="A30" s="6" t="inlineStr">
        <is>
          <t>Dom</t>
        </is>
      </c>
      <c r="D30" s="20">
        <f>IF(B25&gt;0,"Over nullpunktet — avdelingen tjener penger",IF(B25=0,"Nøyaktig i null","Under nullpunktet — avdelingen taper penger"))</f>
        <v/>
      </c>
    </row>
    <row r="32">
      <c r="A32" s="4" t="inlineStr">
        <is>
          <t>4 · Broen til kapittel 5</t>
        </is>
      </c>
    </row>
    <row r="33">
      <c r="A33" s="6" t="inlineStr">
        <is>
          <t>Dekningsbidrag per montørtime</t>
        </is>
      </c>
      <c r="B33" s="21">
        <f>B7/B10</f>
        <v/>
      </c>
      <c r="D33" s="6" t="inlineStr">
        <is>
          <t>Sammenlikn med oppdragstypene i kapittel 7.</t>
        </is>
      </c>
    </row>
    <row r="34">
      <c r="A34" s="6" t="inlineStr">
        <is>
          <t>Nullpunktet i montørtimer</t>
        </is>
      </c>
      <c r="B34" s="14">
        <f>B15*B10</f>
        <v/>
      </c>
    </row>
    <row r="35">
      <c r="A35" s="6" t="inlineStr">
        <is>
          <t>Andel av kapasiteten nullpunktet krever</t>
        </is>
      </c>
      <c r="B35" s="12">
        <f>B34/B11</f>
        <v/>
      </c>
      <c r="D35" s="6" t="inlineStr">
        <is>
          <t>Dette er faktureringsgraden fra kapittel 5, sett fra en annen kant: så stor del av timene må faktisk selges.</t>
        </is>
      </c>
    </row>
    <row r="37">
      <c r="A37" s="4" t="inlineStr">
        <is>
          <t>5 · Hva skal til for et overskudd?</t>
        </is>
      </c>
    </row>
    <row r="38">
      <c r="A38" s="6" t="inlineStr">
        <is>
          <t>Ønsket resultat</t>
        </is>
      </c>
      <c r="B38" s="10" t="n">
        <v>300000</v>
      </c>
    </row>
    <row r="39">
      <c r="A39" s="6" t="inlineStr">
        <is>
          <t>Oppdrag som må til</t>
        </is>
      </c>
      <c r="B39" s="15">
        <f>(B9+B38)/B7</f>
        <v/>
      </c>
    </row>
    <row r="40">
      <c r="A40" s="6" t="inlineStr">
        <is>
          <t>Økning fra planen</t>
        </is>
      </c>
      <c r="B40" s="19">
        <f>B39/B21-1</f>
        <v/>
      </c>
      <c r="D40" s="6" t="inlineStr">
        <is>
          <t>Er dette realistisk på ett år? Det er sjelden det.</t>
        </is>
      </c>
    </row>
    <row r="42">
      <c r="A42" s="4" t="inlineStr">
        <is>
          <t>Kontroll</t>
        </is>
      </c>
    </row>
    <row r="43">
      <c r="A43" s="6" t="inlineStr">
        <is>
          <t>Gir de to nullpunktsformlene samme svar?</t>
        </is>
      </c>
      <c r="B43" s="22">
        <f>IF(ABS(B17-B18)&lt;1,"OK — nullpunkt i kroner stemmer med nullpunkt i oppdrag ganget med prisen","AVVIK: de to formlene gir ulikt svar — sjekk at du har delt på dekningsgraden og ikke på dekningsbidraget")</f>
        <v/>
      </c>
    </row>
    <row r="44">
      <c r="A44" s="6" t="inlineStr">
        <is>
          <t>Er dekningsbidraget positivt?</t>
        </is>
      </c>
      <c r="B44" s="22">
        <f>IF(B7&gt;0,"OK — hvert oppdrag bidrar til å dekke de faste kostnadene","AVVIK: negativt dekningsbidrag — da finnes det ikke noe nullpunkt, og hvert oppdrag gjør vondt verre")</f>
        <v/>
      </c>
    </row>
    <row r="45">
      <c r="A45" s="6" t="inlineStr">
        <is>
          <t>Ligger nullpunktet innenfor kapasiteten?</t>
        </is>
      </c>
      <c r="B45" s="22">
        <f>IF(B16&lt;=B12,"OK — avdelingen kan i det hele tatt nå nullpunktet med de montørene den har","AVVIK: nullpunktet ligger over kapasiteten — da må enten prisen opp, kostnadene ned eller bemanningen opp")</f>
        <v/>
      </c>
    </row>
    <row r="46">
      <c r="A46" s="6" t="inlineStr">
        <is>
          <t>Henger resultatet sammen med risikomarginen?</t>
        </is>
      </c>
      <c r="B46" s="22">
        <f>IF(ABS(B27*B8-B25)&lt;1,"OK — risikomarginen i kroner ganget med dekningsgraden er lik resultatet","AVVIK: risikomarginen stemmer ikke med resultatet")</f>
        <v/>
      </c>
    </row>
    <row r="48">
      <c r="A48" s="8" t="inlineStr">
        <is>
          <t>Prøv dette: sett planlagt antall i B21 opp til dommen i D30 snur. Det tallet er nullpunktet, og det er hele kapitlet.</t>
        </is>
      </c>
    </row>
    <row r="49">
      <c r="A49" s="3" t="inlineStr">
        <is>
          <t>Kilde: Bok 1 kap. 8.1 og 8.2, og formlene for nullpunkt og risikomargin i formelsamlingen. Tallene er serviceavdelingen i Nordlys Elektro AS.</t>
        </is>
      </c>
    </row>
  </sheetData>
  <conditionalFormatting sqref="B43">
    <cfRule type="expression" priority="1" dxfId="0" stopIfTrue="0">
      <formula>LEFT(B43,5)="AVVIK"</formula>
    </cfRule>
  </conditionalFormatting>
  <conditionalFormatting sqref="B44">
    <cfRule type="expression" priority="2" dxfId="0" stopIfTrue="0">
      <formula>LEFT(B44,5)="AVVIK"</formula>
    </cfRule>
  </conditionalFormatting>
  <conditionalFormatting sqref="B45">
    <cfRule type="expression" priority="3" dxfId="0" stopIfTrue="0">
      <formula>LEFT(B45,5)="AVVIK"</formula>
    </cfRule>
  </conditionalFormatting>
  <conditionalFormatting sqref="B46">
    <cfRule type="expression" priority="4" dxfId="0" stopIfTrue="0">
      <formula>LEFT(B46,5)="AVVIK"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26"/>
  <sheetViews>
    <sheetView showGridLines="0" workbookViewId="0">
      <selection activeCell="A1" sqref="A1"/>
    </sheetView>
  </sheetViews>
  <sheetFormatPr baseColWidth="8" defaultRowHeight="15"/>
  <cols>
    <col width="34" customWidth="1" min="1" max="1"/>
    <col width="17" customWidth="1" min="2" max="2"/>
    <col width="17" customWidth="1" min="3" max="3"/>
    <col width="17" customWidth="1" min="4" max="4"/>
    <col width="17" customWidth="1" min="5" max="5"/>
    <col width="48" customWidth="1" min="6" max="6"/>
  </cols>
  <sheetData>
    <row r="1">
      <c r="A1" s="1" t="inlineStr">
        <is>
          <t>Tre spaker, samme prosent, helt ulik virkning</t>
        </is>
      </c>
    </row>
    <row r="2">
      <c r="A2" s="2" t="inlineStr">
        <is>
          <t>Endre prosenten i B4 og se hvilken spak som gir mest.</t>
        </is>
      </c>
    </row>
    <row r="4">
      <c r="A4" s="6" t="inlineStr">
        <is>
          <t>Tiltakets størrelse</t>
        </is>
      </c>
      <c r="B4" s="23" t="n">
        <v>0.08</v>
      </c>
      <c r="F4" s="6" t="inlineStr">
        <is>
          <t>Samme prosent på alle tre tiltakene. Det er nettopp poenget.</t>
        </is>
      </c>
    </row>
    <row r="5">
      <c r="A5" s="6" t="inlineStr">
        <is>
          <t>Volum vi måler på, antall oppdrag</t>
        </is>
      </c>
      <c r="B5" s="13" t="n">
        <v>320</v>
      </c>
      <c r="F5" s="6" t="inlineStr">
        <is>
          <t>Nivået Tom må opp på for å ha en margin i det hele tatt.</t>
        </is>
      </c>
    </row>
    <row r="7" ht="28" customHeight="1">
      <c r="A7" s="9" t="inlineStr"/>
      <c r="B7" s="9" t="inlineStr">
        <is>
          <t>Uten tiltak</t>
        </is>
      </c>
      <c r="C7" s="9" t="inlineStr">
        <is>
          <t>A · prisen opp</t>
        </is>
      </c>
      <c r="D7" s="9" t="inlineStr">
        <is>
          <t>B · variable ned</t>
        </is>
      </c>
      <c r="E7" s="9" t="inlineStr">
        <is>
          <t>C · faste ned</t>
        </is>
      </c>
      <c r="F7" s="9" t="inlineStr">
        <is>
          <t>Hva raden betyr</t>
        </is>
      </c>
    </row>
    <row r="8">
      <c r="A8" s="6" t="inlineStr">
        <is>
          <t>Pris per oppdrag</t>
        </is>
      </c>
      <c r="B8" s="17">
        <f>Nullpunkt!$B$5</f>
        <v/>
      </c>
      <c r="C8" s="17">
        <f>Nullpunkt!$B$5*(1+$B$4)</f>
        <v/>
      </c>
      <c r="D8" s="17">
        <f>Nullpunkt!$B$5</f>
        <v/>
      </c>
      <c r="E8" s="17">
        <f>Nullpunkt!$B$5</f>
        <v/>
      </c>
    </row>
    <row r="9">
      <c r="A9" s="6" t="inlineStr">
        <is>
          <t>Variable kostnader per oppdrag</t>
        </is>
      </c>
      <c r="B9" s="17">
        <f>Nullpunkt!$B$6</f>
        <v/>
      </c>
      <c r="C9" s="17">
        <f>Nullpunkt!$B$6</f>
        <v/>
      </c>
      <c r="D9" s="17">
        <f>Nullpunkt!$B$6*(1-$B$4)</f>
        <v/>
      </c>
      <c r="E9" s="17">
        <f>Nullpunkt!$B$6</f>
        <v/>
      </c>
    </row>
    <row r="10">
      <c r="A10" s="6" t="inlineStr">
        <is>
          <t>Faste kostnader i året</t>
        </is>
      </c>
      <c r="B10" s="17">
        <f>Nullpunkt!$B$9</f>
        <v/>
      </c>
      <c r="C10" s="17">
        <f>Nullpunkt!$B$9</f>
        <v/>
      </c>
      <c r="D10" s="17">
        <f>Nullpunkt!$B$9</f>
        <v/>
      </c>
      <c r="E10" s="17">
        <f>Nullpunkt!$B$9*(1-$B$4)</f>
        <v/>
      </c>
    </row>
    <row r="11">
      <c r="A11" s="8" t="inlineStr">
        <is>
          <t>= Dekningsbidrag per oppdrag</t>
        </is>
      </c>
      <c r="B11" s="11">
        <f>B8-B9</f>
        <v/>
      </c>
      <c r="C11" s="11">
        <f>C8-C9</f>
        <v/>
      </c>
      <c r="D11" s="11">
        <f>D8-D9</f>
        <v/>
      </c>
      <c r="E11" s="11">
        <f>E8-E9</f>
        <v/>
      </c>
      <c r="F11" s="6" t="inlineStr">
        <is>
          <t>Legg merke til at C ikke rører dekningsbidraget i det hele tatt.</t>
        </is>
      </c>
    </row>
    <row r="12">
      <c r="A12" s="6" t="inlineStr">
        <is>
          <t>Dekningsgrad</t>
        </is>
      </c>
      <c r="B12" s="19">
        <f>B11/B8</f>
        <v/>
      </c>
      <c r="C12" s="19">
        <f>C11/C8</f>
        <v/>
      </c>
      <c r="D12" s="19">
        <f>D11/D8</f>
        <v/>
      </c>
      <c r="E12" s="19">
        <f>E11/E8</f>
        <v/>
      </c>
    </row>
    <row r="13">
      <c r="A13" s="8" t="inlineStr">
        <is>
          <t>= Nullpunkt i antall oppdrag</t>
        </is>
      </c>
      <c r="B13" s="15">
        <f>B10/B11</f>
        <v/>
      </c>
      <c r="C13" s="15">
        <f>C10/C11</f>
        <v/>
      </c>
      <c r="D13" s="15">
        <f>D10/D11</f>
        <v/>
      </c>
      <c r="E13" s="15">
        <f>E10/E11</f>
        <v/>
      </c>
    </row>
    <row r="14">
      <c r="A14" s="6" t="inlineStr">
        <is>
          <t>Nullpunkt i kroner</t>
        </is>
      </c>
      <c r="B14" s="17">
        <f>B10/B12</f>
        <v/>
      </c>
      <c r="C14" s="17">
        <f>C10/C12</f>
        <v/>
      </c>
      <c r="D14" s="17">
        <f>D10/D12</f>
        <v/>
      </c>
      <c r="E14" s="17">
        <f>E10/E12</f>
        <v/>
      </c>
    </row>
    <row r="15">
      <c r="A15" s="8" t="inlineStr">
        <is>
          <t>Resultat ved volumet i B5</t>
        </is>
      </c>
      <c r="B15" s="11">
        <f>$B$5*B11-B10</f>
        <v/>
      </c>
      <c r="C15" s="11">
        <f>$B$5*C11-C10</f>
        <v/>
      </c>
      <c r="D15" s="11">
        <f>$B$5*D11-D10</f>
        <v/>
      </c>
      <c r="E15" s="11">
        <f>$B$5*E11-E10</f>
        <v/>
      </c>
    </row>
    <row r="16">
      <c r="A16" s="6" t="inlineStr">
        <is>
          <t>Risikomargin i prosent</t>
        </is>
      </c>
      <c r="B16" s="19">
        <f>($B$5*B8-B14)/($B$5*B8)</f>
        <v/>
      </c>
      <c r="C16" s="19">
        <f>($B$5*C8-C14)/($B$5*C8)</f>
        <v/>
      </c>
      <c r="D16" s="19">
        <f>($B$5*D8-D14)/($B$5*D8)</f>
        <v/>
      </c>
      <c r="E16" s="19">
        <f>($B$5*E8-E14)/($B$5*E8)</f>
        <v/>
      </c>
    </row>
    <row r="17">
      <c r="A17" s="6" t="inlineStr">
        <is>
          <t>Rangering — hvem senker nullpunktet mest</t>
        </is>
      </c>
      <c r="C17" s="16">
        <f>RANK(C13,$C$13:$E$13,1)</f>
        <v/>
      </c>
      <c r="D17" s="16">
        <f>RANK(D13,$C$13:$E$13,1)</f>
        <v/>
      </c>
      <c r="E17" s="16">
        <f>RANK(E13,$C$13:$E$13,1)</f>
        <v/>
      </c>
      <c r="F17" s="6" t="inlineStr">
        <is>
          <t>1 er best. Prisøkningen vinner fordi hele påslaget går rett inn i dekningsbidraget.</t>
        </is>
      </c>
    </row>
    <row r="18">
      <c r="A18" s="6" t="inlineStr">
        <is>
          <t>Forbedring i resultat mot «uten tiltak»</t>
        </is>
      </c>
      <c r="C18" s="17">
        <f>C15-$B$15</f>
        <v/>
      </c>
      <c r="D18" s="17">
        <f>D15-$B$15</f>
        <v/>
      </c>
      <c r="E18" s="17">
        <f>E15-$B$15</f>
        <v/>
      </c>
    </row>
    <row r="20">
      <c r="A20" s="4" t="inlineStr">
        <is>
          <t>Kontroll</t>
        </is>
      </c>
    </row>
    <row r="21">
      <c r="A21" s="6" t="inlineStr">
        <is>
          <t>Vinner prisøkningen?</t>
        </is>
      </c>
      <c r="B21" s="22">
        <f>IF(AND(C13&lt;D13,C13&lt;E13),"OK — prisen opp senker nullpunktet mest av de tre","AVVIK: med disse tallene vinner et annet tiltak — les rangeringen i rad 17 og forklar hvorfor")</f>
        <v/>
      </c>
    </row>
    <row r="22">
      <c r="A22" s="6" t="inlineStr">
        <is>
          <t>Slår variable ned de faste ned?</t>
        </is>
      </c>
      <c r="B22" s="22">
        <f>IF(D13&lt;E13,"OK — å kutte i de variable kostnadene slår å kutte like mye i de faste, fordi de variable er størst av de to","AVVIK: her er de faste kostnadene per oppdrag større enn de variable — da snur rangeringen, og det er verdt å forklare hvorfor")</f>
        <v/>
      </c>
    </row>
    <row r="23">
      <c r="A23" s="6" t="inlineStr">
        <is>
          <t>Senker alle tre tiltakene nullpunktet?</t>
        </is>
      </c>
      <c r="B23" s="22">
        <f>IF(AND(C13&lt;B13,D13&lt;B13,E13&lt;B13),"OK — alle tre tiltakene virker, de virker bare ulikt mye","AVVIK: et tiltak som ikke senker nullpunktet, er ikke et tiltak — sjekk fortegnet på prosenten i B4")</f>
        <v/>
      </c>
    </row>
    <row r="25">
      <c r="A25" s="8" t="inlineStr">
        <is>
          <t>Prøv dette: sett prosenten i B4 til det nivået som gjør at tiltak C alene bringer avdelingen over nullpunktet. Se hvor stort kuttet må være.</t>
        </is>
      </c>
    </row>
    <row r="26">
      <c r="A26" s="3" t="inlineStr">
        <is>
          <t>Kilde: Bok 1 kap. 8.3 om hvordan endringer i pris og kostnader flytter nullpunktet.</t>
        </is>
      </c>
    </row>
  </sheetData>
  <conditionalFormatting sqref="B21">
    <cfRule type="expression" priority="1" dxfId="0" stopIfTrue="0">
      <formula>LEFT(B21,5)="AVVIK"</formula>
    </cfRule>
  </conditionalFormatting>
  <conditionalFormatting sqref="B22">
    <cfRule type="expression" priority="2" dxfId="0" stopIfTrue="0">
      <formula>LEFT(B22,5)="AVVIK"</formula>
    </cfRule>
  </conditionalFormatting>
  <conditionalFormatting sqref="B23">
    <cfRule type="expression" priority="3" dxfId="0" stopIfTrue="0">
      <formula>LEFT(B23,5)="AVVIK"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E41"/>
  <sheetViews>
    <sheetView showGridLines="0" workbookViewId="0">
      <selection activeCell="A1" sqref="A1"/>
    </sheetView>
  </sheetViews>
  <sheetFormatPr baseColWidth="8" defaultRowHeight="15"/>
  <cols>
    <col width="46" customWidth="1" min="1" max="1"/>
    <col width="17" customWidth="1" min="2" max="2"/>
    <col width="17" customWidth="1" min="3" max="3"/>
    <col width="14" customWidth="1" min="4" max="4"/>
    <col width="52" customWidth="1" min="5" max="5"/>
  </cols>
  <sheetData>
    <row r="1">
      <c r="A1" s="1" t="inlineStr">
        <is>
          <t>Hva en rabatt gjør med nullpunktet</t>
        </is>
      </c>
    </row>
    <row r="2">
      <c r="A2" s="2" t="inlineStr">
        <is>
          <t>Et borettslag vil ha mange oppdrag, men til lavere pris. Er det verdt det?</t>
        </is>
      </c>
    </row>
    <row r="4">
      <c r="A4" s="4" t="inlineStr">
        <is>
          <t>1 · Tilbudet</t>
        </is>
      </c>
    </row>
    <row r="5">
      <c r="A5" s="6" t="inlineStr">
        <is>
          <t>Rabatt borettslaget krever</t>
        </is>
      </c>
      <c r="B5" s="23" t="n">
        <v>0.15</v>
      </c>
    </row>
    <row r="6">
      <c r="A6" s="6" t="inlineStr">
        <is>
          <t>Antall oppdrag i avtalen</t>
        </is>
      </c>
      <c r="B6" s="13" t="n">
        <v>40</v>
      </c>
    </row>
    <row r="7">
      <c r="A7" s="6" t="inlineStr">
        <is>
          <t>Samlet volum avdelingen regner med</t>
        </is>
      </c>
      <c r="B7" s="13" t="n">
        <v>320</v>
      </c>
      <c r="E7" s="6" t="inlineStr">
        <is>
          <t>Med avtalen. Uten avtalen blir volumet dette minus oppdragene i B6.</t>
        </is>
      </c>
    </row>
    <row r="8">
      <c r="A8" s="6" t="inlineStr">
        <is>
          <t>Oppdrag til full pris</t>
        </is>
      </c>
      <c r="B8" s="14">
        <f>B7-B6</f>
        <v/>
      </c>
    </row>
    <row r="10">
      <c r="A10" s="4" t="inlineStr">
        <is>
          <t>2 · Det rabatterte oppdraget</t>
        </is>
      </c>
    </row>
    <row r="11">
      <c r="A11" s="6" t="inlineStr">
        <is>
          <t>Rabattert pris</t>
        </is>
      </c>
      <c r="B11" s="17">
        <f>Nullpunkt!$B$5*(1-B5)</f>
        <v/>
      </c>
    </row>
    <row r="12">
      <c r="A12" s="8" t="inlineStr">
        <is>
          <t>= Dekningsbidrag per rabattert oppdrag</t>
        </is>
      </c>
      <c r="B12" s="11">
        <f>B11-Nullpunkt!$B$6</f>
        <v/>
      </c>
      <c r="E12" s="6" t="inlineStr">
        <is>
          <t>Fortsatt positivt: hvert rabattert oppdrag bidrar til å dekke faste kostnader.</t>
        </is>
      </c>
    </row>
    <row r="13">
      <c r="A13" s="6" t="inlineStr">
        <is>
          <t>Dekningsgrad på det rabatterte oppdraget</t>
        </is>
      </c>
      <c r="B13" s="19">
        <f>B12/B11</f>
        <v/>
      </c>
    </row>
    <row r="14">
      <c r="A14" s="8" t="inlineStr">
        <is>
          <t>Samlet dekningsbidrag fra avtalen</t>
        </is>
      </c>
      <c r="B14" s="11">
        <f>B6*B12</f>
        <v/>
      </c>
      <c r="E14" s="6" t="inlineStr">
        <is>
          <t>Penger som ellers ikke ville kommet inn — hvis kapasiteten er ledig.</t>
        </is>
      </c>
    </row>
    <row r="16">
      <c r="A16" s="4" t="inlineStr">
        <is>
          <t>3 · Avdelingen med og uten avtalen</t>
        </is>
      </c>
    </row>
    <row r="17" ht="28" customHeight="1">
      <c r="A17" s="9" t="inlineStr"/>
      <c r="B17" s="9" t="inlineStr">
        <is>
          <t>Uten avtalen</t>
        </is>
      </c>
      <c r="C17" s="9" t="inlineStr">
        <is>
          <t>Med avtalen</t>
        </is>
      </c>
      <c r="D17" s="9" t="inlineStr"/>
      <c r="E17" s="9" t="inlineStr">
        <is>
          <t>Hva raden betyr</t>
        </is>
      </c>
    </row>
    <row r="18">
      <c r="A18" s="6" t="inlineStr">
        <is>
          <t>Antall oppdrag</t>
        </is>
      </c>
      <c r="B18" s="14">
        <f>B8</f>
        <v/>
      </c>
      <c r="C18" s="14">
        <f>B7</f>
        <v/>
      </c>
      <c r="E18" s="6" t="inlineStr">
        <is>
          <t>Uten avtalen forsvinner de rabatterte oppdragene helt. Det er alternativet.</t>
        </is>
      </c>
    </row>
    <row r="19">
      <c r="A19" s="6" t="inlineStr">
        <is>
          <t>Gjennomsnittspris</t>
        </is>
      </c>
      <c r="B19" s="21">
        <f>Nullpunkt!$B$5</f>
        <v/>
      </c>
      <c r="C19" s="21">
        <f>(B6*B11+B8*Nullpunkt!$B$5)/B7</f>
        <v/>
      </c>
    </row>
    <row r="20">
      <c r="A20" s="6" t="inlineStr">
        <is>
          <t>Gjennomsnittlig dekningsbidrag</t>
        </is>
      </c>
      <c r="B20" s="21">
        <f>B19-Nullpunkt!$B$6</f>
        <v/>
      </c>
      <c r="C20" s="21">
        <f>C19-Nullpunkt!$B$6</f>
        <v/>
      </c>
    </row>
    <row r="21">
      <c r="A21" s="6" t="inlineStr">
        <is>
          <t>Gjennomsnittlig dekningsgrad</t>
        </is>
      </c>
      <c r="B21" s="19">
        <f>B20/B19</f>
        <v/>
      </c>
      <c r="C21" s="19">
        <f>C20/C19</f>
        <v/>
      </c>
    </row>
    <row r="22">
      <c r="A22" s="8" t="inlineStr">
        <is>
          <t>Nullpunkt i antall oppdrag</t>
        </is>
      </c>
      <c r="B22" s="15">
        <f>Nullpunkt!$B$9/B20</f>
        <v/>
      </c>
      <c r="C22" s="15">
        <f>Nullpunkt!$B$9/C20</f>
        <v/>
      </c>
      <c r="E22" s="6" t="inlineStr">
        <is>
          <t>Rabatten løfter nullpunktet: det skal flere oppdrag til når hvert av dem bidrar med mindre.</t>
        </is>
      </c>
    </row>
    <row r="23">
      <c r="A23" s="6" t="inlineStr">
        <is>
          <t>Nullpunkt i kroner</t>
        </is>
      </c>
      <c r="B23" s="17">
        <f>Nullpunkt!$B$9/B21</f>
        <v/>
      </c>
      <c r="C23" s="17">
        <f>Nullpunkt!$B$9/C21</f>
        <v/>
      </c>
    </row>
    <row r="24">
      <c r="A24" s="6" t="inlineStr">
        <is>
          <t>Salgsinntekt</t>
        </is>
      </c>
      <c r="B24" s="17">
        <f>B18*B19</f>
        <v/>
      </c>
      <c r="C24" s="17">
        <f>C18*C19</f>
        <v/>
      </c>
    </row>
    <row r="25">
      <c r="A25" s="8" t="inlineStr">
        <is>
          <t>= Resultat</t>
        </is>
      </c>
      <c r="B25" s="11">
        <f>B18*B20-Nullpunkt!$B$9</f>
        <v/>
      </c>
      <c r="C25" s="11">
        <f>C18*C20-Nullpunkt!$B$9</f>
        <v/>
      </c>
    </row>
    <row r="26">
      <c r="A26" s="6" t="inlineStr">
        <is>
          <t>Risikomargin i prosent</t>
        </is>
      </c>
      <c r="B26" s="19">
        <f>(B24-B23)/B24</f>
        <v/>
      </c>
      <c r="C26" s="19">
        <f>(C24-C23)/C24</f>
        <v/>
      </c>
    </row>
    <row r="27">
      <c r="A27" s="6" t="inlineStr">
        <is>
          <t>Kapasitetsutnyttelse</t>
        </is>
      </c>
      <c r="B27" s="19">
        <f>B18*Nullpunkt!$B$10/Nullpunkt!$B$11</f>
        <v/>
      </c>
      <c r="C27" s="19">
        <f>C18*Nullpunkt!$B$10/Nullpunkt!$B$11</f>
        <v/>
      </c>
    </row>
    <row r="28">
      <c r="A28" s="8" t="inlineStr">
        <is>
          <t>Forskjell i resultat</t>
        </is>
      </c>
      <c r="C28" s="11">
        <f>C25-B25</f>
        <v/>
      </c>
      <c r="E28" s="6" t="inlineStr">
        <is>
          <t>Skal være lik det samlede dekningsbidraget fra avtalen i B14.</t>
        </is>
      </c>
    </row>
    <row r="30">
      <c r="A30" s="4" t="inlineStr">
        <is>
          <t>4 · Og hvis oppdragene fortrenger jobber til full pris?</t>
        </is>
      </c>
    </row>
    <row r="31">
      <c r="A31" s="6" t="inlineStr">
        <is>
          <t>Resultat hvis de samme oppdragene kunne vært solgt til full pris</t>
        </is>
      </c>
      <c r="B31" s="11">
        <f>B7*(Nullpunkt!$B$5-Nullpunkt!$B$6)-Nullpunkt!$B$9</f>
        <v/>
      </c>
    </row>
    <row r="32">
      <c r="A32" s="6" t="inlineStr">
        <is>
          <t>Hva rabatten koster da</t>
        </is>
      </c>
      <c r="B32" s="11">
        <f>C25-B31</f>
        <v/>
      </c>
      <c r="E32" s="6" t="inlineStr">
        <is>
          <t>Er kapasiteten full, er rabatten et tap — ikke en gevinst. Spørsmålet er alltid hva alternativet til oppdraget er.</t>
        </is>
      </c>
    </row>
    <row r="34">
      <c r="A34" s="4" t="inlineStr">
        <is>
          <t>Kontroll</t>
        </is>
      </c>
    </row>
    <row r="35">
      <c r="A35" s="6" t="inlineStr">
        <is>
          <t>Er det rabatterte oppdraget fortsatt lønnsomt å ta?</t>
        </is>
      </c>
      <c r="B35" s="22">
        <f>IF(B12&gt;0,"OK — positivt dekningsbidrag: oppdraget bidrar til å dekke faste kostnader du har uansett","AVVIK: rabatten er så stor at oppdraget koster mer enn det gir — si nei uansett kapasitet")</f>
        <v/>
      </c>
    </row>
    <row r="36">
      <c r="A36" s="6" t="inlineStr">
        <is>
          <t>Løfter rabatten nullpunktet?</t>
        </is>
      </c>
      <c r="B36" s="22">
        <f>IF(C22&gt;B22,"OK — nullpunktet stiger, som det skal når snittprisen faller","AVVIK: en rabatt kan ikke senke nullpunktet")</f>
        <v/>
      </c>
    </row>
    <row r="37">
      <c r="A37" s="6" t="inlineStr">
        <is>
          <t>Stemmer forskjellen i resultat med bidraget fra avtalen?</t>
        </is>
      </c>
      <c r="B37" s="22">
        <f>IF(ABS(C28-B14)&lt;1,"OK — forskjellen i resultat er nøyaktig dekningsbidraget fra de rabatterte oppdragene","AVVIK: regnestykket henger ikke sammen")</f>
        <v/>
      </c>
    </row>
    <row r="38">
      <c r="A38" s="6" t="inlineStr">
        <is>
          <t>Er det kapasitet til avtalen?</t>
        </is>
      </c>
      <c r="B38" s="22">
        <f>IF(C27&lt;=1,"OK — avdelingen har montørtimer nok til hele volumet","AVVIK: volumet med avtalen overstiger kapasiteten — da fortrenger de rabatterte oppdragene jobber til full pris, og rad 31 og 32 er svaret")</f>
        <v/>
      </c>
    </row>
    <row r="40">
      <c r="A40" s="8" t="inlineStr">
        <is>
          <t>Prøv dette: skru rabatten i B5 oppover til dekningsbidraget i B12 blir null. Den prosenten er den absolutte grensen — og den ligger langt over det du bør godta.</t>
        </is>
      </c>
    </row>
    <row r="41">
      <c r="A41" s="3" t="inlineStr">
        <is>
          <t>Kilde: Bok 1 kap. 8.3 og 8.4 om endret pris og om gjennomsnittspris når deler av volumet selges med rabatt.</t>
        </is>
      </c>
    </row>
  </sheetData>
  <conditionalFormatting sqref="B35">
    <cfRule type="expression" priority="1" dxfId="0" stopIfTrue="0">
      <formula>LEFT(B35,5)="AVVIK"</formula>
    </cfRule>
  </conditionalFormatting>
  <conditionalFormatting sqref="B36">
    <cfRule type="expression" priority="2" dxfId="0" stopIfTrue="0">
      <formula>LEFT(B36,5)="AVVIK"</formula>
    </cfRule>
  </conditionalFormatting>
  <conditionalFormatting sqref="B37">
    <cfRule type="expression" priority="3" dxfId="0" stopIfTrue="0">
      <formula>LEFT(B37,5)="AVVIK"</formula>
    </cfRule>
  </conditionalFormatting>
  <conditionalFormatting sqref="B38">
    <cfRule type="expression" priority="4" dxfId="0" stopIfTrue="0">
      <formula>LEFT(B38,5)="AVVIK"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45"/>
  <sheetViews>
    <sheetView showGridLines="0" workbookViewId="0">
      <selection activeCell="A1" sqref="A1"/>
    </sheetView>
  </sheetViews>
  <sheetFormatPr baseColWidth="8" defaultRowHeight="15"/>
  <cols>
    <col width="50" customWidth="1" min="1" max="1"/>
    <col width="18" customWidth="1" min="2" max="2"/>
    <col width="18" customWidth="1" min="3" max="3"/>
    <col width="14" customWidth="1" min="4" max="4"/>
    <col width="52" customWidth="1" min="5" max="5"/>
  </cols>
  <sheetData>
    <row r="1">
      <c r="A1" s="1" t="inlineStr">
        <is>
          <t>Skal serviceavdelingen legges ned?</t>
        </is>
      </c>
    </row>
    <row r="2">
      <c r="A2" s="2" t="inlineStr">
        <is>
          <t>Oppgave 5 i øvingsheftet. Regn først, drøft etterpå.</t>
        </is>
      </c>
    </row>
    <row r="4">
      <c r="A4" s="4" t="inlineStr">
        <is>
          <t>1 · De faste kostnadene er ikke én ting</t>
        </is>
      </c>
    </row>
    <row r="5">
      <c r="A5" s="6" t="inlineStr">
        <is>
          <t>Faste kostnader avdelingen bærer</t>
        </is>
      </c>
      <c r="B5" s="17">
        <f>Nullpunkt!B9</f>
        <v/>
      </c>
    </row>
    <row r="6">
      <c r="A6" s="6" t="inlineStr">
        <is>
          <t>Andel som er felleskostnader fordelt fra Nordlys</t>
        </is>
      </c>
      <c r="B6" s="23" t="n">
        <v>0.35</v>
      </c>
      <c r="E6" s="6" t="inlineStr">
        <is>
          <t>Kontor, regnskap, IT og daglig leder. Legges avdelingen ned, flyttes disse over på de andre avdelingene — de forsvinner ikke.</t>
        </is>
      </c>
    </row>
    <row r="7">
      <c r="A7" s="8" t="inlineStr">
        <is>
          <t>Felleskostnader som blir igjen</t>
        </is>
      </c>
      <c r="B7" s="11">
        <f>B5*B6</f>
        <v/>
      </c>
    </row>
    <row r="8">
      <c r="A8" s="8" t="inlineStr">
        <is>
          <t>Unngåelige faste kostnader</t>
        </is>
      </c>
      <c r="B8" s="11">
        <f>B5-B7</f>
        <v/>
      </c>
      <c r="E8" s="6" t="inlineStr">
        <is>
          <t>Egen leasingbil, eget lager, egen avdelingsleder. Disse forsvinner med avdelingen.</t>
        </is>
      </c>
    </row>
    <row r="10">
      <c r="A10" s="4" t="inlineStr">
        <is>
          <t>2 · De to alternativene</t>
        </is>
      </c>
    </row>
    <row r="11" ht="28" customHeight="1">
      <c r="A11" s="9" t="inlineStr"/>
      <c r="B11" s="9" t="inlineStr">
        <is>
          <t>Drive videre</t>
        </is>
      </c>
      <c r="C11" s="9" t="inlineStr">
        <is>
          <t>Legge ned</t>
        </is>
      </c>
      <c r="D11" s="9" t="inlineStr"/>
      <c r="E11" s="9" t="inlineStr">
        <is>
          <t>Hva raden betyr</t>
        </is>
      </c>
    </row>
    <row r="12">
      <c r="A12" s="6" t="inlineStr">
        <is>
          <t>Antall oppdrag</t>
        </is>
      </c>
      <c r="B12" s="14">
        <f>Nullpunkt!B21</f>
        <v/>
      </c>
      <c r="C12" s="6" t="inlineStr">
        <is>
          <t>0</t>
        </is>
      </c>
    </row>
    <row r="13">
      <c r="A13" s="6" t="inlineStr">
        <is>
          <t>Dekningsbidrag</t>
        </is>
      </c>
      <c r="B13" s="17">
        <f>B12*Nullpunkt!$B$7</f>
        <v/>
      </c>
      <c r="C13" s="17">
        <f>0</f>
        <v/>
      </c>
      <c r="E13" s="6" t="inlineStr">
        <is>
          <t>Alt dekningsbidraget forsvinner med avdelingen.</t>
        </is>
      </c>
    </row>
    <row r="14">
      <c r="A14" s="6" t="inlineStr">
        <is>
          <t>− faste kostnader Nordlys sitter igjen med</t>
        </is>
      </c>
      <c r="B14" s="17">
        <f>B5</f>
        <v/>
      </c>
      <c r="C14" s="17">
        <f>B7</f>
        <v/>
      </c>
    </row>
    <row r="15">
      <c r="A15" s="8" t="inlineStr">
        <is>
          <t>= Resultat for Nordlys</t>
        </is>
      </c>
      <c r="B15" s="11">
        <f>B13-B14</f>
        <v/>
      </c>
      <c r="C15" s="11">
        <f>C13-C14</f>
        <v/>
      </c>
    </row>
    <row r="16">
      <c r="A16" s="8" t="inlineStr">
        <is>
          <t>Nedleggelse endrer resultatet med</t>
        </is>
      </c>
      <c r="C16" s="11">
        <f>C15-B15</f>
        <v/>
      </c>
      <c r="E16" s="6" t="inlineStr">
        <is>
          <t>Negativt tall: nedleggelse gjør vondt verre.</t>
        </is>
      </c>
    </row>
    <row r="17">
      <c r="A17" s="6" t="inlineStr">
        <is>
          <t>Dom</t>
        </is>
      </c>
      <c r="E17" s="20">
        <f>IF(C16&gt;0,"Nedleggelse forbedrer resultatet","Nedleggelse forverrer resultatet — dekningsbidraget som forsvinner er større enn kostnadene som spares")</f>
        <v/>
      </c>
    </row>
    <row r="19">
      <c r="A19" s="4" t="inlineStr">
        <is>
          <t>3 · Hvor går grensen?</t>
        </is>
      </c>
    </row>
    <row r="20">
      <c r="A20" s="8" t="inlineStr">
        <is>
          <t>Oppdrag som må til for å forsvare at avdelingen drives videre</t>
        </is>
      </c>
      <c r="B20" s="15">
        <f>B8/Nullpunkt!$B$7</f>
        <v/>
      </c>
      <c r="E20" s="6" t="inlineStr">
        <is>
          <t>Unngåelige faste kostnader delt på dekningsbidrag per oppdrag. Under dette volumet lønner nedleggelse seg.</t>
        </is>
      </c>
    </row>
    <row r="21">
      <c r="A21" s="6" t="inlineStr">
        <is>
          <t>Nullpunktet — der avdelingen går i null på papiret</t>
        </is>
      </c>
      <c r="B21" s="18">
        <f>Nullpunkt!B15</f>
        <v/>
      </c>
    </row>
    <row r="22">
      <c r="A22" s="6" t="inlineStr">
        <is>
          <t>Avstanden mellom de to grensene</t>
        </is>
      </c>
      <c r="B22" s="18">
        <f>B21-B20</f>
        <v/>
      </c>
      <c r="E22" s="6" t="inlineStr">
        <is>
          <t>Mellom disse to tallene går avdelingen i minus i regnskapet, og skal likevel drives videre. Det er hele poenget i oppgaven.</t>
        </is>
      </c>
    </row>
    <row r="23">
      <c r="A23" s="6" t="inlineStr">
        <is>
          <t>Hvor avdelingen ligger nå</t>
        </is>
      </c>
      <c r="B23" s="14">
        <f>Nullpunkt!B21</f>
        <v/>
      </c>
      <c r="E23" s="20">
        <f>IF(B23&lt;B20,"Under nedleggelsesgrensen — nedleggelse er forsvarlig",IF(B23&lt;B21,"Mellom nedleggelsesgrensen og nullpunktet — går i minus, men skal drives videre","Over nullpunktet — tjener penger"))</f>
        <v/>
      </c>
    </row>
    <row r="25">
      <c r="A25" s="4" t="inlineStr">
        <is>
          <t>4 · Veiene ut</t>
        </is>
      </c>
    </row>
    <row r="26">
      <c r="A26" s="6" t="inlineStr">
        <is>
          <t>Styrets krav til overskudd</t>
        </is>
      </c>
      <c r="B26" s="17">
        <f>Nullpunkt!B38</f>
        <v/>
      </c>
    </row>
    <row r="27">
      <c r="A27" s="6" t="inlineStr">
        <is>
          <t>Oppdrag som må til, uendret pris</t>
        </is>
      </c>
      <c r="B27" s="18">
        <f>(B5+B26)/Nullpunkt!$B$7</f>
        <v/>
      </c>
      <c r="C27" s="19">
        <f>B27/Nullpunkt!$B$21-1</f>
        <v/>
      </c>
      <c r="E27" s="6" t="inlineStr">
        <is>
          <t>Kolonne C: hvor mye volumet må øke fra planen.</t>
        </is>
      </c>
    </row>
    <row r="28">
      <c r="A28" s="6" t="inlineStr">
        <is>
          <t>Oppdrag som må til med prisen opp</t>
        </is>
      </c>
      <c r="B28" s="18">
        <f>(B5+B26)/Spakene!$C$11</f>
        <v/>
      </c>
      <c r="C28" s="19">
        <f>B28/Nullpunkt!$B$21-1</f>
        <v/>
      </c>
      <c r="E28" s="6" t="inlineStr">
        <is>
          <t>Prisøkningen fra tiltak A i arket Spakene.</t>
        </is>
      </c>
    </row>
    <row r="29">
      <c r="A29" s="6" t="inlineStr">
        <is>
          <t>Kapasitet i antall oppdrag</t>
        </is>
      </c>
      <c r="B29" s="14">
        <f>Nullpunkt!B12</f>
        <v/>
      </c>
    </row>
    <row r="30">
      <c r="A30" s="6" t="inlineStr">
        <is>
          <t>Er målet mulig innenfor kapasiteten?</t>
        </is>
      </c>
      <c r="E30" s="20">
        <f>IF(B28&lt;=B29,"Ja — men bare hvis hver eneste montørtime går til fakturerbart arbeid","Nei — da må avdelingen bemannes opp, og de faste kostnadene stiger")</f>
        <v/>
      </c>
    </row>
    <row r="32">
      <c r="A32" s="4" t="inlineStr">
        <is>
          <t>5 · Det tallene ikke ser: serviceoppdrag som døråpner</t>
        </is>
      </c>
    </row>
    <row r="33">
      <c r="A33" s="6" t="inlineStr">
        <is>
          <t>Andel serviceoppdrag som fører til et større oppdrag</t>
        </is>
      </c>
      <c r="B33" s="23" t="n">
        <v>0.05</v>
      </c>
      <c r="E33" s="6" t="inlineStr">
        <is>
          <t>Didaktisk anslag. Sett ditt eget — poenget er å tvinge fram et tall.</t>
        </is>
      </c>
    </row>
    <row r="34">
      <c r="A34" s="6" t="inlineStr">
        <is>
          <t>Dekningsbidrag på det større oppdraget</t>
        </is>
      </c>
      <c r="B34" s="10" t="n">
        <v>4400</v>
      </c>
      <c r="E34" s="6" t="inlineStr">
        <is>
          <t>Solcelleanlegget fra kapittel 7.</t>
        </is>
      </c>
    </row>
    <row r="35">
      <c r="A35" s="6" t="inlineStr">
        <is>
          <t>Antall slike oppdrag i året</t>
        </is>
      </c>
      <c r="B35" s="18">
        <f>Nullpunkt!B21*B33</f>
        <v/>
      </c>
    </row>
    <row r="36">
      <c r="A36" s="8" t="inlineStr">
        <is>
          <t>Dekningsbidrag serviceavdelingen skaffer andre avdelinger</t>
        </is>
      </c>
      <c r="B36" s="11">
        <f>B35*B34</f>
        <v/>
      </c>
    </row>
    <row r="37">
      <c r="A37" s="8" t="inlineStr">
        <is>
          <t>Resultat for Nordlys når døråpnereffekten regnes med</t>
        </is>
      </c>
      <c r="B37" s="11">
        <f>B15+B36</f>
        <v/>
      </c>
      <c r="E37" s="6" t="inlineStr">
        <is>
          <t>Fortsatt negativt — men mindre. Og nå er hensynet tallfestet i stedet for å være en påstand.</t>
        </is>
      </c>
    </row>
    <row r="39">
      <c r="A39" s="4" t="inlineStr">
        <is>
          <t>Kontroll</t>
        </is>
      </c>
    </row>
    <row r="40">
      <c r="A40" s="6" t="inlineStr">
        <is>
          <t>Går avdelingen faktisk i minus?</t>
        </is>
      </c>
      <c r="B40" s="22">
        <f>IF(B15&lt;0,"OK — avdelingen går i minus med det volumet som ligger inne. Det er derfor saken er på styrets bord","AVVIK: avdelingen tjener penger — da finnes det ingen sak")</f>
        <v/>
      </c>
    </row>
    <row r="41">
      <c r="A41" s="6" t="inlineStr">
        <is>
          <t>Ligger nedleggelsesgrensen under nullpunktet?</t>
        </is>
      </c>
      <c r="B41" s="22">
        <f>IF(B20&lt;B21,"OK — det finnes et område der avdelingen går i minus og likevel skal drives videre","AVVIK: med disse tallene er nedleggelsesgrensen lik nullpunktet — sjekk felleskostnadsandelen i B6")</f>
        <v/>
      </c>
    </row>
    <row r="42">
      <c r="A42" s="6" t="inlineStr">
        <is>
          <t>Er døråpnereffekten alene nok?</t>
        </is>
      </c>
      <c r="B42" s="22">
        <f>IF(B37&lt;0,"OK — døråpnereffekten alene snur ikke underskuddet. Den må kombineres med volum eller pris","AVVIK: med dette anslaget er saken løst av seg selv — sett et mer nøkternt tall i B33")</f>
        <v/>
      </c>
    </row>
    <row r="44">
      <c r="A44" s="8" t="inlineStr">
        <is>
          <t>Legg merke til hva som skiller de to grensene i rad 20 og 21. Nullpunktet svarer på om avdelingen tjener penger. Nedleggelsesgrensen svarer på om Nordlys er tjent med å ha den. Det er to helt ulike spørsmål, og bare det ene står i læreboka.</t>
        </is>
      </c>
    </row>
    <row r="45">
      <c r="A45" s="3" t="inlineStr">
        <is>
          <t>Kilde: Bok 1 kap. 8.1 til 8.4, og kapittel 2 om faste og variable kostnader. Skillet mellom unngåelige og ikke-unngåelige faste kostnader følger av bidragsmetoden i kapittel 5. Bransjetall: NHO Elektro, Lønnsomhetsrapport 2025, gjengitt i Elektro 24-7 19.08.2026 (hentet 10.09.2026). De 809 er bedriftene i datagrunnlaget, ikke bransjen. NHO Elektro oppgir ikke svarprosent.</t>
        </is>
      </c>
    </row>
  </sheetData>
  <conditionalFormatting sqref="B40">
    <cfRule type="expression" priority="1" dxfId="0" stopIfTrue="0">
      <formula>LEFT(B40,5)="AVVIK"</formula>
    </cfRule>
  </conditionalFormatting>
  <conditionalFormatting sqref="B41">
    <cfRule type="expression" priority="2" dxfId="0" stopIfTrue="0">
      <formula>LEFT(B41,5)="AVVIK"</formula>
    </cfRule>
  </conditionalFormatting>
  <conditionalFormatting sqref="B42">
    <cfRule type="expression" priority="3" dxfId="0" stopIfTrue="0">
      <formula>LEFT(B42,5)="AVVIK"</formula>
    </cfRule>
  </conditionalFormatting>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D30"/>
  <sheetViews>
    <sheetView showGridLines="0" workbookViewId="0">
      <selection activeCell="A1" sqref="A1"/>
    </sheetView>
  </sheetViews>
  <sheetFormatPr baseColWidth="8" defaultRowHeight="15"/>
  <cols>
    <col width="46" customWidth="1" min="1" max="1"/>
    <col width="16" customWidth="1" min="2" max="2"/>
    <col width="14" customWidth="1" min="3" max="3"/>
    <col width="56" customWidth="1" min="4" max="4"/>
  </cols>
  <sheetData>
    <row r="1">
      <c r="A1" s="1" t="inlineStr">
        <is>
          <t>Din egen avdeling</t>
        </is>
      </c>
    </row>
    <row r="2">
      <c r="A2" s="2" t="inlineStr">
        <is>
          <t>Samme regnestykke, ingen tall. Fyll inn de gule cellene.</t>
        </is>
      </c>
    </row>
    <row r="4">
      <c r="A4" s="4" t="inlineStr">
        <is>
          <t>1 · Avdelingen</t>
        </is>
      </c>
    </row>
    <row r="5">
      <c r="A5" s="6" t="inlineStr">
        <is>
          <t>Pris per oppdrag eller per enhet</t>
        </is>
      </c>
      <c r="B5" s="10" t="n">
        <v>0</v>
      </c>
      <c r="D5" s="6" t="inlineStr">
        <is>
          <t>Uten mva.</t>
        </is>
      </c>
    </row>
    <row r="6">
      <c r="A6" s="6" t="inlineStr">
        <is>
          <t>Variable kostnader per oppdrag</t>
        </is>
      </c>
      <c r="B6" s="10" t="n">
        <v>0</v>
      </c>
      <c r="D6" s="6" t="inlineStr">
        <is>
          <t>Materiell og lønn som følger oppdraget.</t>
        </is>
      </c>
    </row>
    <row r="7">
      <c r="A7" s="8" t="inlineStr">
        <is>
          <t>= Dekningsbidrag per oppdrag</t>
        </is>
      </c>
      <c r="B7" s="11">
        <f>B5-B6</f>
        <v/>
      </c>
    </row>
    <row r="8">
      <c r="A8" s="6" t="inlineStr">
        <is>
          <t>Faste kostnader i året</t>
        </is>
      </c>
      <c r="B8" s="10" t="n">
        <v>0</v>
      </c>
      <c r="D8" s="6" t="inlineStr">
        <is>
          <t>Husleie, forsikring, leasing, fast lønn.</t>
        </is>
      </c>
    </row>
    <row r="9">
      <c r="A9" s="6" t="inlineStr">
        <is>
          <t>Timer per oppdrag</t>
        </is>
      </c>
      <c r="B9" s="24" t="n">
        <v>0</v>
      </c>
      <c r="D9" s="6" t="inlineStr">
        <is>
          <t>Til kapasitetsregningen.</t>
        </is>
      </c>
    </row>
    <row r="10">
      <c r="A10" s="6" t="inlineStr">
        <is>
          <t>Timer avdelingen har i året</t>
        </is>
      </c>
      <c r="B10" s="24" t="n">
        <v>0</v>
      </c>
      <c r="D10" s="6" t="inlineStr">
        <is>
          <t>Antall ansatte ganget med timene hver av dem selger.</t>
        </is>
      </c>
    </row>
    <row r="11">
      <c r="A11" s="6" t="inlineStr">
        <is>
          <t>Kapasitet i antall oppdrag</t>
        </is>
      </c>
      <c r="B11" s="18">
        <f>IF(B9=0,"",B10/B9)</f>
        <v/>
      </c>
    </row>
    <row r="13">
      <c r="A13" s="4" t="inlineStr">
        <is>
          <t>2 · Nullpunktet</t>
        </is>
      </c>
    </row>
    <row r="14">
      <c r="A14" s="6" t="inlineStr">
        <is>
          <t>Dekningsgrad</t>
        </is>
      </c>
      <c r="B14" s="19">
        <f>IF(B5=0,"",B7/B5)</f>
        <v/>
      </c>
    </row>
    <row r="15">
      <c r="A15" s="6" t="inlineStr">
        <is>
          <t>Nullpunkt i antall oppdrag</t>
        </is>
      </c>
      <c r="B15" s="15">
        <f>IF(B7&lt;=0,"",B8/B7)</f>
        <v/>
      </c>
    </row>
    <row r="16">
      <c r="A16" s="6" t="inlineStr">
        <is>
          <t>avrundet opp</t>
        </is>
      </c>
      <c r="B16" s="14">
        <f>IF(B7&lt;=0,"",ROUNDUP(B15,0))</f>
        <v/>
      </c>
    </row>
    <row r="17">
      <c r="A17" s="6" t="inlineStr">
        <is>
          <t>Nullpunkt i kroner</t>
        </is>
      </c>
      <c r="B17" s="11">
        <f>IF(B14="","",B8/B14)</f>
        <v/>
      </c>
    </row>
    <row r="19">
      <c r="A19" s="4" t="inlineStr">
        <is>
          <t>3 · Planen</t>
        </is>
      </c>
    </row>
    <row r="20">
      <c r="A20" s="6" t="inlineStr">
        <is>
          <t>Planlagt antall oppdrag</t>
        </is>
      </c>
      <c r="B20" s="13" t="n">
        <v>0</v>
      </c>
    </row>
    <row r="21">
      <c r="A21" s="6" t="inlineStr">
        <is>
          <t>Resultat</t>
        </is>
      </c>
      <c r="B21" s="11">
        <f>B20*B7-B8</f>
        <v/>
      </c>
    </row>
    <row r="22">
      <c r="A22" s="6" t="inlineStr">
        <is>
          <t>Risikomargin i prosent</t>
        </is>
      </c>
      <c r="B22" s="19">
        <f>IF(OR(B20=0,B5=0),"",(B20*B5-B17)/(B20*B5))</f>
        <v/>
      </c>
    </row>
    <row r="23">
      <c r="A23" s="6" t="inlineStr">
        <is>
          <t>Kapasitetsutnyttelse</t>
        </is>
      </c>
      <c r="B23" s="19">
        <f>IF(B10=0,"",B20*B9/B10)</f>
        <v/>
      </c>
    </row>
    <row r="25">
      <c r="A25" s="4" t="inlineStr">
        <is>
          <t>Kontroll</t>
        </is>
      </c>
    </row>
    <row r="26">
      <c r="A26" s="6" t="inlineStr">
        <is>
          <t>Er arket fylt ut?</t>
        </is>
      </c>
      <c r="B26" s="22">
        <f>IF(B5=0,"AVVIK: fyll inn prisen i B5 før du leser av noe annet",IF(B7&lt;=0,"AVVIK: dekningsbidraget er null eller negativt — sjekk B5 og B6","OK — arket regner på din egen avdeling"))</f>
        <v/>
      </c>
    </row>
    <row r="27">
      <c r="A27" s="3" t="inlineStr">
        <is>
          <t>Dette arket starter tomt, så kontrollen står på AVVIK til du har fylt inn tallene.</t>
        </is>
      </c>
    </row>
    <row r="28">
      <c r="A28" s="6" t="inlineStr">
        <is>
          <t>Ligger nullpunktet innenfor kapasiteten?</t>
        </is>
      </c>
      <c r="B28" s="22">
        <f>IF(OR(B7&lt;=0,B9=0,B10=0),"OK — fyll inn timer og kapasitet for å få denne kontrollen",IF(B16&lt;=B11,"OK — nullpunktet er mulig å nå med den bemanningen du har","AVVIK: nullpunktet ligger over kapasiteten"))</f>
        <v/>
      </c>
    </row>
    <row r="30">
      <c r="A30" s="3" t="inlineStr">
        <is>
          <t>Ta arket med på jobb. Nullpunktet er det ene tallet en avdelingsleder bør kunne i hodet før året begynner.</t>
        </is>
      </c>
    </row>
  </sheetData>
  <conditionalFormatting sqref="B26">
    <cfRule type="expression" priority="1" dxfId="0" stopIfTrue="0">
      <formula>LEFT(B26,5)="AVVIK"</formula>
    </cfRule>
  </conditionalFormatting>
  <conditionalFormatting sqref="B28">
    <cfRule type="expression" priority="2" dxfId="0" stopIfTrue="0">
      <formula>LEFT(B28,5)="AVVIK"</formula>
    </cfRule>
  </conditionalFormatting>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2026-09-14T08:33:12Z</dcterms:created>
  <dcterms:modified xmlns:dcterms="http://purl.org/dc/terms/" xmlns:xsi="http://www.w3.org/2001/XMLSchema-instance" xsi:type="dcterms:W3CDTF">2026-09-14T08:33:12Z</dcterms:modified>
</cp:coreProperties>
</file>