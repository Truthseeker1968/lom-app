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<sst xmlns="http://schemas.openxmlformats.org/spreadsheetml/2006/main" count="188" uniqueCount="153">
  <si>
    <t xml:space="preserve">Klasseoppgaver til Markedsføring kapittel 8: Distribusjon som konkurransevirkemiddel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</si>
  <si>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</si>
  <si>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</si>
  <si>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</si>
  <si>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</si>
  <si>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</si>
  <si>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</si>
  <si>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</si>
  <si>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</si>
  <si>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lønner det seg å hoppe over grossisten? (Nordlys)</t>
  </si>
  <si>
    <t xml:space="preserve">A2</t>
  </si>
  <si>
    <t xml:space="preserve">Fjell Elektro: hentelager eller levering på byggeplassen? (Egen el-bedrift)</t>
  </si>
  <si>
    <t xml:space="preserve">B1</t>
  </si>
  <si>
    <t xml:space="preserve">Nordlys: nettbutikk for ladebokser, byggvarehuset eller begge? (Nordlys)</t>
  </si>
  <si>
    <t xml:space="preserve">B2</t>
  </si>
  <si>
    <t xml:space="preserve">Fjell Elektro: underleverandør til Haugerud Bygg? (Egen el-bedrift)</t>
  </si>
  <si>
    <t xml:space="preserve">Læreboka</t>
  </si>
  <si>
    <t xml:space="preserve">Hjertnes, F.: Markedsføring, organisasjon og ledelse for LØM-emnet, kapittel 8.</t>
  </si>
  <si>
    <t xml:space="preserve">Appen</t>
  </si>
  <si>
    <t xml:space="preserve">Markedsføring kap. 8 → Øv → Klasseoppgaver gir fasit per deloppgave.</t>
  </si>
  <si>
    <t xml:space="preserve">A1 · Nordlys: lønner det seg å hoppe over grossisten?</t>
  </si>
  <si>
    <t xml:space="preserve">25 minutter · Helst alene. Sammen med sidemannen eller flere hvis du vil. Ark og blyant, appen (PC eller mobil) eller læreboka.</t>
  </si>
  <si>
    <t xml:space="preserve">Kort oppsummert: Et mellomledd finnes fordi det gjør en oppgave (8.3). Fjerner du leddet, arver du oppgavene. Lagringstid i dager = varelager × 360 / varekjøp. Leverandørkreditten grossisten gir = varekjøp × kredittdager / 360. Bundet kapital koster bedriftens avkastningskrav. Netto av direktekjøpet = rabatt minus alt bedriften må gjøre selv.</t>
  </si>
  <si>
    <t xml:space="preserve">Casen er lagt til 2026/2027. Nordlys kjøper materiell for 7 990 000 kr i året uten mva, nesten alt fra Polarlys Elektro Grossist AS med 30 dagers kreditt. Varelageret er 1 400 000 kr. En produsent tilbyr 10 % rabatt hvis Nordlys kjøper alt materiell direkte, i hele kvanta. Da må lageret økes til 3 500 000 kr, produsenten krever forskuddsbetaling (kreditten faller bort), Nordlys må ansette en lagermedarbeider i halv stilling (469 760 kr i året med sosiale kostnader), og 42 av de 210 serviceoppdragene i året, som krever materiell til neste dag, går tapt (7 300 kr i dekningsbidrag per oppdrag). Avkastningskravet er 10 %. Gå fram slik: regn lagringstiden ved direktekjøp med 360 dager, regn hvor mye kreditt Polarlys gir i dag, og sett opp rabatten mot de tre kostnadene.</t>
  </si>
  <si>
    <t xml:space="preserve">Post</t>
  </si>
  <si>
    <t xml:space="preserve">Tall</t>
  </si>
  <si>
    <t xml:space="preserve">Materiellkjøp i året</t>
  </si>
  <si>
    <t xml:space="preserve">7 990 000 kr uten mva</t>
  </si>
  <si>
    <t xml:space="preserve">Varelager i dag</t>
  </si>
  <si>
    <t xml:space="preserve">1 400 000 kr</t>
  </si>
  <si>
    <t xml:space="preserve">Varelager ved direktekjøp</t>
  </si>
  <si>
    <t xml:space="preserve">3 500 000 kr</t>
  </si>
  <si>
    <t xml:space="preserve">Kreditt hos Polarlys</t>
  </si>
  <si>
    <t xml:space="preserve">30 dager (faller bort)</t>
  </si>
  <si>
    <t xml:space="preserve">Rabatt / avkastningskrav</t>
  </si>
  <si>
    <t xml:space="preserve">10 % / 10 %</t>
  </si>
  <si>
    <t xml:space="preserve">Lagermedarbeider, ½ stilling</t>
  </si>
  <si>
    <t xml:space="preserve">469 760 kr i året</t>
  </si>
  <si>
    <t xml:space="preserve">Tapte hasteoppdrag</t>
  </si>
  <si>
    <t xml:space="preserve">42 à 7 300 kr i DB</t>
  </si>
  <si>
    <t xml:space="preserve">Dager i året</t>
  </si>
  <si>
    <t xml:space="preserve">360</t>
  </si>
  <si>
    <t xml:space="preserve">Gule celler med spørsmålstegn kan du fylle inn selv mens du regner.</t>
  </si>
  <si>
    <t xml:space="preserve">Deloppgave</t>
  </si>
  <si>
    <t xml:space="preserve">Ditt svar</t>
  </si>
  <si>
    <t xml:space="preserve">Sjekk</t>
  </si>
  <si>
    <t xml:space="preserve">a)  Hvor mange dager ligger materiellet i snitt på lager hvis Nordlys kjøper direkte? Lagringstid = varelager × 360 / varekjøp. Svar med én desimal.</t>
  </si>
  <si>
    <t xml:space="preserve">Formel og begrep</t>
  </si>
  <si>
    <t xml:space="preserve">Lagringstid varer = gjennomsnittlig varelager × 360 / varekostnad, og lagringstid = 360 / omløpshastighet (Økonomistyring 4.2.2). Her brukes årets varekjøp som varekostnad.</t>
  </si>
  <si>
    <t xml:space="preserve">b)  Hvor mye finansierer Polarlys i snitt til enhver tid med 30 dagers kreditt? Varekjøp × kredittdager / 360.</t>
  </si>
  <si>
    <t xml:space="preserve">Gjennomsnittlig leverandørgjeld = kredittkjøp × kredittid / 360 (Økonomistyring 6.2.3). Boka regner der inkl. mva (832 292 kr); oppgaven bruker kjøpet uten mva, som appen.</t>
  </si>
  <si>
    <t xml:space="preserve">c)  Hva blir netto av direktekjøpet i året? Rabatt (10 % av 7 990 000) minus kapitalkostnad ((3 500 000 − 1 400 000 + svaret i b) × 10 %), minus lagermedarbeideren, minus tapt dekningsbidrag (42 × 7 300). Skriv negativt tall for tap.</t>
  </si>
  <si>
    <t xml:space="preserve">Netto = rabatt − kapitalkostnad − nye driftskostnader − tapt dekningsbidrag. Kapitalkostnad = bundet kapital × avkastningskrav (Økonomistyring kap. 6 og 10; tankegangen i Markedsføring 8.3: et ledd eksisterer fordi det gjør en oppgave).</t>
  </si>
  <si>
    <t xml:space="preserve">d)  Tom sier: «Kreditten fra Polarlys står ikke på noen faktura, så den er ingen kostnad. Den skal ikke med i regnestykket.» Hvorfor regner vi den likevel med?   A: Fordi Polarlys tar renter for kreditten på hver faktura   B: Fordi forskuddsbetaling gjør at Nordlys selv må binde 665 833 kr, og bundet kapital koster avkastningskravet   C: Det gjør vi ikke: Tom har rett, kreditten skal ut av regnestykket   (skriv bokstaven)</t>
  </si>
  <si>
    <t xml:space="preserve">e)  Hva svarer du Tom? Er konklusjonen at Nordlys aldri skal kjøpe direkte? Bruk tallene dine. To–tre setninger og ett tiltak.</t>
  </si>
  <si>
    <t xml:space="preserve">Direkte distribusjon av standardvarer passer når betydelige mengder og verdier er involvert (Markedsføring 8.3). Den som eier varen, bærer risikoen (8.2).</t>
  </si>
  <si>
    <t xml:space="preserve">Hint, hvis du står fast</t>
  </si>
  <si>
    <t xml:space="preserve">Dager og kreditt</t>
  </si>
  <si>
    <t xml:space="preserve">Lagringstid = varelager × 360 / varekjøp: 3 500 000 × 360 / 7 990 000. Kreditten Polarlys gir = 7 990 000 × 30 / 360.</t>
  </si>
  <si>
    <t xml:space="preserve">Netto</t>
  </si>
  <si>
    <t xml:space="preserve">Rabatt: 10 % av 7 990 000. Bundet kapital: (3 500 000 − 1 400 000) + kreditten fra b, ganger 10 %. Trekk fra den og de to andre kostnadene.</t>
  </si>
  <si>
    <t xml:space="preserve">Kilde: Hjertnes, F.: Markedsføring, organisasjon og ledelse for LØM-emnet, kap. 8, avsnitt 8.2 (finansiering, lagring, «død kapital») og 8.3 («fordyrende mellomledd»). Lagringstid og leverandørkreditt med 360 dager: Økonomistyring for LØM-emnet, kap. 4 og 6. Tallene er de samme som i appen og sammendraget til kap. 8. Nordlys Elektro AS og Polarlys Elektro Grossist AS er konstruerte casebedrifter.</t>
  </si>
  <si>
    <t xml:space="preserve">Regnearket er øvingsstøtte. Det kan ikke siteres eller vises til i besvarelser, prosjektoppgaver eller eksamen; der gjelder læreboka og oppgitte primærkilder.</t>
  </si>
  <si>
    <t xml:space="preserve">A2 · Fjell Elektro: hentelager eller levering på byggeplassen?</t>
  </si>
  <si>
    <t xml:space="preserve">Kort oppsummert: Transport er en av de seks oppgavene i distribusjonen (8.2). Noen må gjøre den: grossisten, eller bedriften selv. Boka sier at markedets ønsker har en prislapp: levering helt fram koster mer enn å hente selv, og derfor kan det lønne seg å ta siste etappe selv (8.5). Men egen henting koster også: arbeidstimer som kunne vært fakturert.</t>
  </si>
  <si>
    <t xml:space="preserve">Fjell Elektro AS har to montører og eieren Mona Fjell, 3 500 fakturerbare timer i året og timepris 890 kr uten mva. Montørene henter materiell på grossistens hentelager i Oslo øst, i snitt fire turer i uka til sammen, 45 minutter per tur med kjøring og venting, 46 arbeidsuker i året. Mona har flere forespørsler enn hun rekker, så en time som frigjøres, kan faktureres. Grossisten tilbyr levering på byggeplassen eller hos kunden før kl. 07 dagen etter bestilling, for 250 kr uten mva per levering. Materiellet ligger i snitt 18 dager på lager hos Fjell. Gå fram slik: regn timene som går til henting, hva de timene kunne gitt i fakturering, og hva Fjell sparer netto med levering.</t>
  </si>
  <si>
    <t xml:space="preserve">Forutsetning</t>
  </si>
  <si>
    <t xml:space="preserve">Verdi</t>
  </si>
  <si>
    <t xml:space="preserve">Henteturer</t>
  </si>
  <si>
    <t xml:space="preserve">4 i uka til sammen, 46 uker i året</t>
  </si>
  <si>
    <t xml:space="preserve">Tid per tur</t>
  </si>
  <si>
    <t xml:space="preserve">45 minutter (0,75 time)</t>
  </si>
  <si>
    <t xml:space="preserve">Timepris</t>
  </si>
  <si>
    <t xml:space="preserve">890 kr per time uten mva</t>
  </si>
  <si>
    <t xml:space="preserve">Etterspørsel</t>
  </si>
  <si>
    <t xml:space="preserve">Flere forespørsler enn Fjell rekker</t>
  </si>
  <si>
    <t xml:space="preserve">Levering fra grossisten</t>
  </si>
  <si>
    <t xml:space="preserve">250 kr uten mva per levering, før kl. 07</t>
  </si>
  <si>
    <t xml:space="preserve">Lager hos Fjell</t>
  </si>
  <si>
    <t xml:space="preserve">70 000 kr, 18 dager i snitt</t>
  </si>
  <si>
    <t xml:space="preserve">a)  Hvor mange arbeidstimer går med til henting på hentelageret i løpet av et år?</t>
  </si>
  <si>
    <t xml:space="preserve">Tidsbruk = antall turer × tid per tur. Transport er en distribusjonsoppgave (Markedsføring 8.2).</t>
  </si>
  <si>
    <t xml:space="preserve">b)  Hva kunne de 138 timene gitt i fakturering hvis de ble brukt på oppdrag i stedet, med timepris 890 kr?</t>
  </si>
  <si>
    <t xml:space="preserve">Tapt inntekt = timer × timepris. Bare fakturerbare timer gir inntekt (Økonomistyring 9.3.1, OK09).</t>
  </si>
  <si>
    <t xml:space="preserve">c)  Hva sparer Fjell netto i året hvis grossisten leverer i stedet for at montørene henter? Svaret i b minus 184 leveringer à 250 kr.</t>
  </si>
  <si>
    <t xml:space="preserve">Netto gevinst = verdien av frigjorte timer − pris for levering. Markedets ønsker har en prislapp (Markedsføring 8.5).</t>
  </si>
  <si>
    <t xml:space="preserve">d)  En av montørene sier: «Å hente selv er gratis. Levering koster 250 kroner turen.» Hva er riktig?   A: Montøren har rett: henting står ikke på noen faktura   B: Montøren tar feil: henting er transport Fjell gjør selv, og den koster timer som kunne vært fakturert   C: Montøren tar feil: levering er alltid gratis hos en grossist   (skriv bokstaven)</t>
  </si>
  <si>
    <t xml:space="preserve">e)  Skal Fjell slutte å hente helt? Når kan henting likevel lønne seg, og hva skjer med eiendomsretten og risikoen når materiellet leveres på byggeplassen kl. 07? To setninger.</t>
  </si>
  <si>
    <t xml:space="preserve">Eiendomsrett og risiko følger varen (Markedsføring 8.2). Mellom næringsdrivende går risikoen over på kjøperen når tingen er levert etter avtalen (kjøpsloven § 13, ikke i boka).</t>
  </si>
  <si>
    <t xml:space="preserve">Timene</t>
  </si>
  <si>
    <t xml:space="preserve">Turer i året: 4 × 46. Timer: turer × 0,75. Gang timene med timeprisen 890 kr for det de kunne gitt.</t>
  </si>
  <si>
    <t xml:space="preserve">Levering</t>
  </si>
  <si>
    <t xml:space="preserve">Leveringer i året er like mange som turene: 184 × 250 kr. Trekk levering fra det timene kunne gitt.</t>
  </si>
  <si>
    <t xml:space="preserve">Kilde: Hjertnes, F.: Markedsføring, organisasjon og ledelse for LØM-emnet, kap. 8, avsnitt 8.2 (transport, eiendomsrett og risiko) og 8.5 (markedets ønsker har en prislapp; sluttbrukeren kan ta siste transportetappe selv). Funksjonsrabatt: kap. 7. Fjell Elektro AS og Haugerud Bygg AS er konstruerte casebedrifter.</t>
  </si>
  <si>
    <t xml:space="preserve">B1 · Nordlys: nettbutikk for ladebokser, byggvarehuset eller begge?</t>
  </si>
  <si>
    <t xml:space="preserve">Kort oppsummert: Rollene i kanalen skilles på eiendomsretten (8.5): grossisten og detaljisten eier varen og bærer risikoen, agenten og kommisjonæren gjør det ikke. Detaljisten har kontakten med sluttbrukeren og markedsinformasjonen. Et mellomledd finnes fordi det gjør en jobb (8.3). Internett har gitt nye muligheter for direkte kontakt med sluttbrukeren (8.3 og 8.6).</t>
  </si>
  <si>
    <t xml:space="preserve">Et byggvarehus vil selge ladeboks med montering som pakke og kjøpe monteringen av Nordlys. Byggvarehuset selger boksen, tar betalingen og eier kunden; Nordlys monterer. Byggvarehuset anslår 60 jobber i året, og Nordlys får 1 900 kr i dekningsbidrag per jobb. Ida foreslår i stedet en egen nettbutikk: Nordlys kjøper boksen hos Polarlys og selger boks og montering til fastpris 19 900 kr inkl. mva. Det gir 3 000 kr i dekningsbidrag per jobb, men nettbutikken koster 48 000 kr i året (plattform, betaling og annonser). Ida anslår 25 jobber første år. Kari kan velge den ene, den andre eller begge. Plasser rollene og regn.</t>
  </si>
  <si>
    <t xml:space="preserve">Byggvarehuset</t>
  </si>
  <si>
    <t xml:space="preserve">Selger boks og montering; kjøper monteringen av Nordlys</t>
  </si>
  <si>
    <t xml:space="preserve">Byggvarehuset, tall</t>
  </si>
  <si>
    <t xml:space="preserve">Ca. 60 jobber i året, 1 900 kr DB per jobb til Nordlys</t>
  </si>
  <si>
    <t xml:space="preserve">Egen nettbutikk</t>
  </si>
  <si>
    <t xml:space="preserve">Nordlys selger boks og montering, 19 900 kr inkl. mva</t>
  </si>
  <si>
    <t xml:space="preserve">Nettbutikken, tall</t>
  </si>
  <si>
    <t xml:space="preserve">3 000 kr DB per jobb, faste kostnader 48 000 kr i året</t>
  </si>
  <si>
    <t xml:space="preserve">Idas anslag</t>
  </si>
  <si>
    <t xml:space="preserve">25 jobber første år i nettbutikken</t>
  </si>
  <si>
    <t xml:space="preserve">Boksen</t>
  </si>
  <si>
    <t xml:space="preserve">Kjøpes hos Polarlys; produsentens agent viser nye modeller</t>
  </si>
  <si>
    <t xml:space="preserve">a)  I den egne nettbutikken kjøper Nordlys boksen hos Polarlys og selger den med montering til boligeieren. Hvilken rolle har Nordlys for ladeboksen i kanalen?   A: Agent   B: Detaljist   C: Grossist   (skriv bokstaven)</t>
  </si>
  <si>
    <t xml:space="preserve">b)  Sorter. Eier aktøren ladeboksen på et tidspunkt på veien til kunden? Svar ja eller nei for hver.</t>
  </si>
  <si>
    <t xml:space="preserve">      Polarlys, som kjøper bokser på paller og selger dem enkeltvis   (Ja eller Nei)</t>
  </si>
  <si>
    <t xml:space="preserve">      Nordlys, når boksen selges i den egne nettbutikken   (Ja eller Nei)</t>
  </si>
  <si>
    <t xml:space="preserve">      Produsentens agent, som viser Ida nye modeller   (Ja eller Nei)</t>
  </si>
  <si>
    <t xml:space="preserve">      Byggvarehuset, hvis det kan sende usolgte demobokser tilbake til produsenten   (Ja eller Nei)</t>
  </si>
  <si>
    <t xml:space="preserve">      Nordlys, når montøren monterer en boks byggvarehuset har solgt   (Ja eller Nei)</t>
  </si>
  <si>
    <t xml:space="preserve">c)  Hvor mange jobber må nettbutikken selge i året før dekningsbidraget har dekket de faste kostnadene på 48 000 kr?</t>
  </si>
  <si>
    <t xml:space="preserve">Nullpunkt i mengde = faste kostnader / DB per enhet (Økonomistyring 8.2, NPM = FTK / DB per enhet).</t>
  </si>
  <si>
    <t xml:space="preserve">d)  Tom sier: «Byggvarehuset er et fordyrende mellomledd. Vi kutter det ut og selger alt selv.» Hva sier læreboka?   A: Tom har rett: et mellomledd gir bare høyere pris   B: Et ledd finnes fordi det gjør en jobb: byggvarehuset finner kundene, markedsfører og tar betalingen. Kutter Nordlys det ut, arver Nordlys de oppgavene   C: Det er ikke lov å selge ladebokser uten et byggvarehus   (skriv bokstaven)</t>
  </si>
  <si>
    <t xml:space="preserve">e)  Hva anbefaler du Kari: byggvarehuset, nettbutikken eller begge? Bruk tallene dine, og si noe om hvem som eier kunden og om makten i kanalen. To–tre setninger.</t>
  </si>
  <si>
    <t xml:space="preserve">Maktforhold, motmakt og kanalen som strategisk allianse (Markedsføring 8.5); distribusjon av tjenester og internett (8.6).</t>
  </si>
  <si>
    <t xml:space="preserve">Hvem eier varen?</t>
  </si>
  <si>
    <t xml:space="preserve">Spør for hver aktør: kjøper den boksen og bærer risikoen til den er overlevert? Ja: grossist eller detaljist. Nei: agent eller kommisjonær (8.5).</t>
  </si>
  <si>
    <t xml:space="preserve">Faste kostnader</t>
  </si>
  <si>
    <t xml:space="preserve">Jobber som trengs = faste kostnader / dekningsbidrag per jobb: 48 000 / 3 000. Sammenlikn med 60 × 1 900 fra byggvarehuset.</t>
  </si>
  <si>
    <t xml:space="preserve">Kilde: Hjertnes, F.: Markedsføring, organisasjon og ledelse for LØM-emnet, kap. 8, avsnitt 8.3 («fordyrende mellomledd»), 8.5 (grossist, detaljist, agent, kommisjonær; maktforhold) og 8.6 (internett og distribusjon av tjenester). Prisen 19 900 kr er fra MA02. Nordlys Elektro AS og Polarlys Elektro Grossist AS er konstruerte casebedrifter.</t>
  </si>
  <si>
    <t xml:space="preserve">B2 · Fjell Elektro: underleverandør til Haugerud Bygg?</t>
  </si>
  <si>
    <t xml:space="preserve">Kort oppsummert: En tjeneste skapes i møtet mellom tjenesteyter og bruker (8.6), men den kan likevel selges gjennom et mellomledd. Da er distribusjonen indirekte (8.3). Makten i en kanal er noenlunde jevnt fordelt når aktørene er gjensidig avhengige; ellers kan den sterkeste diktere betingelsene. Makt møtes med motmakt, og maktforholdene er ikke statiske (8.5).</t>
  </si>
  <si>
    <t xml:space="preserve">Haugerud Bygg AS bygger 24 rekkehus i Oslo øst og tilbyr Fjell Elektro halvparten av elektroarbeidet: 900 fakturerbare timer over seks måneder. Fjell blir underleverandør til Haugerud og skal ikke ha kontakt med kjøperne av rekkehusene uten Haugeruds samtykke. Fjell har 3 500 fakturerbare timer i året, timepris 890 kr uten mva, og ingen rammeavtaler. I dag selger Fjell direkte til boligeiere og små næringskunder. Regn hvor mye av Fjell prosjektet binder, plasser kanalen, og vurder makten.</t>
  </si>
  <si>
    <t xml:space="preserve">Prosjektet</t>
  </si>
  <si>
    <t xml:space="preserve">Halvparten av elektroarbeidet på 24 rekkehus</t>
  </si>
  <si>
    <t xml:space="preserve">Timer</t>
  </si>
  <si>
    <t xml:space="preserve">900 fakturerbare timer over seks måneder</t>
  </si>
  <si>
    <t xml:space="preserve">Fjells kapasitet</t>
  </si>
  <si>
    <t xml:space="preserve">3 500 fakturerbare timer i året</t>
  </si>
  <si>
    <t xml:space="preserve">890 kr uten mva</t>
  </si>
  <si>
    <t xml:space="preserve">Vilkår</t>
  </si>
  <si>
    <t xml:space="preserve">Ingen kontakt med kjøperne uten Haugeruds samtykke</t>
  </si>
  <si>
    <t xml:space="preserve">Fjell i dag</t>
  </si>
  <si>
    <t xml:space="preserve">Direkte til boligeiere og små næringskunder; ingen rammeavtaler</t>
  </si>
  <si>
    <t xml:space="preserve">a)  Hvor mange fakturerbare timer i måneden krever prosjektet, jevnt fordelt over seks måneder?</t>
  </si>
  <si>
    <t xml:space="preserve">Timer per måned = totale timer / antall måneder. Kapasiteten er de fakturerbare timene (OK09).</t>
  </si>
  <si>
    <t xml:space="preserve">b)  Hvor stor andel av Fjells fakturerbare timer i de seks månedene går til Haugerud? Fjell har 3 500 timer i året. Svar i prosent med én desimal.</t>
  </si>
  <si>
    <t xml:space="preserve">Andel = del / helhet × 100. Avhengighet regnes i den perioden avtalen gjelder.</t>
  </si>
  <si>
    <t xml:space="preserve">c)  Hvilken distribusjonsform har Fjells tjeneste til kjøperne av rekkehusene i dette prosjektet?   A: Direkte: montørene møter jo bygget og kjøperne   B: Indirekte: tjenesten selges gjennom Haugerud, som er mellomledd og eier kunden   C: Eksklusiv: Fjell er eneste elektriker på byggeplassen   (skriv bokstaven)</t>
  </si>
  <si>
    <t xml:space="preserve">d)  Mona sier: «Haugerud er størst, så Haugerud har all makten, og slik blir det.» Hva sier læreboka om makt i kanalen?   A: Mona har rett: størst gir makt, og det endrer seg ikke   B: Makten er jevnest når partene er gjensidig avhengige. Fjell er mer avhengig av Haugerud enn omvendt, men makt møtes med motmakt og er ikke statisk   C: Fjell har all makten, fordi det er Fjell som har fagbrevene   (skriv bokstaven)</t>
  </si>
  <si>
    <t xml:space="preserve">e)  Bør Fjell si ja til Haugerud? Hva bør Mona forhandle om, og hva gjør hun med de direkte kundene sine i de seks månedene? To–tre setninger.</t>
  </si>
  <si>
    <t xml:space="preserve">Strategisk allianse, makt og motmakt (Markedsføring 8.5); tjenester skapes i møtet med brukeren (8.6).</t>
  </si>
  <si>
    <t xml:space="preserve">Andelene</t>
  </si>
  <si>
    <t xml:space="preserve">Timer i måneden: 900 / 6. Fjells timer i seks måneder: 3 500 / 2. Andel: 900 / 1 750 × 100.</t>
  </si>
  <si>
    <t xml:space="preserve">Kanal og makt</t>
  </si>
  <si>
    <t xml:space="preserve">Hvem selger tjenesten til kjøperne, og hvem har avtalen med dem? Hvem er mest avhengig av den andre (8.5)?</t>
  </si>
  <si>
    <t xml:space="preserve">Kilde: Hjertnes, F.: Markedsføring, organisasjon og ledelse for LØM-emnet, kap. 8, avsnitt 8.3 (direkte og indirekte distribusjon), 8.5 (maktforhold, motmakt, strategisk allianse) og 8.6 (distribusjon av tjenester). Haugerud Bygg er fra MA02. Fjell Elektro AS og Haugerud Bygg AS er konstruerte casebedrifter.</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</si>
</sst>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48.75" hidden="false" customHeight="true" outlineLevel="0" collapsed="false">
      <c r="A4" s="6" t="s">
        <v>22</v>
      </c>
      <c r="B4" s="6"/>
      <c r="C4" s="6"/>
      <c r="D4" s="6"/>
      <c r="E4" s="6"/>
      <c r="F4" s="6"/>
      <c r="G4" s="6"/>
    </row>
    <row r="5" customFormat="false" ht="123.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26.85" hidden="false" customHeight="false" outlineLevel="0" collapsed="false">
      <c r="A8" s="10" t="s">
        <v>26</v>
      </c>
      <c r="B8" s="11" t="s">
        <v>27</v>
      </c>
    </row>
    <row r="9" customFormat="false" ht="15" hidden="false" customHeight="false" outlineLevel="0" collapsed="false">
      <c r="A9" s="12" t="s">
        <v>28</v>
      </c>
      <c r="B9" s="13" t="s">
        <v>29</v>
      </c>
    </row>
    <row r="10" customFormat="false" ht="15" hidden="false" customHeight="false" outlineLevel="0" collapsed="false">
      <c r="A10" s="10" t="s">
        <v>30</v>
      </c>
      <c r="B10" s="11" t="s">
        <v>31</v>
      </c>
    </row>
    <row r="11" customFormat="false" ht="26.85" hidden="false" customHeight="false" outlineLevel="0" collapsed="false">
      <c r="A11" s="12" t="s">
        <v>32</v>
      </c>
      <c r="B11" s="13" t="s">
        <v>33</v>
      </c>
    </row>
    <row r="12" customFormat="false" ht="15" hidden="false" customHeight="false" outlineLevel="0" collapsed="false">
      <c r="A12" s="10" t="s">
        <v>34</v>
      </c>
      <c r="B12" s="11" t="s">
        <v>35</v>
      </c>
    </row>
    <row r="13" customFormat="false" ht="15" hidden="false" customHeight="false" outlineLevel="0" collapsed="false">
      <c r="A13" s="12" t="s">
        <v>36</v>
      </c>
      <c r="B13" s="13" t="s">
        <v>37</v>
      </c>
    </row>
    <row r="14" customFormat="false" ht="26.85" hidden="false" customHeight="false" outlineLevel="0" collapsed="false">
      <c r="A14" s="10" t="s">
        <v>38</v>
      </c>
      <c r="B14" s="11" t="s">
        <v>39</v>
      </c>
    </row>
    <row r="15" customFormat="false" ht="15" hidden="false" customHeight="false" outlineLevel="0" collapsed="false">
      <c r="A15" s="12" t="s">
        <v>40</v>
      </c>
      <c r="B15" s="13" t="s">
        <v>41</v>
      </c>
    </row>
    <row r="16" customFormat="false" ht="15" hidden="false" customHeight="true" outlineLevel="0" collapsed="false">
      <c r="A16" s="6" t="s">
        <v>42</v>
      </c>
      <c r="B16" s="6"/>
      <c r="C16" s="6"/>
      <c r="D16" s="6"/>
      <c r="E16" s="6"/>
      <c r="F16" s="6"/>
      <c r="G16" s="6"/>
    </row>
    <row r="18" customFormat="false" ht="15" hidden="false" customHeight="false" outlineLevel="0" collapsed="false">
      <c r="A18" s="14" t="s">
        <v>43</v>
      </c>
      <c r="B18" s="14"/>
      <c r="C18" s="14"/>
      <c r="D18" s="14"/>
      <c r="E18" s="14"/>
      <c r="F18" s="14" t="s">
        <v>44</v>
      </c>
      <c r="G18" s="14" t="s">
        <v>45</v>
      </c>
    </row>
    <row r="19" customFormat="false" ht="33.75" hidden="false" customHeight="true" outlineLevel="0" collapsed="false">
      <c r="A19" s="7" t="s">
        <v>46</v>
      </c>
      <c r="B19" s="7"/>
      <c r="C19" s="7"/>
      <c r="D19" s="7"/>
      <c r="E19" s="7"/>
      <c r="F19" s="15"/>
      <c r="G19" s="16" t="str">
        <f aca="false">IF(F19="","",IF(ABS(F19-(157.7))&lt;=0.2,"Riktig","Prøv igjen"))</f>
        <v/>
      </c>
    </row>
    <row r="20" customFormat="false" ht="30" hidden="false" customHeight="true" outlineLevel="0" collapsed="false">
      <c r="A20" s="17" t="s">
        <v>47</v>
      </c>
      <c r="B20" s="18" t="s">
        <v>48</v>
      </c>
      <c r="C20" s="18"/>
      <c r="D20" s="18"/>
      <c r="E20" s="18"/>
      <c r="F20" s="18"/>
      <c r="G20" s="18"/>
    </row>
    <row r="22" customFormat="false" ht="33.75" hidden="false" customHeight="true" outlineLevel="0" collapsed="false">
      <c r="A22" s="7" t="s">
        <v>49</v>
      </c>
      <c r="B22" s="7"/>
      <c r="C22" s="7"/>
      <c r="D22" s="7"/>
      <c r="E22" s="7"/>
      <c r="F22" s="15"/>
      <c r="G22" s="16" t="str">
        <f aca="false">IF(F22="","",IF(ABS(F22-(665833))&lt;=50,"Riktig","Prøv igjen"))</f>
        <v/>
      </c>
    </row>
    <row r="23" customFormat="false" ht="30" hidden="false" customHeight="true" outlineLevel="0" collapsed="false">
      <c r="A23" s="17" t="s">
        <v>47</v>
      </c>
      <c r="B23" s="18" t="s">
        <v>50</v>
      </c>
      <c r="C23" s="18"/>
      <c r="D23" s="18"/>
      <c r="E23" s="18"/>
      <c r="F23" s="18"/>
      <c r="G23" s="18"/>
    </row>
    <row r="25" customFormat="false" ht="48.75" hidden="false" customHeight="true" outlineLevel="0" collapsed="false">
      <c r="A25" s="7" t="s">
        <v>51</v>
      </c>
      <c r="B25" s="7"/>
      <c r="C25" s="7"/>
      <c r="D25" s="7"/>
      <c r="E25" s="7"/>
      <c r="F25" s="15"/>
      <c r="G25" s="16" t="str">
        <f aca="false">IF(F25="","",IF(ABS(F25-(-253943))&lt;=100,"Riktig","Prøv igjen"))</f>
        <v/>
      </c>
    </row>
    <row r="26" customFormat="false" ht="42.75" hidden="false" customHeight="true" outlineLevel="0" collapsed="false">
      <c r="A26" s="17" t="s">
        <v>47</v>
      </c>
      <c r="B26" s="18" t="s">
        <v>52</v>
      </c>
      <c r="C26" s="18"/>
      <c r="D26" s="18"/>
      <c r="E26" s="18"/>
      <c r="F26" s="18"/>
      <c r="G26" s="18"/>
    </row>
    <row r="28" customFormat="false" ht="78.75" hidden="false" customHeight="true" outlineLevel="0" collapsed="false">
      <c r="A28" s="7" t="s">
        <v>53</v>
      </c>
      <c r="B28" s="7"/>
      <c r="C28" s="7"/>
      <c r="D28" s="7"/>
      <c r="E28" s="7"/>
      <c r="F28" s="19"/>
      <c r="G28" s="16" t="str">
        <f aca="false">IF(F28="","",IF(UPPER(TRIM(F28))="B","Riktig","Prøv igjen"))</f>
        <v/>
      </c>
    </row>
    <row r="29" customFormat="false" ht="33.75" hidden="false" customHeight="true" outlineLevel="0" collapsed="false">
      <c r="A29" s="7" t="s">
        <v>54</v>
      </c>
      <c r="B29" s="7"/>
      <c r="C29" s="7"/>
      <c r="D29" s="7"/>
      <c r="E29" s="7"/>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30" hidden="false" customHeight="true" outlineLevel="0" collapsed="false">
      <c r="A33" s="17" t="s">
        <v>47</v>
      </c>
      <c r="B33" s="18" t="s">
        <v>55</v>
      </c>
      <c r="C33" s="18"/>
      <c r="D33" s="18"/>
      <c r="E33" s="18"/>
      <c r="F33" s="18"/>
      <c r="G33" s="18"/>
    </row>
    <row r="36" customFormat="false" ht="15" hidden="false" customHeight="false" outlineLevel="0" collapsed="false">
      <c r="A36" s="21" t="s">
        <v>56</v>
      </c>
      <c r="B36" s="21"/>
      <c r="C36" s="21"/>
      <c r="D36" s="21"/>
      <c r="E36" s="21"/>
      <c r="F36" s="21"/>
      <c r="G36" s="21"/>
    </row>
    <row r="37" customFormat="false" ht="30" hidden="false" customHeight="true" outlineLevel="0" collapsed="false">
      <c r="A37" s="22" t="s">
        <v>57</v>
      </c>
      <c r="B37" s="23" t="s">
        <v>58</v>
      </c>
      <c r="C37" s="23"/>
      <c r="D37" s="23"/>
      <c r="E37" s="23"/>
      <c r="F37" s="23"/>
      <c r="G37" s="23"/>
    </row>
    <row r="38" customFormat="false" ht="30" hidden="false" customHeight="true" outlineLevel="0" collapsed="false">
      <c r="A38" s="22" t="s">
        <v>59</v>
      </c>
      <c r="B38" s="23" t="s">
        <v>60</v>
      </c>
      <c r="C38" s="23"/>
      <c r="D38" s="23"/>
      <c r="E38" s="23"/>
      <c r="F38" s="23"/>
      <c r="G38" s="23"/>
    </row>
    <row r="40" customFormat="false" ht="63.75" hidden="false" customHeight="true" outlineLevel="0" collapsed="false">
      <c r="A40" s="6" t="s">
        <v>61</v>
      </c>
      <c r="B40" s="6"/>
      <c r="C40" s="6"/>
      <c r="D40" s="6"/>
      <c r="E40" s="6"/>
      <c r="F40" s="6"/>
      <c r="G40" s="6"/>
    </row>
    <row r="41" customFormat="false" ht="15" hidden="false" customHeight="true" outlineLevel="0" collapsed="false">
      <c r="A41" s="6" t="s">
        <v>62</v>
      </c>
      <c r="B41" s="6"/>
      <c r="C41" s="6"/>
      <c r="D41" s="6"/>
      <c r="E41" s="6"/>
      <c r="F41" s="6"/>
      <c r="G41" s="6"/>
    </row>
  </sheetData>
  <mergeCells count="19">
    <mergeCell ref="A4:G4"/>
    <mergeCell ref="A5:G5"/>
    <mergeCell ref="A16:G16"/>
    <mergeCell ref="A18:E18"/>
    <mergeCell ref="A19:E19"/>
    <mergeCell ref="B20:G20"/>
    <mergeCell ref="A22:E22"/>
    <mergeCell ref="B23:G23"/>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63</v>
      </c>
    </row>
    <row r="2" customFormat="false" ht="15" hidden="false" customHeight="false" outlineLevel="0" collapsed="false">
      <c r="A2" s="2" t="s">
        <v>21</v>
      </c>
    </row>
    <row r="4" customFormat="false" ht="63.75" hidden="false" customHeight="true" outlineLevel="0" collapsed="false">
      <c r="A4" s="6" t="s">
        <v>64</v>
      </c>
      <c r="B4" s="6"/>
      <c r="C4" s="6"/>
      <c r="D4" s="6"/>
      <c r="E4" s="6"/>
      <c r="F4" s="6"/>
      <c r="G4" s="6"/>
    </row>
    <row r="5" customFormat="false" ht="108.75" hidden="false" customHeight="true" outlineLevel="0" collapsed="false">
      <c r="A5" s="7" t="s">
        <v>65</v>
      </c>
      <c r="B5" s="7"/>
      <c r="C5" s="7"/>
      <c r="D5" s="7"/>
      <c r="E5" s="7"/>
      <c r="F5" s="7"/>
      <c r="G5" s="7"/>
    </row>
    <row r="7" customFormat="false" ht="15" hidden="false" customHeight="false" outlineLevel="0" collapsed="false">
      <c r="A7" s="14" t="s">
        <v>66</v>
      </c>
      <c r="B7" s="14" t="s">
        <v>67</v>
      </c>
      <c r="C7" s="14"/>
      <c r="D7" s="14"/>
      <c r="E7" s="14"/>
      <c r="F7" s="14"/>
      <c r="G7" s="14"/>
    </row>
    <row r="8" customFormat="false" ht="18.75" hidden="false" customHeight="true" outlineLevel="0" collapsed="false">
      <c r="A8" s="24" t="s">
        <v>68</v>
      </c>
      <c r="B8" s="7" t="s">
        <v>69</v>
      </c>
      <c r="C8" s="7"/>
      <c r="D8" s="7"/>
      <c r="E8" s="7"/>
      <c r="F8" s="7"/>
      <c r="G8" s="7"/>
    </row>
    <row r="9" customFormat="false" ht="18.75" hidden="false" customHeight="true" outlineLevel="0" collapsed="false">
      <c r="A9" s="24" t="s">
        <v>70</v>
      </c>
      <c r="B9" s="7" t="s">
        <v>71</v>
      </c>
      <c r="C9" s="7"/>
      <c r="D9" s="7"/>
      <c r="E9" s="7"/>
      <c r="F9" s="7"/>
      <c r="G9" s="7"/>
    </row>
    <row r="10" customFormat="false" ht="18.75" hidden="false" customHeight="true" outlineLevel="0" collapsed="false">
      <c r="A10" s="24" t="s">
        <v>72</v>
      </c>
      <c r="B10" s="7" t="s">
        <v>73</v>
      </c>
      <c r="C10" s="7"/>
      <c r="D10" s="7"/>
      <c r="E10" s="7"/>
      <c r="F10" s="7"/>
      <c r="G10" s="7"/>
    </row>
    <row r="11" customFormat="false" ht="18.75" hidden="false" customHeight="true" outlineLevel="0" collapsed="false">
      <c r="A11" s="24" t="s">
        <v>74</v>
      </c>
      <c r="B11" s="7" t="s">
        <v>75</v>
      </c>
      <c r="C11" s="7"/>
      <c r="D11" s="7"/>
      <c r="E11" s="7"/>
      <c r="F11" s="7"/>
      <c r="G11" s="7"/>
    </row>
    <row r="12" customFormat="false" ht="18.75" hidden="false" customHeight="true" outlineLevel="0" collapsed="false">
      <c r="A12" s="24" t="s">
        <v>76</v>
      </c>
      <c r="B12" s="7" t="s">
        <v>77</v>
      </c>
      <c r="C12" s="7"/>
      <c r="D12" s="7"/>
      <c r="E12" s="7"/>
      <c r="F12" s="7"/>
      <c r="G12" s="7"/>
    </row>
    <row r="13" customFormat="false" ht="18.75" hidden="false" customHeight="true" outlineLevel="0" collapsed="false">
      <c r="A13" s="24" t="s">
        <v>78</v>
      </c>
      <c r="B13" s="7" t="s">
        <v>79</v>
      </c>
      <c r="C13" s="7"/>
      <c r="D13" s="7"/>
      <c r="E13" s="7"/>
      <c r="F13" s="7"/>
      <c r="G13" s="7"/>
    </row>
    <row r="15" customFormat="false" ht="15" hidden="false" customHeight="false" outlineLevel="0" collapsed="false">
      <c r="A15" s="14" t="s">
        <v>43</v>
      </c>
      <c r="B15" s="14"/>
      <c r="C15" s="14"/>
      <c r="D15" s="14"/>
      <c r="E15" s="14"/>
      <c r="F15" s="14" t="s">
        <v>44</v>
      </c>
      <c r="G15" s="14" t="s">
        <v>45</v>
      </c>
    </row>
    <row r="16" customFormat="false" ht="18.75" hidden="false" customHeight="true" outlineLevel="0" collapsed="false">
      <c r="A16" s="7" t="s">
        <v>80</v>
      </c>
      <c r="B16" s="7"/>
      <c r="C16" s="7"/>
      <c r="D16" s="7"/>
      <c r="E16" s="7"/>
      <c r="F16" s="15"/>
      <c r="G16" s="16" t="str">
        <f aca="false">IF(F16="","",IF(ABS(F16-(138))&lt;=0.000000001,"Riktig","Prøv igjen"))</f>
        <v/>
      </c>
    </row>
    <row r="17" customFormat="false" ht="30" hidden="false" customHeight="true" outlineLevel="0" collapsed="false">
      <c r="A17" s="17" t="s">
        <v>47</v>
      </c>
      <c r="B17" s="18" t="s">
        <v>81</v>
      </c>
      <c r="C17" s="18"/>
      <c r="D17" s="18"/>
      <c r="E17" s="18"/>
      <c r="F17" s="18"/>
      <c r="G17" s="18"/>
    </row>
    <row r="19" customFormat="false" ht="33.75" hidden="false" customHeight="true" outlineLevel="0" collapsed="false">
      <c r="A19" s="7" t="s">
        <v>82</v>
      </c>
      <c r="B19" s="7"/>
      <c r="C19" s="7"/>
      <c r="D19" s="7"/>
      <c r="E19" s="7"/>
      <c r="F19" s="15"/>
      <c r="G19" s="16" t="str">
        <f aca="false">IF(F19="","",IF(ABS(F19-(122820))&lt;=0.000000001,"Riktig","Prøv igjen"))</f>
        <v/>
      </c>
    </row>
    <row r="20" customFormat="false" ht="30" hidden="false" customHeight="true" outlineLevel="0" collapsed="false">
      <c r="A20" s="17" t="s">
        <v>47</v>
      </c>
      <c r="B20" s="18" t="s">
        <v>83</v>
      </c>
      <c r="C20" s="18"/>
      <c r="D20" s="18"/>
      <c r="E20" s="18"/>
      <c r="F20" s="18"/>
      <c r="G20" s="18"/>
    </row>
    <row r="22" customFormat="false" ht="33.75" hidden="false" customHeight="true" outlineLevel="0" collapsed="false">
      <c r="A22" s="7" t="s">
        <v>84</v>
      </c>
      <c r="B22" s="7"/>
      <c r="C22" s="7"/>
      <c r="D22" s="7"/>
      <c r="E22" s="7"/>
      <c r="F22" s="15"/>
      <c r="G22" s="16" t="str">
        <f aca="false">IF(F22="","",IF(ABS(F22-(76820))&lt;=0.000000001,"Riktig","Prøv igjen"))</f>
        <v/>
      </c>
    </row>
    <row r="23" customFormat="false" ht="30" hidden="false" customHeight="true" outlineLevel="0" collapsed="false">
      <c r="A23" s="17" t="s">
        <v>47</v>
      </c>
      <c r="B23" s="18" t="s">
        <v>85</v>
      </c>
      <c r="C23" s="18"/>
      <c r="D23" s="18"/>
      <c r="E23" s="18"/>
      <c r="F23" s="18"/>
      <c r="G23" s="18"/>
    </row>
    <row r="25" customFormat="false" ht="63.75" hidden="false" customHeight="true" outlineLevel="0" collapsed="false">
      <c r="A25" s="7" t="s">
        <v>86</v>
      </c>
      <c r="B25" s="7"/>
      <c r="C25" s="7"/>
      <c r="D25" s="7"/>
      <c r="E25" s="7"/>
      <c r="F25" s="19"/>
      <c r="G25" s="16" t="str">
        <f aca="false">IF(F25="","",IF(UPPER(TRIM(F25))="B","Riktig","Prøv igjen"))</f>
        <v/>
      </c>
    </row>
    <row r="26" customFormat="false" ht="33.75" hidden="false" customHeight="true" outlineLevel="0" collapsed="false">
      <c r="A26" s="7" t="s">
        <v>87</v>
      </c>
      <c r="B26" s="7"/>
      <c r="C26" s="7"/>
      <c r="D26" s="7"/>
      <c r="E26" s="7"/>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0" customFormat="false" ht="30" hidden="false" customHeight="true" outlineLevel="0" collapsed="false">
      <c r="A30" s="17" t="s">
        <v>47</v>
      </c>
      <c r="B30" s="18" t="s">
        <v>88</v>
      </c>
      <c r="C30" s="18"/>
      <c r="D30" s="18"/>
      <c r="E30" s="18"/>
      <c r="F30" s="18"/>
      <c r="G30" s="18"/>
    </row>
    <row r="33" customFormat="false" ht="15" hidden="false" customHeight="false" outlineLevel="0" collapsed="false">
      <c r="A33" s="21" t="s">
        <v>56</v>
      </c>
      <c r="B33" s="21"/>
      <c r="C33" s="21"/>
      <c r="D33" s="21"/>
      <c r="E33" s="21"/>
      <c r="F33" s="21"/>
      <c r="G33" s="21"/>
    </row>
    <row r="34" customFormat="false" ht="30" hidden="false" customHeight="true" outlineLevel="0" collapsed="false">
      <c r="A34" s="22" t="s">
        <v>89</v>
      </c>
      <c r="B34" s="23" t="s">
        <v>90</v>
      </c>
      <c r="C34" s="23"/>
      <c r="D34" s="23"/>
      <c r="E34" s="23"/>
      <c r="F34" s="23"/>
      <c r="G34" s="23"/>
    </row>
    <row r="35" customFormat="false" ht="30" hidden="false" customHeight="true" outlineLevel="0" collapsed="false">
      <c r="A35" s="22" t="s">
        <v>91</v>
      </c>
      <c r="B35" s="23" t="s">
        <v>92</v>
      </c>
      <c r="C35" s="23"/>
      <c r="D35" s="23"/>
      <c r="E35" s="23"/>
      <c r="F35" s="23"/>
      <c r="G35" s="23"/>
    </row>
    <row r="37" customFormat="false" ht="48.75" hidden="false" customHeight="true" outlineLevel="0" collapsed="false">
      <c r="A37" s="6" t="s">
        <v>93</v>
      </c>
      <c r="B37" s="6"/>
      <c r="C37" s="6"/>
      <c r="D37" s="6"/>
      <c r="E37" s="6"/>
      <c r="F37" s="6"/>
      <c r="G37" s="6"/>
    </row>
    <row r="38" customFormat="false" ht="15" hidden="false" customHeight="true" outlineLevel="0" collapsed="false">
      <c r="A38" s="6" t="s">
        <v>62</v>
      </c>
      <c r="B38" s="6"/>
      <c r="C38" s="6"/>
      <c r="D38" s="6"/>
      <c r="E38" s="6"/>
      <c r="F38" s="6"/>
      <c r="G38" s="6"/>
    </row>
  </sheetData>
  <mergeCells count="25">
    <mergeCell ref="A4:G4"/>
    <mergeCell ref="A5:G5"/>
    <mergeCell ref="B7:G7"/>
    <mergeCell ref="B8:G8"/>
    <mergeCell ref="B9:G9"/>
    <mergeCell ref="B10:G10"/>
    <mergeCell ref="B11:G11"/>
    <mergeCell ref="B12:G12"/>
    <mergeCell ref="B13:G13"/>
    <mergeCell ref="A15:E15"/>
    <mergeCell ref="A16:E16"/>
    <mergeCell ref="B17:G17"/>
    <mergeCell ref="A19:E19"/>
    <mergeCell ref="B20:G20"/>
    <mergeCell ref="A22:E22"/>
    <mergeCell ref="B23:G23"/>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94</v>
      </c>
    </row>
    <row r="2" customFormat="false" ht="15" hidden="false" customHeight="false" outlineLevel="0" collapsed="false">
      <c r="A2" s="2" t="s">
        <v>21</v>
      </c>
    </row>
    <row r="4" customFormat="false" ht="63.75" hidden="false" customHeight="true" outlineLevel="0" collapsed="false">
      <c r="A4" s="6" t="s">
        <v>95</v>
      </c>
      <c r="B4" s="6"/>
      <c r="C4" s="6"/>
      <c r="D4" s="6"/>
      <c r="E4" s="6"/>
      <c r="F4" s="6"/>
      <c r="G4" s="6"/>
    </row>
    <row r="5" customFormat="false" ht="93.75" hidden="false" customHeight="true" outlineLevel="0" collapsed="false">
      <c r="A5" s="7" t="s">
        <v>96</v>
      </c>
      <c r="B5" s="7"/>
      <c r="C5" s="7"/>
      <c r="D5" s="7"/>
      <c r="E5" s="7"/>
      <c r="F5" s="7"/>
      <c r="G5" s="7"/>
    </row>
    <row r="7" customFormat="false" ht="15" hidden="false" customHeight="false" outlineLevel="0" collapsed="false">
      <c r="A7" s="14" t="s">
        <v>66</v>
      </c>
      <c r="B7" s="14" t="s">
        <v>67</v>
      </c>
      <c r="C7" s="14"/>
      <c r="D7" s="14"/>
      <c r="E7" s="14"/>
      <c r="F7" s="14"/>
      <c r="G7" s="14"/>
    </row>
    <row r="8" customFormat="false" ht="18.75" hidden="false" customHeight="true" outlineLevel="0" collapsed="false">
      <c r="A8" s="24" t="s">
        <v>97</v>
      </c>
      <c r="B8" s="7" t="s">
        <v>98</v>
      </c>
      <c r="C8" s="7"/>
      <c r="D8" s="7"/>
      <c r="E8" s="7"/>
      <c r="F8" s="7"/>
      <c r="G8" s="7"/>
    </row>
    <row r="9" customFormat="false" ht="18.75" hidden="false" customHeight="true" outlineLevel="0" collapsed="false">
      <c r="A9" s="24" t="s">
        <v>99</v>
      </c>
      <c r="B9" s="7" t="s">
        <v>100</v>
      </c>
      <c r="C9" s="7"/>
      <c r="D9" s="7"/>
      <c r="E9" s="7"/>
      <c r="F9" s="7"/>
      <c r="G9" s="7"/>
    </row>
    <row r="10" customFormat="false" ht="18.75" hidden="false" customHeight="true" outlineLevel="0" collapsed="false">
      <c r="A10" s="24" t="s">
        <v>101</v>
      </c>
      <c r="B10" s="7" t="s">
        <v>102</v>
      </c>
      <c r="C10" s="7"/>
      <c r="D10" s="7"/>
      <c r="E10" s="7"/>
      <c r="F10" s="7"/>
      <c r="G10" s="7"/>
    </row>
    <row r="11" customFormat="false" ht="18.75" hidden="false" customHeight="true" outlineLevel="0" collapsed="false">
      <c r="A11" s="24" t="s">
        <v>103</v>
      </c>
      <c r="B11" s="7" t="s">
        <v>104</v>
      </c>
      <c r="C11" s="7"/>
      <c r="D11" s="7"/>
      <c r="E11" s="7"/>
      <c r="F11" s="7"/>
      <c r="G11" s="7"/>
    </row>
    <row r="12" customFormat="false" ht="18.75" hidden="false" customHeight="true" outlineLevel="0" collapsed="false">
      <c r="A12" s="24" t="s">
        <v>105</v>
      </c>
      <c r="B12" s="7" t="s">
        <v>106</v>
      </c>
      <c r="C12" s="7"/>
      <c r="D12" s="7"/>
      <c r="E12" s="7"/>
      <c r="F12" s="7"/>
      <c r="G12" s="7"/>
    </row>
    <row r="13" customFormat="false" ht="18.75" hidden="false" customHeight="true" outlineLevel="0" collapsed="false">
      <c r="A13" s="24" t="s">
        <v>107</v>
      </c>
      <c r="B13" s="7" t="s">
        <v>108</v>
      </c>
      <c r="C13" s="7"/>
      <c r="D13" s="7"/>
      <c r="E13" s="7"/>
      <c r="F13" s="7"/>
      <c r="G13" s="7"/>
    </row>
    <row r="15" customFormat="false" ht="15" hidden="false" customHeight="false" outlineLevel="0" collapsed="false">
      <c r="A15" s="14" t="s">
        <v>43</v>
      </c>
      <c r="B15" s="14"/>
      <c r="C15" s="14"/>
      <c r="D15" s="14"/>
      <c r="E15" s="14"/>
      <c r="F15" s="14" t="s">
        <v>44</v>
      </c>
      <c r="G15" s="14" t="s">
        <v>45</v>
      </c>
    </row>
    <row r="16" customFormat="false" ht="48.75" hidden="false" customHeight="true" outlineLevel="0" collapsed="false">
      <c r="A16" s="7" t="s">
        <v>109</v>
      </c>
      <c r="B16" s="7"/>
      <c r="C16" s="7"/>
      <c r="D16" s="7"/>
      <c r="E16" s="7"/>
      <c r="F16" s="19"/>
      <c r="G16" s="16" t="str">
        <f aca="false">IF(F16="","",IF(UPPER(TRIM(F16))="B","Riktig","Prøv igjen"))</f>
        <v/>
      </c>
    </row>
    <row r="17" customFormat="false" ht="33.75" hidden="false" customHeight="true" outlineLevel="0" collapsed="false">
      <c r="A17" s="7" t="s">
        <v>110</v>
      </c>
      <c r="B17" s="7"/>
      <c r="C17" s="7"/>
      <c r="D17" s="7"/>
      <c r="E17" s="7"/>
    </row>
    <row r="18" customFormat="false" ht="15" hidden="false" customHeight="true" outlineLevel="0" collapsed="false">
      <c r="A18" s="7" t="s">
        <v>111</v>
      </c>
      <c r="B18" s="7"/>
      <c r="C18" s="7"/>
      <c r="D18" s="7"/>
      <c r="E18" s="7"/>
      <c r="F18" s="19"/>
      <c r="G18" s="16" t="str">
        <f aca="false">IF(F18="","",IF(UPPER(TRIM(F18))="JA","Riktig","Prøv igjen"))</f>
        <v/>
      </c>
    </row>
    <row r="19" customFormat="false" ht="15" hidden="false" customHeight="true" outlineLevel="0" collapsed="false">
      <c r="A19" s="7" t="s">
        <v>112</v>
      </c>
      <c r="B19" s="7"/>
      <c r="C19" s="7"/>
      <c r="D19" s="7"/>
      <c r="E19" s="7"/>
      <c r="F19" s="19"/>
      <c r="G19" s="16" t="str">
        <f aca="false">IF(F19="","",IF(UPPER(TRIM(F19))="JA","Riktig","Prøv igjen"))</f>
        <v/>
      </c>
    </row>
    <row r="20" customFormat="false" ht="15" hidden="false" customHeight="true" outlineLevel="0" collapsed="false">
      <c r="A20" s="7" t="s">
        <v>113</v>
      </c>
      <c r="B20" s="7"/>
      <c r="C20" s="7"/>
      <c r="D20" s="7"/>
      <c r="E20" s="7"/>
      <c r="F20" s="19"/>
      <c r="G20" s="16" t="str">
        <f aca="false">IF(F20="","",IF(UPPER(TRIM(F20))="NEI","Riktig","Prøv igjen"))</f>
        <v/>
      </c>
    </row>
    <row r="21" customFormat="false" ht="15" hidden="false" customHeight="true" outlineLevel="0" collapsed="false">
      <c r="A21" s="7" t="s">
        <v>114</v>
      </c>
      <c r="B21" s="7"/>
      <c r="C21" s="7"/>
      <c r="D21" s="7"/>
      <c r="E21" s="7"/>
      <c r="F21" s="19"/>
      <c r="G21" s="16" t="str">
        <f aca="false">IF(F21="","",IF(UPPER(TRIM(F21))="NEI","Riktig","Prøv igjen"))</f>
        <v/>
      </c>
    </row>
    <row r="22" customFormat="false" ht="15" hidden="false" customHeight="true" outlineLevel="0" collapsed="false">
      <c r="A22" s="7" t="s">
        <v>115</v>
      </c>
      <c r="B22" s="7"/>
      <c r="C22" s="7"/>
      <c r="D22" s="7"/>
      <c r="E22" s="7"/>
      <c r="F22" s="19"/>
      <c r="G22" s="16" t="str">
        <f aca="false">IF(F22="","",IF(UPPER(TRIM(F22))="NEI","Riktig","Prøv igjen"))</f>
        <v/>
      </c>
    </row>
    <row r="23" customFormat="false" ht="33.75" hidden="false" customHeight="true" outlineLevel="0" collapsed="false">
      <c r="A23" s="7" t="s">
        <v>116</v>
      </c>
      <c r="B23" s="7"/>
      <c r="C23" s="7"/>
      <c r="D23" s="7"/>
      <c r="E23" s="7"/>
      <c r="F23" s="15"/>
      <c r="G23" s="16" t="str">
        <f aca="false">IF(F23="","",IF(ABS(F23-(16))&lt;=0.000000001,"Riktig","Prøv igjen"))</f>
        <v/>
      </c>
    </row>
    <row r="24" customFormat="false" ht="30" hidden="false" customHeight="true" outlineLevel="0" collapsed="false">
      <c r="A24" s="17" t="s">
        <v>47</v>
      </c>
      <c r="B24" s="18" t="s">
        <v>117</v>
      </c>
      <c r="C24" s="18"/>
      <c r="D24" s="18"/>
      <c r="E24" s="18"/>
      <c r="F24" s="18"/>
      <c r="G24" s="18"/>
    </row>
    <row r="26" customFormat="false" ht="78.75" hidden="false" customHeight="true" outlineLevel="0" collapsed="false">
      <c r="A26" s="7" t="s">
        <v>118</v>
      </c>
      <c r="B26" s="7"/>
      <c r="C26" s="7"/>
      <c r="D26" s="7"/>
      <c r="E26" s="7"/>
      <c r="F26" s="19"/>
      <c r="G26" s="16" t="str">
        <f aca="false">IF(F26="","",IF(UPPER(TRIM(F26))="B","Riktig","Prøv igjen"))</f>
        <v/>
      </c>
    </row>
    <row r="27" customFormat="false" ht="33.75" hidden="false" customHeight="true" outlineLevel="0" collapsed="false">
      <c r="A27" s="7" t="s">
        <v>119</v>
      </c>
      <c r="B27" s="7"/>
      <c r="C27" s="7"/>
      <c r="D27" s="7"/>
      <c r="E27" s="7"/>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30" hidden="false" customHeight="true" outlineLevel="0" collapsed="false">
      <c r="A31" s="17" t="s">
        <v>47</v>
      </c>
      <c r="B31" s="18" t="s">
        <v>120</v>
      </c>
      <c r="C31" s="18"/>
      <c r="D31" s="18"/>
      <c r="E31" s="18"/>
      <c r="F31" s="18"/>
      <c r="G31" s="18"/>
    </row>
    <row r="34" customFormat="false" ht="15" hidden="false" customHeight="false" outlineLevel="0" collapsed="false">
      <c r="A34" s="21" t="s">
        <v>56</v>
      </c>
      <c r="B34" s="21"/>
      <c r="C34" s="21"/>
      <c r="D34" s="21"/>
      <c r="E34" s="21"/>
      <c r="F34" s="21"/>
      <c r="G34" s="21"/>
    </row>
    <row r="35" customFormat="false" ht="30" hidden="false" customHeight="true" outlineLevel="0" collapsed="false">
      <c r="A35" s="22" t="s">
        <v>121</v>
      </c>
      <c r="B35" s="23" t="s">
        <v>122</v>
      </c>
      <c r="C35" s="23"/>
      <c r="D35" s="23"/>
      <c r="E35" s="23"/>
      <c r="F35" s="23"/>
      <c r="G35" s="23"/>
    </row>
    <row r="36" customFormat="false" ht="30" hidden="false" customHeight="true" outlineLevel="0" collapsed="false">
      <c r="A36" s="22" t="s">
        <v>123</v>
      </c>
      <c r="B36" s="23" t="s">
        <v>124</v>
      </c>
      <c r="C36" s="23"/>
      <c r="D36" s="23"/>
      <c r="E36" s="23"/>
      <c r="F36" s="23"/>
      <c r="G36" s="23"/>
    </row>
    <row r="38" customFormat="false" ht="63.75" hidden="false" customHeight="true" outlineLevel="0" collapsed="false">
      <c r="A38" s="6" t="s">
        <v>125</v>
      </c>
      <c r="B38" s="6"/>
      <c r="C38" s="6"/>
      <c r="D38" s="6"/>
      <c r="E38" s="6"/>
      <c r="F38" s="6"/>
      <c r="G38" s="6"/>
    </row>
    <row r="39" customFormat="false" ht="15" hidden="false" customHeight="true" outlineLevel="0" collapsed="false">
      <c r="A39" s="6" t="s">
        <v>62</v>
      </c>
      <c r="B39" s="6"/>
      <c r="C39" s="6"/>
      <c r="D39" s="6"/>
      <c r="E39" s="6"/>
      <c r="F39" s="6"/>
      <c r="G39" s="6"/>
    </row>
  </sheetData>
  <mergeCells count="28">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B24:G24"/>
    <mergeCell ref="A26:E26"/>
    <mergeCell ref="A27:E27"/>
    <mergeCell ref="A28:G30"/>
    <mergeCell ref="B31:G31"/>
    <mergeCell ref="A34:G34"/>
    <mergeCell ref="B35:G35"/>
    <mergeCell ref="B36:G36"/>
    <mergeCell ref="A38:G38"/>
    <mergeCell ref="A39:G3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126</v>
      </c>
    </row>
    <row r="2" customFormat="false" ht="15" hidden="false" customHeight="false" outlineLevel="0" collapsed="false">
      <c r="A2" s="2" t="s">
        <v>21</v>
      </c>
    </row>
    <row r="4" customFormat="false" ht="63.75" hidden="false" customHeight="true" outlineLevel="0" collapsed="false">
      <c r="A4" s="6" t="s">
        <v>127</v>
      </c>
      <c r="B4" s="6"/>
      <c r="C4" s="6"/>
      <c r="D4" s="6"/>
      <c r="E4" s="6"/>
      <c r="F4" s="6"/>
      <c r="G4" s="6"/>
    </row>
    <row r="5" customFormat="false" ht="78.75" hidden="false" customHeight="true" outlineLevel="0" collapsed="false">
      <c r="A5" s="7" t="s">
        <v>128</v>
      </c>
      <c r="B5" s="7"/>
      <c r="C5" s="7"/>
      <c r="D5" s="7"/>
      <c r="E5" s="7"/>
      <c r="F5" s="7"/>
      <c r="G5" s="7"/>
    </row>
    <row r="7" customFormat="false" ht="15" hidden="false" customHeight="false" outlineLevel="0" collapsed="false">
      <c r="A7" s="14" t="s">
        <v>66</v>
      </c>
      <c r="B7" s="14" t="s">
        <v>67</v>
      </c>
      <c r="C7" s="14"/>
      <c r="D7" s="14"/>
      <c r="E7" s="14"/>
      <c r="F7" s="14"/>
      <c r="G7" s="14"/>
    </row>
    <row r="8" customFormat="false" ht="18.75" hidden="false" customHeight="true" outlineLevel="0" collapsed="false">
      <c r="A8" s="24" t="s">
        <v>129</v>
      </c>
      <c r="B8" s="7" t="s">
        <v>130</v>
      </c>
      <c r="C8" s="7"/>
      <c r="D8" s="7"/>
      <c r="E8" s="7"/>
      <c r="F8" s="7"/>
      <c r="G8" s="7"/>
    </row>
    <row r="9" customFormat="false" ht="18.75" hidden="false" customHeight="true" outlineLevel="0" collapsed="false">
      <c r="A9" s="24" t="s">
        <v>131</v>
      </c>
      <c r="B9" s="7" t="s">
        <v>132</v>
      </c>
      <c r="C9" s="7"/>
      <c r="D9" s="7"/>
      <c r="E9" s="7"/>
      <c r="F9" s="7"/>
      <c r="G9" s="7"/>
    </row>
    <row r="10" customFormat="false" ht="18.75" hidden="false" customHeight="true" outlineLevel="0" collapsed="false">
      <c r="A10" s="24" t="s">
        <v>133</v>
      </c>
      <c r="B10" s="7" t="s">
        <v>134</v>
      </c>
      <c r="C10" s="7"/>
      <c r="D10" s="7"/>
      <c r="E10" s="7"/>
      <c r="F10" s="7"/>
      <c r="G10" s="7"/>
    </row>
    <row r="11" customFormat="false" ht="18.75" hidden="false" customHeight="true" outlineLevel="0" collapsed="false">
      <c r="A11" s="24" t="s">
        <v>72</v>
      </c>
      <c r="B11" s="7" t="s">
        <v>135</v>
      </c>
      <c r="C11" s="7"/>
      <c r="D11" s="7"/>
      <c r="E11" s="7"/>
      <c r="F11" s="7"/>
      <c r="G11" s="7"/>
    </row>
    <row r="12" customFormat="false" ht="18.75" hidden="false" customHeight="true" outlineLevel="0" collapsed="false">
      <c r="A12" s="24" t="s">
        <v>136</v>
      </c>
      <c r="B12" s="7" t="s">
        <v>137</v>
      </c>
      <c r="C12" s="7"/>
      <c r="D12" s="7"/>
      <c r="E12" s="7"/>
      <c r="F12" s="7"/>
      <c r="G12" s="7"/>
    </row>
    <row r="13" customFormat="false" ht="18.75" hidden="false" customHeight="true" outlineLevel="0" collapsed="false">
      <c r="A13" s="24" t="s">
        <v>138</v>
      </c>
      <c r="B13" s="7" t="s">
        <v>139</v>
      </c>
      <c r="C13" s="7"/>
      <c r="D13" s="7"/>
      <c r="E13" s="7"/>
      <c r="F13" s="7"/>
      <c r="G13" s="7"/>
    </row>
    <row r="15" customFormat="false" ht="15" hidden="false" customHeight="false" outlineLevel="0" collapsed="false">
      <c r="A15" s="14" t="s">
        <v>43</v>
      </c>
      <c r="B15" s="14"/>
      <c r="C15" s="14"/>
      <c r="D15" s="14"/>
      <c r="E15" s="14"/>
      <c r="F15" s="14" t="s">
        <v>44</v>
      </c>
      <c r="G15" s="14" t="s">
        <v>45</v>
      </c>
    </row>
    <row r="16" customFormat="false" ht="18.75" hidden="false" customHeight="true" outlineLevel="0" collapsed="false">
      <c r="A16" s="7" t="s">
        <v>140</v>
      </c>
      <c r="B16" s="7"/>
      <c r="C16" s="7"/>
      <c r="D16" s="7"/>
      <c r="E16" s="7"/>
      <c r="F16" s="15"/>
      <c r="G16" s="16" t="str">
        <f aca="false">IF(F16="","",IF(ABS(F16-(150))&lt;=0.000000001,"Riktig","Prøv igjen"))</f>
        <v/>
      </c>
    </row>
    <row r="17" customFormat="false" ht="16.5" hidden="false" customHeight="true" outlineLevel="0" collapsed="false">
      <c r="A17" s="17" t="s">
        <v>47</v>
      </c>
      <c r="B17" s="18" t="s">
        <v>141</v>
      </c>
      <c r="C17" s="18"/>
      <c r="D17" s="18"/>
      <c r="E17" s="18"/>
      <c r="F17" s="18"/>
      <c r="G17" s="18"/>
    </row>
    <row r="19" customFormat="false" ht="33.75" hidden="false" customHeight="true" outlineLevel="0" collapsed="false">
      <c r="A19" s="7" t="s">
        <v>142</v>
      </c>
      <c r="B19" s="7"/>
      <c r="C19" s="7"/>
      <c r="D19" s="7"/>
      <c r="E19" s="7"/>
      <c r="F19" s="15"/>
      <c r="G19" s="16" t="str">
        <f aca="false">IF(F19="","",IF(ABS(F19-(51.4))&lt;=0.1,"Riktig","Prøv igjen"))</f>
        <v/>
      </c>
    </row>
    <row r="20" customFormat="false" ht="16.5" hidden="false" customHeight="true" outlineLevel="0" collapsed="false">
      <c r="A20" s="17" t="s">
        <v>47</v>
      </c>
      <c r="B20" s="18" t="s">
        <v>143</v>
      </c>
      <c r="C20" s="18"/>
      <c r="D20" s="18"/>
      <c r="E20" s="18"/>
      <c r="F20" s="18"/>
      <c r="G20" s="18"/>
    </row>
    <row r="22" customFormat="false" ht="63.75" hidden="false" customHeight="true" outlineLevel="0" collapsed="false">
      <c r="A22" s="7" t="s">
        <v>144</v>
      </c>
      <c r="B22" s="7"/>
      <c r="C22" s="7"/>
      <c r="D22" s="7"/>
      <c r="E22" s="7"/>
      <c r="F22" s="19"/>
      <c r="G22" s="16" t="str">
        <f aca="false">IF(F22="","",IF(UPPER(TRIM(F22))="B","Riktig","Prøv igjen"))</f>
        <v/>
      </c>
    </row>
    <row r="23" customFormat="false" ht="78.75" hidden="false" customHeight="true" outlineLevel="0" collapsed="false">
      <c r="A23" s="7" t="s">
        <v>145</v>
      </c>
      <c r="B23" s="7"/>
      <c r="C23" s="7"/>
      <c r="D23" s="7"/>
      <c r="E23" s="7"/>
      <c r="F23" s="19"/>
      <c r="G23" s="16" t="str">
        <f aca="false">IF(F23="","",IF(UPPER(TRIM(F23))="B","Riktig","Prøv igjen"))</f>
        <v/>
      </c>
    </row>
    <row r="24" customFormat="false" ht="33.75" hidden="false" customHeight="true" outlineLevel="0" collapsed="false">
      <c r="A24" s="7" t="s">
        <v>146</v>
      </c>
      <c r="B24" s="7"/>
      <c r="C24" s="7"/>
      <c r="D24" s="7"/>
      <c r="E24" s="7"/>
    </row>
    <row r="25" customFormat="false" ht="15" hidden="false" customHeight="false" outlineLevel="0" collapsed="false">
      <c r="A25" s="20"/>
      <c r="B25" s="20"/>
      <c r="C25" s="20"/>
      <c r="D25" s="20"/>
      <c r="E25" s="20"/>
      <c r="F25" s="20"/>
      <c r="G25" s="20"/>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8" customFormat="false" ht="30" hidden="false" customHeight="true" outlineLevel="0" collapsed="false">
      <c r="A28" s="17" t="s">
        <v>47</v>
      </c>
      <c r="B28" s="18" t="s">
        <v>147</v>
      </c>
      <c r="C28" s="18"/>
      <c r="D28" s="18"/>
      <c r="E28" s="18"/>
      <c r="F28" s="18"/>
      <c r="G28" s="18"/>
    </row>
    <row r="31" customFormat="false" ht="15" hidden="false" customHeight="false" outlineLevel="0" collapsed="false">
      <c r="A31" s="21" t="s">
        <v>56</v>
      </c>
      <c r="B31" s="21"/>
      <c r="C31" s="21"/>
      <c r="D31" s="21"/>
      <c r="E31" s="21"/>
      <c r="F31" s="21"/>
      <c r="G31" s="21"/>
    </row>
    <row r="32" customFormat="false" ht="16.5" hidden="false" customHeight="true" outlineLevel="0" collapsed="false">
      <c r="A32" s="22" t="s">
        <v>148</v>
      </c>
      <c r="B32" s="23" t="s">
        <v>149</v>
      </c>
      <c r="C32" s="23"/>
      <c r="D32" s="23"/>
      <c r="E32" s="23"/>
      <c r="F32" s="23"/>
      <c r="G32" s="23"/>
    </row>
    <row r="33" customFormat="false" ht="30" hidden="false" customHeight="true" outlineLevel="0" collapsed="false">
      <c r="A33" s="22" t="s">
        <v>150</v>
      </c>
      <c r="B33" s="23" t="s">
        <v>151</v>
      </c>
      <c r="C33" s="23"/>
      <c r="D33" s="23"/>
      <c r="E33" s="23"/>
      <c r="F33" s="23"/>
      <c r="G33" s="23"/>
    </row>
    <row r="35" customFormat="false" ht="48.75" hidden="false" customHeight="true" outlineLevel="0" collapsed="false">
      <c r="A35" s="6" t="s">
        <v>152</v>
      </c>
      <c r="B35" s="6"/>
      <c r="C35" s="6"/>
      <c r="D35" s="6"/>
      <c r="E35" s="6"/>
      <c r="F35" s="6"/>
      <c r="G35" s="6"/>
    </row>
    <row r="36" customFormat="false" ht="15" hidden="false" customHeight="true" outlineLevel="0" collapsed="false">
      <c r="A36" s="6" t="s">
        <v>62</v>
      </c>
      <c r="B36" s="6"/>
      <c r="C36" s="6"/>
      <c r="D36" s="6"/>
      <c r="E36" s="6"/>
      <c r="F36" s="6"/>
      <c r="G36" s="6"/>
    </row>
  </sheetData>
  <mergeCells count="24">
    <mergeCell ref="A4:G4"/>
    <mergeCell ref="A5:G5"/>
    <mergeCell ref="B7:G7"/>
    <mergeCell ref="B8:G8"/>
    <mergeCell ref="B9:G9"/>
    <mergeCell ref="B10:G10"/>
    <mergeCell ref="B11:G11"/>
    <mergeCell ref="B12:G12"/>
    <mergeCell ref="B13:G13"/>
    <mergeCell ref="A15:E15"/>
    <mergeCell ref="A16:E16"/>
    <mergeCell ref="B17:G17"/>
    <mergeCell ref="A19:E19"/>
    <mergeCell ref="B20:G20"/>
    <mergeCell ref="A22:E22"/>
    <mergeCell ref="A23:E23"/>
    <mergeCell ref="A24:E24"/>
    <mergeCell ref="A25:G27"/>
    <mergeCell ref="B28:G28"/>
    <mergeCell ref="A31:G31"/>
    <mergeCell ref="B32:G32"/>
    <mergeCell ref="B33: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2026-10-11T09:57:49Z</dcterms:created>
  <dc:creator>openpyxl</dc:creator>
  <dc:description/>
  <dc:language>en-US</dc:language>
  <cp:lastModifiedBy/>
  <dcterms:modified xsi:type="dcterms:W3CDTF">2026-10-11T09:57:49Z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