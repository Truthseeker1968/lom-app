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iledning" sheetId="1" state="visible" r:id="rId1"/>
    <sheet xmlns:r="http://schemas.openxmlformats.org/officeDocument/2006/relationships" name="Verdikjeden" sheetId="2" state="visible" r:id="rId2"/>
    <sheet xmlns:r="http://schemas.openxmlformats.org/officeDocument/2006/relationships" name="Grossistens jobb" sheetId="3" state="visible" r:id="rId3"/>
    <sheet xmlns:r="http://schemas.openxmlformats.org/officeDocument/2006/relationships" name="Direkte innkjøp" sheetId="4" state="visible" r:id="rId4"/>
    <sheet xmlns:r="http://schemas.openxmlformats.org/officeDocument/2006/relationships" name="Scenario" sheetId="5" state="visible" r:id="rId5"/>
  </sheets>
  <definedNames/>
  <calcPr calcId="124519" fullCalcOnLoad="1"/>
</workbook>
</file>

<file path=xl/styles.xml><?xml version="1.0" encoding="utf-8"?>
<styleSheet xmlns="http://schemas.openxmlformats.org/spreadsheetml/2006/main">
  <numFmts count="3">
    <numFmt numFmtId="164" formatCode="#,##0 &quot;kr&quot;"/>
    <numFmt numFmtId="165" formatCode="0.0%"/>
    <numFmt numFmtId="166" formatCode="#,##0.00 &quot;kr&quot;"/>
  </numFmts>
  <fonts count="9">
    <font>
      <name val="Calibri"/>
      <family val="2"/>
      <color theme="1"/>
      <sz val="11"/>
      <scheme val="minor"/>
    </font>
    <font>
      <name val="Arial"/>
      <b val="1"/>
      <color rgb="001F3864"/>
      <sz val="14"/>
    </font>
    <font>
      <name val="Arial"/>
      <i val="1"/>
      <color rgb="00595959"/>
      <sz val="10"/>
    </font>
    <font>
      <name val="Arial"/>
      <b val="1"/>
      <color rgb="001F3864"/>
      <sz val="10"/>
    </font>
    <font>
      <name val="Arial"/>
      <sz val="10"/>
    </font>
    <font>
      <name val="Arial"/>
      <color rgb="000000FF"/>
      <sz val="10"/>
    </font>
    <font>
      <name val="Arial"/>
      <b val="1"/>
      <color rgb="00FFFFFF"/>
      <sz val="10"/>
    </font>
    <font>
      <name val="Arial"/>
      <b val="1"/>
      <sz val="10"/>
    </font>
    <font>
      <name val="Arial"/>
      <i val="1"/>
      <color rgb="00595959"/>
      <sz val="9"/>
    </font>
  </fonts>
  <fills count="6">
    <fill>
      <patternFill/>
    </fill>
    <fill>
      <patternFill patternType="gray125"/>
    </fill>
    <fill>
      <patternFill patternType="solid">
        <fgColor rgb="00FFF2CC"/>
      </patternFill>
    </fill>
    <fill>
      <patternFill patternType="solid">
        <fgColor rgb="001F3864"/>
      </patternFill>
    </fill>
    <fill>
      <patternFill patternType="solid">
        <fgColor rgb="00F2F2F2"/>
      </patternFill>
    </fill>
    <fill>
      <patternFill patternType="solid">
        <fgColor rgb="00DCE6F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8" fillId="0" borderId="0" pivotButton="0" quotePrefix="0" xfId="0"/>
    <xf numFmtId="0" fontId="3" fillId="0" borderId="0" pivotButton="0" quotePrefix="0" xfId="0"/>
    <xf numFmtId="0" fontId="5" fillId="2" borderId="1" pivotButton="0" quotePrefix="0" xfId="0"/>
    <xf numFmtId="0" fontId="4" fillId="0" borderId="0" pivotButton="0" quotePrefix="0" xfId="0"/>
    <xf numFmtId="0" fontId="4" fillId="4" borderId="1" pivotButton="0" quotePrefix="0" xfId="0"/>
    <xf numFmtId="0" fontId="7" fillId="0" borderId="0" pivotButton="0" quotePrefix="0" xfId="0"/>
    <xf numFmtId="0" fontId="6" fillId="3" borderId="0" applyAlignment="1" pivotButton="0" quotePrefix="0" xfId="0">
      <alignment horizontal="center" vertical="center" wrapText="1"/>
    </xf>
    <xf numFmtId="164" fontId="5" fillId="2" borderId="1" pivotButton="0" quotePrefix="0" xfId="0"/>
    <xf numFmtId="165" fontId="5" fillId="2" borderId="1" pivotButton="0" quotePrefix="0" xfId="0"/>
    <xf numFmtId="166" fontId="4" fillId="4" borderId="1" pivotButton="0" quotePrefix="0" xfId="0"/>
    <xf numFmtId="165" fontId="4" fillId="4" borderId="1" pivotButton="0" quotePrefix="0" xfId="0"/>
    <xf numFmtId="166" fontId="7" fillId="5" borderId="1" pivotButton="0" quotePrefix="0" xfId="0"/>
    <xf numFmtId="3" fontId="5" fillId="2" borderId="1" pivotButton="0" quotePrefix="0" xfId="0"/>
    <xf numFmtId="3" fontId="7" fillId="5" borderId="1" pivotButton="0" quotePrefix="0" xfId="0"/>
    <xf numFmtId="0" fontId="7" fillId="4" borderId="1" pivotButton="0" quotePrefix="0" xfId="0"/>
    <xf numFmtId="164" fontId="7" fillId="5" borderId="1" pivotButton="0" quotePrefix="0" xfId="0"/>
    <xf numFmtId="4" fontId="7" fillId="5" borderId="1" pivotButton="0" quotePrefix="0" xfId="0"/>
    <xf numFmtId="164" fontId="4" fillId="4" borderId="1" pivotButton="0" quotePrefix="0" xfId="0"/>
    <xf numFmtId="10" fontId="7" fillId="5" borderId="1" pivotButton="0" quotePrefix="0" xfId="0"/>
    <xf numFmtId="0" fontId="7" fillId="5" borderId="1" pivotButton="0" quotePrefix="0" xfId="0"/>
    <xf numFmtId="165" fontId="7" fillId="5" borderId="1" pivotButton="0" quotePrefix="0" xfId="0"/>
    <xf numFmtId="10" fontId="4" fillId="4" borderId="1" pivotButton="0" quotePrefix="0" xfId="0"/>
    <xf numFmtId="4" fontId="4" fillId="4" borderId="1" pivotButton="0" quotePrefix="0" xfId="0"/>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3"/>
  <sheetViews>
    <sheetView showGridLines="0" workbookViewId="0">
      <selection activeCell="A1" sqref="A1"/>
    </sheetView>
  </sheetViews>
  <sheetFormatPr baseColWidth="8" defaultRowHeight="15"/>
  <cols>
    <col width="40" customWidth="1" min="1" max="1"/>
    <col width="30" customWidth="1" min="2" max="2"/>
    <col width="62" customWidth="1" min="3" max="3"/>
  </cols>
  <sheetData>
    <row r="1">
      <c r="A1" s="1" t="inlineStr">
        <is>
          <t>Grossist eller direkte</t>
        </is>
      </c>
    </row>
    <row r="2">
      <c r="A2" s="2" t="inlineStr">
        <is>
          <t>LØM Markedsføring kap. 8 · arbeidsregneark · Fagskolen Oslo, Avdeling Elkraft</t>
        </is>
      </c>
    </row>
    <row r="3">
      <c r="A3" s="3" t="inlineStr">
        <is>
          <t>Emne: Teknisk kommunikasjon og ledelse for 1ET-klassene · LØM for 2ET, 2EK, 3EK og 4EK</t>
        </is>
      </c>
    </row>
    <row r="4">
      <c r="A4" s="4" t="inlineStr">
        <is>
          <t>Fargekode</t>
        </is>
      </c>
    </row>
    <row r="5">
      <c r="A5" s="5" t="inlineStr">
        <is>
          <t>Gul celle med blå skrift</t>
        </is>
      </c>
      <c r="B5" s="6" t="inlineStr">
        <is>
          <t>Inndata — dette er tallene du endrer.</t>
        </is>
      </c>
    </row>
    <row r="6">
      <c r="A6" s="7" t="inlineStr">
        <is>
          <t>Grå eller lyseblå celle, svart skrift</t>
        </is>
      </c>
      <c r="B6" s="6" t="inlineStr">
        <is>
          <t>Formel — regner seg selv. Ikke skriv over den.</t>
        </is>
      </c>
    </row>
    <row r="7">
      <c r="A7" s="7" t="inlineStr">
        <is>
          <t>Mørkeblå rad med hvit skrift</t>
        </is>
      </c>
      <c r="B7" s="6" t="inlineStr">
        <is>
          <t>Kolonneoverskrift.</t>
        </is>
      </c>
    </row>
    <row r="9">
      <c r="A9" s="4" t="inlineStr">
        <is>
          <t>Ark i arbeidsboka</t>
        </is>
      </c>
    </row>
    <row r="10">
      <c r="A10" s="8" t="inlineStr">
        <is>
          <t>Verdikjeden</t>
        </is>
      </c>
      <c r="B10" s="6" t="inlineStr">
        <is>
          <t>Hva materiellet koster gjennom hvert ledd, fra produsent til kundens faktura, og hva mellomleddet sparer av kundeforhold.</t>
        </is>
      </c>
    </row>
    <row r="11">
      <c r="A11" s="8" t="inlineStr">
        <is>
          <t>Grossistens jobb</t>
        </is>
      </c>
      <c r="B11" s="6" t="inlineStr">
        <is>
          <t>Kredittfunksjonen, lagerfunksjonen og leveringssikkerheten, tallfestet.</t>
        </is>
      </c>
    </row>
    <row r="12">
      <c r="A12" s="8" t="inlineStr">
        <is>
          <t>Direkte innkjøp</t>
        </is>
      </c>
      <c r="B12" s="6" t="inlineStr">
        <is>
          <t>DET VIKTIGSTE ARKET. Rabatten mot kostnadene som følger med, og rabatten som ville gitt balanse.</t>
        </is>
      </c>
    </row>
    <row r="13">
      <c r="A13" s="8" t="inlineStr">
        <is>
          <t>Scenario</t>
        </is>
      </c>
      <c r="B13" s="6" t="inlineStr">
        <is>
          <t>To spørsmål: ved hvilket volum snur direkte innkjøp, og er lageravtalen grossisten tilbyr en god avtale?</t>
        </is>
      </c>
    </row>
    <row r="15">
      <c r="A15" s="3" t="inlineStr">
        <is>
          <t>Tallene som ligger inne er Nordlys Elektro AS sine egne for 2026.</t>
        </is>
      </c>
    </row>
    <row r="16">
      <c r="A16" s="3" t="inlineStr">
        <is>
          <t>Materiellkjøp, varelager, kredittdager og avkastningskrav er de samme som i Økonomistyring kapittel 2, 3 og 10.</t>
        </is>
      </c>
    </row>
    <row r="18">
      <c r="A18" s="3" t="inlineStr">
        <is>
          <t>Tallene som ligger inne er et eksempel fra en elektrobedrift. Bytt dem ut med dine egne — alle formler følger med.</t>
        </is>
      </c>
    </row>
    <row r="19">
      <c r="A19" s="3" t="inlineStr">
        <is>
          <t>Arbeidsregneark til LØM · Fagskolen Oslo, Avdeling Elkraft. Regnearket er øvingsstøtte, ikke et regnskapssystem.</t>
        </is>
      </c>
    </row>
    <row r="21">
      <c r="A21" s="4" t="inlineStr">
        <is>
          <t>Den ene innsikten</t>
        </is>
      </c>
    </row>
    <row r="22">
      <c r="A22" s="6" t="inlineStr">
        <is>
          <t>Direkte innkjøp!B25</t>
        </is>
      </c>
      <c r="B22" s="6" t="inlineStr">
        <is>
          <t>Rabatten som ville gitt balanse</t>
        </is>
      </c>
      <c r="C22" s="6" t="inlineStr">
        <is>
          <t>Grossisten er ikke en kostnad du kan fjerne. Den er en jobb noen må gjøre. Denne cellen sier hva den jobben er verdt, målt i rabattprosent — og den er større enn rabatten produsenten tilbyr.</t>
        </is>
      </c>
    </row>
    <row r="23">
      <c r="A23" s="6" t="inlineStr">
        <is>
          <t>Scenario!B13</t>
        </is>
      </c>
      <c r="B23" s="6" t="inlineStr">
        <is>
          <t>Vendepunktet</t>
        </is>
      </c>
      <c r="C23" s="6" t="inlineStr">
        <is>
          <t>Materiellvolumet der direkte innkjøp snur fra tap til gevinst. Under det er svaret nei; over det er det ja. Svaret er altså ikke «aldri» — det er «ikke ennå».</t>
        </is>
      </c>
    </row>
    <row r="25">
      <c r="A25" s="4" t="inlineStr">
        <is>
          <t>Hvilken oppgave bruker hvilket ark</t>
        </is>
      </c>
    </row>
    <row r="26" ht="28" customHeight="1">
      <c r="A26" s="9" t="inlineStr">
        <is>
          <t>Oppgave i øvingsheftet</t>
        </is>
      </c>
      <c r="B26" s="9" t="inlineStr">
        <is>
          <t>Ark</t>
        </is>
      </c>
      <c r="C26" s="9" t="inlineStr">
        <is>
          <t>Celler du endrer og leser av</t>
        </is>
      </c>
    </row>
    <row r="27">
      <c r="A27" s="6" t="inlineStr">
        <is>
          <t>A1 · Bør Nordlys kjøpe direkte fra produsent?</t>
        </is>
      </c>
      <c r="B27" s="8" t="inlineStr">
        <is>
          <t>Direkte innkjøp</t>
        </is>
      </c>
      <c r="C27" s="6" t="inlineStr">
        <is>
          <t>Les av B7, B21, B24 og B25. Kontrollraden i C30 står med vilje på AVVIK.</t>
        </is>
      </c>
    </row>
    <row r="28">
      <c r="A28" s="6" t="inlineStr">
        <is>
          <t>A2 · Klasseoppgave: tegn verdikjeden</t>
        </is>
      </c>
      <c r="B28" s="8" t="inlineStr">
        <is>
          <t>Verdikjeden</t>
        </is>
      </c>
      <c r="C28" s="6" t="inlineStr">
        <is>
          <t>Les kolonne B og C. Relasjonsregnestykket står i B23 til B27.</t>
        </is>
      </c>
    </row>
    <row r="29">
      <c r="A29" s="6" t="inlineStr">
        <is>
          <t>1 · Direkte fra produsent, indirekte til kunden</t>
        </is>
      </c>
      <c r="B29" s="8" t="inlineStr">
        <is>
          <t>Verdikjeden</t>
        </is>
      </c>
      <c r="C29" s="6" t="inlineStr">
        <is>
          <t>Sett rabatten ved direktekjøp i B6 til null, og se hva som skjer med grossistleddet i kolonne C. Les av kolonne B, C og D.</t>
        </is>
      </c>
    </row>
    <row r="30">
      <c r="A30" s="6" t="inlineStr">
        <is>
          <t>2 · Grossistens funksjoner</t>
        </is>
      </c>
      <c r="B30" s="8" t="inlineStr">
        <is>
          <t>Grossistens jobb</t>
        </is>
      </c>
      <c r="C30" s="6" t="inlineStr">
        <is>
          <t>Endre B5, B6, B12, B18, B19 og B20. Les av B7, B9, B13, B14, B21 og B22.</t>
        </is>
      </c>
    </row>
    <row r="31">
      <c r="A31" s="6" t="inlineStr">
        <is>
          <t>3 · Regnestykket bak direkte innkjøp</t>
        </is>
      </c>
      <c r="B31" s="8" t="inlineStr">
        <is>
          <t>Direkte innkjøp</t>
        </is>
      </c>
      <c r="C31" s="6" t="inlineStr">
        <is>
          <t>Endre B6, B11, B17 og B18. Les av B14, B16, B19, B20, B21, B24 og B25.</t>
        </is>
      </c>
    </row>
    <row r="32">
      <c r="A32" s="6" t="inlineStr">
        <is>
          <t>4 · Hvem eier kunden?</t>
        </is>
      </c>
      <c r="B32" s="8" t="inlineStr">
        <is>
          <t>Verdikjeden</t>
        </is>
      </c>
      <c r="C32" s="6" t="inlineStr">
        <is>
          <t>Endre B23 og B24, og les av B25 til B27.</t>
        </is>
      </c>
    </row>
    <row r="33">
      <c r="A33" s="6" t="inlineStr">
        <is>
          <t>5 · Eksamensnær: bedre pris mot større lager</t>
        </is>
      </c>
      <c r="B33" s="8" t="inlineStr">
        <is>
          <t>Scenario</t>
        </is>
      </c>
      <c r="C33" s="6" t="inlineStr">
        <is>
          <t>Scenario A: les av B11, B12, B13 og B15 og volumtabellen. Scenario B: endre rabatten, lageret, lagerholdsprosenten og ukuransandelen, og les av nettoen med og uten ukurans.</t>
        </is>
      </c>
    </row>
    <row r="35">
      <c r="A35" s="4" t="inlineStr">
        <is>
          <t>Kontrollradene</t>
        </is>
      </c>
    </row>
    <row r="36">
      <c r="A36" s="6" t="inlineStr">
        <is>
          <t>Hvert ark har en kontrollblokk nederst. Står det OK, henger tallene sammen. Står det AVVIK, farges cellen rød, og teksten sier hva som ikke går opp.</t>
        </is>
      </c>
    </row>
    <row r="37">
      <c r="A37" s="6" t="inlineStr">
        <is>
          <t>To unntak: kontrollen i «Direkte innkjøp» C30 og kontrollen på ukurans i scenario B skal vise AVVIK med tallene som ligger inne. Der er avviket selve svaret.</t>
        </is>
      </c>
    </row>
    <row r="38">
      <c r="A38" s="3" t="inlineStr">
        <is>
          <t>Kontroller i arbeidsboka: Verdikjeden C30, Verdikjeden C31, Verdikjeden C32, Grossistens jobb C28, Grossistens jobb C29, Direkte innkjøp C29, Direkte innkjøp C30, Direkte innkjøp C32, Scenario C27, Scenario C28, Scenario C29, Scenario C63, Scenario C64, Scenario C66</t>
        </is>
      </c>
    </row>
    <row r="40">
      <c r="A40" s="4" t="inlineStr">
        <is>
          <t>Kilder</t>
        </is>
      </c>
    </row>
    <row r="41">
      <c r="A41" s="3" t="inlineStr">
        <is>
          <t>Hjertnes, Frode: Markedsføring, organisasjon og ledelse for LØM-emnet, 4. utgave, kapittel 8 «Distribusjon som konkurransevirkemiddel», avsnitt 8.1 til 8.5, med figur 8.1.</t>
        </is>
      </c>
    </row>
    <row r="42">
      <c r="A42" s="3" t="inlineStr">
        <is>
          <t>Materiellkjøp, varelager, leverandørgjeld, kredittdager, avkastningskrav og dekningsbidrag: Nordlys Elektro AS, Økonomistyring kapittel 2, 3, 8 og 10. Påslaget for sosiale kostnader: tabell 2.4 i læreboka. Bransjetall: NHO Elektro, Lønnsomhetsrapport 2025, gjengitt i Elektro 24-7 19.08.2026 (hentet 10.09.2026). De 809 er bedriftene i datagrunnlaget, ikke bransjen. NHO Elektro oppgir ikke svarprosent.</t>
        </is>
      </c>
    </row>
    <row r="43">
      <c r="A43" s="3" t="inlineStr">
        <is>
          <t>Konstruert for undervisningen: antall produsenter og installasjonsbedrifter, lagerstørrelsen ved direkte innkjøp, bemanningen, hasteandelen, lagerholdsprosenten og ukuransandelen. Alle står i gule celler og kan endres.</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35"/>
  <sheetViews>
    <sheetView showGridLines="0" workbookViewId="0">
      <selection activeCell="A1" sqref="A1"/>
    </sheetView>
  </sheetViews>
  <sheetFormatPr baseColWidth="8" defaultRowHeight="15"/>
  <cols>
    <col width="40" customWidth="1" min="1" max="1"/>
    <col width="16" customWidth="1" min="2" max="2"/>
    <col width="16" customWidth="1" min="3" max="3"/>
    <col width="16" customWidth="1" min="4" max="4"/>
    <col width="58" customWidth="1" min="5" max="5"/>
  </cols>
  <sheetData>
    <row r="1">
      <c r="A1" s="1" t="inlineStr">
        <is>
          <t>Hva materiellet koster gjennom hvert ledd</t>
        </is>
      </c>
    </row>
    <row r="2">
      <c r="A2" s="2" t="inlineStr">
        <is>
          <t>Materiellet på ett sikringsskapbytte, fra fabrikk til kundens faktura.</t>
        </is>
      </c>
    </row>
    <row r="4">
      <c r="A4" s="4" t="inlineStr">
        <is>
          <t>1 · Forutsetninger</t>
        </is>
      </c>
    </row>
    <row r="5">
      <c r="A5" s="6" t="inlineStr">
        <is>
          <t>Grossistens pris til Nordlys (inntakskost)</t>
        </is>
      </c>
      <c r="B5" s="10" t="n">
        <v>9800</v>
      </c>
      <c r="E5" s="6" t="inlineStr">
        <is>
          <t>Det Nordlys faktisk betaler Polarlys Elektro Grossist AS for materiellet på jobben.</t>
        </is>
      </c>
    </row>
    <row r="6">
      <c r="A6" s="6" t="inlineStr">
        <is>
          <t>Rabatt ved kjøp rett fra produsent, i hele kvanta</t>
        </is>
      </c>
      <c r="B6" s="11" t="n">
        <v>0.1</v>
      </c>
      <c r="E6" s="6" t="inlineStr">
        <is>
          <t>Det produsenten kan gi når Nordlys tar hele kvanta selv.</t>
        </is>
      </c>
    </row>
    <row r="7">
      <c r="A7" s="6" t="inlineStr">
        <is>
          <t>Nordlys' påslag på materiell</t>
        </is>
      </c>
      <c r="B7" s="11" t="n">
        <v>0.2</v>
      </c>
    </row>
    <row r="8">
      <c r="A8" s="6" t="inlineStr">
        <is>
          <t>Merverdiavgift</t>
        </is>
      </c>
      <c r="B8" s="11" t="n">
        <v>0.25</v>
      </c>
    </row>
    <row r="10">
      <c r="A10" s="4" t="inlineStr">
        <is>
          <t>2 · Prisen gjennom leddene</t>
        </is>
      </c>
    </row>
    <row r="11" ht="28" customHeight="1">
      <c r="A11" s="9" t="inlineStr">
        <is>
          <t>Ledd</t>
        </is>
      </c>
      <c r="B11" s="9" t="inlineStr">
        <is>
          <t>Pris</t>
        </is>
      </c>
      <c r="C11" s="9" t="inlineStr">
        <is>
          <t>Lagt på i dette leddet</t>
        </is>
      </c>
      <c r="D11" s="9" t="inlineStr">
        <is>
          <t>Andel av sluttprisen</t>
        </is>
      </c>
      <c r="E11" s="9" t="inlineStr">
        <is>
          <t>Hva leddet gjør for pengene</t>
        </is>
      </c>
    </row>
    <row r="12">
      <c r="A12" s="6" t="inlineStr">
        <is>
          <t>Produsent</t>
        </is>
      </c>
      <c r="B12" s="12">
        <f>B5*(1-B6)</f>
        <v/>
      </c>
      <c r="D12" s="13">
        <f>B12/$B$15</f>
        <v/>
      </c>
      <c r="E12" s="6" t="inlineStr">
        <is>
          <t>Lager varen. Prisen Nordlys ville fått rett fra fabrikk, i hele kvanta.</t>
        </is>
      </c>
    </row>
    <row r="13">
      <c r="A13" s="6" t="inlineStr">
        <is>
          <t>Grossist</t>
        </is>
      </c>
      <c r="B13" s="12">
        <f>B5</f>
        <v/>
      </c>
      <c r="C13" s="14">
        <f>B13-B12</f>
        <v/>
      </c>
      <c r="D13" s="13">
        <f>B13/$B$15</f>
        <v/>
      </c>
      <c r="E13" s="6" t="inlineStr">
        <is>
          <t>Bryter ned kvanta, holder lager, gir kreditt og leverer neste dag. Se arket «Grossistens jobb».</t>
        </is>
      </c>
    </row>
    <row r="14">
      <c r="A14" s="6" t="inlineStr">
        <is>
          <t>Installatør, pris uten mva.</t>
        </is>
      </c>
      <c r="B14" s="12">
        <f>B13*(1+B7)</f>
        <v/>
      </c>
      <c r="C14" s="14">
        <f>B14-B13</f>
        <v/>
      </c>
      <c r="D14" s="13">
        <f>B14/$B$15</f>
        <v/>
      </c>
      <c r="E14" s="6" t="inlineStr">
        <is>
          <t>Kjører, bærer, monterer, dokumenterer og garanterer. Påslaget dekker også risikoen for feilbestilling.</t>
        </is>
      </c>
    </row>
    <row r="15">
      <c r="A15" s="8" t="inlineStr">
        <is>
          <t>Sluttkunde, pris med mva.</t>
        </is>
      </c>
      <c r="B15" s="14">
        <f>B14*(1+B8)</f>
        <v/>
      </c>
      <c r="C15" s="12">
        <f>B15-B14</f>
        <v/>
      </c>
      <c r="D15" s="13">
        <f>B15/$B$15</f>
        <v/>
      </c>
      <c r="E15" s="6" t="inlineStr">
        <is>
          <t>Staten. Merverdiavgiften er ikke et ledd, men den står på fakturaen.</t>
        </is>
      </c>
    </row>
    <row r="17">
      <c r="A17" s="4" t="inlineStr">
        <is>
          <t>3 · De to marginene</t>
        </is>
      </c>
    </row>
    <row r="18">
      <c r="A18" s="6" t="inlineStr">
        <is>
          <t>Grossistens bruttofortjeneste i prosent av sin salgspris</t>
        </is>
      </c>
      <c r="B18" s="13">
        <f>C13/B13</f>
        <v/>
      </c>
      <c r="E18" s="6" t="inlineStr">
        <is>
          <t>Dette er nøyaktig direkterabatten: den rabatten produsenten kan gi, er den marginen grossisten tar.</t>
        </is>
      </c>
    </row>
    <row r="19">
      <c r="A19" s="6" t="inlineStr">
        <is>
          <t>Nordlys' avanse i prosent av inntakskost</t>
        </is>
      </c>
      <c r="B19" s="13">
        <f>C14/B13</f>
        <v/>
      </c>
    </row>
    <row r="20">
      <c r="A20" s="6" t="inlineStr">
        <is>
          <t>Nordlys' bruttofortjeneste i prosent av pris uten mva.</t>
        </is>
      </c>
      <c r="B20" s="13">
        <f>C14/B14</f>
        <v/>
      </c>
      <c r="E20" s="6" t="inlineStr">
        <is>
          <t>Samme kroner, mindre prosent. Nevneren er ulik — det er det samme skillet som i Økonomistyring kapittel 5.</t>
        </is>
      </c>
    </row>
    <row r="22">
      <c r="A22" s="4" t="inlineStr">
        <is>
          <t>4 · Mellomleddet reduserer antall kundeforhold</t>
        </is>
      </c>
    </row>
    <row r="23">
      <c r="A23" s="6" t="inlineStr">
        <is>
          <t>Produsenter og merker Nordlys bruker i løpet av et år</t>
        </is>
      </c>
      <c r="B23" s="15" t="n">
        <v>40</v>
      </c>
    </row>
    <row r="24">
      <c r="A24" s="6" t="inlineStr">
        <is>
          <t>Installasjonsbedrifter i regionen som handler samme sted</t>
        </is>
      </c>
      <c r="B24" s="15" t="n">
        <v>25</v>
      </c>
    </row>
    <row r="25">
      <c r="A25" s="6" t="inlineStr">
        <is>
          <t>Kundeforhold UTEN mellomledd (alle mot alle)</t>
        </is>
      </c>
      <c r="B25" s="16">
        <f>B23*B24</f>
        <v/>
      </c>
    </row>
    <row r="26">
      <c r="A26" s="6" t="inlineStr">
        <is>
          <t>Kundeforhold MED mellomledd (alle mot én)</t>
        </is>
      </c>
      <c r="B26" s="16">
        <f>B23+B24</f>
        <v/>
      </c>
    </row>
    <row r="27">
      <c r="A27" s="8" t="inlineStr">
        <is>
          <t>= Relasjoner spart</t>
        </is>
      </c>
      <c r="B27" s="16">
        <f>B25-B26</f>
        <v/>
      </c>
      <c r="C27" s="13">
        <f>B27/B25</f>
        <v/>
      </c>
      <c r="E27" s="6" t="inlineStr">
        <is>
          <t>Figur 8.1 i boka. Et mellomledd er ikke en kostnad — det er en forenkling, og den kan regnes.</t>
        </is>
      </c>
    </row>
    <row r="29">
      <c r="A29" s="4" t="inlineStr">
        <is>
          <t>Kontroll</t>
        </is>
      </c>
    </row>
    <row r="30">
      <c r="A30" s="6" t="inlineStr">
        <is>
          <t>Stiger prisen gjennom leddene?</t>
        </is>
      </c>
      <c r="C30" s="17">
        <f>IF(AND(B12&lt;B13,B13&lt;B14,B14&lt;B15),"OK — prisen stiger leddvis fra produsent til sluttkunde","AVVIK: et ledd tar negativ margin. Kontroller prosentene i B6 og B7")</f>
        <v/>
      </c>
    </row>
    <row r="31">
      <c r="A31" s="6" t="inlineStr">
        <is>
          <t>Er bruttofortjenesten lavere enn avansen?</t>
        </is>
      </c>
      <c r="C31" s="17">
        <f>IF(B20&lt;B19,"OK — bruttofortjenesten i prosent av pris er lavere enn avansen i prosent av inntakskost, som den skal","AVVIK: kontroller nevnerne i B19 og B20")</f>
        <v/>
      </c>
    </row>
    <row r="32">
      <c r="A32" s="6" t="inlineStr">
        <is>
          <t>Sparer mellomleddet relasjoner?</t>
        </is>
      </c>
      <c r="C32" s="17">
        <f>IF(B26&lt;B25,"OK — mellomleddet reduserer antall kundeforhold","AVVIK: med så få aktører lønner ikke mellomleddet seg på relasjoner alene")</f>
        <v/>
      </c>
    </row>
    <row r="34">
      <c r="A34" s="8" t="inlineStr">
        <is>
          <t>Prøv dette: sett antall produsenter i B23 til tre. Da er mellomleddet nesten uten verdi på dette punktet — og du ser hvorfor store entreprenører kjøper direkte.</t>
        </is>
      </c>
    </row>
    <row r="35">
      <c r="A35" s="3" t="inlineStr">
        <is>
          <t>Kilde: Hjertnes, Markedsføring, organisasjon og ledelse for LØM-emnet, 4. utg., kap. 8.1 og 8.2, med figur 8.1. Materiellprisen er Nordlys Elektro AS sin egen, fra Økonomistyring kapittel 5.</t>
        </is>
      </c>
    </row>
  </sheetData>
  <conditionalFormatting sqref="C30">
    <cfRule type="expression" priority="1" dxfId="0" stopIfTrue="0">
      <formula>LEFT(C30,5)="AVVIK"</formula>
    </cfRule>
  </conditionalFormatting>
  <conditionalFormatting sqref="C31">
    <cfRule type="expression" priority="2" dxfId="0" stopIfTrue="0">
      <formula>LEFT(C31,5)="AVVIK"</formula>
    </cfRule>
  </conditionalFormatting>
  <conditionalFormatting sqref="C32">
    <cfRule type="expression" priority="3" dxfId="0" stopIfTrue="0">
      <formula>LEFT(C32,5)="AVVIK"</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32"/>
  <sheetViews>
    <sheetView showGridLines="0" workbookViewId="0">
      <selection activeCell="A1" sqref="A1"/>
    </sheetView>
  </sheetViews>
  <sheetFormatPr baseColWidth="8" defaultRowHeight="15"/>
  <cols>
    <col width="34" customWidth="1" min="1" max="1"/>
    <col width="18" customWidth="1" min="2" max="2"/>
    <col width="18" customWidth="1" min="3" max="3"/>
    <col width="52" customWidth="1" min="4" max="4"/>
  </cols>
  <sheetData>
    <row r="1">
      <c r="A1" s="1" t="inlineStr">
        <is>
          <t>Hva grossisten gjør — og hva det ville kostet å gjøre det selv</t>
        </is>
      </c>
    </row>
    <row r="2">
      <c r="A2" s="2" t="inlineStr">
        <is>
          <t>Seks funksjoner. Tre av dem lar seg tallfeste.</t>
        </is>
      </c>
    </row>
    <row r="4">
      <c r="A4" s="4" t="inlineStr">
        <is>
          <t>1 · Kredittfunksjonen</t>
        </is>
      </c>
    </row>
    <row r="5">
      <c r="A5" s="6" t="inlineStr">
        <is>
          <t>Materiellkjøp i året</t>
        </is>
      </c>
      <c r="B5" s="10" t="n">
        <v>7990000</v>
      </c>
    </row>
    <row r="6">
      <c r="A6" s="6" t="inlineStr">
        <is>
          <t>Kredittdager hos grossisten</t>
        </is>
      </c>
      <c r="B6" s="15" t="n">
        <v>30</v>
      </c>
    </row>
    <row r="7">
      <c r="A7" s="8" t="inlineStr">
        <is>
          <t>= Leverandørkreditt i gjennomsnitt</t>
        </is>
      </c>
      <c r="B7" s="18">
        <f>B5*B6/365</f>
        <v/>
      </c>
      <c r="D7" s="6" t="inlineStr">
        <is>
          <t>Så mye av driften finansierer grossisten — rentefritt.</t>
        </is>
      </c>
    </row>
    <row r="8">
      <c r="A8" s="6" t="inlineStr">
        <is>
          <t>Bedriftens avkastningskrav</t>
        </is>
      </c>
      <c r="B8" s="11" t="n">
        <v>0.1</v>
      </c>
    </row>
    <row r="9">
      <c r="A9" s="8" t="inlineStr">
        <is>
          <t>= Hva den kreditten er verdt i året</t>
        </is>
      </c>
      <c r="B9" s="18">
        <f>B7*B8</f>
        <v/>
      </c>
      <c r="D9" s="6" t="inlineStr">
        <is>
          <t>Renten Nordlys slipper å betale på den samme kapitalen.</t>
        </is>
      </c>
    </row>
    <row r="11">
      <c r="A11" s="4" t="inlineStr">
        <is>
          <t>2 · Lagerfunksjonen</t>
        </is>
      </c>
    </row>
    <row r="12">
      <c r="A12" s="6" t="inlineStr">
        <is>
          <t>Nordlys' eget varelager</t>
        </is>
      </c>
      <c r="B12" s="10" t="n">
        <v>1400000</v>
      </c>
    </row>
    <row r="13">
      <c r="A13" s="8" t="inlineStr">
        <is>
          <t>= Lagerets omløpshastighet</t>
        </is>
      </c>
      <c r="B13" s="19">
        <f>B5/B12</f>
        <v/>
      </c>
      <c r="D13" s="6" t="inlineStr">
        <is>
          <t>Hvor mange ganger lageret skiftes ut i løpet av et år.</t>
        </is>
      </c>
    </row>
    <row r="14">
      <c r="A14" s="8" t="inlineStr">
        <is>
          <t>= Gjennomsnittlig lagringstid, dager</t>
        </is>
      </c>
      <c r="B14" s="19">
        <f>365/B13</f>
        <v/>
      </c>
      <c r="D14" s="6" t="inlineStr">
        <is>
          <t>Så lenge ligger en vare på lageret før den brukes. Jo lengre, jo mer kapital er bundet — og jo større er risikoen for ukurans.</t>
        </is>
      </c>
    </row>
    <row r="15">
      <c r="A15" s="6" t="inlineStr">
        <is>
          <t>Kapital bundet i lageret, kostnad i året</t>
        </is>
      </c>
      <c r="B15" s="20">
        <f>B12*B8</f>
        <v/>
      </c>
    </row>
    <row r="17">
      <c r="A17" s="4" t="inlineStr">
        <is>
          <t>3 · Leveringssikkerheten</t>
        </is>
      </c>
    </row>
    <row r="18">
      <c r="A18" s="6" t="inlineStr">
        <is>
          <t>Planlagte serviceoppdrag i året</t>
        </is>
      </c>
      <c r="B18" s="15" t="n">
        <v>210</v>
      </c>
    </row>
    <row r="19">
      <c r="A19" s="6" t="inlineStr">
        <is>
          <t>Andel som forutsetter levering neste dag</t>
        </is>
      </c>
      <c r="B19" s="11" t="n">
        <v>0.2</v>
      </c>
    </row>
    <row r="20">
      <c r="A20" s="6" t="inlineStr">
        <is>
          <t>Dekningsbidrag per serviceoppdrag</t>
        </is>
      </c>
      <c r="B20" s="10" t="n">
        <v>7300</v>
      </c>
    </row>
    <row r="21">
      <c r="A21" s="8" t="inlineStr">
        <is>
          <t>= Oppdrag som står og faller med leveringen</t>
        </is>
      </c>
      <c r="B21" s="19">
        <f>B18*B19</f>
        <v/>
      </c>
    </row>
    <row r="22">
      <c r="A22" s="8" t="inlineStr">
        <is>
          <t>= Dekningsbidrag som står på spill</t>
        </is>
      </c>
      <c r="B22" s="18">
        <f>B21*B20</f>
        <v/>
      </c>
      <c r="D22" s="6" t="inlineStr">
        <is>
          <t>Dette er verdien av at grossisten har varen på hylla i dag.</t>
        </is>
      </c>
    </row>
    <row r="24">
      <c r="A24" s="4" t="inlineStr">
        <is>
          <t>4 · De tre funksjonene til sammen</t>
        </is>
      </c>
    </row>
    <row r="25">
      <c r="A25" s="8" t="inlineStr">
        <is>
          <t>= Hva grossisten er verdt i året, regnet på disse tre</t>
        </is>
      </c>
      <c r="B25" s="18">
        <f>B9+B22</f>
        <v/>
      </c>
      <c r="D25" s="6" t="inlineStr">
        <is>
          <t>Kredittverdien og det sikrede dekningsbidraget. Kompetanse, sortiment og returrett kommer i tillegg og lar seg ikke tallfeste her.</t>
        </is>
      </c>
    </row>
    <row r="27">
      <c r="A27" s="4" t="inlineStr">
        <is>
          <t>Kontroll</t>
        </is>
      </c>
    </row>
    <row r="28">
      <c r="A28" s="6" t="inlineStr">
        <is>
          <t>Henger lagringstiden sammen med omløpshastigheten?</t>
        </is>
      </c>
      <c r="C28" s="17">
        <f>IF(ABS(B13*B14-365)&lt;0.01,"OK — omløpshastighet ganger lagringstid er 365 dager","AVVIK: de to tallene henger ikke sammen")</f>
        <v/>
      </c>
    </row>
    <row r="29">
      <c r="A29" s="6" t="inlineStr">
        <is>
          <t>Er kreditten større enn null?</t>
        </is>
      </c>
      <c r="C29" s="17">
        <f>IF(B7&gt;0,"OK — grossisten finansierer en del av driften","AVVIK: uten kredittdager finansierer grossisten ingenting")</f>
        <v/>
      </c>
    </row>
    <row r="31">
      <c r="A31" s="8" t="inlineStr">
        <is>
          <t>Prøv dette: sett kredittdagene i B6 til null. Det er situasjonen ved direkte innkjøp fra produsent, som gjerne krever forskuddsbetaling.</t>
        </is>
      </c>
    </row>
    <row r="32">
      <c r="A32" s="3" t="inlineStr">
        <is>
          <t>Kilde: Hjertnes kap. 8.3 om grossistens funksjoner. Materiellkjøp, varelager og kredittdager: Nordlys Elektro AS, Økonomistyring kapittel 2 og 3.</t>
        </is>
      </c>
    </row>
  </sheetData>
  <conditionalFormatting sqref="C28">
    <cfRule type="expression" priority="1" dxfId="0" stopIfTrue="0">
      <formula>LEFT(C28,5)="AVVIK"</formula>
    </cfRule>
  </conditionalFormatting>
  <conditionalFormatting sqref="C29">
    <cfRule type="expression" priority="2" dxfId="0" stopIfTrue="0">
      <formula>LEFT(C29,5)="AVVIK"</formula>
    </cfRule>
  </conditionalFormatting>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35"/>
  <sheetViews>
    <sheetView showGridLines="0" workbookViewId="0">
      <selection activeCell="A1" sqref="A1"/>
    </sheetView>
  </sheetViews>
  <sheetFormatPr baseColWidth="8" defaultRowHeight="15"/>
  <cols>
    <col width="50" customWidth="1" min="1" max="1"/>
    <col width="18" customWidth="1" min="2" max="2"/>
    <col width="18" customWidth="1" min="3" max="3"/>
    <col width="52" customWidth="1" min="4" max="4"/>
  </cols>
  <sheetData>
    <row r="1">
      <c r="A1" s="1" t="inlineStr">
        <is>
          <t>Lønner det seg å hoppe over grossisten?</t>
        </is>
      </c>
    </row>
    <row r="2">
      <c r="A2" s="2" t="inlineStr">
        <is>
          <t>Rabatten er ekte. Spørsmålet er om den er stor nok.</t>
        </is>
      </c>
    </row>
    <row r="4">
      <c r="A4" s="4" t="inlineStr">
        <is>
          <t>1 · Gevinsten</t>
        </is>
      </c>
    </row>
    <row r="5">
      <c r="A5" s="6" t="inlineStr">
        <is>
          <t>Materiellkjøp i året</t>
        </is>
      </c>
      <c r="B5" s="20">
        <f>'Grossistens jobb'!B5</f>
        <v/>
      </c>
    </row>
    <row r="6">
      <c r="A6" s="6" t="inlineStr">
        <is>
          <t>Rabatt ved kjøp rett fra produsent</t>
        </is>
      </c>
      <c r="B6" s="11" t="n">
        <v>0.1</v>
      </c>
    </row>
    <row r="7">
      <c r="A7" s="8" t="inlineStr">
        <is>
          <t>= Rabatt i kroner</t>
        </is>
      </c>
      <c r="B7" s="18">
        <f>B5*B6</f>
        <v/>
      </c>
      <c r="D7" s="6" t="inlineStr">
        <is>
          <t>Dette er tallet selgeren viser deg. Det er riktig — det er bare ikke hele regnestykket.</t>
        </is>
      </c>
    </row>
    <row r="9">
      <c r="A9" s="4" t="inlineStr">
        <is>
          <t>2 · Kostnadene som følger med</t>
        </is>
      </c>
    </row>
    <row r="10">
      <c r="A10" s="6" t="inlineStr">
        <is>
          <t>Varelager i dag</t>
        </is>
      </c>
      <c r="B10" s="20">
        <f>'Grossistens jobb'!B12</f>
        <v/>
      </c>
    </row>
    <row r="11">
      <c r="A11" s="6" t="inlineStr">
        <is>
          <t>Varelager som må til ved direkte innkjøp</t>
        </is>
      </c>
      <c r="B11" s="10" t="n">
        <v>3500000</v>
      </c>
      <c r="D11" s="6" t="inlineStr">
        <is>
          <t>Produsentene selger i hele kvanta. Lageret må mer enn dobles.</t>
        </is>
      </c>
    </row>
    <row r="12">
      <c r="A12" s="6" t="inlineStr">
        <is>
          <t>= Økning i varelager</t>
        </is>
      </c>
      <c r="B12" s="20">
        <f>B11-B10</f>
        <v/>
      </c>
    </row>
    <row r="13">
      <c r="A13" s="6" t="inlineStr">
        <is>
          <t>Leverandørkreditt som faller bort</t>
        </is>
      </c>
      <c r="B13" s="20">
        <f>'Grossistens jobb'!B7</f>
        <v/>
      </c>
      <c r="D13" s="6" t="inlineStr">
        <is>
          <t>Produsentene krever forskuddsbetaling. Kreditten forsvinner.</t>
        </is>
      </c>
    </row>
    <row r="14">
      <c r="A14" s="8" t="inlineStr">
        <is>
          <t>= Samlet kapitalbinding</t>
        </is>
      </c>
      <c r="B14" s="18">
        <f>B12+B13</f>
        <v/>
      </c>
    </row>
    <row r="15">
      <c r="A15" s="6" t="inlineStr">
        <is>
          <t>Avkastningskrav</t>
        </is>
      </c>
      <c r="B15" s="13">
        <f>'Grossistens jobb'!B8</f>
        <v/>
      </c>
    </row>
    <row r="16">
      <c r="A16" s="6" t="inlineStr">
        <is>
          <t>= Kapitalkostnad i året</t>
        </is>
      </c>
      <c r="B16" s="18">
        <f>B14*B15</f>
        <v/>
      </c>
    </row>
    <row r="17">
      <c r="A17" s="6" t="inlineStr">
        <is>
          <t>Lagermedarbeider i halv stilling, bruttolønn</t>
        </is>
      </c>
      <c r="B17" s="10" t="n">
        <v>320000</v>
      </c>
    </row>
    <row r="18">
      <c r="A18" s="6" t="inlineStr">
        <is>
          <t>Sosiale kostnader i prosent av bruttolønn</t>
        </is>
      </c>
      <c r="B18" s="11" t="n">
        <v>0.468</v>
      </c>
    </row>
    <row r="19">
      <c r="A19" s="6" t="inlineStr">
        <is>
          <t>= Lønnskostnad</t>
        </is>
      </c>
      <c r="B19" s="18">
        <f>B17*(1+B18)</f>
        <v/>
      </c>
      <c r="D19" s="6" t="inlineStr">
        <is>
          <t>Påslaget er lærebokas eget, fra tabell 2.4 i Økonomistyring.</t>
        </is>
      </c>
    </row>
    <row r="20">
      <c r="A20" s="6" t="inlineStr">
        <is>
          <t>= Tapt dekningsbidrag på hasteoppdrag</t>
        </is>
      </c>
      <c r="B20" s="18">
        <f>'Grossistens jobb'!B22</f>
        <v/>
      </c>
    </row>
    <row r="21">
      <c r="A21" s="8" t="inlineStr">
        <is>
          <t>= Sum ekstrakostnader</t>
        </is>
      </c>
      <c r="B21" s="18">
        <f>B16+B19+B20</f>
        <v/>
      </c>
    </row>
    <row r="23">
      <c r="A23" s="4" t="inlineStr">
        <is>
          <t>3 · Svaret</t>
        </is>
      </c>
    </row>
    <row r="24">
      <c r="A24" s="8" t="inlineStr">
        <is>
          <t>= Netto ved direkte innkjøp</t>
        </is>
      </c>
      <c r="B24" s="18">
        <f>B7-B21</f>
        <v/>
      </c>
    </row>
    <row r="25">
      <c r="A25" s="6" t="inlineStr">
        <is>
          <t>Rabatten som ville gitt balanse</t>
        </is>
      </c>
      <c r="B25" s="21">
        <f>B21/B5</f>
        <v/>
      </c>
      <c r="D25" s="6" t="inlineStr">
        <is>
          <t>Så stor måtte rabatten vært for at direkte innkjøp skulle gå i null med dagens volum. Sammenlikn med B6.</t>
        </is>
      </c>
    </row>
    <row r="26">
      <c r="A26" s="6" t="inlineStr">
        <is>
          <t>Dom</t>
        </is>
      </c>
      <c r="D26" s="22">
        <f>IF(B24&gt;0,"Direkte innkjøp lønner seg med disse forutsetningene","Rabatten er ekte, men den er ikke stor nok. Grossisten gjør en jobb Nordlys måtte gjort selv")</f>
        <v/>
      </c>
    </row>
    <row r="28">
      <c r="A28" s="4" t="inlineStr">
        <is>
          <t>Kontroll</t>
        </is>
      </c>
    </row>
    <row r="29">
      <c r="A29" s="6" t="inlineStr">
        <is>
          <t>Summerer ekstrakostnadene seg riktig?</t>
        </is>
      </c>
      <c r="C29" s="17">
        <f>IF(ABS(B21-(B16+B19+B20))&lt;0.01,"OK — de tre kostnadslinjene summerer seg til sum ekstrakostnader","AVVIK: summen stemmer ikke med linjene over")</f>
        <v/>
      </c>
    </row>
    <row r="30">
      <c r="A30" s="6" t="inlineStr">
        <is>
          <t>Er rabatten stor nok?</t>
        </is>
      </c>
      <c r="C30" s="17">
        <f>IF(B6&gt;=B25,"OK — rabatten dekker ekstrakostnadene","AVVIK: rabatten er lavere enn den rabatten som gir balanse. Direkte innkjøp taper penger med dagens volum")</f>
        <v/>
      </c>
    </row>
    <row r="31">
      <c r="A31" s="3" t="inlineStr">
        <is>
          <t>Her SKAL det stå AVVIK med tallene som ligger inne. Det er hele svaret på diskusjonsstoppet i økta: rabatten er ekte, den er bare ikke stor nok.</t>
        </is>
      </c>
    </row>
    <row r="32">
      <c r="A32" s="6" t="inlineStr">
        <is>
          <t>Er kapitalbindingen regnet av begge delene?</t>
        </is>
      </c>
      <c r="C32" s="17">
        <f>IF(ABS(B14-(B12+B13))&lt;0.01,"OK — kapitalbindingen er økt lager pluss bortfalt kreditt","AVVIK: kapitalbindingen stemmer ikke")</f>
        <v/>
      </c>
    </row>
    <row r="34">
      <c r="A34" s="8" t="inlineStr">
        <is>
          <t>Prøv dette: sett rabatten i B6 opp til den prosenten som står i B25. Da går regnestykket i null — og du ser nøyaktig hva grossistens jobb er verdt.</t>
        </is>
      </c>
    </row>
    <row r="35">
      <c r="A35" s="3" t="inlineStr">
        <is>
          <t>Kilde: Hjertnes kap. 8.3 og 8.4. Forutsetningene om lagerstørrelse, bemanning og hasteandel er konstruert for undervisningen og oppgitt i de gule cellene. Materiellkjøp, varelager, kredittdager, avkastningskrav og dekningsbidrag er Nordlys' egne tall.</t>
        </is>
      </c>
    </row>
  </sheetData>
  <conditionalFormatting sqref="C29">
    <cfRule type="expression" priority="1" dxfId="0" stopIfTrue="0">
      <formula>LEFT(C29,5)="AVVIK"</formula>
    </cfRule>
  </conditionalFormatting>
  <conditionalFormatting sqref="C30">
    <cfRule type="expression" priority="2" dxfId="0" stopIfTrue="0">
      <formula>LEFT(C30,5)="AVVIK"</formula>
    </cfRule>
  </conditionalFormatting>
  <conditionalFormatting sqref="C32">
    <cfRule type="expression" priority="3" dxfId="0" stopIfTrue="0">
      <formula>LEFT(C32,5)="AVVIK"</formula>
    </cfRule>
  </conditionalFormatting>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E68"/>
  <sheetViews>
    <sheetView showGridLines="0" workbookViewId="0">
      <selection activeCell="A1" sqref="A1"/>
    </sheetView>
  </sheetViews>
  <sheetFormatPr baseColWidth="8" defaultRowHeight="15"/>
  <cols>
    <col width="50" customWidth="1" min="1" max="1"/>
    <col width="18" customWidth="1" min="2" max="2"/>
    <col width="18" customWidth="1" min="3" max="3"/>
    <col width="18" customWidth="1" min="4" max="4"/>
    <col width="54" customWidth="1" min="5" max="5"/>
  </cols>
  <sheetData>
    <row r="1">
      <c r="A1" s="1" t="inlineStr">
        <is>
          <t>To scenarioer</t>
        </is>
      </c>
    </row>
    <row r="2">
      <c r="A2" s="2" t="inlineStr">
        <is>
          <t>Ved hvilket volum snur det — og er lageravtalen grossisten tilbyr en god avtale?</t>
        </is>
      </c>
    </row>
    <row r="4">
      <c r="A4" s="4" t="inlineStr">
        <is>
          <t>Scenario A · ved hvilket volum snur direkte innkjøp?</t>
        </is>
      </c>
    </row>
    <row r="5">
      <c r="A5" s="3" t="inlineStr">
        <is>
          <t>Rabatten følger volumet. Det gjør kapitalbindingen også. Lagermedarbeideren og de tapte hasteoppdragene gjør det ikke.</t>
        </is>
      </c>
    </row>
    <row r="7">
      <c r="A7" s="6" t="inlineStr">
        <is>
          <t>Lagerandel i dag (varelager delt på materiellkjøp)</t>
        </is>
      </c>
      <c r="B7" s="13">
        <f>'Direkte innkjøp'!B10/'Direkte innkjøp'!B5</f>
        <v/>
      </c>
    </row>
    <row r="8">
      <c r="A8" s="6" t="inlineStr">
        <is>
          <t>Lagerandel ved direkte innkjøp</t>
        </is>
      </c>
      <c r="B8" s="13">
        <f>'Direkte innkjøp'!B11/'Direkte innkjøp'!B5</f>
        <v/>
      </c>
    </row>
    <row r="9">
      <c r="A9" s="6" t="inlineStr">
        <is>
          <t>Kredittandel som faller bort (kredittdager delt på 365)</t>
        </is>
      </c>
      <c r="B9" s="13">
        <f>'Grossistens jobb'!B6/365</f>
        <v/>
      </c>
    </row>
    <row r="10">
      <c r="A10" s="8" t="inlineStr">
        <is>
          <t>= Kapital bundet per krone materiell</t>
        </is>
      </c>
      <c r="B10" s="23">
        <f>B8-B7+B9</f>
        <v/>
      </c>
    </row>
    <row r="11">
      <c r="A11" s="8" t="inlineStr">
        <is>
          <t>= Gevinst per krone materiell, etter kapitalkostnad</t>
        </is>
      </c>
      <c r="B11" s="21">
        <f>'Direkte innkjøp'!B6-B10*'Direkte innkjøp'!B15</f>
        <v/>
      </c>
      <c r="E11" s="6" t="inlineStr">
        <is>
          <t>Rabatten minus renten på kapitalen den binder. Dette er marginen som skal dekke de faste kostnadene.</t>
        </is>
      </c>
    </row>
    <row r="12">
      <c r="A12" s="8" t="inlineStr">
        <is>
          <t>= Faste kostnader ved direkte innkjøp</t>
        </is>
      </c>
      <c r="B12" s="18">
        <f>'Direkte innkjøp'!B19+'Direkte innkjøp'!B20</f>
        <v/>
      </c>
      <c r="E12" s="6" t="inlineStr">
        <is>
          <t>Lagermedarbeideren og det tapte dekningsbidraget. De kommer uansett hvor mye materiell dere kjøper.</t>
        </is>
      </c>
    </row>
    <row r="13">
      <c r="A13" s="8" t="inlineStr">
        <is>
          <t>= VENDEPUNKTET: materiellkjøp som gir null</t>
        </is>
      </c>
      <c r="B13" s="18">
        <f>IF(B11&lt;=0,"finnes ikke",B12/B11)</f>
        <v/>
      </c>
    </row>
    <row r="14">
      <c r="A14" s="6" t="inlineStr">
        <is>
          <t>Materiellkjøp i dag</t>
        </is>
      </c>
      <c r="B14" s="20">
        <f>'Direkte innkjøp'!B5</f>
        <v/>
      </c>
    </row>
    <row r="15">
      <c r="A15" s="8" t="inlineStr">
        <is>
          <t>= Så mye måtte materiellkjøpet øke</t>
        </is>
      </c>
      <c r="B15" s="23">
        <f>IF(B11&lt;=0,"",B13/B14-1)</f>
        <v/>
      </c>
    </row>
    <row r="17" ht="28" customHeight="1">
      <c r="A17" s="9" t="inlineStr">
        <is>
          <t>Materiellkjøp</t>
        </is>
      </c>
      <c r="B17" s="9" t="inlineStr">
        <is>
          <t>Andel av dagens</t>
        </is>
      </c>
      <c r="C17" s="9" t="inlineStr">
        <is>
          <t>Rabatt etter kapitalkostnad</t>
        </is>
      </c>
      <c r="D17" s="9" t="inlineStr">
        <is>
          <t>Faste kostnader</t>
        </is>
      </c>
      <c r="E17" s="9" t="inlineStr">
        <is>
          <t>Netto ved direkte innkjøp</t>
        </is>
      </c>
    </row>
    <row r="18">
      <c r="A18" s="20">
        <f>B18*$B$14</f>
        <v/>
      </c>
      <c r="B18" s="11" t="n">
        <v>0.5</v>
      </c>
      <c r="C18" s="20">
        <f>A18*$B$11</f>
        <v/>
      </c>
      <c r="D18" s="20">
        <f>$B$12</f>
        <v/>
      </c>
      <c r="E18" s="18">
        <f>C18-D18</f>
        <v/>
      </c>
    </row>
    <row r="19">
      <c r="A19" s="20">
        <f>B19*$B$14</f>
        <v/>
      </c>
      <c r="B19" s="11" t="n">
        <v>0.75</v>
      </c>
      <c r="C19" s="20">
        <f>A19*$B$11</f>
        <v/>
      </c>
      <c r="D19" s="20">
        <f>$B$12</f>
        <v/>
      </c>
      <c r="E19" s="18">
        <f>C19-D19</f>
        <v/>
      </c>
    </row>
    <row r="20">
      <c r="A20" s="20">
        <f>B20*$B$14</f>
        <v/>
      </c>
      <c r="B20" s="11" t="n">
        <v>1</v>
      </c>
      <c r="C20" s="20">
        <f>A20*$B$11</f>
        <v/>
      </c>
      <c r="D20" s="20">
        <f>$B$12</f>
        <v/>
      </c>
      <c r="E20" s="18">
        <f>C20-D20</f>
        <v/>
      </c>
    </row>
    <row r="21">
      <c r="A21" s="20">
        <f>B21*$B$14</f>
        <v/>
      </c>
      <c r="B21" s="11" t="n">
        <v>1.25</v>
      </c>
      <c r="C21" s="20">
        <f>A21*$B$11</f>
        <v/>
      </c>
      <c r="D21" s="20">
        <f>$B$12</f>
        <v/>
      </c>
      <c r="E21" s="18">
        <f>C21-D21</f>
        <v/>
      </c>
    </row>
    <row r="22">
      <c r="A22" s="20">
        <f>B22*$B$14</f>
        <v/>
      </c>
      <c r="B22" s="11" t="n">
        <v>1.5</v>
      </c>
      <c r="C22" s="20">
        <f>A22*$B$11</f>
        <v/>
      </c>
      <c r="D22" s="20">
        <f>$B$12</f>
        <v/>
      </c>
      <c r="E22" s="18">
        <f>C22-D22</f>
        <v/>
      </c>
    </row>
    <row r="23">
      <c r="A23" s="20">
        <f>B23*$B$14</f>
        <v/>
      </c>
      <c r="B23" s="11" t="n">
        <v>1.75</v>
      </c>
      <c r="C23" s="20">
        <f>A23*$B$11</f>
        <v/>
      </c>
      <c r="D23" s="20">
        <f>$B$12</f>
        <v/>
      </c>
      <c r="E23" s="18">
        <f>C23-D23</f>
        <v/>
      </c>
    </row>
    <row r="24">
      <c r="A24" s="20">
        <f>B24*$B$14</f>
        <v/>
      </c>
      <c r="B24" s="11" t="n">
        <v>2</v>
      </c>
      <c r="C24" s="20">
        <f>A24*$B$11</f>
        <v/>
      </c>
      <c r="D24" s="20">
        <f>$B$12</f>
        <v/>
      </c>
      <c r="E24" s="18">
        <f>C24-D24</f>
        <v/>
      </c>
    </row>
    <row r="26">
      <c r="A26" s="4" t="inlineStr">
        <is>
          <t>Kontroll</t>
        </is>
      </c>
    </row>
    <row r="27">
      <c r="A27" s="6" t="inlineStr">
        <is>
          <t>Gir dagens volum det samme som oppstillingen i arket Direkte innkjøp?</t>
        </is>
      </c>
      <c r="C27" s="17">
        <f>IF(ABS($B$14*$B$11-$B$12-'Direkte innkjøp'!B24)&lt;1,"OK — vendepunktsmodellen gir samme netto som oppstillingen","AVVIK: modellen og oppstillingen er ikke enige")</f>
        <v/>
      </c>
    </row>
    <row r="28">
      <c r="A28" s="6" t="inlineStr">
        <is>
          <t>Ligger vendepunktet over dagens volum?</t>
        </is>
      </c>
      <c r="C28" s="17">
        <f>IF(NOT(ISNUMBER($B$13)),"AVVIK: rabatten dekker ikke engang kapitalkostnaden. Da finnes det ikke noe vendepunkt",IF($B$13&gt;$B$14,"OK — direkte innkjøp lønner seg først ved et større materiellvolum enn Nordlys har i dag","AVVIK: da lønner direkte innkjøp seg allerede"))</f>
        <v/>
      </c>
    </row>
    <row r="29">
      <c r="A29" s="6" t="inlineStr">
        <is>
          <t>Snur tabellen fra minus til pluss?</t>
        </is>
      </c>
      <c r="C29" s="17">
        <f>IF(AND(E18&lt;0,E24&gt;0),"OK — tabellen snur fra tap til gevinst, og vendepunktet ligger et sted imellom","AVVIK: utvid volumtrappen så vendepunktet kommer med")</f>
        <v/>
      </c>
    </row>
    <row r="32">
      <c r="A32" s="4" t="inlineStr">
        <is>
          <t>Scenario B · grossisten tilbyr bedre pris mot større lager</t>
        </is>
      </c>
    </row>
    <row r="33">
      <c r="A33" s="3" t="inlineStr">
        <is>
          <t>Den eksamensnære oppgaven. Nordlys beholder grossisten, men tar over en del av lagerholdet.</t>
        </is>
      </c>
    </row>
    <row r="35">
      <c r="A35" s="6" t="inlineStr">
        <is>
          <t>Rabatt grossisten tilbyr på alt materiell</t>
        </is>
      </c>
      <c r="B35" s="11" t="n">
        <v>0.03</v>
      </c>
      <c r="E35" s="6" t="inlineStr">
        <is>
          <t>Den gule cellen. Prøv to prosent, og prøv fire.</t>
        </is>
      </c>
    </row>
    <row r="36">
      <c r="A36" s="6" t="inlineStr">
        <is>
          <t>Varelager avtalen krever</t>
        </is>
      </c>
      <c r="B36" s="10" t="n">
        <v>2600000</v>
      </c>
    </row>
    <row r="37">
      <c r="A37" s="6" t="inlineStr">
        <is>
          <t>Varelager i dag</t>
        </is>
      </c>
      <c r="B37" s="20">
        <f>'Direkte innkjøp'!B10</f>
        <v/>
      </c>
    </row>
    <row r="38">
      <c r="A38" s="8" t="inlineStr">
        <is>
          <t>= Økning i varelager</t>
        </is>
      </c>
      <c r="B38" s="18">
        <f>B36-B37</f>
        <v/>
      </c>
    </row>
    <row r="40">
      <c r="A40" s="4" t="inlineStr">
        <is>
          <t>Gevinsten</t>
        </is>
      </c>
    </row>
    <row r="41">
      <c r="A41" s="8" t="inlineStr">
        <is>
          <t>= Rabatt i kroner i året</t>
        </is>
      </c>
      <c r="B41" s="18">
        <f>'Direkte innkjøp'!B5*B35</f>
        <v/>
      </c>
    </row>
    <row r="43">
      <c r="A43" s="4" t="inlineStr">
        <is>
          <t>Kostnadene</t>
        </is>
      </c>
    </row>
    <row r="44">
      <c r="A44" s="6" t="inlineStr">
        <is>
          <t>Kapitalkostnad på det økte lageret</t>
        </is>
      </c>
      <c r="B44" s="20">
        <f>B38*'Direkte innkjøp'!B15</f>
        <v/>
      </c>
    </row>
    <row r="45">
      <c r="A45" s="6" t="inlineStr">
        <is>
          <t>Lagerhold i prosent av lagerverdien</t>
        </is>
      </c>
      <c r="B45" s="11" t="n">
        <v>0.06</v>
      </c>
      <c r="E45" s="6" t="inlineStr">
        <is>
          <t>Forsikring, plass, telling og svinn. Kommer i tillegg til renten på kapitalen.</t>
        </is>
      </c>
    </row>
    <row r="46">
      <c r="A46" s="6" t="inlineStr">
        <is>
          <t>Lagerholdskostnad</t>
        </is>
      </c>
      <c r="B46" s="20">
        <f>B38*B45</f>
        <v/>
      </c>
    </row>
    <row r="47">
      <c r="A47" s="8" t="inlineStr">
        <is>
          <t>= Sum kostnader</t>
        </is>
      </c>
      <c r="B47" s="18">
        <f>B44+B46</f>
        <v/>
      </c>
    </row>
    <row r="49">
      <c r="A49" s="4" t="inlineStr">
        <is>
          <t>Svaret</t>
        </is>
      </c>
    </row>
    <row r="50">
      <c r="A50" s="8" t="inlineStr">
        <is>
          <t>= Netto på avtalen</t>
        </is>
      </c>
      <c r="B50" s="18">
        <f>B41-B47</f>
        <v/>
      </c>
    </row>
    <row r="51">
      <c r="A51" s="6" t="inlineStr">
        <is>
          <t>Rabatten som ville gitt balanse</t>
        </is>
      </c>
      <c r="B51" s="24">
        <f>B47/'Direkte innkjøp'!B5</f>
        <v/>
      </c>
    </row>
    <row r="52">
      <c r="A52" s="6" t="inlineStr">
        <is>
          <t>Hvor mye materiellkjøpet kan falle før avtalen går i null</t>
        </is>
      </c>
      <c r="B52" s="13">
        <f>1-B47/(B41)</f>
        <v/>
      </c>
      <c r="E52" s="6" t="inlineStr">
        <is>
          <t>Rabatten følger kjøpene. Kostnaden ved lageret gjør det ikke — lageret står der uansett.</t>
        </is>
      </c>
    </row>
    <row r="53">
      <c r="A53" s="6" t="inlineStr">
        <is>
          <t>Ny lagringstid med det større lageret, dager</t>
        </is>
      </c>
      <c r="B53" s="25">
        <f>365/('Direkte innkjøp'!B5/B36)</f>
        <v/>
      </c>
    </row>
    <row r="54">
      <c r="A54" s="6" t="inlineStr">
        <is>
          <t>Lagringstid i dag, dager</t>
        </is>
      </c>
      <c r="B54" s="25">
        <f>'Grossistens jobb'!B14</f>
        <v/>
      </c>
    </row>
    <row r="56">
      <c r="A56" s="4" t="inlineStr">
        <is>
          <t>Og så risikoen ingen regner på</t>
        </is>
      </c>
    </row>
    <row r="57">
      <c r="A57" s="6" t="inlineStr">
        <is>
          <t>Andel av det ekstra lageret som blir ukurant</t>
        </is>
      </c>
      <c r="B57" s="11" t="n">
        <v>0.05</v>
      </c>
      <c r="E57" s="6" t="inlineStr">
        <is>
          <t>Materiell som blir liggende: utgåtte modeller, feil farge, endret forskrift. Jo lengre lagringstid, jo større risiko.</t>
        </is>
      </c>
    </row>
    <row r="58">
      <c r="A58" s="6" t="inlineStr">
        <is>
          <t>Ukurans i kroner</t>
        </is>
      </c>
      <c r="B58" s="20">
        <f>B38*B57</f>
        <v/>
      </c>
    </row>
    <row r="59">
      <c r="A59" s="8" t="inlineStr">
        <is>
          <t>= Netto med ukurans</t>
        </is>
      </c>
      <c r="B59" s="18">
        <f>B50-B58</f>
        <v/>
      </c>
    </row>
    <row r="60">
      <c r="A60" s="6" t="inlineStr">
        <is>
          <t>Dom</t>
        </is>
      </c>
      <c r="E60" s="22">
        <f>IF(B50&lt;=0,"Avtalen bærer ikke engang på papiret. Si nei",IF(B59&lt;=0,"Avtalen bærer på papiret, men ikke når risikoen for ukurans tas med. Forhandle om høyere rabatt eller returrett","Avtalen bærer også med ukurans. Si ja, men mål lagringstiden"))</f>
        <v/>
      </c>
    </row>
    <row r="62">
      <c r="A62" s="4" t="inlineStr">
        <is>
          <t>Kontroll</t>
        </is>
      </c>
    </row>
    <row r="63">
      <c r="A63" s="6" t="inlineStr">
        <is>
          <t>Bærer avtalen på papiret?</t>
        </is>
      </c>
      <c r="C63" s="17">
        <f>IF(B50&gt;0,"OK — rabatten er større enn kostnaden ved å holde lageret selv","AVVIK: rabatten dekker ikke engang kapital og lagerhold")</f>
        <v/>
      </c>
    </row>
    <row r="64">
      <c r="A64" s="6" t="inlineStr">
        <is>
          <t>Tåler avtalen at noe blir ukurant?</t>
        </is>
      </c>
      <c r="C64" s="17">
        <f>IF(B59&gt;0,"OK — avtalen bærer også med ukurans","AVVIK: avtalen snur til tap så snart noe av det ekstra lageret blir liggende. Det er selve poenget i oppgaven")</f>
        <v/>
      </c>
    </row>
    <row r="65">
      <c r="A65" s="3" t="inlineStr">
        <is>
          <t>Her SKAL det stå AVVIK med tallene som ligger inne. Avtalen ser god ut til du regner på risikoen.</t>
        </is>
      </c>
    </row>
    <row r="66">
      <c r="A66" s="6" t="inlineStr">
        <is>
          <t>Blir lagringstiden lengre?</t>
        </is>
      </c>
      <c r="C66" s="17">
        <f>IF(B53&gt;B54,"OK — et større lager gir lengre lagringstid, og lengre lagringstid gir større risiko for ukurans","AVVIK: kontroller lagertallene")</f>
        <v/>
      </c>
    </row>
    <row r="68">
      <c r="A68" s="3" t="inlineStr">
        <is>
          <t>Kilde: Hjertnes kap. 8.3 og 8.4 om grossistens funksjoner og valg av distribusjonskanal. Lagerhold, ukurans og rabattnivå er konstruert for undervisningen og oppgitt i de gule cellene. Bransjetall: NHO Elektro, Lønnsomhetsrapport 2025, gjengitt i Elektro 24-7 19.08.2026 (hentet 10.09.2026). De 809 er bedriftene i datagrunnlaget, ikke bransjen. NHO Elektro oppgir ikke svarprosent.</t>
        </is>
      </c>
    </row>
  </sheetData>
  <conditionalFormatting sqref="C27">
    <cfRule type="expression" priority="1" dxfId="0" stopIfTrue="0">
      <formula>LEFT(C27,5)="AVVIK"</formula>
    </cfRule>
  </conditionalFormatting>
  <conditionalFormatting sqref="C28">
    <cfRule type="expression" priority="2" dxfId="0" stopIfTrue="0">
      <formula>LEFT(C28,5)="AVVIK"</formula>
    </cfRule>
  </conditionalFormatting>
  <conditionalFormatting sqref="C29">
    <cfRule type="expression" priority="3" dxfId="0" stopIfTrue="0">
      <formula>LEFT(C29,5)="AVVIK"</formula>
    </cfRule>
  </conditionalFormatting>
  <conditionalFormatting sqref="C63">
    <cfRule type="expression" priority="4" dxfId="0" stopIfTrue="0">
      <formula>LEFT(C63,5)="AVVIK"</formula>
    </cfRule>
  </conditionalFormatting>
  <conditionalFormatting sqref="C64">
    <cfRule type="expression" priority="5" dxfId="0" stopIfTrue="0">
      <formula>LEFT(C64,5)="AVVIK"</formula>
    </cfRule>
  </conditionalFormatting>
  <conditionalFormatting sqref="C66">
    <cfRule type="expression" priority="6" dxfId="0" stopIfTrue="0">
      <formula>LEFT(C66,5)="AVVIK"</formula>
    </cfRule>
  </conditionalFormatting>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2026-09-11T09:30:14Z</dcterms:created>
  <dcterms:modified xmlns:dcterms="http://purl.org/dc/terms/" xmlns:xsi="http://www.w3.org/2001/XMLSchema-instance" xsi:type="dcterms:W3CDTF">2026-09-11T09:30:14Z</dcterms:modified>
</cp:coreProperties>
</file>