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Fasi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<sst xmlns="http://schemas.openxmlformats.org/spreadsheetml/2006/main" count="254" uniqueCount="163">
  <si>
    <t xml:space="preserve">Distribusjon som konkurransevirkemiddel: oppgaver til kapittel 8</t>
  </si>
  <si>
    <t xml:space="preserve">Markedsføring, organisasjon og ledelse for LØM-emnet (Hjertnes), kapittel 8. Versjon 6, oktober 2026. Nordlys Elektro AS, Polarlys Elektro Grossist AS og Fjell Elektro AS er konstruerte casebedrifter; tallene er faktaarkene.</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</si>
  <si>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</si>
  <si>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</si>
  <si>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</si>
  <si>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</si>
  <si>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</si>
  <si>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</si>
  <si>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Direkte eller indirekte, og hvem eier varen? Så svarer du Tom</t>
  </si>
  <si>
    <t xml:space="preserve">1B  Hva koster dagene på lageret, og timene på henting?</t>
  </si>
  <si>
    <t xml:space="preserve">1C  Tre produkter, tre kanaler: hvem eier kunden, og hva gir mest?</t>
  </si>
  <si>
    <t xml:space="preserve">Fasit  Alle svar med regnestykket skrevet ut</t>
  </si>
  <si>
    <t xml:space="preserve">Dette er øvingsmateriell til repetisjons- og øvingsstøtte. I besvarelser, caser, prosjektoppgaver og eksamen gjelder lærebøkene og oppgitte primærkilder.</t>
  </si>
  <si>
    <t xml:space="preserve">Direkte</t>
  </si>
  <si>
    <t xml:space="preserve">Oppgave 1A: Direkte eller indirekte, og hvem eier varen? Så svarer du Tom</t>
  </si>
  <si>
    <t xml:space="preserve">Indirekte</t>
  </si>
  <si>
    <t xml:space="preserve">Alene, i par eller i gruppe, slik du vil.</t>
  </si>
  <si>
    <t xml:space="preserve">Situasjonen</t>
  </si>
  <si>
    <t xml:space="preserve">Tom Berg, driftsleder hos Nordlys Elektro, har fått tilbud om 10 % rabatt fra en produsent hvis Nordlys kjøper alt materiell direkte. Han sier at Polarlys Elektro Grossist er et fordyrende mellomledd. Før du svarer ham, sorterer du: hva er direkte og indirekte distribusjon, hvem i kanalen eier varen, og hvilke oppgaver gjør Polarlys for Nordlys?</t>
  </si>
  <si>
    <t xml:space="preserve">Begrepene du trenger</t>
  </si>
  <si>
    <t xml:space="preserve">Direkte distribusjon: varen går fra produsent til bruker uten mellomledd. Indirekte: via ett eller flere ledd. Grossisten kjøper store kvanta og selger mindre videre; detaljisten selger til sluttbrukeren; begge eier varen. Agenten selger for en produsent uten å eie varen; kommisjonæren selger videre uten å eie den og kan levere tilbake. De seks oppgavene: transport, lagring, eiendomsrett og risiko, finansiering, informasjon, sortiment.</t>
  </si>
  <si>
    <t xml:space="preserve">Testen for formen</t>
  </si>
  <si>
    <t xml:space="preserve">Er det et ledd mellom produsenten og den som skal bruke varen eller tjenesten? Nei: direkte distribusjon. Ja: indirekte distribusjon. Hvem som fakturerer, avgjør ikke; det er hvem som står imellom.</t>
  </si>
  <si>
    <t xml:space="preserve">Del 1: Seks varer og tjenester på vei til brukeren. Velg direkte eller indirekte i nedtrekksmenyen.</t>
  </si>
  <si>
    <t xml:space="preserve">Kabeltromler i hele kvanta fra produsenten til Nordlys' lager</t>
  </si>
  <si>
    <t xml:space="preserve">Grossist</t>
  </si>
  <si>
    <t xml:space="preserve">Vern og koblingsbokser fra produsenten via Polarlys til Nordlys</t>
  </si>
  <si>
    <t xml:space="preserve">Detaljist</t>
  </si>
  <si>
    <t xml:space="preserve">Et nytt passasjerfly fra Airbus til flyselskapet</t>
  </si>
  <si>
    <t xml:space="preserve">Agent</t>
  </si>
  <si>
    <t xml:space="preserve">Sjokolade fra fabrikken via grossist til kiosken</t>
  </si>
  <si>
    <t xml:space="preserve">Kommisjonær</t>
  </si>
  <si>
    <t xml:space="preserve">Ladeboks med montering kjøpt i Nordlys' egen nettbutikk</t>
  </si>
  <si>
    <t xml:space="preserve">Ladeboks med montering solgt av byggvarehuset, montert av Nordlys</t>
  </si>
  <si>
    <t xml:space="preserve">Testen for rollen</t>
  </si>
  <si>
    <t xml:space="preserve">Spør to ting: eier aktøren varen på et tidspunkt? Og selger aktøren til sluttbrukeren? Grossisten og detaljisten eier varen; detaljisten selger til sluttbrukeren. Agenten og kommisjonæren eier aldri varen; kommisjonæren selger den likevel videre, agenten rører den ikke.</t>
  </si>
  <si>
    <t xml:space="preserve">Del 2: Fem aktører i kanalen. Velg rollen.</t>
  </si>
  <si>
    <t xml:space="preserve">Polarlys, som kjøper vern på paller fra produsentene og selger dem i småpakker til installatørene</t>
  </si>
  <si>
    <t xml:space="preserve">Nordlys, når montøren tar med vernet fra lageret og fakturerer det videre til kunden</t>
  </si>
  <si>
    <t xml:space="preserve">Produsentens distriktsselger, som viser Ida nye produkter og tar imot bestillinger for produsenten</t>
  </si>
  <si>
    <t xml:space="preserve">Kiosken som selger Norsk Tipping og kan levere usolgte ukeblader tilbake</t>
  </si>
  <si>
    <t xml:space="preserve">Byggvarehuset, som selger ladeboks og montering til huseieren og kjøper monteringen av Nordlys</t>
  </si>
  <si>
    <t xml:space="preserve">De seks oppgavene (8.2)</t>
  </si>
  <si>
    <t xml:space="preserve">Transport og lagring ser alle. De fire usynlige er overføring av eiendomsrett og risiko, finansiering, informasjonsutveksling og sortimentssammensetning.</t>
  </si>
  <si>
    <t xml:space="preserve">Del 3: Fire ting Polarlys gjør for Nordlys. Hvilken av de seks oppgavene er det?</t>
  </si>
  <si>
    <t xml:space="preserve">Polarlys gir 30 dagers kreditt: 7 990 000 × 30 / 360 = 665 833 kr som Nordlys slipper å låne i banken</t>
  </si>
  <si>
    <t xml:space="preserve">Varer fra tolv produsenter kommer på én faktura, i én levering</t>
  </si>
  <si>
    <t xml:space="preserve">Transport</t>
  </si>
  <si>
    <t xml:space="preserve">Ronny melder at en koblingsboks alltid kommer knust fram, og Polarlys melder det til produsenten</t>
  </si>
  <si>
    <t xml:space="preserve">Lagring</t>
  </si>
  <si>
    <t xml:space="preserve">En utgått sikringsmodell som blir liggende på hylla hos Polarlys, er Polarlys' tap</t>
  </si>
  <si>
    <t xml:space="preserve">Eiendomsrett og risiko</t>
  </si>
  <si>
    <t xml:space="preserve">Finansiering</t>
  </si>
  <si>
    <t xml:space="preserve">Del 4: Tom sier «Polarlys er et fordyrende mellomledd». Svar ham i to–tre setninger. Si hva grossisten gjør for Nordlys, nevn kreditten eller lageret, og si hva boka sier om ledd som bare gir kostnader.</t>
  </si>
  <si>
    <t xml:space="preserve">Informasjon</t>
  </si>
  <si>
    <t xml:space="preserve">Sortiment</t>
  </si>
  <si>
    <t xml:space="preserve">Står du fast? Skriv JA i den gule cellen:</t>
  </si>
  <si>
    <t xml:space="preserve">Gule celler fyller du inn. Grønne regnes ut av arket. Sjekken til høyre forteller om svaret stemmer, og hva du bør se på hvis ikke.</t>
  </si>
  <si>
    <t xml:space="preserve">Oppgave 1B: Hva koster dagene på lageret, og timene på henting?</t>
  </si>
  <si>
    <t xml:space="preserve">Lageret hos Nordlys var 1 250 000 kr 1. mars og 1 460 000 kr 31. mars. Materiellkjøpet er 7 990 000 kr i året, og banken tar 7,5 % rente. Bransjen (NHO Elektro, 2025) har materiellet 57 dager på lageret. Kari spør Ida hva de ni ekstra dagene koster. Og hos Fjell Elektro henter montørene materiell selv; grossisten tilbyr levering før kl. 07 for 250 kr.</t>
  </si>
  <si>
    <t xml:space="preserve">Varer på lager er død kapital (8.2). Lagringstid i dager = varelager × 360 / materiellkjøp. Jo høyere omløpshastighet, jo bedre likviditet. Transport er en av de seks oppgavene; henter bedriften selv, gjør den jobben selv, og den koster timer. Markedets ønsker har en prislapp: levering helt fram koster mer enn å hente selv (8.5).</t>
  </si>
  <si>
    <t xml:space="preserve">Tallene</t>
  </si>
  <si>
    <t xml:space="preserve">Lagertallene for mars er de samme som i Økonomistyring kapittel 2. Bransjetallet 57 dager er fra NHO Elektros lønnsomhetsrapport for 2025 (NHO Elektro er bransjeforeningen for elektrobedriftene i Næringslivets Hovedorganisasjon).</t>
  </si>
  <si>
    <t xml:space="preserve">Nordlys</t>
  </si>
  <si>
    <t xml:space="preserve">Kroner</t>
  </si>
  <si>
    <t xml:space="preserve">Materiellkjøp i året (faktaarket)</t>
  </si>
  <si>
    <t xml:space="preserve">Lager 1. mars</t>
  </si>
  <si>
    <t xml:space="preserve">Lager 31. mars</t>
  </si>
  <si>
    <t xml:space="preserve">Bankens rente</t>
  </si>
  <si>
    <t xml:space="preserve">Dager i året</t>
  </si>
  <si>
    <t xml:space="preserve">Bransjen: dager på lager (NHO Elektro 2025)</t>
  </si>
  <si>
    <t xml:space="preserve">Formlene, med ord</t>
  </si>
  <si>
    <t xml:space="preserve">Lagringstid i dager = varelager × 360 / materiellkjøp i året. Lager ved et gitt antall dager = materiellkjøp × dager / 360. Rente på lageret per år = varelager × bankens rente. Nordlys har kassekreditt, så hver krone på lageret er en lånt krone.</t>
  </si>
  <si>
    <t xml:space="preserve">Oppgaven, trinn for trinn</t>
  </si>
  <si>
    <t xml:space="preserve">1. Regn lagringstiden 31. mars (a), med én desimal.
2. Regn hva lageret ville vært ved bransjens 57 dager (b), og renten på det lageret (c).
3. Regn renten på lageret 31. mars (d), og hva de ekstra dagene koster i året (e).
4. Fjell Elektro: regn timene på henting (f), tapt fakturering (g) og netto spart ved levering (h).
5. Skriv to setninger til Ida om hva hun kan gjøre med lagringstiden.</t>
  </si>
  <si>
    <t xml:space="preserve">a) Lagringstid 31. mars, i dager (én desimal)</t>
  </si>
  <si>
    <t xml:space="preserve">dager</t>
  </si>
  <si>
    <t xml:space="preserve">b) Lageret ved bransjens 57 dager: materiellkjøp × 57 / 360</t>
  </si>
  <si>
    <t xml:space="preserve">kr</t>
  </si>
  <si>
    <t xml:space="preserve">c) Rente på bransjelageret i b, per år, med bankens rente</t>
  </si>
  <si>
    <t xml:space="preserve">d) Rente på lageret 31. mars, per år</t>
  </si>
  <si>
    <t xml:space="preserve">e) Hva de ekstra dagene koster i året: d minus c</t>
  </si>
  <si>
    <t xml:space="preserve">Fjell Elektro: hente selv, eller få levert?</t>
  </si>
  <si>
    <t xml:space="preserve">Montørene henter materiell på grossistens hentelager fire ganger i uka til sammen, 45 minutter per tur (0,75 time), 46 uker i året. Fjell har flere forespørsler enn de rekker, så en frigjort time kan faktureres til 890 kr. Grossisten tilbyr levering på byggeplassen før kl. 07 for 250 kr per levering, én per hentetur.</t>
  </si>
  <si>
    <t xml:space="preserve">f) Timer på henting i året: 4 × 46 × 0,75</t>
  </si>
  <si>
    <t xml:space="preserve">timer</t>
  </si>
  <si>
    <t xml:space="preserve">g) Tapt fakturering: timene i f × 890 kr</t>
  </si>
  <si>
    <t xml:space="preserve">h) Netto spart ved levering: g minus 184 leveringer à 250 kr</t>
  </si>
  <si>
    <t xml:space="preserve">Til Ida: hva kan hun gjøre med lagringstiden hos Nordlys? To setninger. Nevn Polarlys og hva kreditten på 30 dager betyr.</t>
  </si>
  <si>
    <t xml:space="preserve">Oppgave 1C: Tre produkter, tre kanaler: hvem eier kunden, og hva gir mest?</t>
  </si>
  <si>
    <t xml:space="preserve">Byggvarehuset</t>
  </si>
  <si>
    <t xml:space="preserve">Kari Nordlund skal bestemme kanalen for tre produkter: ladeboks til huseiere (byggvarehuset eller egen nettbutikk), termografering av tavler i næringsbygg, og elektro i rekkehus for en hovedentreprenør. For ladeboksen har hun tall fra byggvarehuset og fra Idas forslag om nettbutikk.</t>
  </si>
  <si>
    <t xml:space="preserve">Entreprenøren</t>
  </si>
  <si>
    <t xml:space="preserve">Intensiv</t>
  </si>
  <si>
    <t xml:space="preserve">Distribusjonsform: direkte eller indirekte. Distribusjonsgrad: intensiv (mange forhandlere), selektiv (to–tre), eksklusiv (én). En tjeneste skapes i møtet mellom tjenesteyter og bruker; nettet flytter bestillingen, ikke utførelsen (8.6). Detaljisten eier kunden og markedsinformasjonen (8.5). Dekningsbidrag er pris minus materiell og montørtimer; nullpunktet er faste kostnader delt på dekningsbidrag per jobb.</t>
  </si>
  <si>
    <t xml:space="preserve">Selektiv</t>
  </si>
  <si>
    <t xml:space="preserve">Eksklusiv</t>
  </si>
  <si>
    <t xml:space="preserve">Tre produkter</t>
  </si>
  <si>
    <t xml:space="preserve">Ikke et strategisk valg</t>
  </si>
  <si>
    <t xml:space="preserve">Ladeboks til huseiere kan selges gjennom byggvarehuset (som selger pakken og kjøper monteringen av Nordlys) eller i Nordlys' egen nettbutikk. Termografering av tavler i næringsbygg selger Nordlys selv, til driftssjefen i bygget. Elektro i 24 rekkehus gjør Nordlys for hovedentreprenøren, som har avtalen med boligkjøperne.</t>
  </si>
  <si>
    <t xml:space="preserve">Testene</t>
  </si>
  <si>
    <t xml:space="preserve">Form: er det et ledd mellom Nordlys og sluttbrukeren? Eier kunden: hvem har avtalen med sluttbrukeren og markedsinformasjonen? Grad: hvor mange får selge varen i området? Intensiv er mange, selektiv to–tre, eksklusiv én. På bedriftsmarkedet kan en bedrift selge alt til noen få uten at det er et strategisk valg om grad (8.4).</t>
  </si>
  <si>
    <t xml:space="preserve">Oppstillingen: velg i nedtrekksmenyene</t>
  </si>
  <si>
    <t xml:space="preserve">Ladeboks til huseiere via byggvarehuset: form</t>
  </si>
  <si>
    <t xml:space="preserve">Ladeboks til huseiere via byggvarehuset: hvem eier kunden</t>
  </si>
  <si>
    <t xml:space="preserve">Ladeboks til huseiere via byggvarehuset: distribusjonsgrad</t>
  </si>
  <si>
    <t xml:space="preserve">Ladeboks til huseiere i egen nettbutikk: form</t>
  </si>
  <si>
    <t xml:space="preserve">Ladeboks til huseiere i egen nettbutikk: hvem eier kunden</t>
  </si>
  <si>
    <t xml:space="preserve">Ladeboks til huseiere i egen nettbutikk: distribusjonsgrad</t>
  </si>
  <si>
    <t xml:space="preserve">Termografering av tavler i næringsbygg: form</t>
  </si>
  <si>
    <t xml:space="preserve">Termografering av tavler i næringsbygg: hvem eier kunden</t>
  </si>
  <si>
    <t xml:space="preserve">Termografering av tavler i næringsbygg: distribusjonsgrad</t>
  </si>
  <si>
    <t xml:space="preserve">Elektro i rekkehus for hovedentreprenøren: form</t>
  </si>
  <si>
    <t xml:space="preserve">Elektro i rekkehus for hovedentreprenøren: hvem eier kunden</t>
  </si>
  <si>
    <t xml:space="preserve">Elektro i rekkehus for hovedentreprenøren: distribusjonsgrad</t>
  </si>
  <si>
    <t xml:space="preserve">Tallene for ladeboksen</t>
  </si>
  <si>
    <t xml:space="preserve">Byggvarehuset anslår 60 jobber i året og gir Nordlys 1 900 kr i dekningsbidrag per jobb. Nettbutikken selger ladeboks med montering til 19 900 kr inkludert merverdiavgift, gir 3 000 kr i dekningsbidrag per jobb, koster 48 000 kr i året i faste kostnader (plattform, betaling og annonser), og Ida anslår 25 jobber første år. Dekningsbidraget er det som er igjen av prisen når materiell og montørtimer er betalt. Nullpunktet er antall jobber som dekker de faste kostnadene (Økonomistyring kap. 8).</t>
  </si>
  <si>
    <t xml:space="preserve">a) Nettbutikkens nullpunkt: faste kostnader / dekningsbidrag per jobb</t>
  </si>
  <si>
    <t xml:space="preserve">jobber</t>
  </si>
  <si>
    <t xml:space="preserve">b) Dekningsbidrag fra byggvarehuset første år: 60 × 1 900</t>
  </si>
  <si>
    <t xml:space="preserve">c) Nettbutikken første år: 25 × 3 000 − 48 000</t>
  </si>
  <si>
    <t xml:space="preserve">Rådet til Kari: byggvarehuset, nettbutikken eller begge? Bruk tallene fra a til c, og si hvem som eier kunden i hver kanal. To–tre setninger.</t>
  </si>
  <si>
    <t xml:space="preserve">Fasit, kapittel 8</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</si>
  <si>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</si>
  <si>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</si>
  <si>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</si>
  <si>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</si>
  <si>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Del 1: Formen</t>
  </si>
  <si>
    <t xml:space="preserve">Direkte: kabeltromler fra produsent, passasjerflyet, ladeboks i egen nettbutikk. Indirekte: vern via Polarlys, sjokolade via grossist, ladeboks via byggvarehuset</t>
  </si>
  <si>
    <t xml:space="preserve">1A Del 2: Rollene</t>
  </si>
  <si>
    <t xml:space="preserve">Polarlys grossist. Nordlys med vernet på fakturaen detaljist. Distriktsselgeren agent. Kiosken kommisjonær. Byggvarehuset detaljist</t>
  </si>
  <si>
    <t xml:space="preserve">1A Del 3: Oppgavene</t>
  </si>
  <si>
    <t xml:space="preserve">Kreditt: finansiering. Én faktura: sortiment. Knust boks: informasjon. Utgått modell: eiendomsrett og risiko</t>
  </si>
  <si>
    <t xml:space="preserve">1A Del 4: Svaret til Tom</t>
  </si>
  <si>
    <t xml:space="preserve">Polarlys gjør fire oppgaver Nordlys ellers måtte gjort selv: finansierer 665 833 kr, holder lageret, setter sammen sortimentet og melder tilbake til produsentene. Et ledd som bare ga kostnader, ville forsvunnet i konkurransen (8.3). Fjerner du leddet, arver du oppgavene</t>
  </si>
  <si>
    <t xml:space="preserve">1B a) Lagringstid 31. mars</t>
  </si>
  <si>
    <t xml:space="preserve">1 460 000 × 360 / 7 990 000 = 65,8 dager</t>
  </si>
  <si>
    <t xml:space="preserve">1B b) Lager ved 57 dager</t>
  </si>
  <si>
    <t xml:space="preserve">7 990 000 × 57 / 360 = 1 265 083 kr</t>
  </si>
  <si>
    <t xml:space="preserve">1B c) Rente på bransjelageret</t>
  </si>
  <si>
    <t xml:space="preserve">1 265 083 × 7,5 % = 94 881 kr per år</t>
  </si>
  <si>
    <t xml:space="preserve">1B d) Rente på lageret 31. mars</t>
  </si>
  <si>
    <t xml:space="preserve">1 460 000 × 7,5 % = 109 500 kr per år</t>
  </si>
  <si>
    <t xml:space="preserve">1B e) De ekstra dagene</t>
  </si>
  <si>
    <t xml:space="preserve">109 500 − 94 881 = 14 619 kr per år, bare i renter</t>
  </si>
  <si>
    <t xml:space="preserve">1B f) Timer på henting</t>
  </si>
  <si>
    <t xml:space="preserve">4 × 46 = 184 turer × 0,75 = 138 timer</t>
  </si>
  <si>
    <t xml:space="preserve">1B g) Tapt fakturering</t>
  </si>
  <si>
    <t xml:space="preserve">138 × 890 = 122 820 kr</t>
  </si>
  <si>
    <t xml:space="preserve">1B h) Netto spart ved levering</t>
  </si>
  <si>
    <t xml:space="preserve">122 820 − 184 × 250 = 76 820 kr</t>
  </si>
  <si>
    <t xml:space="preserve">1B Til Ida</t>
  </si>
  <si>
    <t xml:space="preserve">Bestill nærmere jobbene og la Polarlys levere på byggeplassen i stedet for å fylle eget lager. De første 30 dagene er finansiert av Polarlys' kreditt</t>
  </si>
  <si>
    <t xml:space="preserve">1C Oppstillingen</t>
  </si>
  <si>
    <t xml:space="preserve">Ladeboks via byggvarehuset: indirekte, byggvarehuset eier kunden, intensiv. Ladeboks i nettbutikken: direkte, Nordlys eier kunden, intensiv. Termografering: direkte, Nordlys, selektiv. Rekkehus for entreprenøren: indirekte, entreprenøren, ikke et strategisk valg</t>
  </si>
  <si>
    <t xml:space="preserve">1C a) Nullpunkt nettbutikken</t>
  </si>
  <si>
    <t xml:space="preserve">48 000 / 3 000 = 16 jobber. Fra jobb 17 tjener nettbutikken penger</t>
  </si>
  <si>
    <t xml:space="preserve">1C b) Byggvarehuset</t>
  </si>
  <si>
    <t xml:space="preserve">60 × 1 900 = 114 000 kr</t>
  </si>
  <si>
    <t xml:space="preserve">1C c) Nettbutikken første år</t>
  </si>
  <si>
    <t xml:space="preserve">25 × 3 000 − 48 000 = 27 000 kr</t>
  </si>
  <si>
    <t xml:space="preserve">1C Rådet til Kari</t>
  </si>
  <si>
    <t xml:space="preserve">Begge. Byggvarehuset gir volum nå, men eier kunden. Nettbutikken gir Nordlys kunden selv og er lønnsom fra jobb 17. 85 jobber à 2 timer er 170 av 14 400 timer</t>
  </si>
</sst>
</file>

<file path=xl/styles.xml><?xml version="1.0" encoding="utf-8"?>
<styleSheet xmlns="http://schemas.openxmlformats.org/spreadsheetml/2006/main">
  <numFmts count="5">
    <numFmt numFmtId="164" formatCode="General"/>
    <numFmt numFmtId="165" formatCode="#,##0.###"/>
    <numFmt numFmtId="166" formatCode="0.0\ %"/>
    <numFmt numFmtId="167" formatCode="#,##0.0"/>
    <numFmt numFmtId="168" formatCode="#,##0"/>
  </numFmts>
  <fonts count="12">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theme="1"/>
      <name val="Calibri"/>
      <family val="2"/>
      <charset val="1"/>
    </font>
    <font>
      <sz val="10.5"/>
      <name val="Calibri"/>
      <family val="0"/>
      <charset val="1"/>
    </font>
    <font>
      <i val="true"/>
      <sz val="10.5"/>
      <color rgb="FF2F4A6D"/>
      <name val="Calibri"/>
      <family val="0"/>
      <charset val="1"/>
    </font>
    <font>
      <b val="true"/>
      <sz val="11"/>
      <color rgb="FFFFFFFF"/>
      <name val="Calibri"/>
      <family val="0"/>
      <charset val="1"/>
    </font>
  </fonts>
  <fills count="6">
    <fill>
      <patternFill patternType="none"/>
    </fill>
    <fill>
      <patternFill patternType="gray125"/>
    </fill>
    <fill>
      <patternFill patternType="solid">
        <fgColor rgb="FFFFF2CC"/>
        <bgColor rgb="FFE2EFDA"/>
      </patternFill>
    </fill>
    <fill>
      <patternFill patternType="solid">
        <fgColor rgb="FFDDEBF7"/>
        <bgColor rgb="FFE2EFDA"/>
      </patternFill>
    </fill>
    <fill>
      <patternFill patternType="solid">
        <fgColor rgb="FF2F4A6D"/>
        <bgColor rgb="FF333333"/>
      </patternFill>
    </fill>
    <fill>
      <patternFill patternType="solid">
        <fgColor rgb="FFE2EFDA"/>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0" fillId="2" borderId="2" xfId="0" applyFont="fals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left" vertical="center" textRotation="0" wrapText="false" indent="0" shrinkToFit="false"/>
      <protection locked="true" hidden="false"/>
    </xf>
    <xf numFmtId="164" fontId="11" fillId="4"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right" vertical="center" textRotation="0" wrapText="false" indent="0" shrinkToFit="false"/>
      <protection locked="true" hidden="false"/>
    </xf>
    <xf numFmtId="166" fontId="0" fillId="0" borderId="1" xfId="0" applyFont="false" applyBorder="true" applyAlignment="true" applyProtection="false">
      <alignment horizontal="right" vertical="center" textRotation="0" wrapText="false" indent="0" shrinkToFit="false"/>
      <protection locked="true" hidden="false"/>
    </xf>
    <xf numFmtId="167" fontId="0" fillId="2"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8" fontId="0" fillId="2" borderId="1" xfId="0" applyFont="fals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8" fontId="0" fillId="5" borderId="1" xfId="0" applyFont="fals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45" hidden="false" customHeight="true" outlineLevel="0" collapsed="false">
      <c r="B3" s="2" t="s">
        <v>1</v>
      </c>
    </row>
    <row r="5" customFormat="false" ht="15" hidden="false" customHeight="tru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r="11" customFormat="false" ht="15" hidden="false" customHeight="true" outlineLevel="0" collapsed="false">
      <c r="B11" s="3" t="s">
        <v>7</v>
      </c>
    </row>
    <row r="12" customFormat="false" ht="15" hidden="false" customHeight="true" outlineLevel="0" collapsed="false">
      <c r="B12" s="2" t="s">
        <v>8</v>
      </c>
    </row>
    <row r="13" customFormat="false" ht="15" hidden="false" customHeight="true" outlineLevel="0" collapsed="false">
      <c r="B13" s="2" t="s">
        <v>9</v>
      </c>
    </row>
    <row r="14" customFormat="false" ht="15" hidden="false" customHeight="true" outlineLevel="0" collapsed="false">
      <c r="B14" s="2" t="s">
        <v>10</v>
      </c>
    </row>
    <row r="15" customFormat="false" ht="15" hidden="false" customHeight="true" outlineLevel="0" collapsed="false">
      <c r="B15" s="2" t="s">
        <v>11</v>
      </c>
    </row>
    <row r="17" customFormat="false" ht="30" hidden="false" customHeight="true" outlineLevel="0" collapsed="false">
      <c r="B17" s="4" t="s">
        <v>12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13</v>
      </c>
    </row>
    <row r="2" customFormat="false" ht="25.5" hidden="false" customHeight="true" outlineLevel="0" collapsed="false">
      <c r="B2" s="5" t="s">
        <v>14</v>
      </c>
      <c r="C2" s="5"/>
      <c r="D2" s="5"/>
      <c r="E2" s="5"/>
      <c r="F2" s="5"/>
      <c r="G2" s="5"/>
      <c r="Z2" s="6" t="s">
        <v>15</v>
      </c>
    </row>
    <row r="3" customFormat="false" ht="15" hidden="false" customHeight="true" outlineLevel="0" collapsed="false">
      <c r="B3" s="7" t="s">
        <v>16</v>
      </c>
      <c r="C3" s="7"/>
      <c r="D3" s="7"/>
      <c r="E3" s="7"/>
      <c r="F3" s="7"/>
      <c r="G3" s="7"/>
      <c r="Z3" s="6" t="s">
        <v>13</v>
      </c>
    </row>
    <row r="4" customFormat="false" ht="15.75" hidden="false" customHeight="true" outlineLevel="0" collapsed="false">
      <c r="B4" s="8" t="s">
        <v>17</v>
      </c>
      <c r="C4" s="8"/>
      <c r="D4" s="8"/>
      <c r="E4" s="8"/>
      <c r="F4" s="8"/>
      <c r="G4" s="8"/>
      <c r="Z4" s="6" t="s">
        <v>15</v>
      </c>
    </row>
    <row r="5" customFormat="false" ht="45" hidden="false" customHeight="true" outlineLevel="0" collapsed="false">
      <c r="B5" s="9" t="s">
        <v>18</v>
      </c>
      <c r="C5" s="9"/>
      <c r="D5" s="9"/>
      <c r="E5" s="9"/>
      <c r="F5" s="9"/>
      <c r="G5" s="9"/>
      <c r="Z5" s="6" t="s">
        <v>13</v>
      </c>
    </row>
    <row r="6" customFormat="false" ht="15.75" hidden="false" customHeight="true" outlineLevel="0" collapsed="false">
      <c r="B6" s="8" t="s">
        <v>19</v>
      </c>
      <c r="C6" s="8"/>
      <c r="D6" s="8"/>
      <c r="E6" s="8"/>
      <c r="F6" s="8"/>
      <c r="G6" s="8"/>
      <c r="Z6" s="6" t="s">
        <v>15</v>
      </c>
    </row>
    <row r="7" customFormat="false" ht="60" hidden="false" customHeight="true" outlineLevel="0" collapsed="false">
      <c r="B7" s="9" t="s">
        <v>20</v>
      </c>
      <c r="C7" s="9"/>
      <c r="D7" s="9"/>
      <c r="E7" s="9"/>
      <c r="F7" s="9"/>
      <c r="G7" s="9"/>
      <c r="Z7" s="6" t="s">
        <v>13</v>
      </c>
    </row>
    <row r="8" customFormat="false" ht="15" hidden="false" customHeight="false" outlineLevel="0" collapsed="false">
      <c r="Z8" s="0" t="s">
        <v>15</v>
      </c>
    </row>
    <row r="9" customFormat="false" ht="15.75" hidden="false" customHeight="true" outlineLevel="0" collapsed="false">
      <c r="B9" s="8" t="s">
        <v>21</v>
      </c>
      <c r="C9" s="8"/>
      <c r="D9" s="8"/>
      <c r="E9" s="8"/>
      <c r="F9" s="8"/>
      <c r="G9" s="8"/>
      <c r="Z9" s="6" t="s">
        <v>13</v>
      </c>
    </row>
    <row r="10" customFormat="false" ht="30" hidden="false" customHeight="true" outlineLevel="0" collapsed="false">
      <c r="B10" s="9" t="s">
        <v>22</v>
      </c>
      <c r="C10" s="9"/>
      <c r="D10" s="9"/>
      <c r="E10" s="9"/>
      <c r="F10" s="9"/>
      <c r="G10" s="9"/>
      <c r="Z10" s="6" t="s">
        <v>15</v>
      </c>
    </row>
    <row r="11" customFormat="false" ht="15" hidden="false" customHeight="false" outlineLevel="0" collapsed="false">
      <c r="Z11" s="0" t="s">
        <v>13</v>
      </c>
    </row>
    <row r="12" customFormat="false" ht="15" hidden="false" customHeight="true" outlineLevel="0" collapsed="false">
      <c r="B12" s="10" t="s">
        <v>23</v>
      </c>
      <c r="C12" s="10"/>
      <c r="D12" s="10"/>
      <c r="E12" s="10"/>
      <c r="F12" s="10"/>
      <c r="G12" s="10"/>
      <c r="Z12" s="6" t="s">
        <v>15</v>
      </c>
    </row>
    <row r="13" customFormat="false" ht="39.75" hidden="false" customHeight="true" outlineLevel="0" collapsed="false">
      <c r="B13" s="11" t="s">
        <v>24</v>
      </c>
      <c r="C13" s="12"/>
      <c r="G13" s="13" t="str">
        <f aca="false">IF(C13="","Velg i nedtrekksmenyen.",IF(C13="Direkte","Riktig. Varen går fra produsent til bruker uten mellomledd. Nordlys kjøper direkte der mengden er stor nok (8.3).","Ikke riktig. Varen går fra produsent til bruker uten mellomledd. Nordlys kjøper direkte der mengden er stor nok (8.3)."))</f>
        <v>Velg i nedtrekksmenyen.</v>
      </c>
      <c r="Z13" s="6" t="s">
        <v>25</v>
      </c>
    </row>
    <row r="14" customFormat="false" ht="39.75" hidden="false" customHeight="true" outlineLevel="0" collapsed="false">
      <c r="B14" s="11" t="s">
        <v>26</v>
      </c>
      <c r="C14" s="12"/>
      <c r="G14" s="13" t="str">
        <f aca="false">IF(C14="","Velg i nedtrekksmenyen.",IF(C14="Indirekte","Riktig. Polarlys står imellom som grossist. Ett eller flere ledd mellom produsent og bruker er indirekte (8.3).","Ikke riktig. Polarlys står imellom som grossist. Ett eller flere ledd mellom produsent og bruker er indirekte (8.3)."))</f>
        <v>Velg i nedtrekksmenyen.</v>
      </c>
      <c r="Z14" s="6" t="s">
        <v>27</v>
      </c>
    </row>
    <row r="15" customFormat="false" ht="39.75" hidden="false" customHeight="true" outlineLevel="0" collapsed="false">
      <c r="B15" s="11" t="s">
        <v>28</v>
      </c>
      <c r="C15" s="12"/>
      <c r="G15" s="13" t="str">
        <f aca="false">IF(C15="","Velg i nedtrekksmenyen.",IF(C15="Direkte","Riktig. Bokas eget eksempel: store verdier, tilvirket etter kundens spesifikasjoner, ingen mellomledd (8.3).","Ikke riktig. Bokas eget eksempel: store verdier, tilvirket etter kundens spesifikasjoner, ingen mellomledd (8.3)."))</f>
        <v>Velg i nedtrekksmenyen.</v>
      </c>
      <c r="Z15" s="6" t="s">
        <v>29</v>
      </c>
    </row>
    <row r="16" customFormat="false" ht="39.75" hidden="false" customHeight="true" outlineLevel="0" collapsed="false">
      <c r="B16" s="11" t="s">
        <v>30</v>
      </c>
      <c r="C16" s="12"/>
      <c r="G16" s="13" t="str">
        <f aca="false">IF(C16="","Velg i nedtrekksmenyen.",IF(C16="Indirekte","Riktig. Forbrukervarer går som regel via grossist og detaljist; små kjøp, mange ledd (8.3).","Ikke riktig. Forbrukervarer går som regel via grossist og detaljist; små kjøp, mange ledd (8.3)."))</f>
        <v>Velg i nedtrekksmenyen.</v>
      </c>
      <c r="Z16" s="6" t="s">
        <v>31</v>
      </c>
    </row>
    <row r="17" customFormat="false" ht="39.75" hidden="false" customHeight="true" outlineLevel="0" collapsed="false">
      <c r="B17" s="11" t="s">
        <v>32</v>
      </c>
      <c r="C17" s="12"/>
      <c r="G17" s="13" t="str">
        <f aca="false">IF(C17="","Velg i nedtrekksmenyen.",IF(C17="Direkte","Riktig. Tjenesten og varen går rett fra Nordlys til huseieren. Internett gir direkte kontakt mellom produsent og sluttbruker (8.3 og 8.6).","Ikke riktig. Tjenesten og varen går rett fra Nordlys til huseieren. Internett gir direkte kontakt mellom produsent og sluttbruker (8.3 og 8.6)."))</f>
        <v>Velg i nedtrekksmenyen.</v>
      </c>
      <c r="Z17" s="6" t="s">
        <v>25</v>
      </c>
    </row>
    <row r="18" customFormat="false" ht="39.75" hidden="false" customHeight="true" outlineLevel="0" collapsed="false">
      <c r="B18" s="11" t="s">
        <v>33</v>
      </c>
      <c r="C18" s="12"/>
      <c r="G18" s="13" t="str">
        <f aca="false">IF(C18="","Velg i nedtrekksmenyen.",IF(C18="Indirekte","Riktig. Byggvarehuset står mellom Nordlys og huseieren. At Nordlys gjør jobben, gjør ikke kanalen direkte.","Ikke riktig. Byggvarehuset står mellom Nordlys og huseieren. At Nordlys gjør jobben, gjør ikke kanalen direkte."))</f>
        <v>Velg i nedtrekksmenyen.</v>
      </c>
      <c r="Z18" s="6" t="s">
        <v>27</v>
      </c>
    </row>
    <row r="19" customFormat="false" ht="15" hidden="false" customHeight="false" outlineLevel="0" collapsed="false">
      <c r="Z19" s="0" t="s">
        <v>29</v>
      </c>
    </row>
    <row r="20" customFormat="false" ht="15.75" hidden="false" customHeight="true" outlineLevel="0" collapsed="false">
      <c r="B20" s="8" t="s">
        <v>34</v>
      </c>
      <c r="C20" s="8"/>
      <c r="D20" s="8"/>
      <c r="E20" s="8"/>
      <c r="F20" s="8"/>
      <c r="G20" s="8"/>
      <c r="Z20" s="6" t="s">
        <v>31</v>
      </c>
    </row>
    <row r="21" customFormat="false" ht="45" hidden="false" customHeight="true" outlineLevel="0" collapsed="false">
      <c r="B21" s="9" t="s">
        <v>35</v>
      </c>
      <c r="C21" s="9"/>
      <c r="D21" s="9"/>
      <c r="E21" s="9"/>
      <c r="F21" s="9"/>
      <c r="G21" s="9"/>
      <c r="Z21" s="6" t="s">
        <v>25</v>
      </c>
    </row>
    <row r="22" customFormat="false" ht="15" hidden="false" customHeight="true" outlineLevel="0" collapsed="false">
      <c r="B22" s="10" t="s">
        <v>36</v>
      </c>
      <c r="C22" s="10"/>
      <c r="D22" s="10"/>
      <c r="E22" s="10"/>
      <c r="F22" s="10"/>
      <c r="G22" s="10"/>
      <c r="Z22" s="6" t="s">
        <v>27</v>
      </c>
    </row>
    <row r="23" customFormat="false" ht="39.75" hidden="false" customHeight="true" outlineLevel="0" collapsed="false">
      <c r="B23" s="11" t="s">
        <v>37</v>
      </c>
      <c r="C23" s="12"/>
      <c r="G23" s="13" t="str">
        <f aca="false">IF(C23="","Velg i nedtrekksmenyen.",IF(C23="Grossist","Riktig. Grossisten kjøper store kvanta, bryter dem opp og selger mindre kvanta videre. Eier varen (8.5).","Ikke riktig. Grossisten kjøper store kvanta, bryter dem opp og selger mindre kvanta videre. Eier varen (8.5)."))</f>
        <v>Velg i nedtrekksmenyen.</v>
      </c>
      <c r="Z23" s="6" t="s">
        <v>29</v>
      </c>
    </row>
    <row r="24" customFormat="false" ht="39.75" hidden="false" customHeight="true" outlineLevel="0" collapsed="false">
      <c r="B24" s="11" t="s">
        <v>38</v>
      </c>
      <c r="C24" s="12"/>
      <c r="G24" s="13" t="str">
        <f aca="false">IF(C24="","Velg i nedtrekksmenyen.",IF(C24="Detaljist","Riktig. Detaljisten har direkte kontakt med sluttbrukeren, eier varen og bærer risikoen til den er overlevert (8.5).","Ikke riktig. Detaljisten har direkte kontakt med sluttbrukeren, eier varen og bærer risikoen til den er overlevert (8.5)."))</f>
        <v>Velg i nedtrekksmenyen.</v>
      </c>
      <c r="Z24" s="6" t="s">
        <v>31</v>
      </c>
    </row>
    <row r="25" customFormat="false" ht="39.75" hidden="false" customHeight="true" outlineLevel="0" collapsed="false">
      <c r="B25" s="11" t="s">
        <v>39</v>
      </c>
      <c r="C25" s="12"/>
      <c r="G25" s="13" t="str">
        <f aca="false">IF(C25="","Velg i nedtrekksmenyen.",IF(C25="Agent","Riktig. Agenten er salgsrepresentant for en produsent, eier ikke varen og rører den ikke. Kapitalen er kontakter (8.5). En grossist eier varen.","Ikke riktig. Agenten er salgsrepresentant for en produsent, eier ikke varen og rører den ikke. Kapitalen er kontakter (8.5). En grossist eier varen."))</f>
        <v>Velg i nedtrekksmenyen.</v>
      </c>
      <c r="Z25" s="6" t="s">
        <v>25</v>
      </c>
    </row>
    <row r="26" customFormat="false" ht="39.75" hidden="false" customHeight="true" outlineLevel="0" collapsed="false">
      <c r="B26" s="11" t="s">
        <v>40</v>
      </c>
      <c r="C26" s="12"/>
      <c r="G26" s="13" t="str">
        <f aca="false">IF(C26="","Velg i nedtrekksmenyen.",IF(C26="Kommisjonær","Riktig. Kommisjonæren selger som en detaljist, men eier ikke varen og kan levere den tilbake. Bokas eksempler er aviser, ukeblader og Norsk Tipping (8.5).","Ikke riktig. Kommisjonæren selger som en detaljist, men eier ikke varen og kan levere den tilbake. Bokas eksempler er aviser, ukeblader og Norsk Tipping (8.5)."))</f>
        <v>Velg i nedtrekksmenyen.</v>
      </c>
      <c r="Z26" s="6" t="s">
        <v>27</v>
      </c>
    </row>
    <row r="27" customFormat="false" ht="39.75" hidden="false" customHeight="true" outlineLevel="0" collapsed="false">
      <c r="B27" s="11" t="s">
        <v>41</v>
      </c>
      <c r="C27" s="12"/>
      <c r="G27" s="13" t="str">
        <f aca="false">IF(C27="","Velg i nedtrekksmenyen.",IF(C27="Detaljist","Riktig. Byggvarehuset selger til sluttbrukeren og eier boksen til den er overlevert: detaljist, ikke grossist (8.5).","Ikke riktig. Byggvarehuset selger til sluttbrukeren og eier boksen til den er overlevert: detaljist, ikke grossist (8.5)."))</f>
        <v>Velg i nedtrekksmenyen.</v>
      </c>
      <c r="Z27" s="6" t="s">
        <v>29</v>
      </c>
    </row>
    <row r="28" customFormat="false" ht="15" hidden="false" customHeight="false" outlineLevel="0" collapsed="false">
      <c r="Z28" s="0" t="s">
        <v>31</v>
      </c>
    </row>
    <row r="29" customFormat="false" ht="15.75" hidden="false" customHeight="true" outlineLevel="0" collapsed="false">
      <c r="B29" s="8" t="s">
        <v>42</v>
      </c>
      <c r="C29" s="8"/>
      <c r="D29" s="8"/>
      <c r="E29" s="8"/>
      <c r="F29" s="8"/>
      <c r="G29" s="8"/>
      <c r="Z29" s="6" t="s">
        <v>25</v>
      </c>
    </row>
    <row r="30" customFormat="false" ht="30" hidden="false" customHeight="true" outlineLevel="0" collapsed="false">
      <c r="B30" s="9" t="s">
        <v>43</v>
      </c>
      <c r="C30" s="9"/>
      <c r="D30" s="9"/>
      <c r="E30" s="9"/>
      <c r="F30" s="9"/>
      <c r="G30" s="9"/>
      <c r="Z30" s="6" t="s">
        <v>27</v>
      </c>
    </row>
    <row r="31" customFormat="false" ht="15" hidden="false" customHeight="true" outlineLevel="0" collapsed="false">
      <c r="B31" s="10" t="s">
        <v>44</v>
      </c>
      <c r="C31" s="10"/>
      <c r="D31" s="10"/>
      <c r="E31" s="10"/>
      <c r="F31" s="10"/>
      <c r="G31" s="10"/>
      <c r="Z31" s="6" t="s">
        <v>29</v>
      </c>
    </row>
    <row r="32" customFormat="false" ht="39.75" hidden="false" customHeight="true" outlineLevel="0" collapsed="false">
      <c r="B32" s="11" t="s">
        <v>45</v>
      </c>
      <c r="C32" s="12"/>
      <c r="G32" s="13" t="str">
        <f aca="false">IF(C32="","Velg i nedtrekksmenyen.",IF(C32="Finansiering","Riktig. Den som kjøper, finansierer leddet før. Med kreditt er det omvendt: Polarlys finansierer Nordlys. Det er finansiering, en av de usynlige oppgavene (8.2).","Ikke riktig. Den som kjøper, finansierer leddet før. Med kreditt er det omvendt: Polarlys finansierer Nordlys. Det er finansiering, en av de usynlige oppgavene (8.2)."))</f>
        <v>Velg i nedtrekksmenyen.</v>
      </c>
      <c r="Z32" s="6" t="s">
        <v>31</v>
      </c>
    </row>
    <row r="33" customFormat="false" ht="39.75" hidden="false" customHeight="true" outlineLevel="0" collapsed="false">
      <c r="B33" s="11" t="s">
        <v>46</v>
      </c>
      <c r="C33" s="12"/>
      <c r="G33" s="13" t="str">
        <f aca="false">IF(C33="","Velg i nedtrekksmenyen.",IF(C33="Sortiment","Riktig. Grossisten setter sammen et vareutvalg kundene etterspør: sortimentsfunksjonen (8.5).","Ikke riktig. Grossisten setter sammen et vareutvalg kundene etterspør: sortimentsfunksjonen (8.5)."))</f>
        <v>Velg i nedtrekksmenyen.</v>
      </c>
      <c r="Z33" s="6" t="s">
        <v>47</v>
      </c>
    </row>
    <row r="34" customFormat="false" ht="39.75" hidden="false" customHeight="true" outlineLevel="0" collapsed="false">
      <c r="B34" s="11" t="s">
        <v>48</v>
      </c>
      <c r="C34" s="12"/>
      <c r="G34" s="13" t="str">
        <f aca="false">IF(C34="","Velg i nedtrekksmenyen.",IF(C34="Informasjon","Riktig. Informasjonsstrømmen går begge veier. Sluttbrukeren er den endelige dommeren, og meldingen må tilbake til produsenten (8.2).","Ikke riktig. Informasjonsstrømmen går begge veier. Sluttbrukeren er den endelige dommeren, og meldingen må tilbake til produsenten (8.2)."))</f>
        <v>Velg i nedtrekksmenyen.</v>
      </c>
      <c r="Z34" s="6" t="s">
        <v>49</v>
      </c>
    </row>
    <row r="35" customFormat="false" ht="39.75" hidden="false" customHeight="true" outlineLevel="0" collapsed="false">
      <c r="B35" s="11" t="s">
        <v>50</v>
      </c>
      <c r="C35" s="12"/>
      <c r="G35" s="13" t="str">
        <f aca="false">IF(C35="","Velg i nedtrekksmenyen.",IF(C35="Eiendomsrett og risiko","Riktig. Den som eier varen, bærer tapet hvis den blir ødelagt, stjålet eller usalgbar (8.2).","Ikke riktig. Den som eier varen, bærer tapet hvis den blir ødelagt, stjålet eller usalgbar (8.2)."))</f>
        <v>Velg i nedtrekksmenyen.</v>
      </c>
      <c r="Z35" s="6" t="s">
        <v>51</v>
      </c>
    </row>
    <row r="36" customFormat="false" ht="15" hidden="false" customHeight="false" outlineLevel="0" collapsed="false">
      <c r="Z36" s="0" t="s">
        <v>52</v>
      </c>
    </row>
    <row r="37" customFormat="false" ht="30" hidden="false" customHeight="true" outlineLevel="0" collapsed="false">
      <c r="B37" s="9" t="s">
        <v>53</v>
      </c>
      <c r="C37" s="9"/>
      <c r="D37" s="9"/>
      <c r="E37" s="9"/>
      <c r="F37" s="9"/>
      <c r="G37" s="9"/>
      <c r="Z37" s="6" t="s">
        <v>54</v>
      </c>
    </row>
    <row r="38" customFormat="false" ht="21.75" hidden="false" customHeight="true" outlineLevel="0" collapsed="false">
      <c r="B38" s="14"/>
      <c r="C38" s="14"/>
      <c r="D38" s="14"/>
      <c r="E38" s="14"/>
      <c r="F38" s="14"/>
      <c r="G38" s="14"/>
      <c r="Z38" s="6" t="s">
        <v>55</v>
      </c>
    </row>
    <row r="39" customFormat="false" ht="21.75" hidden="false" customHeight="true" outlineLevel="0" collapsed="false">
      <c r="B39" s="14"/>
      <c r="C39" s="14"/>
      <c r="D39" s="14"/>
      <c r="E39" s="14"/>
      <c r="F39" s="14"/>
      <c r="G39" s="14"/>
      <c r="Z39" s="6" t="s">
        <v>47</v>
      </c>
    </row>
    <row r="40" customFormat="false" ht="21.75" hidden="false" customHeight="true" outlineLevel="0" collapsed="false">
      <c r="B40" s="14"/>
      <c r="C40" s="14"/>
      <c r="D40" s="14"/>
      <c r="E40" s="14"/>
      <c r="F40" s="14"/>
      <c r="G40" s="14"/>
      <c r="Z40" s="6" t="s">
        <v>49</v>
      </c>
    </row>
    <row r="41" customFormat="false" ht="39.75" hidden="false" customHeight="true" outlineLevel="0" collapsed="false">
      <c r="B41" s="15" t="str">
        <f aca="false">IF(LEN(B38)&lt;40,"",IF(AND(ISNUMBER(SEARCH("kreditt",B38)),ISNUMBER(SEARCH("oppgave",B38))),"Bra: du nevner kreditten og at grossisten gjør oppgaver Nordlys ellers måtte gjort selv. Si gjerne også at et ledd som bare ga kostnader, ville forsvunnet i konkurransen (8.3).",IF(OR(ISNUMBER(SEARCH("kreditt",B38)),ISNUMBER(SEARCH("oppgave",B38))),"Du er på sporet. Ta med både kreditten (eller lageret) og at Polarlys gjør oppgaver Nordlys ellers måtte gjort selv.","Tips: Polarlys finansierer 665 833 kr, holder lageret, setter sammen sortimentet og melder tilbake til produsentene. Et ledd som bare ga kostnader, ville forsvunnet i konkurransen. Fjerner du leddet, arver du oppgavene.")))</f>
        <v/>
      </c>
      <c r="C41" s="15"/>
      <c r="D41" s="15"/>
      <c r="E41" s="15"/>
      <c r="F41" s="15"/>
      <c r="G41" s="15"/>
      <c r="Z41" s="6" t="s">
        <v>51</v>
      </c>
    </row>
    <row r="42" customFormat="false" ht="15" hidden="false" customHeight="false" outlineLevel="0" collapsed="false">
      <c r="B42" s="16" t="s">
        <v>56</v>
      </c>
      <c r="C42" s="12"/>
      <c r="Z42" s="6" t="s">
        <v>52</v>
      </c>
    </row>
    <row r="43" customFormat="false" ht="75" hidden="false" customHeight="true" outlineLevel="0" collapsed="false">
      <c r="B43" s="17" t="str">
        <f aca="false">IF(C42="JA","Hint: Formen: er det noen imellom? Kabeltromler, flyet og nettbutikken er direkte; vern via Polarlys, sjokoladen og byggvarehuset er indirekte. Rollen: eier aktøren varen, og selger den til sluttbrukeren? Polarlys grossist, Nordlys og byggvarehuset detaljist, distriktsselgeren agent, kiosken kommisjonær. Oppgavene: kreditt er finansiering, én faktura er sortiment, den knuste boksen er informasjon, den utgåtte modellen er eiendomsrett og risiko.","")</f>
        <v/>
      </c>
      <c r="C43" s="17"/>
      <c r="D43" s="17"/>
      <c r="E43" s="17"/>
      <c r="F43" s="17"/>
      <c r="G43" s="17"/>
      <c r="Z43" s="6" t="s">
        <v>54</v>
      </c>
    </row>
    <row r="44" customFormat="false" ht="15" hidden="false" customHeight="false" outlineLevel="0" collapsed="false">
      <c r="Z44" s="0" t="s">
        <v>55</v>
      </c>
    </row>
    <row r="45" customFormat="false" ht="30" hidden="false" customHeight="true" outlineLevel="0" collapsed="false">
      <c r="B45" s="7" t="s">
        <v>57</v>
      </c>
      <c r="C45" s="7"/>
      <c r="D45" s="7"/>
      <c r="E45" s="7"/>
      <c r="F45" s="7"/>
      <c r="G45" s="7"/>
      <c r="Z45" s="6" t="s">
        <v>47</v>
      </c>
    </row>
    <row r="46" customFormat="false" ht="15" hidden="false" customHeight="false" outlineLevel="0" collapsed="false">
      <c r="Z46" s="0" t="s">
        <v>49</v>
      </c>
    </row>
    <row r="47" customFormat="false" ht="15" hidden="false" customHeight="false" outlineLevel="0" collapsed="false">
      <c r="Z47" s="0" t="s">
        <v>51</v>
      </c>
    </row>
    <row r="48" customFormat="false" ht="15" hidden="false" customHeight="false" outlineLevel="0" collapsed="false">
      <c r="Z48" s="0" t="s">
        <v>52</v>
      </c>
    </row>
    <row r="49" customFormat="false" ht="15" hidden="false" customHeight="false" outlineLevel="0" collapsed="false">
      <c r="Z49" s="0" t="s">
        <v>54</v>
      </c>
    </row>
    <row r="50" customFormat="false" ht="15" hidden="false" customHeight="false" outlineLevel="0" collapsed="false">
      <c r="Z50" s="0" t="s">
        <v>55</v>
      </c>
    </row>
    <row r="51" customFormat="false" ht="15" hidden="false" customHeight="false" outlineLevel="0" collapsed="false">
      <c r="Z51" s="0" t="s">
        <v>47</v>
      </c>
    </row>
    <row r="52" customFormat="false" ht="15" hidden="false" customHeight="false" outlineLevel="0" collapsed="false">
      <c r="Z52" s="0" t="s">
        <v>49</v>
      </c>
    </row>
    <row r="53" customFormat="false" ht="15" hidden="false" customHeight="false" outlineLevel="0" collapsed="false">
      <c r="Z53" s="0" t="s">
        <v>51</v>
      </c>
    </row>
    <row r="54" customFormat="false" ht="15" hidden="false" customHeight="false" outlineLevel="0" collapsed="false">
      <c r="Z54" s="0" t="s">
        <v>52</v>
      </c>
    </row>
    <row r="55" customFormat="false" ht="15" hidden="false" customHeight="false" outlineLevel="0" collapsed="false">
      <c r="Z55" s="0" t="s">
        <v>54</v>
      </c>
    </row>
    <row r="56" customFormat="false" ht="15" hidden="false" customHeight="false" outlineLevel="0" collapsed="false">
      <c r="Z56" s="0" t="s">
        <v>55</v>
      </c>
    </row>
  </sheetData>
  <mergeCells count="20">
    <mergeCell ref="B2:G2"/>
    <mergeCell ref="B3:G3"/>
    <mergeCell ref="B4:G4"/>
    <mergeCell ref="B5:G5"/>
    <mergeCell ref="B6:G6"/>
    <mergeCell ref="B7:G7"/>
    <mergeCell ref="B9:G9"/>
    <mergeCell ref="B10:G10"/>
    <mergeCell ref="B12:G12"/>
    <mergeCell ref="B20:G20"/>
    <mergeCell ref="B21:G21"/>
    <mergeCell ref="B22:G22"/>
    <mergeCell ref="B29:G29"/>
    <mergeCell ref="B30:G30"/>
    <mergeCell ref="B31:G31"/>
    <mergeCell ref="B37:G37"/>
    <mergeCell ref="B38:G40"/>
    <mergeCell ref="B41:G41"/>
    <mergeCell ref="B43:G43"/>
    <mergeCell ref="B45:G45"/>
  </mergeCells>
  <conditionalFormatting sqref="G13">
    <cfRule type="expression" priority="2" aboveAverage="0" equalAverage="0" bottom="0" percent="0" rank="0" text="" dxfId="0">
      <formula>LEFT(G13,6)="Riktig"</formula>
    </cfRule>
    <cfRule type="expression" priority="3" aboveAverage="0" equalAverage="0" bottom="0" percent="0" rank="0" text="" dxfId="1">
      <formula>LEFT(G13,4)="Ikke"</formula>
    </cfRule>
  </conditionalFormatting>
  <conditionalFormatting sqref="G14">
    <cfRule type="expression" priority="4" aboveAverage="0" equalAverage="0" bottom="0" percent="0" rank="0" text="" dxfId="0">
      <formula>LEFT(G14,6)="Riktig"</formula>
    </cfRule>
    <cfRule type="expression" priority="5" aboveAverage="0" equalAverage="0" bottom="0" percent="0" rank="0" text="" dxfId="1">
      <formula>LEFT(G14,4)="Ikke"</formula>
    </cfRule>
  </conditionalFormatting>
  <conditionalFormatting sqref="G15">
    <cfRule type="expression" priority="6" aboveAverage="0" equalAverage="0" bottom="0" percent="0" rank="0" text="" dxfId="0">
      <formula>LEFT(G15,6)="Riktig"</formula>
    </cfRule>
    <cfRule type="expression" priority="7" aboveAverage="0" equalAverage="0" bottom="0" percent="0" rank="0" text="" dxfId="1">
      <formula>LEFT(G15,4)="Ikke"</formula>
    </cfRule>
  </conditionalFormatting>
  <conditionalFormatting sqref="G16">
    <cfRule type="expression" priority="8" aboveAverage="0" equalAverage="0" bottom="0" percent="0" rank="0" text="" dxfId="0">
      <formula>LEFT(G16,6)="Riktig"</formula>
    </cfRule>
    <cfRule type="expression" priority="9" aboveAverage="0" equalAverage="0" bottom="0" percent="0" rank="0" text="" dxfId="1">
      <formula>LEFT(G16,4)="Ikke"</formula>
    </cfRule>
  </conditionalFormatting>
  <conditionalFormatting sqref="G17">
    <cfRule type="expression" priority="10" aboveAverage="0" equalAverage="0" bottom="0" percent="0" rank="0" text="" dxfId="0">
      <formula>LEFT(G17,6)="Riktig"</formula>
    </cfRule>
    <cfRule type="expression" priority="11" aboveAverage="0" equalAverage="0" bottom="0" percent="0" rank="0" text="" dxfId="1">
      <formula>LEFT(G17,4)="Ikke"</formula>
    </cfRule>
  </conditionalFormatting>
  <conditionalFormatting sqref="G18">
    <cfRule type="expression" priority="12" aboveAverage="0" equalAverage="0" bottom="0" percent="0" rank="0" text="" dxfId="0">
      <formula>LEFT(G18,6)="Riktig"</formula>
    </cfRule>
    <cfRule type="expression" priority="13" aboveAverage="0" equalAverage="0" bottom="0" percent="0" rank="0" text="" dxfId="1">
      <formula>LEFT(G18,4)="Ikke"</formula>
    </cfRule>
  </conditionalFormatting>
  <conditionalFormatting sqref="G23">
    <cfRule type="expression" priority="14" aboveAverage="0" equalAverage="0" bottom="0" percent="0" rank="0" text="" dxfId="0">
      <formula>LEFT(G23,6)="Riktig"</formula>
    </cfRule>
    <cfRule type="expression" priority="15" aboveAverage="0" equalAverage="0" bottom="0" percent="0" rank="0" text="" dxfId="1">
      <formula>LEFT(G23,4)="Ikke"</formula>
    </cfRule>
  </conditionalFormatting>
  <conditionalFormatting sqref="G24">
    <cfRule type="expression" priority="16" aboveAverage="0" equalAverage="0" bottom="0" percent="0" rank="0" text="" dxfId="0">
      <formula>LEFT(G24,6)="Riktig"</formula>
    </cfRule>
    <cfRule type="expression" priority="17" aboveAverage="0" equalAverage="0" bottom="0" percent="0" rank="0" text="" dxfId="1">
      <formula>LEFT(G24,4)="Ikke"</formula>
    </cfRule>
  </conditionalFormatting>
  <conditionalFormatting sqref="G25">
    <cfRule type="expression" priority="18" aboveAverage="0" equalAverage="0" bottom="0" percent="0" rank="0" text="" dxfId="0">
      <formula>LEFT(G25,6)="Riktig"</formula>
    </cfRule>
    <cfRule type="expression" priority="19" aboveAverage="0" equalAverage="0" bottom="0" percent="0" rank="0" text="" dxfId="1">
      <formula>LEFT(G25,4)="Ikke"</formula>
    </cfRule>
  </conditionalFormatting>
  <conditionalFormatting sqref="G26">
    <cfRule type="expression" priority="20" aboveAverage="0" equalAverage="0" bottom="0" percent="0" rank="0" text="" dxfId="0">
      <formula>LEFT(G26,6)="Riktig"</formula>
    </cfRule>
    <cfRule type="expression" priority="21" aboveAverage="0" equalAverage="0" bottom="0" percent="0" rank="0" text="" dxfId="1">
      <formula>LEFT(G26,4)="Ikke"</formula>
    </cfRule>
  </conditionalFormatting>
  <conditionalFormatting sqref="G27">
    <cfRule type="expression" priority="22" aboveAverage="0" equalAverage="0" bottom="0" percent="0" rank="0" text="" dxfId="0">
      <formula>LEFT(G27,6)="Riktig"</formula>
    </cfRule>
    <cfRule type="expression" priority="23" aboveAverage="0" equalAverage="0" bottom="0" percent="0" rank="0" text="" dxfId="1">
      <formula>LEFT(G27,4)="Ikke"</formula>
    </cfRule>
  </conditionalFormatting>
  <conditionalFormatting sqref="G32">
    <cfRule type="expression" priority="24" aboveAverage="0" equalAverage="0" bottom="0" percent="0" rank="0" text="" dxfId="0">
      <formula>LEFT(G32,6)="Riktig"</formula>
    </cfRule>
    <cfRule type="expression" priority="25" aboveAverage="0" equalAverage="0" bottom="0" percent="0" rank="0" text="" dxfId="1">
      <formula>LEFT(G32,4)="Ikke"</formula>
    </cfRule>
  </conditionalFormatting>
  <conditionalFormatting sqref="G33">
    <cfRule type="expression" priority="26" aboveAverage="0" equalAverage="0" bottom="0" percent="0" rank="0" text="" dxfId="0">
      <formula>LEFT(G33,6)="Riktig"</formula>
    </cfRule>
    <cfRule type="expression" priority="27" aboveAverage="0" equalAverage="0" bottom="0" percent="0" rank="0" text="" dxfId="1">
      <formula>LEFT(G33,4)="Ikke"</formula>
    </cfRule>
  </conditionalFormatting>
  <conditionalFormatting sqref="G34">
    <cfRule type="expression" priority="28" aboveAverage="0" equalAverage="0" bottom="0" percent="0" rank="0" text="" dxfId="0">
      <formula>LEFT(G34,6)="Riktig"</formula>
    </cfRule>
    <cfRule type="expression" priority="29" aboveAverage="0" equalAverage="0" bottom="0" percent="0" rank="0" text="" dxfId="1">
      <formula>LEFT(G34,4)="Ikke"</formula>
    </cfRule>
  </conditionalFormatting>
  <conditionalFormatting sqref="G35">
    <cfRule type="expression" priority="30" aboveAverage="0" equalAverage="0" bottom="0" percent="0" rank="0" text="" dxfId="0">
      <formula>LEFT(G35,6)="Riktig"</formula>
    </cfRule>
    <cfRule type="expression" priority="31" aboveAverage="0" equalAverage="0" bottom="0" percent="0" rank="0" text="" dxfId="1">
      <formula>LEFT(G35,4)="Ikke"</formula>
    </cfRule>
  </conditionalFormatting>
  <dataValidations count="16">
    <dataValidation allowBlank="true" errorStyle="stop" operator="between" showDropDown="false" showErrorMessage="false" showInputMessage="false" sqref="C13" type="list">
      <formula1>$Z$1:$Z$2</formula1>
      <formula2>0</formula2>
    </dataValidation>
    <dataValidation allowBlank="true" errorStyle="stop" operator="between" showDropDown="false" showErrorMessage="false" showInputMessage="false" sqref="C14" type="list">
      <formula1>$Z$3:$Z$4</formula1>
      <formula2>0</formula2>
    </dataValidation>
    <dataValidation allowBlank="true" errorStyle="stop" operator="between" showDropDown="false" showErrorMessage="false" showInputMessage="false" sqref="C15" type="list">
      <formula1>$Z$5:$Z$6</formula1>
      <formula2>0</formula2>
    </dataValidation>
    <dataValidation allowBlank="true" errorStyle="stop" operator="between" showDropDown="false" showErrorMessage="false" showInputMessage="false" sqref="C16" type="list">
      <formula1>$Z$7:$Z$8</formula1>
      <formula2>0</formula2>
    </dataValidation>
    <dataValidation allowBlank="true" errorStyle="stop" operator="between" showDropDown="false" showErrorMessage="false" showInputMessage="false" sqref="C17" type="list">
      <formula1>$Z$9:$Z$10</formula1>
      <formula2>0</formula2>
    </dataValidation>
    <dataValidation allowBlank="true" errorStyle="stop" operator="between" showDropDown="false" showErrorMessage="false" showInputMessage="false" sqref="C18" type="list">
      <formula1>$Z$11:$Z$12</formula1>
      <formula2>0</formula2>
    </dataValidation>
    <dataValidation allowBlank="true" errorStyle="stop" operator="between" showDropDown="false" showErrorMessage="false" showInputMessage="false" sqref="C23" type="list">
      <formula1>$Z$13:$Z$16</formula1>
      <formula2>0</formula2>
    </dataValidation>
    <dataValidation allowBlank="true" errorStyle="stop" operator="between" showDropDown="false" showErrorMessage="false" showInputMessage="false" sqref="C24" type="list">
      <formula1>$Z$17:$Z$20</formula1>
      <formula2>0</formula2>
    </dataValidation>
    <dataValidation allowBlank="true" errorStyle="stop" operator="between" showDropDown="false" showErrorMessage="false" showInputMessage="false" sqref="C25" type="list">
      <formula1>$Z$21:$Z$24</formula1>
      <formula2>0</formula2>
    </dataValidation>
    <dataValidation allowBlank="true" errorStyle="stop" operator="between" showDropDown="false" showErrorMessage="false" showInputMessage="false" sqref="C26" type="list">
      <formula1>$Z$25:$Z$28</formula1>
      <formula2>0</formula2>
    </dataValidation>
    <dataValidation allowBlank="true" errorStyle="stop" operator="between" showDropDown="false" showErrorMessage="false" showInputMessage="false" sqref="C27" type="list">
      <formula1>$Z$29:$Z$32</formula1>
      <formula2>0</formula2>
    </dataValidation>
    <dataValidation allowBlank="true" errorStyle="stop" operator="between" showDropDown="false" showErrorMessage="false" showInputMessage="false" sqref="C32" type="list">
      <formula1>$Z$33:$Z$38</formula1>
      <formula2>0</formula2>
    </dataValidation>
    <dataValidation allowBlank="true" errorStyle="stop" operator="between" showDropDown="false" showErrorMessage="false" showInputMessage="false" sqref="C33" type="list">
      <formula1>$Z$39:$Z$44</formula1>
      <formula2>0</formula2>
    </dataValidation>
    <dataValidation allowBlank="true" errorStyle="stop" operator="between" showDropDown="false" showErrorMessage="false" showInputMessage="false" sqref="C34" type="list">
      <formula1>$Z$45:$Z$50</formula1>
      <formula2>0</formula2>
    </dataValidation>
    <dataValidation allowBlank="true" errorStyle="stop" operator="between" showDropDown="false" showErrorMessage="false" showInputMessage="false" sqref="C35" type="list">
      <formula1>$Z$51:$Z$56</formula1>
      <formula2>0</formula2>
    </dataValidation>
    <dataValidation allowBlank="true" errorStyle="stop" operator="between" showDropDown="false" showErrorMessage="false" showInputMessage="false" sqref="C42"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58</v>
      </c>
      <c r="C2" s="5"/>
      <c r="D2" s="5"/>
      <c r="E2" s="5"/>
      <c r="F2" s="5"/>
      <c r="G2" s="5"/>
    </row>
    <row r="3" customFormat="false" ht="15" hidden="false" customHeight="true" outlineLevel="0" collapsed="false">
      <c r="B3" s="7" t="s">
        <v>16</v>
      </c>
      <c r="C3" s="7"/>
      <c r="D3" s="7"/>
      <c r="E3" s="7"/>
      <c r="F3" s="7"/>
      <c r="G3" s="7"/>
    </row>
    <row r="4" customFormat="false" ht="15.75" hidden="false" customHeight="true" outlineLevel="0" collapsed="false">
      <c r="B4" s="8" t="s">
        <v>17</v>
      </c>
      <c r="C4" s="8"/>
      <c r="D4" s="8"/>
      <c r="E4" s="8"/>
      <c r="F4" s="8"/>
      <c r="G4" s="8"/>
    </row>
    <row r="5" customFormat="false" ht="45" hidden="false" customHeight="true" outlineLevel="0" collapsed="false">
      <c r="B5" s="9" t="s">
        <v>59</v>
      </c>
      <c r="C5" s="9"/>
      <c r="D5" s="9"/>
      <c r="E5" s="9"/>
      <c r="F5" s="9"/>
      <c r="G5" s="9"/>
    </row>
    <row r="6" customFormat="false" ht="15.75" hidden="false" customHeight="true" outlineLevel="0" collapsed="false">
      <c r="B6" s="8" t="s">
        <v>19</v>
      </c>
      <c r="C6" s="8"/>
      <c r="D6" s="8"/>
      <c r="E6" s="8"/>
      <c r="F6" s="8"/>
      <c r="G6" s="8"/>
    </row>
    <row r="7" customFormat="false" ht="45" hidden="false" customHeight="true" outlineLevel="0" collapsed="false">
      <c r="B7" s="9" t="s">
        <v>60</v>
      </c>
      <c r="C7" s="9"/>
      <c r="D7" s="9"/>
      <c r="E7" s="9"/>
      <c r="F7" s="9"/>
      <c r="G7" s="9"/>
    </row>
    <row r="9" customFormat="false" ht="15.75" hidden="false" customHeight="true" outlineLevel="0" collapsed="false">
      <c r="B9" s="8" t="s">
        <v>61</v>
      </c>
      <c r="C9" s="8"/>
      <c r="D9" s="8"/>
      <c r="E9" s="8"/>
      <c r="F9" s="8"/>
      <c r="G9" s="8"/>
    </row>
    <row r="10" customFormat="false" ht="30" hidden="false" customHeight="true" outlineLevel="0" collapsed="false">
      <c r="B10" s="9" t="s">
        <v>62</v>
      </c>
      <c r="C10" s="9"/>
      <c r="D10" s="9"/>
      <c r="E10" s="9"/>
      <c r="F10" s="9"/>
      <c r="G10" s="9"/>
    </row>
    <row r="11" customFormat="false" ht="15" hidden="false" customHeight="false" outlineLevel="0" collapsed="false">
      <c r="B11" s="18" t="s">
        <v>63</v>
      </c>
      <c r="C11" s="19" t="s">
        <v>64</v>
      </c>
    </row>
    <row r="12" customFormat="false" ht="15" hidden="false" customHeight="false" outlineLevel="0" collapsed="false">
      <c r="B12" s="20" t="s">
        <v>65</v>
      </c>
      <c r="C12" s="21" t="n">
        <v>7990000</v>
      </c>
    </row>
    <row r="13" customFormat="false" ht="15" hidden="false" customHeight="false" outlineLevel="0" collapsed="false">
      <c r="B13" s="20" t="s">
        <v>66</v>
      </c>
      <c r="C13" s="21" t="n">
        <v>1250000</v>
      </c>
    </row>
    <row r="14" customFormat="false" ht="15" hidden="false" customHeight="false" outlineLevel="0" collapsed="false">
      <c r="B14" s="20" t="s">
        <v>67</v>
      </c>
      <c r="C14" s="21" t="n">
        <v>1460000</v>
      </c>
    </row>
    <row r="15" customFormat="false" ht="15" hidden="false" customHeight="false" outlineLevel="0" collapsed="false">
      <c r="B15" s="20" t="s">
        <v>68</v>
      </c>
      <c r="C15" s="22" t="n">
        <v>0.075</v>
      </c>
    </row>
    <row r="16" customFormat="false" ht="15" hidden="false" customHeight="false" outlineLevel="0" collapsed="false">
      <c r="B16" s="20" t="s">
        <v>69</v>
      </c>
      <c r="C16" s="21" t="n">
        <v>360</v>
      </c>
    </row>
    <row r="17" customFormat="false" ht="15" hidden="false" customHeight="false" outlineLevel="0" collapsed="false">
      <c r="B17" s="20" t="s">
        <v>70</v>
      </c>
      <c r="C17" s="21" t="n">
        <v>57</v>
      </c>
    </row>
    <row r="19" customFormat="false" ht="15.75" hidden="false" customHeight="true" outlineLevel="0" collapsed="false">
      <c r="B19" s="8" t="s">
        <v>71</v>
      </c>
      <c r="C19" s="8"/>
      <c r="D19" s="8"/>
      <c r="E19" s="8"/>
      <c r="F19" s="8"/>
      <c r="G19" s="8"/>
    </row>
    <row r="20" customFormat="false" ht="45" hidden="false" customHeight="true" outlineLevel="0" collapsed="false">
      <c r="B20" s="9" t="s">
        <v>72</v>
      </c>
      <c r="C20" s="9"/>
      <c r="D20" s="9"/>
      <c r="E20" s="9"/>
      <c r="F20" s="9"/>
      <c r="G20" s="9"/>
    </row>
    <row r="21" customFormat="false" ht="15.75" hidden="false" customHeight="true" outlineLevel="0" collapsed="false">
      <c r="B21" s="8" t="s">
        <v>73</v>
      </c>
      <c r="C21" s="8"/>
      <c r="D21" s="8"/>
      <c r="E21" s="8"/>
      <c r="F21" s="8"/>
      <c r="G21" s="8"/>
    </row>
    <row r="22" customFormat="false" ht="60" hidden="false" customHeight="true" outlineLevel="0" collapsed="false">
      <c r="B22" s="9" t="s">
        <v>74</v>
      </c>
      <c r="C22" s="9"/>
      <c r="D22" s="9"/>
      <c r="E22" s="9"/>
      <c r="F22" s="9"/>
      <c r="G22" s="9"/>
    </row>
    <row r="24" customFormat="false" ht="43.5" hidden="false" customHeight="true" outlineLevel="0" collapsed="false">
      <c r="B24" s="11" t="s">
        <v>75</v>
      </c>
      <c r="C24" s="23"/>
      <c r="D24" s="24" t="s">
        <v>76</v>
      </c>
      <c r="G24" s="13" t="str">
        <f aca="false">IF(C24="","Skriv svaret i den gule cellen.",IF(ABS(C24-(ROUND(C14*360/C12,1)))&lt;=0.1,"Riktig.",IF(ABS(C24-(ROUND(C14*365/C12,1)))&lt;=0.1,"Du har brukt 365 dager. Vi regner med 360 dager i året, slik Økonomistyring gjør.",IF(ABS(C24-(ROUND(C14*360/8390000,1)))&lt;=0.1,"Du har delt på varekostnaden 8 390 000 fra resultatregnskapet. Den har innleie i seg. Bruk materiellkjøpet 7 990 000.",IF(ABS(C24-(ROUND(C13*360/C12,1)))&lt;=0.1,"Det er lagringstiden 1. mars. Oppgaven spør om 31. mars, 1 460 000.",IF(ABS(C24-(ROUND(C12/C14,1)))&lt;=0.1,"Du har regnet omløpshastigheten, hvor mange ganger lageret snur. Lagringstid er lager × 360 / materiellkjøp.","Ikke riktig ennå. Se på regnestykket øverst på fanen, og sjekk at du har med alle leddene."))))))</f>
        <v>Skriv svaret i den gule cellen.</v>
      </c>
    </row>
    <row r="25" customFormat="false" ht="43.5" hidden="false" customHeight="true" outlineLevel="0" collapsed="false">
      <c r="B25" s="11" t="s">
        <v>77</v>
      </c>
      <c r="C25" s="25"/>
      <c r="D25" s="24" t="s">
        <v>78</v>
      </c>
      <c r="G25" s="13" t="str">
        <f aca="false">IF(C25="","Skriv svaret i den gule cellen.",IF(ABS(C25-(ROUND(C12*57/360,0)))&lt;=1,"Riktig.",IF(ABS(C25-(ROUND(C12*57/365,0)))&lt;=1,"Du har brukt 365 dager. Bruk 360.",IF(ABS(C25-(ROUND(C12/57,0)))&lt;=1,"Du har delt materiellkjøpet på 57. Det skal være materiellkjøp × 57 / 360.","Ikke riktig ennå. Se på regnestykket øverst på fanen, og sjekk at du har med alle leddene."))))</f>
        <v>Skriv svaret i den gule cellen.</v>
      </c>
    </row>
    <row r="26" customFormat="false" ht="43.5" hidden="false" customHeight="true" outlineLevel="0" collapsed="false">
      <c r="B26" s="11" t="s">
        <v>79</v>
      </c>
      <c r="C26" s="25"/>
      <c r="D26" s="24" t="s">
        <v>78</v>
      </c>
      <c r="G26" s="13" t="str">
        <f aca="false">IF(C26="","Skriv svaret i den gule cellen.",IF(ABS(C26-(ROUND(C12*57/360*0.075,0)))&lt;=1,"Riktig.",IF(ABS(C26-(ROUND(C14*0.075,0)))&lt;=1,"Det er renten på lageret 31. mars (d). Her skal lageret fra b brukes.","Ikke riktig ennå. Se på regnestykket øverst på fanen, og sjekk at du har med alle leddene.")))</f>
        <v>Skriv svaret i den gule cellen.</v>
      </c>
    </row>
    <row r="27" customFormat="false" ht="43.5" hidden="false" customHeight="true" outlineLevel="0" collapsed="false">
      <c r="B27" s="11" t="s">
        <v>80</v>
      </c>
      <c r="C27" s="25"/>
      <c r="D27" s="24" t="s">
        <v>78</v>
      </c>
      <c r="G27" s="13" t="str">
        <f aca="false">IF(C27="","Skriv svaret i den gule cellen.",IF(ABS(C27-(ROUND(C14*0.075,0)))&lt;=1,"Riktig.",IF(ABS(C27-(ROUND(C14*0.075/12,0)))&lt;=1,"Du har regnet én måned. Oppgaven spør om renten for ett år.",IF(ABS(C27-(ROUND(C13*0.075,0)))&lt;=1,"Du har brukt lageret 1. mars. Bruk 31. mars, 1 460 000.","Ikke riktig ennå. Se på regnestykket øverst på fanen, og sjekk at du har med alle leddene."))))</f>
        <v>Skriv svaret i den gule cellen.</v>
      </c>
    </row>
    <row r="28" customFormat="false" ht="43.5" hidden="false" customHeight="true" outlineLevel="0" collapsed="false">
      <c r="B28" s="11" t="s">
        <v>81</v>
      </c>
      <c r="C28" s="25"/>
      <c r="D28" s="24" t="s">
        <v>78</v>
      </c>
      <c r="G28" s="13" t="str">
        <f aca="false">IF(C28="","Skriv svaret i den gule cellen.",IF(ABS(C28-(ROUND(C14*0.075,0)-ROUND(C12*57/360*0.075,0)))&lt;=2,"Riktig.",IF(ABS(C28-(ROUND((C14-C13)*0.075,0)))&lt;=2,"Du har regnet forskjellen mellom 31. mars og 1. mars. Oppgaven sammenlikner med bransjens lager (b).","Ikke riktig ennå. Se på regnestykket øverst på fanen, og sjekk at du har med alle leddene.")))</f>
        <v>Skriv svaret i den gule cellen.</v>
      </c>
    </row>
    <row r="30" customFormat="false" ht="15.75" hidden="false" customHeight="true" outlineLevel="0" collapsed="false">
      <c r="B30" s="8" t="s">
        <v>82</v>
      </c>
      <c r="C30" s="8"/>
      <c r="D30" s="8"/>
      <c r="E30" s="8"/>
      <c r="F30" s="8"/>
      <c r="G30" s="8"/>
    </row>
    <row r="31" customFormat="false" ht="45" hidden="false" customHeight="true" outlineLevel="0" collapsed="false">
      <c r="B31" s="9" t="s">
        <v>83</v>
      </c>
      <c r="C31" s="9"/>
      <c r="D31" s="9"/>
      <c r="E31" s="9"/>
      <c r="F31" s="9"/>
      <c r="G31" s="9"/>
    </row>
    <row r="32" customFormat="false" ht="43.5" hidden="false" customHeight="true" outlineLevel="0" collapsed="false">
      <c r="B32" s="11" t="s">
        <v>84</v>
      </c>
      <c r="C32" s="25"/>
      <c r="D32" s="24" t="s">
        <v>85</v>
      </c>
      <c r="G32" s="13" t="str">
        <f aca="false">IF(C32="","Skriv svaret i den gule cellen.",IF(C32=(4*46*0.75),"Riktig.",IF(ABS(C32-(4*46))&lt;=0,"Det er antall turer, 184. Gang med 0,75 time per tur.",IF(ABS(C32-(4*46*45))&lt;=0,"Du har brukt minutter. 45 minutter er 0,75 time.","Ikke riktig ennå. Se på regnestykket øverst på fanen, og sjekk at du har med alle leddene."))))</f>
        <v>Skriv svaret i den gule cellen.</v>
      </c>
    </row>
    <row r="33" customFormat="false" ht="43.5" hidden="false" customHeight="true" outlineLevel="0" collapsed="false">
      <c r="B33" s="11" t="s">
        <v>86</v>
      </c>
      <c r="C33" s="25"/>
      <c r="D33" s="24" t="s">
        <v>78</v>
      </c>
      <c r="G33" s="13" t="str">
        <f aca="false">IF(C33="","Skriv svaret i den gule cellen.",IF(C33=(4*46*0.75*890),"Riktig.",IF(ABS(C33-(4*46*890))&lt;=0,"Du har ganget turene, ikke timene, med 890. Det er 138 timer.","Ikke riktig ennå. Se på regnestykket øverst på fanen, og sjekk at du har med alle leddene.")))</f>
        <v>Skriv svaret i den gule cellen.</v>
      </c>
    </row>
    <row r="34" customFormat="false" ht="43.5" hidden="false" customHeight="true" outlineLevel="0" collapsed="false">
      <c r="B34" s="11" t="s">
        <v>87</v>
      </c>
      <c r="C34" s="25"/>
      <c r="D34" s="24" t="s">
        <v>78</v>
      </c>
      <c r="G34" s="13" t="str">
        <f aca="false">IF(C34="","Skriv svaret i den gule cellen.",IF(C34=(4*46*0.75*890-4*46*250),"Riktig.",IF(ABS(C34-(4*46*250))&lt;=0,"Det er bare kostnaden for leveringene, 46 000. Trekk den fra tapt fakturering i g.",IF(ABS(C34-(4*46*0.75*890+4*46*250))&lt;=0,"Du har lagt sammen. Leveringene koster, så de skal trekkes fra.","Ikke riktig ennå. Se på regnestykket øverst på fanen, og sjekk at du har med alle leddene."))))</f>
        <v>Skriv svaret i den gule cellen.</v>
      </c>
    </row>
    <row r="36" customFormat="false" ht="30" hidden="false" customHeight="true" outlineLevel="0" collapsed="false">
      <c r="B36" s="9" t="s">
        <v>88</v>
      </c>
      <c r="C36" s="9"/>
      <c r="D36" s="9"/>
      <c r="E36" s="9"/>
      <c r="F36" s="9"/>
      <c r="G36" s="9"/>
    </row>
    <row r="37" customFormat="false" ht="21.75" hidden="false" customHeight="true" outlineLevel="0" collapsed="false">
      <c r="B37" s="14"/>
      <c r="C37" s="14"/>
      <c r="D37" s="14"/>
      <c r="E37" s="14"/>
      <c r="F37" s="14"/>
      <c r="G37" s="14"/>
    </row>
    <row r="38" customFormat="false" ht="21.75" hidden="false" customHeight="true" outlineLevel="0" collapsed="false">
      <c r="B38" s="14"/>
      <c r="C38" s="14"/>
      <c r="D38" s="14"/>
      <c r="E38" s="14"/>
      <c r="F38" s="14"/>
      <c r="G38" s="14"/>
    </row>
    <row r="39" customFormat="false" ht="21.75" hidden="false" customHeight="true" outlineLevel="0" collapsed="false">
      <c r="B39" s="14"/>
      <c r="C39" s="14"/>
      <c r="D39" s="14"/>
      <c r="E39" s="14"/>
      <c r="F39" s="14"/>
      <c r="G39" s="14"/>
    </row>
    <row r="40" customFormat="false" ht="39.75" hidden="false" customHeight="true" outlineLevel="0" collapsed="false">
      <c r="B40" s="15" t="str">
        <f aca="false">IF(LEN(B37)&lt;40,"",IF(AND(ISNUMBER(SEARCH("Polarlys",B37)),ISNUMBER(SEARCH("kreditt",B37))),"Bra: du bruker Polarlys og kreditten. Et godt svar sier at hun bestiller nærmere jobbene og lar Polarlys levere på byggeplassen, og at de første 30 dagene uansett er finansiert av grossisten.",IF(OR(ISNUMBER(SEARCH("Polarlys",B37)),ISNUMBER(SEARCH("kreditt",B37))),"Du er på sporet. Si også hva kreditten på 30 dager betyr for hvor lenge Nordlys binder egne penger.","Tips: bestill nærmere jobbene og la Polarlys levere på byggeplassen i stedet for å fylle eget lager. De første 30 dagene er finansiert av Polarlys' kreditt; fra dag 31 binder Nordlys egne penger.")))</f>
        <v/>
      </c>
      <c r="C40" s="15"/>
      <c r="D40" s="15"/>
      <c r="E40" s="15"/>
      <c r="F40" s="15"/>
      <c r="G40" s="15"/>
    </row>
    <row r="41" customFormat="false" ht="15" hidden="false" customHeight="false" outlineLevel="0" collapsed="false">
      <c r="B41" s="16" t="s">
        <v>56</v>
      </c>
      <c r="C41" s="12"/>
    </row>
    <row r="42" customFormat="false" ht="45" hidden="false" customHeight="true" outlineLevel="0" collapsed="false">
      <c r="B42" s="17" t="str">
        <f aca="false">IF(C41="JA","Hint: a: 1 460 000 × 360 / 7 990 000 = 65,8 dager. b: 7 990 000 × 57 / 360 = 1 265 083 kr. c: 1 265 083 × 7,5 % = 94 881 kr. d: 1 460 000 × 7,5 % = 109 500 kr. e: 109 500 − 94 881 = 14 619 kr. f: 4 × 46 = 184 turer × 0,75 = 138 timer. g: 138 × 890 = 122 820 kr. h: 122 820 − 184 × 250 = 122 820 − 46 000 = 76 820 kr.","")</f>
        <v/>
      </c>
      <c r="C42" s="17"/>
      <c r="D42" s="17"/>
      <c r="E42" s="17"/>
      <c r="F42" s="17"/>
      <c r="G42" s="17"/>
    </row>
    <row r="44" customFormat="false" ht="30" hidden="false" customHeight="true" outlineLevel="0" collapsed="false">
      <c r="B44" s="7" t="s">
        <v>57</v>
      </c>
      <c r="C44" s="7"/>
      <c r="D44" s="7"/>
      <c r="E44" s="7"/>
      <c r="F44" s="7"/>
      <c r="G44" s="7"/>
    </row>
  </sheetData>
  <mergeCells count="19">
    <mergeCell ref="B2:G2"/>
    <mergeCell ref="B3:G3"/>
    <mergeCell ref="B4:G4"/>
    <mergeCell ref="B5:G5"/>
    <mergeCell ref="B6:G6"/>
    <mergeCell ref="B7:G7"/>
    <mergeCell ref="B9:G9"/>
    <mergeCell ref="B10:G10"/>
    <mergeCell ref="B19:G19"/>
    <mergeCell ref="B20:G20"/>
    <mergeCell ref="B21:G21"/>
    <mergeCell ref="B22:G22"/>
    <mergeCell ref="B30:G30"/>
    <mergeCell ref="B31:G31"/>
    <mergeCell ref="B36:G36"/>
    <mergeCell ref="B37:G39"/>
    <mergeCell ref="B40:G40"/>
    <mergeCell ref="B42:G42"/>
    <mergeCell ref="B44:G44"/>
  </mergeCells>
  <conditionalFormatting sqref="G24">
    <cfRule type="expression" priority="2" aboveAverage="0" equalAverage="0" bottom="0" percent="0" rank="0" text="" dxfId="0">
      <formula>LEFT(G24,6)="Riktig"</formula>
    </cfRule>
    <cfRule type="expression" priority="3" aboveAverage="0" equalAverage="0" bottom="0" percent="0" rank="0" text="" dxfId="1">
      <formula>AND(G24&lt;&gt;"",LEFT(G24,6)&lt;&gt;"Riktig",LEFT(G24,5)&lt;&gt;"Skriv")</formula>
    </cfRule>
  </conditionalFormatting>
  <conditionalFormatting sqref="G25">
    <cfRule type="expression" priority="4" aboveAverage="0" equalAverage="0" bottom="0" percent="0" rank="0" text="" dxfId="0">
      <formula>LEFT(G25,6)="Riktig"</formula>
    </cfRule>
    <cfRule type="expression" priority="5" aboveAverage="0" equalAverage="0" bottom="0" percent="0" rank="0" text="" dxfId="1">
      <formula>AND(G25&lt;&gt;"",LEFT(G25,6)&lt;&gt;"Riktig",LEFT(G25,5)&lt;&gt;"Skriv")</formula>
    </cfRule>
  </conditionalFormatting>
  <conditionalFormatting sqref="G26">
    <cfRule type="expression" priority="6" aboveAverage="0" equalAverage="0" bottom="0" percent="0" rank="0" text="" dxfId="0">
      <formula>LEFT(G26,6)="Riktig"</formula>
    </cfRule>
    <cfRule type="expression" priority="7" aboveAverage="0" equalAverage="0" bottom="0" percent="0" rank="0" text="" dxfId="1">
      <formula>AND(G26&lt;&gt;"",LEFT(G26,6)&lt;&gt;"Riktig",LEFT(G26,5)&lt;&gt;"Skriv")</formula>
    </cfRule>
  </conditionalFormatting>
  <conditionalFormatting sqref="G27">
    <cfRule type="expression" priority="8" aboveAverage="0" equalAverage="0" bottom="0" percent="0" rank="0" text="" dxfId="0">
      <formula>LEFT(G27,6)="Riktig"</formula>
    </cfRule>
    <cfRule type="expression" priority="9" aboveAverage="0" equalAverage="0" bottom="0" percent="0" rank="0" text="" dxfId="1">
      <formula>AND(G27&lt;&gt;"",LEFT(G27,6)&lt;&gt;"Riktig",LEFT(G27,5)&lt;&gt;"Skriv")</formula>
    </cfRule>
  </conditionalFormatting>
  <conditionalFormatting sqref="G28">
    <cfRule type="expression" priority="10" aboveAverage="0" equalAverage="0" bottom="0" percent="0" rank="0" text="" dxfId="0">
      <formula>LEFT(G28,6)="Riktig"</formula>
    </cfRule>
    <cfRule type="expression" priority="11" aboveAverage="0" equalAverage="0" bottom="0" percent="0" rank="0" text="" dxfId="1">
      <formula>AND(G28&lt;&gt;"",LEFT(G28,6)&lt;&gt;"Riktig",LEFT(G28,5)&lt;&gt;"Skriv")</formula>
    </cfRule>
  </conditionalFormatting>
  <conditionalFormatting sqref="G32">
    <cfRule type="expression" priority="12" aboveAverage="0" equalAverage="0" bottom="0" percent="0" rank="0" text="" dxfId="0">
      <formula>LEFT(G32,6)="Riktig"</formula>
    </cfRule>
    <cfRule type="expression" priority="13" aboveAverage="0" equalAverage="0" bottom="0" percent="0" rank="0" text="" dxfId="1">
      <formula>AND(G32&lt;&gt;"",LEFT(G32,6)&lt;&gt;"Riktig",LEFT(G32,5)&lt;&gt;"Skriv")</formula>
    </cfRule>
  </conditionalFormatting>
  <conditionalFormatting sqref="G33">
    <cfRule type="expression" priority="14" aboveAverage="0" equalAverage="0" bottom="0" percent="0" rank="0" text="" dxfId="0">
      <formula>LEFT(G33,6)="Riktig"</formula>
    </cfRule>
    <cfRule type="expression" priority="15" aboveAverage="0" equalAverage="0" bottom="0" percent="0" rank="0" text="" dxfId="1">
      <formula>AND(G33&lt;&gt;"",LEFT(G33,6)&lt;&gt;"Riktig",LEFT(G33,5)&lt;&gt;"Skriv")</formula>
    </cfRule>
  </conditionalFormatting>
  <conditionalFormatting sqref="G34">
    <cfRule type="expression" priority="16" aboveAverage="0" equalAverage="0" bottom="0" percent="0" rank="0" text="" dxfId="0">
      <formula>LEFT(G34,6)="Riktig"</formula>
    </cfRule>
    <cfRule type="expression" priority="17" aboveAverage="0" equalAverage="0" bottom="0" percent="0" rank="0" text="" dxfId="1">
      <formula>AND(G34&lt;&gt;"",LEFT(G34,6)&lt;&gt;"Riktig",LEFT(G34,5)&lt;&gt;"Skriv")</formula>
    </cfRule>
  </conditionalFormatting>
  <dataValidations count="1">
    <dataValidation allowBlank="true" errorStyle="stop" operator="between" showDropDown="false" showErrorMessage="false" showInputMessage="false" sqref="C41"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13</v>
      </c>
    </row>
    <row r="2" customFormat="false" ht="25.5" hidden="false" customHeight="true" outlineLevel="0" collapsed="false">
      <c r="B2" s="5" t="s">
        <v>89</v>
      </c>
      <c r="C2" s="5"/>
      <c r="D2" s="5"/>
      <c r="E2" s="5"/>
      <c r="F2" s="5"/>
      <c r="G2" s="5"/>
      <c r="Z2" s="6" t="s">
        <v>15</v>
      </c>
    </row>
    <row r="3" customFormat="false" ht="15" hidden="false" customHeight="true" outlineLevel="0" collapsed="false">
      <c r="B3" s="7" t="s">
        <v>16</v>
      </c>
      <c r="C3" s="7"/>
      <c r="D3" s="7"/>
      <c r="E3" s="7"/>
      <c r="F3" s="7"/>
      <c r="G3" s="7"/>
      <c r="Z3" s="6" t="s">
        <v>63</v>
      </c>
    </row>
    <row r="4" customFormat="false" ht="15.75" hidden="false" customHeight="true" outlineLevel="0" collapsed="false">
      <c r="B4" s="8" t="s">
        <v>17</v>
      </c>
      <c r="C4" s="8"/>
      <c r="D4" s="8"/>
      <c r="E4" s="8"/>
      <c r="F4" s="8"/>
      <c r="G4" s="8"/>
      <c r="Z4" s="6" t="s">
        <v>90</v>
      </c>
    </row>
    <row r="5" customFormat="false" ht="45" hidden="false" customHeight="true" outlineLevel="0" collapsed="false">
      <c r="B5" s="9" t="s">
        <v>91</v>
      </c>
      <c r="C5" s="9"/>
      <c r="D5" s="9"/>
      <c r="E5" s="9"/>
      <c r="F5" s="9"/>
      <c r="G5" s="9"/>
      <c r="Z5" s="6" t="s">
        <v>92</v>
      </c>
    </row>
    <row r="6" customFormat="false" ht="15.75" hidden="false" customHeight="true" outlineLevel="0" collapsed="false">
      <c r="B6" s="8" t="s">
        <v>19</v>
      </c>
      <c r="C6" s="8"/>
      <c r="D6" s="8"/>
      <c r="E6" s="8"/>
      <c r="F6" s="8"/>
      <c r="G6" s="8"/>
      <c r="Z6" s="6" t="s">
        <v>93</v>
      </c>
    </row>
    <row r="7" customFormat="false" ht="60" hidden="false" customHeight="true" outlineLevel="0" collapsed="false">
      <c r="B7" s="9" t="s">
        <v>94</v>
      </c>
      <c r="C7" s="9"/>
      <c r="D7" s="9"/>
      <c r="E7" s="9"/>
      <c r="F7" s="9"/>
      <c r="G7" s="9"/>
      <c r="Z7" s="6" t="s">
        <v>95</v>
      </c>
    </row>
    <row r="8" customFormat="false" ht="15" hidden="false" customHeight="false" outlineLevel="0" collapsed="false">
      <c r="Z8" s="0" t="s">
        <v>96</v>
      </c>
    </row>
    <row r="9" customFormat="false" ht="15.75" hidden="false" customHeight="true" outlineLevel="0" collapsed="false">
      <c r="B9" s="8" t="s">
        <v>97</v>
      </c>
      <c r="C9" s="8"/>
      <c r="D9" s="8"/>
      <c r="E9" s="8"/>
      <c r="F9" s="8"/>
      <c r="G9" s="8"/>
      <c r="Z9" s="6" t="s">
        <v>98</v>
      </c>
    </row>
    <row r="10" customFormat="false" ht="45" hidden="false" customHeight="true" outlineLevel="0" collapsed="false">
      <c r="B10" s="9" t="s">
        <v>99</v>
      </c>
      <c r="C10" s="9"/>
      <c r="D10" s="9"/>
      <c r="E10" s="9"/>
      <c r="F10" s="9"/>
      <c r="G10" s="9"/>
      <c r="Z10" s="6" t="s">
        <v>13</v>
      </c>
    </row>
    <row r="11" customFormat="false" ht="15.75" hidden="false" customHeight="true" outlineLevel="0" collapsed="false">
      <c r="B11" s="8" t="s">
        <v>100</v>
      </c>
      <c r="C11" s="8"/>
      <c r="D11" s="8"/>
      <c r="E11" s="8"/>
      <c r="F11" s="8"/>
      <c r="G11" s="8"/>
      <c r="Z11" s="6" t="s">
        <v>15</v>
      </c>
    </row>
    <row r="12" customFormat="false" ht="45" hidden="false" customHeight="true" outlineLevel="0" collapsed="false">
      <c r="B12" s="9" t="s">
        <v>101</v>
      </c>
      <c r="C12" s="9"/>
      <c r="D12" s="9"/>
      <c r="E12" s="9"/>
      <c r="F12" s="9"/>
      <c r="G12" s="9"/>
      <c r="Z12" s="6" t="s">
        <v>63</v>
      </c>
    </row>
    <row r="13" customFormat="false" ht="15" hidden="false" customHeight="false" outlineLevel="0" collapsed="false">
      <c r="Z13" s="0" t="s">
        <v>90</v>
      </c>
    </row>
    <row r="14" customFormat="false" ht="15" hidden="false" customHeight="true" outlineLevel="0" collapsed="false">
      <c r="B14" s="10" t="s">
        <v>102</v>
      </c>
      <c r="C14" s="10"/>
      <c r="D14" s="10"/>
      <c r="E14" s="10"/>
      <c r="F14" s="10"/>
      <c r="G14" s="10"/>
      <c r="Z14" s="6" t="s">
        <v>92</v>
      </c>
    </row>
    <row r="15" customFormat="false" ht="39.75" hidden="false" customHeight="true" outlineLevel="0" collapsed="false">
      <c r="B15" s="11" t="s">
        <v>103</v>
      </c>
      <c r="C15" s="12"/>
      <c r="G15" s="13" t="str">
        <f aca="false">IF(C15="","Velg i nedtrekksmenyen.",IF(C15="Indirekte","Riktig. Byggvarehuset står mellom Nordlys og huseieren (8.3).","Ikke riktig. Byggvarehuset står mellom Nordlys og huseieren (8.3)."))</f>
        <v>Velg i nedtrekksmenyen.</v>
      </c>
      <c r="Z15" s="6" t="s">
        <v>93</v>
      </c>
    </row>
    <row r="16" customFormat="false" ht="39.75" hidden="false" customHeight="true" outlineLevel="0" collapsed="false">
      <c r="B16" s="11" t="s">
        <v>104</v>
      </c>
      <c r="C16" s="12"/>
      <c r="G16" s="13" t="str">
        <f aca="false">IF(C16="","Velg i nedtrekksmenyen.",IF(C16="Byggvarehuset","Riktig. Byggvarehuset selger pakken, tar betalingen og har kontakten med huseieren. Det er detaljisten som eier kunden (8.5).","Ikke riktig. Byggvarehuset selger pakken, tar betalingen og har kontakten med huseieren. Det er detaljisten som eier kunden (8.5)."))</f>
        <v>Velg i nedtrekksmenyen.</v>
      </c>
      <c r="Z16" s="6" t="s">
        <v>95</v>
      </c>
    </row>
    <row r="17" customFormat="false" ht="39.75" hidden="false" customHeight="true" outlineLevel="0" collapsed="false">
      <c r="B17" s="11" t="s">
        <v>105</v>
      </c>
      <c r="C17" s="12"/>
      <c r="G17" s="13" t="str">
        <f aca="false">IF(C17="","Velg i nedtrekksmenyen.",IF(C17="Intensiv","Riktig. Ladebokser selges i byggvarehus, nettbutikker og av installatører over hele byen: mange forhandlere (8.4.1).","Ikke riktig. Ladebokser selges i byggvarehus, nettbutikker og av installatører over hele byen: mange forhandlere (8.4.1)."))</f>
        <v>Velg i nedtrekksmenyen.</v>
      </c>
      <c r="Z17" s="6" t="s">
        <v>96</v>
      </c>
    </row>
    <row r="18" customFormat="false" ht="39.75" hidden="false" customHeight="true" outlineLevel="0" collapsed="false">
      <c r="B18" s="11" t="s">
        <v>106</v>
      </c>
      <c r="C18" s="12"/>
      <c r="G18" s="13" t="str">
        <f aca="false">IF(C18="","Velg i nedtrekksmenyen.",IF(C18="Direkte","Riktig. Nordlys selger rett til huseieren, uten mellomledd (8.3). Nettet flytter bestillingen; monteringen er som før (8.6).","Ikke riktig. Nordlys selger rett til huseieren, uten mellomledd (8.3). Nettet flytter bestillingen; monteringen er som før (8.6)."))</f>
        <v>Velg i nedtrekksmenyen.</v>
      </c>
      <c r="Z18" s="6" t="s">
        <v>98</v>
      </c>
    </row>
    <row r="19" customFormat="false" ht="39.75" hidden="false" customHeight="true" outlineLevel="0" collapsed="false">
      <c r="B19" s="11" t="s">
        <v>107</v>
      </c>
      <c r="C19" s="12"/>
      <c r="G19" s="13" t="str">
        <f aca="false">IF(C19="","Velg i nedtrekksmenyen.",IF(C19="Nordlys","Riktig. Nordlys har avtalen med huseieren og får markedsinformasjonen selv.","Ikke riktig. Nordlys har avtalen med huseieren og får markedsinformasjonen selv."))</f>
        <v>Velg i nedtrekksmenyen.</v>
      </c>
      <c r="Z19" s="6" t="s">
        <v>13</v>
      </c>
    </row>
    <row r="20" customFormat="false" ht="39.75" hidden="false" customHeight="true" outlineLevel="0" collapsed="false">
      <c r="B20" s="11" t="s">
        <v>108</v>
      </c>
      <c r="C20" s="12"/>
      <c r="G20" s="13" t="str">
        <f aca="false">IF(C20="","Velg i nedtrekksmenyen.",IF(C20="Intensiv","Riktig. Samme vare, samme marked: ladebokser selges overalt (8.4.1).","Ikke riktig. Samme vare, samme marked: ladebokser selges overalt (8.4.1)."))</f>
        <v>Velg i nedtrekksmenyen.</v>
      </c>
      <c r="Z20" s="6" t="s">
        <v>15</v>
      </c>
    </row>
    <row r="21" customFormat="false" ht="39.75" hidden="false" customHeight="true" outlineLevel="0" collapsed="false">
      <c r="B21" s="11" t="s">
        <v>109</v>
      </c>
      <c r="C21" s="12"/>
      <c r="G21" s="13" t="str">
        <f aca="false">IF(C21="","Velg i nedtrekksmenyen.",IF(C21="Direkte","Riktig. Tjenesten skapes i møtet mellom Nordlys og driftssjefen; ingen imellom (8.6).","Ikke riktig. Tjenesten skapes i møtet mellom Nordlys og driftssjefen; ingen imellom (8.6)."))</f>
        <v>Velg i nedtrekksmenyen.</v>
      </c>
      <c r="Z21" s="6" t="s">
        <v>63</v>
      </c>
    </row>
    <row r="22" customFormat="false" ht="39.75" hidden="false" customHeight="true" outlineLevel="0" collapsed="false">
      <c r="B22" s="11" t="s">
        <v>110</v>
      </c>
      <c r="C22" s="12"/>
      <c r="G22" s="13" t="str">
        <f aca="false">IF(C22="","Velg i nedtrekksmenyen.",IF(C22="Nordlys","Riktig. Nordlys har avtalen med bygget og kan tilby service senere.","Ikke riktig. Nordlys har avtalen med bygget og kan tilby service senere."))</f>
        <v>Velg i nedtrekksmenyen.</v>
      </c>
      <c r="Z22" s="6" t="s">
        <v>90</v>
      </c>
    </row>
    <row r="23" customFormat="false" ht="39.75" hidden="false" customHeight="true" outlineLevel="0" collapsed="false">
      <c r="B23" s="11" t="s">
        <v>111</v>
      </c>
      <c r="C23" s="12"/>
      <c r="G23" s="13" t="str">
        <f aca="false">IF(C23="","Velg i nedtrekksmenyen.",IF(C23="Selektiv","Riktig. Få kan termografere, og hvert salg krever tilbud og veiledning: noen få tilbydere i området (8.4.2).","Ikke riktig. Få kan termografere, og hvert salg krever tilbud og veiledning: noen få tilbydere i området (8.4.2)."))</f>
        <v>Velg i nedtrekksmenyen.</v>
      </c>
      <c r="Z23" s="6" t="s">
        <v>92</v>
      </c>
    </row>
    <row r="24" customFormat="false" ht="39.75" hidden="false" customHeight="true" outlineLevel="0" collapsed="false">
      <c r="B24" s="11" t="s">
        <v>112</v>
      </c>
      <c r="C24" s="12"/>
      <c r="G24" s="13" t="str">
        <f aca="false">IF(C24="","Velg i nedtrekksmenyen.",IF(C24="Indirekte","Riktig. Sluttbrukeren er boligkjøperen. Entreprenøren står imellom og selger tjenesten videre, selv om Nordlys fakturerer entreprenøren (8.3).","Ikke riktig. Sluttbrukeren er boligkjøperen. Entreprenøren står imellom og selger tjenesten videre, selv om Nordlys fakturerer entreprenøren (8.3)."))</f>
        <v>Velg i nedtrekksmenyen.</v>
      </c>
      <c r="Z24" s="6" t="s">
        <v>93</v>
      </c>
    </row>
    <row r="25" customFormat="false" ht="39.75" hidden="false" customHeight="true" outlineLevel="0" collapsed="false">
      <c r="B25" s="11" t="s">
        <v>113</v>
      </c>
      <c r="C25" s="12"/>
      <c r="G25" s="13" t="str">
        <f aca="false">IF(C25="","Velg i nedtrekksmenyen.",IF(C25="Entreprenøren","Riktig. Entreprenøren har avtalen med boligkjøperne. Nordlys er underleverandør og lett å bytte ut (8.5).","Ikke riktig. Entreprenøren har avtalen med boligkjøperne. Nordlys er underleverandør og lett å bytte ut (8.5)."))</f>
        <v>Velg i nedtrekksmenyen.</v>
      </c>
      <c r="Z25" s="6" t="s">
        <v>95</v>
      </c>
    </row>
    <row r="26" customFormat="false" ht="39.75" hidden="false" customHeight="true" outlineLevel="0" collapsed="false">
      <c r="B26" s="11" t="s">
        <v>114</v>
      </c>
      <c r="C26" s="12"/>
      <c r="G26" s="13" t="str">
        <f aca="false">IF(C26="","Velg i nedtrekksmenyen.",IF(C26="Ikke et strategisk valg","Riktig. På bedriftsmarkedet kan en bedrift selge alt til noen få kunder uten å ha valgt grad (8.4).","Ikke riktig. På bedriftsmarkedet kan en bedrift selge alt til noen få kunder uten å ha valgt grad (8.4)."))</f>
        <v>Velg i nedtrekksmenyen.</v>
      </c>
      <c r="Z26" s="6" t="s">
        <v>96</v>
      </c>
    </row>
    <row r="27" customFormat="false" ht="15" hidden="false" customHeight="false" outlineLevel="0" collapsed="false">
      <c r="Z27" s="0" t="s">
        <v>98</v>
      </c>
    </row>
    <row r="28" customFormat="false" ht="15.75" hidden="false" customHeight="true" outlineLevel="0" collapsed="false">
      <c r="B28" s="8" t="s">
        <v>115</v>
      </c>
      <c r="C28" s="8"/>
      <c r="D28" s="8"/>
      <c r="E28" s="8"/>
      <c r="F28" s="8"/>
      <c r="G28" s="8"/>
      <c r="Z28" s="6" t="s">
        <v>13</v>
      </c>
    </row>
    <row r="29" customFormat="false" ht="75" hidden="false" customHeight="true" outlineLevel="0" collapsed="false">
      <c r="B29" s="9" t="s">
        <v>116</v>
      </c>
      <c r="C29" s="9"/>
      <c r="D29" s="9"/>
      <c r="E29" s="9"/>
      <c r="F29" s="9"/>
      <c r="G29" s="9"/>
      <c r="Z29" s="6" t="s">
        <v>15</v>
      </c>
    </row>
    <row r="30" customFormat="false" ht="43.5" hidden="false" customHeight="true" outlineLevel="0" collapsed="false">
      <c r="B30" s="11" t="s">
        <v>117</v>
      </c>
      <c r="C30" s="25"/>
      <c r="D30" s="24" t="s">
        <v>118</v>
      </c>
      <c r="G30" s="13" t="str">
        <f aca="false">IF(C30="","Skriv svaret i den gule cellen.",IF(C30=(48000/3000),"Riktig.",IF(ABS(C30-(ROUND(48000/1900,0)))&lt;=0,"Du har brukt byggvarehusets 1 900 kr. Nettbutikken gir 3 000 kr per jobb.",IF(ABS(C30-(ROUND(48000/19900,0)))&lt;=0,"Du har delt på prisen 19 900. Del på dekningsbidraget 3 000, det som er igjen per jobb.","Ikke riktig ennå. Se på regnestykket øverst på fanen, og sjekk at du har med alle leddene."))))</f>
        <v>Skriv svaret i den gule cellen.</v>
      </c>
      <c r="Z30" s="6" t="s">
        <v>63</v>
      </c>
    </row>
    <row r="31" customFormat="false" ht="43.5" hidden="false" customHeight="true" outlineLevel="0" collapsed="false">
      <c r="B31" s="11" t="s">
        <v>119</v>
      </c>
      <c r="C31" s="25"/>
      <c r="D31" s="24" t="s">
        <v>78</v>
      </c>
      <c r="G31" s="13" t="str">
        <f aca="false">IF(C31="","Skriv svaret i den gule cellen.",IF(C31=(60*1900),"Riktig.",IF(ABS(C31-(60*1900-48000))&lt;=0,"Byggvarehuset har ingen faste kostnader for Nordlys; de 48 000 hører til nettbutikken.",IF(ABS(C31-(60*3000))&lt;=0,"Du har brukt nettbutikkens 3 000 kr. Byggvarehuset gir 1 900 kr per jobb.","Ikke riktig ennå. Se på regnestykket øverst på fanen, og sjekk at du har med alle leddene."))))</f>
        <v>Skriv svaret i den gule cellen.</v>
      </c>
      <c r="Z31" s="6" t="s">
        <v>90</v>
      </c>
    </row>
    <row r="32" customFormat="false" ht="43.5" hidden="false" customHeight="true" outlineLevel="0" collapsed="false">
      <c r="B32" s="11" t="s">
        <v>120</v>
      </c>
      <c r="C32" s="25"/>
      <c r="D32" s="24" t="s">
        <v>78</v>
      </c>
      <c r="G32" s="13" t="str">
        <f aca="false">IF(C32="","Skriv svaret i den gule cellen.",IF(C32=(25*3000-48000),"Riktig.",IF(ABS(C32-(25*3000))&lt;=0,"Du har glemt de faste kostnadene på 48 000.",IF(ABS(C32-(25*1900-48000))&lt;=0,"Du har brukt byggvarehusets 1 900 kr. Nettbutikken gir 3 000 kr per jobb.","Ikke riktig ennå. Se på regnestykket øverst på fanen, og sjekk at du har med alle leddene."))))</f>
        <v>Skriv svaret i den gule cellen.</v>
      </c>
      <c r="Z32" s="6" t="s">
        <v>92</v>
      </c>
    </row>
    <row r="33" customFormat="false" ht="15" hidden="false" customHeight="false" outlineLevel="0" collapsed="false">
      <c r="Z33" s="0" t="s">
        <v>93</v>
      </c>
    </row>
    <row r="34" customFormat="false" ht="30" hidden="false" customHeight="true" outlineLevel="0" collapsed="false">
      <c r="B34" s="9" t="s">
        <v>121</v>
      </c>
      <c r="C34" s="9"/>
      <c r="D34" s="9"/>
      <c r="E34" s="9"/>
      <c r="F34" s="9"/>
      <c r="G34" s="9"/>
      <c r="Z34" s="6" t="s">
        <v>95</v>
      </c>
    </row>
    <row r="35" customFormat="false" ht="21.75" hidden="false" customHeight="true" outlineLevel="0" collapsed="false">
      <c r="B35" s="14"/>
      <c r="C35" s="14"/>
      <c r="D35" s="14"/>
      <c r="E35" s="14"/>
      <c r="F35" s="14"/>
      <c r="G35" s="14"/>
      <c r="Z35" s="6" t="s">
        <v>96</v>
      </c>
    </row>
    <row r="36" customFormat="false" ht="21.75" hidden="false" customHeight="true" outlineLevel="0" collapsed="false">
      <c r="B36" s="14"/>
      <c r="C36" s="14"/>
      <c r="D36" s="14"/>
      <c r="E36" s="14"/>
      <c r="F36" s="14"/>
      <c r="G36" s="14"/>
      <c r="Z36" s="6" t="s">
        <v>98</v>
      </c>
    </row>
    <row r="37" customFormat="false" ht="21.75" hidden="false" customHeight="true" outlineLevel="0" collapsed="false">
      <c r="B37" s="14"/>
      <c r="C37" s="14"/>
      <c r="D37" s="14"/>
      <c r="E37" s="14"/>
      <c r="F37" s="14"/>
      <c r="G37" s="14"/>
    </row>
    <row r="38" customFormat="false" ht="39.75" hidden="false" customHeight="true" outlineLevel="0" collapsed="false">
      <c r="B38" s="15" t="str">
        <f aca="false">IF(LEN(B35)&lt;40,"",IF(AND(ISNUMBER(SEARCH("eier",B35)),ISNUMBER(SEARCH("begge",B35))),"Bra: du sier hvem som eier kunden, og du har vurdert begge kanaler. Et godt råd sier at byggvarehuset gir mest i kroner nå, mens nettbutikken gir Nordlys kunden selv fra jobb 17.",IF(OR(ISNUMBER(SEARCH("eier",B35)),ISNUMBER(SEARCH("begge",B35))),"Du er på sporet. Si hvem som eier kunden i hver kanal, og om begge kan gå samtidig (85 jobber à 2 timer er 170 av 14 400 timer).","Tips: byggvarehuset gir 114 000 kr, men eier kunden. Nettbutikken gir 27 000 kr første år, blir lønnsom fra jobb 17, og Nordlys eier kunden. Begge kan gå samtidig. Si alltid hvem som eier kunden.")))</f>
        <v/>
      </c>
      <c r="C38" s="15"/>
      <c r="D38" s="15"/>
      <c r="E38" s="15"/>
      <c r="F38" s="15"/>
      <c r="G38" s="15"/>
    </row>
    <row r="39" customFormat="false" ht="15" hidden="false" customHeight="false" outlineLevel="0" collapsed="false">
      <c r="B39" s="16" t="s">
        <v>56</v>
      </c>
      <c r="C39" s="12"/>
    </row>
    <row r="40" customFormat="false" ht="60" hidden="false" customHeight="true" outlineLevel="0" collapsed="false">
      <c r="B40" s="17" t="str">
        <f aca="false">IF(C39="JA","Hint: Form: er det noen imellom? Byggvarehuset og entreprenøren står imellom, så de to er indirekte; nettbutikken og termograferingen er direkte. Eier kunden: den som har avtalen med sluttbrukeren. Grad: ladebokser intensiv, termografering selektiv, rekkehus for entreprenøren er ikke et strategisk valg. a: 48 000 / 3 000 = 16 jobber. b: 60 × 1 900 = 114 000. c: 25 × 3 000 − 48 000 = 27 000.","")</f>
        <v/>
      </c>
      <c r="C40" s="17"/>
      <c r="D40" s="17"/>
      <c r="E40" s="17"/>
      <c r="F40" s="17"/>
      <c r="G40" s="17"/>
    </row>
    <row r="42" customFormat="false" ht="30" hidden="false" customHeight="true" outlineLevel="0" collapsed="false">
      <c r="B42" s="7" t="s">
        <v>57</v>
      </c>
      <c r="C42" s="7"/>
      <c r="D42" s="7"/>
      <c r="E42" s="7"/>
      <c r="F42" s="7"/>
      <c r="G42" s="7"/>
    </row>
  </sheetData>
  <mergeCells count="18">
    <mergeCell ref="B2:G2"/>
    <mergeCell ref="B3:G3"/>
    <mergeCell ref="B4:G4"/>
    <mergeCell ref="B5:G5"/>
    <mergeCell ref="B6:G6"/>
    <mergeCell ref="B7:G7"/>
    <mergeCell ref="B9:G9"/>
    <mergeCell ref="B10:G10"/>
    <mergeCell ref="B11:G11"/>
    <mergeCell ref="B12:G12"/>
    <mergeCell ref="B14:G14"/>
    <mergeCell ref="B28:G28"/>
    <mergeCell ref="B29:G29"/>
    <mergeCell ref="B34:G34"/>
    <mergeCell ref="B35:G37"/>
    <mergeCell ref="B38:G38"/>
    <mergeCell ref="B40:G40"/>
    <mergeCell ref="B42:G42"/>
  </mergeCells>
  <conditionalFormatting sqref="G15">
    <cfRule type="expression" priority="2" aboveAverage="0" equalAverage="0" bottom="0" percent="0" rank="0" text="" dxfId="0">
      <formula>LEFT(G15,6)="Riktig"</formula>
    </cfRule>
    <cfRule type="expression" priority="3" aboveAverage="0" equalAverage="0" bottom="0" percent="0" rank="0" text="" dxfId="1">
      <formula>LEFT(G15,4)="Ikke"</formula>
    </cfRule>
  </conditionalFormatting>
  <conditionalFormatting sqref="G16">
    <cfRule type="expression" priority="4" aboveAverage="0" equalAverage="0" bottom="0" percent="0" rank="0" text="" dxfId="0">
      <formula>LEFT(G16,6)="Riktig"</formula>
    </cfRule>
    <cfRule type="expression" priority="5" aboveAverage="0" equalAverage="0" bottom="0" percent="0" rank="0" text="" dxfId="1">
      <formula>LEFT(G16,4)="Ikke"</formula>
    </cfRule>
  </conditionalFormatting>
  <conditionalFormatting sqref="G17">
    <cfRule type="expression" priority="6" aboveAverage="0" equalAverage="0" bottom="0" percent="0" rank="0" text="" dxfId="0">
      <formula>LEFT(G17,6)="Riktig"</formula>
    </cfRule>
    <cfRule type="expression" priority="7" aboveAverage="0" equalAverage="0" bottom="0" percent="0" rank="0" text="" dxfId="1">
      <formula>LEFT(G17,4)="Ikke"</formula>
    </cfRule>
  </conditionalFormatting>
  <conditionalFormatting sqref="G18">
    <cfRule type="expression" priority="8" aboveAverage="0" equalAverage="0" bottom="0" percent="0" rank="0" text="" dxfId="0">
      <formula>LEFT(G18,6)="Riktig"</formula>
    </cfRule>
    <cfRule type="expression" priority="9" aboveAverage="0" equalAverage="0" bottom="0" percent="0" rank="0" text="" dxfId="1">
      <formula>LEFT(G18,4)="Ikke"</formula>
    </cfRule>
  </conditionalFormatting>
  <conditionalFormatting sqref="G19">
    <cfRule type="expression" priority="10" aboveAverage="0" equalAverage="0" bottom="0" percent="0" rank="0" text="" dxfId="0">
      <formula>LEFT(G19,6)="Riktig"</formula>
    </cfRule>
    <cfRule type="expression" priority="11" aboveAverage="0" equalAverage="0" bottom="0" percent="0" rank="0" text="" dxfId="1">
      <formula>LEFT(G19,4)="Ikke"</formula>
    </cfRule>
  </conditionalFormatting>
  <conditionalFormatting sqref="G20">
    <cfRule type="expression" priority="12" aboveAverage="0" equalAverage="0" bottom="0" percent="0" rank="0" text="" dxfId="0">
      <formula>LEFT(G20,6)="Riktig"</formula>
    </cfRule>
    <cfRule type="expression" priority="13" aboveAverage="0" equalAverage="0" bottom="0" percent="0" rank="0" text="" dxfId="1">
      <formula>LEFT(G20,4)="Ikke"</formula>
    </cfRule>
  </conditionalFormatting>
  <conditionalFormatting sqref="G21">
    <cfRule type="expression" priority="14" aboveAverage="0" equalAverage="0" bottom="0" percent="0" rank="0" text="" dxfId="0">
      <formula>LEFT(G21,6)="Riktig"</formula>
    </cfRule>
    <cfRule type="expression" priority="15" aboveAverage="0" equalAverage="0" bottom="0" percent="0" rank="0" text="" dxfId="1">
      <formula>LEFT(G21,4)="Ikke"</formula>
    </cfRule>
  </conditionalFormatting>
  <conditionalFormatting sqref="G22">
    <cfRule type="expression" priority="16" aboveAverage="0" equalAverage="0" bottom="0" percent="0" rank="0" text="" dxfId="0">
      <formula>LEFT(G22,6)="Riktig"</formula>
    </cfRule>
    <cfRule type="expression" priority="17" aboveAverage="0" equalAverage="0" bottom="0" percent="0" rank="0" text="" dxfId="1">
      <formula>LEFT(G22,4)="Ikke"</formula>
    </cfRule>
  </conditionalFormatting>
  <conditionalFormatting sqref="G23">
    <cfRule type="expression" priority="18" aboveAverage="0" equalAverage="0" bottom="0" percent="0" rank="0" text="" dxfId="0">
      <formula>LEFT(G23,6)="Riktig"</formula>
    </cfRule>
    <cfRule type="expression" priority="19" aboveAverage="0" equalAverage="0" bottom="0" percent="0" rank="0" text="" dxfId="1">
      <formula>LEFT(G23,4)="Ikke"</formula>
    </cfRule>
  </conditionalFormatting>
  <conditionalFormatting sqref="G24">
    <cfRule type="expression" priority="20" aboveAverage="0" equalAverage="0" bottom="0" percent="0" rank="0" text="" dxfId="0">
      <formula>LEFT(G24,6)="Riktig"</formula>
    </cfRule>
    <cfRule type="expression" priority="21" aboveAverage="0" equalAverage="0" bottom="0" percent="0" rank="0" text="" dxfId="1">
      <formula>LEFT(G24,4)="Ikke"</formula>
    </cfRule>
  </conditionalFormatting>
  <conditionalFormatting sqref="G25">
    <cfRule type="expression" priority="22" aboveAverage="0" equalAverage="0" bottom="0" percent="0" rank="0" text="" dxfId="0">
      <formula>LEFT(G25,6)="Riktig"</formula>
    </cfRule>
    <cfRule type="expression" priority="23" aboveAverage="0" equalAverage="0" bottom="0" percent="0" rank="0" text="" dxfId="1">
      <formula>LEFT(G25,4)="Ikke"</formula>
    </cfRule>
  </conditionalFormatting>
  <conditionalFormatting sqref="G26">
    <cfRule type="expression" priority="24" aboveAverage="0" equalAverage="0" bottom="0" percent="0" rank="0" text="" dxfId="0">
      <formula>LEFT(G26,6)="Riktig"</formula>
    </cfRule>
    <cfRule type="expression" priority="25" aboveAverage="0" equalAverage="0" bottom="0" percent="0" rank="0" text="" dxfId="1">
      <formula>LEFT(G26,4)="Ikke"</formula>
    </cfRule>
  </conditionalFormatting>
  <conditionalFormatting sqref="G30">
    <cfRule type="expression" priority="26" aboveAverage="0" equalAverage="0" bottom="0" percent="0" rank="0" text="" dxfId="0">
      <formula>LEFT(G30,6)="Riktig"</formula>
    </cfRule>
    <cfRule type="expression" priority="27" aboveAverage="0" equalAverage="0" bottom="0" percent="0" rank="0" text="" dxfId="1">
      <formula>AND(G30&lt;&gt;"",LEFT(G30,6)&lt;&gt;"Riktig",LEFT(G30,5)&lt;&gt;"Skriv")</formula>
    </cfRule>
  </conditionalFormatting>
  <conditionalFormatting sqref="G31">
    <cfRule type="expression" priority="28" aboveAverage="0" equalAverage="0" bottom="0" percent="0" rank="0" text="" dxfId="0">
      <formula>LEFT(G31,6)="Riktig"</formula>
    </cfRule>
    <cfRule type="expression" priority="29" aboveAverage="0" equalAverage="0" bottom="0" percent="0" rank="0" text="" dxfId="1">
      <formula>AND(G31&lt;&gt;"",LEFT(G31,6)&lt;&gt;"Riktig",LEFT(G31,5)&lt;&gt;"Skriv")</formula>
    </cfRule>
  </conditionalFormatting>
  <conditionalFormatting sqref="G32">
    <cfRule type="expression" priority="30" aboveAverage="0" equalAverage="0" bottom="0" percent="0" rank="0" text="" dxfId="0">
      <formula>LEFT(G32,6)="Riktig"</formula>
    </cfRule>
    <cfRule type="expression" priority="31" aboveAverage="0" equalAverage="0" bottom="0" percent="0" rank="0" text="" dxfId="1">
      <formula>AND(G32&lt;&gt;"",LEFT(G32,6)&lt;&gt;"Riktig",LEFT(G32,5)&lt;&gt;"Skriv")</formula>
    </cfRule>
  </conditionalFormatting>
  <dataValidations count="13">
    <dataValidation allowBlank="true" errorStyle="stop" operator="between" showDropDown="false" showErrorMessage="false" showInputMessage="false" sqref="C15" type="list">
      <formula1>$Z$1:$Z$2</formula1>
      <formula2>0</formula2>
    </dataValidation>
    <dataValidation allowBlank="true" errorStyle="stop" operator="between" showDropDown="false" showErrorMessage="false" showInputMessage="false" sqref="C16" type="list">
      <formula1>$Z$3:$Z$5</formula1>
      <formula2>0</formula2>
    </dataValidation>
    <dataValidation allowBlank="true" errorStyle="stop" operator="between" showDropDown="false" showErrorMessage="false" showInputMessage="false" sqref="C17" type="list">
      <formula1>$Z$6:$Z$9</formula1>
      <formula2>0</formula2>
    </dataValidation>
    <dataValidation allowBlank="true" errorStyle="stop" operator="between" showDropDown="false" showErrorMessage="false" showInputMessage="false" sqref="C18" type="list">
      <formula1>$Z$10:$Z$11</formula1>
      <formula2>0</formula2>
    </dataValidation>
    <dataValidation allowBlank="true" errorStyle="stop" operator="between" showDropDown="false" showErrorMessage="false" showInputMessage="false" sqref="C19" type="list">
      <formula1>$Z$12:$Z$14</formula1>
      <formula2>0</formula2>
    </dataValidation>
    <dataValidation allowBlank="true" errorStyle="stop" operator="between" showDropDown="false" showErrorMessage="false" showInputMessage="false" sqref="C20" type="list">
      <formula1>$Z$15:$Z$18</formula1>
      <formula2>0</formula2>
    </dataValidation>
    <dataValidation allowBlank="true" errorStyle="stop" operator="between" showDropDown="false" showErrorMessage="false" showInputMessage="false" sqref="C21" type="list">
      <formula1>$Z$19:$Z$20</formula1>
      <formula2>0</formula2>
    </dataValidation>
    <dataValidation allowBlank="true" errorStyle="stop" operator="between" showDropDown="false" showErrorMessage="false" showInputMessage="false" sqref="C22" type="list">
      <formula1>$Z$21:$Z$23</formula1>
      <formula2>0</formula2>
    </dataValidation>
    <dataValidation allowBlank="true" errorStyle="stop" operator="between" showDropDown="false" showErrorMessage="false" showInputMessage="false" sqref="C23" type="list">
      <formula1>$Z$24:$Z$27</formula1>
      <formula2>0</formula2>
    </dataValidation>
    <dataValidation allowBlank="true" errorStyle="stop" operator="between" showDropDown="false" showErrorMessage="false" showInputMessage="false" sqref="C24" type="list">
      <formula1>$Z$28:$Z$29</formula1>
      <formula2>0</formula2>
    </dataValidation>
    <dataValidation allowBlank="true" errorStyle="stop" operator="between" showDropDown="false" showErrorMessage="false" showInputMessage="false" sqref="C25" type="list">
      <formula1>$Z$30:$Z$32</formula1>
      <formula2>0</formula2>
    </dataValidation>
    <dataValidation allowBlank="true" errorStyle="stop" operator="between" showDropDown="false" showErrorMessage="false" showInputMessage="false" sqref="C26" type="list">
      <formula1>$Z$33:$Z$36</formula1>
      <formula2>0</formula2>
    </dataValidation>
    <dataValidation allowBlank="true" errorStyle="stop" operator="between" showDropDown="false" showErrorMessage="false" showInputMessage="false" sqref="C39"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6" t="s">
        <v>122</v>
      </c>
    </row>
    <row r="3" customFormat="false" ht="30" hidden="false" customHeight="true" outlineLevel="0" collapsed="false">
      <c r="B3" s="7" t="s">
        <v>123</v>
      </c>
      <c r="C3" s="7"/>
      <c r="D3" s="7"/>
    </row>
    <row r="5" customFormat="false" ht="15" hidden="false" customHeight="false" outlineLevel="0" collapsed="false">
      <c r="B5" s="27" t="s">
        <v>124</v>
      </c>
      <c r="C5" s="27" t="s">
        <v>125</v>
      </c>
      <c r="D5" s="27" t="s">
        <v>126</v>
      </c>
    </row>
    <row r="6" customFormat="false" ht="30" hidden="false" customHeight="true" outlineLevel="0" collapsed="false">
      <c r="B6" s="28" t="s">
        <v>127</v>
      </c>
      <c r="C6" s="29"/>
      <c r="D6" s="28" t="s">
        <v>128</v>
      </c>
    </row>
    <row r="7" customFormat="false" ht="30" hidden="false" customHeight="true" outlineLevel="0" collapsed="false">
      <c r="B7" s="28" t="s">
        <v>129</v>
      </c>
      <c r="C7" s="29"/>
      <c r="D7" s="28" t="s">
        <v>130</v>
      </c>
    </row>
    <row r="8" customFormat="false" ht="30" hidden="false" customHeight="true" outlineLevel="0" collapsed="false">
      <c r="B8" s="28" t="s">
        <v>131</v>
      </c>
      <c r="C8" s="29"/>
      <c r="D8" s="28" t="s">
        <v>132</v>
      </c>
    </row>
    <row r="9" customFormat="false" ht="60" hidden="false" customHeight="true" outlineLevel="0" collapsed="false">
      <c r="B9" s="28" t="s">
        <v>133</v>
      </c>
      <c r="C9" s="29"/>
      <c r="D9" s="28" t="s">
        <v>134</v>
      </c>
    </row>
    <row r="10" customFormat="false" ht="30" hidden="false" customHeight="true" outlineLevel="0" collapsed="false">
      <c r="B10" s="28" t="s">
        <v>135</v>
      </c>
      <c r="C10" s="29" t="n">
        <v>65.8</v>
      </c>
      <c r="D10" s="28" t="s">
        <v>136</v>
      </c>
    </row>
    <row r="11" customFormat="false" ht="30" hidden="false" customHeight="true" outlineLevel="0" collapsed="false">
      <c r="B11" s="28" t="s">
        <v>137</v>
      </c>
      <c r="C11" s="29" t="n">
        <v>1265083</v>
      </c>
      <c r="D11" s="28" t="s">
        <v>138</v>
      </c>
    </row>
    <row r="12" customFormat="false" ht="30" hidden="false" customHeight="true" outlineLevel="0" collapsed="false">
      <c r="B12" s="28" t="s">
        <v>139</v>
      </c>
      <c r="C12" s="29" t="n">
        <v>94881</v>
      </c>
      <c r="D12" s="28" t="s">
        <v>140</v>
      </c>
    </row>
    <row r="13" customFormat="false" ht="30" hidden="false" customHeight="true" outlineLevel="0" collapsed="false">
      <c r="B13" s="28" t="s">
        <v>141</v>
      </c>
      <c r="C13" s="29" t="n">
        <v>109500</v>
      </c>
      <c r="D13" s="28" t="s">
        <v>142</v>
      </c>
    </row>
    <row r="14" customFormat="false" ht="30" hidden="false" customHeight="true" outlineLevel="0" collapsed="false">
      <c r="B14" s="28" t="s">
        <v>143</v>
      </c>
      <c r="C14" s="29" t="n">
        <v>14619</v>
      </c>
      <c r="D14" s="28" t="s">
        <v>144</v>
      </c>
    </row>
    <row r="15" customFormat="false" ht="30" hidden="false" customHeight="true" outlineLevel="0" collapsed="false">
      <c r="B15" s="28" t="s">
        <v>145</v>
      </c>
      <c r="C15" s="29" t="n">
        <v>138</v>
      </c>
      <c r="D15" s="28" t="s">
        <v>146</v>
      </c>
    </row>
    <row r="16" customFormat="false" ht="30" hidden="false" customHeight="true" outlineLevel="0" collapsed="false">
      <c r="B16" s="28" t="s">
        <v>147</v>
      </c>
      <c r="C16" s="29" t="n">
        <v>122820</v>
      </c>
      <c r="D16" s="28" t="s">
        <v>148</v>
      </c>
    </row>
    <row r="17" customFormat="false" ht="30" hidden="false" customHeight="true" outlineLevel="0" collapsed="false">
      <c r="B17" s="28" t="s">
        <v>149</v>
      </c>
      <c r="C17" s="29" t="n">
        <v>76820</v>
      </c>
      <c r="D17" s="28" t="s">
        <v>150</v>
      </c>
    </row>
    <row r="18" customFormat="false" ht="30" hidden="false" customHeight="true" outlineLevel="0" collapsed="false">
      <c r="B18" s="28" t="s">
        <v>151</v>
      </c>
      <c r="C18" s="29"/>
      <c r="D18" s="28" t="s">
        <v>152</v>
      </c>
    </row>
    <row r="19" customFormat="false" ht="60" hidden="false" customHeight="true" outlineLevel="0" collapsed="false">
      <c r="B19" s="28" t="s">
        <v>153</v>
      </c>
      <c r="C19" s="29"/>
      <c r="D19" s="28" t="s">
        <v>154</v>
      </c>
    </row>
    <row r="20" customFormat="false" ht="30" hidden="false" customHeight="true" outlineLevel="0" collapsed="false">
      <c r="B20" s="28" t="s">
        <v>155</v>
      </c>
      <c r="C20" s="29" t="n">
        <v>16</v>
      </c>
      <c r="D20" s="28" t="s">
        <v>156</v>
      </c>
    </row>
    <row r="21" customFormat="false" ht="30" hidden="false" customHeight="true" outlineLevel="0" collapsed="false">
      <c r="B21" s="28" t="s">
        <v>157</v>
      </c>
      <c r="C21" s="29" t="n">
        <v>114000</v>
      </c>
      <c r="D21" s="28" t="s">
        <v>158</v>
      </c>
    </row>
    <row r="22" customFormat="false" ht="30" hidden="false" customHeight="true" outlineLevel="0" collapsed="false">
      <c r="B22" s="28" t="s">
        <v>159</v>
      </c>
      <c r="C22" s="29" t="n">
        <v>27000</v>
      </c>
      <c r="D22" s="28" t="s">
        <v>160</v>
      </c>
    </row>
    <row r="23" customFormat="false" ht="30" hidden="false" customHeight="true" outlineLevel="0" collapsed="false">
      <c r="B23" s="28" t="s">
        <v>161</v>
      </c>
      <c r="C23" s="29"/>
      <c r="D23" s="28" t="s">
        <v>162</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2026-10-14T17:43:50Z</dcterms:created>
  <dc:creator>openpyxl</dc:creator>
  <dc:description/>
  <dc:language>en-US</dc:language>
  <cp:lastModifiedBy/>
  <dcterms:modified xsi:type="dcterms:W3CDTF">2026-10-14T17:43:50Z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