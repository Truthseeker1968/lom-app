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 sheetId="1" state="visible" r:id="rId3"/>
    <sheet name="1A" sheetId="2" state="visible" r:id="rId4"/>
    <sheet name="1B" sheetId="3" state="visible" r:id="rId5"/>
    <sheet name="1C" sheetId="4" state="visible" r:id="rId6"/>
    <sheet name="Fasi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<sst xmlns="http://schemas.openxmlformats.org/spreadsheetml/2006/main" count="300" uniqueCount="218">
  <si>
    <t xml:space="preserve">Markedsplanen samlet: oppgaver til kapittel 10</t>
  </si>
  <si>
    <t xml:space="preserve">Markedsføring, organisasjon og ledelse for LØM-emnet (Hjertnes), kapittel 10. Versjon 6, oktober 2026. Nordlys Elektro AS og Fjell Elektro AS er konstruerte casebedrifter; tallene er faktaarkene og casetallene fra kapittel 3 og 9.</t>
  </si>
  <si>
    <t xml:space="preserve">Slik bruker du arbeidsboka</t>
  </si>
  <si>
    <t xml:space="preserve">Hver fane er én oppgave. Øverst på fanen står situasjonen, så begrepene og tallene du trenger, så oppgaven trinn for trinn, og til slutt svarfeltene. Alt du trenger for å løse oppgaven, står på fanen. Du kan jobbe alene, i par eller i gruppe; det velger du selv.</t>
  </si>
  <si>
    <t xml:space="preserve">Fargene forteller hva du skal gjøre. Gule celler fyller du inn selv. Hvite celler er tall som er gitt. Grønne celler regner arket ut for deg, og dem skal du ikke endre.</t>
  </si>
  <si>
    <t xml:space="preserve">Ved siden av hvert svarfelt står en sjekk. Den sier «Riktig» når svaret stemmer. Er svaret feil, sier den hva som sannsynligvis gikk galt, slik at du vet hva du skal se på en gang til. Sjekken gir ikke svaret.</t>
  </si>
  <si>
    <t xml:space="preserve">Står du helt fast, skriver du JA i cellen «Står du fast?» på fanen. Da kommer regnestykket fram med ord. Fasiten med alle tall og utregninger ligger på den siste fanen, «Fasit». Prøv oppgaven selv før du ser der.</t>
  </si>
  <si>
    <t xml:space="preserve">Fanene</t>
  </si>
  <si>
    <t xml:space="preserve">1A  Punkt 1–4 i markedsplanen for solcelle og lading: henger de sammen?</t>
  </si>
  <si>
    <t xml:space="preserve">1B  Handlingsplanen for ladeanlegget: hva koster den, og bærer den seg?</t>
  </si>
  <si>
    <t xml:space="preserve">1C  Hele markedsplanen for solcelle og lading på én side</t>
  </si>
  <si>
    <t xml:space="preserve">Fasit  Alle svar med regnestykket skrevet ut</t>
  </si>
  <si>
    <t xml:space="preserve">Dette er øvingsmateriell til repetisjons- og øvingsstøtte. I besvarelser, caser, prosjektoppgaver og eksamen gjelder lærebøkene og oppgitte primærkilder.</t>
  </si>
  <si>
    <t xml:space="preserve">Udifferensiert</t>
  </si>
  <si>
    <t xml:space="preserve">Oppgave 1A: Punkt 1–4 i markedsplanen for solcelle og lading: henger de sammen?</t>
  </si>
  <si>
    <t xml:space="preserve">Differensiert</t>
  </si>
  <si>
    <t xml:space="preserve">Alene, i par eller i gruppe, slik du vil.</t>
  </si>
  <si>
    <t xml:space="preserve">Konsentrert</t>
  </si>
  <si>
    <t xml:space="preserve">Situasjonen</t>
  </si>
  <si>
    <t xml:space="preserve">Markedsinntrengning</t>
  </si>
  <si>
    <t xml:space="preserve">Kari Nordlund, daglig leder i Nordlys Elektro, setter sammen punkt 1 til 4 i markedsplanen for solcelle- og ladeavdelingen. I fjor monterte avdelingen 34 solcelleanlegg og 180 ladepunkt. Målet i år er Idas nye miks fra kapittel 3, 30 anlegg og 282 ladepunkt, og hovedmålet er 20 % vekst. Kari vil også skrive «vi skal være billigst i Oslo øst» i planen.</t>
  </si>
  <si>
    <t xml:space="preserve">Produktutvikling</t>
  </si>
  <si>
    <t xml:space="preserve">Begrepene du trenger</t>
  </si>
  <si>
    <t xml:space="preserve">Markedsutvikling</t>
  </si>
  <si>
    <t xml:space="preserve">Markedsføringsform: udifferensiert (samme tilbud til alle), differensiert (eget tilbud til hver målgruppe) eller konsentrert (én gruppe). Vekststrategi: markedsinntrengning er mer av det samme til de samme kundene, markedsutvikling er samme produkt til en ny kundegruppe. Situasjonsanalysen: sterke og svake sider er interne (det bedriften selv rår over), muligheter og trusler er eksterne (markedet). Dekningsbidrag per enhet: det som er igjen av prisen når materiell og montørtimer er betalt. Prisdifferensiering: ulik pris til ulike kundegrupper for samme ytelse.</t>
  </si>
  <si>
    <t xml:space="preserve">Diversifisering</t>
  </si>
  <si>
    <t xml:space="preserve">Sterk side</t>
  </si>
  <si>
    <t xml:space="preserve">Tallene for avdelingen</t>
  </si>
  <si>
    <t xml:space="preserve">Svak side</t>
  </si>
  <si>
    <t xml:space="preserve">Prisene er uten merverdiavgift og de samme som i kapittel 3. Målene er Idas nye miks fra kapittel 3: færre solcelleanlegg, fordi solkraft på tak falt om lag 70 % i første del av 2026 (NHO Elektro, april 2026), og flere ladepunkt. Dekningsbidraget per enhet er det som er igjen av prisen når materiell og montørtimer er betalt (faktaarket). Omsetningen regner arket ut (grønne celler).</t>
  </si>
  <si>
    <t xml:space="preserve">Mulighet</t>
  </si>
  <si>
    <t xml:space="preserve">Solcelle og lading</t>
  </si>
  <si>
    <t xml:space="preserve">Solcelleanlegg</t>
  </si>
  <si>
    <t xml:space="preserve">Ladepunkt</t>
  </si>
  <si>
    <t xml:space="preserve">Trussel</t>
  </si>
  <si>
    <t xml:space="preserve">Antall i fjor</t>
  </si>
  <si>
    <t xml:space="preserve">Mål i år (delmål 1.1 og 1.2)</t>
  </si>
  <si>
    <t xml:space="preserve">Pris per enhet, kr</t>
  </si>
  <si>
    <t xml:space="preserve">Dekningsbidrag per enhet, kr</t>
  </si>
  <si>
    <t xml:space="preserve">Omsetning i fjor, kr (antall × pris)</t>
  </si>
  <si>
    <t xml:space="preserve">Omsetningen i fjor til sammen: 1 974 040 + 1 724 400 = 3 698 440 kr. Hovedmålet er 20 % vekst i år.</t>
  </si>
  <si>
    <t xml:space="preserve">Oppgaven, trinn for trinn</t>
  </si>
  <si>
    <t xml:space="preserve">1. Velg markedsføringsform og vekststrategi for avdelingen (punkt 1).
2. Sorter de seks utsagnene i situasjonsanalysen (punkt 2): sterk side, svak side, mulighet eller trussel.
3. Regn delmålene og hovedmålet om til kroner, og regn det ekstra dekningsbidraget (punkt 3).
4. Velg hva kvantumsrabatten, Polarlys og styrebesøket heter i boka (punkt 4).
5. Svar Kari i e. Sjekken ved siden av sier om svaret stemmer.</t>
  </si>
  <si>
    <t xml:space="preserve">a) Punkt 1: den overordnede strategien (velg i nedtrekksmenyen)</t>
  </si>
  <si>
    <t xml:space="preserve">Eneboligkunden får fastpris gjennom en annonse. Borettslagsstyret får befaring, kvantumsrabatt og besøk. Hvilken markedsføringsform er det?</t>
  </si>
  <si>
    <t xml:space="preserve">Avdelingen har solgt mest til eneboliger. Nå skal veksten komme fra en ny kundegruppe, borettslagene, med de samme anleggene. Hvilken vekststrategi er det?</t>
  </si>
  <si>
    <t xml:space="preserve">b) Punkt 2: situasjonsanalysen. Rår Nordlys over dette selv (internt), eller skjer det i markedet (eksternt)?</t>
  </si>
  <si>
    <t xml:space="preserve">Avdelingen har ingen egen leder</t>
  </si>
  <si>
    <t xml:space="preserve">Nordlys har aldri kjøpt en annonse</t>
  </si>
  <si>
    <t xml:space="preserve">Over 90 % av nye biler i Norge var elbiler i 2025</t>
  </si>
  <si>
    <t xml:space="preserve">Solkraft på tak falt om lag 70 % i første del av 2026</t>
  </si>
  <si>
    <t xml:space="preserve">Landsdekkende kjeder selger ladepunkt i Oslo øst</t>
  </si>
  <si>
    <t xml:space="preserve">12 montører, og Kari er installatør</t>
  </si>
  <si>
    <t xml:space="preserve">Prisdifferensiering</t>
  </si>
  <si>
    <t xml:space="preserve">Kostnadsbasert prissetting</t>
  </si>
  <si>
    <t xml:space="preserve">c) Punkt 3: målene regnet om til kroner og dekningsbidrag (hele kroner)</t>
  </si>
  <si>
    <t xml:space="preserve">Kontantrabatt</t>
  </si>
  <si>
    <t xml:space="preserve">Delmålene i kroner: 30 × 58 060 + 282 × 9 580</t>
  </si>
  <si>
    <t xml:space="preserve">kr</t>
  </si>
  <si>
    <t xml:space="preserve">Grossist</t>
  </si>
  <si>
    <t xml:space="preserve">Hovedmålet i kroner: omsetningen i fjor × 1,20</t>
  </si>
  <si>
    <t xml:space="preserve">Detaljist</t>
  </si>
  <si>
    <t xml:space="preserve">Ekstra dekningsbidrag hvis delmålene nås: bare endringen i antall × dekningsbidrag per enhet (anleggene går ned)</t>
  </si>
  <si>
    <t xml:space="preserve">Agent</t>
  </si>
  <si>
    <t xml:space="preserve">Personlig kommunikasjon</t>
  </si>
  <si>
    <t xml:space="preserve">d) Punkt 4: virkemidlene. Hva heter dette i boka?</t>
  </si>
  <si>
    <t xml:space="preserve">Massekommunikasjon</t>
  </si>
  <si>
    <t xml:space="preserve">Borettslaget får lavere pris per ladepunkt enn eneboligen når det bestiller 20 på én gang. Hva er det?</t>
  </si>
  <si>
    <t xml:space="preserve">Sponsing</t>
  </si>
  <si>
    <t xml:space="preserve">Nordlys kjøper materiellet hos Polarlys Elektro Grossist AS. Hvilket distribusjonsledd er Polarlys?</t>
  </si>
  <si>
    <t xml:space="preserve">Kari og Tom besøker borettslagsstyret og går gjennom tilbudet. Hvilken kommunikasjonsform er det?</t>
  </si>
  <si>
    <t xml:space="preserve">e) Kari vil skrive «vi skal være billigst i Oslo øst» som konkurransestrategi i punkt 1. Henger det sammen med situasjonsanalysen og målene? Bruk tallene: 5 % lavere pris på et ladepunkt er 479 kr av 1 800 kr i dekningsbidrag. To setninger.</t>
  </si>
  <si>
    <t xml:space="preserve">Står du fast? Skriv JA i den gule cellen:</t>
  </si>
  <si>
    <t xml:space="preserve">Gule celler fyller du inn. Grønne regnes ut av arket. Sjekken til høyre forteller om svaret stemmer, og hva du bør se på hvis ikke.</t>
  </si>
  <si>
    <t xml:space="preserve">Ja</t>
  </si>
  <si>
    <t xml:space="preserve">Oppgave 1B: Handlingsplanen for ladeanlegget: hva koster den, og bærer den seg?</t>
  </si>
  <si>
    <t xml:space="preserve">Nei</t>
  </si>
  <si>
    <t xml:space="preserve">Delmål 1.3 i markedsplanen er en signert kontrakt med et borettslag om et felles ladeanlegg med minst 20 plasser innen 30. juni. Kari har satt opp handlingsplanen med ni linjer: hver har uke, aktivitet, timer, utlegg og ansvarlig. Budsjettkolonnen er tom. Delmålene for året gir 139 200 kr i ekstra dekningsbidrag (oppgave 1A). Styret vil kutte to av linjene for å spare penger.</t>
  </si>
  <si>
    <t xml:space="preserve">Handlingsplan (aktivitetsplan): den kortsiktige iverksettelsen av strategien, med uke, aktivitet, mål, budsjett og ansvarlig (tabell 10.1). Budsjettpost = timer × timesats + utlegg. Egne timer står i budsjettet med lønnskostnaden. Med ledig kapasitet koster de ingenting ekstra; med full kalender koster en montørtime 890 kr i tapt fakturering. Milepæl: et delmål med dato underveis, så avvik oppdages i tide.</t>
  </si>
  <si>
    <t xml:space="preserve">Timesatsene</t>
  </si>
  <si>
    <t xml:space="preserve">En administrasjonstime koster 327,43 kr: administrasjonens lønnskostnad 2 220 000 kr delt på 4 personer × 1 695 timer (faktaarket). En montørtime koster 640 kr i direkte lønn (Økonomistyring kapittel 2). Timene i tabellen er administrasjonstimer, unntatt oppstartsmøtet i uke 5, som er montørtimer. Fyll inn budsjettet for hver linje i de gule cellene; summene regner arket ut (grønne celler).</t>
  </si>
  <si>
    <t xml:space="preserve">Uke og aktivitet (ansvarlig)</t>
  </si>
  <si>
    <t xml:space="preserve">Timer</t>
  </si>
  <si>
    <t xml:space="preserve">Utlegg, kr</t>
  </si>
  <si>
    <t xml:space="preserve">Budsjett, kr</t>
  </si>
  <si>
    <t xml:space="preserve">3  Idémyldring i ledermøtet (Kari)</t>
  </si>
  <si>
    <t xml:space="preserve">4  Kartlegging av borettslag over 20 leiligheter (Ida)</t>
  </si>
  <si>
    <t xml:space="preserve">5  Oppstartsmøte for alle 18 ansatte: montørtimer à 640 kr (Kari og Tom)</t>
  </si>
  <si>
    <t xml:space="preserve">6  Brev til 24 styreledere (Ida skriver, Kari sender)</t>
  </si>
  <si>
    <t xml:space="preserve">7  Telefon til de 24 styrelederne (Kari)</t>
  </si>
  <si>
    <t xml:space="preserve">8–11  Ti styrebesøk med befaring (Kari og Tom)</t>
  </si>
  <si>
    <t xml:space="preserve">12  Underveisevaluering: er alle ti besøk gjort? (Kari og Ida)</t>
  </si>
  <si>
    <t xml:space="preserve">20  Forhandling og signering (Kari)</t>
  </si>
  <si>
    <t xml:space="preserve">26  Sluttevaluering (Kari og Ida)</t>
  </si>
  <si>
    <t xml:space="preserve">Sum</t>
  </si>
  <si>
    <t xml:space="preserve">1. Regn budsjettet for hver linje: timer × timesats + utlegg, i hele kroner. Arket summerer nederst.
2. Sjekk linjene under. «Riktig» betyr at tallet stemmer.
3. Svar på a og b: hvor stor del av det ekstra dekningsbidraget på 139 200 kr (fra 1A) planen bruker, og hva som er igjen hvis tre firedeler av målene nås.
4. Velg for seks utsagn om de hører hjemme i en handlingsplan.
5. Svar styret i d.</t>
  </si>
  <si>
    <t xml:space="preserve">Sjekk av budsjettlinjene</t>
  </si>
  <si>
    <t xml:space="preserve">Uke 3, idémyldring:</t>
  </si>
  <si>
    <t xml:space="preserve">Uke 4, kartlegging:</t>
  </si>
  <si>
    <t xml:space="preserve">Uke 5, oppstartsmøte:</t>
  </si>
  <si>
    <t xml:space="preserve">Uke 6, brevet:</t>
  </si>
  <si>
    <t xml:space="preserve">Uke 7, telefonen:</t>
  </si>
  <si>
    <t xml:space="preserve">Uke 8–11, styrebesøkene:</t>
  </si>
  <si>
    <t xml:space="preserve">Uke 12, underveisevaluering:</t>
  </si>
  <si>
    <t xml:space="preserve">Uke 20, forhandling:</t>
  </si>
  <si>
    <t xml:space="preserve">Uke 26, sluttevaluering:</t>
  </si>
  <si>
    <t xml:space="preserve">Summen av planen:</t>
  </si>
  <si>
    <t xml:space="preserve">a) Hvor stor del av det ekstra dekningsbidraget (139 200 kr) bruker planen? I prosent med én desimal (skriv 29,0 for 29,0 %)</t>
  </si>
  <si>
    <t xml:space="preserve">%</t>
  </si>
  <si>
    <t xml:space="preserve">b) Hva er igjen hvis 75 % av målene nås? 0,75 × 139 200 − planens sum, i hele kroner</t>
  </si>
  <si>
    <t xml:space="preserve">c) Hører dette hjemme i handlingsplanen (uke, aktivitet, mål, budsjett og ansvarlig)?</t>
  </si>
  <si>
    <t xml:space="preserve">«Uke 6: brev til 24 styreledere, 3 537 kr, Ida skriver og Kari sender»</t>
  </si>
  <si>
    <t xml:space="preserve">«Borettslag over 20 leiligheter i Oslo øst er målgruppen»</t>
  </si>
  <si>
    <t xml:space="preserve">«Vi må bli flinkere på markedsføring»</t>
  </si>
  <si>
    <t xml:space="preserve">«Uke 12: underveisevaluering, alle ti besøk gjort, 1 310 kr, Kari og Ida»</t>
  </si>
  <si>
    <t xml:space="preserve">«Nordlys skal ha god lønnsomhet»</t>
  </si>
  <si>
    <t xml:space="preserve">«Uke 5: oppstartsmøte for alle 18 ansatte, 8 960 kr, Kari og Tom»</t>
  </si>
  <si>
    <t xml:space="preserve">d) Styret vil kutte oppstartsmøtet (8 960 kr) og underveisevalueringen i uke 12 (1 310 kr) for å spare 10 270 kr. Hva svarer Kari? Bruk begreper fra kapitlet. To–tre setninger.</t>
  </si>
  <si>
    <t xml:space="preserve">Oppgave 1C: Hele markedsplanen for solcelle og lading på én side</t>
  </si>
  <si>
    <t xml:space="preserve">Karis lapp til styremøtet hadde ett mål og tre tiltak. Nå skal hele planen stå på én side, med alle sju punkter, slik at styret kan si ja. Alle tallene du trenger, står under. Skriv kort, men med tall og navn.</t>
  </si>
  <si>
    <t xml:space="preserve">Målgruppe</t>
  </si>
  <si>
    <t xml:space="preserve">Produkt</t>
  </si>
  <si>
    <t xml:space="preserve">Markedsplanens sju punkter i fast rekkefølge: forretningsidé og strategi, situasjonsanalyse, markedsmål, markedsstrategi (målgruppe, produkt, pris, distribusjon, påvirkning), handlingsplan, gjennomføring, evaluering. Strategien ligger fast, taktikken kan endres. Vellykket er målet nådd innenfor rammen.</t>
  </si>
  <si>
    <t xml:space="preserve">Pris</t>
  </si>
  <si>
    <t xml:space="preserve">Distribusjon</t>
  </si>
  <si>
    <t xml:space="preserve">Tallene du trenger</t>
  </si>
  <si>
    <t xml:space="preserve">Påvirkning</t>
  </si>
  <si>
    <t xml:space="preserve">Solcelleanlegg: 34 i fjor, mål 30, 58 060 kr, 11 100 kr i dekningsbidrag. Ladepunkt: 180 i fjor, mål 282, 9 580 kr, 1 800 kr. Omsetning i fjor 3 698 440 kr. Hovedmålet er 20 % vekst innen 31. desember, ansvar Kari. Delmål 1.3 er en signert kontrakt med et borettslag om et felles ladeanlegg med minst 20 plasser innen 30. juni, ansvar Kari. Handlingsplanen har 78 administrasjonstimer à 327,43 kr, 14 montørtimer à 640 kr og 5 900 kr i utlegg. Milepælen i uke 12 er at alle ti styrebesøk er gjort.</t>
  </si>
  <si>
    <t xml:space="preserve">1. Skriv forretningsidéen (produkt, marked og særpreg) og velg vekststrategi.
2. Skriv situasjonsanalysen, med et tall eller et navn i hver rute.
3. Skriv hovedmålet og delmål 1.3 slik de skal stå i planen: tall, frist og ansvarlig.
4. Sorter fem tiltak på de fem leddene i markedsstrategien.
5. Regn handlingsplanens sum.
6. Velg hva Kari gjør i gjennomføringen, og sorter fire utfall i evalueringen.
7. Skriv til slutt hva lappen manglet. Tekstfeltene sjekkes på nøkkelord; sjekken sier «Bra» når de er med.</t>
  </si>
  <si>
    <t xml:space="preserve">Punkt 1: forretningsidé, overordnet mål og strategi</t>
  </si>
  <si>
    <t xml:space="preserve">Skriv avdelingens forretningsidé: hvilke produkter, hvilket marked, og hva som er særpreget. Én setning.</t>
  </si>
  <si>
    <t xml:space="preserve">Vekststrategi for avdelingen</t>
  </si>
  <si>
    <t xml:space="preserve">Punkt 2: situasjonsanalysen. Et tall eller et navn i hver rute.</t>
  </si>
  <si>
    <t xml:space="preserve">Sterke sider (internt)</t>
  </si>
  <si>
    <t xml:space="preserve">Svake sider (internt)</t>
  </si>
  <si>
    <t xml:space="preserve">Kari, daglig leder</t>
  </si>
  <si>
    <t xml:space="preserve">Muligheter (eksternt)</t>
  </si>
  <si>
    <t xml:space="preserve">Styret</t>
  </si>
  <si>
    <t xml:space="preserve">Ronny, formann</t>
  </si>
  <si>
    <t xml:space="preserve">Ringer to andre styrer på lista</t>
  </si>
  <si>
    <t xml:space="preserve">Venter til de svarer</t>
  </si>
  <si>
    <t xml:space="preserve">Trusler (eksternt)</t>
  </si>
  <si>
    <t xml:space="preserve">Skriver om hele planen</t>
  </si>
  <si>
    <t xml:space="preserve">Justerer taktikken nå</t>
  </si>
  <si>
    <t xml:space="preserve">Venter til sluttevalueringen i uke 26</t>
  </si>
  <si>
    <t xml:space="preserve">Forkaster strategien</t>
  </si>
  <si>
    <t xml:space="preserve">Målet nådd innenfor rammen</t>
  </si>
  <si>
    <t xml:space="preserve">Punkt 3: markedsmålene, med tall, frist og ansvarlig</t>
  </si>
  <si>
    <t xml:space="preserve">Målet nådd, men rammen sprakk</t>
  </si>
  <si>
    <t xml:space="preserve">Hovedmålet, slik det skal stå i planen</t>
  </si>
  <si>
    <t xml:space="preserve">Under budsjett, men målet ikke nådd</t>
  </si>
  <si>
    <t xml:space="preserve">Overoppfylt</t>
  </si>
  <si>
    <t xml:space="preserve">Delmål 1.3, kontrakten om et felles ladeanlegg, slik det skal stå i planen</t>
  </si>
  <si>
    <t xml:space="preserve">Punkt 4: markedsstrategien. Hvilket ledd hører tiltaket til?</t>
  </si>
  <si>
    <t xml:space="preserve">Borettslag med over 20 leiligheter i Oslo øst</t>
  </si>
  <si>
    <t xml:space="preserve">Samme montør på service etterpå som på montasjen</t>
  </si>
  <si>
    <t xml:space="preserve">Kvantumsrabatt til borettslag som bestiller et felles ladeanlegg med 20 plasser</t>
  </si>
  <si>
    <t xml:space="preserve">Materiellet hentes hos Polarlys dagen før montasje</t>
  </si>
  <si>
    <t xml:space="preserve">Brev til 24 styreledere, og ti styrebesøk</t>
  </si>
  <si>
    <t xml:space="preserve">Punkt 5: handlingsplanen</t>
  </si>
  <si>
    <t xml:space="preserve">Handlingsplanens sum: 78 administrasjonstimer × 327,43 + 14 montørtimer × 640 + 5 900 kr i utlegg, i hele kroner</t>
  </si>
  <si>
    <t xml:space="preserve">Punkt 6: gjennomføringen</t>
  </si>
  <si>
    <t xml:space="preserve">Hvem har det daglige ansvaret for at det som skal gjøres, blir gjort, når Nordlys ikke har markedssjef?</t>
  </si>
  <si>
    <t xml:space="preserve">I uke 7 svarer to av de 24 styrene aldri på telefonen. Hva gjør Kari?</t>
  </si>
  <si>
    <t xml:space="preserve">Punkt 7: evalueringen</t>
  </si>
  <si>
    <t xml:space="preserve">Uke 12: bare 4 av 10 styrebesøk er gjort. Hva gjør Kari?</t>
  </si>
  <si>
    <t xml:space="preserve">A: én kontrakt i uke 20, kostet 38 000 kr (ramme 40 400)</t>
  </si>
  <si>
    <t xml:space="preserve">B: én kontrakt, men kostet 46 000 kr</t>
  </si>
  <si>
    <t xml:space="preserve">C: ingen kontrakt, kostet 31 000 kr</t>
  </si>
  <si>
    <t xml:space="preserve">D: tre kontrakter, kostet 40 000 kr</t>
  </si>
  <si>
    <t xml:space="preserve">Til slutt: Karis lapp hadde ett mål og tre tiltak. Hva manglet, og hva har planen nå? To–tre setninger.</t>
  </si>
  <si>
    <t xml:space="preserve">Fasit, kapittel 10</t>
  </si>
  <si>
    <t xml:space="preserve">Prøv oppgaven selv før du leser her. Regnestykket står ved siden av hvert svar. Tallene hentes fra fasitformlene, så de stemmer alltid med oppgavefanene.</t>
  </si>
  <si>
    <t xml:space="preserve">Oppgave</t>
  </si>
  <si>
    <t xml:space="preserve">Svar</t>
  </si>
  <si>
    <t xml:space="preserve">Regnestykket</t>
  </si>
  <si>
    <t xml:space="preserve">1A a) Strategien</t>
  </si>
  <si>
    <t xml:space="preserve">Differensiert markedsføring (egne tilbud til eneboligen og styret). Vekst ved markedsutvikling (samme anlegg til en ny kundegruppe, borettslagene)</t>
  </si>
  <si>
    <t xml:space="preserve">1A b) Analysen</t>
  </si>
  <si>
    <t xml:space="preserve">Svake sider: ingen egen leder, aldri kjøpt annonse. Sterk side: 12 montører og installatør. Mulighet: over 90 % elbiler. Trusler: solkraft ned om lag 70 % i første del av 2026, kjedene i Oslo øst</t>
  </si>
  <si>
    <t xml:space="preserve">1A c) Delmålene i kroner</t>
  </si>
  <si>
    <t xml:space="preserve">30 × 58 060 + 282 × 9 580 = 1 741 800 + 2 701 560 = 4 443 360 kr</t>
  </si>
  <si>
    <t xml:space="preserve">1A c) Hovedmålet i kroner</t>
  </si>
  <si>
    <t xml:space="preserve">3 698 440 × 1,20 = 4 438 128 kr. Delmålene bærer hovedmålet med 5 232 kr i margin; med ett ladepunkt færre ryker det</t>
  </si>
  <si>
    <t xml:space="preserve">1A c) Ekstra dekningsbidrag</t>
  </si>
  <si>
    <t xml:space="preserve">102 × 1 800 − 4 × 11 100 = 183 600 − 44 400 = 139 200 kr. Bare endringen, ikke hele året (840 600), og anleggene som faller bort, trekkes fra</t>
  </si>
  <si>
    <t xml:space="preserve">1A d) Virkemidlene</t>
  </si>
  <si>
    <t xml:space="preserve">Kvantumsrabatten er prisdifferensiering. Polarlys er grossist. Styrebesøket er personlig kommunikasjon</t>
  </si>
  <si>
    <t xml:space="preserve">1A e) Til Kari</t>
  </si>
  <si>
    <t xml:space="preserve">Billigst er kostnadslederskap, og kjedene har volumet og innkjøpsprisene. 5 % lavere pris på et ladepunkt er 479 kr, 26,6 % av dekningsbidraget på 1 800 kr; da forsvinner pengene handlingsplanen skal betales med. Særpreget «samme montør etterpå» peker mot differensiering</t>
  </si>
  <si>
    <t xml:space="preserve">1B Budsjettlinjene</t>
  </si>
  <si>
    <t xml:space="preserve">1 965, 3 274, 8 960, 3 537, 1 965, 16 606, 1 310, 1 310 og 1 473 kr</t>
  </si>
  <si>
    <t xml:space="preserve">1B Summen av planen</t>
  </si>
  <si>
    <t xml:space="preserve">78 × 327,43 + 14 × 640 + 5 900 = 25 540 + 8 960 + 5 900 = 40 400 kr</t>
  </si>
  <si>
    <t xml:space="preserve">1B a) Andel av ekstra dekningsbidrag</t>
  </si>
  <si>
    <t xml:space="preserve">40 400 / 139 200 = 29,0 %. Nås under 29 % av målene, bærer planen seg ikke i år</t>
  </si>
  <si>
    <t xml:space="preserve">1B b) Igjen ved 75 %</t>
  </si>
  <si>
    <t xml:space="preserve">0,75 × 139 200 − 40 400 = 104 400 − 40 400 = 64 000 kr</t>
  </si>
  <si>
    <t xml:space="preserve">1B c) Hører hjemme</t>
  </si>
  <si>
    <t xml:space="preserve">Ja: brevet, underveisevalueringen og oppstartsmøtet. Nei: målgruppevalget (punkt 4), ønsket og lønnsomhetsmålet (punkt 1)</t>
  </si>
  <si>
    <t xml:space="preserve">1B d) Til styret</t>
  </si>
  <si>
    <t xml:space="preserve">Oppstartsmøtet er intern markedsføring før ekstern. Underveisevalueringen er milepælen som viser avvik mens det er tid. Gjennomføringen må få nok ressurser (10.6). 10 270 kr er 7,4 % av de 139 200 kr som står på spill</t>
  </si>
  <si>
    <t xml:space="preserve">1C Punkt 1</t>
  </si>
  <si>
    <t xml:space="preserve">Solcelleanlegg og ladepunkt til boliger, borettslag og sameier i Oslo øst, med samme montør på service etterpå. Markedsutvikling mot borettslagene</t>
  </si>
  <si>
    <t xml:space="preserve">1C Punkt 2</t>
  </si>
  <si>
    <t xml:space="preserve">Sterk: 12 montører, Kari er installatør. Svak: ingen egen leder, aldri kjøpt annonse. Mulighet: over 90 % elbiler. Trussel: solkraft ned om lag 70 % i første del av 2026, kjedene</t>
  </si>
  <si>
    <t xml:space="preserve">1C Punkt 3</t>
  </si>
  <si>
    <t xml:space="preserve">Hovedmål: minst 20 % vekst innen 31. desember, ansvar Kari. Delmål 1.3: kontrakt om et felles ladeanlegg med minst 20 plasser innen 30. juni, ansvar Kari</t>
  </si>
  <si>
    <t xml:space="preserve">1C Punkt 4</t>
  </si>
  <si>
    <t xml:space="preserve">Målgruppe: borettslag over 20 leiligheter. Produkt: samme montør etterpå. Pris: kvantumsrabatt. Distribusjon: Polarlys dagen før. Påvirkning: brev og besøk</t>
  </si>
  <si>
    <t xml:space="preserve">1C Punkt 5, summen</t>
  </si>
  <si>
    <t xml:space="preserve">78 × 327,43 + 14 × 640 + 5 900 = 40 400 kr</t>
  </si>
  <si>
    <t xml:space="preserve">1C Punkt 6</t>
  </si>
  <si>
    <t xml:space="preserve">Kari har det daglige ansvaret. To styrer svarer ikke: hun ringer to andre</t>
  </si>
  <si>
    <t xml:space="preserve">1C Punkt 7</t>
  </si>
  <si>
    <t xml:space="preserve">Uke 12 med 4 av 10 besøk: juster nå. A nådd innenfor rammen, B rammen sprakk, C ikke nådd, D overoppfylt</t>
  </si>
  <si>
    <t xml:space="preserve">1C Hva lappen manglet</t>
  </si>
  <si>
    <t xml:space="preserve">Analyse, frist og ansvarlig på målet, uke, navn og budsjett på tiltakene, en sum styret kan si ja til, og milepæler</t>
  </si>
</sst>
</file>

<file path=xl/styles.xml><?xml version="1.0" encoding="utf-8"?>
<styleSheet xmlns="http://schemas.openxmlformats.org/spreadsheetml/2006/main">
  <numFmts count="4">
    <numFmt numFmtId="164" formatCode="General"/>
    <numFmt numFmtId="165" formatCode="#,##0"/>
    <numFmt numFmtId="166" formatCode="General"/>
    <numFmt numFmtId="167" formatCode="0.0"/>
  </numFmts>
  <fonts count="11">
    <font>
      <sz val="11"/>
      <color theme="1"/>
      <name val="Calibri"/>
      <family val="2"/>
      <charset val="1"/>
    </font>
    <font>
      <sz val="10"/>
      <name val="Arial"/>
      <family val="0"/>
    </font>
    <font>
      <sz val="10"/>
      <name val="Arial"/>
      <family val="0"/>
    </font>
    <font>
      <sz val="10"/>
      <name val="Arial"/>
      <family val="0"/>
    </font>
    <font>
      <b val="true"/>
      <sz val="16"/>
      <color rgb="FF2F4A6D"/>
      <name val="Cambria"/>
      <family val="0"/>
      <charset val="1"/>
    </font>
    <font>
      <sz val="11"/>
      <name val="Calibri"/>
      <family val="0"/>
      <charset val="1"/>
    </font>
    <font>
      <b val="true"/>
      <sz val="11"/>
      <name val="Calibri"/>
      <family val="0"/>
      <charset val="1"/>
    </font>
    <font>
      <i val="true"/>
      <sz val="10"/>
      <color rgb="FF595959"/>
      <name val="Calibri"/>
      <family val="0"/>
      <charset val="1"/>
    </font>
    <font>
      <b val="true"/>
      <sz val="11"/>
      <color rgb="FFFFFFFF"/>
      <name val="Calibri"/>
      <family val="0"/>
      <charset val="1"/>
    </font>
    <font>
      <sz val="10.5"/>
      <name val="Calibri"/>
      <family val="0"/>
      <charset val="1"/>
    </font>
    <font>
      <i val="true"/>
      <sz val="10.5"/>
      <color rgb="FF2F4A6D"/>
      <name val="Calibri"/>
      <family val="0"/>
      <charset val="1"/>
    </font>
  </fonts>
  <fills count="6">
    <fill>
      <patternFill patternType="none"/>
    </fill>
    <fill>
      <patternFill patternType="gray125"/>
    </fill>
    <fill>
      <patternFill patternType="solid">
        <fgColor rgb="FF2F4A6D"/>
        <bgColor rgb="FF333333"/>
      </patternFill>
    </fill>
    <fill>
      <patternFill patternType="solid">
        <fgColor rgb="FFE2EFDA"/>
        <bgColor rgb="FFDDEBF7"/>
      </patternFill>
    </fill>
    <fill>
      <patternFill patternType="solid">
        <fgColor rgb="FFFFF2CC"/>
        <bgColor rgb="FFE2EFDA"/>
      </patternFill>
    </fill>
    <fill>
      <patternFill patternType="solid">
        <fgColor rgb="FFDDEBF7"/>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right" vertical="center" textRotation="0" wrapText="false" indent="0" shrinkToFit="false"/>
      <protection locked="true" hidden="false"/>
    </xf>
    <xf numFmtId="165" fontId="0" fillId="3" borderId="1" xfId="0" applyFont="false" applyBorder="tru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0" fillId="4" borderId="1" xfId="0" applyFont="false" applyBorder="true" applyAlignment="true" applyProtection="false">
      <alignment horizontal="righ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4" borderId="2" xfId="0" applyFont="fals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5" borderId="0" xfId="0" applyFont="fals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right" vertical="center" textRotation="0" wrapText="false" indent="0" shrinkToFit="false"/>
      <protection locked="true" hidden="false"/>
    </xf>
    <xf numFmtId="166" fontId="0" fillId="3" borderId="1" xfId="0" applyFont="false" applyBorder="true" applyAlignment="true" applyProtection="false">
      <alignment horizontal="right" vertical="center"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7" fontId="0" fillId="4" borderId="1" xfId="0" applyFont="false" applyBorder="true" applyAlignment="true" applyProtection="false">
      <alignment horizontal="right"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E2EFDA"/>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45" hidden="false" customHeight="true" outlineLevel="0" collapsed="false">
      <c r="B3" s="2" t="s">
        <v>1</v>
      </c>
    </row>
    <row r="5" customFormat="false" ht="15" hidden="false" customHeight="true" outlineLevel="0" collapsed="false">
      <c r="B5" s="3" t="s">
        <v>2</v>
      </c>
    </row>
    <row r="6" customFormat="false" ht="45" hidden="false" customHeight="true" outlineLevel="0" collapsed="false">
      <c r="B6" s="2" t="s">
        <v>3</v>
      </c>
    </row>
    <row r="7" customFormat="false" ht="30" hidden="false" customHeight="true" outlineLevel="0" collapsed="false">
      <c r="B7" s="2" t="s">
        <v>4</v>
      </c>
    </row>
    <row r="8" customFormat="false" ht="30" hidden="false" customHeight="true" outlineLevel="0" collapsed="false">
      <c r="B8" s="2" t="s">
        <v>5</v>
      </c>
    </row>
    <row r="9" customFormat="false" ht="30" hidden="false" customHeight="true" outlineLevel="0" collapsed="false">
      <c r="B9" s="2" t="s">
        <v>6</v>
      </c>
    </row>
    <row r="11" customFormat="false" ht="15" hidden="false" customHeight="true" outlineLevel="0" collapsed="false">
      <c r="B11" s="3" t="s">
        <v>7</v>
      </c>
    </row>
    <row r="12" customFormat="false" ht="15" hidden="false" customHeight="true" outlineLevel="0" collapsed="false">
      <c r="B12" s="2" t="s">
        <v>8</v>
      </c>
    </row>
    <row r="13" customFormat="false" ht="15" hidden="false" customHeight="true" outlineLevel="0" collapsed="false">
      <c r="B13" s="2" t="s">
        <v>9</v>
      </c>
    </row>
    <row r="14" customFormat="false" ht="15" hidden="false" customHeight="true" outlineLevel="0" collapsed="false">
      <c r="B14" s="2" t="s">
        <v>10</v>
      </c>
    </row>
    <row r="15" customFormat="false" ht="15" hidden="false" customHeight="true" outlineLevel="0" collapsed="false">
      <c r="B15" s="2" t="s">
        <v>11</v>
      </c>
    </row>
    <row r="17" customFormat="false" ht="30" hidden="false" customHeight="true" outlineLevel="0" collapsed="false">
      <c r="B17" s="4" t="s">
        <v>12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13</v>
      </c>
    </row>
    <row r="2" customFormat="false" ht="25.5" hidden="false" customHeight="true" outlineLevel="0" collapsed="false">
      <c r="B2" s="5" t="s">
        <v>14</v>
      </c>
      <c r="C2" s="5"/>
      <c r="D2" s="5"/>
      <c r="E2" s="5"/>
      <c r="F2" s="5"/>
      <c r="G2" s="5"/>
      <c r="Z2" s="6" t="s">
        <v>15</v>
      </c>
    </row>
    <row r="3" customFormat="false" ht="15" hidden="false" customHeight="true" outlineLevel="0" collapsed="false">
      <c r="B3" s="7" t="s">
        <v>16</v>
      </c>
      <c r="C3" s="7"/>
      <c r="D3" s="7"/>
      <c r="E3" s="7"/>
      <c r="F3" s="7"/>
      <c r="G3" s="7"/>
      <c r="Z3" s="6" t="s">
        <v>17</v>
      </c>
    </row>
    <row r="4" customFormat="false" ht="15.75" hidden="false" customHeight="true" outlineLevel="0" collapsed="false">
      <c r="B4" s="8" t="s">
        <v>18</v>
      </c>
      <c r="C4" s="8"/>
      <c r="D4" s="8"/>
      <c r="E4" s="8"/>
      <c r="F4" s="8"/>
      <c r="G4" s="8"/>
      <c r="Z4" s="6" t="s">
        <v>19</v>
      </c>
    </row>
    <row r="5" customFormat="false" ht="45" hidden="false" customHeight="true" outlineLevel="0" collapsed="false">
      <c r="B5" s="9" t="s">
        <v>20</v>
      </c>
      <c r="C5" s="9"/>
      <c r="D5" s="9"/>
      <c r="E5" s="9"/>
      <c r="F5" s="9"/>
      <c r="G5" s="9"/>
      <c r="Z5" s="6" t="s">
        <v>21</v>
      </c>
    </row>
    <row r="6" customFormat="false" ht="15.75" hidden="false" customHeight="true" outlineLevel="0" collapsed="false">
      <c r="B6" s="8" t="s">
        <v>22</v>
      </c>
      <c r="C6" s="8"/>
      <c r="D6" s="8"/>
      <c r="E6" s="8"/>
      <c r="F6" s="8"/>
      <c r="G6" s="8"/>
      <c r="Z6" s="6" t="s">
        <v>23</v>
      </c>
    </row>
    <row r="7" customFormat="false" ht="75" hidden="false" customHeight="true" outlineLevel="0" collapsed="false">
      <c r="B7" s="9" t="s">
        <v>24</v>
      </c>
      <c r="C7" s="9"/>
      <c r="D7" s="9"/>
      <c r="E7" s="9"/>
      <c r="F7" s="9"/>
      <c r="G7" s="9"/>
      <c r="Z7" s="6" t="s">
        <v>25</v>
      </c>
    </row>
    <row r="8" customFormat="false" ht="15" hidden="false" customHeight="false" outlineLevel="0" collapsed="false">
      <c r="Z8" s="0" t="s">
        <v>26</v>
      </c>
    </row>
    <row r="9" customFormat="false" ht="15.75" hidden="false" customHeight="true" outlineLevel="0" collapsed="false">
      <c r="B9" s="8" t="s">
        <v>27</v>
      </c>
      <c r="C9" s="8"/>
      <c r="D9" s="8"/>
      <c r="E9" s="8"/>
      <c r="F9" s="8"/>
      <c r="G9" s="8"/>
      <c r="Z9" s="6" t="s">
        <v>28</v>
      </c>
    </row>
    <row r="10" customFormat="false" ht="60" hidden="false" customHeight="true" outlineLevel="0" collapsed="false">
      <c r="B10" s="9" t="s">
        <v>29</v>
      </c>
      <c r="C10" s="9"/>
      <c r="D10" s="9"/>
      <c r="E10" s="9"/>
      <c r="F10" s="9"/>
      <c r="G10" s="9"/>
      <c r="Z10" s="6" t="s">
        <v>30</v>
      </c>
    </row>
    <row r="11" customFormat="false" ht="15" hidden="false" customHeight="false" outlineLevel="0" collapsed="false">
      <c r="B11" s="10" t="s">
        <v>31</v>
      </c>
      <c r="C11" s="11" t="s">
        <v>32</v>
      </c>
      <c r="D11" s="11" t="s">
        <v>33</v>
      </c>
      <c r="Z11" s="6" t="s">
        <v>34</v>
      </c>
    </row>
    <row r="12" customFormat="false" ht="15" hidden="false" customHeight="false" outlineLevel="0" collapsed="false">
      <c r="B12" s="12" t="s">
        <v>35</v>
      </c>
      <c r="C12" s="13" t="n">
        <v>34</v>
      </c>
      <c r="D12" s="13" t="n">
        <v>180</v>
      </c>
      <c r="Z12" s="6" t="s">
        <v>26</v>
      </c>
    </row>
    <row r="13" customFormat="false" ht="15" hidden="false" customHeight="false" outlineLevel="0" collapsed="false">
      <c r="B13" s="12" t="s">
        <v>36</v>
      </c>
      <c r="C13" s="13" t="n">
        <v>30</v>
      </c>
      <c r="D13" s="13" t="n">
        <v>282</v>
      </c>
      <c r="Z13" s="6" t="s">
        <v>28</v>
      </c>
    </row>
    <row r="14" customFormat="false" ht="15" hidden="false" customHeight="false" outlineLevel="0" collapsed="false">
      <c r="B14" s="12" t="s">
        <v>37</v>
      </c>
      <c r="C14" s="13" t="n">
        <v>58060</v>
      </c>
      <c r="D14" s="13" t="n">
        <v>9580</v>
      </c>
      <c r="Z14" s="6" t="s">
        <v>30</v>
      </c>
    </row>
    <row r="15" customFormat="false" ht="15" hidden="false" customHeight="false" outlineLevel="0" collapsed="false">
      <c r="B15" s="12" t="s">
        <v>38</v>
      </c>
      <c r="C15" s="13" t="n">
        <v>11100</v>
      </c>
      <c r="D15" s="13" t="n">
        <v>1800</v>
      </c>
      <c r="Z15" s="6" t="s">
        <v>34</v>
      </c>
    </row>
    <row r="16" customFormat="false" ht="15" hidden="false" customHeight="false" outlineLevel="0" collapsed="false">
      <c r="B16" s="12" t="s">
        <v>39</v>
      </c>
      <c r="C16" s="14" t="n">
        <f aca="false">C12*C14</f>
        <v>1974040</v>
      </c>
      <c r="D16" s="14" t="n">
        <f aca="false">D12*D14</f>
        <v>1724400</v>
      </c>
      <c r="Z16" s="6" t="s">
        <v>26</v>
      </c>
    </row>
    <row r="17" customFormat="false" ht="15" hidden="false" customHeight="true" outlineLevel="0" collapsed="false">
      <c r="B17" s="9" t="s">
        <v>40</v>
      </c>
      <c r="C17" s="9"/>
      <c r="D17" s="9"/>
      <c r="E17" s="9"/>
      <c r="F17" s="9"/>
      <c r="G17" s="9"/>
      <c r="Z17" s="6" t="s">
        <v>28</v>
      </c>
    </row>
    <row r="18" customFormat="false" ht="15" hidden="false" customHeight="false" outlineLevel="0" collapsed="false">
      <c r="Z18" s="0" t="s">
        <v>30</v>
      </c>
    </row>
    <row r="19" customFormat="false" ht="15.75" hidden="false" customHeight="true" outlineLevel="0" collapsed="false">
      <c r="B19" s="8" t="s">
        <v>41</v>
      </c>
      <c r="C19" s="8"/>
      <c r="D19" s="8"/>
      <c r="E19" s="8"/>
      <c r="F19" s="8"/>
      <c r="G19" s="8"/>
      <c r="Z19" s="6" t="s">
        <v>34</v>
      </c>
    </row>
    <row r="20" customFormat="false" ht="60" hidden="false" customHeight="true" outlineLevel="0" collapsed="false">
      <c r="B20" s="9" t="s">
        <v>42</v>
      </c>
      <c r="C20" s="9"/>
      <c r="D20" s="9"/>
      <c r="E20" s="9"/>
      <c r="F20" s="9"/>
      <c r="G20" s="9"/>
      <c r="Z20" s="6" t="s">
        <v>26</v>
      </c>
    </row>
    <row r="21" customFormat="false" ht="15" hidden="false" customHeight="false" outlineLevel="0" collapsed="false">
      <c r="Z21" s="0" t="s">
        <v>28</v>
      </c>
    </row>
    <row r="22" customFormat="false" ht="15" hidden="false" customHeight="true" outlineLevel="0" collapsed="false">
      <c r="B22" s="8" t="s">
        <v>43</v>
      </c>
      <c r="C22" s="8"/>
      <c r="D22" s="8"/>
      <c r="E22" s="8"/>
      <c r="F22" s="8"/>
      <c r="G22" s="8"/>
      <c r="Z22" s="6" t="s">
        <v>30</v>
      </c>
    </row>
    <row r="23" customFormat="false" ht="39.75" hidden="false" customHeight="true" outlineLevel="0" collapsed="false">
      <c r="B23" s="15" t="s">
        <v>44</v>
      </c>
      <c r="C23" s="16"/>
      <c r="G23" s="17" t="str">
        <f aca="false">IF(C23="","Velg i nedtrekksmenyen.",IF(C23="Differensiert","Riktig. Egne tilbud til ulike målgrupper er differensiert markedsføring (10.1). Udifferensiert er samme tilbud til alle, konsentrert er én gruppe alene. Dette er ikke Porters differensiering; det er et annet valg.","Ikke riktig. Egne tilbud til ulike målgrupper er differensiert markedsføring (10.1). Udifferensiert er samme tilbud til alle, konsentrert er én gruppe alene. Dette er ikke Porters differensiering; det er et annet valg."))</f>
        <v>Velg i nedtrekksmenyen.</v>
      </c>
      <c r="Z23" s="6" t="s">
        <v>34</v>
      </c>
    </row>
    <row r="24" customFormat="false" ht="39.75" hidden="false" customHeight="true" outlineLevel="0" collapsed="false">
      <c r="B24" s="15" t="s">
        <v>45</v>
      </c>
      <c r="C24" s="16"/>
      <c r="G24" s="17" t="str">
        <f aca="false">IF(C24="","Velg i nedtrekksmenyen.",IF(C24="Markedsutvikling","Riktig. Samme produkt til en ny kundegruppe er markedsutvikling (10.1). Markedsinntrengning er mer av det samme til de kundene en allerede har, produktutvikling er nye produkter, diversifisering er begge deler.","Ikke riktig. Samme produkt til en ny kundegruppe er markedsutvikling (10.1). Markedsinntrengning er mer av det samme til de kundene en allerede har, produktutvikling er nye produkter, diversifisering er begge deler."))</f>
        <v>Velg i nedtrekksmenyen.</v>
      </c>
      <c r="Z24" s="6" t="s">
        <v>26</v>
      </c>
    </row>
    <row r="25" customFormat="false" ht="15" hidden="false" customHeight="false" outlineLevel="0" collapsed="false">
      <c r="Z25" s="0" t="s">
        <v>28</v>
      </c>
    </row>
    <row r="26" customFormat="false" ht="15" hidden="false" customHeight="true" outlineLevel="0" collapsed="false">
      <c r="B26" s="8" t="s">
        <v>46</v>
      </c>
      <c r="C26" s="8"/>
      <c r="D26" s="8"/>
      <c r="E26" s="8"/>
      <c r="F26" s="8"/>
      <c r="G26" s="8"/>
      <c r="Z26" s="6" t="s">
        <v>30</v>
      </c>
    </row>
    <row r="27" customFormat="false" ht="39.75" hidden="false" customHeight="true" outlineLevel="0" collapsed="false">
      <c r="B27" s="15" t="s">
        <v>47</v>
      </c>
      <c r="C27" s="16"/>
      <c r="G27" s="17" t="str">
        <f aca="false">IF(C27="","Velg i nedtrekksmenyen.",IF(C27="Svak side","Riktig. Internt: organisering og ressurser som Nordlys selv rår over (10.2). En svak side, fordi ingen eier planen.","Ikke riktig. Internt: organisering og ressurser som Nordlys selv rår over (10.2). En svak side, fordi ingen eier planen."))</f>
        <v>Velg i nedtrekksmenyen.</v>
      </c>
      <c r="Z27" s="6" t="s">
        <v>34</v>
      </c>
    </row>
    <row r="28" customFormat="false" ht="39.75" hidden="false" customHeight="true" outlineLevel="0" collapsed="false">
      <c r="B28" s="15" t="s">
        <v>48</v>
      </c>
      <c r="C28" s="16"/>
      <c r="G28" s="17" t="str">
        <f aca="false">IF(C28="","Velg i nedtrekksmenyen.",IF(C28="Svak side","Riktig. Internt: markedskommunikasjonen står på bokas liste over interne arbeidsbetingelser (10.2), selv om annonsen vises i markedet.","Ikke riktig. Internt: markedskommunikasjonen står på bokas liste over interne arbeidsbetingelser (10.2), selv om annonsen vises i markedet."))</f>
        <v>Velg i nedtrekksmenyen.</v>
      </c>
      <c r="Z28" s="6" t="s">
        <v>26</v>
      </c>
    </row>
    <row r="29" customFormat="false" ht="39.75" hidden="false" customHeight="true" outlineLevel="0" collapsed="false">
      <c r="B29" s="15" t="s">
        <v>49</v>
      </c>
      <c r="C29" s="16"/>
      <c r="G29" s="17" t="str">
        <f aca="false">IF(C29="","Velg i nedtrekksmenyen.",IF(C29="Mulighet","Riktig. Eksternt: markedstrender og etterspørsel (10.2). Ladepunkt er et modent volummarked.","Ikke riktig. Eksternt: markedstrender og etterspørsel (10.2). Ladepunkt er et modent volummarked."))</f>
        <v>Velg i nedtrekksmenyen.</v>
      </c>
      <c r="Z29" s="6" t="s">
        <v>28</v>
      </c>
    </row>
    <row r="30" customFormat="false" ht="39.75" hidden="false" customHeight="true" outlineLevel="0" collapsed="false">
      <c r="B30" s="15" t="s">
        <v>50</v>
      </c>
      <c r="C30" s="16"/>
      <c r="G30" s="17" t="str">
        <f aca="false">IF(C30="","Velg i nedtrekksmenyen.",IF(C30="Trussel","Riktig. Eksternt: etterspørselen i markedet, som Nordlys ikke rår over (10.2).","Ikke riktig. Eksternt: etterspørselen i markedet, som Nordlys ikke rår over (10.2)."))</f>
        <v>Velg i nedtrekksmenyen.</v>
      </c>
      <c r="Z30" s="6" t="s">
        <v>30</v>
      </c>
    </row>
    <row r="31" customFormat="false" ht="39.75" hidden="false" customHeight="true" outlineLevel="0" collapsed="false">
      <c r="B31" s="15" t="s">
        <v>51</v>
      </c>
      <c r="C31" s="16"/>
      <c r="G31" s="17" t="str">
        <f aca="false">IF(C31="","Velg i nedtrekksmenyen.",IF(C31="Trussel","Riktig. Eksternt: konkurrentene, slik boka bruker dem i analysen av Bygghandel (10.2).","Ikke riktig. Eksternt: konkurrentene, slik boka bruker dem i analysen av Bygghandel (10.2)."))</f>
        <v>Velg i nedtrekksmenyen.</v>
      </c>
      <c r="Z31" s="6" t="s">
        <v>34</v>
      </c>
    </row>
    <row r="32" customFormat="false" ht="39.75" hidden="false" customHeight="true" outlineLevel="0" collapsed="false">
      <c r="B32" s="15" t="s">
        <v>52</v>
      </c>
      <c r="C32" s="16"/>
      <c r="G32" s="17" t="str">
        <f aca="false">IF(C32="","Velg i nedtrekksmenyen.",IF(C32="Sterk side","Riktig. Internt: de ansattes kompetanse (10.2). Det er dette som gjør at Nordlys kan love samme montør etterpå.","Ikke riktig. Internt: de ansattes kompetanse (10.2). Det er dette som gjør at Nordlys kan love samme montør etterpå."))</f>
        <v>Velg i nedtrekksmenyen.</v>
      </c>
      <c r="Z32" s="6" t="s">
        <v>53</v>
      </c>
    </row>
    <row r="33" customFormat="false" ht="15" hidden="false" customHeight="false" outlineLevel="0" collapsed="false">
      <c r="Z33" s="0" t="s">
        <v>54</v>
      </c>
    </row>
    <row r="34" customFormat="false" ht="15" hidden="false" customHeight="true" outlineLevel="0" collapsed="false">
      <c r="B34" s="8" t="s">
        <v>55</v>
      </c>
      <c r="C34" s="8"/>
      <c r="D34" s="8"/>
      <c r="E34" s="8"/>
      <c r="F34" s="8"/>
      <c r="G34" s="8"/>
      <c r="Z34" s="6" t="s">
        <v>56</v>
      </c>
    </row>
    <row r="35" customFormat="false" ht="43.5" hidden="false" customHeight="true" outlineLevel="0" collapsed="false">
      <c r="B35" s="15" t="s">
        <v>57</v>
      </c>
      <c r="C35" s="18"/>
      <c r="D35" s="19" t="s">
        <v>58</v>
      </c>
      <c r="G35" s="17" t="str">
        <f aca="false">IF(C35="","Skriv svaret i den gule cellen.",IF(C35=(30*58060+282*9580),"Riktig.",IF(ABS(C35-(30*58060))&lt;=0,"Du har tatt bare solcelleanleggene. Legg til ladepunktene, 282 × 9 580.",IF(ABS(C35-(282*9580))&lt;=0,"Du har tatt bare ladepunktene. Legg til solcelleanleggene, 30 × 58 060.",IF(ABS(C35-(34*58060+180*9580))&lt;=0,"Det er omsetningen i fjor. Delmålene er 30 anlegg og 282 ladepunkt.",IF(ABS(C35-(42*58060+215*9580))&lt;=0,"Det er den første miksen fra kapittel 3, med 42 anlegg. Den ble forkastet fordi solmarkedet falt. Bruk Idas nye miks: 30 anlegg og 282 ladepunkt.",IF(ABS(C35-(3698440*1.2))&lt;=0,"Det er hovedmålet i kroner. Delmålene regnes som antall × pris for hvert produkt.","Ikke riktig ennå. Se på regnestykket øverst på fanen, og sjekk at du har med alle leddene.")))))))</f>
        <v>Skriv svaret i den gule cellen.</v>
      </c>
      <c r="Z35" s="6" t="s">
        <v>59</v>
      </c>
    </row>
    <row r="36" customFormat="false" ht="43.5" hidden="false" customHeight="true" outlineLevel="0" collapsed="false">
      <c r="B36" s="15" t="s">
        <v>60</v>
      </c>
      <c r="C36" s="18"/>
      <c r="D36" s="19" t="s">
        <v>58</v>
      </c>
      <c r="G36" s="17" t="str">
        <f aca="false">IF(C36="","Skriv svaret i den gule cellen.",IF(C36=(3698440*1.2),"Riktig.",IF(ABS(C36-(3698440*0.2))&lt;=0,"Du har regnet bare økningen, 20 %. Hovedmålet er hele omsetningen med 20 % på toppen: gang med 1,20.",IF(ABS(C36-(30*58060+282*9580))&lt;=0,"Det er delmålene i kroner. Hovedmålet er 3 698 440 × 1,20.",IF(ABS(C36-(3698440*1.02))&lt;=0,"Du har ganget med 1,02. 20 % er 1,20.","Ikke riktig ennå. Se på regnestykket øverst på fanen, og sjekk at du har med alle leddene.")))))</f>
        <v>Skriv svaret i den gule cellen.</v>
      </c>
      <c r="Z36" s="6" t="s">
        <v>61</v>
      </c>
    </row>
    <row r="37" customFormat="false" ht="43.5" hidden="false" customHeight="true" outlineLevel="0" collapsed="false">
      <c r="B37" s="15" t="s">
        <v>62</v>
      </c>
      <c r="C37" s="18"/>
      <c r="D37" s="19" t="s">
        <v>58</v>
      </c>
      <c r="G37" s="17" t="str">
        <f aca="false">IF(C37="","Skriv svaret i den gule cellen.",IF(C37=((30-34)*11100+(282-180)*1800),"Riktig.",IF(ABS(C37-(30*11100+282*1800))&lt;=0,"Du har ganget hele målet med dekningsbidraget. Det er hele årets dekningsbidrag, ikke det ekstra. Regn bare endringen: 4 færre anlegg og 102 flere ladepunkt.",IF(ABS(C37-((282-180)*1800))&lt;=0,"Du har med bare ladepunktene. Fire færre anlegg trekker fra: −4 × 11 100 = −44 400.",IF(ABS(C37-((34-30)*11100+(282-180)*1800))&lt;=0,"Du har lagt til solcelleanleggene, men de går ned fra 34 til 30. De fire anleggene som faller bort, trekker 44 400 fra.",IF(ABS(C37-((30-34)*11100))&lt;=0,"Du har med bare solcelleanleggene. Legg til 102 ladepunkt × 1 800.",IF(ABS(C37-(30*58060+282*9580-(34*58060+180*9580)))&lt;=0,"Du har regnet økningen i omsetning (eller brukt prisen i stedet for dekningsbidraget). Spørsmålet er dekningsbidraget: det som er igjen når materiell og montørtimer er betalt.","Ikke riktig ennå. Se på regnestykket øverst på fanen, og sjekk at du har med alle leddene.")))))))</f>
        <v>Skriv svaret i den gule cellen.</v>
      </c>
      <c r="Z37" s="6" t="s">
        <v>63</v>
      </c>
    </row>
    <row r="38" customFormat="false" ht="15" hidden="false" customHeight="false" outlineLevel="0" collapsed="false">
      <c r="Z38" s="0" t="s">
        <v>64</v>
      </c>
    </row>
    <row r="39" customFormat="false" ht="15" hidden="false" customHeight="true" outlineLevel="0" collapsed="false">
      <c r="B39" s="8" t="s">
        <v>65</v>
      </c>
      <c r="C39" s="8"/>
      <c r="D39" s="8"/>
      <c r="E39" s="8"/>
      <c r="F39" s="8"/>
      <c r="G39" s="8"/>
      <c r="Z39" s="6" t="s">
        <v>66</v>
      </c>
    </row>
    <row r="40" customFormat="false" ht="39.75" hidden="false" customHeight="true" outlineLevel="0" collapsed="false">
      <c r="B40" s="15" t="s">
        <v>67</v>
      </c>
      <c r="C40" s="16"/>
      <c r="G40" s="17" t="str">
        <f aca="false">IF(C40="","Velg i nedtrekksmenyen.",IF(C40="Prisdifferensiering","Riktig. Ulik pris fra ulike kundegrupper for samme ytelse er prisdifferensiering (10.4.3). Kvantumsrabatt er én form for det. Kontantrabatt gjelder betalingsmåten, ikke mengden.","Ikke riktig. Ulik pris fra ulike kundegrupper for samme ytelse er prisdifferensiering (10.4.3). Kvantumsrabatt er én form for det. Kontantrabatt gjelder betalingsmåten, ikke mengden."))</f>
        <v>Velg i nedtrekksmenyen.</v>
      </c>
      <c r="Z40" s="6" t="s">
        <v>68</v>
      </c>
    </row>
    <row r="41" customFormat="false" ht="39.75" hidden="false" customHeight="true" outlineLevel="0" collapsed="false">
      <c r="B41" s="15" t="s">
        <v>69</v>
      </c>
      <c r="C41" s="16"/>
      <c r="G41" s="17" t="str">
        <f aca="false">IF(C41="","Velg i nedtrekksmenyen.",IF(C41="Grossist","Riktig. Grossisten kjøper fra produsentene og selger videre til bedrifter som Nordlys (10.4.4). Detaljisten selger til forbrukere, agenten formidler uten å eie varen.","Ikke riktig. Grossisten kjøper fra produsentene og selger videre til bedrifter som Nordlys (10.4.4). Detaljisten selger til forbrukere, agenten formidler uten å eie varen."))</f>
        <v>Velg i nedtrekksmenyen.</v>
      </c>
    </row>
    <row r="42" customFormat="false" ht="39.75" hidden="false" customHeight="true" outlineLevel="0" collapsed="false">
      <c r="B42" s="15" t="s">
        <v>70</v>
      </c>
      <c r="C42" s="16"/>
      <c r="G42" s="17" t="str">
        <f aca="false">IF(C42="","Velg i nedtrekksmenyen.",IF(C42="Personlig kommunikasjon","Riktig. Ansikt til ansikt, toveis, med dybde: personlig kommunikasjon, mest brukt på bedriftsmarkedet (10.4.5). Kontaktprisen er høy, men verdien av en kontrakt om et felles ladeanlegg, 82 500 kr i dekningsbidrag, forsvarer den.","Ikke riktig. Ansikt til ansikt, toveis, med dybde: personlig kommunikasjon, mest brukt på bedriftsmarkedet (10.4.5). Kontaktprisen er høy, men verdien av en kontrakt om et felles ladeanlegg, 82 500 kr i dekningsbidrag, forsvarer den."))</f>
        <v>Velg i nedtrekksmenyen.</v>
      </c>
    </row>
    <row r="44" customFormat="false" ht="45" hidden="false" customHeight="true" outlineLevel="0" collapsed="false">
      <c r="B44" s="9" t="s">
        <v>71</v>
      </c>
      <c r="C44" s="9"/>
      <c r="D44" s="9"/>
      <c r="E44" s="9"/>
      <c r="F44" s="9"/>
      <c r="G44" s="9"/>
    </row>
    <row r="45" customFormat="false" ht="21.75" hidden="false" customHeight="true" outlineLevel="0" collapsed="false">
      <c r="B45" s="20"/>
      <c r="C45" s="20"/>
      <c r="D45" s="20"/>
      <c r="E45" s="20"/>
      <c r="F45" s="20"/>
      <c r="G45" s="20"/>
    </row>
    <row r="46" customFormat="false" ht="21.75" hidden="false" customHeight="true" outlineLevel="0" collapsed="false">
      <c r="B46" s="20"/>
      <c r="C46" s="20"/>
      <c r="D46" s="20"/>
      <c r="E46" s="20"/>
      <c r="F46" s="20"/>
      <c r="G46" s="20"/>
    </row>
    <row r="47" customFormat="false" ht="21.75" hidden="false" customHeight="true" outlineLevel="0" collapsed="false">
      <c r="B47" s="20"/>
      <c r="C47" s="20"/>
      <c r="D47" s="20"/>
      <c r="E47" s="20"/>
      <c r="F47" s="20"/>
      <c r="G47" s="20"/>
    </row>
    <row r="48" customFormat="false" ht="39.75" hidden="false" customHeight="true" outlineLevel="0" collapsed="false">
      <c r="B48" s="21" t="str">
        <f aca="false">IF(LEN(B45)&lt;40,"",IF(AND(ISNUMBER(SEARCH("kostnadsleder",B45)),ISNUMBER(SEARCH("dekningsbidrag",B45))),"Bra: du sier at billigst er kostnadslederskap, og du bruker dekningsbidraget. Si gjerne også at kjedene har volumet, og at særpreget «samme montør etterpå» peker mot differensiering.",IF(OR(ISNUMBER(SEARCH("kostnadsleder",B45)),ISNUMBER(SEARCH("dekningsbidrag",B45))),"Du er på sporet. Sett navn på strategien (kostnadslederskap) og si hva prisen gjør med dekningsbidraget på 1 800 kr.","Tips: billigst er kostnadslederskap, og det krever volum og lave innkjøpspriser, som kjedene har. 5 % lavere pris på et ladepunkt er 479 kr, altså 26,6 % av dekningsbidraget på 1 800 kr. Da forsvinner pengene handlingsplanen skal betales med. Særpreget «samme montør etterpå» peker mot differensiering.")))</f>
        <v/>
      </c>
      <c r="C48" s="21"/>
      <c r="D48" s="21"/>
      <c r="E48" s="21"/>
      <c r="F48" s="21"/>
      <c r="G48" s="21"/>
    </row>
    <row r="49" customFormat="false" ht="15" hidden="false" customHeight="false" outlineLevel="0" collapsed="false">
      <c r="B49" s="22" t="s">
        <v>72</v>
      </c>
      <c r="C49" s="16"/>
    </row>
    <row r="50" customFormat="false" ht="45" hidden="false" customHeight="true" outlineLevel="0" collapsed="false">
      <c r="B50" s="23" t="str">
        <f aca="false">IF(C49="JA","Hint: Delmålene i kroner: 30 × 58 060 + 282 × 9 580 = 1 741 800 + 2 701 560 = 4 443 360. Hovedmålet: 3 698 440 × 1,20 = 4 438 128. Ekstra dekningsbidrag: 102 flere ladepunkt × 1 800 − 4 færre anlegg × 11 100 = 183 600 − 44 400 = 139 200. Internt er det bedriften selv rår over; eksternt er det som skjer i markedet.","")</f>
        <v/>
      </c>
      <c r="C50" s="23"/>
      <c r="D50" s="23"/>
      <c r="E50" s="23"/>
      <c r="F50" s="23"/>
      <c r="G50" s="23"/>
    </row>
    <row r="52" customFormat="false" ht="30" hidden="false" customHeight="true" outlineLevel="0" collapsed="false">
      <c r="B52" s="7" t="s">
        <v>73</v>
      </c>
      <c r="C52" s="7"/>
      <c r="D52" s="7"/>
      <c r="E52" s="7"/>
      <c r="F52" s="7"/>
      <c r="G52" s="7"/>
    </row>
  </sheetData>
  <mergeCells count="20">
    <mergeCell ref="B2:G2"/>
    <mergeCell ref="B3:G3"/>
    <mergeCell ref="B4:G4"/>
    <mergeCell ref="B5:G5"/>
    <mergeCell ref="B6:G6"/>
    <mergeCell ref="B7:G7"/>
    <mergeCell ref="B9:G9"/>
    <mergeCell ref="B10:G10"/>
    <mergeCell ref="B17:G17"/>
    <mergeCell ref="B19:G19"/>
    <mergeCell ref="B20:G20"/>
    <mergeCell ref="B22:G22"/>
    <mergeCell ref="B26:G26"/>
    <mergeCell ref="B34:G34"/>
    <mergeCell ref="B39:G39"/>
    <mergeCell ref="B44:G44"/>
    <mergeCell ref="B45:G47"/>
    <mergeCell ref="B48:G48"/>
    <mergeCell ref="B50:G50"/>
    <mergeCell ref="B52:G52"/>
  </mergeCells>
  <conditionalFormatting sqref="G23">
    <cfRule type="expression" priority="2" aboveAverage="0" equalAverage="0" bottom="0" percent="0" rank="0" text="" dxfId="0">
      <formula>LEFT(G23,6)="Riktig"</formula>
    </cfRule>
    <cfRule type="expression" priority="3" aboveAverage="0" equalAverage="0" bottom="0" percent="0" rank="0" text="" dxfId="1">
      <formula>LEFT(G23,4)="Ikke"</formula>
    </cfRule>
  </conditionalFormatting>
  <conditionalFormatting sqref="G24">
    <cfRule type="expression" priority="4" aboveAverage="0" equalAverage="0" bottom="0" percent="0" rank="0" text="" dxfId="0">
      <formula>LEFT(G24,6)="Riktig"</formula>
    </cfRule>
    <cfRule type="expression" priority="5" aboveAverage="0" equalAverage="0" bottom="0" percent="0" rank="0" text="" dxfId="1">
      <formula>LEFT(G24,4)="Ikke"</formula>
    </cfRule>
  </conditionalFormatting>
  <conditionalFormatting sqref="G27">
    <cfRule type="expression" priority="6" aboveAverage="0" equalAverage="0" bottom="0" percent="0" rank="0" text="" dxfId="0">
      <formula>LEFT(G27,6)="Riktig"</formula>
    </cfRule>
    <cfRule type="expression" priority="7" aboveAverage="0" equalAverage="0" bottom="0" percent="0" rank="0" text="" dxfId="1">
      <formula>LEFT(G27,4)="Ikke"</formula>
    </cfRule>
  </conditionalFormatting>
  <conditionalFormatting sqref="G28">
    <cfRule type="expression" priority="8" aboveAverage="0" equalAverage="0" bottom="0" percent="0" rank="0" text="" dxfId="0">
      <formula>LEFT(G28,6)="Riktig"</formula>
    </cfRule>
    <cfRule type="expression" priority="9" aboveAverage="0" equalAverage="0" bottom="0" percent="0" rank="0" text="" dxfId="1">
      <formula>LEFT(G28,4)="Ikke"</formula>
    </cfRule>
  </conditionalFormatting>
  <conditionalFormatting sqref="G29">
    <cfRule type="expression" priority="10" aboveAverage="0" equalAverage="0" bottom="0" percent="0" rank="0" text="" dxfId="0">
      <formula>LEFT(G29,6)="Riktig"</formula>
    </cfRule>
    <cfRule type="expression" priority="11" aboveAverage="0" equalAverage="0" bottom="0" percent="0" rank="0" text="" dxfId="1">
      <formula>LEFT(G29,4)="Ikke"</formula>
    </cfRule>
  </conditionalFormatting>
  <conditionalFormatting sqref="G30">
    <cfRule type="expression" priority="12" aboveAverage="0" equalAverage="0" bottom="0" percent="0" rank="0" text="" dxfId="0">
      <formula>LEFT(G30,6)="Riktig"</formula>
    </cfRule>
    <cfRule type="expression" priority="13" aboveAverage="0" equalAverage="0" bottom="0" percent="0" rank="0" text="" dxfId="1">
      <formula>LEFT(G30,4)="Ikke"</formula>
    </cfRule>
  </conditionalFormatting>
  <conditionalFormatting sqref="G31">
    <cfRule type="expression" priority="14" aboveAverage="0" equalAverage="0" bottom="0" percent="0" rank="0" text="" dxfId="0">
      <formula>LEFT(G31,6)="Riktig"</formula>
    </cfRule>
    <cfRule type="expression" priority="15" aboveAverage="0" equalAverage="0" bottom="0" percent="0" rank="0" text="" dxfId="1">
      <formula>LEFT(G31,4)="Ikke"</formula>
    </cfRule>
  </conditionalFormatting>
  <conditionalFormatting sqref="G32">
    <cfRule type="expression" priority="16" aboveAverage="0" equalAverage="0" bottom="0" percent="0" rank="0" text="" dxfId="0">
      <formula>LEFT(G32,6)="Riktig"</formula>
    </cfRule>
    <cfRule type="expression" priority="17" aboveAverage="0" equalAverage="0" bottom="0" percent="0" rank="0" text="" dxfId="1">
      <formula>LEFT(G32,4)="Ikke"</formula>
    </cfRule>
  </conditionalFormatting>
  <conditionalFormatting sqref="G35">
    <cfRule type="expression" priority="18" aboveAverage="0" equalAverage="0" bottom="0" percent="0" rank="0" text="" dxfId="0">
      <formula>LEFT(G35,6)="Riktig"</formula>
    </cfRule>
    <cfRule type="expression" priority="19" aboveAverage="0" equalAverage="0" bottom="0" percent="0" rank="0" text="" dxfId="1">
      <formula>AND(G35&lt;&gt;"",LEFT(G35,6)&lt;&gt;"Riktig",LEFT(G35,5)&lt;&gt;"Skriv")</formula>
    </cfRule>
  </conditionalFormatting>
  <conditionalFormatting sqref="G36">
    <cfRule type="expression" priority="20" aboveAverage="0" equalAverage="0" bottom="0" percent="0" rank="0" text="" dxfId="0">
      <formula>LEFT(G36,6)="Riktig"</formula>
    </cfRule>
    <cfRule type="expression" priority="21" aboveAverage="0" equalAverage="0" bottom="0" percent="0" rank="0" text="" dxfId="1">
      <formula>AND(G36&lt;&gt;"",LEFT(G36,6)&lt;&gt;"Riktig",LEFT(G36,5)&lt;&gt;"Skriv")</formula>
    </cfRule>
  </conditionalFormatting>
  <conditionalFormatting sqref="G37">
    <cfRule type="expression" priority="22" aboveAverage="0" equalAverage="0" bottom="0" percent="0" rank="0" text="" dxfId="0">
      <formula>LEFT(G37,6)="Riktig"</formula>
    </cfRule>
    <cfRule type="expression" priority="23" aboveAverage="0" equalAverage="0" bottom="0" percent="0" rank="0" text="" dxfId="1">
      <formula>AND(G37&lt;&gt;"",LEFT(G37,6)&lt;&gt;"Riktig",LEFT(G37,5)&lt;&gt;"Skriv")</formula>
    </cfRule>
  </conditionalFormatting>
  <conditionalFormatting sqref="G40">
    <cfRule type="expression" priority="24" aboveAverage="0" equalAverage="0" bottom="0" percent="0" rank="0" text="" dxfId="0">
      <formula>LEFT(G40,6)="Riktig"</formula>
    </cfRule>
    <cfRule type="expression" priority="25" aboveAverage="0" equalAverage="0" bottom="0" percent="0" rank="0" text="" dxfId="1">
      <formula>LEFT(G40,4)="Ikke"</formula>
    </cfRule>
  </conditionalFormatting>
  <conditionalFormatting sqref="G41">
    <cfRule type="expression" priority="26" aboveAverage="0" equalAverage="0" bottom="0" percent="0" rank="0" text="" dxfId="0">
      <formula>LEFT(G41,6)="Riktig"</formula>
    </cfRule>
    <cfRule type="expression" priority="27" aboveAverage="0" equalAverage="0" bottom="0" percent="0" rank="0" text="" dxfId="1">
      <formula>LEFT(G41,4)="Ikke"</formula>
    </cfRule>
  </conditionalFormatting>
  <conditionalFormatting sqref="G42">
    <cfRule type="expression" priority="28" aboveAverage="0" equalAverage="0" bottom="0" percent="0" rank="0" text="" dxfId="0">
      <formula>LEFT(G42,6)="Riktig"</formula>
    </cfRule>
    <cfRule type="expression" priority="29" aboveAverage="0" equalAverage="0" bottom="0" percent="0" rank="0" text="" dxfId="1">
      <formula>LEFT(G42,4)="Ikke"</formula>
    </cfRule>
  </conditionalFormatting>
  <dataValidations count="12">
    <dataValidation allowBlank="true" errorStyle="stop" operator="between" showDropDown="false" showErrorMessage="false" showInputMessage="false" sqref="C23" type="list">
      <formula1>$Z$1:$Z$3</formula1>
      <formula2>0</formula2>
    </dataValidation>
    <dataValidation allowBlank="true" errorStyle="stop" operator="between" showDropDown="false" showErrorMessage="false" showInputMessage="false" sqref="C24" type="list">
      <formula1>$Z$4:$Z$7</formula1>
      <formula2>0</formula2>
    </dataValidation>
    <dataValidation allowBlank="true" errorStyle="stop" operator="between" showDropDown="false" showErrorMessage="false" showInputMessage="false" sqref="C27" type="list">
      <formula1>$Z$8:$Z$11</formula1>
      <formula2>0</formula2>
    </dataValidation>
    <dataValidation allowBlank="true" errorStyle="stop" operator="between" showDropDown="false" showErrorMessage="false" showInputMessage="false" sqref="C28" type="list">
      <formula1>$Z$12:$Z$15</formula1>
      <formula2>0</formula2>
    </dataValidation>
    <dataValidation allowBlank="true" errorStyle="stop" operator="between" showDropDown="false" showErrorMessage="false" showInputMessage="false" sqref="C29" type="list">
      <formula1>$Z$16:$Z$19</formula1>
      <formula2>0</formula2>
    </dataValidation>
    <dataValidation allowBlank="true" errorStyle="stop" operator="between" showDropDown="false" showErrorMessage="false" showInputMessage="false" sqref="C30" type="list">
      <formula1>$Z$20:$Z$23</formula1>
      <formula2>0</formula2>
    </dataValidation>
    <dataValidation allowBlank="true" errorStyle="stop" operator="between" showDropDown="false" showErrorMessage="false" showInputMessage="false" sqref="C31" type="list">
      <formula1>$Z$24:$Z$27</formula1>
      <formula2>0</formula2>
    </dataValidation>
    <dataValidation allowBlank="true" errorStyle="stop" operator="between" showDropDown="false" showErrorMessage="false" showInputMessage="false" sqref="C32" type="list">
      <formula1>$Z$28:$Z$31</formula1>
      <formula2>0</formula2>
    </dataValidation>
    <dataValidation allowBlank="true" errorStyle="stop" operator="between" showDropDown="false" showErrorMessage="false" showInputMessage="false" sqref="C40" type="list">
      <formula1>$Z$32:$Z$34</formula1>
      <formula2>0</formula2>
    </dataValidation>
    <dataValidation allowBlank="true" errorStyle="stop" operator="between" showDropDown="false" showErrorMessage="false" showInputMessage="false" sqref="C41" type="list">
      <formula1>$Z$35:$Z$37</formula1>
      <formula2>0</formula2>
    </dataValidation>
    <dataValidation allowBlank="true" errorStyle="stop" operator="between" showDropDown="false" showErrorMessage="false" showInputMessage="false" sqref="C42" type="list">
      <formula1>$Z$38:$Z$40</formula1>
      <formula2>0</formula2>
    </dataValidation>
    <dataValidation allowBlank="true" errorStyle="stop" operator="between" showDropDown="false" showErrorMessage="false" showInputMessage="false" sqref="C49"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74</v>
      </c>
    </row>
    <row r="2" customFormat="false" ht="25.5" hidden="false" customHeight="true" outlineLevel="0" collapsed="false">
      <c r="B2" s="5" t="s">
        <v>75</v>
      </c>
      <c r="C2" s="5"/>
      <c r="D2" s="5"/>
      <c r="E2" s="5"/>
      <c r="F2" s="5"/>
      <c r="G2" s="5"/>
      <c r="Z2" s="6" t="s">
        <v>76</v>
      </c>
    </row>
    <row r="3" customFormat="false" ht="15" hidden="false" customHeight="true" outlineLevel="0" collapsed="false">
      <c r="B3" s="7" t="s">
        <v>16</v>
      </c>
      <c r="C3" s="7"/>
      <c r="D3" s="7"/>
      <c r="E3" s="7"/>
      <c r="F3" s="7"/>
      <c r="G3" s="7"/>
      <c r="Z3" s="6" t="s">
        <v>74</v>
      </c>
    </row>
    <row r="4" customFormat="false" ht="15.75" hidden="false" customHeight="true" outlineLevel="0" collapsed="false">
      <c r="B4" s="8" t="s">
        <v>18</v>
      </c>
      <c r="C4" s="8"/>
      <c r="D4" s="8"/>
      <c r="E4" s="8"/>
      <c r="F4" s="8"/>
      <c r="G4" s="8"/>
      <c r="Z4" s="6" t="s">
        <v>76</v>
      </c>
    </row>
    <row r="5" customFormat="false" ht="60" hidden="false" customHeight="true" outlineLevel="0" collapsed="false">
      <c r="B5" s="9" t="s">
        <v>77</v>
      </c>
      <c r="C5" s="9"/>
      <c r="D5" s="9"/>
      <c r="E5" s="9"/>
      <c r="F5" s="9"/>
      <c r="G5" s="9"/>
      <c r="Z5" s="6" t="s">
        <v>74</v>
      </c>
    </row>
    <row r="6" customFormat="false" ht="15.75" hidden="false" customHeight="true" outlineLevel="0" collapsed="false">
      <c r="B6" s="8" t="s">
        <v>22</v>
      </c>
      <c r="C6" s="8"/>
      <c r="D6" s="8"/>
      <c r="E6" s="8"/>
      <c r="F6" s="8"/>
      <c r="G6" s="8"/>
      <c r="Z6" s="6" t="s">
        <v>76</v>
      </c>
    </row>
    <row r="7" customFormat="false" ht="60" hidden="false" customHeight="true" outlineLevel="0" collapsed="false">
      <c r="B7" s="9" t="s">
        <v>78</v>
      </c>
      <c r="C7" s="9"/>
      <c r="D7" s="9"/>
      <c r="E7" s="9"/>
      <c r="F7" s="9"/>
      <c r="G7" s="9"/>
      <c r="Z7" s="6" t="s">
        <v>74</v>
      </c>
    </row>
    <row r="8" customFormat="false" ht="15" hidden="false" customHeight="false" outlineLevel="0" collapsed="false">
      <c r="Z8" s="0" t="s">
        <v>76</v>
      </c>
    </row>
    <row r="9" customFormat="false" ht="15.75" hidden="false" customHeight="true" outlineLevel="0" collapsed="false">
      <c r="B9" s="8" t="s">
        <v>79</v>
      </c>
      <c r="C9" s="8"/>
      <c r="D9" s="8"/>
      <c r="E9" s="8"/>
      <c r="F9" s="8"/>
      <c r="G9" s="8"/>
      <c r="Z9" s="6" t="s">
        <v>74</v>
      </c>
    </row>
    <row r="10" customFormat="false" ht="60" hidden="false" customHeight="true" outlineLevel="0" collapsed="false">
      <c r="B10" s="9" t="s">
        <v>80</v>
      </c>
      <c r="C10" s="9"/>
      <c r="D10" s="9"/>
      <c r="E10" s="9"/>
      <c r="F10" s="9"/>
      <c r="G10" s="9"/>
      <c r="Z10" s="6" t="s">
        <v>76</v>
      </c>
    </row>
    <row r="11" customFormat="false" ht="15" hidden="false" customHeight="false" outlineLevel="0" collapsed="false">
      <c r="B11" s="10" t="s">
        <v>81</v>
      </c>
      <c r="C11" s="11" t="s">
        <v>82</v>
      </c>
      <c r="D11" s="11" t="s">
        <v>83</v>
      </c>
      <c r="E11" s="11" t="s">
        <v>84</v>
      </c>
      <c r="Z11" s="6" t="s">
        <v>74</v>
      </c>
    </row>
    <row r="12" customFormat="false" ht="15" hidden="false" customHeight="false" outlineLevel="0" collapsed="false">
      <c r="B12" s="12" t="s">
        <v>85</v>
      </c>
      <c r="C12" s="24" t="n">
        <v>6</v>
      </c>
      <c r="D12" s="13" t="n">
        <v>0</v>
      </c>
      <c r="E12" s="18"/>
      <c r="Z12" s="6" t="s">
        <v>76</v>
      </c>
    </row>
    <row r="13" customFormat="false" ht="15" hidden="false" customHeight="false" outlineLevel="0" collapsed="false">
      <c r="B13" s="12" t="s">
        <v>86</v>
      </c>
      <c r="C13" s="24" t="n">
        <v>10</v>
      </c>
      <c r="D13" s="13" t="n">
        <v>0</v>
      </c>
      <c r="E13" s="18"/>
    </row>
    <row r="14" customFormat="false" ht="15" hidden="false" customHeight="false" outlineLevel="0" collapsed="false">
      <c r="B14" s="12" t="s">
        <v>87</v>
      </c>
      <c r="C14" s="24" t="n">
        <v>14</v>
      </c>
      <c r="D14" s="13" t="n">
        <v>0</v>
      </c>
      <c r="E14" s="18"/>
    </row>
    <row r="15" customFormat="false" ht="15" hidden="false" customHeight="false" outlineLevel="0" collapsed="false">
      <c r="B15" s="12" t="s">
        <v>88</v>
      </c>
      <c r="C15" s="24" t="n">
        <v>5</v>
      </c>
      <c r="D15" s="13" t="n">
        <v>1900</v>
      </c>
      <c r="E15" s="18"/>
    </row>
    <row r="16" customFormat="false" ht="15" hidden="false" customHeight="false" outlineLevel="0" collapsed="false">
      <c r="B16" s="12" t="s">
        <v>89</v>
      </c>
      <c r="C16" s="24" t="n">
        <v>6</v>
      </c>
      <c r="D16" s="13" t="n">
        <v>0</v>
      </c>
      <c r="E16" s="18"/>
    </row>
    <row r="17" customFormat="false" ht="15" hidden="false" customHeight="false" outlineLevel="0" collapsed="false">
      <c r="B17" s="12" t="s">
        <v>90</v>
      </c>
      <c r="C17" s="24" t="n">
        <v>38.5</v>
      </c>
      <c r="D17" s="13" t="n">
        <v>4000</v>
      </c>
      <c r="E17" s="18"/>
    </row>
    <row r="18" customFormat="false" ht="15" hidden="false" customHeight="false" outlineLevel="0" collapsed="false">
      <c r="B18" s="12" t="s">
        <v>91</v>
      </c>
      <c r="C18" s="24" t="n">
        <v>4</v>
      </c>
      <c r="D18" s="13" t="n">
        <v>0</v>
      </c>
      <c r="E18" s="18"/>
    </row>
    <row r="19" customFormat="false" ht="15" hidden="false" customHeight="false" outlineLevel="0" collapsed="false">
      <c r="B19" s="12" t="s">
        <v>92</v>
      </c>
      <c r="C19" s="24" t="n">
        <v>4</v>
      </c>
      <c r="D19" s="13" t="n">
        <v>0</v>
      </c>
      <c r="E19" s="18"/>
    </row>
    <row r="20" customFormat="false" ht="15" hidden="false" customHeight="false" outlineLevel="0" collapsed="false">
      <c r="B20" s="12" t="s">
        <v>93</v>
      </c>
      <c r="C20" s="24" t="n">
        <v>4.5</v>
      </c>
      <c r="D20" s="13" t="n">
        <v>0</v>
      </c>
      <c r="E20" s="18"/>
    </row>
    <row r="21" customFormat="false" ht="15" hidden="false" customHeight="false" outlineLevel="0" collapsed="false">
      <c r="B21" s="12" t="s">
        <v>94</v>
      </c>
      <c r="C21" s="25" t="n">
        <f aca="false">SUM(C12:C20)</f>
        <v>92</v>
      </c>
      <c r="D21" s="14" t="n">
        <f aca="false">SUM(D12:D20)</f>
        <v>5900</v>
      </c>
      <c r="E21" s="14" t="n">
        <f aca="false">SUM(E12:E20)</f>
        <v>0</v>
      </c>
    </row>
    <row r="23" customFormat="false" ht="15.75" hidden="false" customHeight="true" outlineLevel="0" collapsed="false">
      <c r="B23" s="8" t="s">
        <v>41</v>
      </c>
      <c r="C23" s="8"/>
      <c r="D23" s="8"/>
      <c r="E23" s="8"/>
      <c r="F23" s="8"/>
      <c r="G23" s="8"/>
    </row>
    <row r="24" customFormat="false" ht="60" hidden="false" customHeight="true" outlineLevel="0" collapsed="false">
      <c r="B24" s="9" t="s">
        <v>95</v>
      </c>
      <c r="C24" s="9"/>
      <c r="D24" s="9"/>
      <c r="E24" s="9"/>
      <c r="F24" s="9"/>
      <c r="G24" s="9"/>
    </row>
    <row r="26" customFormat="false" ht="15" hidden="false" customHeight="true" outlineLevel="0" collapsed="false">
      <c r="B26" s="8" t="s">
        <v>96</v>
      </c>
      <c r="C26" s="8"/>
      <c r="D26" s="8"/>
      <c r="E26" s="8"/>
      <c r="F26" s="8"/>
      <c r="G26" s="8"/>
    </row>
    <row r="27" customFormat="false" ht="36" hidden="false" customHeight="true" outlineLevel="0" collapsed="false">
      <c r="B27" s="0" t="s">
        <v>97</v>
      </c>
      <c r="C27" s="26" t="str">
        <f aca="false">IF(E12="","Skriv svaret i cellen E12.",IF(ABS(E12-(6*327.43+0))&lt;=1,"Riktig.",IF(ABS(E12-(6*640+0))&lt;=1,"Du har brukt feil timesats. Administrasjonstimer koster 327,43 kr, montørtimer 640 kr.","Ikke riktig ennå. Budsjettpost = timer × timesats + utlegg. Sjekk at du har med både timene og utlegget.")))</f>
        <v>Skriv svaret i cellen E12.</v>
      </c>
      <c r="D27" s="26"/>
      <c r="E27" s="26"/>
      <c r="F27" s="26"/>
      <c r="G27" s="26"/>
    </row>
    <row r="28" customFormat="false" ht="36" hidden="false" customHeight="true" outlineLevel="0" collapsed="false">
      <c r="B28" s="0" t="s">
        <v>98</v>
      </c>
      <c r="C28" s="26" t="str">
        <f aca="false">IF(E13="","Skriv svaret i cellen E13.",IF(ABS(E13-(10*327.43+0))&lt;=1,"Riktig.",IF(ABS(E13-(10*640+0))&lt;=1,"Du har brukt feil timesats. Administrasjonstimer koster 327,43 kr, montørtimer 640 kr.","Ikke riktig ennå. Budsjettpost = timer × timesats + utlegg. Sjekk at du har med både timene og utlegget.")))</f>
        <v>Skriv svaret i cellen E13.</v>
      </c>
      <c r="D28" s="26"/>
      <c r="E28" s="26"/>
      <c r="F28" s="26"/>
      <c r="G28" s="26"/>
    </row>
    <row r="29" customFormat="false" ht="36" hidden="false" customHeight="true" outlineLevel="0" collapsed="false">
      <c r="B29" s="0" t="s">
        <v>99</v>
      </c>
      <c r="C29" s="26" t="str">
        <f aca="false">IF(E14="","Skriv svaret i cellen E14.",IF(ABS(E14-(14*640+0))&lt;=1,"Riktig.",IF(ABS(E14-(14*327.43+0))&lt;=1,"Du har brukt feil timesats. Administrasjonstimer koster 327,43 kr, montørtimer 640 kr.","Ikke riktig ennå. Budsjettpost = timer × timesats + utlegg. Sjekk at du har med både timene og utlegget.")))</f>
        <v>Skriv svaret i cellen E14.</v>
      </c>
      <c r="D29" s="26"/>
      <c r="E29" s="26"/>
      <c r="F29" s="26"/>
      <c r="G29" s="26"/>
    </row>
    <row r="30" customFormat="false" ht="36" hidden="false" customHeight="true" outlineLevel="0" collapsed="false">
      <c r="B30" s="0" t="s">
        <v>100</v>
      </c>
      <c r="C30" s="26" t="str">
        <f aca="false">IF(E15="","Skriv svaret i cellen E15.",IF(ABS(E15-(5*327.43+1900))&lt;=1,"Riktig.",IF(ABS(E15-(5*640+1900))&lt;=1,"Du har brukt feil timesats. Administrasjonstimer koster 327,43 kr, montørtimer 640 kr.",IF(ABS(E15-(1900))&lt;=1,"Du har skrevet bare utlegget. Egne timer er ikke gratis: legg til timer × timesats.",IF(ABS(E15-(5*327.43))&lt;=1,"Du har glemt utlegget.","Ikke riktig ennå. Budsjettpost = timer × timesats + utlegg. Sjekk at du har med både timene og utlegget.")))))</f>
        <v>Skriv svaret i cellen E15.</v>
      </c>
      <c r="D30" s="26"/>
      <c r="E30" s="26"/>
      <c r="F30" s="26"/>
      <c r="G30" s="26"/>
    </row>
    <row r="31" customFormat="false" ht="36" hidden="false" customHeight="true" outlineLevel="0" collapsed="false">
      <c r="B31" s="0" t="s">
        <v>101</v>
      </c>
      <c r="C31" s="26" t="str">
        <f aca="false">IF(E16="","Skriv svaret i cellen E16.",IF(ABS(E16-(6*327.43+0))&lt;=1,"Riktig.",IF(ABS(E16-(6*640+0))&lt;=1,"Du har brukt feil timesats. Administrasjonstimer koster 327,43 kr, montørtimer 640 kr.","Ikke riktig ennå. Budsjettpost = timer × timesats + utlegg. Sjekk at du har med både timene og utlegget.")))</f>
        <v>Skriv svaret i cellen E16.</v>
      </c>
      <c r="D31" s="26"/>
      <c r="E31" s="26"/>
      <c r="F31" s="26"/>
      <c r="G31" s="26"/>
    </row>
    <row r="32" customFormat="false" ht="36" hidden="false" customHeight="true" outlineLevel="0" collapsed="false">
      <c r="B32" s="0" t="s">
        <v>102</v>
      </c>
      <c r="C32" s="26" t="str">
        <f aca="false">IF(E17="","Skriv svaret i cellen E17.",IF(ABS(E17-(38.5*327.43+4000))&lt;=1,"Riktig.",IF(ABS(E17-(38.5*640+4000))&lt;=1,"Du har brukt feil timesats. Administrasjonstimer koster 327,43 kr, montørtimer 640 kr.",IF(ABS(E17-(4000))&lt;=1,"Du har skrevet bare utlegget. Egne timer er ikke gratis: legg til timer × timesats.",IF(ABS(E17-(38.5*327.43))&lt;=1,"Du har glemt utlegget.","Ikke riktig ennå. Budsjettpost = timer × timesats + utlegg. Sjekk at du har med både timene og utlegget.")))))</f>
        <v>Skriv svaret i cellen E17.</v>
      </c>
      <c r="D32" s="26"/>
      <c r="E32" s="26"/>
      <c r="F32" s="26"/>
      <c r="G32" s="26"/>
    </row>
    <row r="33" customFormat="false" ht="36" hidden="false" customHeight="true" outlineLevel="0" collapsed="false">
      <c r="B33" s="0" t="s">
        <v>103</v>
      </c>
      <c r="C33" s="26" t="str">
        <f aca="false">IF(E18="","Skriv svaret i cellen E18.",IF(ABS(E18-(4*327.43+0))&lt;=1,"Riktig.",IF(ABS(E18-(4*640+0))&lt;=1,"Du har brukt feil timesats. Administrasjonstimer koster 327,43 kr, montørtimer 640 kr.","Ikke riktig ennå. Budsjettpost = timer × timesats + utlegg. Sjekk at du har med både timene og utlegget.")))</f>
        <v>Skriv svaret i cellen E18.</v>
      </c>
      <c r="D33" s="26"/>
      <c r="E33" s="26"/>
      <c r="F33" s="26"/>
      <c r="G33" s="26"/>
    </row>
    <row r="34" customFormat="false" ht="36" hidden="false" customHeight="true" outlineLevel="0" collapsed="false">
      <c r="B34" s="0" t="s">
        <v>104</v>
      </c>
      <c r="C34" s="26" t="str">
        <f aca="false">IF(E19="","Skriv svaret i cellen E19.",IF(ABS(E19-(4*327.43+0))&lt;=1,"Riktig.",IF(ABS(E19-(4*640+0))&lt;=1,"Du har brukt feil timesats. Administrasjonstimer koster 327,43 kr, montørtimer 640 kr.","Ikke riktig ennå. Budsjettpost = timer × timesats + utlegg. Sjekk at du har med både timene og utlegget.")))</f>
        <v>Skriv svaret i cellen E19.</v>
      </c>
      <c r="D34" s="26"/>
      <c r="E34" s="26"/>
      <c r="F34" s="26"/>
      <c r="G34" s="26"/>
    </row>
    <row r="35" customFormat="false" ht="36" hidden="false" customHeight="true" outlineLevel="0" collapsed="false">
      <c r="B35" s="0" t="s">
        <v>105</v>
      </c>
      <c r="C35" s="26" t="str">
        <f aca="false">IF(E20="","Skriv svaret i cellen E20.",IF(ABS(E20-(4.5*327.43+0))&lt;=1,"Riktig.",IF(ABS(E20-(4.5*640+0))&lt;=1,"Du har brukt feil timesats. Administrasjonstimer koster 327,43 kr, montørtimer 640 kr.","Ikke riktig ennå. Budsjettpost = timer × timesats + utlegg. Sjekk at du har med både timene og utlegget.")))</f>
        <v>Skriv svaret i cellen E20.</v>
      </c>
      <c r="D35" s="26"/>
      <c r="E35" s="26"/>
      <c r="F35" s="26"/>
      <c r="G35" s="26"/>
    </row>
    <row r="36" customFormat="false" ht="36" hidden="false" customHeight="true" outlineLevel="0" collapsed="false">
      <c r="B36" s="0" t="s">
        <v>106</v>
      </c>
      <c r="C36" s="26" t="str">
        <f aca="false">IF(E21="","Skriv svaret i cellen E21.",IF(ABS(E21-(78*327.43+14*640+5900))&lt;=2,"Riktig.",IF(ABS(E21-(5900))&lt;=2,"Bare utleggene er med. Egne timer skal med i budsjettet, regnet med lønnskostnaden.",IF(ABS(E21-(78*327.43+5900))&lt;=2,"Montørtimene mangler: 14 × 640 = 8 960.","Ikke riktig ennå. Summen skal være linjene lagt sammen. Rett linjene som ikke er grønne, så stemmer summen."))))</f>
        <v>Ikke riktig ennå. Summen skal være linjene lagt sammen. Rett linjene som ikke er grønne, så stemmer summen.</v>
      </c>
      <c r="D36" s="26"/>
      <c r="E36" s="26"/>
      <c r="F36" s="26"/>
      <c r="G36" s="26"/>
    </row>
    <row r="38" customFormat="false" ht="43.5" hidden="false" customHeight="true" outlineLevel="0" collapsed="false">
      <c r="B38" s="15" t="s">
        <v>107</v>
      </c>
      <c r="C38" s="27"/>
      <c r="D38" s="19" t="s">
        <v>108</v>
      </c>
      <c r="G38" s="17" t="str">
        <f aca="false">IF(C38="","Skriv svaret i den gule cellen.",IF(ABS(C38-(40400/139200*100))&lt;=0.1,"Riktig.",IF(ABS(C38-(40400/3698440*100))&lt;=0.1,"Du har delt på hele omsetningen i fjor. Del på det ekstra dekningsbidraget, 139 200 kr.",IF(ABS(C38-(40400/744920*100))&lt;=0.1,"Du har delt på økningen i omsetning. Planen skal måles mot det ekstra dekningsbidraget, 139 200 kr.",IF(ABS(C38-(139200/40400*100))&lt;=0.1,"Du har delt motsatt vei. Det er planens sum som skal deles på dekningsbidraget.",IF(ABS(C38-(40400/139200))&lt;=0.1,"Du har skrevet brøken. Gang med 100 og svar i prosent.","Ikke riktig ennå. Se på regnestykket øverst på fanen, og sjekk at du har med alle leddene."))))))</f>
        <v>Skriv svaret i den gule cellen.</v>
      </c>
    </row>
    <row r="39" customFormat="false" ht="43.5" hidden="false" customHeight="true" outlineLevel="0" collapsed="false">
      <c r="B39" s="15" t="s">
        <v>109</v>
      </c>
      <c r="C39" s="18"/>
      <c r="D39" s="19" t="s">
        <v>58</v>
      </c>
      <c r="G39" s="17" t="str">
        <f aca="false">IF(C39="","Skriv svaret i den gule cellen.",IF(ABS(C39-(0.75*139200-40400))&lt;=2,"Riktig.",IF(ABS(C39-(139200-40400))&lt;=2,"Du har brukt hele målet. Nå nås bare 75 %: 0,75 × 139 200.",IF(ABS(C39-(0.75*139200))&lt;=2,"Du har glemt å trekke fra planens sum, 40 400.",IF(ABS(C39-(0.75*40400))&lt;=2,"Du har tatt 75 % av planen. Det er målene som nås 75 %, ikke kostnaden.",IF(ABS(C39-(40400-0.75*139200))&lt;=2,"Snu fortegnet: dekningsbidraget minus planen.","Ikke riktig ennå. Se på regnestykket øverst på fanen, og sjekk at du har med alle leddene."))))))</f>
        <v>Skriv svaret i den gule cellen.</v>
      </c>
    </row>
    <row r="41" customFormat="false" ht="15" hidden="false" customHeight="true" outlineLevel="0" collapsed="false">
      <c r="B41" s="8" t="s">
        <v>110</v>
      </c>
      <c r="C41" s="8"/>
      <c r="D41" s="8"/>
      <c r="E41" s="8"/>
      <c r="F41" s="8"/>
      <c r="G41" s="8"/>
    </row>
    <row r="42" customFormat="false" ht="39.75" hidden="false" customHeight="true" outlineLevel="0" collapsed="false">
      <c r="B42" s="15" t="s">
        <v>111</v>
      </c>
      <c r="C42" s="16"/>
      <c r="G42" s="17" t="str">
        <f aca="false">IF(C42="","Velg i nedtrekksmenyen.",IF(C42="Ja","Riktig. Uke, aktivitet, budsjett og ansvarlig: en linje i handlingsplanen (10.5, tabell 10.1).","Ikke riktig. Uke, aktivitet, budsjett og ansvarlig: en linje i handlingsplanen (10.5, tabell 10.1)."))</f>
        <v>Velg i nedtrekksmenyen.</v>
      </c>
    </row>
    <row r="43" customFormat="false" ht="39.75" hidden="false" customHeight="true" outlineLevel="0" collapsed="false">
      <c r="B43" s="15" t="s">
        <v>112</v>
      </c>
      <c r="C43" s="16"/>
      <c r="G43" s="17" t="str">
        <f aca="false">IF(C43="","Velg i nedtrekksmenyen.",IF(C43="Nei","Riktig. Målgruppevalget er punkt 4, markedsstrategien (10.4.1). Langsiktig, ikke en aktivitet i en uke.","Ikke riktig. Målgruppevalget er punkt 4, markedsstrategien (10.4.1). Langsiktig, ikke en aktivitet i en uke."))</f>
        <v>Velg i nedtrekksmenyen.</v>
      </c>
    </row>
    <row r="44" customFormat="false" ht="39.75" hidden="false" customHeight="true" outlineLevel="0" collapsed="false">
      <c r="B44" s="15" t="s">
        <v>113</v>
      </c>
      <c r="C44" s="16"/>
      <c r="G44" s="17" t="str">
        <f aca="false">IF(C44="","Velg i nedtrekksmenyen.",IF(C44="Nei","Riktig. Et ønske uten uke, budsjett eller navn. Ingen kan si om det ble gjort.","Ikke riktig. Et ønske uten uke, budsjett eller navn. Ingen kan si om det ble gjort."))</f>
        <v>Velg i nedtrekksmenyen.</v>
      </c>
    </row>
    <row r="45" customFormat="false" ht="39.75" hidden="false" customHeight="true" outlineLevel="0" collapsed="false">
      <c r="B45" s="15" t="s">
        <v>114</v>
      </c>
      <c r="C45" s="16"/>
      <c r="G45" s="17" t="str">
        <f aca="false">IF(C45="","Velg i nedtrekksmenyen.",IF(C45="Ja","Riktig. En milepæl med tall, tidspunkt, budsjett og ansvarlig, slik boka vil ha det (10.7).","Ikke riktig. En milepæl med tall, tidspunkt, budsjett og ansvarlig, slik boka vil ha det (10.7)."))</f>
        <v>Velg i nedtrekksmenyen.</v>
      </c>
    </row>
    <row r="46" customFormat="false" ht="39.75" hidden="false" customHeight="true" outlineLevel="0" collapsed="false">
      <c r="B46" s="15" t="s">
        <v>115</v>
      </c>
      <c r="C46" s="16"/>
      <c r="G46" s="17" t="str">
        <f aca="false">IF(C46="","Velg i nedtrekksmenyen.",IF(C46="Nei","Riktig. Det overordnede målet hører til punkt 1 (10.1), og det er ikke tallfestet.","Ikke riktig. Det overordnede målet hører til punkt 1 (10.1), og det er ikke tallfestet."))</f>
        <v>Velg i nedtrekksmenyen.</v>
      </c>
    </row>
    <row r="47" customFormat="false" ht="39.75" hidden="false" customHeight="true" outlineLevel="0" collapsed="false">
      <c r="B47" s="15" t="s">
        <v>116</v>
      </c>
      <c r="C47" s="16"/>
      <c r="G47" s="17" t="str">
        <f aca="false">IF(C47="","Velg i nedtrekksmenyen.",IF(C47="Ja","Riktig. Internt tiltak med uke, mål, budsjett og ansvarlig. Intern markedsføring før ekstern.","Ikke riktig. Internt tiltak med uke, mål, budsjett og ansvarlig. Intern markedsføring før ekstern."))</f>
        <v>Velg i nedtrekksmenyen.</v>
      </c>
    </row>
    <row r="49" customFormat="false" ht="30" hidden="false" customHeight="true" outlineLevel="0" collapsed="false">
      <c r="B49" s="9" t="s">
        <v>117</v>
      </c>
      <c r="C49" s="9"/>
      <c r="D49" s="9"/>
      <c r="E49" s="9"/>
      <c r="F49" s="9"/>
      <c r="G49" s="9"/>
    </row>
    <row r="50" customFormat="false" ht="21.75" hidden="false" customHeight="true" outlineLevel="0" collapsed="false">
      <c r="B50" s="20"/>
      <c r="C50" s="20"/>
      <c r="D50" s="20"/>
      <c r="E50" s="20"/>
      <c r="F50" s="20"/>
      <c r="G50" s="20"/>
    </row>
    <row r="51" customFormat="false" ht="21.75" hidden="false" customHeight="true" outlineLevel="0" collapsed="false">
      <c r="B51" s="20"/>
      <c r="C51" s="20"/>
      <c r="D51" s="20"/>
      <c r="E51" s="20"/>
      <c r="F51" s="20"/>
      <c r="G51" s="20"/>
    </row>
    <row r="52" customFormat="false" ht="21.75" hidden="false" customHeight="true" outlineLevel="0" collapsed="false">
      <c r="B52" s="20"/>
      <c r="C52" s="20"/>
      <c r="D52" s="20"/>
      <c r="E52" s="20"/>
      <c r="F52" s="20"/>
      <c r="G52" s="20"/>
    </row>
    <row r="53" customFormat="false" ht="39.75" hidden="false" customHeight="true" outlineLevel="0" collapsed="false">
      <c r="B53" s="21" t="str">
        <f aca="false">IF(LEN(B50)&lt;40,"",IF(AND(ISNUMBER(SEARCH("intern",B50)),ISNUMBER(SEARCH("milepæl",B50))),"Bra: du har med både intern markedsføring før ekstern og milepælen som viser avvik i tide. Si gjerne også at 10 270 kr er 7,4 % av de 139 200 kronene som står på spill.",IF(OR(ISNUMBER(SEARCH("intern",B50)),ISNUMBER(SEARCH("milepæl",B50))),"Du har med noe av det. Oppstartsmøtet er intern markedsføring før den eksterne, og underveisevalueringen er milepælen som gjør at resultatet ikke kommer som en overraskelse.","Tips: oppstartsmøtet er intern markedsføring før ekstern; montørene som møter beboerne, må kjenne kampanjen før brevet går. Underveisevalueringen er milepælen som viser avvik mens det er tid til å justere. 10 270 kr er 7,4 % av de 139 200 kronene målene gir.")))</f>
        <v/>
      </c>
      <c r="C53" s="21"/>
      <c r="D53" s="21"/>
      <c r="E53" s="21"/>
      <c r="F53" s="21"/>
      <c r="G53" s="21"/>
    </row>
    <row r="54" customFormat="false" ht="15" hidden="false" customHeight="false" outlineLevel="0" collapsed="false">
      <c r="B54" s="22" t="s">
        <v>72</v>
      </c>
      <c r="C54" s="16"/>
    </row>
    <row r="55" customFormat="false" ht="45" hidden="false" customHeight="true" outlineLevel="0" collapsed="false">
      <c r="B55" s="23" t="str">
        <f aca="false">IF(C54="JA","Hint: Hver linje: timer × 327,43 (montørtimer × 640) + utlegg. Brevet: 5 × 327,43 + 1 900 = 3 537. Styrebesøkene: 38,5 × 327,43 + 4 000 = 16 606. Oppstartsmøtet: 14 × 640 = 8 960. Summen er 40 400. a: 40 400 / 139 200 = 29,0 %. b: 0,75 × 139 200 − 40 400 = 64 000.","")</f>
        <v/>
      </c>
      <c r="C55" s="23"/>
      <c r="D55" s="23"/>
      <c r="E55" s="23"/>
      <c r="F55" s="23"/>
      <c r="G55" s="23"/>
    </row>
    <row r="57" customFormat="false" ht="30" hidden="false" customHeight="true" outlineLevel="0" collapsed="false">
      <c r="B57" s="7" t="s">
        <v>73</v>
      </c>
      <c r="C57" s="7"/>
      <c r="D57" s="7"/>
      <c r="E57" s="7"/>
      <c r="F57" s="7"/>
      <c r="G57" s="7"/>
    </row>
  </sheetData>
  <mergeCells count="27">
    <mergeCell ref="B2:G2"/>
    <mergeCell ref="B3:G3"/>
    <mergeCell ref="B4:G4"/>
    <mergeCell ref="B5:G5"/>
    <mergeCell ref="B6:G6"/>
    <mergeCell ref="B7:G7"/>
    <mergeCell ref="B9:G9"/>
    <mergeCell ref="B10:G10"/>
    <mergeCell ref="B23:G23"/>
    <mergeCell ref="B24:G24"/>
    <mergeCell ref="B26:G26"/>
    <mergeCell ref="C27:G27"/>
    <mergeCell ref="C28:G28"/>
    <mergeCell ref="C29:G29"/>
    <mergeCell ref="C30:G30"/>
    <mergeCell ref="C31:G31"/>
    <mergeCell ref="C32:G32"/>
    <mergeCell ref="C33:G33"/>
    <mergeCell ref="C34:G34"/>
    <mergeCell ref="C35:G35"/>
    <mergeCell ref="C36:G36"/>
    <mergeCell ref="B41:G41"/>
    <mergeCell ref="B49:G49"/>
    <mergeCell ref="B50:G52"/>
    <mergeCell ref="B53:G53"/>
    <mergeCell ref="B55:G55"/>
    <mergeCell ref="B57:G57"/>
  </mergeCells>
  <conditionalFormatting sqref="C27">
    <cfRule type="expression" priority="2" aboveAverage="0" equalAverage="0" bottom="0" percent="0" rank="0" text="" dxfId="0">
      <formula>LEFT(C27,6)="Riktig"</formula>
    </cfRule>
    <cfRule type="expression" priority="3" aboveAverage="0" equalAverage="0" bottom="0" percent="0" rank="0" text="" dxfId="1">
      <formula>AND(C27&lt;&gt;"",LEFT(C27,6)&lt;&gt;"Riktig",LEFT(C27,5)&lt;&gt;"Skriv")</formula>
    </cfRule>
  </conditionalFormatting>
  <conditionalFormatting sqref="C28">
    <cfRule type="expression" priority="4" aboveAverage="0" equalAverage="0" bottom="0" percent="0" rank="0" text="" dxfId="0">
      <formula>LEFT(C28,6)="Riktig"</formula>
    </cfRule>
    <cfRule type="expression" priority="5" aboveAverage="0" equalAverage="0" bottom="0" percent="0" rank="0" text="" dxfId="1">
      <formula>AND(C28&lt;&gt;"",LEFT(C28,6)&lt;&gt;"Riktig",LEFT(C28,5)&lt;&gt;"Skriv")</formula>
    </cfRule>
  </conditionalFormatting>
  <conditionalFormatting sqref="C29">
    <cfRule type="expression" priority="6" aboveAverage="0" equalAverage="0" bottom="0" percent="0" rank="0" text="" dxfId="0">
      <formula>LEFT(C29,6)="Riktig"</formula>
    </cfRule>
    <cfRule type="expression" priority="7" aboveAverage="0" equalAverage="0" bottom="0" percent="0" rank="0" text="" dxfId="1">
      <formula>AND(C29&lt;&gt;"",LEFT(C29,6)&lt;&gt;"Riktig",LEFT(C29,5)&lt;&gt;"Skriv")</formula>
    </cfRule>
  </conditionalFormatting>
  <conditionalFormatting sqref="C30">
    <cfRule type="expression" priority="8" aboveAverage="0" equalAverage="0" bottom="0" percent="0" rank="0" text="" dxfId="0">
      <formula>LEFT(C30,6)="Riktig"</formula>
    </cfRule>
    <cfRule type="expression" priority="9" aboveAverage="0" equalAverage="0" bottom="0" percent="0" rank="0" text="" dxfId="1">
      <formula>AND(C30&lt;&gt;"",LEFT(C30,6)&lt;&gt;"Riktig",LEFT(C30,5)&lt;&gt;"Skriv")</formula>
    </cfRule>
  </conditionalFormatting>
  <conditionalFormatting sqref="C31">
    <cfRule type="expression" priority="10" aboveAverage="0" equalAverage="0" bottom="0" percent="0" rank="0" text="" dxfId="0">
      <formula>LEFT(C31,6)="Riktig"</formula>
    </cfRule>
    <cfRule type="expression" priority="11" aboveAverage="0" equalAverage="0" bottom="0" percent="0" rank="0" text="" dxfId="1">
      <formula>AND(C31&lt;&gt;"",LEFT(C31,6)&lt;&gt;"Riktig",LEFT(C31,5)&lt;&gt;"Skriv")</formula>
    </cfRule>
  </conditionalFormatting>
  <conditionalFormatting sqref="C32">
    <cfRule type="expression" priority="12" aboveAverage="0" equalAverage="0" bottom="0" percent="0" rank="0" text="" dxfId="0">
      <formula>LEFT(C32,6)="Riktig"</formula>
    </cfRule>
    <cfRule type="expression" priority="13" aboveAverage="0" equalAverage="0" bottom="0" percent="0" rank="0" text="" dxfId="1">
      <formula>AND(C32&lt;&gt;"",LEFT(C32,6)&lt;&gt;"Riktig",LEFT(C32,5)&lt;&gt;"Skriv")</formula>
    </cfRule>
  </conditionalFormatting>
  <conditionalFormatting sqref="C33">
    <cfRule type="expression" priority="14" aboveAverage="0" equalAverage="0" bottom="0" percent="0" rank="0" text="" dxfId="0">
      <formula>LEFT(C33,6)="Riktig"</formula>
    </cfRule>
    <cfRule type="expression" priority="15" aboveAverage="0" equalAverage="0" bottom="0" percent="0" rank="0" text="" dxfId="1">
      <formula>AND(C33&lt;&gt;"",LEFT(C33,6)&lt;&gt;"Riktig",LEFT(C33,5)&lt;&gt;"Skriv")</formula>
    </cfRule>
  </conditionalFormatting>
  <conditionalFormatting sqref="C34">
    <cfRule type="expression" priority="16" aboveAverage="0" equalAverage="0" bottom="0" percent="0" rank="0" text="" dxfId="0">
      <formula>LEFT(C34,6)="Riktig"</formula>
    </cfRule>
    <cfRule type="expression" priority="17" aboveAverage="0" equalAverage="0" bottom="0" percent="0" rank="0" text="" dxfId="1">
      <formula>AND(C34&lt;&gt;"",LEFT(C34,6)&lt;&gt;"Riktig",LEFT(C34,5)&lt;&gt;"Skriv")</formula>
    </cfRule>
  </conditionalFormatting>
  <conditionalFormatting sqref="C35">
    <cfRule type="expression" priority="18" aboveAverage="0" equalAverage="0" bottom="0" percent="0" rank="0" text="" dxfId="0">
      <formula>LEFT(C35,6)="Riktig"</formula>
    </cfRule>
    <cfRule type="expression" priority="19" aboveAverage="0" equalAverage="0" bottom="0" percent="0" rank="0" text="" dxfId="1">
      <formula>AND(C35&lt;&gt;"",LEFT(C35,6)&lt;&gt;"Riktig",LEFT(C35,5)&lt;&gt;"Skriv")</formula>
    </cfRule>
  </conditionalFormatting>
  <conditionalFormatting sqref="C36">
    <cfRule type="expression" priority="20" aboveAverage="0" equalAverage="0" bottom="0" percent="0" rank="0" text="" dxfId="0">
      <formula>LEFT(C36,6)="Riktig"</formula>
    </cfRule>
    <cfRule type="expression" priority="21" aboveAverage="0" equalAverage="0" bottom="0" percent="0" rank="0" text="" dxfId="1">
      <formula>AND(C36&lt;&gt;"",LEFT(C36,6)&lt;&gt;"Riktig",LEFT(C36,5)&lt;&gt;"Skriv")</formula>
    </cfRule>
  </conditionalFormatting>
  <conditionalFormatting sqref="G38">
    <cfRule type="expression" priority="22" aboveAverage="0" equalAverage="0" bottom="0" percent="0" rank="0" text="" dxfId="0">
      <formula>LEFT(G38,6)="Riktig"</formula>
    </cfRule>
    <cfRule type="expression" priority="23" aboveAverage="0" equalAverage="0" bottom="0" percent="0" rank="0" text="" dxfId="1">
      <formula>AND(G38&lt;&gt;"",LEFT(G38,6)&lt;&gt;"Riktig",LEFT(G38,5)&lt;&gt;"Skriv")</formula>
    </cfRule>
  </conditionalFormatting>
  <conditionalFormatting sqref="G39">
    <cfRule type="expression" priority="24" aboveAverage="0" equalAverage="0" bottom="0" percent="0" rank="0" text="" dxfId="0">
      <formula>LEFT(G39,6)="Riktig"</formula>
    </cfRule>
    <cfRule type="expression" priority="25" aboveAverage="0" equalAverage="0" bottom="0" percent="0" rank="0" text="" dxfId="1">
      <formula>AND(G39&lt;&gt;"",LEFT(G39,6)&lt;&gt;"Riktig",LEFT(G39,5)&lt;&gt;"Skriv")</formula>
    </cfRule>
  </conditionalFormatting>
  <conditionalFormatting sqref="G42">
    <cfRule type="expression" priority="26" aboveAverage="0" equalAverage="0" bottom="0" percent="0" rank="0" text="" dxfId="0">
      <formula>LEFT(G42,6)="Riktig"</formula>
    </cfRule>
    <cfRule type="expression" priority="27" aboveAverage="0" equalAverage="0" bottom="0" percent="0" rank="0" text="" dxfId="1">
      <formula>LEFT(G42,4)="Ikke"</formula>
    </cfRule>
  </conditionalFormatting>
  <conditionalFormatting sqref="G43">
    <cfRule type="expression" priority="28" aboveAverage="0" equalAverage="0" bottom="0" percent="0" rank="0" text="" dxfId="0">
      <formula>LEFT(G43,6)="Riktig"</formula>
    </cfRule>
    <cfRule type="expression" priority="29" aboveAverage="0" equalAverage="0" bottom="0" percent="0" rank="0" text="" dxfId="1">
      <formula>LEFT(G43,4)="Ikke"</formula>
    </cfRule>
  </conditionalFormatting>
  <conditionalFormatting sqref="G44">
    <cfRule type="expression" priority="30" aboveAverage="0" equalAverage="0" bottom="0" percent="0" rank="0" text="" dxfId="0">
      <formula>LEFT(G44,6)="Riktig"</formula>
    </cfRule>
    <cfRule type="expression" priority="31" aboveAverage="0" equalAverage="0" bottom="0" percent="0" rank="0" text="" dxfId="1">
      <formula>LEFT(G44,4)="Ikke"</formula>
    </cfRule>
  </conditionalFormatting>
  <conditionalFormatting sqref="G45">
    <cfRule type="expression" priority="32" aboveAverage="0" equalAverage="0" bottom="0" percent="0" rank="0" text="" dxfId="0">
      <formula>LEFT(G45,6)="Riktig"</formula>
    </cfRule>
    <cfRule type="expression" priority="33" aboveAverage="0" equalAverage="0" bottom="0" percent="0" rank="0" text="" dxfId="1">
      <formula>LEFT(G45,4)="Ikke"</formula>
    </cfRule>
  </conditionalFormatting>
  <conditionalFormatting sqref="G46">
    <cfRule type="expression" priority="34" aboveAverage="0" equalAverage="0" bottom="0" percent="0" rank="0" text="" dxfId="0">
      <formula>LEFT(G46,6)="Riktig"</formula>
    </cfRule>
    <cfRule type="expression" priority="35" aboveAverage="0" equalAverage="0" bottom="0" percent="0" rank="0" text="" dxfId="1">
      <formula>LEFT(G46,4)="Ikke"</formula>
    </cfRule>
  </conditionalFormatting>
  <conditionalFormatting sqref="G47">
    <cfRule type="expression" priority="36" aboveAverage="0" equalAverage="0" bottom="0" percent="0" rank="0" text="" dxfId="0">
      <formula>LEFT(G47,6)="Riktig"</formula>
    </cfRule>
    <cfRule type="expression" priority="37" aboveAverage="0" equalAverage="0" bottom="0" percent="0" rank="0" text="" dxfId="1">
      <formula>LEFT(G47,4)="Ikke"</formula>
    </cfRule>
  </conditionalFormatting>
  <dataValidations count="7">
    <dataValidation allowBlank="true" errorStyle="stop" operator="between" showDropDown="false" showErrorMessage="false" showInputMessage="false" sqref="C42" type="list">
      <formula1>$Z$1:$Z$2</formula1>
      <formula2>0</formula2>
    </dataValidation>
    <dataValidation allowBlank="true" errorStyle="stop" operator="between" showDropDown="false" showErrorMessage="false" showInputMessage="false" sqref="C43" type="list">
      <formula1>$Z$3:$Z$4</formula1>
      <formula2>0</formula2>
    </dataValidation>
    <dataValidation allowBlank="true" errorStyle="stop" operator="between" showDropDown="false" showErrorMessage="false" showInputMessage="false" sqref="C44" type="list">
      <formula1>$Z$5:$Z$6</formula1>
      <formula2>0</formula2>
    </dataValidation>
    <dataValidation allowBlank="true" errorStyle="stop" operator="between" showDropDown="false" showErrorMessage="false" showInputMessage="false" sqref="C45" type="list">
      <formula1>$Z$7:$Z$8</formula1>
      <formula2>0</formula2>
    </dataValidation>
    <dataValidation allowBlank="true" errorStyle="stop" operator="between" showDropDown="false" showErrorMessage="false" showInputMessage="false" sqref="C46" type="list">
      <formula1>$Z$9:$Z$10</formula1>
      <formula2>0</formula2>
    </dataValidation>
    <dataValidation allowBlank="true" errorStyle="stop" operator="between" showDropDown="false" showErrorMessage="false" showInputMessage="false" sqref="C47" type="list">
      <formula1>$Z$11:$Z$12</formula1>
      <formula2>0</formula2>
    </dataValidation>
    <dataValidation allowBlank="true" errorStyle="stop" operator="between" showDropDown="false" showErrorMessage="false" showInputMessage="false" sqref="C54"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Z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5" min="3" style="0" width="16"/>
    <col collapsed="false" customWidth="true" hidden="false" outlineLevel="0" max="6" min="6" style="0" width="3"/>
    <col collapsed="false" customWidth="true" hidden="false" outlineLevel="0" max="7" min="7" style="0" width="56"/>
    <col collapsed="false" customWidth="true" hidden="true" outlineLevel="0" max="26" min="26" style="0" width="13"/>
  </cols>
  <sheetData>
    <row r="1" customFormat="false" ht="15" hidden="false" customHeight="false" outlineLevel="0" collapsed="false">
      <c r="Z1" s="0" t="s">
        <v>19</v>
      </c>
    </row>
    <row r="2" customFormat="false" ht="25.5" hidden="false" customHeight="true" outlineLevel="0" collapsed="false">
      <c r="B2" s="5" t="s">
        <v>118</v>
      </c>
      <c r="C2" s="5"/>
      <c r="D2" s="5"/>
      <c r="E2" s="5"/>
      <c r="F2" s="5"/>
      <c r="G2" s="5"/>
      <c r="Z2" s="6" t="s">
        <v>21</v>
      </c>
    </row>
    <row r="3" customFormat="false" ht="15" hidden="false" customHeight="true" outlineLevel="0" collapsed="false">
      <c r="B3" s="7" t="s">
        <v>16</v>
      </c>
      <c r="C3" s="7"/>
      <c r="D3" s="7"/>
      <c r="E3" s="7"/>
      <c r="F3" s="7"/>
      <c r="G3" s="7"/>
      <c r="Z3" s="6" t="s">
        <v>23</v>
      </c>
    </row>
    <row r="4" customFormat="false" ht="15.75" hidden="false" customHeight="true" outlineLevel="0" collapsed="false">
      <c r="B4" s="8" t="s">
        <v>18</v>
      </c>
      <c r="C4" s="8"/>
      <c r="D4" s="8"/>
      <c r="E4" s="8"/>
      <c r="F4" s="8"/>
      <c r="G4" s="8"/>
      <c r="Z4" s="6" t="s">
        <v>25</v>
      </c>
    </row>
    <row r="5" customFormat="false" ht="30" hidden="false" customHeight="true" outlineLevel="0" collapsed="false">
      <c r="B5" s="9" t="s">
        <v>119</v>
      </c>
      <c r="C5" s="9"/>
      <c r="D5" s="9"/>
      <c r="E5" s="9"/>
      <c r="F5" s="9"/>
      <c r="G5" s="9"/>
      <c r="Z5" s="6" t="s">
        <v>120</v>
      </c>
    </row>
    <row r="6" customFormat="false" ht="15.75" hidden="false" customHeight="true" outlineLevel="0" collapsed="false">
      <c r="B6" s="8" t="s">
        <v>22</v>
      </c>
      <c r="C6" s="8"/>
      <c r="D6" s="8"/>
      <c r="E6" s="8"/>
      <c r="F6" s="8"/>
      <c r="G6" s="8"/>
      <c r="Z6" s="6" t="s">
        <v>121</v>
      </c>
    </row>
    <row r="7" customFormat="false" ht="45" hidden="false" customHeight="true" outlineLevel="0" collapsed="false">
      <c r="B7" s="9" t="s">
        <v>122</v>
      </c>
      <c r="C7" s="9"/>
      <c r="D7" s="9"/>
      <c r="E7" s="9"/>
      <c r="F7" s="9"/>
      <c r="G7" s="9"/>
      <c r="Z7" s="6" t="s">
        <v>123</v>
      </c>
    </row>
    <row r="8" customFormat="false" ht="15" hidden="false" customHeight="false" outlineLevel="0" collapsed="false">
      <c r="Z8" s="0" t="s">
        <v>124</v>
      </c>
    </row>
    <row r="9" customFormat="false" ht="15.75" hidden="false" customHeight="true" outlineLevel="0" collapsed="false">
      <c r="B9" s="8" t="s">
        <v>125</v>
      </c>
      <c r="C9" s="8"/>
      <c r="D9" s="8"/>
      <c r="E9" s="8"/>
      <c r="F9" s="8"/>
      <c r="G9" s="8"/>
      <c r="Z9" s="6" t="s">
        <v>126</v>
      </c>
    </row>
    <row r="10" customFormat="false" ht="75" hidden="false" customHeight="true" outlineLevel="0" collapsed="false">
      <c r="B10" s="9" t="s">
        <v>127</v>
      </c>
      <c r="C10" s="9"/>
      <c r="D10" s="9"/>
      <c r="E10" s="9"/>
      <c r="F10" s="9"/>
      <c r="G10" s="9"/>
      <c r="Z10" s="6" t="s">
        <v>120</v>
      </c>
    </row>
    <row r="11" customFormat="false" ht="15" hidden="false" customHeight="false" outlineLevel="0" collapsed="false">
      <c r="Z11" s="0" t="s">
        <v>121</v>
      </c>
    </row>
    <row r="12" customFormat="false" ht="15.75" hidden="false" customHeight="true" outlineLevel="0" collapsed="false">
      <c r="B12" s="8" t="s">
        <v>41</v>
      </c>
      <c r="C12" s="8"/>
      <c r="D12" s="8"/>
      <c r="E12" s="8"/>
      <c r="F12" s="8"/>
      <c r="G12" s="8"/>
      <c r="Z12" s="6" t="s">
        <v>123</v>
      </c>
    </row>
    <row r="13" customFormat="false" ht="75" hidden="false" customHeight="true" outlineLevel="0" collapsed="false">
      <c r="B13" s="9" t="s">
        <v>128</v>
      </c>
      <c r="C13" s="9"/>
      <c r="D13" s="9"/>
      <c r="E13" s="9"/>
      <c r="F13" s="9"/>
      <c r="G13" s="9"/>
      <c r="Z13" s="6" t="s">
        <v>124</v>
      </c>
    </row>
    <row r="14" customFormat="false" ht="15" hidden="false" customHeight="false" outlineLevel="0" collapsed="false">
      <c r="Z14" s="0" t="s">
        <v>126</v>
      </c>
    </row>
    <row r="15" customFormat="false" ht="15" hidden="false" customHeight="true" outlineLevel="0" collapsed="false">
      <c r="B15" s="8" t="s">
        <v>129</v>
      </c>
      <c r="C15" s="8"/>
      <c r="D15" s="8"/>
      <c r="E15" s="8"/>
      <c r="F15" s="8"/>
      <c r="G15" s="8"/>
      <c r="Z15" s="6" t="s">
        <v>120</v>
      </c>
    </row>
    <row r="16" customFormat="false" ht="15" hidden="false" customHeight="true" outlineLevel="0" collapsed="false">
      <c r="B16" s="9" t="s">
        <v>130</v>
      </c>
      <c r="C16" s="9"/>
      <c r="D16" s="9"/>
      <c r="E16" s="9"/>
      <c r="F16" s="9"/>
      <c r="G16" s="9"/>
      <c r="Z16" s="6" t="s">
        <v>121</v>
      </c>
    </row>
    <row r="17" customFormat="false" ht="21.75" hidden="false" customHeight="true" outlineLevel="0" collapsed="false">
      <c r="B17" s="20"/>
      <c r="C17" s="20"/>
      <c r="D17" s="20"/>
      <c r="E17" s="20"/>
      <c r="F17" s="20"/>
      <c r="G17" s="20"/>
      <c r="Z17" s="6" t="s">
        <v>123</v>
      </c>
    </row>
    <row r="18" customFormat="false" ht="21.75" hidden="false" customHeight="true" outlineLevel="0" collapsed="false">
      <c r="B18" s="20"/>
      <c r="C18" s="20"/>
      <c r="D18" s="20"/>
      <c r="E18" s="20"/>
      <c r="F18" s="20"/>
      <c r="G18" s="20"/>
      <c r="Z18" s="6" t="s">
        <v>124</v>
      </c>
    </row>
    <row r="19" customFormat="false" ht="39.75" hidden="false" customHeight="true" outlineLevel="0" collapsed="false">
      <c r="B19" s="21" t="str">
        <f aca="false">IF(LEN(B17)&lt;40,"",IF(AND(ISNUMBER(SEARCH("Oslo øst",B17)),ISNUMBER(SEARCH("montør",B17))),"Bra: produkt, marked (Oslo øst) og særpreget (samme montør etterpå) er med.",IF(OR(ISNUMBER(SEARCH("Oslo øst",B17)),ISNUMBER(SEARCH("montør",B17))),"Du har med noe. Forretningsidéen skal si produkt, marked og særpreg (10.1): solcelleanlegg og ladepunkt, boliger og borettslag i Oslo øst, samme montør på service etterpå.","Tips: «Nordlys leverer solcelleanlegg og ladepunkt til boliger, borettslag og sameier i Oslo øst, med samme montør på service etterpå som på montasjen.»")))</f>
        <v/>
      </c>
      <c r="C19" s="21"/>
      <c r="D19" s="21"/>
      <c r="E19" s="21"/>
      <c r="F19" s="21"/>
      <c r="G19" s="21"/>
      <c r="Z19" s="6" t="s">
        <v>126</v>
      </c>
    </row>
    <row r="20" customFormat="false" ht="39.75" hidden="false" customHeight="true" outlineLevel="0" collapsed="false">
      <c r="B20" s="15" t="s">
        <v>131</v>
      </c>
      <c r="C20" s="16"/>
      <c r="G20" s="17" t="str">
        <f aca="false">IF(C20="","Velg i nedtrekksmenyen.",IF(C20="Markedsutvikling","Riktig. Samme anlegg til en ny kundegruppe, borettslagene (10.1).","Ikke riktig. Samme anlegg til en ny kundegruppe, borettslagene (10.1)."))</f>
        <v>Velg i nedtrekksmenyen.</v>
      </c>
      <c r="Z20" s="6" t="s">
        <v>120</v>
      </c>
    </row>
    <row r="21" customFormat="false" ht="15" hidden="false" customHeight="false" outlineLevel="0" collapsed="false">
      <c r="Z21" s="0" t="s">
        <v>121</v>
      </c>
    </row>
    <row r="22" customFormat="false" ht="15" hidden="false" customHeight="true" outlineLevel="0" collapsed="false">
      <c r="B22" s="8" t="s">
        <v>132</v>
      </c>
      <c r="C22" s="8"/>
      <c r="D22" s="8"/>
      <c r="E22" s="8"/>
      <c r="F22" s="8"/>
      <c r="G22" s="8"/>
      <c r="Z22" s="6" t="s">
        <v>123</v>
      </c>
    </row>
    <row r="23" customFormat="false" ht="15" hidden="false" customHeight="true" outlineLevel="0" collapsed="false">
      <c r="B23" s="9" t="s">
        <v>133</v>
      </c>
      <c r="C23" s="9"/>
      <c r="D23" s="9"/>
      <c r="E23" s="9"/>
      <c r="F23" s="9"/>
      <c r="G23" s="9"/>
      <c r="Z23" s="6" t="s">
        <v>124</v>
      </c>
    </row>
    <row r="24" customFormat="false" ht="21.75" hidden="false" customHeight="true" outlineLevel="0" collapsed="false">
      <c r="B24" s="20"/>
      <c r="C24" s="20"/>
      <c r="D24" s="20"/>
      <c r="E24" s="20"/>
      <c r="F24" s="20"/>
      <c r="G24" s="20"/>
      <c r="Z24" s="6" t="s">
        <v>126</v>
      </c>
    </row>
    <row r="25" customFormat="false" ht="21.75" hidden="false" customHeight="true" outlineLevel="0" collapsed="false">
      <c r="B25" s="20"/>
      <c r="C25" s="20"/>
      <c r="D25" s="20"/>
      <c r="E25" s="20"/>
      <c r="F25" s="20"/>
      <c r="G25" s="20"/>
      <c r="Z25" s="6" t="s">
        <v>120</v>
      </c>
    </row>
    <row r="26" customFormat="false" ht="39.75" hidden="false" customHeight="true" outlineLevel="0" collapsed="false">
      <c r="B26" s="21" t="str">
        <f aca="false">IF(LEN(B24)&lt;40,"",IF(AND(ISNUMBER(SEARCH("montør",B24)),ISNUMBER(SEARCH("installatør",B24))),"Bra: 12 montører og installatøren er med.",IF(OR(ISNUMBER(SEARCH("montør",B24)),ISNUMBER(SEARCH("installatør",B24))),"Du har med noe. Interne sterke sider er det Nordlys selv rår over: 12 montører, Kari er installatør, kan love samme montør etterpå.","Tips: 12 montører, og Kari er installatør. Nordlys kan love samme montør på service etterpå.")))</f>
        <v/>
      </c>
      <c r="C26" s="21"/>
      <c r="D26" s="21"/>
      <c r="E26" s="21"/>
      <c r="F26" s="21"/>
      <c r="G26" s="21"/>
      <c r="Z26" s="6" t="s">
        <v>121</v>
      </c>
    </row>
    <row r="27" customFormat="false" ht="15" hidden="false" customHeight="true" outlineLevel="0" collapsed="false">
      <c r="B27" s="9" t="s">
        <v>134</v>
      </c>
      <c r="C27" s="9"/>
      <c r="D27" s="9"/>
      <c r="E27" s="9"/>
      <c r="F27" s="9"/>
      <c r="G27" s="9"/>
      <c r="Z27" s="6" t="s">
        <v>123</v>
      </c>
    </row>
    <row r="28" customFormat="false" ht="21.75" hidden="false" customHeight="true" outlineLevel="0" collapsed="false">
      <c r="B28" s="20"/>
      <c r="C28" s="20"/>
      <c r="D28" s="20"/>
      <c r="E28" s="20"/>
      <c r="F28" s="20"/>
      <c r="G28" s="20"/>
      <c r="Z28" s="6" t="s">
        <v>124</v>
      </c>
    </row>
    <row r="29" customFormat="false" ht="21.75" hidden="false" customHeight="true" outlineLevel="0" collapsed="false">
      <c r="B29" s="20"/>
      <c r="C29" s="20"/>
      <c r="D29" s="20"/>
      <c r="E29" s="20"/>
      <c r="F29" s="20"/>
      <c r="G29" s="20"/>
      <c r="Z29" s="6" t="s">
        <v>126</v>
      </c>
    </row>
    <row r="30" customFormat="false" ht="39.75" hidden="false" customHeight="true" outlineLevel="0" collapsed="false">
      <c r="B30" s="21" t="str">
        <f aca="false">IF(LEN(B28)&lt;40,"",IF(AND(ISNUMBER(SEARCH("leder",B28)),ISNUMBER(SEARCH("annonse",B28))),"Bra: ingen egen leder og aldri kjøpt annonse er med.",IF(OR(ISNUMBER(SEARCH("leder",B28)),ISNUMBER(SEARCH("annonse",B28))),"Du har med noe. De to svake sidene er at avdelingen ikke har egen leder, og at Nordlys aldri har kjøpt en annonse.","Tips: avdelingen har ingen egen leder, og Nordlys har aldri kjøpt en annonse.")))</f>
        <v/>
      </c>
      <c r="C30" s="21"/>
      <c r="D30" s="21"/>
      <c r="E30" s="21"/>
      <c r="F30" s="21"/>
      <c r="G30" s="21"/>
      <c r="Z30" s="6" t="s">
        <v>135</v>
      </c>
    </row>
    <row r="31" customFormat="false" ht="15" hidden="false" customHeight="true" outlineLevel="0" collapsed="false">
      <c r="B31" s="9" t="s">
        <v>136</v>
      </c>
      <c r="C31" s="9"/>
      <c r="D31" s="9"/>
      <c r="E31" s="9"/>
      <c r="F31" s="9"/>
      <c r="G31" s="9"/>
      <c r="Z31" s="6" t="s">
        <v>137</v>
      </c>
    </row>
    <row r="32" customFormat="false" ht="21.75" hidden="false" customHeight="true" outlineLevel="0" collapsed="false">
      <c r="B32" s="20"/>
      <c r="C32" s="20"/>
      <c r="D32" s="20"/>
      <c r="E32" s="20"/>
      <c r="F32" s="20"/>
      <c r="G32" s="20"/>
      <c r="Z32" s="6" t="s">
        <v>138</v>
      </c>
    </row>
    <row r="33" customFormat="false" ht="21.75" hidden="false" customHeight="true" outlineLevel="0" collapsed="false">
      <c r="B33" s="20"/>
      <c r="C33" s="20"/>
      <c r="D33" s="20"/>
      <c r="E33" s="20"/>
      <c r="F33" s="20"/>
      <c r="G33" s="20"/>
      <c r="Z33" s="6" t="s">
        <v>139</v>
      </c>
    </row>
    <row r="34" customFormat="false" ht="39.75" hidden="false" customHeight="true" outlineLevel="0" collapsed="false">
      <c r="B34" s="21" t="str">
        <f aca="false">IF(LEN(B32)&lt;40,"",IF(AND(ISNUMBER(SEARCH("elbil",B32)),ISNUMBER(SEARCH("90",B32))),"Bra: elbilandelen på over 90 % er med.",IF(OR(ISNUMBER(SEARCH("elbil",B32)),ISNUMBER(SEARCH("90",B32))),"Du har med noe. Muligheten er at over 90 % av nye biler er elbiler: ladepunkt er et modent volummarked.","Tips: over 90 % av nye biler i 2025 var elbiler (Opplysningsrådet for veitrafikken). Ladepunkt er et modent volummarked.")))</f>
        <v/>
      </c>
      <c r="C34" s="21"/>
      <c r="D34" s="21"/>
      <c r="E34" s="21"/>
      <c r="F34" s="21"/>
      <c r="G34" s="21"/>
      <c r="Z34" s="6" t="s">
        <v>140</v>
      </c>
    </row>
    <row r="35" customFormat="false" ht="15" hidden="false" customHeight="true" outlineLevel="0" collapsed="false">
      <c r="B35" s="9" t="s">
        <v>141</v>
      </c>
      <c r="C35" s="9"/>
      <c r="D35" s="9"/>
      <c r="E35" s="9"/>
      <c r="F35" s="9"/>
      <c r="G35" s="9"/>
      <c r="Z35" s="6" t="s">
        <v>142</v>
      </c>
    </row>
    <row r="36" customFormat="false" ht="21.75" hidden="false" customHeight="true" outlineLevel="0" collapsed="false">
      <c r="B36" s="20"/>
      <c r="C36" s="20"/>
      <c r="D36" s="20"/>
      <c r="E36" s="20"/>
      <c r="F36" s="20"/>
      <c r="G36" s="20"/>
      <c r="Z36" s="6" t="s">
        <v>143</v>
      </c>
    </row>
    <row r="37" customFormat="false" ht="21.75" hidden="false" customHeight="true" outlineLevel="0" collapsed="false">
      <c r="B37" s="20"/>
      <c r="C37" s="20"/>
      <c r="D37" s="20"/>
      <c r="E37" s="20"/>
      <c r="F37" s="20"/>
      <c r="G37" s="20"/>
      <c r="Z37" s="6" t="s">
        <v>144</v>
      </c>
    </row>
    <row r="38" customFormat="false" ht="39.75" hidden="false" customHeight="true" outlineLevel="0" collapsed="false">
      <c r="B38" s="21" t="str">
        <f aca="false">IF(LEN(B36)&lt;40,"",IF(AND(ISNUMBER(SEARCH("70",B36)),ISNUMBER(SEARCH("kjede",B36))),"Bra: solmarkedet ned om lag 70 % og kjedene er med.",IF(OR(ISNUMBER(SEARCH("70",B36)),ISNUMBER(SEARCH("kjede",B36))),"Du har med noe. Truslene er at solkraft på tak falt om lag 70 % i første del av 2026, og at landsdekkende kjeder selger i Oslo øst.","Tips: solkraft på tak falt om lag 70 % i første del av 2026 (NHO Elektro, april 2026). Landsdekkende kjeder selger ladepunkt i Oslo øst.")))</f>
        <v/>
      </c>
      <c r="C38" s="21"/>
      <c r="D38" s="21"/>
      <c r="E38" s="21"/>
      <c r="F38" s="21"/>
      <c r="G38" s="21"/>
      <c r="Z38" s="6" t="s">
        <v>145</v>
      </c>
    </row>
    <row r="39" customFormat="false" ht="15" hidden="false" customHeight="false" outlineLevel="0" collapsed="false">
      <c r="Z39" s="0" t="s">
        <v>146</v>
      </c>
    </row>
    <row r="40" customFormat="false" ht="15" hidden="false" customHeight="true" outlineLevel="0" collapsed="false">
      <c r="B40" s="8" t="s">
        <v>147</v>
      </c>
      <c r="C40" s="8"/>
      <c r="D40" s="8"/>
      <c r="E40" s="8"/>
      <c r="F40" s="8"/>
      <c r="G40" s="8"/>
      <c r="Z40" s="6" t="s">
        <v>148</v>
      </c>
    </row>
    <row r="41" customFormat="false" ht="15" hidden="false" customHeight="true" outlineLevel="0" collapsed="false">
      <c r="B41" s="9" t="s">
        <v>149</v>
      </c>
      <c r="C41" s="9"/>
      <c r="D41" s="9"/>
      <c r="E41" s="9"/>
      <c r="F41" s="9"/>
      <c r="G41" s="9"/>
      <c r="Z41" s="6" t="s">
        <v>150</v>
      </c>
    </row>
    <row r="42" customFormat="false" ht="21.75" hidden="false" customHeight="true" outlineLevel="0" collapsed="false">
      <c r="B42" s="20"/>
      <c r="C42" s="20"/>
      <c r="D42" s="20"/>
      <c r="E42" s="20"/>
      <c r="F42" s="20"/>
      <c r="G42" s="20"/>
      <c r="Z42" s="6" t="s">
        <v>151</v>
      </c>
    </row>
    <row r="43" customFormat="false" ht="21.75" hidden="false" customHeight="true" outlineLevel="0" collapsed="false">
      <c r="B43" s="20"/>
      <c r="C43" s="20"/>
      <c r="D43" s="20"/>
      <c r="E43" s="20"/>
      <c r="F43" s="20"/>
      <c r="G43" s="20"/>
      <c r="Z43" s="6" t="s">
        <v>146</v>
      </c>
    </row>
    <row r="44" customFormat="false" ht="39.75" hidden="false" customHeight="true" outlineLevel="0" collapsed="false">
      <c r="B44" s="21" t="str">
        <f aca="false">IF(LEN(B42)&lt;40,"",IF(AND(ISNUMBER(SEARCH("20 %",B42)),ISNUMBER(SEARCH("Kari",B42))),"Bra: tall, frist og ansvarlig er med.",IF(OR(ISNUMBER(SEARCH("20 %",B42)),ISNUMBER(SEARCH("Kari",B42))),"Du har med noe. Et markedsmål skal være tallfestet (20 %), knyttet til et tidspunkt (31. desember) og ha en ansvarlig (Kari) (10.3).","Tips: «Omsetningen i solcelle- og ladeavdelingen skal øke med minst 20 % mot i fjor innen 31. desember. Ansvar: Kari Nordlund.»")))</f>
        <v/>
      </c>
      <c r="C44" s="21"/>
      <c r="D44" s="21"/>
      <c r="E44" s="21"/>
      <c r="F44" s="21"/>
      <c r="G44" s="21"/>
      <c r="Z44" s="6" t="s">
        <v>148</v>
      </c>
    </row>
    <row r="45" customFormat="false" ht="15" hidden="false" customHeight="true" outlineLevel="0" collapsed="false">
      <c r="B45" s="9" t="s">
        <v>152</v>
      </c>
      <c r="C45" s="9"/>
      <c r="D45" s="9"/>
      <c r="E45" s="9"/>
      <c r="F45" s="9"/>
      <c r="G45" s="9"/>
      <c r="Z45" s="6" t="s">
        <v>150</v>
      </c>
    </row>
    <row r="46" customFormat="false" ht="21.75" hidden="false" customHeight="true" outlineLevel="0" collapsed="false">
      <c r="B46" s="20"/>
      <c r="C46" s="20"/>
      <c r="D46" s="20"/>
      <c r="E46" s="20"/>
      <c r="F46" s="20"/>
      <c r="G46" s="20"/>
      <c r="Z46" s="6" t="s">
        <v>151</v>
      </c>
    </row>
    <row r="47" customFormat="false" ht="21.75" hidden="false" customHeight="true" outlineLevel="0" collapsed="false">
      <c r="B47" s="20"/>
      <c r="C47" s="20"/>
      <c r="D47" s="20"/>
      <c r="E47" s="20"/>
      <c r="F47" s="20"/>
      <c r="G47" s="20"/>
      <c r="Z47" s="6" t="s">
        <v>146</v>
      </c>
    </row>
    <row r="48" customFormat="false" ht="39.75" hidden="false" customHeight="true" outlineLevel="0" collapsed="false">
      <c r="B48" s="21" t="str">
        <f aca="false">IF(LEN(B46)&lt;40,"",IF(AND(ISNUMBER(SEARCH("20 plasser",B46)),ISNUMBER(SEARCH("juni",B46))),"Bra: antall plasser, frist og kontrakten er med.",IF(OR(ISNUMBER(SEARCH("20 plasser",B46)),ISNUMBER(SEARCH("juni",B46))),"Du har med noe. Delmålet skal si et felles ladeanlegg med minst 20 plasser, innen 30. juni, og hvem som har ansvaret (Kari).","Tips: «Nordlys skal ha signert en kontrakt med et borettslag om et felles ladeanlegg med minst 20 plasser innen 30. juni. Ansvar: Kari.»")))</f>
        <v/>
      </c>
      <c r="C48" s="21"/>
      <c r="D48" s="21"/>
      <c r="E48" s="21"/>
      <c r="F48" s="21"/>
      <c r="G48" s="21"/>
      <c r="Z48" s="6" t="s">
        <v>148</v>
      </c>
    </row>
    <row r="49" customFormat="false" ht="15" hidden="false" customHeight="false" outlineLevel="0" collapsed="false">
      <c r="Z49" s="0" t="s">
        <v>150</v>
      </c>
    </row>
    <row r="50" customFormat="false" ht="15" hidden="false" customHeight="true" outlineLevel="0" collapsed="false">
      <c r="B50" s="8" t="s">
        <v>153</v>
      </c>
      <c r="C50" s="8"/>
      <c r="D50" s="8"/>
      <c r="E50" s="8"/>
      <c r="F50" s="8"/>
      <c r="G50" s="8"/>
      <c r="Z50" s="6" t="s">
        <v>151</v>
      </c>
    </row>
    <row r="51" customFormat="false" ht="39.75" hidden="false" customHeight="true" outlineLevel="0" collapsed="false">
      <c r="B51" s="15" t="s">
        <v>154</v>
      </c>
      <c r="C51" s="16"/>
      <c r="G51" s="17" t="str">
        <f aca="false">IF(C51="","Velg i nedtrekksmenyen.",IF(C51="Målgruppe","Riktig. Segmentering og målgruppevalg (10.4.1): segmentet har størrelse, er tilgjengelig og kan identifiseres.","Ikke riktig. Segmentering og målgruppevalg (10.4.1): segmentet har størrelse, er tilgjengelig og kan identifiseres."))</f>
        <v>Velg i nedtrekksmenyen.</v>
      </c>
      <c r="Z51" s="6" t="s">
        <v>146</v>
      </c>
    </row>
    <row r="52" customFormat="false" ht="39.75" hidden="false" customHeight="true" outlineLevel="0" collapsed="false">
      <c r="B52" s="15" t="s">
        <v>155</v>
      </c>
      <c r="C52" s="16"/>
      <c r="G52" s="17" t="str">
        <f aca="false">IF(C52="","Velg i nedtrekksmenyen.",IF(C52="Produkt","Riktig. Produktpolitikk (10.4.2): servicenivået er en del av produktet.","Ikke riktig. Produktpolitikk (10.4.2): servicenivået er en del av produktet."))</f>
        <v>Velg i nedtrekksmenyen.</v>
      </c>
      <c r="Z52" s="6" t="s">
        <v>148</v>
      </c>
    </row>
    <row r="53" customFormat="false" ht="39.75" hidden="false" customHeight="true" outlineLevel="0" collapsed="false">
      <c r="B53" s="15" t="s">
        <v>156</v>
      </c>
      <c r="C53" s="16"/>
      <c r="G53" s="17" t="str">
        <f aca="false">IF(C53="","Velg i nedtrekksmenyen.",IF(C53="Pris","Riktig. Prispolitikk (10.4.3): prisdifferensiering etter størrelsen på kjøpet.","Ikke riktig. Prispolitikk (10.4.3): prisdifferensiering etter størrelsen på kjøpet."))</f>
        <v>Velg i nedtrekksmenyen.</v>
      </c>
      <c r="Z53" s="6" t="s">
        <v>150</v>
      </c>
    </row>
    <row r="54" customFormat="false" ht="39.75" hidden="false" customHeight="true" outlineLevel="0" collapsed="false">
      <c r="B54" s="15" t="s">
        <v>157</v>
      </c>
      <c r="C54" s="16"/>
      <c r="G54" s="17" t="str">
        <f aca="false">IF(C54="","Velg i nedtrekksmenyen.",IF(C54="Distribusjon","Riktig. Distribusjonspolitikk (10.4.4): Nordlys er sisteleddet mot kunden, Polarlys er grossisten.","Ikke riktig. Distribusjonspolitikk (10.4.4): Nordlys er sisteleddet mot kunden, Polarlys er grossisten."))</f>
        <v>Velg i nedtrekksmenyen.</v>
      </c>
      <c r="Z54" s="6" t="s">
        <v>151</v>
      </c>
    </row>
    <row r="55" customFormat="false" ht="39.75" hidden="false" customHeight="true" outlineLevel="0" collapsed="false">
      <c r="B55" s="15" t="s">
        <v>158</v>
      </c>
      <c r="C55" s="16"/>
      <c r="G55" s="17" t="str">
        <f aca="false">IF(C55="","Velg i nedtrekksmenyen.",IF(C55="Påvirkning","Riktig. Markedskommunikasjon (10.4.5): brevet er massekommunikasjon, besøket er personlig kommunikasjon.","Ikke riktig. Markedskommunikasjon (10.4.5): brevet er massekommunikasjon, besøket er personlig kommunikasjon."))</f>
        <v>Velg i nedtrekksmenyen.</v>
      </c>
    </row>
    <row r="57" customFormat="false" ht="15" hidden="false" customHeight="true" outlineLevel="0" collapsed="false">
      <c r="B57" s="8" t="s">
        <v>159</v>
      </c>
      <c r="C57" s="8"/>
      <c r="D57" s="8"/>
      <c r="E57" s="8"/>
      <c r="F57" s="8"/>
      <c r="G57" s="8"/>
    </row>
    <row r="58" customFormat="false" ht="43.5" hidden="false" customHeight="true" outlineLevel="0" collapsed="false">
      <c r="B58" s="15" t="s">
        <v>160</v>
      </c>
      <c r="C58" s="18"/>
      <c r="D58" s="19" t="s">
        <v>58</v>
      </c>
      <c r="G58" s="17" t="str">
        <f aca="false">IF(C58="","Skriv svaret i den gule cellen.",IF(ABS(C58-(78*327.43+14*640+5900))&lt;=1,"Riktig.",IF(ABS(C58-(5900))&lt;=1,"Bare utleggene er med. Egne timer skal med i budsjettet, regnet med lønnskostnaden.",IF(ABS(C58-(78*327.43+5900))&lt;=1,"Montørtimene mangler: 14 × 640 = 8 960.",IF(ABS(C58-(92*327.43+5900))&lt;=1,"Du har brukt 327,43 på alle timene. Montørtimene koster 640 kr.",IF(ABS(C58-(92*640+5900))&lt;=1,"Du har brukt 640 på alle timene. Administrasjonstimene koster 327,43 kr.",IF(ABS(C58-(78*327.43+14*640))&lt;=1,"Utleggene på 5 900 kr mangler.","Ikke riktig ennå. Se på regnestykket øverst på fanen, og sjekk at du har med alle leddene.")))))))</f>
        <v>Skriv svaret i den gule cellen.</v>
      </c>
    </row>
    <row r="60" customFormat="false" ht="15" hidden="false" customHeight="true" outlineLevel="0" collapsed="false">
      <c r="B60" s="8" t="s">
        <v>161</v>
      </c>
      <c r="C60" s="8"/>
      <c r="D60" s="8"/>
      <c r="E60" s="8"/>
      <c r="F60" s="8"/>
      <c r="G60" s="8"/>
    </row>
    <row r="61" customFormat="false" ht="39.75" hidden="false" customHeight="true" outlineLevel="0" collapsed="false">
      <c r="B61" s="15" t="s">
        <v>162</v>
      </c>
      <c r="C61" s="16"/>
      <c r="G61" s="17" t="str">
        <f aca="false">IF(C61="","Velg i nedtrekksmenyen.",IF(C61="Kari, daglig leder","Riktig. Markedssjefen har det daglige ansvaret (10.6). Uten markedssjef må rollen stå på en navngitt person: Kari. Styret og daglig leder har det øverste ansvaret.","Ikke riktig. Markedssjefen har det daglige ansvaret (10.6). Uten markedssjef må rollen stå på en navngitt person: Kari. Styret og daglig leder har det øverste ansvaret."))</f>
        <v>Velg i nedtrekksmenyen.</v>
      </c>
    </row>
    <row r="62" customFormat="false" ht="39.75" hidden="false" customHeight="true" outlineLevel="0" collapsed="false">
      <c r="B62" s="15" t="s">
        <v>163</v>
      </c>
      <c r="C62" s="16"/>
      <c r="G62" s="17" t="str">
        <f aca="false">IF(C62="","Velg i nedtrekksmenyen.",IF(C62="Ringer to andre styrer på lista","Riktig. Strategien ligger fast, taktikken endres (10.6). Målet var ti besøk, ikke ti bestemte styrer. Beredskap for improvisasjon.","Ikke riktig. Strategien ligger fast, taktikken endres (10.6). Målet var ti besøk, ikke ti bestemte styrer. Beredskap for improvisasjon."))</f>
        <v>Velg i nedtrekksmenyen.</v>
      </c>
    </row>
    <row r="64" customFormat="false" ht="15" hidden="false" customHeight="true" outlineLevel="0" collapsed="false">
      <c r="B64" s="8" t="s">
        <v>164</v>
      </c>
      <c r="C64" s="8"/>
      <c r="D64" s="8"/>
      <c r="E64" s="8"/>
      <c r="F64" s="8"/>
      <c r="G64" s="8"/>
    </row>
    <row r="65" customFormat="false" ht="39.75" hidden="false" customHeight="true" outlineLevel="0" collapsed="false">
      <c r="B65" s="15" t="s">
        <v>165</v>
      </c>
      <c r="C65" s="16"/>
      <c r="G65" s="17" t="str">
        <f aca="false">IF(C65="","Velg i nedtrekksmenyen.",IF(C65="Justerer taktikken nå","Riktig. Milepælene skal vise om bedriften er i rute mens det er tid til å justere (10.7). Resultatet skal ikke komme som en overraskelse i juni.","Ikke riktig. Milepælene skal vise om bedriften er i rute mens det er tid til å justere (10.7). Resultatet skal ikke komme som en overraskelse i juni."))</f>
        <v>Velg i nedtrekksmenyen.</v>
      </c>
    </row>
    <row r="66" customFormat="false" ht="39.75" hidden="false" customHeight="true" outlineLevel="0" collapsed="false">
      <c r="B66" s="15" t="s">
        <v>166</v>
      </c>
      <c r="C66" s="16"/>
      <c r="G66" s="17" t="str">
        <f aca="false">IF(C66="","Velg i nedtrekksmenyen.",IF(C66="Målet nådd innenfor rammen","Riktig. Kontrakten kom, og planen kostet mindre enn rammen. Evaluer prosessen: hva virket?","Ikke riktig. Kontrakten kom, og planen kostet mindre enn rammen. Evaluer prosessen: hva virket?"))</f>
        <v>Velg i nedtrekksmenyen.</v>
      </c>
    </row>
    <row r="67" customFormat="false" ht="39.75" hidden="false" customHeight="true" outlineLevel="0" collapsed="false">
      <c r="B67" s="15" t="s">
        <v>167</v>
      </c>
      <c r="C67" s="16"/>
      <c r="G67" s="17" t="str">
        <f aca="false">IF(C67="","Velg i nedtrekksmenyen.",IF(C67="Målet nådd, men rammen sprakk","Riktig. Kontrakten kom, men 5 600 kr over rammen. Hvilke linjer ble dyrere? Ofte timene.","Ikke riktig. Kontrakten kom, men 5 600 kr over rammen. Hvilke linjer ble dyrere? Ofte timene."))</f>
        <v>Velg i nedtrekksmenyen.</v>
      </c>
    </row>
    <row r="68" customFormat="false" ht="39.75" hidden="false" customHeight="true" outlineLevel="0" collapsed="false">
      <c r="B68" s="15" t="s">
        <v>168</v>
      </c>
      <c r="C68" s="16"/>
      <c r="G68" s="17" t="str">
        <f aca="false">IF(C68="","Velg i nedtrekksmenyen.",IF(C68="Under budsjett, men målet ikke nådd","Riktig. Å bruke lite er ikke vellykket når målet glipper. Still bokas fire spørsmål (10.7).","Ikke riktig. Å bruke lite er ikke vellykket når målet glipper. Still bokas fire spørsmål (10.7)."))</f>
        <v>Velg i nedtrekksmenyen.</v>
      </c>
    </row>
    <row r="69" customFormat="false" ht="39.75" hidden="false" customHeight="true" outlineLevel="0" collapsed="false">
      <c r="B69" s="15" t="s">
        <v>169</v>
      </c>
      <c r="C69" s="16"/>
      <c r="G69" s="17" t="str">
        <f aca="false">IF(C69="","Velg i nedtrekksmenyen.",IF(C69="Overoppfylt","Riktig. Finn ut hvorfor det gikk bedre, og spør om ambisjonsnivået var for lavt (10.7).","Ikke riktig. Finn ut hvorfor det gikk bedre, og spør om ambisjonsnivået var for lavt (10.7)."))</f>
        <v>Velg i nedtrekksmenyen.</v>
      </c>
    </row>
    <row r="71" customFormat="false" ht="15" hidden="false" customHeight="true" outlineLevel="0" collapsed="false">
      <c r="B71" s="9" t="s">
        <v>170</v>
      </c>
      <c r="C71" s="9"/>
      <c r="D71" s="9"/>
      <c r="E71" s="9"/>
      <c r="F71" s="9"/>
      <c r="G71" s="9"/>
    </row>
    <row r="72" customFormat="false" ht="21.75" hidden="false" customHeight="true" outlineLevel="0" collapsed="false">
      <c r="B72" s="20"/>
      <c r="C72" s="20"/>
      <c r="D72" s="20"/>
      <c r="E72" s="20"/>
      <c r="F72" s="20"/>
      <c r="G72" s="20"/>
    </row>
    <row r="73" customFormat="false" ht="21.75" hidden="false" customHeight="true" outlineLevel="0" collapsed="false">
      <c r="B73" s="20"/>
      <c r="C73" s="20"/>
      <c r="D73" s="20"/>
      <c r="E73" s="20"/>
      <c r="F73" s="20"/>
      <c r="G73" s="20"/>
    </row>
    <row r="74" customFormat="false" ht="21.75" hidden="false" customHeight="true" outlineLevel="0" collapsed="false">
      <c r="B74" s="20"/>
      <c r="C74" s="20"/>
      <c r="D74" s="20"/>
      <c r="E74" s="20"/>
      <c r="F74" s="20"/>
      <c r="G74" s="20"/>
    </row>
    <row r="75" customFormat="false" ht="39.75" hidden="false" customHeight="true" outlineLevel="0" collapsed="false">
      <c r="B75" s="21" t="str">
        <f aca="false">IF(LEN(B72)&lt;40,"",IF(AND(ISNUMBER(SEARCH("budsjett",B72)),ISNUMBER(SEARCH("milepæl",B72))),"Bra: du har med budsjettet og milepælene. Si gjerne også at hvert tiltak nå har uke og ansvarlig, og at analysen kom før målene.",IF(OR(ISNUMBER(SEARCH("budsjett",B72)),ISNUMBER(SEARCH("milepæl",B72))),"Du har med noe. Lappen manglet analyse, frist og ansvarlig på målet, uke og navn på tiltakene, en sum styret kan si ja til, og milepæler.","Tips: lappen manglet situasjonsanalyse, frist og ansvarlig på målet, uke, navn og budsjett på hvert tiltak, en sum, og milepæler. Planen har nå alle sju punkter, 40 400 kr i budsjett og milepæler i uke 6, 7, 12, 20 og 26.")))</f>
        <v/>
      </c>
      <c r="C75" s="21"/>
      <c r="D75" s="21"/>
      <c r="E75" s="21"/>
      <c r="F75" s="21"/>
      <c r="G75" s="21"/>
    </row>
    <row r="76" customFormat="false" ht="15" hidden="false" customHeight="false" outlineLevel="0" collapsed="false">
      <c r="B76" s="22" t="s">
        <v>72</v>
      </c>
      <c r="C76" s="16"/>
    </row>
    <row r="77" customFormat="false" ht="45" hidden="false" customHeight="true" outlineLevel="0" collapsed="false">
      <c r="B77" s="23" t="str">
        <f aca="false">IF(C76="JA","Hint: Forretningsidé: produkt, marked og særpreg. Analysen: internt er det Nordlys rår over, eksternt er markedet. Mål: tall, frist og navn. Handlingsplanen: 78 × 327,43 + 14 × 640 + 5 900 = 40 400. Gjennomføring: strategien ligger fast, taktikken endres. Evaluering: vellykket er målet nådd innenfor rammen.","")</f>
        <v/>
      </c>
      <c r="C77" s="23"/>
      <c r="D77" s="23"/>
      <c r="E77" s="23"/>
      <c r="F77" s="23"/>
      <c r="G77" s="23"/>
    </row>
    <row r="79" customFormat="false" ht="30" hidden="false" customHeight="true" outlineLevel="0" collapsed="false">
      <c r="B79" s="7" t="s">
        <v>73</v>
      </c>
      <c r="C79" s="7"/>
      <c r="D79" s="7"/>
      <c r="E79" s="7"/>
      <c r="F79" s="7"/>
      <c r="G79" s="7"/>
    </row>
  </sheetData>
  <mergeCells count="43">
    <mergeCell ref="B2:G2"/>
    <mergeCell ref="B3:G3"/>
    <mergeCell ref="B4:G4"/>
    <mergeCell ref="B5:G5"/>
    <mergeCell ref="B6:G6"/>
    <mergeCell ref="B7:G7"/>
    <mergeCell ref="B9:G9"/>
    <mergeCell ref="B10:G10"/>
    <mergeCell ref="B12:G12"/>
    <mergeCell ref="B13:G13"/>
    <mergeCell ref="B15:G15"/>
    <mergeCell ref="B16:G16"/>
    <mergeCell ref="B17:G18"/>
    <mergeCell ref="B19:G19"/>
    <mergeCell ref="B22:G22"/>
    <mergeCell ref="B23:G23"/>
    <mergeCell ref="B24:G25"/>
    <mergeCell ref="B26:G26"/>
    <mergeCell ref="B27:G27"/>
    <mergeCell ref="B28:G29"/>
    <mergeCell ref="B30:G30"/>
    <mergeCell ref="B31:G31"/>
    <mergeCell ref="B32:G33"/>
    <mergeCell ref="B34:G34"/>
    <mergeCell ref="B35:G35"/>
    <mergeCell ref="B36:G37"/>
    <mergeCell ref="B38:G38"/>
    <mergeCell ref="B40:G40"/>
    <mergeCell ref="B41:G41"/>
    <mergeCell ref="B42:G43"/>
    <mergeCell ref="B44:G44"/>
    <mergeCell ref="B45:G45"/>
    <mergeCell ref="B46:G47"/>
    <mergeCell ref="B48:G48"/>
    <mergeCell ref="B50:G50"/>
    <mergeCell ref="B57:G57"/>
    <mergeCell ref="B60:G60"/>
    <mergeCell ref="B64:G64"/>
    <mergeCell ref="B71:G71"/>
    <mergeCell ref="B72:G74"/>
    <mergeCell ref="B75:G75"/>
    <mergeCell ref="B77:G77"/>
    <mergeCell ref="B79:G79"/>
  </mergeCells>
  <conditionalFormatting sqref="G20">
    <cfRule type="expression" priority="2" aboveAverage="0" equalAverage="0" bottom="0" percent="0" rank="0" text="" dxfId="0">
      <formula>LEFT(G20,6)="Riktig"</formula>
    </cfRule>
    <cfRule type="expression" priority="3" aboveAverage="0" equalAverage="0" bottom="0" percent="0" rank="0" text="" dxfId="1">
      <formula>LEFT(G20,4)="Ikke"</formula>
    </cfRule>
  </conditionalFormatting>
  <conditionalFormatting sqref="G51">
    <cfRule type="expression" priority="4" aboveAverage="0" equalAverage="0" bottom="0" percent="0" rank="0" text="" dxfId="0">
      <formula>LEFT(G51,6)="Riktig"</formula>
    </cfRule>
    <cfRule type="expression" priority="5" aboveAverage="0" equalAverage="0" bottom="0" percent="0" rank="0" text="" dxfId="1">
      <formula>LEFT(G51,4)="Ikke"</formula>
    </cfRule>
  </conditionalFormatting>
  <conditionalFormatting sqref="G52">
    <cfRule type="expression" priority="6" aboveAverage="0" equalAverage="0" bottom="0" percent="0" rank="0" text="" dxfId="0">
      <formula>LEFT(G52,6)="Riktig"</formula>
    </cfRule>
    <cfRule type="expression" priority="7" aboveAverage="0" equalAverage="0" bottom="0" percent="0" rank="0" text="" dxfId="1">
      <formula>LEFT(G52,4)="Ikke"</formula>
    </cfRule>
  </conditionalFormatting>
  <conditionalFormatting sqref="G53">
    <cfRule type="expression" priority="8" aboveAverage="0" equalAverage="0" bottom="0" percent="0" rank="0" text="" dxfId="0">
      <formula>LEFT(G53,6)="Riktig"</formula>
    </cfRule>
    <cfRule type="expression" priority="9" aboveAverage="0" equalAverage="0" bottom="0" percent="0" rank="0" text="" dxfId="1">
      <formula>LEFT(G53,4)="Ikke"</formula>
    </cfRule>
  </conditionalFormatting>
  <conditionalFormatting sqref="G54">
    <cfRule type="expression" priority="10" aboveAverage="0" equalAverage="0" bottom="0" percent="0" rank="0" text="" dxfId="0">
      <formula>LEFT(G54,6)="Riktig"</formula>
    </cfRule>
    <cfRule type="expression" priority="11" aboveAverage="0" equalAverage="0" bottom="0" percent="0" rank="0" text="" dxfId="1">
      <formula>LEFT(G54,4)="Ikke"</formula>
    </cfRule>
  </conditionalFormatting>
  <conditionalFormatting sqref="G55">
    <cfRule type="expression" priority="12" aboveAverage="0" equalAverage="0" bottom="0" percent="0" rank="0" text="" dxfId="0">
      <formula>LEFT(G55,6)="Riktig"</formula>
    </cfRule>
    <cfRule type="expression" priority="13" aboveAverage="0" equalAverage="0" bottom="0" percent="0" rank="0" text="" dxfId="1">
      <formula>LEFT(G55,4)="Ikke"</formula>
    </cfRule>
  </conditionalFormatting>
  <conditionalFormatting sqref="G58">
    <cfRule type="expression" priority="14" aboveAverage="0" equalAverage="0" bottom="0" percent="0" rank="0" text="" dxfId="0">
      <formula>LEFT(G58,6)="Riktig"</formula>
    </cfRule>
    <cfRule type="expression" priority="15" aboveAverage="0" equalAverage="0" bottom="0" percent="0" rank="0" text="" dxfId="1">
      <formula>AND(G58&lt;&gt;"",LEFT(G58,6)&lt;&gt;"Riktig",LEFT(G58,5)&lt;&gt;"Skriv")</formula>
    </cfRule>
  </conditionalFormatting>
  <conditionalFormatting sqref="G61">
    <cfRule type="expression" priority="16" aboveAverage="0" equalAverage="0" bottom="0" percent="0" rank="0" text="" dxfId="0">
      <formula>LEFT(G61,6)="Riktig"</formula>
    </cfRule>
    <cfRule type="expression" priority="17" aboveAverage="0" equalAverage="0" bottom="0" percent="0" rank="0" text="" dxfId="1">
      <formula>LEFT(G61,4)="Ikke"</formula>
    </cfRule>
  </conditionalFormatting>
  <conditionalFormatting sqref="G62">
    <cfRule type="expression" priority="18" aboveAverage="0" equalAverage="0" bottom="0" percent="0" rank="0" text="" dxfId="0">
      <formula>LEFT(G62,6)="Riktig"</formula>
    </cfRule>
    <cfRule type="expression" priority="19" aboveAverage="0" equalAverage="0" bottom="0" percent="0" rank="0" text="" dxfId="1">
      <formula>LEFT(G62,4)="Ikke"</formula>
    </cfRule>
  </conditionalFormatting>
  <conditionalFormatting sqref="G65">
    <cfRule type="expression" priority="20" aboveAverage="0" equalAverage="0" bottom="0" percent="0" rank="0" text="" dxfId="0">
      <formula>LEFT(G65,6)="Riktig"</formula>
    </cfRule>
    <cfRule type="expression" priority="21" aboveAverage="0" equalAverage="0" bottom="0" percent="0" rank="0" text="" dxfId="1">
      <formula>LEFT(G65,4)="Ikke"</formula>
    </cfRule>
  </conditionalFormatting>
  <conditionalFormatting sqref="G66">
    <cfRule type="expression" priority="22" aboveAverage="0" equalAverage="0" bottom="0" percent="0" rank="0" text="" dxfId="0">
      <formula>LEFT(G66,6)="Riktig"</formula>
    </cfRule>
    <cfRule type="expression" priority="23" aboveAverage="0" equalAverage="0" bottom="0" percent="0" rank="0" text="" dxfId="1">
      <formula>LEFT(G66,4)="Ikke"</formula>
    </cfRule>
  </conditionalFormatting>
  <conditionalFormatting sqref="G67">
    <cfRule type="expression" priority="24" aboveAverage="0" equalAverage="0" bottom="0" percent="0" rank="0" text="" dxfId="0">
      <formula>LEFT(G67,6)="Riktig"</formula>
    </cfRule>
    <cfRule type="expression" priority="25" aboveAverage="0" equalAverage="0" bottom="0" percent="0" rank="0" text="" dxfId="1">
      <formula>LEFT(G67,4)="Ikke"</formula>
    </cfRule>
  </conditionalFormatting>
  <conditionalFormatting sqref="G68">
    <cfRule type="expression" priority="26" aboveAverage="0" equalAverage="0" bottom="0" percent="0" rank="0" text="" dxfId="0">
      <formula>LEFT(G68,6)="Riktig"</formula>
    </cfRule>
    <cfRule type="expression" priority="27" aboveAverage="0" equalAverage="0" bottom="0" percent="0" rank="0" text="" dxfId="1">
      <formula>LEFT(G68,4)="Ikke"</formula>
    </cfRule>
  </conditionalFormatting>
  <conditionalFormatting sqref="G69">
    <cfRule type="expression" priority="28" aboveAverage="0" equalAverage="0" bottom="0" percent="0" rank="0" text="" dxfId="0">
      <formula>LEFT(G69,6)="Riktig"</formula>
    </cfRule>
    <cfRule type="expression" priority="29" aboveAverage="0" equalAverage="0" bottom="0" percent="0" rank="0" text="" dxfId="1">
      <formula>LEFT(G69,4)="Ikke"</formula>
    </cfRule>
  </conditionalFormatting>
  <dataValidations count="14">
    <dataValidation allowBlank="true" errorStyle="stop" operator="between" showDropDown="false" showErrorMessage="false" showInputMessage="false" sqref="C20" type="list">
      <formula1>$Z$1:$Z$4</formula1>
      <formula2>0</formula2>
    </dataValidation>
    <dataValidation allowBlank="true" errorStyle="stop" operator="between" showDropDown="false" showErrorMessage="false" showInputMessage="false" sqref="C51" type="list">
      <formula1>$Z$5:$Z$9</formula1>
      <formula2>0</formula2>
    </dataValidation>
    <dataValidation allowBlank="true" errorStyle="stop" operator="between" showDropDown="false" showErrorMessage="false" showInputMessage="false" sqref="C52" type="list">
      <formula1>$Z$10:$Z$14</formula1>
      <formula2>0</formula2>
    </dataValidation>
    <dataValidation allowBlank="true" errorStyle="stop" operator="between" showDropDown="false" showErrorMessage="false" showInputMessage="false" sqref="C53" type="list">
      <formula1>$Z$15:$Z$19</formula1>
      <formula2>0</formula2>
    </dataValidation>
    <dataValidation allowBlank="true" errorStyle="stop" operator="between" showDropDown="false" showErrorMessage="false" showInputMessage="false" sqref="C54" type="list">
      <formula1>$Z$20:$Z$24</formula1>
      <formula2>0</formula2>
    </dataValidation>
    <dataValidation allowBlank="true" errorStyle="stop" operator="between" showDropDown="false" showErrorMessage="false" showInputMessage="false" sqref="C55" type="list">
      <formula1>$Z$25:$Z$29</formula1>
      <formula2>0</formula2>
    </dataValidation>
    <dataValidation allowBlank="true" errorStyle="stop" operator="between" showDropDown="false" showErrorMessage="false" showInputMessage="false" sqref="C61" type="list">
      <formula1>$Z$30:$Z$32</formula1>
      <formula2>0</formula2>
    </dataValidation>
    <dataValidation allowBlank="true" errorStyle="stop" operator="between" showDropDown="false" showErrorMessage="false" showInputMessage="false" sqref="C62" type="list">
      <formula1>$Z$33:$Z$35</formula1>
      <formula2>0</formula2>
    </dataValidation>
    <dataValidation allowBlank="true" errorStyle="stop" operator="between" showDropDown="false" showErrorMessage="false" showInputMessage="false" sqref="C65" type="list">
      <formula1>$Z$36:$Z$38</formula1>
      <formula2>0</formula2>
    </dataValidation>
    <dataValidation allowBlank="true" errorStyle="stop" operator="between" showDropDown="false" showErrorMessage="false" showInputMessage="false" sqref="C66" type="list">
      <formula1>$Z$39:$Z$42</formula1>
      <formula2>0</formula2>
    </dataValidation>
    <dataValidation allowBlank="true" errorStyle="stop" operator="between" showDropDown="false" showErrorMessage="false" showInputMessage="false" sqref="C67" type="list">
      <formula1>$Z$43:$Z$46</formula1>
      <formula2>0</formula2>
    </dataValidation>
    <dataValidation allowBlank="true" errorStyle="stop" operator="between" showDropDown="false" showErrorMessage="false" showInputMessage="false" sqref="C68" type="list">
      <formula1>$Z$47:$Z$50</formula1>
      <formula2>0</formula2>
    </dataValidation>
    <dataValidation allowBlank="true" errorStyle="stop" operator="between" showDropDown="false" showErrorMessage="false" showInputMessage="false" sqref="C69" type="list">
      <formula1>$Z$51:$Z$54</formula1>
      <formula2>0</formula2>
    </dataValidation>
    <dataValidation allowBlank="true" errorStyle="stop" operator="between" showDropDown="false" showErrorMessage="false" showInputMessage="false" sqref="C76" type="list">
      <formula1>"JA,NEI"</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0"/>
    <col collapsed="false" customWidth="true" hidden="false" outlineLevel="0" max="3" min="3" style="0" width="16"/>
    <col collapsed="false" customWidth="true" hidden="false" outlineLevel="0" max="4" min="4" style="0" width="78"/>
  </cols>
  <sheetData>
    <row r="2" customFormat="false" ht="19.7" hidden="false" customHeight="false" outlineLevel="0" collapsed="false">
      <c r="B2" s="28" t="s">
        <v>171</v>
      </c>
    </row>
    <row r="3" customFormat="false" ht="30" hidden="false" customHeight="true" outlineLevel="0" collapsed="false">
      <c r="B3" s="7" t="s">
        <v>172</v>
      </c>
      <c r="C3" s="7"/>
      <c r="D3" s="7"/>
    </row>
    <row r="5" customFormat="false" ht="15" hidden="false" customHeight="false" outlineLevel="0" collapsed="false">
      <c r="B5" s="29" t="s">
        <v>173</v>
      </c>
      <c r="C5" s="29" t="s">
        <v>174</v>
      </c>
      <c r="D5" s="29" t="s">
        <v>175</v>
      </c>
    </row>
    <row r="6" customFormat="false" ht="30" hidden="false" customHeight="true" outlineLevel="0" collapsed="false">
      <c r="B6" s="30" t="s">
        <v>176</v>
      </c>
      <c r="C6" s="14"/>
      <c r="D6" s="30" t="s">
        <v>177</v>
      </c>
    </row>
    <row r="7" customFormat="false" ht="45" hidden="false" customHeight="true" outlineLevel="0" collapsed="false">
      <c r="B7" s="30" t="s">
        <v>178</v>
      </c>
      <c r="C7" s="14"/>
      <c r="D7" s="30" t="s">
        <v>179</v>
      </c>
    </row>
    <row r="8" customFormat="false" ht="30" hidden="false" customHeight="true" outlineLevel="0" collapsed="false">
      <c r="B8" s="30" t="s">
        <v>180</v>
      </c>
      <c r="C8" s="14" t="n">
        <v>4443360</v>
      </c>
      <c r="D8" s="30" t="s">
        <v>181</v>
      </c>
    </row>
    <row r="9" customFormat="false" ht="30" hidden="false" customHeight="true" outlineLevel="0" collapsed="false">
      <c r="B9" s="30" t="s">
        <v>182</v>
      </c>
      <c r="C9" s="14" t="n">
        <v>4438128</v>
      </c>
      <c r="D9" s="30" t="s">
        <v>183</v>
      </c>
    </row>
    <row r="10" customFormat="false" ht="30" hidden="false" customHeight="true" outlineLevel="0" collapsed="false">
      <c r="B10" s="30" t="s">
        <v>184</v>
      </c>
      <c r="C10" s="14" t="n">
        <v>139200</v>
      </c>
      <c r="D10" s="30" t="s">
        <v>185</v>
      </c>
    </row>
    <row r="11" customFormat="false" ht="30" hidden="false" customHeight="true" outlineLevel="0" collapsed="false">
      <c r="B11" s="30" t="s">
        <v>186</v>
      </c>
      <c r="C11" s="14"/>
      <c r="D11" s="30" t="s">
        <v>187</v>
      </c>
    </row>
    <row r="12" customFormat="false" ht="60" hidden="false" customHeight="true" outlineLevel="0" collapsed="false">
      <c r="B12" s="30" t="s">
        <v>188</v>
      </c>
      <c r="C12" s="14"/>
      <c r="D12" s="30" t="s">
        <v>189</v>
      </c>
    </row>
    <row r="13" customFormat="false" ht="30" hidden="false" customHeight="true" outlineLevel="0" collapsed="false">
      <c r="B13" s="30" t="s">
        <v>190</v>
      </c>
      <c r="C13" s="14"/>
      <c r="D13" s="30" t="s">
        <v>191</v>
      </c>
    </row>
    <row r="14" customFormat="false" ht="30" hidden="false" customHeight="true" outlineLevel="0" collapsed="false">
      <c r="B14" s="30" t="s">
        <v>192</v>
      </c>
      <c r="C14" s="14" t="n">
        <v>40400</v>
      </c>
      <c r="D14" s="30" t="s">
        <v>193</v>
      </c>
    </row>
    <row r="15" customFormat="false" ht="30" hidden="false" customHeight="true" outlineLevel="0" collapsed="false">
      <c r="B15" s="30" t="s">
        <v>194</v>
      </c>
      <c r="C15" s="14" t="n">
        <v>29</v>
      </c>
      <c r="D15" s="30" t="s">
        <v>195</v>
      </c>
    </row>
    <row r="16" customFormat="false" ht="30" hidden="false" customHeight="true" outlineLevel="0" collapsed="false">
      <c r="B16" s="30" t="s">
        <v>196</v>
      </c>
      <c r="C16" s="14" t="n">
        <v>64000</v>
      </c>
      <c r="D16" s="30" t="s">
        <v>197</v>
      </c>
    </row>
    <row r="17" customFormat="false" ht="30" hidden="false" customHeight="true" outlineLevel="0" collapsed="false">
      <c r="B17" s="30" t="s">
        <v>198</v>
      </c>
      <c r="C17" s="14"/>
      <c r="D17" s="30" t="s">
        <v>199</v>
      </c>
    </row>
    <row r="18" customFormat="false" ht="45" hidden="false" customHeight="true" outlineLevel="0" collapsed="false">
      <c r="B18" s="30" t="s">
        <v>200</v>
      </c>
      <c r="C18" s="14"/>
      <c r="D18" s="30" t="s">
        <v>201</v>
      </c>
    </row>
    <row r="19" customFormat="false" ht="30" hidden="false" customHeight="true" outlineLevel="0" collapsed="false">
      <c r="B19" s="30" t="s">
        <v>202</v>
      </c>
      <c r="C19" s="14"/>
      <c r="D19" s="30" t="s">
        <v>203</v>
      </c>
    </row>
    <row r="20" customFormat="false" ht="45" hidden="false" customHeight="true" outlineLevel="0" collapsed="false">
      <c r="B20" s="30" t="s">
        <v>204</v>
      </c>
      <c r="C20" s="14"/>
      <c r="D20" s="30" t="s">
        <v>205</v>
      </c>
    </row>
    <row r="21" customFormat="false" ht="30" hidden="false" customHeight="true" outlineLevel="0" collapsed="false">
      <c r="B21" s="30" t="s">
        <v>206</v>
      </c>
      <c r="C21" s="14"/>
      <c r="D21" s="30" t="s">
        <v>207</v>
      </c>
    </row>
    <row r="22" customFormat="false" ht="30" hidden="false" customHeight="true" outlineLevel="0" collapsed="false">
      <c r="B22" s="30" t="s">
        <v>208</v>
      </c>
      <c r="C22" s="14"/>
      <c r="D22" s="30" t="s">
        <v>209</v>
      </c>
    </row>
    <row r="23" customFormat="false" ht="30" hidden="false" customHeight="true" outlineLevel="0" collapsed="false">
      <c r="B23" s="30" t="s">
        <v>210</v>
      </c>
      <c r="C23" s="14" t="n">
        <v>40400</v>
      </c>
      <c r="D23" s="30" t="s">
        <v>211</v>
      </c>
    </row>
    <row r="24" customFormat="false" ht="30" hidden="false" customHeight="true" outlineLevel="0" collapsed="false">
      <c r="B24" s="30" t="s">
        <v>212</v>
      </c>
      <c r="C24" s="14"/>
      <c r="D24" s="30" t="s">
        <v>213</v>
      </c>
    </row>
    <row r="25" customFormat="false" ht="30" hidden="false" customHeight="true" outlineLevel="0" collapsed="false">
      <c r="B25" s="30" t="s">
        <v>214</v>
      </c>
      <c r="C25" s="14"/>
      <c r="D25" s="30" t="s">
        <v>215</v>
      </c>
    </row>
    <row r="26" customFormat="false" ht="30" hidden="false" customHeight="true" outlineLevel="0" collapsed="false">
      <c r="B26" s="30" t="s">
        <v>216</v>
      </c>
      <c r="C26" s="14"/>
      <c r="D26" s="30" t="s">
        <v>217</v>
      </c>
    </row>
  </sheetData>
  <sheetProtection sheet="true"/>
  <mergeCells count="1">
    <mergeCell ref="B3:D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2026-10-22T17:53:24Z</dcterms:created>
  <dc:creator>openpyxl</dc:creator>
  <dc:description/>
  <dc:language>en-US</dc:language>
  <cp:lastModifiedBy/>
  <dcterms:modified xsi:type="dcterms:W3CDTF">2026-10-22T17:53:24Z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