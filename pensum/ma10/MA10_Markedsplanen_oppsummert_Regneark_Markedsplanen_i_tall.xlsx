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Målene" sheetId="3" state="visible" r:id="rId5"/>
    <sheet name="Handlingsplanen" sheetId="4" state="visible" r:id="rId6"/>
    <sheet name="Bærer den seg" sheetId="5" state="visible" r:id="rId7"/>
    <sheet name="Scenario" sheetId="6" state="visible" r:id="rId8"/>
    <sheet name="Din egen pla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<sst xmlns="http://schemas.openxmlformats.org/spreadsheetml/2006/main" count="316" uniqueCount="282">
  <si>
    <t xml:space="preserve">Hva koster markedsplanen? Den enkle versjonen</t>
  </si>
  <si>
    <t xml:space="preserve">Fyll inn de seks gule cellene. Svaret står i den grønne. Alt annet regner seg selv. Vil du gå dypere, ligger hele handlingsplanen og regnestykket om den bærer seg i arkene bak.</t>
  </si>
  <si>
    <t xml:space="preserve">Det du vet</t>
  </si>
  <si>
    <t xml:space="preserve">Hvor mange timer bruker administrasjonen på kampanjen?</t>
  </si>
  <si>
    <t xml:space="preserve">Summen av timene i handlingsplanen: møter, brev, telefoner, besøk og evaluering.</t>
  </si>
  <si>
    <t xml:space="preserve">Hva koster én time i administrasjonen?</t>
  </si>
  <si>
    <t xml:space="preserve">Lønn med sosiale kostnader. Rundt 327 kroner hos Nordlys.</t>
  </si>
  <si>
    <t xml:space="preserve">Hvor mange montørtimer bruker kampanjen?</t>
  </si>
  <si>
    <t xml:space="preserve">Her er det det interne oppstartsmøtet i uke 7. Timene kunne vært fakturert.</t>
  </si>
  <si>
    <t xml:space="preserve">Hva koster én montørtime?</t>
  </si>
  <si>
    <t xml:space="preserve">Lønn med sosiale kostnader.</t>
  </si>
  <si>
    <t xml:space="preserve">Hvor mye betaler dere ut til andre?</t>
  </si>
  <si>
    <t xml:space="preserve">Penger ut av kassa, for eksempel trykking av referansearket.</t>
  </si>
  <si>
    <t xml:space="preserve">Hvor mye ekstra dekningsbidrag skal målene gi?</t>
  </si>
  <si>
    <t xml:space="preserve">8 flere anlegg à 4 400 kroner og 35 flere ladepunkt à 1 050 kroner.</t>
  </si>
  <si>
    <t xml:space="preserve">Regnestykket</t>
  </si>
  <si>
    <t xml:space="preserve">Timer i administrasjonen, i kroner</t>
  </si>
  <si>
    <t xml:space="preserve">Timer ganger timekostnad.</t>
  </si>
  <si>
    <t xml:space="preserve">Montørtimer, i kroner</t>
  </si>
  <si>
    <t xml:space="preserve">Den dyreste enkeltlinja i planen.</t>
  </si>
  <si>
    <t xml:space="preserve">Egne timer til sammen</t>
  </si>
  <si>
    <t xml:space="preserve">Egne timer er ikke gratis selv om lønna løper. De kunne vært brukt på noe annet.</t>
  </si>
  <si>
    <t xml:space="preserve">BUDSJETTET FOR KAMPANJEN</t>
  </si>
  <si>
    <t xml:space="preserve">Sumlinja nederst i handlingsplanen. Uten den kan ingen si ja eller nei.</t>
  </si>
  <si>
    <t xml:space="preserve">Andel av budsjettet som er egne timer</t>
  </si>
  <si>
    <t xml:space="preserve">En liten bedrift bruker folkene sine, ikke kjøpte tjenester.</t>
  </si>
  <si>
    <t xml:space="preserve">Kampanjen som andel av det ekstra dekningsbidraget</t>
  </si>
  <si>
    <t xml:space="preserve">Under 100 prosent betyr at kampanjen bærer seg hvis målene nås.</t>
  </si>
  <si>
    <t xml:space="preserve">Hva svaret betyr</t>
  </si>
  <si>
    <t xml:space="preserve">Prøv selv</t>
  </si>
  <si>
    <t xml:space="preserve">1. Sett montørtimene (B7) til 0. Hvor mye billigere blir planen? Hvorfor er det likevel en dårlig idé å kutte oppstartsmøtet?</t>
  </si>
  <si>
    <t xml:space="preserve">2. Timene sprekker med 40 prosent. Sett B5 til 109,2 og B7 til 19,6. Hva blir budsjettet?</t>
  </si>
  <si>
    <t xml:space="preserve">3. Hva må det ekstra dekningsbidraget (B10) være for at kampanjen skal ta mindre enn halvparten av det?</t>
  </si>
  <si>
    <t xml:space="preserve">Tallene er Nordlys Elektro AS sine for vårkampanjen 2027 (sammendraget og arket Handlingsplanen). Kilde: Markedsføring, organisasjon og ledelse for LØM-emnet, kap. 10.5. Nordlys Elektro AS er en konstruert casebedrift.</t>
  </si>
  <si>
    <t xml:space="preserve">Markedsplanen i tall</t>
  </si>
  <si>
    <t xml:space="preserve">LØM Markedsføring kap. 10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</si>
  <si>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</si>
  <si>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</si>
  <si>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</si>
  <si>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</si>
  <si>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</si>
  <si>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</si>
  <si>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</si>
  <si>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</si>
  <si>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</si>
  <si>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</si>
  <si>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handlingsplanen koster, regnet av timer og utlegg.</t>
  </si>
  <si>
    <t xml:space="preserve">Målene</t>
  </si>
  <si>
    <t xml:space="preserve">Målene fra kapittel 3, omregnet til omsetning, dekningsbidrag og montørtimer.</t>
  </si>
  <si>
    <t xml:space="preserve">Handlingsplanen</t>
  </si>
  <si>
    <t xml:space="preserve">De ni tiltakene i vårkampanjen, med budsjett regnet av timer og utlegg — og sumlinja lærebokas mal mangler.</t>
  </si>
  <si>
    <t xml:space="preserve">Bærer den seg</t>
  </si>
  <si>
    <t xml:space="preserve">DET VIKTIGSTE ARKET. Hva planen må gi i økt omsetning for å bære seg, uttrykt både i kroner og i antall anlegg.</t>
  </si>
  <si>
    <t xml:space="preserve">Scenario</t>
  </si>
  <si>
    <t xml:space="preserve">Tre spørsmål: hva om kampanjen bare treffer delvis, hva om styret kutter halve budsjettet, og hva om timene sprekker.</t>
  </si>
  <si>
    <t xml:space="preserve">Din egen plan</t>
  </si>
  <si>
    <t xml:space="preserve">Samme oppsett, tomt. Lag handlingsplanen for din egen avdeling.</t>
  </si>
  <si>
    <t xml:space="preserve">Tallene som ligger inne er Nordlys Elektro AS sine egne.</t>
  </si>
  <si>
    <t xml:space="preserve">Dette arket binder markedsføringssøylen sammen: målene fra kapittel 3, tiltakene fra kapittel 9, og spørsmålet kapittel 10 ender i.</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</si>
  <si>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</si>
  <si>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</si>
  <si>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tre tallene styret skal ha med seg ut av møtet</t>
  </si>
  <si>
    <t xml:space="preserve">Hva planen skal gi</t>
  </si>
  <si>
    <t xml:space="preserve">Ekstra dekningsbidrag i 2027 hvis begge delmålene nås</t>
  </si>
  <si>
    <t xml:space="preserve">Hva planen koster</t>
  </si>
  <si>
    <t xml:space="preserve">Vårkampanjen, i egne timer og utlegg</t>
  </si>
  <si>
    <t xml:space="preserve">Hva den må gi for å bære seg</t>
  </si>
  <si>
    <t xml:space="preserve">Økt omsetning i avdelingen — under dette er kampanjen et tap</t>
  </si>
  <si>
    <t xml:space="preserve">Bærer den seg!B12</t>
  </si>
  <si>
    <t xml:space="preserve">Det siste tallet</t>
  </si>
  <si>
    <t xml:space="preserve">Økt omsetning som må til for at planen skal bære seg. Dette er tallet du avslutter framlegget med — det gjør spørsmålet om markedsføring konkret i stedet for prinsipielt.</t>
  </si>
  <si>
    <t xml:space="preserve">Hvilken oppgave bruker hvilket ark</t>
  </si>
  <si>
    <t xml:space="preserve">Oppgave i øvingsheftet</t>
  </si>
  <si>
    <t xml:space="preserve">Ark</t>
  </si>
  <si>
    <t xml:space="preserve">Celler du endrer og leser av</t>
  </si>
  <si>
    <t xml:space="preserve">A1 · Er kampanjen verdt det den koster?</t>
  </si>
  <si>
    <t xml:space="preserve">Les av B5, B6 og B7. Nullpunktet står i B12 og B13.</t>
  </si>
  <si>
    <t xml:space="preserve">A2 · Klasseoppgave: skriv handlingsplanen</t>
  </si>
  <si>
    <t xml:space="preserve">Legg inn timekostnader i C4 og E4, og fyll ut rad 7 til 14. Summen kommer i F15, og nullpunktet i F21.</t>
  </si>
  <si>
    <t xml:space="preserve">2 · Handlingsplanen og summen læreboka ikke oppgir</t>
  </si>
  <si>
    <t xml:space="preserve">Endre C7 til E15. Les av budsjettet i kolonne F, summen i F16, timeandelen i F19 og sammenlikningen med lærebokas tabell 10.1 i rad 24 til 28.</t>
  </si>
  <si>
    <t xml:space="preserve">3 · Gjennomføring og evaluering</t>
  </si>
  <si>
    <t xml:space="preserve">Scenario A: endre måloppnåelsen i kolonne A og les av nettoen i kolonne D. Scenario C: sett timesprekken og les av det nye nullpunktet.</t>
  </si>
  <si>
    <t xml:space="preserve">4 · Skriv handlingsplanen for din egen avdeling</t>
  </si>
  <si>
    <t xml:space="preserve">Hele arket. Kravene står nederst: navngitt ansvarlig, budsjett regnet av timer, internt tiltak før eksternt, og evaluering midt i perioden.</t>
  </si>
  <si>
    <t xml:space="preserve">5 · Eksamensnær: ti minutter for styret</t>
  </si>
  <si>
    <t xml:space="preserve">Bærer den seg og Scenario</t>
  </si>
  <si>
    <t xml:space="preserve">De tre tallene står i «Bærer den seg» B5, B6 og B12. Scenario B er innvendingen styret kommer med.</t>
  </si>
  <si>
    <t xml:space="preserve">Kontrollradene</t>
  </si>
  <si>
    <t xml:space="preserve">Hvert ark har en kontrollblokk nederst. Står det OK, henger tallene sammen. Står det AVVIK, farges cellen rød, og teksten sier hva som ikke går opp.</t>
  </si>
  <si>
    <t xml:space="preserve">To unntak: kontrollen på om kuttet er lønnsomt i scenario B skal vise AVVIK med anslagene som ligger inne — det er selve svaret til styret — og kontrollen i «Din egen plan» står på AVVIK til du har fylt inn dine egne tall.</t>
  </si>
  <si>
    <t xml:space="preserve">Kontroller i arbeidsboka: Målene C20, Målene C21, Målene C22, Handlingsplanen C32, Handlingsplanen C33, Handlingsplanen C34, Handlingsplanen C35, Bærer den seg C29, Bærer den seg C30, Bærer den seg C31, Bærer den seg C32, Scenario C17, Scenario C18, Scenario C34, Scenario C35, Scenario C51, Scenario C52, Din egen plan C24, Din egen plan C26</t>
  </si>
  <si>
    <t xml:space="preserve">Kilder</t>
  </si>
  <si>
    <t xml:space="preserve">Hjertnes, Frode: Markedsføring, organisasjon og ledelse for LØM-emnet, 4. utgave, kapittel 10 «Markedsplanen — et sammendrag», avsnitt 10.1 til 10.7, med tabell 10.1.</t>
  </si>
  <si>
    <t xml:space="preserve">AVVIK: tabell 10.1 lister ti budsjettposter, men oppgir ingen sum. Summen er etterregnet til 357 000 kroner; se avviksregisteret for pensumet, oppslag 39.</t>
  </si>
  <si>
    <t xml:space="preserve">Volumer, priser, dekningsbidrag og mål er de samme som i Markedsføring kapittel 3. Timekostnadene er utledet av bedriftens egne lønns- og kalkyletall fra Økonomistyring kapittel 2 og 5. Bransjetall: NHO Elektro, Lønnsomhetsrapport 2025, gjengitt i Elektro 24-7 19.08.2026 (hentet 10.09.2026). De 809 er bedriftene i datagrunnlaget, ikke bransjen. NHO Elektro oppgir ikke svarprosent.</t>
  </si>
  <si>
    <t xml:space="preserve">Nordlys Elektro AS er en konstruert casebedrift.</t>
  </si>
  <si>
    <t xml:space="preserve">Hva markedsplanen skal gi</t>
  </si>
  <si>
    <t xml:space="preserve">1 · Prisene og dekningsbidragene</t>
  </si>
  <si>
    <t xml:space="preserve">Solcelleanlegg: pris uten mva.</t>
  </si>
  <si>
    <t xml:space="preserve">Dekningsbidrag</t>
  </si>
  <si>
    <t xml:space="preserve">Fra Økonomistyring kapittel 7. De samme tallene som i Markedsføring kapittel 3 og 6.</t>
  </si>
  <si>
    <t xml:space="preserve">Ladepunkt: pris uten mva.</t>
  </si>
  <si>
    <t xml:space="preserve">Montørtimer per solcelleanlegg</t>
  </si>
  <si>
    <t xml:space="preserve">Per ladepunkt</t>
  </si>
  <si>
    <t xml:space="preserve">2 · Volumene: 2026 mot målet for 2027</t>
  </si>
  <si>
    <t xml:space="preserve">2026</t>
  </si>
  <si>
    <t xml:space="preserve">Mål 2027</t>
  </si>
  <si>
    <t xml:space="preserve">Endring</t>
  </si>
  <si>
    <t xml:space="preserve">Endring i prosent</t>
  </si>
  <si>
    <t xml:space="preserve">Hva raden betyr</t>
  </si>
  <si>
    <t xml:space="preserve">Solcelleanlegg</t>
  </si>
  <si>
    <t xml:space="preserve">Hovedmålet er tjue prosent vekst i begge produktene.</t>
  </si>
  <si>
    <t xml:space="preserve">Ladepunkt</t>
  </si>
  <si>
    <t xml:space="preserve">= Omsetning i avdelingen</t>
  </si>
  <si>
    <t xml:space="preserve">Dette er beløpet kampanjen skal skape.</t>
  </si>
  <si>
    <t xml:space="preserve">= Dekningsbidrag</t>
  </si>
  <si>
    <t xml:space="preserve">Og dette er beløpet kampanjen skal måles mot.</t>
  </si>
  <si>
    <t xml:space="preserve">Dekningsgrad</t>
  </si>
  <si>
    <t xml:space="preserve">Kolonne D er den marginale dekningsgraden: hvor mye av hver ny omsetningskrone som blir dekningsbidrag.</t>
  </si>
  <si>
    <t xml:space="preserve">= Montørtimer</t>
  </si>
  <si>
    <t xml:space="preserve">Kapasiteten planen krever. Kampanjen koster timer; leveransen koster flere.</t>
  </si>
  <si>
    <t xml:space="preserve">Kontroll</t>
  </si>
  <si>
    <t xml:space="preserve">Vokser begge produktene?</t>
  </si>
  <si>
    <t xml:space="preserve">Ligger den marginale dekningsgraden nær avdelingens egen?</t>
  </si>
  <si>
    <t xml:space="preserve">Er timene innenfor det avdelingen kan levere?</t>
  </si>
  <si>
    <t xml:space="preserve">Prøv dette: sett målet for ladepunkt i C12 til 300. Se hva som skjer med montørtimene i D17 — og spør deg om avdelingen har dem.</t>
  </si>
  <si>
    <t xml:space="preserve">Kilde: Hjertnes, Markedsføring, organisasjon og ledelse for LØM-emnet, 4. utg., kap. 10.3 om markedsmål. Volumer, priser og dekningsbidrag er Nordlys Elektro AS sine egne, fra Markedsføring kapittel 3 og Økonomistyring kapittel 7.</t>
  </si>
  <si>
    <t xml:space="preserve">Handlingsplanen: hva tiltakene koster</t>
  </si>
  <si>
    <t xml:space="preserve">Hver post regnes av timer og utlegg. Ingen budsjettsum er skrevet inn.</t>
  </si>
  <si>
    <t xml:space="preserve">Timekostnader</t>
  </si>
  <si>
    <t xml:space="preserve">Administrasjonstime</t>
  </si>
  <si>
    <t xml:space="preserve">Montørtime</t>
  </si>
  <si>
    <t xml:space="preserve">Utledet av bedriftens egne lønnstall, Økonomistyring kapittel 2 og 5.</t>
  </si>
  <si>
    <t xml:space="preserve">Uke</t>
  </si>
  <si>
    <t xml:space="preserve">Aktivitet</t>
  </si>
  <si>
    <t xml:space="preserve">Adm.timer</t>
  </si>
  <si>
    <t xml:space="preserve">Montørtimer</t>
  </si>
  <si>
    <t xml:space="preserve">Utlegg</t>
  </si>
  <si>
    <t xml:space="preserve">Budsjett</t>
  </si>
  <si>
    <t xml:space="preserve">Ansvarlig</t>
  </si>
  <si>
    <t xml:space="preserve">Det tiltaket skal føre til</t>
  </si>
  <si>
    <t xml:space="preserve">3</t>
  </si>
  <si>
    <t xml:space="preserve">Idémyldring i ledermøtet: hvilke borettslag skal kampanjen treffe?</t>
  </si>
  <si>
    <t xml:space="preserve">Kari Nordlund (KN)</t>
  </si>
  <si>
    <t xml:space="preserve">Hovedmål: minst én signert rammeavtale om lading innen 30.06.2027</t>
  </si>
  <si>
    <t xml:space="preserve">4</t>
  </si>
  <si>
    <t xml:space="preserve">Kartlegging: alle borettslag i bydelen med over 20 leiligheter og uten ladeanlegg</t>
  </si>
  <si>
    <t xml:space="preserve">Ida Haugen (IH)</t>
  </si>
  <si>
    <t xml:space="preserve">Liste med 24 navngitte styreledere</t>
  </si>
  <si>
    <t xml:space="preserve">5</t>
  </si>
  <si>
    <t xml:space="preserve">Referansearket lages og trykkes: tre gjennomførte anlegg, Enova-satsen og én pris</t>
  </si>
  <si>
    <t xml:space="preserve">IH</t>
  </si>
  <si>
    <t xml:space="preserve">Ett ark som også ligger i alle servicebilene</t>
  </si>
  <si>
    <t xml:space="preserve">6</t>
  </si>
  <si>
    <t xml:space="preserve">Brev til de 24 styrelederne, med oppfølgingstelefon uka etter</t>
  </si>
  <si>
    <t xml:space="preserve">KN</t>
  </si>
  <si>
    <t xml:space="preserve">Minst ti styrer som vil ha besøk</t>
  </si>
  <si>
    <t xml:space="preserve">7</t>
  </si>
  <si>
    <t xml:space="preserve">Internt oppstartsmøte: hva alle atten skal svare når en kunde spør om solceller</t>
  </si>
  <si>
    <t xml:space="preserve">KN + Tom Berg (TB)</t>
  </si>
  <si>
    <t xml:space="preserve">Alle ansatte kjenner kampanjen før kunden gjør det</t>
  </si>
  <si>
    <t xml:space="preserve">8–11</t>
  </si>
  <si>
    <t xml:space="preserve">Åtte besøk hos styrer, med befaring på taket</t>
  </si>
  <si>
    <t xml:space="preserve">KN + TB</t>
  </si>
  <si>
    <t xml:space="preserve">Åtte tilbud sendt ut</t>
  </si>
  <si>
    <t xml:space="preserve">12</t>
  </si>
  <si>
    <t xml:space="preserve">Underveisevaluering: antall besøk, antall tilbud og treffprosent</t>
  </si>
  <si>
    <t xml:space="preserve">KN + IH</t>
  </si>
  <si>
    <t xml:space="preserve">Justere kampanjen mens den fortsatt varer</t>
  </si>
  <si>
    <t xml:space="preserve">20</t>
  </si>
  <si>
    <t xml:space="preserve">Forhandling og signering av rammeavtale</t>
  </si>
  <si>
    <t xml:space="preserve">Delmål 1.3: minst 20 ladepunkt</t>
  </si>
  <si>
    <t xml:space="preserve">26</t>
  </si>
  <si>
    <t xml:space="preserve">Sluttevaluering mot delmål 1.2 og 1.3, og beslutning om kampanjen skal gjentas</t>
  </si>
  <si>
    <t xml:space="preserve">Skriftlig notat til styret</t>
  </si>
  <si>
    <t xml:space="preserve">= Sum</t>
  </si>
  <si>
    <t xml:space="preserve">Denne linja mangler i lærebokas tabell 10.1. En plan uten sum kan ingen ta stilling til.</t>
  </si>
  <si>
    <t xml:space="preserve">Hva budsjettet består av</t>
  </si>
  <si>
    <t xml:space="preserve">En liten bedrift kan ikke kjøpe seg markedsføring. Den må bruke folkene sine, og de er dyre.</t>
  </si>
  <si>
    <t xml:space="preserve">Dyreste enkelttiltak</t>
  </si>
  <si>
    <t xml:space="preserve">Kolonne G viser hvilken uke det ligger i.</t>
  </si>
  <si>
    <t xml:space="preserve">Avdelingens omsetning i 2026</t>
  </si>
  <si>
    <t xml:space="preserve">Kampanjen som andel av omsetningen</t>
  </si>
  <si>
    <t xml:space="preserve">Til sammenlikning: lærebokas tabell 10.1</t>
  </si>
  <si>
    <t xml:space="preserve">Bygghandel AS, omsetning 2023</t>
  </si>
  <si>
    <t xml:space="preserve">Sum av de ti budsjettpostene i tabell 10.1</t>
  </si>
  <si>
    <t xml:space="preserve">Læreboka lister postene, men summerer dem ikke. Summen er etterregnet; se avviksregisteret, oppslag 39.</t>
  </si>
  <si>
    <t xml:space="preserve">Bygghandels kampanje som andel av omsetningen</t>
  </si>
  <si>
    <t xml:space="preserve">Nordlys' andel delt på Bygghandels</t>
  </si>
  <si>
    <t xml:space="preserve">Så mange ganger så stor andel av omsetningen. Ikke fordi Nordlys sløser, men fordi markedsføring har et kostnadsgulv.</t>
  </si>
  <si>
    <t xml:space="preserve">Hva kampanjen ville kostet med Bygghandels andel</t>
  </si>
  <si>
    <t xml:space="preserve">Ikke nok til å skrive brevet. Gulvet ligger høyere enn dette.</t>
  </si>
  <si>
    <t xml:space="preserve">Er hver budsjettpost regnet av timer og utlegg?</t>
  </si>
  <si>
    <t xml:space="preserve">Har planen en sum?</t>
  </si>
  <si>
    <t xml:space="preserve">Har hvert tiltak en navngitt ansvarlig?</t>
  </si>
  <si>
    <t xml:space="preserve">Kommer det interne tiltaket før de første kundebesøkene?</t>
  </si>
  <si>
    <t xml:space="preserve">Prøv dette: sett montørtimene på det interne oppstartsmøtet i D11 til null. Se hva budsjettet blir — og tenk gjennom hva som skjer med kampanjen.</t>
  </si>
  <si>
    <t xml:space="preserve">Kilde: Hjertnes kap. 10.5 om handlingsplanen, med tabell 10.1. Timekostnadene er utledet av Nordlys' egne lønnstall.</t>
  </si>
  <si>
    <t xml:space="preserve">Hva planen må gi i økt omsetning for å bære seg</t>
  </si>
  <si>
    <t xml:space="preserve">Det ene tallet som binder hele markedsplanen sammen.</t>
  </si>
  <si>
    <t xml:space="preserve">1 · De to sidene</t>
  </si>
  <si>
    <t xml:space="preserve">Hva planen koster: kampanjebudsjettet</t>
  </si>
  <si>
    <t xml:space="preserve">Hva planen skal gi: ekstra dekningsbidrag ved full måloppnåelse</t>
  </si>
  <si>
    <t xml:space="preserve">Diskusjonsstoppet i økta handlet om nettopp dette tallet.</t>
  </si>
  <si>
    <t xml:space="preserve">2 · Nullpunktet</t>
  </si>
  <si>
    <t xml:space="preserve">Økt omsetning ved full måloppnåelse</t>
  </si>
  <si>
    <t xml:space="preserve">Marginal dekningsgrad</t>
  </si>
  <si>
    <t xml:space="preserve">Hvor mye av hver ny omsetningskrone som blir dekningsbidrag.</t>
  </si>
  <si>
    <t xml:space="preserve">= ØKT OMSETNING SOM MÅ TIL FOR AT PLANEN SKAL BÆRE SEG</t>
  </si>
  <si>
    <t xml:space="preserve">Dette er tallet du avslutter framlegget til styret med. Under dette er kampanjen et tap.</t>
  </si>
  <si>
    <t xml:space="preserve">= Som andel av målet</t>
  </si>
  <si>
    <t xml:space="preserve">Kampanjen trenger altså ikke å lykkes helt for å bære seg.</t>
  </si>
  <si>
    <t xml:space="preserve">3 · Det samme tallet, uttrykt i anlegg</t>
  </si>
  <si>
    <t xml:space="preserve">Solcelleanlegg som må til alene</t>
  </si>
  <si>
    <t xml:space="preserve">Ladepunkt som må til alene</t>
  </si>
  <si>
    <t xml:space="preserve">To måter å si det samme på. Velg den styret forstår raskest.</t>
  </si>
  <si>
    <t xml:space="preserve">Ekstra solcelleanlegg i målet</t>
  </si>
  <si>
    <t xml:space="preserve">Ekstra ladepunkt i målet</t>
  </si>
  <si>
    <t xml:space="preserve">4 · Kapasiteten planen krever</t>
  </si>
  <si>
    <t xml:space="preserve">Montørtimer kampanjen selv binder</t>
  </si>
  <si>
    <t xml:space="preserve">Montørtimer leveransen binder i tillegg</t>
  </si>
  <si>
    <t xml:space="preserve">= Til sammen</t>
  </si>
  <si>
    <t xml:space="preserve">Kampanjen er den billige delen. Å levere det den selger, er den dyre.</t>
  </si>
  <si>
    <t xml:space="preserve">Fakturerte montørtimer i bedriften</t>
  </si>
  <si>
    <t xml:space="preserve">Som andel av bedriftens montørtimer</t>
  </si>
  <si>
    <t xml:space="preserve">Bærer planen seg ved full måloppnåelse?</t>
  </si>
  <si>
    <t xml:space="preserve">Ligger nullpunktet innenfor målet?</t>
  </si>
  <si>
    <t xml:space="preserve">Gir de to måtene å regne nullpunktet på samme svar?</t>
  </si>
  <si>
    <t xml:space="preserve">Krever leveransen flere timer enn kampanjen?</t>
  </si>
  <si>
    <t xml:space="preserve">Prøv dette: sett kampanjebudsjettet opp ved å legge til fire timer på styrebesøkene i arket Handlingsplanen. Se hvor mye mer omsetning planen da må skape.</t>
  </si>
  <si>
    <t xml:space="preserve">Kilde: Hjertnes kap. 10.5 og 10.6 om budsjettering og evaluering. Dekningsbidrag og montørtimer: Nordlys Elektro AS, Økonomistyring kapittel 5 og 7.</t>
  </si>
  <si>
    <t xml:space="preserve">Tre scenarioer</t>
  </si>
  <si>
    <t xml:space="preserve">Hva om kampanjen bare treffer delvis, hva om styret kutter, og hva om timene sprekker?</t>
  </si>
  <si>
    <t xml:space="preserve">Scenario A · hva om kampanjen bare treffer delvis?</t>
  </si>
  <si>
    <t xml:space="preserve">Nullpunktsraden er markert. Under den er kampanjen et tap.</t>
  </si>
  <si>
    <t xml:space="preserve">Måloppnåelse</t>
  </si>
  <si>
    <t xml:space="preserve">Økt omsetning</t>
  </si>
  <si>
    <t xml:space="preserve">Ekstra dekningsbidrag</t>
  </si>
  <si>
    <t xml:space="preserve">Netto etter kampanjen</t>
  </si>
  <si>
    <t xml:space="preserve">Nullpunktet</t>
  </si>
  <si>
    <t xml:space="preserve">Gir nullpunktsraden netto null?</t>
  </si>
  <si>
    <t xml:space="preserve">Snur tabellen fra tap til gevinst?</t>
  </si>
  <si>
    <t xml:space="preserve">Scenario B · styret kutter halve kampanjebudsjettet</t>
  </si>
  <si>
    <t xml:space="preserve">Halve budsjettet betyr halve tiltakene. Spørsmålet er hvilke, og hva det gjør med måloppnåelsen.</t>
  </si>
  <si>
    <t xml:space="preserve">Andel av budsjettet styret godkjenner</t>
  </si>
  <si>
    <t xml:space="preserve">= Budsjett etter kuttet</t>
  </si>
  <si>
    <t xml:space="preserve">Måloppnåelse du tror et halvert budsjett gir</t>
  </si>
  <si>
    <t xml:space="preserve">Et anslag. Halvparten av pengene gir sjelden halvparten av resultatet — det interne tiltaket og kartleggingen må gjøres uansett.</t>
  </si>
  <si>
    <t xml:space="preserve">= Ekstra dekningsbidrag da</t>
  </si>
  <si>
    <t xml:space="preserve">= Netto etter kuttet</t>
  </si>
  <si>
    <t xml:space="preserve">Netto uten kutt, til sammenlikning</t>
  </si>
  <si>
    <t xml:space="preserve">= Hva kuttet koster</t>
  </si>
  <si>
    <t xml:space="preserve">Laveste måloppnåelse som forsvarer det halve budsjettet</t>
  </si>
  <si>
    <t xml:space="preserve">Et halvert budsjett har et lavere nullpunkt. Det er argumentet for kuttet — og det gjelder bare hvis måloppnåelsen ikke faller like mye.</t>
  </si>
  <si>
    <t xml:space="preserve">Bærer den kuttede planen seg?</t>
  </si>
  <si>
    <t xml:space="preserve">Er kuttet lønnsomt?</t>
  </si>
  <si>
    <t xml:space="preserve">Her SKAL det stå AVVIK med anslagene som ligger inne. Halve budsjettet gir halve resultatet, og da taper bedriften på kuttet.</t>
  </si>
  <si>
    <t xml:space="preserve">Scenario C · timeforbruket sprekker</t>
  </si>
  <si>
    <t xml:space="preserve">Det vanligste avviket i en handlingsplan er ikke utleggene. Det er timene.</t>
  </si>
  <si>
    <t xml:space="preserve">Faktisk timeforbruk i prosent av planlagt</t>
  </si>
  <si>
    <t xml:space="preserve">Planlagte administrasjonstimer</t>
  </si>
  <si>
    <t xml:space="preserve">Planlagte montørtimer</t>
  </si>
  <si>
    <t xml:space="preserve">Utlegg, som ikke sprekker</t>
  </si>
  <si>
    <t xml:space="preserve">= Budsjett med faktisk timeforbruk</t>
  </si>
  <si>
    <t xml:space="preserve">= Overskridelse</t>
  </si>
  <si>
    <t xml:space="preserve">= Nytt nullpunkt i økt omsetning</t>
  </si>
  <si>
    <t xml:space="preserve">Som andel av målet</t>
  </si>
  <si>
    <t xml:space="preserve">Sammenlikn med nullpunktet uten sprekk. Timer som sprekker, flytter nullpunktet — de forsvinner ikke bare i en rapport.</t>
  </si>
  <si>
    <t xml:space="preserve">Bærer planen seg fortsatt?</t>
  </si>
  <si>
    <t xml:space="preserve">Er utleggene holdt utenfor sprekken?</t>
  </si>
  <si>
    <t xml:space="preserve">Kilde: Hjertnes kap. 10.5 om budsjettering og 10.6 om gjennomføring og evaluering, med beredskap for improvisasjon. Alle forutsetningene i scenarioene står i gule celler.</t>
  </si>
  <si>
    <t xml:space="preserve">Din egen handlingsplan</t>
  </si>
  <si>
    <t xml:space="preserve">Samme oppsett, tomt. Minst ett internt tiltak og minst én evaluering underveis.</t>
  </si>
  <si>
    <t xml:space="preserve">Ta med lønn og sosiale kostnader, ikke bare timelønna. De fleste undervurderer hva egne timer koster.</t>
  </si>
  <si>
    <t xml:space="preserve">Ekstra dekningsbidrag hvis målet nås</t>
  </si>
  <si>
    <t xml:space="preserve">= Kampanjen som andel av det ekstra dekningsbidraget</t>
  </si>
  <si>
    <t xml:space="preserve">= Økt omsetning som må til for at planen skal bære seg</t>
  </si>
  <si>
    <t xml:space="preserve">Dette er tallet du avslutter med.</t>
  </si>
  <si>
    <t xml:space="preserve">Har planen en sum og et mål å måles mot?</t>
  </si>
  <si>
    <t xml:space="preserve">Her står det AVVIK til du har fylt inn dine egne tall. Det er meningen: arket er tomt når du får det.</t>
  </si>
  <si>
    <t xml:space="preserve">Fire ting skiller en god plan fra en dårlig: hver linje har en navngitt person, budsjettpostene er regnet av timer, det interne tiltaket kommer FØR det eksterne, og evalueringen ligger midt i perioden.</t>
  </si>
</sst>
</file>

<file path=xl/styles.xml><?xml version="1.0" encoding="utf-8"?>
<styleSheet xmlns="http://schemas.openxmlformats.org/spreadsheetml/2006/main">
  <numFmts count="9">
    <numFmt numFmtId="164" formatCode="General"/>
    <numFmt numFmtId="165" formatCode="0"/>
    <numFmt numFmtId="166" formatCode="#,##0.00"/>
    <numFmt numFmtId="167" formatCode="#,##0"/>
    <numFmt numFmtId="168" formatCode="0.0\ %"/>
    <numFmt numFmtId="169" formatCode="#,##0&quot; kr&quot;"/>
    <numFmt numFmtId="170" formatCode="0.0%"/>
    <numFmt numFmtId="171" formatCode="#,##0.00&quot; kr&quot;"/>
    <numFmt numFmtId="172" formatCode="0.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2"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xf numFmtId="164" fontId="14"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ht="27" customHeight="true" r="5" customFormat="false" hidden="false" outlineLevel="0" collapsed="false">
      <c r="A5" s="5" t="s">
        <v>3</v>
      </c>
      <c r="B5" s="6" t="n">
        <v>78</v>
      </c>
      <c r="C5" s="7" t="s">
        <v>4</v>
      </c>
    </row>
    <row r="6" customFormat="false" ht="15" hidden="false" customHeight="true" outlineLevel="0" collapsed="false">
      <c r="A6" s="5" t="s">
        <v>5</v>
      </c>
      <c r="B6" s="8" t="n">
        <v>327.43</v>
      </c>
      <c r="C6" s="7" t="s">
        <v>6</v>
      </c>
    </row>
    <row r="7" customFormat="false" ht="15" hidden="false" customHeight="true" outlineLevel="0" collapsed="false">
      <c r="A7" s="5" t="s">
        <v>7</v>
      </c>
      <c r="B7" s="6" t="n">
        <v>14</v>
      </c>
      <c r="C7" s="7" t="s">
        <v>8</v>
      </c>
    </row>
    <row r="8" customFormat="false" ht="15" hidden="false" customHeight="true" outlineLevel="0" collapsed="false">
      <c r="A8" s="5" t="s">
        <v>9</v>
      </c>
      <c r="B8" s="9" t="n">
        <v>640</v>
      </c>
      <c r="C8" s="7" t="s">
        <v>10</v>
      </c>
    </row>
    <row r="9" customFormat="false" ht="15" hidden="false" customHeight="true" outlineLevel="0" collapsed="false">
      <c r="A9" s="5" t="s">
        <v>11</v>
      </c>
      <c r="B9" s="9" t="n">
        <v>5900</v>
      </c>
      <c r="C9" s="7" t="s">
        <v>12</v>
      </c>
    </row>
    <row r="10" customFormat="false" ht="15" hidden="false" customHeight="true" outlineLevel="0" collapsed="false">
      <c r="A10" s="5" t="s">
        <v>13</v>
      </c>
      <c r="B10" s="9" t="n">
        <v>71950</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10" t="n">
        <f aca="false">B5*B6</f>
        <v>25539.54</v>
      </c>
      <c r="C13" s="7" t="s">
        <v>17</v>
      </c>
    </row>
    <row r="14" customFormat="false" ht="15" hidden="false" customHeight="true" outlineLevel="0" collapsed="false">
      <c r="A14" s="5" t="s">
        <v>18</v>
      </c>
      <c r="B14" s="10" t="n">
        <f aca="false">B7*B8</f>
        <v>8960</v>
      </c>
      <c r="C14" s="7" t="s">
        <v>19</v>
      </c>
    </row>
    <row r="15" customFormat="false" ht="15" hidden="false" customHeight="true" outlineLevel="0" collapsed="false">
      <c r="A15" s="5" t="s">
        <v>20</v>
      </c>
      <c r="B15" s="10" t="n">
        <f aca="false">B13+B14</f>
        <v>34499.54</v>
      </c>
      <c r="C15" s="7" t="s">
        <v>21</v>
      </c>
    </row>
    <row r="16" customFormat="false" ht="15" hidden="false" customHeight="true" outlineLevel="0" collapsed="false"/>
    <row r="17" customFormat="false" ht="21" hidden="false" customHeight="true" outlineLevel="0" collapsed="false">
      <c r="A17" s="11" t="s">
        <v>22</v>
      </c>
      <c r="B17" s="12" t="n">
        <f aca="false">B15+B9</f>
        <v>40399.54</v>
      </c>
      <c r="C17" s="7" t="s">
        <v>23</v>
      </c>
    </row>
    <row r="18" customFormat="false" ht="15" hidden="false" customHeight="true" outlineLevel="0" collapsed="false">
      <c r="A18" s="5" t="s">
        <v>24</v>
      </c>
      <c r="B18" s="13" t="n">
        <f aca="false">B15/B17</f>
        <v>0.853958733193497</v>
      </c>
      <c r="C18" s="7" t="s">
        <v>25</v>
      </c>
    </row>
    <row ht="27" customHeight="true" r="19" customFormat="false" hidden="false" outlineLevel="0" collapsed="false">
      <c r="A19" s="5" t="s">
        <v>26</v>
      </c>
      <c r="B19" s="13" t="n">
        <f aca="false">B17/B10</f>
        <v>0.561494649061849</v>
      </c>
      <c r="C19" s="7" t="s">
        <v>27</v>
      </c>
    </row>
    <row r="20" customFormat="false" ht="15" hidden="false" customHeight="true" outlineLevel="0" collapsed="false"/>
    <row r="21" customFormat="false" ht="15" hidden="false" customHeight="true" outlineLevel="0" collapsed="false">
      <c r="A21" s="3" t="s">
        <v>28</v>
      </c>
      <c r="B21" s="4"/>
      <c r="C21" s="4"/>
    </row>
    <row r="22" customFormat="false" ht="33.75" hidden="false" customHeight="true" outlineLevel="0" collapsed="false">
      <c r="A22" s="14" t="str">
        <f aca="false">"Kampanjen koster "&amp;TEXT(ROUND(B17,0),"#,##0")&amp;" kroner. "&amp;TEXT(B18,"0.0 %")&amp;" av det er egne timer, og kampanjen tar "&amp;TEXT(B19,"0.0 %")&amp;" av det ekstra dekningsbidraget målene skal gi."</f>
        <v>Kampanjen koster 40,400 kroner. 85.4 % av det er egne timer, og kampanjen tar 56.1 % av det ekstra dekningsbidraget målene skal gi.</v>
      </c>
      <c r="B22" s="14"/>
      <c r="C22" s="14"/>
    </row>
    <row r="23" customFormat="false" ht="15" hidden="false" customHeight="true" outlineLevel="0" collapsed="false"/>
    <row r="24" customFormat="false" ht="15" hidden="false" customHeight="true" outlineLevel="0" collapsed="false">
      <c r="A24" s="3" t="s">
        <v>29</v>
      </c>
      <c r="B24" s="4"/>
      <c r="C24" s="4"/>
    </row>
    <row r="25" customFormat="false" ht="27" hidden="false" customHeight="true" outlineLevel="0" collapsed="false">
      <c r="A25" s="15" t="s">
        <v>30</v>
      </c>
      <c r="B25" s="15"/>
      <c r="C25" s="15"/>
    </row>
    <row r="26" customFormat="false" ht="27" hidden="false" customHeight="true" outlineLevel="0" collapsed="false">
      <c r="A26" s="15" t="s">
        <v>31</v>
      </c>
      <c r="B26" s="15"/>
      <c r="C26" s="15"/>
    </row>
    <row r="27" customFormat="false" ht="27" hidden="false" customHeight="true" outlineLevel="0" collapsed="false">
      <c r="A27" s="15" t="s">
        <v>32</v>
      </c>
      <c r="B27" s="15"/>
      <c r="C27" s="15"/>
    </row>
    <row r="28" customFormat="false" ht="15" hidden="false" customHeight="true" outlineLevel="0" collapsed="false"/>
    <row r="29" customFormat="false" ht="27" hidden="false" customHeight="true" outlineLevel="0" collapsed="false">
      <c r="A29" s="2" t="s">
        <v>33</v>
      </c>
      <c r="B29" s="2"/>
      <c r="C29" s="2"/>
    </row>
  </sheetData>
  <mergeCells count="6">
    <mergeCell ref="A2:C2"/>
    <mergeCell ref="A22:C22"/>
    <mergeCell ref="A25:C25"/>
    <mergeCell ref="A26:C26"/>
    <mergeCell ref="A27:C27"/>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34</v>
      </c>
    </row>
    <row r="2" customFormat="false" ht="15" hidden="false" customHeight="false" outlineLevel="0" collapsed="false">
      <c r="A2" s="16" t="s">
        <v>35</v>
      </c>
    </row>
    <row r="3" customFormat="false" ht="15" hidden="false" customHeight="false" outlineLevel="0" collapsed="false">
      <c r="A3" s="17" t="s">
        <v>36</v>
      </c>
    </row>
    <row r="4" customFormat="false" ht="15" hidden="false" customHeight="false" outlineLevel="0" collapsed="false">
      <c r="A4" s="18" t="s">
        <v>37</v>
      </c>
    </row>
    <row r="5" customFormat="false" ht="15" hidden="false" customHeight="false" outlineLevel="0" collapsed="false">
      <c r="A5" s="19" t="s">
        <v>38</v>
      </c>
      <c r="B5" s="20" t="s">
        <v>39</v>
      </c>
    </row>
    <row r="6" customFormat="false" ht="15" hidden="false" customHeight="false" outlineLevel="0" collapsed="false">
      <c r="A6" s="21" t="s">
        <v>40</v>
      </c>
      <c r="B6" s="20" t="s">
        <v>41</v>
      </c>
    </row>
    <row r="7" customFormat="false" ht="15" hidden="false" customHeight="false" outlineLevel="0" collapsed="false">
      <c r="A7" s="21" t="s">
        <v>42</v>
      </c>
      <c r="B7" s="20" t="s">
        <v>43</v>
      </c>
    </row>
    <row r="9" customFormat="false" ht="15" hidden="false" customHeight="false" outlineLevel="0" collapsed="false">
      <c r="A9" s="18" t="s">
        <v>44</v>
      </c>
    </row>
    <row r="10" customFormat="false" ht="15" hidden="false" customHeight="false" outlineLevel="0" collapsed="false">
      <c r="A10" s="22" t="s">
        <v>45</v>
      </c>
      <c r="B10" s="20" t="s">
        <v>46</v>
      </c>
    </row>
    <row r="11" customFormat="false" ht="15" hidden="false" customHeight="false" outlineLevel="0" collapsed="false">
      <c r="A11" s="22" t="s">
        <v>47</v>
      </c>
      <c r="B11" s="20" t="s">
        <v>48</v>
      </c>
    </row>
    <row r="12" customFormat="false" ht="15" hidden="false" customHeight="false" outlineLevel="0" collapsed="false">
      <c r="A12" s="22" t="s">
        <v>49</v>
      </c>
      <c r="B12" s="20" t="s">
        <v>50</v>
      </c>
    </row>
    <row r="13" customFormat="false" ht="15" hidden="false" customHeight="false" outlineLevel="0" collapsed="false">
      <c r="A13" s="22" t="s">
        <v>51</v>
      </c>
      <c r="B13" s="20" t="s">
        <v>52</v>
      </c>
    </row>
    <row r="14" customFormat="false" ht="15" hidden="false" customHeight="false" outlineLevel="0" collapsed="false">
      <c r="A14" s="22" t="s">
        <v>53</v>
      </c>
      <c r="B14" s="20" t="s">
        <v>54</v>
      </c>
    </row>
    <row r="15" customFormat="false" ht="15" hidden="false" customHeight="false" outlineLevel="0" collapsed="false">
      <c r="A15" s="22" t="s">
        <v>55</v>
      </c>
      <c r="B15" s="20" t="s">
        <v>56</v>
      </c>
    </row>
    <row r="17" customFormat="false" ht="15" hidden="false" customHeight="false" outlineLevel="0" collapsed="false">
      <c r="A17" s="17" t="s">
        <v>57</v>
      </c>
    </row>
    <row r="18" customFormat="false" ht="15" hidden="false" customHeight="false" outlineLevel="0" collapsed="false">
      <c r="A18" s="17" t="s">
        <v>58</v>
      </c>
    </row>
    <row r="20" customFormat="false" ht="15" hidden="false" customHeight="false" outlineLevel="0" collapsed="false">
      <c r="A20" s="17" t="s">
        <v>59</v>
      </c>
    </row>
    <row r="21" customFormat="false" ht="15" hidden="false" customHeight="false" outlineLevel="0" collapsed="false">
      <c r="A21" s="17" t="s">
        <v>60</v>
      </c>
    </row>
    <row r="23" customFormat="false" ht="15" hidden="false" customHeight="false" outlineLevel="0" collapsed="false">
      <c r="A23" s="18" t="s">
        <v>61</v>
      </c>
    </row>
    <row r="24" customFormat="false" ht="15" hidden="false" customHeight="false" outlineLevel="0" collapsed="false">
      <c r="A24" s="22" t="s">
        <v>62</v>
      </c>
      <c r="B24" s="20" t="s">
        <v>63</v>
      </c>
    </row>
    <row r="25" customFormat="false" ht="15" hidden="false" customHeight="false" outlineLevel="0" collapsed="false">
      <c r="A25" s="22" t="s">
        <v>64</v>
      </c>
      <c r="B25" s="20" t="s">
        <v>65</v>
      </c>
    </row>
    <row r="26" customFormat="false" ht="15" hidden="false" customHeight="false" outlineLevel="0" collapsed="false">
      <c r="A26" s="22" t="s">
        <v>66</v>
      </c>
      <c r="B26" s="20" t="s">
        <v>67</v>
      </c>
    </row>
    <row r="27" customFormat="false" ht="15" hidden="false" customHeight="false" outlineLevel="0" collapsed="false">
      <c r="A27" s="20" t="s">
        <v>68</v>
      </c>
      <c r="B27" s="20" t="s">
        <v>69</v>
      </c>
      <c r="C27" s="20" t="s">
        <v>70</v>
      </c>
    </row>
    <row r="29" customFormat="false" ht="15" hidden="false" customHeight="false" outlineLevel="0" collapsed="false">
      <c r="A29" s="18" t="s">
        <v>71</v>
      </c>
    </row>
    <row r="30" customFormat="false" ht="27.75" hidden="false" customHeight="true" outlineLevel="0" collapsed="false">
      <c r="A30" s="23" t="s">
        <v>72</v>
      </c>
      <c r="B30" s="23" t="s">
        <v>73</v>
      </c>
      <c r="C30" s="23" t="s">
        <v>74</v>
      </c>
    </row>
    <row r="31" customFormat="false" ht="15" hidden="false" customHeight="false" outlineLevel="0" collapsed="false">
      <c r="A31" s="20" t="s">
        <v>75</v>
      </c>
      <c r="B31" s="22" t="s">
        <v>51</v>
      </c>
      <c r="C31" s="20" t="s">
        <v>76</v>
      </c>
    </row>
    <row r="32" customFormat="false" ht="15" hidden="false" customHeight="false" outlineLevel="0" collapsed="false">
      <c r="A32" s="20" t="s">
        <v>77</v>
      </c>
      <c r="B32" s="22" t="s">
        <v>55</v>
      </c>
      <c r="C32" s="20" t="s">
        <v>78</v>
      </c>
    </row>
    <row ht="27" customHeight="true" r="33" customFormat="false" hidden="false" outlineLevel="0" collapsed="false">
      <c s="38" r="A33" t="s">
        <v>79</v>
      </c>
      <c r="B33" s="22" t="s">
        <v>49</v>
      </c>
      <c r="C33" s="20" t="s">
        <v>80</v>
      </c>
    </row>
    <row r="34" customFormat="false" ht="15" hidden="false" customHeight="false" outlineLevel="0" collapsed="false">
      <c r="A34" s="20" t="s">
        <v>81</v>
      </c>
      <c r="B34" s="22" t="s">
        <v>53</v>
      </c>
      <c r="C34" s="20" t="s">
        <v>82</v>
      </c>
    </row>
    <row r="35" customFormat="false" ht="15" hidden="false" customHeight="false" outlineLevel="0" collapsed="false">
      <c r="A35" s="20" t="s">
        <v>83</v>
      </c>
      <c r="B35" s="22" t="s">
        <v>55</v>
      </c>
      <c r="C35" s="20" t="s">
        <v>84</v>
      </c>
    </row>
    <row r="36" customFormat="false" ht="15" hidden="false" customHeight="false" outlineLevel="0" collapsed="false">
      <c r="A36" s="20" t="s">
        <v>85</v>
      </c>
      <c r="B36" s="22" t="s">
        <v>86</v>
      </c>
      <c r="C36" s="20" t="s">
        <v>87</v>
      </c>
    </row>
    <row r="38" customFormat="false" ht="15" hidden="false" customHeight="false" outlineLevel="0" collapsed="false">
      <c r="A38" s="18" t="s">
        <v>88</v>
      </c>
    </row>
    <row r="39" customFormat="false" ht="15" hidden="false" customHeight="false" outlineLevel="0" collapsed="false">
      <c r="A39" s="20" t="s">
        <v>89</v>
      </c>
    </row>
    <row r="40" customFormat="false" ht="15" hidden="false" customHeight="false" outlineLevel="0" collapsed="false">
      <c r="A40" s="20" t="s">
        <v>90</v>
      </c>
    </row>
    <row r="41" customFormat="false" ht="15" hidden="false" customHeight="false" outlineLevel="0" collapsed="false">
      <c r="A41" s="17" t="s">
        <v>91</v>
      </c>
    </row>
    <row r="43" customFormat="false" ht="15" hidden="false" customHeight="false" outlineLevel="0" collapsed="false">
      <c r="A43" s="18" t="s">
        <v>92</v>
      </c>
    </row>
    <row r="44" customFormat="false" ht="15" hidden="false" customHeight="false" outlineLevel="0" collapsed="false">
      <c r="A44" s="17" t="s">
        <v>93</v>
      </c>
    </row>
    <row r="45" customFormat="false" ht="15" hidden="false" customHeight="false" outlineLevel="0" collapsed="false">
      <c r="A45" s="17" t="s">
        <v>94</v>
      </c>
    </row>
    <row r="46" customFormat="false" ht="15" hidden="false" customHeight="false" outlineLevel="0" collapsed="false">
      <c r="A46" s="17" t="s">
        <v>95</v>
      </c>
    </row>
    <row r="47" customFormat="false" ht="15" hidden="false" customHeight="false" outlineLevel="0" collapsed="false">
      <c r="A47" s="17" t="s">
        <v>96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52"/>
  </cols>
  <sheetData>
    <row r="1" customFormat="false" ht="17.35" hidden="false" customHeight="false" outlineLevel="0" collapsed="false">
      <c r="A1" s="1" t="s">
        <v>97</v>
      </c>
    </row>
    <row r="2" customFormat="false" ht="15" hidden="false" customHeight="false" outlineLevel="0" collapsed="false">
      <c r="A2" s="16" t="s">
        <v>48</v>
      </c>
    </row>
    <row r="4" customFormat="false" ht="15" hidden="false" customHeight="false" outlineLevel="0" collapsed="false">
      <c r="A4" s="18" t="s">
        <v>98</v>
      </c>
    </row>
    <row r="5" customFormat="false" ht="15" hidden="false" customHeight="false" outlineLevel="0" collapsed="false">
      <c r="A5" s="20" t="s">
        <v>99</v>
      </c>
      <c r="B5" s="24" t="n">
        <v>51360</v>
      </c>
      <c s="38" r="C5" t="s">
        <v>100</v>
      </c>
      <c r="D5" s="24" t="n">
        <v>4400</v>
      </c>
      <c r="F5" s="20" t="s">
        <v>101</v>
      </c>
    </row>
    <row r="6" customFormat="false" ht="15" hidden="false" customHeight="false" outlineLevel="0" collapsed="false">
      <c r="A6" s="20" t="s">
        <v>102</v>
      </c>
      <c r="B6" s="24" t="n">
        <v>8830</v>
      </c>
      <c s="38" r="C6" t="s">
        <v>100</v>
      </c>
      <c r="D6" s="24" t="n">
        <v>1050</v>
      </c>
    </row>
    <row r="7" customFormat="false" ht="15" hidden="false" customHeight="false" outlineLevel="0" collapsed="false">
      <c r="A7" s="20" t="s">
        <v>103</v>
      </c>
      <c r="B7" s="25" t="n">
        <v>14</v>
      </c>
      <c r="C7" s="20" t="s">
        <v>104</v>
      </c>
      <c r="D7" s="25" t="n">
        <v>2</v>
      </c>
    </row>
    <row r="9" customFormat="false" ht="15" hidden="false" customHeight="false" outlineLevel="0" collapsed="false">
      <c r="A9" s="18" t="s">
        <v>105</v>
      </c>
    </row>
    <row r="10" customFormat="false" ht="27.75" hidden="false" customHeight="true" outlineLevel="0" collapsed="false">
      <c r="A10" s="23"/>
      <c r="B10" s="23" t="s">
        <v>106</v>
      </c>
      <c r="C10" s="23" t="s">
        <v>107</v>
      </c>
      <c r="D10" s="23" t="s">
        <v>108</v>
      </c>
      <c r="E10" s="23" t="s">
        <v>109</v>
      </c>
      <c r="F10" s="23" t="s">
        <v>110</v>
      </c>
    </row>
    <row r="11" customFormat="false" ht="15" hidden="false" customHeight="false" outlineLevel="0" collapsed="false">
      <c r="A11" s="20" t="s">
        <v>111</v>
      </c>
      <c r="B11" s="26" t="n">
        <v>34</v>
      </c>
      <c r="C11" s="26" t="n">
        <v>42</v>
      </c>
      <c r="D11" s="27" t="n">
        <f aca="false">C11-B11</f>
        <v>8</v>
      </c>
      <c r="E11" s="28" t="n">
        <f aca="false">C11/B11-1</f>
        <v>0.235294117647059</v>
      </c>
      <c r="F11" s="20" t="s">
        <v>112</v>
      </c>
    </row>
    <row r="12" customFormat="false" ht="15" hidden="false" customHeight="false" outlineLevel="0" collapsed="false">
      <c r="A12" s="20" t="s">
        <v>113</v>
      </c>
      <c r="B12" s="26" t="n">
        <v>180</v>
      </c>
      <c r="C12" s="26" t="n">
        <v>215</v>
      </c>
      <c r="D12" s="27" t="n">
        <f aca="false">C12-B12</f>
        <v>35</v>
      </c>
      <c r="E12" s="28" t="n">
        <f aca="false">C12/B12-1</f>
        <v>0.194444444444444</v>
      </c>
    </row>
    <row r="14" customFormat="false" ht="15" hidden="false" customHeight="false" outlineLevel="0" collapsed="false">
      <c r="A14" s="22" t="s">
        <v>114</v>
      </c>
      <c r="B14" s="29" t="n">
        <f aca="false">B11*$B$5+B12*$B$6</f>
        <v>3335640</v>
      </c>
      <c r="C14" s="29" t="n">
        <f aca="false">C11*$B$5+C12*$B$6</f>
        <v>4055570</v>
      </c>
      <c r="D14" s="29" t="n">
        <f aca="false">C14-B14</f>
        <v>719930</v>
      </c>
      <c r="E14" s="28" t="n">
        <f aca="false">C14/B14-1</f>
        <v>0.215829645885048</v>
      </c>
      <c r="F14" s="20" t="s">
        <v>115</v>
      </c>
    </row>
    <row r="15" customFormat="false" ht="15" hidden="false" customHeight="false" outlineLevel="0" collapsed="false">
      <c r="A15" s="22" t="s">
        <v>116</v>
      </c>
      <c r="B15" s="29" t="n">
        <f aca="false">B11*$D$5+B12*$D$6</f>
        <v>338600</v>
      </c>
      <c r="C15" s="29" t="n">
        <f aca="false">C11*$D$5+C12*$D$6</f>
        <v>410550</v>
      </c>
      <c r="D15" s="29" t="n">
        <f aca="false">C15-B15</f>
        <v>71950</v>
      </c>
      <c r="E15" s="28" t="n">
        <f aca="false">C15/B15-1</f>
        <v>0.212492616656822</v>
      </c>
      <c r="F15" s="20" t="s">
        <v>117</v>
      </c>
    </row>
    <row r="16" customFormat="false" ht="15" hidden="false" customHeight="false" outlineLevel="0" collapsed="false">
      <c r="A16" s="20" t="s">
        <v>118</v>
      </c>
      <c r="B16" s="28" t="n">
        <f aca="false">B15/B14</f>
        <v>0.101509755249367</v>
      </c>
      <c r="C16" s="28" t="n">
        <f aca="false">C15/C14</f>
        <v>0.101231146300027</v>
      </c>
      <c r="D16" s="30" t="n">
        <f aca="false">D15/D14</f>
        <v>0.0999402719708861</v>
      </c>
      <c r="F16" s="20" t="s">
        <v>119</v>
      </c>
    </row>
    <row r="17" customFormat="false" ht="15" hidden="false" customHeight="false" outlineLevel="0" collapsed="false">
      <c r="A17" s="22" t="s">
        <v>120</v>
      </c>
      <c r="B17" s="31" t="n">
        <f aca="false">B11*$B$7+B12*$D$7</f>
        <v>836</v>
      </c>
      <c r="C17" s="31" t="n">
        <f aca="false">C11*$B$7+C12*$D$7</f>
        <v>1018</v>
      </c>
      <c r="D17" s="31" t="n">
        <f aca="false">C17-B17</f>
        <v>182</v>
      </c>
      <c r="E17" s="28" t="n">
        <f aca="false">C17/B17-1</f>
        <v>0.217703349282297</v>
      </c>
      <c r="F17" s="20" t="s">
        <v>121</v>
      </c>
    </row>
    <row r="19" customFormat="false" ht="15" hidden="false" customHeight="false" outlineLevel="0" collapsed="false">
      <c r="A19" s="18" t="s">
        <v>122</v>
      </c>
    </row>
    <row r="20" customFormat="false" ht="15" hidden="false" customHeight="false" outlineLevel="0" collapsed="false">
      <c r="A20" s="20" t="s">
        <v>123</v>
      </c>
      <c r="C20" s="32" t="str">
        <f aca="false">IF(AND(D11&gt;0,D12&gt;0),"OK — begge produktene har et mål over fjorårets volum","AVVIK: et vekstmål der volumet ikke vokser, er ikke et vekstmål")</f>
        <v>OK — begge produktene har et mål over fjorårets volum</v>
      </c>
    </row>
    <row r="21" customFormat="false" ht="15" hidden="false" customHeight="false" outlineLevel="0" collapsed="false">
      <c r="A21" s="20" t="s">
        <v>124</v>
      </c>
      <c r="C21" s="32" t="str">
        <f aca="false">IF(ABS(D16-B16)&lt;0.02,"OK — veksten kommer i samme produktmiks som i dag","AVVIK: den marginale dekningsgraden avviker fra dagens. Da endrer veksten produktmiksen, og det bør sies")</f>
        <v>OK — veksten kommer i samme produktmiks som i dag</v>
      </c>
    </row>
    <row r="22" customFormat="false" ht="15" hidden="false" customHeight="false" outlineLevel="0" collapsed="false">
      <c r="A22" s="20" t="s">
        <v>125</v>
      </c>
      <c r="C22" s="32" t="str">
        <f aca="false">IF(D17&gt;0,"OK — målet krever flere montørtimer, og de må hentes et sted. Se arket Scenario","AVVIK: målet krever ikke flere timer — kontroller volumene")</f>
        <v>OK — målet krever flere montørtimer, og de må hentes et sted. Se arket Scenario</v>
      </c>
    </row>
    <row r="24" customFormat="false" ht="15" hidden="false" customHeight="false" outlineLevel="0" collapsed="false">
      <c r="A24" s="22" t="s">
        <v>126</v>
      </c>
    </row>
    <row r="25" customFormat="false" ht="15" hidden="false" customHeight="false" outlineLevel="0" collapsed="false">
      <c r="A25" s="17" t="s">
        <v>127</v>
      </c>
    </row>
  </sheetData>
  <conditionalFormatting sqref="C20">
    <cfRule type="expression" priority="2" aboveAverage="0" equalAverage="0" bottom="0" percent="0" rank="0" text="" dxfId="0">
      <formula>LEFT(C20,5)="AVVIK"</formula>
    </cfRule>
  </conditionalFormatting>
  <conditionalFormatting sqref="C21">
    <cfRule type="expression" priority="3" aboveAverage="0" equalAverage="0" bottom="0" percent="0" rank="0" text="" dxfId="0">
      <formula>LEFT(C21,5)="AVVIK"</formula>
    </cfRule>
  </conditionalFormatting>
  <conditionalFormatting sqref="C22">
    <cfRule type="expression" priority="4" aboveAverage="0" equalAverage="0" bottom="0" percent="0" rank="0" text="" dxfId="0">
      <formula>LEFT(C22,5)="AVVIK"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5" min="3" style="0" width="12"/>
    <col collapsed="false" customWidth="true" hidden="false" outlineLevel="0" max="6" min="6" style="0" width="15"/>
    <col collapsed="false" customWidth="true" hidden="false" outlineLevel="0" max="7" min="7" style="0" width="22"/>
    <col collapsed="false" customWidth="true" hidden="false" outlineLevel="0" max="8" min="8" style="0" width="40"/>
  </cols>
  <sheetData>
    <row r="1" customFormat="false" ht="17.35" hidden="false" customHeight="false" outlineLevel="0" collapsed="false">
      <c r="A1" s="1" t="s">
        <v>128</v>
      </c>
    </row>
    <row r="2" customFormat="false" ht="15" hidden="false" customHeight="false" outlineLevel="0" collapsed="false">
      <c r="A2" s="16" t="s">
        <v>129</v>
      </c>
    </row>
    <row r="4" customFormat="false" ht="15" hidden="false" customHeight="false" outlineLevel="0" collapsed="false">
      <c s="39" r="A4" t="s">
        <v>130</v>
      </c>
      <c r="B4" s="20" t="s">
        <v>131</v>
      </c>
      <c r="C4" s="33" t="n">
        <v>327.43</v>
      </c>
      <c r="D4" s="20" t="s">
        <v>132</v>
      </c>
      <c r="E4" s="24" t="n">
        <v>640</v>
      </c>
      <c r="H4" s="20" t="s">
        <v>133</v>
      </c>
    </row>
    <row r="6" customFormat="false" ht="27.75" hidden="false" customHeight="true" outlineLevel="0" collapsed="false">
      <c r="A6" s="23" t="s">
        <v>134</v>
      </c>
      <c r="B6" s="23" t="s">
        <v>135</v>
      </c>
      <c r="C6" s="23" t="s">
        <v>136</v>
      </c>
      <c r="D6" s="23" t="s">
        <v>137</v>
      </c>
      <c r="E6" s="23" t="s">
        <v>138</v>
      </c>
      <c r="F6" s="23" t="s">
        <v>139</v>
      </c>
      <c r="G6" s="23" t="s">
        <v>140</v>
      </c>
      <c r="H6" s="23" t="s">
        <v>141</v>
      </c>
    </row>
    <row ht="27" customHeight="true" r="7" customFormat="false" hidden="false" outlineLevel="0" collapsed="false">
      <c r="A7" s="20" t="s">
        <v>142</v>
      </c>
      <c s="38" r="B7" t="s">
        <v>143</v>
      </c>
      <c r="C7" s="25" t="n">
        <v>6</v>
      </c>
      <c r="D7" s="25" t="n">
        <v>0</v>
      </c>
      <c r="E7" s="24" t="n">
        <v>0</v>
      </c>
      <c r="F7" s="29" t="n">
        <f aca="false">C7*$C$4+D7*$E$4+E7</f>
        <v>1964.58</v>
      </c>
      <c r="G7" s="20" t="s">
        <v>144</v>
      </c>
      <c r="H7" s="20" t="s">
        <v>145</v>
      </c>
    </row>
    <row ht="27" customHeight="true" r="8" customFormat="false" hidden="false" outlineLevel="0" collapsed="false">
      <c r="A8" s="20" t="s">
        <v>146</v>
      </c>
      <c s="38" r="B8" t="s">
        <v>147</v>
      </c>
      <c r="C8" s="25" t="n">
        <v>10</v>
      </c>
      <c r="D8" s="25" t="n">
        <v>0</v>
      </c>
      <c r="E8" s="24" t="n">
        <v>0</v>
      </c>
      <c r="F8" s="29" t="n">
        <f aca="false">C8*$C$4+D8*$E$4+E8</f>
        <v>3274.3</v>
      </c>
      <c r="G8" s="20" t="s">
        <v>148</v>
      </c>
      <c r="H8" s="20" t="s">
        <v>149</v>
      </c>
    </row>
    <row ht="27" customHeight="true" r="9" customFormat="false" hidden="false" outlineLevel="0" collapsed="false">
      <c r="A9" s="20" t="s">
        <v>150</v>
      </c>
      <c s="38" r="B9" t="s">
        <v>151</v>
      </c>
      <c r="C9" s="25" t="n">
        <v>8</v>
      </c>
      <c r="D9" s="25" t="n">
        <v>0</v>
      </c>
      <c r="E9" s="24" t="n">
        <v>2400</v>
      </c>
      <c r="F9" s="29" t="n">
        <f aca="false">C9*$C$4+D9*$E$4+E9</f>
        <v>5019.44</v>
      </c>
      <c r="G9" s="20" t="s">
        <v>152</v>
      </c>
      <c r="H9" s="20" t="s">
        <v>153</v>
      </c>
    </row>
    <row ht="27" customHeight="true" r="10" customFormat="false" hidden="false" outlineLevel="0" collapsed="false">
      <c r="A10" s="20" t="s">
        <v>154</v>
      </c>
      <c s="38" r="B10" t="s">
        <v>155</v>
      </c>
      <c r="C10" s="25" t="n">
        <v>12</v>
      </c>
      <c r="D10" s="25" t="n">
        <v>0</v>
      </c>
      <c r="E10" s="24" t="n">
        <v>1900</v>
      </c>
      <c r="F10" s="29" t="n">
        <f aca="false">C10*$C$4+D10*$E$4+E10</f>
        <v>5829.16</v>
      </c>
      <c r="G10" s="20" t="s">
        <v>156</v>
      </c>
      <c r="H10" s="20" t="s">
        <v>157</v>
      </c>
    </row>
    <row ht="27" customHeight="true" r="11" customFormat="false" hidden="false" outlineLevel="0" collapsed="false">
      <c r="A11" s="20" t="s">
        <v>158</v>
      </c>
      <c s="38" r="B11" t="s">
        <v>159</v>
      </c>
      <c r="C11" s="25" t="n">
        <v>3</v>
      </c>
      <c r="D11" s="25" t="n">
        <v>14</v>
      </c>
      <c r="E11" s="24" t="n">
        <v>0</v>
      </c>
      <c r="F11" s="29" t="n">
        <f aca="false">C11*$C$4+D11*$E$4+E11</f>
        <v>9942.29</v>
      </c>
      <c r="G11" s="20" t="s">
        <v>160</v>
      </c>
      <c r="H11" s="20" t="s">
        <v>161</v>
      </c>
    </row>
    <row r="12" customFormat="false" ht="15" hidden="false" customHeight="false" outlineLevel="0" collapsed="false">
      <c r="A12" s="20" t="s">
        <v>162</v>
      </c>
      <c r="B12" s="20" t="s">
        <v>163</v>
      </c>
      <c r="C12" s="25" t="n">
        <v>24</v>
      </c>
      <c r="D12" s="25" t="n">
        <v>0</v>
      </c>
      <c r="E12" s="24" t="n">
        <v>1600</v>
      </c>
      <c r="F12" s="29" t="n">
        <f aca="false">C12*$C$4+D12*$E$4+E12</f>
        <v>9458.32</v>
      </c>
      <c r="G12" s="20" t="s">
        <v>164</v>
      </c>
      <c r="H12" s="20" t="s">
        <v>165</v>
      </c>
    </row>
    <row ht="27" customHeight="true" r="13" customFormat="false" hidden="false" outlineLevel="0" collapsed="false">
      <c r="A13" s="20" t="s">
        <v>166</v>
      </c>
      <c s="38" r="B13" t="s">
        <v>167</v>
      </c>
      <c r="C13" s="25" t="n">
        <v>4</v>
      </c>
      <c r="D13" s="25" t="n">
        <v>0</v>
      </c>
      <c r="E13" s="24" t="n">
        <v>0</v>
      </c>
      <c r="F13" s="29" t="n">
        <f aca="false">C13*$C$4+D13*$E$4+E13</f>
        <v>1309.72</v>
      </c>
      <c r="G13" s="20" t="s">
        <v>168</v>
      </c>
      <c r="H13" s="20" t="s">
        <v>169</v>
      </c>
    </row>
    <row r="14" customFormat="false" ht="15" hidden="false" customHeight="false" outlineLevel="0" collapsed="false">
      <c r="A14" s="20" t="s">
        <v>170</v>
      </c>
      <c r="B14" s="20" t="s">
        <v>171</v>
      </c>
      <c r="C14" s="25" t="n">
        <v>6</v>
      </c>
      <c r="D14" s="25" t="n">
        <v>0</v>
      </c>
      <c r="E14" s="24" t="n">
        <v>0</v>
      </c>
      <c r="F14" s="29" t="n">
        <f aca="false">C14*$C$4+D14*$E$4+E14</f>
        <v>1964.58</v>
      </c>
      <c r="G14" s="20" t="s">
        <v>156</v>
      </c>
      <c r="H14" s="20" t="s">
        <v>172</v>
      </c>
    </row>
    <row ht="27" customHeight="true" r="15" customFormat="false" hidden="false" outlineLevel="0" collapsed="false">
      <c r="A15" s="20" t="s">
        <v>173</v>
      </c>
      <c s="38" r="B15" t="s">
        <v>174</v>
      </c>
      <c r="C15" s="25" t="n">
        <v>5</v>
      </c>
      <c r="D15" s="25" t="n">
        <v>0</v>
      </c>
      <c r="E15" s="24" t="n">
        <v>0</v>
      </c>
      <c r="F15" s="29" t="n">
        <f aca="false">C15*$C$4+D15*$E$4+E15</f>
        <v>1637.15</v>
      </c>
      <c r="G15" s="20" t="s">
        <v>168</v>
      </c>
      <c r="H15" s="20" t="s">
        <v>175</v>
      </c>
    </row>
    <row r="16" customFormat="false" ht="15" hidden="false" customHeight="false" outlineLevel="0" collapsed="false">
      <c r="B16" s="22" t="s">
        <v>176</v>
      </c>
      <c r="C16" s="31" t="n">
        <f aca="false">SUM(C7:C15)</f>
        <v>78</v>
      </c>
      <c r="D16" s="31" t="n">
        <f aca="false">SUM(D7:D15)</f>
        <v>14</v>
      </c>
      <c r="E16" s="29" t="n">
        <f aca="false">SUM(E7:E15)</f>
        <v>5900</v>
      </c>
      <c r="F16" s="29" t="n">
        <f aca="false">SUM(F7:F15)</f>
        <v>40399.54</v>
      </c>
      <c r="H16" s="20" t="s">
        <v>177</v>
      </c>
    </row>
    <row r="18" customFormat="false" ht="15" hidden="false" customHeight="false" outlineLevel="0" collapsed="false">
      <c r="A18" s="18" t="s">
        <v>178</v>
      </c>
    </row>
    <row r="19" customFormat="false" ht="15" hidden="false" customHeight="false" outlineLevel="0" collapsed="false">
      <c r="B19" s="20" t="s">
        <v>24</v>
      </c>
      <c r="F19" s="30" t="n">
        <f aca="false">(F16-E16)/F16</f>
        <v>0.853958733193497</v>
      </c>
      <c r="H19" s="20" t="s">
        <v>179</v>
      </c>
    </row>
    <row r="20" customFormat="false" ht="15" hidden="false" customHeight="false" outlineLevel="0" collapsed="false">
      <c r="B20" s="20" t="s">
        <v>180</v>
      </c>
      <c r="F20" s="29" t="n">
        <f aca="false">MAX(F7:F15)</f>
        <v>9942.29</v>
      </c>
      <c r="G20" s="21" t="str">
        <f aca="false">INDEX(A7:A15,MATCH(MAX(F7:F15),F7:F15,0))</f>
        <v>7</v>
      </c>
      <c r="H20" s="20" t="s">
        <v>181</v>
      </c>
    </row>
    <row r="21" customFormat="false" ht="15" hidden="false" customHeight="false" outlineLevel="0" collapsed="false">
      <c r="B21" s="20" t="s">
        <v>182</v>
      </c>
      <c r="F21" s="34" t="n">
        <f aca="false">Målene!B14</f>
        <v>3335640</v>
      </c>
    </row>
    <row r="22" customFormat="false" ht="15" hidden="false" customHeight="false" outlineLevel="0" collapsed="false">
      <c r="B22" s="20" t="s">
        <v>183</v>
      </c>
      <c r="F22" s="35" t="n">
        <f aca="false">F16/F21</f>
        <v>0.0121114808552482</v>
      </c>
    </row>
    <row r="24" customFormat="false" ht="15" hidden="false" customHeight="false" outlineLevel="0" collapsed="false">
      <c r="A24" s="18" t="s">
        <v>184</v>
      </c>
    </row>
    <row r="25" customFormat="false" ht="15" hidden="false" customHeight="false" outlineLevel="0" collapsed="false">
      <c r="B25" s="20" t="s">
        <v>185</v>
      </c>
      <c r="F25" s="24" t="n">
        <v>660000000</v>
      </c>
    </row>
    <row r="26" customFormat="false" ht="15" hidden="false" customHeight="false" outlineLevel="0" collapsed="false">
      <c r="B26" s="20" t="s">
        <v>186</v>
      </c>
      <c r="F26" s="24" t="n">
        <v>357000</v>
      </c>
      <c r="H26" s="20" t="s">
        <v>187</v>
      </c>
    </row>
    <row r="27" customFormat="false" ht="15" hidden="false" customHeight="false" outlineLevel="0" collapsed="false">
      <c r="B27" s="20" t="s">
        <v>188</v>
      </c>
      <c r="F27" s="35" t="n">
        <f aca="false">F26/F25</f>
        <v>0.000540909090909091</v>
      </c>
    </row>
    <row r="28" customFormat="false" ht="15" hidden="false" customHeight="false" outlineLevel="0" collapsed="false">
      <c r="B28" s="20" t="s">
        <v>189</v>
      </c>
      <c r="F28" s="31" t="n">
        <f aca="false">F22/F27</f>
        <v>22.3909730097025</v>
      </c>
      <c r="H28" s="20" t="s">
        <v>190</v>
      </c>
    </row>
    <row r="29" customFormat="false" ht="15" hidden="false" customHeight="false" outlineLevel="0" collapsed="false">
      <c r="B29" s="20" t="s">
        <v>191</v>
      </c>
      <c r="F29" s="34" t="n">
        <f aca="false">F21*F27</f>
        <v>1804.278</v>
      </c>
      <c r="H29" s="20" t="s">
        <v>192</v>
      </c>
    </row>
    <row r="31" customFormat="false" ht="15" hidden="false" customHeight="false" outlineLevel="0" collapsed="false">
      <c r="A31" s="18" t="s">
        <v>122</v>
      </c>
    </row>
    <row r="32" customFormat="false" ht="15" hidden="false" customHeight="false" outlineLevel="0" collapsed="false">
      <c r="A32" s="20" t="s">
        <v>193</v>
      </c>
      <c r="C32" s="32" t="str">
        <f aca="false">IF(ABS(F7-(C7*$C$4+D7*$E$4+E7))&lt;0.01,"OK — budsjettpostene er regnet, ikke gjettet","AVVIK: en budsjettpost stemmer ikke med timene og utleggene")</f>
        <v>OK — budsjettpostene er regnet, ikke gjettet</v>
      </c>
    </row>
    <row r="33" customFormat="false" ht="15" hidden="false" customHeight="false" outlineLevel="0" collapsed="false">
      <c r="A33" s="20" t="s">
        <v>194</v>
      </c>
      <c r="C33" s="32" t="str">
        <f aca="false">IF(F16&gt;0,"OK — planen har en budsjettsum. Det er den linja lærebokas mal mangler","AVVIK: en handlingsplan uten sum kan ingen ta stilling til")</f>
        <v>OK — planen har en budsjettsum. Det er den linja lærebokas mal mangler</v>
      </c>
    </row>
    <row r="34" customFormat="false" ht="15" hidden="false" customHeight="false" outlineLevel="0" collapsed="false">
      <c r="A34" s="20" t="s">
        <v>195</v>
      </c>
      <c r="C34" s="32" t="str">
        <f aca="false">IF(COUNTA(G7:G15)=9,"OK — hvert tiltak har en navngitt ansvarlig, ikke en avdeling","AVVIK: et tiltak mangler ansvarlig. Da blir det ikke gjort")</f>
        <v>OK — hvert tiltak har en navngitt ansvarlig, ikke en avdeling</v>
      </c>
    </row>
    <row r="35" customFormat="false" ht="15" hidden="false" customHeight="false" outlineLevel="0" collapsed="false">
      <c r="A35" s="20" t="s">
        <v>196</v>
      </c>
      <c r="C35" s="32" t="str">
        <f aca="false">IF(A11&lt;A12,"OK — det interne oppstartsmøtet ligger før styrebesøkene. Kundene skal ikke få et budskap de ansatte ikke kjenner","AVVIK: rekkefølgen er snudd")</f>
        <v>OK — det interne oppstartsmøtet ligger før styrebesøkene. Kundene skal ikke få et budskap de ansatte ikke kjenner</v>
      </c>
    </row>
    <row r="37" customFormat="false" ht="15" hidden="false" customHeight="false" outlineLevel="0" collapsed="false">
      <c r="A37" s="22" t="s">
        <v>197</v>
      </c>
    </row>
    <row r="38" customFormat="false" ht="15" hidden="false" customHeight="false" outlineLevel="0" collapsed="false">
      <c r="A38" s="17" t="s">
        <v>198</v>
      </c>
    </row>
  </sheetData>
  <conditionalFormatting sqref="C32">
    <cfRule type="expression" priority="2" aboveAverage="0" equalAverage="0" bottom="0" percent="0" rank="0" text="" dxfId="0">
      <formula>LEFT(C32,5)="AVVIK"</formula>
    </cfRule>
  </conditionalFormatting>
  <conditionalFormatting sqref="C33">
    <cfRule type="expression" priority="3" aboveAverage="0" equalAverage="0" bottom="0" percent="0" rank="0" text="" dxfId="0">
      <formula>LEFT(C33,5)="AVVIK"</formula>
    </cfRule>
  </conditionalFormatting>
  <conditionalFormatting sqref="C34">
    <cfRule type="expression" priority="4" aboveAverage="0" equalAverage="0" bottom="0" percent="0" rank="0" text="" dxfId="0">
      <formula>LEFT(C34,5)="AVVIK"</formula>
    </cfRule>
  </conditionalFormatting>
  <conditionalFormatting sqref="C35">
    <cfRule type="expression" priority="5" aboveAverage="0" equalAverage="0" bottom="0" percent="0" rank="0" text="" dxfId="0">
      <formula>LEFT(C35,5)="AVVIK"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8"/>
    <col collapsed="false" customWidth="true" hidden="false" outlineLevel="0" max="4" min="4" style="0" width="52"/>
  </cols>
  <sheetData>
    <row r="1" customFormat="false" ht="17.35" hidden="false" customHeight="false" outlineLevel="0" collapsed="false">
      <c r="A1" s="1" t="s">
        <v>199</v>
      </c>
    </row>
    <row r="2" customFormat="false" ht="15" hidden="false" customHeight="false" outlineLevel="0" collapsed="false">
      <c r="A2" s="16" t="s">
        <v>200</v>
      </c>
    </row>
    <row r="4" customFormat="false" ht="15" hidden="false" customHeight="false" outlineLevel="0" collapsed="false">
      <c r="A4" s="18" t="s">
        <v>201</v>
      </c>
    </row>
    <row r="5" customFormat="false" ht="15" hidden="false" customHeight="false" outlineLevel="0" collapsed="false">
      <c r="A5" s="20" t="s">
        <v>202</v>
      </c>
      <c r="B5" s="29" t="n">
        <f aca="false">Handlingsplanen!F16</f>
        <v>40399.54</v>
      </c>
    </row>
    <row ht="27" customHeight="true" r="6" customFormat="false" hidden="false" outlineLevel="0" collapsed="false">
      <c s="38" r="A6" t="s">
        <v>203</v>
      </c>
      <c r="B6" s="29" t="n">
        <f aca="false">Målene!D15</f>
        <v>71950</v>
      </c>
    </row>
    <row r="7" customFormat="false" ht="15" hidden="false" customHeight="false" outlineLevel="0" collapsed="false">
      <c r="A7" s="20" t="s">
        <v>26</v>
      </c>
      <c r="B7" s="30" t="n">
        <f aca="false">B5/B6</f>
        <v>0.561494649061849</v>
      </c>
      <c r="D7" s="20" t="s">
        <v>204</v>
      </c>
    </row>
    <row r="9" customFormat="false" ht="15" hidden="false" customHeight="false" outlineLevel="0" collapsed="false">
      <c r="A9" s="18" t="s">
        <v>205</v>
      </c>
    </row>
    <row r="10" customFormat="false" ht="15" hidden="false" customHeight="false" outlineLevel="0" collapsed="false">
      <c r="A10" s="20" t="s">
        <v>206</v>
      </c>
      <c r="B10" s="34" t="n">
        <f aca="false">Målene!D14</f>
        <v>719930</v>
      </c>
    </row>
    <row r="11" customFormat="false" ht="15" hidden="false" customHeight="false" outlineLevel="0" collapsed="false">
      <c r="A11" s="20" t="s">
        <v>207</v>
      </c>
      <c r="B11" s="28" t="n">
        <f aca="false">B6/B10</f>
        <v>0.0999402719708861</v>
      </c>
      <c r="D11" s="20" t="s">
        <v>208</v>
      </c>
    </row>
    <row r="12" customFormat="false" ht="15" hidden="false" customHeight="false" outlineLevel="0" collapsed="false">
      <c r="A12" s="22" t="s">
        <v>209</v>
      </c>
      <c r="B12" s="29" t="n">
        <f aca="false">B5/B11</f>
        <v>404236.842699097</v>
      </c>
      <c r="D12" s="20" t="s">
        <v>210</v>
      </c>
    </row>
    <row r="13" customFormat="false" ht="15" hidden="false" customHeight="false" outlineLevel="0" collapsed="false">
      <c r="A13" s="22" t="s">
        <v>211</v>
      </c>
      <c r="B13" s="30" t="n">
        <f aca="false">B12/B10</f>
        <v>0.561494649061849</v>
      </c>
      <c r="D13" s="20" t="s">
        <v>212</v>
      </c>
    </row>
    <row r="15" customFormat="false" ht="15" hidden="false" customHeight="false" outlineLevel="0" collapsed="false">
      <c r="A15" s="18" t="s">
        <v>213</v>
      </c>
    </row>
    <row r="16" customFormat="false" ht="15" hidden="false" customHeight="false" outlineLevel="0" collapsed="false">
      <c r="A16" s="20" t="s">
        <v>214</v>
      </c>
      <c r="B16" s="31" t="n">
        <f aca="false">B5/Målene!D5</f>
        <v>9.18171363636364</v>
      </c>
    </row>
    <row r="17" customFormat="false" ht="15" hidden="false" customHeight="false" outlineLevel="0" collapsed="false">
      <c r="A17" s="20" t="s">
        <v>215</v>
      </c>
      <c r="B17" s="31" t="n">
        <f aca="false">B5/Målene!D6</f>
        <v>38.4757523809524</v>
      </c>
      <c r="D17" s="20" t="s">
        <v>216</v>
      </c>
    </row>
    <row r="18" customFormat="false" ht="15" hidden="false" customHeight="false" outlineLevel="0" collapsed="false">
      <c r="A18" s="20" t="s">
        <v>217</v>
      </c>
      <c r="B18" s="27" t="n">
        <f aca="false">Målene!D11</f>
        <v>8</v>
      </c>
    </row>
    <row r="19" customFormat="false" ht="15" hidden="false" customHeight="false" outlineLevel="0" collapsed="false">
      <c r="A19" s="20" t="s">
        <v>218</v>
      </c>
      <c r="B19" s="27" t="n">
        <f aca="false">Målene!D12</f>
        <v>35</v>
      </c>
    </row>
    <row r="21" customFormat="false" ht="15" hidden="false" customHeight="false" outlineLevel="0" collapsed="false">
      <c r="A21" s="18" t="s">
        <v>219</v>
      </c>
    </row>
    <row r="22" customFormat="false" ht="15" hidden="false" customHeight="false" outlineLevel="0" collapsed="false">
      <c r="A22" s="20" t="s">
        <v>220</v>
      </c>
      <c r="B22" s="27" t="n">
        <f aca="false">Handlingsplanen!D16</f>
        <v>14</v>
      </c>
    </row>
    <row r="23" customFormat="false" ht="15" hidden="false" customHeight="false" outlineLevel="0" collapsed="false">
      <c r="A23" s="20" t="s">
        <v>221</v>
      </c>
      <c r="B23" s="27" t="n">
        <f aca="false">Målene!D17</f>
        <v>182</v>
      </c>
    </row>
    <row r="24" customFormat="false" ht="15" hidden="false" customHeight="false" outlineLevel="0" collapsed="false">
      <c r="A24" s="22" t="s">
        <v>222</v>
      </c>
      <c r="B24" s="31" t="n">
        <f aca="false">B22+B23</f>
        <v>196</v>
      </c>
      <c r="D24" s="20" t="s">
        <v>223</v>
      </c>
    </row>
    <row r="25" customFormat="false" ht="15" hidden="false" customHeight="false" outlineLevel="0" collapsed="false">
      <c r="A25" s="20" t="s">
        <v>224</v>
      </c>
      <c r="B25" s="26" t="n">
        <v>14400</v>
      </c>
    </row>
    <row r="26" customFormat="false" ht="15" hidden="false" customHeight="false" outlineLevel="0" collapsed="false">
      <c r="A26" s="20" t="s">
        <v>225</v>
      </c>
      <c r="B26" s="28" t="n">
        <f aca="false">B24/B25</f>
        <v>0.0136111111111111</v>
      </c>
    </row>
    <row r="28" customFormat="false" ht="15" hidden="false" customHeight="false" outlineLevel="0" collapsed="false">
      <c r="A28" s="18" t="s">
        <v>122</v>
      </c>
    </row>
    <row r="29" customFormat="false" ht="15" hidden="false" customHeight="false" outlineLevel="0" collapsed="false">
      <c r="A29" s="20" t="s">
        <v>226</v>
      </c>
      <c r="C29" s="32" t="str">
        <f aca="false">IF(B6&gt;B5,"OK — det ekstra dekningsbidraget er større enn det kampanjen koster","AVVIK: kampanjen koster mer enn den kan gi. Da må planen eller målene justeres")</f>
        <v>OK — det ekstra dekningsbidraget er større enn det kampanjen koster</v>
      </c>
    </row>
    <row r="30" customFormat="false" ht="15" hidden="false" customHeight="false" outlineLevel="0" collapsed="false">
      <c r="A30" s="20" t="s">
        <v>227</v>
      </c>
      <c r="C30" s="32" t="str">
        <f aca="false">IF(B12&lt;B10,"OK — kampanjen bærer seg før målet er nådd helt","AVVIK: kampanjen bærer seg først hvis målet overoppfylles")</f>
        <v>OK — kampanjen bærer seg før målet er nådd helt</v>
      </c>
    </row>
    <row r="31" customFormat="false" ht="15" hidden="false" customHeight="false" outlineLevel="0" collapsed="false">
      <c r="A31" s="20" t="s">
        <v>228</v>
      </c>
      <c r="C31" s="32" t="str">
        <f aca="false">IF(ABS(B13-B7)&lt;0.0001,"OK — nullpunktet i omsetning og nullpunktet i dekningsbidrag gir samme måloppnåelse","AVVIK: de to regnemåtene er ikke enige")</f>
        <v>OK — nullpunktet i omsetning og nullpunktet i dekningsbidrag gir samme måloppnåelse</v>
      </c>
    </row>
    <row r="32" customFormat="false" ht="15" hidden="false" customHeight="false" outlineLevel="0" collapsed="false">
      <c r="A32" s="20" t="s">
        <v>229</v>
      </c>
      <c r="C32" s="32" t="str">
        <f aca="false">IF(B23&gt;B22,"OK — å levere målet binder flere montørtimer enn kampanjen selv gjør","AVVIK: kontroller timetallene")</f>
        <v>OK — å levere målet binder flere montørtimer enn kampanjen selv gjør</v>
      </c>
    </row>
    <row r="34" customFormat="false" ht="15" hidden="false" customHeight="false" outlineLevel="0" collapsed="false">
      <c r="A34" s="22" t="s">
        <v>230</v>
      </c>
    </row>
    <row r="35" customFormat="false" ht="15" hidden="false" customHeight="false" outlineLevel="0" collapsed="false">
      <c r="A35" s="17" t="s">
        <v>231</v>
      </c>
    </row>
  </sheetData>
  <conditionalFormatting sqref="C29">
    <cfRule type="expression" priority="2" aboveAverage="0" equalAverage="0" bottom="0" percent="0" rank="0" text="" dxfId="0">
      <formula>LEFT(C29,5)="AVVIK"</formula>
    </cfRule>
  </conditionalFormatting>
  <conditionalFormatting sqref="C30">
    <cfRule type="expression" priority="3" aboveAverage="0" equalAverage="0" bottom="0" percent="0" rank="0" text="" dxfId="0">
      <formula>LEFT(C30,5)="AVVIK"</formula>
    </cfRule>
  </conditionalFormatting>
  <conditionalFormatting sqref="C31">
    <cfRule type="expression" priority="4" aboveAverage="0" equalAverage="0" bottom="0" percent="0" rank="0" text="" dxfId="0">
      <formula>LEFT(C31,5)="AVVIK"</formula>
    </cfRule>
  </conditionalFormatting>
  <conditionalFormatting sqref="C32">
    <cfRule type="expression" priority="5" aboveAverage="0" equalAverage="0" bottom="0" percent="0" rank="0" text="" dxfId="0">
      <formula>LEFT(C32,5)="AVVIK"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8"/>
    <col collapsed="false" customWidth="true" hidden="false" outlineLevel="0" max="5" min="5" style="0" width="54"/>
  </cols>
  <sheetData>
    <row r="1" customFormat="false" ht="17.35" hidden="false" customHeight="false" outlineLevel="0" collapsed="false">
      <c r="A1" s="1" t="s">
        <v>232</v>
      </c>
    </row>
    <row r="2" customFormat="false" ht="15" hidden="false" customHeight="false" outlineLevel="0" collapsed="false">
      <c r="A2" s="16" t="s">
        <v>233</v>
      </c>
    </row>
    <row r="4" customFormat="false" ht="15" hidden="false" customHeight="false" outlineLevel="0" collapsed="false">
      <c r="A4" s="18" t="s">
        <v>234</v>
      </c>
    </row>
    <row r="5" customFormat="false" ht="15" hidden="false" customHeight="false" outlineLevel="0" collapsed="false">
      <c r="A5" s="17" t="s">
        <v>235</v>
      </c>
    </row>
    <row r="7" customFormat="false" ht="27.75" hidden="false" customHeight="true" outlineLevel="0" collapsed="false">
      <c r="A7" s="23" t="s">
        <v>236</v>
      </c>
      <c r="B7" s="23" t="s">
        <v>237</v>
      </c>
      <c r="C7" s="23" t="s">
        <v>238</v>
      </c>
      <c r="D7" s="23" t="s">
        <v>239</v>
      </c>
      <c r="E7" s="23" t="s">
        <v>111</v>
      </c>
      <c r="F7" s="23" t="s">
        <v>113</v>
      </c>
      <c r="G7" s="23"/>
    </row>
    <row r="8" customFormat="false" ht="15" hidden="false" customHeight="false" outlineLevel="0" collapsed="false">
      <c r="A8" s="36" t="n">
        <v>0</v>
      </c>
      <c r="B8" s="37" t="n">
        <f aca="false">A8*'Bærer den seg'!$B$10</f>
        <v>0</v>
      </c>
      <c r="C8" s="37" t="n">
        <f aca="false">A8*'Bærer den seg'!$B$6</f>
        <v>0</v>
      </c>
      <c r="D8" s="29" t="n">
        <f aca="false">C8-'Bærer den seg'!$B$5</f>
        <v>-40399.54</v>
      </c>
      <c r="E8" s="27" t="n">
        <f aca="false">A8*Målene!$D$11</f>
        <v>0</v>
      </c>
      <c r="F8" s="27" t="n">
        <f aca="false">A8*Målene!$D$12</f>
        <v>0</v>
      </c>
    </row>
    <row r="9" customFormat="false" ht="15" hidden="false" customHeight="false" outlineLevel="0" collapsed="false">
      <c r="A9" s="36" t="n">
        <v>0.25</v>
      </c>
      <c r="B9" s="37" t="n">
        <f aca="false">A9*'Bærer den seg'!$B$10</f>
        <v>179982.5</v>
      </c>
      <c r="C9" s="37" t="n">
        <f aca="false">A9*'Bærer den seg'!$B$6</f>
        <v>17987.5</v>
      </c>
      <c r="D9" s="29" t="n">
        <f aca="false">C9-'Bærer den seg'!$B$5</f>
        <v>-22412.04</v>
      </c>
      <c r="E9" s="27" t="n">
        <f aca="false">A9*Målene!$D$11</f>
        <v>2</v>
      </c>
      <c r="F9" s="27" t="n">
        <f aca="false">A9*Målene!$D$12</f>
        <v>8.75</v>
      </c>
    </row>
    <row r="10" customFormat="false" ht="15" hidden="false" customHeight="false" outlineLevel="0" collapsed="false">
      <c r="A10" s="36" t="n">
        <v>0.5</v>
      </c>
      <c r="B10" s="37" t="n">
        <f aca="false">A10*'Bærer den seg'!$B$10</f>
        <v>359965</v>
      </c>
      <c r="C10" s="37" t="n">
        <f aca="false">A10*'Bærer den seg'!$B$6</f>
        <v>35975</v>
      </c>
      <c r="D10" s="29" t="n">
        <f aca="false">C10-'Bærer den seg'!$B$5</f>
        <v>-4424.54</v>
      </c>
      <c r="E10" s="27" t="n">
        <f aca="false">A10*Målene!$D$11</f>
        <v>4</v>
      </c>
      <c r="F10" s="27" t="n">
        <f aca="false">A10*Målene!$D$12</f>
        <v>17.5</v>
      </c>
    </row>
    <row r="11" customFormat="false" ht="15" hidden="false" customHeight="false" outlineLevel="0" collapsed="false">
      <c r="A11" s="30" t="n">
        <f aca="false">'Bærer den seg'!B13</f>
        <v>0.561494649061849</v>
      </c>
      <c r="B11" s="29" t="n">
        <f aca="false">A11*'Bærer den seg'!$B$10</f>
        <v>404236.842699097</v>
      </c>
      <c r="C11" s="29" t="n">
        <f aca="false">A11*'Bærer den seg'!$B$6</f>
        <v>40399.54</v>
      </c>
      <c r="D11" s="29" t="n">
        <f aca="false">C11-'Bærer den seg'!$B$5</f>
        <v>0</v>
      </c>
      <c r="E11" s="27" t="n">
        <f aca="false">A11*Målene!$D$11</f>
        <v>4.49195719249479</v>
      </c>
      <c r="F11" s="27" t="n">
        <f aca="false">A11*Målene!$D$12</f>
        <v>19.6523127171647</v>
      </c>
      <c r="G11" s="22" t="s">
        <v>240</v>
      </c>
    </row>
    <row r="12" customFormat="false" ht="15" hidden="false" customHeight="false" outlineLevel="0" collapsed="false">
      <c r="A12" s="36" t="n">
        <v>0.75</v>
      </c>
      <c r="B12" s="37" t="n">
        <f aca="false">A12*'Bærer den seg'!$B$10</f>
        <v>539947.5</v>
      </c>
      <c r="C12" s="37" t="n">
        <f aca="false">A12*'Bærer den seg'!$B$6</f>
        <v>53962.5</v>
      </c>
      <c r="D12" s="29" t="n">
        <f aca="false">C12-'Bærer den seg'!$B$5</f>
        <v>13562.96</v>
      </c>
      <c r="E12" s="27" t="n">
        <f aca="false">A12*Målene!$D$11</f>
        <v>6</v>
      </c>
      <c r="F12" s="27" t="n">
        <f aca="false">A12*Målene!$D$12</f>
        <v>26.25</v>
      </c>
    </row>
    <row r="13" customFormat="false" ht="15" hidden="false" customHeight="false" outlineLevel="0" collapsed="false">
      <c r="A13" s="36" t="n">
        <v>1</v>
      </c>
      <c r="B13" s="37" t="n">
        <f aca="false">A13*'Bærer den seg'!$B$10</f>
        <v>719930</v>
      </c>
      <c r="C13" s="37" t="n">
        <f aca="false">A13*'Bærer den seg'!$B$6</f>
        <v>71950</v>
      </c>
      <c r="D13" s="29" t="n">
        <f aca="false">C13-'Bærer den seg'!$B$5</f>
        <v>31550.46</v>
      </c>
      <c r="E13" s="27" t="n">
        <f aca="false">A13*Målene!$D$11</f>
        <v>8</v>
      </c>
      <c r="F13" s="27" t="n">
        <f aca="false">A13*Målene!$D$12</f>
        <v>35</v>
      </c>
    </row>
    <row r="14" customFormat="false" ht="15" hidden="false" customHeight="false" outlineLevel="0" collapsed="false">
      <c r="A14" s="36" t="n">
        <v>1.25</v>
      </c>
      <c r="B14" s="37" t="n">
        <f aca="false">A14*'Bærer den seg'!$B$10</f>
        <v>899912.5</v>
      </c>
      <c r="C14" s="37" t="n">
        <f aca="false">A14*'Bærer den seg'!$B$6</f>
        <v>89937.5</v>
      </c>
      <c r="D14" s="29" t="n">
        <f aca="false">C14-'Bærer den seg'!$B$5</f>
        <v>49537.96</v>
      </c>
      <c r="E14" s="27" t="n">
        <f aca="false">A14*Målene!$D$11</f>
        <v>10</v>
      </c>
      <c r="F14" s="27" t="n">
        <f aca="false">A14*Målene!$D$12</f>
        <v>43.75</v>
      </c>
    </row>
    <row r="16" customFormat="false" ht="15" hidden="false" customHeight="false" outlineLevel="0" collapsed="false">
      <c r="A16" s="18" t="s">
        <v>122</v>
      </c>
    </row>
    <row r="17" customFormat="false" ht="15" hidden="false" customHeight="false" outlineLevel="0" collapsed="false">
      <c r="A17" s="20" t="s">
        <v>241</v>
      </c>
      <c r="C17" s="32" t="str">
        <f aca="false">IF(ABS(D11)&lt;1,"OK — raden med nullpunktet gir nøyaktig null igjen etter kampanjen","AVVIK: nullpunktsraden stemmer ikke med arket Bærer den seg")</f>
        <v>OK — raden med nullpunktet gir nøyaktig null igjen etter kampanjen</v>
      </c>
    </row>
    <row r="18" customFormat="false" ht="15" hidden="false" customHeight="false" outlineLevel="0" collapsed="false">
      <c r="A18" s="20" t="s">
        <v>242</v>
      </c>
      <c r="C18" s="32" t="str">
        <f aca="false">IF(AND(D8&lt;0,D14&gt;0),"OK — tabellen snur fra tap til gevinst, og nullpunktet ligger imellom","AVVIK: utvid trappen så nullpunktet kommer med")</f>
        <v>OK — tabellen snur fra tap til gevinst, og nullpunktet ligger imellom</v>
      </c>
    </row>
    <row r="21" customFormat="false" ht="15" hidden="false" customHeight="false" outlineLevel="0" collapsed="false">
      <c r="A21" s="18" t="s">
        <v>243</v>
      </c>
    </row>
    <row r="22" customFormat="false" ht="15" hidden="false" customHeight="false" outlineLevel="0" collapsed="false">
      <c r="A22" s="17" t="s">
        <v>244</v>
      </c>
    </row>
    <row r="24" customFormat="false" ht="15" hidden="false" customHeight="false" outlineLevel="0" collapsed="false">
      <c r="A24" s="20" t="s">
        <v>245</v>
      </c>
      <c r="B24" s="36" t="n">
        <v>0.5</v>
      </c>
    </row>
    <row r="25" customFormat="false" ht="15" hidden="false" customHeight="false" outlineLevel="0" collapsed="false">
      <c r="A25" s="22" t="s">
        <v>246</v>
      </c>
      <c r="B25" s="29" t="n">
        <f aca="false">'Bærer den seg'!B5*B24</f>
        <v>20199.77</v>
      </c>
    </row>
    <row r="26" customFormat="false" ht="15" hidden="false" customHeight="false" outlineLevel="0" collapsed="false">
      <c r="A26" s="20" t="s">
        <v>247</v>
      </c>
      <c r="B26" s="36" t="n">
        <v>0.5</v>
      </c>
      <c r="E26" s="20" t="s">
        <v>248</v>
      </c>
    </row>
    <row r="27" customFormat="false" ht="15" hidden="false" customHeight="false" outlineLevel="0" collapsed="false">
      <c r="A27" s="22" t="s">
        <v>249</v>
      </c>
      <c r="B27" s="29" t="n">
        <f aca="false">'Bærer den seg'!B6*B26</f>
        <v>35975</v>
      </c>
    </row>
    <row r="28" customFormat="false" ht="15" hidden="false" customHeight="false" outlineLevel="0" collapsed="false">
      <c r="A28" s="22" t="s">
        <v>250</v>
      </c>
      <c r="B28" s="29" t="n">
        <f aca="false">B27-B25</f>
        <v>15775.23</v>
      </c>
    </row>
    <row r="29" customFormat="false" ht="15" hidden="false" customHeight="false" outlineLevel="0" collapsed="false">
      <c r="A29" s="20" t="s">
        <v>251</v>
      </c>
      <c r="B29" s="34" t="n">
        <f aca="false">'Bærer den seg'!B6-'Bærer den seg'!B5</f>
        <v>31550.46</v>
      </c>
    </row>
    <row r="30" customFormat="false" ht="15" hidden="false" customHeight="false" outlineLevel="0" collapsed="false">
      <c r="A30" s="22" t="s">
        <v>252</v>
      </c>
      <c r="B30" s="29" t="n">
        <f aca="false">B28-B29</f>
        <v>-15775.23</v>
      </c>
    </row>
    <row ht="27" customHeight="true" r="31" customFormat="false" hidden="false" outlineLevel="0" collapsed="false">
      <c s="38" r="A31" t="s">
        <v>253</v>
      </c>
      <c r="B31" s="28" t="n">
        <f aca="false">B25/'Bærer den seg'!B6</f>
        <v>0.280747324530924</v>
      </c>
      <c r="E31" s="20" t="s">
        <v>254</v>
      </c>
    </row>
    <row r="33" customFormat="false" ht="15" hidden="false" customHeight="false" outlineLevel="0" collapsed="false">
      <c r="A33" s="18" t="s">
        <v>122</v>
      </c>
    </row>
    <row r="34" customFormat="false" ht="15" hidden="false" customHeight="false" outlineLevel="0" collapsed="false">
      <c r="A34" s="20" t="s">
        <v>255</v>
      </c>
      <c r="C34" s="32" t="str">
        <f aca="false">IF(B28&gt;0,"OK — også den kuttede planen gir mer enn den koster","AVVIK: den kuttede planen gir mindre enn den koster. Da er kuttet dyrere enn det ser ut")</f>
        <v>OK — også den kuttede planen gir mer enn den koster</v>
      </c>
    </row>
    <row r="35" customFormat="false" ht="15" hidden="false" customHeight="false" outlineLevel="0" collapsed="false">
      <c r="A35" s="20" t="s">
        <v>256</v>
      </c>
      <c r="C35" s="32" t="str">
        <f aca="false">IF(B30&gt;=0,"OK — kuttet gir bedre netto enn den fulle planen","AVVIK: kuttet koster mer enn det sparer. Det er det du sier til styret")</f>
        <v>AVVIK: kuttet koster mer enn det sparer. Det er det du sier til styret</v>
      </c>
    </row>
    <row r="36" customFormat="false" ht="15" hidden="false" customHeight="false" outlineLevel="0" collapsed="false">
      <c r="A36" s="17" t="s">
        <v>257</v>
      </c>
    </row>
    <row r="38" customFormat="false" ht="15" hidden="false" customHeight="false" outlineLevel="0" collapsed="false">
      <c r="A38" s="18" t="s">
        <v>258</v>
      </c>
    </row>
    <row r="39" customFormat="false" ht="15" hidden="false" customHeight="false" outlineLevel="0" collapsed="false">
      <c r="A39" s="17" t="s">
        <v>259</v>
      </c>
    </row>
    <row r="41" customFormat="false" ht="15" hidden="false" customHeight="false" outlineLevel="0" collapsed="false">
      <c r="A41" s="20" t="s">
        <v>260</v>
      </c>
      <c r="B41" s="25" t="n">
        <v>1.4</v>
      </c>
    </row>
    <row r="42" customFormat="false" ht="15" hidden="false" customHeight="false" outlineLevel="0" collapsed="false">
      <c r="A42" s="20" t="s">
        <v>261</v>
      </c>
      <c r="B42" s="27" t="n">
        <f aca="false">Handlingsplanen!C16</f>
        <v>78</v>
      </c>
    </row>
    <row r="43" customFormat="false" ht="15" hidden="false" customHeight="false" outlineLevel="0" collapsed="false">
      <c r="A43" s="20" t="s">
        <v>262</v>
      </c>
      <c r="B43" s="27" t="n">
        <f aca="false">Handlingsplanen!D16</f>
        <v>14</v>
      </c>
    </row>
    <row r="44" customFormat="false" ht="15" hidden="false" customHeight="false" outlineLevel="0" collapsed="false">
      <c r="A44" s="20" t="s">
        <v>263</v>
      </c>
      <c r="B44" s="34" t="n">
        <f aca="false">Handlingsplanen!E16</f>
        <v>5900</v>
      </c>
    </row>
    <row r="45" customFormat="false" ht="15" hidden="false" customHeight="false" outlineLevel="0" collapsed="false">
      <c r="A45" s="22" t="s">
        <v>264</v>
      </c>
      <c r="B45" s="29" t="n">
        <f aca="false">(B42*Handlingsplanen!$C$4+B43*Handlingsplanen!$E$4)*B41+B44</f>
        <v>54199.356</v>
      </c>
    </row>
    <row r="46" customFormat="false" ht="15" hidden="false" customHeight="false" outlineLevel="0" collapsed="false">
      <c r="A46" s="22" t="s">
        <v>265</v>
      </c>
      <c r="B46" s="29" t="n">
        <f aca="false">B45-'Bærer den seg'!B5</f>
        <v>13799.816</v>
      </c>
    </row>
    <row r="47" customFormat="false" ht="15" hidden="false" customHeight="false" outlineLevel="0" collapsed="false">
      <c r="A47" s="22" t="s">
        <v>266</v>
      </c>
      <c r="B47" s="29" t="n">
        <f aca="false">B45/'Bærer den seg'!B11</f>
        <v>542317.47553968</v>
      </c>
    </row>
    <row r="48" customFormat="false" ht="15" hidden="false" customHeight="false" outlineLevel="0" collapsed="false">
      <c r="A48" s="20" t="s">
        <v>267</v>
      </c>
      <c r="B48" s="28" t="n">
        <f aca="false">B47/'Bærer den seg'!B10</f>
        <v>0.753291952744962</v>
      </c>
      <c r="E48" s="20" t="s">
        <v>268</v>
      </c>
    </row>
    <row r="50" customFormat="false" ht="15" hidden="false" customHeight="false" outlineLevel="0" collapsed="false">
      <c r="A50" s="18" t="s">
        <v>122</v>
      </c>
    </row>
    <row r="51" customFormat="false" ht="15" hidden="false" customHeight="false" outlineLevel="0" collapsed="false">
      <c r="A51" s="20" t="s">
        <v>269</v>
      </c>
      <c r="C51" s="32" t="str">
        <f aca="false">IF(B47&lt;'Bærer den seg'!B10,"OK — selv med sprekk ligger nullpunktet innenfor målet","AVVIK: med dette timeforbruket bærer kampanjen seg først hvis målet overoppfylles")</f>
        <v>OK — selv med sprekk ligger nullpunktet innenfor målet</v>
      </c>
    </row>
    <row r="52" customFormat="false" ht="15" hidden="false" customHeight="false" outlineLevel="0" collapsed="false">
      <c r="A52" s="20" t="s">
        <v>270</v>
      </c>
      <c r="C52" s="32" t="str">
        <f aca="false">IF(ABS(B44-Handlingsplanen!E16)&lt;0.01,"OK — trykk og porto koster det samme uansett hvor lang tid det tar","AVVIK: kontroller utleggene")</f>
        <v>OK — trykk og porto koster det samme uansett hvor lang tid det tar</v>
      </c>
    </row>
    <row r="54" customFormat="false" ht="15" hidden="false" customHeight="false" outlineLevel="0" collapsed="false">
      <c r="A54" s="17" t="s">
        <v>271</v>
      </c>
    </row>
  </sheetData>
  <conditionalFormatting sqref="C17">
    <cfRule type="expression" priority="2" aboveAverage="0" equalAverage="0" bottom="0" percent="0" rank="0" text="" dxfId="0">
      <formula>LEFT(C17,5)="AVVIK"</formula>
    </cfRule>
  </conditionalFormatting>
  <conditionalFormatting sqref="C18">
    <cfRule type="expression" priority="3" aboveAverage="0" equalAverage="0" bottom="0" percent="0" rank="0" text="" dxfId="0">
      <formula>LEFT(C18,5)="AVVIK"</formula>
    </cfRule>
  </conditionalFormatting>
  <conditionalFormatting sqref="C34">
    <cfRule type="expression" priority="4" aboveAverage="0" equalAverage="0" bottom="0" percent="0" rank="0" text="" dxfId="0">
      <formula>LEFT(C34,5)="AVVIK"</formula>
    </cfRule>
  </conditionalFormatting>
  <conditionalFormatting sqref="C35">
    <cfRule type="expression" priority="5" aboveAverage="0" equalAverage="0" bottom="0" percent="0" rank="0" text="" dxfId="0">
      <formula>LEFT(C35,5)="AVVIK"</formula>
    </cfRule>
  </conditionalFormatting>
  <conditionalFormatting sqref="C51">
    <cfRule type="expression" priority="6" aboveAverage="0" equalAverage="0" bottom="0" percent="0" rank="0" text="" dxfId="0">
      <formula>LEFT(C51,5)="AVVIK"</formula>
    </cfRule>
  </conditionalFormatting>
  <conditionalFormatting sqref="C52">
    <cfRule type="expression" priority="7" aboveAverage="0" equalAverage="0" bottom="0" percent="0" rank="0" text="" dxfId="0">
      <formula>LEFT(C52,5)="AVVIK"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5" min="3" style="0" width="12"/>
    <col collapsed="false" customWidth="true" hidden="false" outlineLevel="0" max="6" min="6" style="0" width="15"/>
    <col collapsed="false" customWidth="true" hidden="false" outlineLevel="0" max="7" min="7" style="0" width="22"/>
    <col collapsed="false" customWidth="true" hidden="false" outlineLevel="0" max="8" min="8" style="0" width="40"/>
  </cols>
  <sheetData>
    <row r="1" customFormat="false" ht="17.35" hidden="false" customHeight="false" outlineLevel="0" collapsed="false">
      <c r="A1" s="1" t="s">
        <v>272</v>
      </c>
    </row>
    <row r="2" customFormat="false" ht="15" hidden="false" customHeight="false" outlineLevel="0" collapsed="false">
      <c r="A2" s="16" t="s">
        <v>273</v>
      </c>
    </row>
    <row r="4" customFormat="false" ht="15" hidden="false" customHeight="false" outlineLevel="0" collapsed="false">
      <c s="39" r="A4" t="s">
        <v>130</v>
      </c>
      <c r="B4" s="20" t="s">
        <v>131</v>
      </c>
      <c r="C4" s="33" t="n">
        <v>0</v>
      </c>
      <c r="D4" s="20" t="s">
        <v>132</v>
      </c>
      <c r="E4" s="24" t="n">
        <v>0</v>
      </c>
      <c r="H4" s="20" t="s">
        <v>274</v>
      </c>
    </row>
    <row r="6" customFormat="false" ht="27.75" hidden="false" customHeight="true" outlineLevel="0" collapsed="false">
      <c r="A6" s="23" t="s">
        <v>134</v>
      </c>
      <c r="B6" s="23" t="s">
        <v>135</v>
      </c>
      <c r="C6" s="23" t="s">
        <v>136</v>
      </c>
      <c r="D6" s="23" t="s">
        <v>137</v>
      </c>
      <c r="E6" s="23" t="s">
        <v>138</v>
      </c>
      <c r="F6" s="23" t="s">
        <v>139</v>
      </c>
      <c r="G6" s="23" t="s">
        <v>140</v>
      </c>
      <c r="H6" s="23" t="s">
        <v>141</v>
      </c>
    </row>
    <row r="7" customFormat="false" ht="15" hidden="false" customHeight="false" outlineLevel="0" collapsed="false">
      <c r="A7" s="19"/>
      <c r="B7" s="19"/>
      <c r="C7" s="25" t="n">
        <v>0</v>
      </c>
      <c r="D7" s="25" t="n">
        <v>0</v>
      </c>
      <c r="E7" s="24" t="n">
        <v>0</v>
      </c>
      <c r="F7" s="37" t="n">
        <f aca="false">C7*$C$4+D7*$E$4+E7</f>
        <v>0</v>
      </c>
      <c r="G7" s="19"/>
      <c r="H7" s="19"/>
    </row>
    <row r="8" customFormat="false" ht="15" hidden="false" customHeight="false" outlineLevel="0" collapsed="false">
      <c r="A8" s="19"/>
      <c r="B8" s="19"/>
      <c r="C8" s="25" t="n">
        <v>0</v>
      </c>
      <c r="D8" s="25" t="n">
        <v>0</v>
      </c>
      <c r="E8" s="24" t="n">
        <v>0</v>
      </c>
      <c r="F8" s="37" t="n">
        <f aca="false">C8*$C$4+D8*$E$4+E8</f>
        <v>0</v>
      </c>
      <c r="G8" s="19"/>
      <c r="H8" s="19"/>
    </row>
    <row r="9" customFormat="false" ht="15" hidden="false" customHeight="false" outlineLevel="0" collapsed="false">
      <c r="A9" s="19"/>
      <c r="B9" s="19"/>
      <c r="C9" s="25" t="n">
        <v>0</v>
      </c>
      <c r="D9" s="25" t="n">
        <v>0</v>
      </c>
      <c r="E9" s="24" t="n">
        <v>0</v>
      </c>
      <c r="F9" s="37" t="n">
        <f aca="false">C9*$C$4+D9*$E$4+E9</f>
        <v>0</v>
      </c>
      <c r="G9" s="19"/>
      <c r="H9" s="19"/>
    </row>
    <row r="10" customFormat="false" ht="15" hidden="false" customHeight="false" outlineLevel="0" collapsed="false">
      <c r="A10" s="19"/>
      <c r="B10" s="19"/>
      <c r="C10" s="25" t="n">
        <v>0</v>
      </c>
      <c r="D10" s="25" t="n">
        <v>0</v>
      </c>
      <c r="E10" s="24" t="n">
        <v>0</v>
      </c>
      <c r="F10" s="37" t="n">
        <f aca="false">C10*$C$4+D10*$E$4+E10</f>
        <v>0</v>
      </c>
      <c r="G10" s="19"/>
      <c r="H10" s="19"/>
    </row>
    <row r="11" customFormat="false" ht="15" hidden="false" customHeight="false" outlineLevel="0" collapsed="false">
      <c r="A11" s="19"/>
      <c r="B11" s="19"/>
      <c r="C11" s="25" t="n">
        <v>0</v>
      </c>
      <c r="D11" s="25" t="n">
        <v>0</v>
      </c>
      <c r="E11" s="24" t="n">
        <v>0</v>
      </c>
      <c r="F11" s="37" t="n">
        <f aca="false">C11*$C$4+D11*$E$4+E11</f>
        <v>0</v>
      </c>
      <c r="G11" s="19"/>
      <c r="H11" s="19"/>
    </row>
    <row r="12" customFormat="false" ht="15" hidden="false" customHeight="false" outlineLevel="0" collapsed="false">
      <c r="A12" s="19"/>
      <c r="B12" s="19"/>
      <c r="C12" s="25" t="n">
        <v>0</v>
      </c>
      <c r="D12" s="25" t="n">
        <v>0</v>
      </c>
      <c r="E12" s="24" t="n">
        <v>0</v>
      </c>
      <c r="F12" s="37" t="n">
        <f aca="false">C12*$C$4+D12*$E$4+E12</f>
        <v>0</v>
      </c>
      <c r="G12" s="19"/>
      <c r="H12" s="19"/>
    </row>
    <row r="13" customFormat="false" ht="15" hidden="false" customHeight="false" outlineLevel="0" collapsed="false">
      <c r="A13" s="19"/>
      <c r="B13" s="19"/>
      <c r="C13" s="25" t="n">
        <v>0</v>
      </c>
      <c r="D13" s="25" t="n">
        <v>0</v>
      </c>
      <c r="E13" s="24" t="n">
        <v>0</v>
      </c>
      <c r="F13" s="37" t="n">
        <f aca="false">C13*$C$4+D13*$E$4+E13</f>
        <v>0</v>
      </c>
      <c r="G13" s="19"/>
      <c r="H13" s="19"/>
    </row>
    <row r="14" customFormat="false" ht="15" hidden="false" customHeight="false" outlineLevel="0" collapsed="false">
      <c r="A14" s="19"/>
      <c r="B14" s="19"/>
      <c r="C14" s="25" t="n">
        <v>0</v>
      </c>
      <c r="D14" s="25" t="n">
        <v>0</v>
      </c>
      <c r="E14" s="24" t="n">
        <v>0</v>
      </c>
      <c r="F14" s="37" t="n">
        <f aca="false">C14*$C$4+D14*$E$4+E14</f>
        <v>0</v>
      </c>
      <c r="G14" s="19"/>
      <c r="H14" s="19"/>
    </row>
    <row r="15" customFormat="false" ht="15" hidden="false" customHeight="false" outlineLevel="0" collapsed="false">
      <c r="B15" s="22" t="s">
        <v>176</v>
      </c>
      <c r="F15" s="29" t="n">
        <f aca="false">SUM(F7:F14)</f>
        <v>0</v>
      </c>
    </row>
    <row r="17" customFormat="false" ht="15" hidden="false" customHeight="false" outlineLevel="0" collapsed="false">
      <c r="A17" s="18" t="s">
        <v>62</v>
      </c>
    </row>
    <row r="18" customFormat="false" ht="15" hidden="false" customHeight="false" outlineLevel="0" collapsed="false">
      <c r="B18" s="20" t="s">
        <v>275</v>
      </c>
      <c r="F18" s="24" t="n">
        <v>0</v>
      </c>
    </row>
    <row r="19" customFormat="false" ht="15" hidden="false" customHeight="false" outlineLevel="0" collapsed="false">
      <c r="B19" s="20" t="s">
        <v>207</v>
      </c>
      <c r="F19" s="36" t="n">
        <v>0</v>
      </c>
    </row>
    <row r="20" customFormat="false" ht="15" hidden="false" customHeight="false" outlineLevel="0" collapsed="false">
      <c r="B20" s="22" t="s">
        <v>276</v>
      </c>
      <c r="F20" s="30" t="str">
        <f aca="false">IF(F18=0,"",F15/F18)</f>
        <v/>
      </c>
    </row>
    <row r="21" customFormat="false" ht="15" hidden="false" customHeight="false" outlineLevel="0" collapsed="false">
      <c r="B21" s="22" t="s">
        <v>277</v>
      </c>
      <c r="F21" s="29" t="str">
        <f aca="false">IF(F19=0,"",F15/F19)</f>
        <v/>
      </c>
      <c r="H21" s="20" t="s">
        <v>278</v>
      </c>
    </row>
    <row r="23" customFormat="false" ht="15" hidden="false" customHeight="false" outlineLevel="0" collapsed="false">
      <c r="A23" s="18" t="s">
        <v>122</v>
      </c>
    </row>
    <row r="24" customFormat="false" ht="15" hidden="false" customHeight="false" outlineLevel="0" collapsed="false">
      <c r="A24" s="20" t="s">
        <v>279</v>
      </c>
      <c r="C24" s="32" t="str">
        <f aca="false">IF(AND(F15&gt;0,F18&gt;0),"OK — planen har både en budsjettsum og et dekningsbidrag å måles mot","AVVIK: fyll inn timekostnader, tiltak og forventet dekningsbidrag først")</f>
        <v>AVVIK: fyll inn timekostnader, tiltak og forventet dekningsbidrag først</v>
      </c>
    </row>
    <row r="25" customFormat="false" ht="15" hidden="false" customHeight="false" outlineLevel="0" collapsed="false">
      <c r="A25" s="17" t="s">
        <v>280</v>
      </c>
    </row>
    <row r="26" customFormat="false" ht="15" hidden="false" customHeight="false" outlineLevel="0" collapsed="false">
      <c r="A26" s="20" t="s">
        <v>195</v>
      </c>
      <c r="C26" s="32" t="str">
        <f aca="false">IF(COUNTA(G7:G14)=COUNTA(B7:B14),"OK — hvert tiltak du har lagt inn, har en navngitt ansvarlig","AVVIK: et tiltak mangler ansvarlig. «Markedsavdelingen» er ikke et navn")</f>
        <v>OK — hvert tiltak du har lagt inn, har en navngitt ansvarlig</v>
      </c>
    </row>
    <row r="28" customFormat="false" ht="15" hidden="false" customHeight="false" outlineLevel="0" collapsed="false">
      <c r="A28" s="22" t="s">
        <v>281</v>
      </c>
    </row>
  </sheetData>
  <conditionalFormatting sqref="C24">
    <cfRule type="expression" priority="2" aboveAverage="0" equalAverage="0" bottom="0" percent="0" rank="0" text="" dxfId="0">
      <formula>LEFT(C24,5)="AVVIK"</formula>
    </cfRule>
  </conditionalFormatting>
  <conditionalFormatting sqref="C26">
    <cfRule type="expression" priority="3" aboveAverage="0" equalAverage="0" bottom="0" percent="0" rank="0" text="" dxfId="0">
      <formula>LEFT(C26,5)="AVVIK"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2026-09-11T09:30:19Z</dcterms:created>
  <dc:creator>openpyxl</dc:creator>
  <dc:description/>
  <dc:language>en-US</dc:language>
  <cp:lastModifiedBy/>
  <dcterms:modified xsi:type="dcterms:W3CDTF">2026-10-07T06:06:28Z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