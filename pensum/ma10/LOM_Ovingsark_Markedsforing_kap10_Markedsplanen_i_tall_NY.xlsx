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iledning" sheetId="1" state="visible" r:id="rId1"/>
    <sheet xmlns:r="http://schemas.openxmlformats.org/officeDocument/2006/relationships" name="Målene" sheetId="2" state="visible" r:id="rId2"/>
    <sheet xmlns:r="http://schemas.openxmlformats.org/officeDocument/2006/relationships" name="Handlingsplanen" sheetId="3" state="visible" r:id="rId3"/>
    <sheet xmlns:r="http://schemas.openxmlformats.org/officeDocument/2006/relationships" name="Bærer den seg" sheetId="4" state="visible" r:id="rId4"/>
    <sheet xmlns:r="http://schemas.openxmlformats.org/officeDocument/2006/relationships" name="Scenario" sheetId="5" state="visible" r:id="rId5"/>
    <sheet xmlns:r="http://schemas.openxmlformats.org/officeDocument/2006/relationships" name="Din egen plan" sheetId="6" state="visible" r:id="rId6"/>
  </sheets>
  <definedNames/>
  <calcPr calcId="124519" fullCalcOnLoad="1"/>
</workbook>
</file>

<file path=xl/styles.xml><?xml version="1.0" encoding="utf-8"?>
<styleSheet xmlns="http://schemas.openxmlformats.org/spreadsheetml/2006/main">
  <numFmts count="4">
    <numFmt numFmtId="164" formatCode="#,##0 &quot;kr&quot;"/>
    <numFmt numFmtId="165" formatCode="0.0%"/>
    <numFmt numFmtId="166" formatCode="#,##0.00 &quot;kr&quot;"/>
    <numFmt numFmtId="167" formatCode="0.000%"/>
  </numFmts>
  <fonts count="9">
    <font>
      <name val="Calibri"/>
      <family val="2"/>
      <color theme="1"/>
      <sz val="11"/>
      <scheme val="minor"/>
    </font>
    <font>
      <name val="Arial"/>
      <b val="1"/>
      <color rgb="001F3864"/>
      <sz val="14"/>
    </font>
    <font>
      <name val="Arial"/>
      <i val="1"/>
      <color rgb="00595959"/>
      <sz val="10"/>
    </font>
    <font>
      <name val="Arial"/>
      <b val="1"/>
      <color rgb="001F3864"/>
      <sz val="10"/>
    </font>
    <font>
      <name val="Arial"/>
      <sz val="10"/>
    </font>
    <font>
      <name val="Arial"/>
      <color rgb="000000FF"/>
      <sz val="10"/>
    </font>
    <font>
      <name val="Arial"/>
      <b val="1"/>
      <color rgb="00FFFFFF"/>
      <sz val="10"/>
    </font>
    <font>
      <name val="Arial"/>
      <b val="1"/>
      <sz val="10"/>
    </font>
    <font>
      <name val="Arial"/>
      <i val="1"/>
      <color rgb="00595959"/>
      <sz val="9"/>
    </font>
  </fonts>
  <fills count="6">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
      <patternFill patternType="solid">
        <fgColor rgb="00DCE6F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8" fillId="0" borderId="0" pivotButton="0" quotePrefix="0" xfId="0"/>
    <xf numFmtId="0" fontId="3" fillId="0" borderId="0" pivotButton="0" quotePrefix="0" xfId="0"/>
    <xf numFmtId="0" fontId="5" fillId="2" borderId="1" pivotButton="0" quotePrefix="0" xfId="0"/>
    <xf numFmtId="0" fontId="4" fillId="0" borderId="0" pivotButton="0" quotePrefix="0" xfId="0"/>
    <xf numFmtId="0" fontId="4" fillId="4" borderId="1" pivotButton="0" quotePrefix="0" xfId="0"/>
    <xf numFmtId="0" fontId="7" fillId="0" borderId="0" pivotButton="0" quotePrefix="0" xfId="0"/>
    <xf numFmtId="0" fontId="6" fillId="3" borderId="0" applyAlignment="1" pivotButton="0" quotePrefix="0" xfId="0">
      <alignment horizontal="center" vertical="center" wrapText="1"/>
    </xf>
    <xf numFmtId="164" fontId="5" fillId="2" borderId="1" pivotButton="0" quotePrefix="0" xfId="0"/>
    <xf numFmtId="4" fontId="5" fillId="2" borderId="1" pivotButton="0" quotePrefix="0" xfId="0"/>
    <xf numFmtId="3" fontId="5" fillId="2" borderId="1" pivotButton="0" quotePrefix="0" xfId="0"/>
    <xf numFmtId="4" fontId="4" fillId="4" borderId="1" pivotButton="0" quotePrefix="0" xfId="0"/>
    <xf numFmtId="165" fontId="4" fillId="4" borderId="1" pivotButton="0" quotePrefix="0" xfId="0"/>
    <xf numFmtId="164" fontId="7" fillId="5" borderId="1" pivotButton="0" quotePrefix="0" xfId="0"/>
    <xf numFmtId="165" fontId="7" fillId="5" borderId="1" pivotButton="0" quotePrefix="0" xfId="0"/>
    <xf numFmtId="4" fontId="7" fillId="5" borderId="1" pivotButton="0" quotePrefix="0" xfId="0"/>
    <xf numFmtId="0" fontId="7" fillId="4" borderId="1" pivotButton="0" quotePrefix="0" xfId="0"/>
    <xf numFmtId="166" fontId="5" fillId="2" borderId="1" pivotButton="0" quotePrefix="0" xfId="0"/>
    <xf numFmtId="164" fontId="4" fillId="4" borderId="1" pivotButton="0" quotePrefix="0" xfId="0"/>
    <xf numFmtId="167" fontId="7" fillId="5" borderId="1" pivotButton="0" quotePrefix="0" xfId="0"/>
    <xf numFmtId="165" fontId="5" fillId="2" borderId="1" pivotButton="0" quotePrefix="0" xfId="0"/>
    <xf numFmtId="164" fontId="7" fillId="4" borderId="1" pivotButton="0" quotePrefix="0" xfId="0"/>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6"/>
  <sheetViews>
    <sheetView showGridLines="0" workbookViewId="0">
      <selection activeCell="A1" sqref="A1"/>
    </sheetView>
  </sheetViews>
  <sheetFormatPr baseColWidth="8" defaultRowHeight="15"/>
  <cols>
    <col width="40" customWidth="1" min="1" max="1"/>
    <col width="30" customWidth="1" min="2" max="2"/>
    <col width="62" customWidth="1" min="3" max="3"/>
  </cols>
  <sheetData>
    <row r="1">
      <c r="A1" s="1" t="inlineStr">
        <is>
          <t>Markedsplanen i tall</t>
        </is>
      </c>
    </row>
    <row r="2">
      <c r="A2" s="2" t="inlineStr">
        <is>
          <t>LØM Markedsføring kap. 10 · arbeidsregneark · Fagskolen Oslo, Avdeling Elkraft</t>
        </is>
      </c>
    </row>
    <row r="3">
      <c r="A3" s="3" t="inlineStr">
        <is>
          <t>Emne: Teknisk kommunikasjon og ledelse for 1ET-klassene · LØM for 2ET, 2EK, 3EK og 4EK</t>
        </is>
      </c>
    </row>
    <row r="4">
      <c r="A4" s="4" t="inlineStr">
        <is>
          <t>Fargekode</t>
        </is>
      </c>
    </row>
    <row r="5">
      <c r="A5" s="5" t="inlineStr">
        <is>
          <t>Gul celle med blå skrift</t>
        </is>
      </c>
      <c r="B5" s="6" t="inlineStr">
        <is>
          <t>Inndata — dette er tallene du endrer.</t>
        </is>
      </c>
    </row>
    <row r="6">
      <c r="A6" s="7" t="inlineStr">
        <is>
          <t>Grå eller lyseblå celle, svart skrift</t>
        </is>
      </c>
      <c r="B6" s="6" t="inlineStr">
        <is>
          <t>Formel — regner seg selv. Ikke skriv over den.</t>
        </is>
      </c>
    </row>
    <row r="7">
      <c r="A7" s="7" t="inlineStr">
        <is>
          <t>Mørkeblå rad med hvit skrift</t>
        </is>
      </c>
      <c r="B7" s="6" t="inlineStr">
        <is>
          <t>Kolonneoverskrift.</t>
        </is>
      </c>
    </row>
    <row r="9">
      <c r="A9" s="4" t="inlineStr">
        <is>
          <t>Ark i arbeidsboka</t>
        </is>
      </c>
    </row>
    <row r="10">
      <c r="A10" s="8" t="inlineStr">
        <is>
          <t>Målene</t>
        </is>
      </c>
      <c r="B10" s="6" t="inlineStr">
        <is>
          <t>Målene fra kapittel 3, omregnet til omsetning, dekningsbidrag og montørtimer.</t>
        </is>
      </c>
    </row>
    <row r="11">
      <c r="A11" s="8" t="inlineStr">
        <is>
          <t>Handlingsplanen</t>
        </is>
      </c>
      <c r="B11" s="6" t="inlineStr">
        <is>
          <t>De ni tiltakene i vårkampanjen, med budsjett regnet av timer og utlegg — og sumlinja lærebokas mal mangler.</t>
        </is>
      </c>
    </row>
    <row r="12">
      <c r="A12" s="8" t="inlineStr">
        <is>
          <t>Bærer den seg</t>
        </is>
      </c>
      <c r="B12" s="6" t="inlineStr">
        <is>
          <t>DET VIKTIGSTE ARKET. Hva planen må gi i økt omsetning for å bære seg, uttrykt både i kroner og i antall anlegg.</t>
        </is>
      </c>
    </row>
    <row r="13">
      <c r="A13" s="8" t="inlineStr">
        <is>
          <t>Scenario</t>
        </is>
      </c>
      <c r="B13" s="6" t="inlineStr">
        <is>
          <t>Tre spørsmål: hva om kampanjen bare treffer delvis, hva om styret kutter halve budsjettet, og hva om timene sprekker.</t>
        </is>
      </c>
    </row>
    <row r="14">
      <c r="A14" s="8" t="inlineStr">
        <is>
          <t>Din egen plan</t>
        </is>
      </c>
      <c r="B14" s="6" t="inlineStr">
        <is>
          <t>Samme oppsett, tomt. Lag handlingsplanen for din egen avdeling.</t>
        </is>
      </c>
    </row>
    <row r="16">
      <c r="A16" s="3" t="inlineStr">
        <is>
          <t>Tallene som ligger inne er Nordlys Elektro AS sine egne.</t>
        </is>
      </c>
    </row>
    <row r="17">
      <c r="A17" s="3" t="inlineStr">
        <is>
          <t>Dette arket binder markedsføringssøylen sammen: målene fra kapittel 3, tiltakene fra kapittel 9, og spørsmålet kapittel 10 ender i.</t>
        </is>
      </c>
    </row>
    <row r="19">
      <c r="A19" s="3" t="inlineStr">
        <is>
          <t>Tallene som ligger inne er et eksempel fra en elektrobedrift. Bytt dem ut med dine egne — alle formler følger med.</t>
        </is>
      </c>
    </row>
    <row r="20">
      <c r="A20" s="3" t="inlineStr">
        <is>
          <t>Arbeidsregneark til LØM · Fagskolen Oslo, Avdeling Elkraft. Regnearket er øvingsstøtte, ikke et regnskapssystem.</t>
        </is>
      </c>
    </row>
    <row r="22">
      <c r="A22" s="4" t="inlineStr">
        <is>
          <t>De tre tallene styret skal ha med seg ut av møtet</t>
        </is>
      </c>
    </row>
    <row r="23">
      <c r="A23" s="8" t="inlineStr">
        <is>
          <t>Hva planen skal gi</t>
        </is>
      </c>
      <c r="B23" s="6" t="inlineStr">
        <is>
          <t>Ekstra dekningsbidrag i 2027 hvis begge delmålene nås</t>
        </is>
      </c>
    </row>
    <row r="24">
      <c r="A24" s="8" t="inlineStr">
        <is>
          <t>Hva planen koster</t>
        </is>
      </c>
      <c r="B24" s="6" t="inlineStr">
        <is>
          <t>Vårkampanjen, i egne timer og utlegg</t>
        </is>
      </c>
    </row>
    <row r="25">
      <c r="A25" s="8" t="inlineStr">
        <is>
          <t>Hva den må gi for å bære seg</t>
        </is>
      </c>
      <c r="B25" s="6" t="inlineStr">
        <is>
          <t>Økt omsetning i avdelingen — under dette er kampanjen et tap</t>
        </is>
      </c>
    </row>
    <row r="26">
      <c r="A26" s="6" t="inlineStr">
        <is>
          <t>Bærer den seg!B12</t>
        </is>
      </c>
      <c r="B26" s="6" t="inlineStr">
        <is>
          <t>Det siste tallet</t>
        </is>
      </c>
      <c r="C26" s="6" t="inlineStr">
        <is>
          <t>Økt omsetning som må til for at planen skal bære seg. Dette er tallet du avslutter framlegget med — det gjør spørsmålet om markedsføring konkret i stedet for prinsipielt.</t>
        </is>
      </c>
    </row>
    <row r="28">
      <c r="A28" s="4" t="inlineStr">
        <is>
          <t>Hvilken oppgave bruker hvilket ark</t>
        </is>
      </c>
    </row>
    <row r="29" ht="28" customHeight="1">
      <c r="A29" s="9" t="inlineStr">
        <is>
          <t>Oppgave i øvingsheftet</t>
        </is>
      </c>
      <c r="B29" s="9" t="inlineStr">
        <is>
          <t>Ark</t>
        </is>
      </c>
      <c r="C29" s="9" t="inlineStr">
        <is>
          <t>Celler du endrer og leser av</t>
        </is>
      </c>
    </row>
    <row r="30">
      <c r="A30" s="6" t="inlineStr">
        <is>
          <t>A1 · Er kampanjen verdt det den koster?</t>
        </is>
      </c>
      <c r="B30" s="8" t="inlineStr">
        <is>
          <t>Bærer den seg</t>
        </is>
      </c>
      <c r="C30" s="6" t="inlineStr">
        <is>
          <t>Les av B5, B6 og B7. Nullpunktet står i B12 og B13.</t>
        </is>
      </c>
    </row>
    <row r="31">
      <c r="A31" s="6" t="inlineStr">
        <is>
          <t>A2 · Klasseoppgave: skriv handlingsplanen</t>
        </is>
      </c>
      <c r="B31" s="8" t="inlineStr">
        <is>
          <t>Din egen plan</t>
        </is>
      </c>
      <c r="C31" s="6" t="inlineStr">
        <is>
          <t>Legg inn timekostnader i C4 og E4, og fyll ut rad 7 til 14. Summen kommer i F15, og nullpunktet i F21.</t>
        </is>
      </c>
    </row>
    <row r="32">
      <c r="A32" s="6" t="inlineStr">
        <is>
          <t>2 · Handlingsplanen og summen læreboka ikke oppgir</t>
        </is>
      </c>
      <c r="B32" s="8" t="inlineStr">
        <is>
          <t>Handlingsplanen</t>
        </is>
      </c>
      <c r="C32" s="6" t="inlineStr">
        <is>
          <t>Endre C7 til E15. Les av budsjettet i kolonne F, summen i F16, timeandelen i F19 og sammenlikningen med lærebokas tabell 10.1 i rad 24 til 28.</t>
        </is>
      </c>
    </row>
    <row r="33">
      <c r="A33" s="6" t="inlineStr">
        <is>
          <t>3 · Gjennomføring og evaluering</t>
        </is>
      </c>
      <c r="B33" s="8" t="inlineStr">
        <is>
          <t>Scenario</t>
        </is>
      </c>
      <c r="C33" s="6" t="inlineStr">
        <is>
          <t>Scenario A: endre måloppnåelsen i kolonne A og les av nettoen i kolonne D. Scenario C: sett timesprekken og les av det nye nullpunktet.</t>
        </is>
      </c>
    </row>
    <row r="34">
      <c r="A34" s="6" t="inlineStr">
        <is>
          <t>4 · Skriv handlingsplanen for din egen avdeling</t>
        </is>
      </c>
      <c r="B34" s="8" t="inlineStr">
        <is>
          <t>Din egen plan</t>
        </is>
      </c>
      <c r="C34" s="6" t="inlineStr">
        <is>
          <t>Hele arket. Kravene står nederst: navngitt ansvarlig, budsjett regnet av timer, internt tiltak før eksternt, og evaluering midt i perioden.</t>
        </is>
      </c>
    </row>
    <row r="35">
      <c r="A35" s="6" t="inlineStr">
        <is>
          <t>5 · Eksamensnær: ti minutter for styret</t>
        </is>
      </c>
      <c r="B35" s="8" t="inlineStr">
        <is>
          <t>Bærer den seg og Scenario</t>
        </is>
      </c>
      <c r="C35" s="6" t="inlineStr">
        <is>
          <t>De tre tallene står i «Bærer den seg» B5, B6 og B12. Scenario B er innvendingen styret kommer med.</t>
        </is>
      </c>
    </row>
    <row r="37">
      <c r="A37" s="4" t="inlineStr">
        <is>
          <t>Kontrollradene</t>
        </is>
      </c>
    </row>
    <row r="38">
      <c r="A38" s="6" t="inlineStr">
        <is>
          <t>Hvert ark har en kontrollblokk nederst. Står det OK, henger tallene sammen. Står det AVVIK, farges cellen rød, og teksten sier hva som ikke går opp.</t>
        </is>
      </c>
    </row>
    <row r="39">
      <c r="A39" s="6" t="inlineStr">
        <is>
          <t>To unntak: kontrollen på om kuttet er lønnsomt i scenario B skal vise AVVIK med anslagene som ligger inne — det er selve svaret til styret — og kontrollen i «Din egen plan» står på AVVIK til du har fylt inn dine egne tall.</t>
        </is>
      </c>
    </row>
    <row r="40">
      <c r="A40" s="3" t="inlineStr">
        <is>
          <t>Kontroller i arbeidsboka: Målene C20, Målene C21, Målene C22, Handlingsplanen C32, Handlingsplanen C33, Handlingsplanen C34, Handlingsplanen C35, Bærer den seg C29, Bærer den seg C30, Bærer den seg C31, Bærer den seg C32, Scenario C17, Scenario C18, Scenario C34, Scenario C35, Scenario C51, Scenario C52, Din egen plan C24, Din egen plan C26</t>
        </is>
      </c>
    </row>
    <row r="42">
      <c r="A42" s="4" t="inlineStr">
        <is>
          <t>Kilder</t>
        </is>
      </c>
    </row>
    <row r="43">
      <c r="A43" s="3" t="inlineStr">
        <is>
          <t>Hjertnes, Frode: Markedsføring, organisasjon og ledelse for LØM-emnet, 4. utgave, kapittel 10 «Markedsplanen — et sammendrag», avsnitt 10.1 til 10.7, med tabell 10.1.</t>
        </is>
      </c>
    </row>
    <row r="44">
      <c r="A44" s="3" t="inlineStr">
        <is>
          <t>AVVIK: tabell 10.1 lister ti budsjettposter, men oppgir ingen sum. Summen er etterregnet til 357 000 kroner; se avviksregisteret for pensumet, oppslag 39.</t>
        </is>
      </c>
    </row>
    <row r="45">
      <c r="A45" s="3" t="inlineStr">
        <is>
          <t>Volumer, priser, dekningsbidrag og mål er de samme som i Markedsføring kapittel 3. Timekostnadene er utledet av bedriftens egne lønns- og kalkyletall fra Økonomistyring kapittel 2 og 5. Bransjetall: NHO Elektro, Lønnsomhetsrapport 2025, gjengitt i Elektro 24-7 19.08.2026 (hentet 10.09.2026). De 809 er bedriftene i datagrunnlaget, ikke bransjen. NHO Elektro oppgir ikke svarprosent.</t>
        </is>
      </c>
    </row>
    <row r="46">
      <c r="A46" s="3" t="inlineStr">
        <is>
          <t>Nordlys Elektro AS er en konstruert casebedrift.</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25"/>
  <sheetViews>
    <sheetView showGridLines="0"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 width="52" customWidth="1" min="6" max="6"/>
  </cols>
  <sheetData>
    <row r="1">
      <c r="A1" s="1" t="inlineStr">
        <is>
          <t>Hva markedsplanen skal gi</t>
        </is>
      </c>
    </row>
    <row r="2">
      <c r="A2" s="2" t="inlineStr">
        <is>
          <t>Målene fra kapittel 3, omregnet til omsetning, dekningsbidrag og montørtimer.</t>
        </is>
      </c>
    </row>
    <row r="4">
      <c r="A4" s="4" t="inlineStr">
        <is>
          <t>1 · Prisene og dekningsbidragene</t>
        </is>
      </c>
    </row>
    <row r="5">
      <c r="A5" s="6" t="inlineStr">
        <is>
          <t>Solcelleanlegg: pris uten mva.</t>
        </is>
      </c>
      <c r="B5" s="10" t="n">
        <v>51360</v>
      </c>
      <c r="C5" s="6" t="inlineStr">
        <is>
          <t>Dekningsbidrag</t>
        </is>
      </c>
      <c r="D5" s="10" t="n">
        <v>4400</v>
      </c>
      <c r="F5" s="6" t="inlineStr">
        <is>
          <t>Fra Økonomistyring kapittel 7. De samme tallene som i Markedsføring kapittel 3 og 6.</t>
        </is>
      </c>
    </row>
    <row r="6">
      <c r="A6" s="6" t="inlineStr">
        <is>
          <t>Ladepunkt: pris uten mva.</t>
        </is>
      </c>
      <c r="B6" s="10" t="n">
        <v>8830</v>
      </c>
      <c r="C6" s="6" t="inlineStr">
        <is>
          <t>Dekningsbidrag</t>
        </is>
      </c>
      <c r="D6" s="10" t="n">
        <v>1050</v>
      </c>
    </row>
    <row r="7">
      <c r="A7" s="6" t="inlineStr">
        <is>
          <t>Montørtimer per solcelleanlegg</t>
        </is>
      </c>
      <c r="B7" s="11" t="n">
        <v>14</v>
      </c>
      <c r="C7" s="6" t="inlineStr">
        <is>
          <t>Per ladepunkt</t>
        </is>
      </c>
      <c r="D7" s="11" t="n">
        <v>2</v>
      </c>
    </row>
    <row r="9">
      <c r="A9" s="4" t="inlineStr">
        <is>
          <t>2 · Volumene: 2026 mot målet for 2027</t>
        </is>
      </c>
    </row>
    <row r="10" ht="28" customHeight="1">
      <c r="A10" s="9" t="inlineStr"/>
      <c r="B10" s="9" t="inlineStr">
        <is>
          <t>2026</t>
        </is>
      </c>
      <c r="C10" s="9" t="inlineStr">
        <is>
          <t>Mål 2027</t>
        </is>
      </c>
      <c r="D10" s="9" t="inlineStr">
        <is>
          <t>Endring</t>
        </is>
      </c>
      <c r="E10" s="9" t="inlineStr">
        <is>
          <t>Endring i prosent</t>
        </is>
      </c>
      <c r="F10" s="9" t="inlineStr">
        <is>
          <t>Hva raden betyr</t>
        </is>
      </c>
    </row>
    <row r="11">
      <c r="A11" s="6" t="inlineStr">
        <is>
          <t>Solcelleanlegg</t>
        </is>
      </c>
      <c r="B11" s="12" t="n">
        <v>34</v>
      </c>
      <c r="C11" s="12" t="n">
        <v>42</v>
      </c>
      <c r="D11" s="13">
        <f>C11-B11</f>
        <v/>
      </c>
      <c r="E11" s="14">
        <f>C11/B11-1</f>
        <v/>
      </c>
      <c r="F11" s="6" t="inlineStr">
        <is>
          <t>Hovedmålet er tjue prosent vekst i begge produktene.</t>
        </is>
      </c>
    </row>
    <row r="12">
      <c r="A12" s="6" t="inlineStr">
        <is>
          <t>Ladepunkt</t>
        </is>
      </c>
      <c r="B12" s="12" t="n">
        <v>180</v>
      </c>
      <c r="C12" s="12" t="n">
        <v>215</v>
      </c>
      <c r="D12" s="13">
        <f>C12-B12</f>
        <v/>
      </c>
      <c r="E12" s="14">
        <f>C12/B12-1</f>
        <v/>
      </c>
    </row>
    <row r="14">
      <c r="A14" s="8" t="inlineStr">
        <is>
          <t>= Omsetning i avdelingen</t>
        </is>
      </c>
      <c r="B14" s="15">
        <f>B11*$B$5+B12*$B$6</f>
        <v/>
      </c>
      <c r="C14" s="15">
        <f>C11*$B$5+C12*$B$6</f>
        <v/>
      </c>
      <c r="D14" s="15">
        <f>C14-B14</f>
        <v/>
      </c>
      <c r="E14" s="14">
        <f>C14/B14-1</f>
        <v/>
      </c>
      <c r="F14" s="6" t="inlineStr">
        <is>
          <t>Dette er beløpet kampanjen skal skape.</t>
        </is>
      </c>
    </row>
    <row r="15">
      <c r="A15" s="8" t="inlineStr">
        <is>
          <t>= Dekningsbidrag</t>
        </is>
      </c>
      <c r="B15" s="15">
        <f>B11*$D$5+B12*$D$6</f>
        <v/>
      </c>
      <c r="C15" s="15">
        <f>C11*$D$5+C12*$D$6</f>
        <v/>
      </c>
      <c r="D15" s="15">
        <f>C15-B15</f>
        <v/>
      </c>
      <c r="E15" s="14">
        <f>C15/B15-1</f>
        <v/>
      </c>
      <c r="F15" s="6" t="inlineStr">
        <is>
          <t>Og dette er beløpet kampanjen skal måles mot.</t>
        </is>
      </c>
    </row>
    <row r="16">
      <c r="A16" s="6" t="inlineStr">
        <is>
          <t>Dekningsgrad</t>
        </is>
      </c>
      <c r="B16" s="14">
        <f>B15/B14</f>
        <v/>
      </c>
      <c r="C16" s="14">
        <f>C15/C14</f>
        <v/>
      </c>
      <c r="D16" s="16">
        <f>D15/D14</f>
        <v/>
      </c>
      <c r="F16" s="6" t="inlineStr">
        <is>
          <t>Kolonne D er den marginale dekningsgraden: hvor mye av hver ny omsetningskrone som blir dekningsbidrag.</t>
        </is>
      </c>
    </row>
    <row r="17">
      <c r="A17" s="8" t="inlineStr">
        <is>
          <t>= Montørtimer</t>
        </is>
      </c>
      <c r="B17" s="17">
        <f>B11*$B$7+B12*$D$7</f>
        <v/>
      </c>
      <c r="C17" s="17">
        <f>C11*$B$7+C12*$D$7</f>
        <v/>
      </c>
      <c r="D17" s="17">
        <f>C17-B17</f>
        <v/>
      </c>
      <c r="E17" s="14">
        <f>C17/B17-1</f>
        <v/>
      </c>
      <c r="F17" s="6" t="inlineStr">
        <is>
          <t>Kapasiteten planen krever. Kampanjen koster timer; leveransen koster flere.</t>
        </is>
      </c>
    </row>
    <row r="19">
      <c r="A19" s="4" t="inlineStr">
        <is>
          <t>Kontroll</t>
        </is>
      </c>
    </row>
    <row r="20">
      <c r="A20" s="6" t="inlineStr">
        <is>
          <t>Vokser begge produktene?</t>
        </is>
      </c>
      <c r="C20" s="18">
        <f>IF(AND(D11&gt;0,D12&gt;0),"OK — begge produktene har et mål over fjorårets volum","AVVIK: et vekstmål der volumet ikke vokser, er ikke et vekstmål")</f>
        <v/>
      </c>
    </row>
    <row r="21">
      <c r="A21" s="6" t="inlineStr">
        <is>
          <t>Ligger den marginale dekningsgraden nær avdelingens egen?</t>
        </is>
      </c>
      <c r="C21" s="18">
        <f>IF(ABS(D16-B16)&lt;0.02,"OK — veksten kommer i samme produktmiks som i dag","AVVIK: den marginale dekningsgraden avviker fra dagens. Da endrer veksten produktmiksen, og det bør sies")</f>
        <v/>
      </c>
    </row>
    <row r="22">
      <c r="A22" s="6" t="inlineStr">
        <is>
          <t>Er timene innenfor det avdelingen kan levere?</t>
        </is>
      </c>
      <c r="C22" s="18">
        <f>IF(D17&gt;0,"OK — målet krever flere montørtimer, og de må hentes et sted. Se arket Scenario","AVVIK: målet krever ikke flere timer — kontroller volumene")</f>
        <v/>
      </c>
    </row>
    <row r="24">
      <c r="A24" s="8" t="inlineStr">
        <is>
          <t>Prøv dette: sett målet for ladepunkt i C12 til 300. Se hva som skjer med montørtimene i D17 — og spør deg om avdelingen har dem.</t>
        </is>
      </c>
    </row>
    <row r="25">
      <c r="A25" s="3" t="inlineStr">
        <is>
          <t>Kilde: Hjertnes, Markedsføring, organisasjon og ledelse for LØM-emnet, 4. utg., kap. 10.3 om markedsmål. Volumer, priser og dekningsbidrag er Nordlys Elektro AS sine egne, fra Markedsføring kapittel 3 og Økonomistyring kapittel 7.</t>
        </is>
      </c>
    </row>
  </sheetData>
  <conditionalFormatting sqref="C20">
    <cfRule type="expression" priority="1" dxfId="0" stopIfTrue="0">
      <formula>LEFT(C20,5)="AVVIK"</formula>
    </cfRule>
  </conditionalFormatting>
  <conditionalFormatting sqref="C21">
    <cfRule type="expression" priority="2" dxfId="0" stopIfTrue="0">
      <formula>LEFT(C21,5)="AVVIK"</formula>
    </cfRule>
  </conditionalFormatting>
  <conditionalFormatting sqref="C22">
    <cfRule type="expression" priority="3" dxfId="0" stopIfTrue="0">
      <formula>LEFT(C22,5)="AVVIK"</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38"/>
  <sheetViews>
    <sheetView showGridLines="0" workbookViewId="0">
      <pane ySplit="6" topLeftCell="A7" activePane="bottomLeft" state="frozen"/>
      <selection pane="bottomLeft" activeCell="A1" sqref="A1"/>
    </sheetView>
  </sheetViews>
  <sheetFormatPr baseColWidth="8" defaultRowHeight="15"/>
  <cols>
    <col width="8" customWidth="1" min="1" max="1"/>
    <col width="46" customWidth="1" min="2" max="2"/>
    <col width="12" customWidth="1" min="3" max="3"/>
    <col width="12" customWidth="1" min="4" max="4"/>
    <col width="12" customWidth="1" min="5" max="5"/>
    <col width="15" customWidth="1" min="6" max="6"/>
    <col width="22" customWidth="1" min="7" max="7"/>
    <col width="40" customWidth="1" min="8" max="8"/>
  </cols>
  <sheetData>
    <row r="1">
      <c r="A1" s="1" t="inlineStr">
        <is>
          <t>Handlingsplanen: hva tiltakene koster</t>
        </is>
      </c>
    </row>
    <row r="2">
      <c r="A2" s="2" t="inlineStr">
        <is>
          <t>Hver post regnes av timer og utlegg. Ingen budsjettsum er skrevet inn.</t>
        </is>
      </c>
    </row>
    <row r="4">
      <c r="A4" s="4" t="inlineStr">
        <is>
          <t>Timekostnader</t>
        </is>
      </c>
      <c r="B4" s="6" t="inlineStr">
        <is>
          <t>Administrasjonstime</t>
        </is>
      </c>
      <c r="C4" s="19" t="n">
        <v>327.43</v>
      </c>
      <c r="D4" s="6" t="inlineStr">
        <is>
          <t>Montørtime</t>
        </is>
      </c>
      <c r="E4" s="10" t="n">
        <v>640</v>
      </c>
      <c r="H4" s="6" t="inlineStr">
        <is>
          <t>Utledet av bedriftens egne lønnstall, Økonomistyring kapittel 2 og 5.</t>
        </is>
      </c>
    </row>
    <row r="6" ht="28" customHeight="1">
      <c r="A6" s="9" t="inlineStr">
        <is>
          <t>Uke</t>
        </is>
      </c>
      <c r="B6" s="9" t="inlineStr">
        <is>
          <t>Aktivitet</t>
        </is>
      </c>
      <c r="C6" s="9" t="inlineStr">
        <is>
          <t>Adm.timer</t>
        </is>
      </c>
      <c r="D6" s="9" t="inlineStr">
        <is>
          <t>Montørtimer</t>
        </is>
      </c>
      <c r="E6" s="9" t="inlineStr">
        <is>
          <t>Utlegg</t>
        </is>
      </c>
      <c r="F6" s="9" t="inlineStr">
        <is>
          <t>Budsjett</t>
        </is>
      </c>
      <c r="G6" s="9" t="inlineStr">
        <is>
          <t>Ansvarlig</t>
        </is>
      </c>
      <c r="H6" s="9" t="inlineStr">
        <is>
          <t>Det tiltaket skal føre til</t>
        </is>
      </c>
    </row>
    <row r="7">
      <c r="A7" s="6" t="inlineStr">
        <is>
          <t>3</t>
        </is>
      </c>
      <c r="B7" s="6" t="inlineStr">
        <is>
          <t>Idémyldring i ledermøtet: hvilke borettslag skal kampanjen treffe?</t>
        </is>
      </c>
      <c r="C7" s="11" t="n">
        <v>6</v>
      </c>
      <c r="D7" s="11" t="n">
        <v>0</v>
      </c>
      <c r="E7" s="10" t="n">
        <v>0</v>
      </c>
      <c r="F7" s="15">
        <f>C7*$C$4+D7*$E$4+E7</f>
        <v/>
      </c>
      <c r="G7" s="6" t="inlineStr">
        <is>
          <t>Kari Nordlund (KN)</t>
        </is>
      </c>
      <c r="H7" s="6" t="inlineStr">
        <is>
          <t>Hovedmål: minst én signert rammeavtale om lading innen 30.06.2027</t>
        </is>
      </c>
    </row>
    <row r="8">
      <c r="A8" s="6" t="inlineStr">
        <is>
          <t>4</t>
        </is>
      </c>
      <c r="B8" s="6" t="inlineStr">
        <is>
          <t>Kartlegging: alle borettslag i bydelen med over 20 leiligheter og uten ladeanlegg</t>
        </is>
      </c>
      <c r="C8" s="11" t="n">
        <v>10</v>
      </c>
      <c r="D8" s="11" t="n">
        <v>0</v>
      </c>
      <c r="E8" s="10" t="n">
        <v>0</v>
      </c>
      <c r="F8" s="15">
        <f>C8*$C$4+D8*$E$4+E8</f>
        <v/>
      </c>
      <c r="G8" s="6" t="inlineStr">
        <is>
          <t>Ida Haugen (IH)</t>
        </is>
      </c>
      <c r="H8" s="6" t="inlineStr">
        <is>
          <t>Liste med 24 navngitte styreledere</t>
        </is>
      </c>
    </row>
    <row r="9">
      <c r="A9" s="6" t="inlineStr">
        <is>
          <t>5</t>
        </is>
      </c>
      <c r="B9" s="6" t="inlineStr">
        <is>
          <t>Referansearket lages og trykkes: tre gjennomførte anlegg, Enova-satsen og én pris</t>
        </is>
      </c>
      <c r="C9" s="11" t="n">
        <v>8</v>
      </c>
      <c r="D9" s="11" t="n">
        <v>0</v>
      </c>
      <c r="E9" s="10" t="n">
        <v>2400</v>
      </c>
      <c r="F9" s="15">
        <f>C9*$C$4+D9*$E$4+E9</f>
        <v/>
      </c>
      <c r="G9" s="6" t="inlineStr">
        <is>
          <t>IH</t>
        </is>
      </c>
      <c r="H9" s="6" t="inlineStr">
        <is>
          <t>Ett ark som også ligger i alle servicebilene</t>
        </is>
      </c>
    </row>
    <row r="10">
      <c r="A10" s="6" t="inlineStr">
        <is>
          <t>6</t>
        </is>
      </c>
      <c r="B10" s="6" t="inlineStr">
        <is>
          <t>Brev til de 24 styrelederne, med oppfølgingstelefon uka etter</t>
        </is>
      </c>
      <c r="C10" s="11" t="n">
        <v>12</v>
      </c>
      <c r="D10" s="11" t="n">
        <v>0</v>
      </c>
      <c r="E10" s="10" t="n">
        <v>1900</v>
      </c>
      <c r="F10" s="15">
        <f>C10*$C$4+D10*$E$4+E10</f>
        <v/>
      </c>
      <c r="G10" s="6" t="inlineStr">
        <is>
          <t>KN</t>
        </is>
      </c>
      <c r="H10" s="6" t="inlineStr">
        <is>
          <t>Minst ti styrer som vil ha besøk</t>
        </is>
      </c>
    </row>
    <row r="11">
      <c r="A11" s="6" t="inlineStr">
        <is>
          <t>7</t>
        </is>
      </c>
      <c r="B11" s="6" t="inlineStr">
        <is>
          <t>Internt oppstartsmøte: hva alle atten skal svare når en kunde spør om solceller</t>
        </is>
      </c>
      <c r="C11" s="11" t="n">
        <v>3</v>
      </c>
      <c r="D11" s="11" t="n">
        <v>14</v>
      </c>
      <c r="E11" s="10" t="n">
        <v>0</v>
      </c>
      <c r="F11" s="15">
        <f>C11*$C$4+D11*$E$4+E11</f>
        <v/>
      </c>
      <c r="G11" s="6" t="inlineStr">
        <is>
          <t>KN + Tom Berg (TB)</t>
        </is>
      </c>
      <c r="H11" s="6" t="inlineStr">
        <is>
          <t>Alle ansatte kjenner kampanjen før kunden gjør det</t>
        </is>
      </c>
    </row>
    <row r="12">
      <c r="A12" s="6" t="inlineStr">
        <is>
          <t>8–11</t>
        </is>
      </c>
      <c r="B12" s="6" t="inlineStr">
        <is>
          <t>Åtte besøk hos styrer, med befaring på taket</t>
        </is>
      </c>
      <c r="C12" s="11" t="n">
        <v>24</v>
      </c>
      <c r="D12" s="11" t="n">
        <v>0</v>
      </c>
      <c r="E12" s="10" t="n">
        <v>1600</v>
      </c>
      <c r="F12" s="15">
        <f>C12*$C$4+D12*$E$4+E12</f>
        <v/>
      </c>
      <c r="G12" s="6" t="inlineStr">
        <is>
          <t>KN + TB</t>
        </is>
      </c>
      <c r="H12" s="6" t="inlineStr">
        <is>
          <t>Åtte tilbud sendt ut</t>
        </is>
      </c>
    </row>
    <row r="13">
      <c r="A13" s="6" t="inlineStr">
        <is>
          <t>12</t>
        </is>
      </c>
      <c r="B13" s="6" t="inlineStr">
        <is>
          <t>Underveisevaluering: antall besøk, antall tilbud og treffprosent</t>
        </is>
      </c>
      <c r="C13" s="11" t="n">
        <v>4</v>
      </c>
      <c r="D13" s="11" t="n">
        <v>0</v>
      </c>
      <c r="E13" s="10" t="n">
        <v>0</v>
      </c>
      <c r="F13" s="15">
        <f>C13*$C$4+D13*$E$4+E13</f>
        <v/>
      </c>
      <c r="G13" s="6" t="inlineStr">
        <is>
          <t>KN + IH</t>
        </is>
      </c>
      <c r="H13" s="6" t="inlineStr">
        <is>
          <t>Justere kampanjen mens den fortsatt varer</t>
        </is>
      </c>
    </row>
    <row r="14">
      <c r="A14" s="6" t="inlineStr">
        <is>
          <t>20</t>
        </is>
      </c>
      <c r="B14" s="6" t="inlineStr">
        <is>
          <t>Forhandling og signering av rammeavtale</t>
        </is>
      </c>
      <c r="C14" s="11" t="n">
        <v>6</v>
      </c>
      <c r="D14" s="11" t="n">
        <v>0</v>
      </c>
      <c r="E14" s="10" t="n">
        <v>0</v>
      </c>
      <c r="F14" s="15">
        <f>C14*$C$4+D14*$E$4+E14</f>
        <v/>
      </c>
      <c r="G14" s="6" t="inlineStr">
        <is>
          <t>KN</t>
        </is>
      </c>
      <c r="H14" s="6" t="inlineStr">
        <is>
          <t>Delmål 1.3: minst 20 ladepunkt</t>
        </is>
      </c>
    </row>
    <row r="15">
      <c r="A15" s="6" t="inlineStr">
        <is>
          <t>26</t>
        </is>
      </c>
      <c r="B15" s="6" t="inlineStr">
        <is>
          <t>Sluttevaluering mot delmål 1.2 og 1.3, og beslutning om kampanjen skal gjentas</t>
        </is>
      </c>
      <c r="C15" s="11" t="n">
        <v>5</v>
      </c>
      <c r="D15" s="11" t="n">
        <v>0</v>
      </c>
      <c r="E15" s="10" t="n">
        <v>0</v>
      </c>
      <c r="F15" s="15">
        <f>C15*$C$4+D15*$E$4+E15</f>
        <v/>
      </c>
      <c r="G15" s="6" t="inlineStr">
        <is>
          <t>KN + IH</t>
        </is>
      </c>
      <c r="H15" s="6" t="inlineStr">
        <is>
          <t>Skriftlig notat til styret</t>
        </is>
      </c>
    </row>
    <row r="16">
      <c r="B16" s="8" t="inlineStr">
        <is>
          <t>= Sum</t>
        </is>
      </c>
      <c r="C16" s="17">
        <f>SUM(C7:C15)</f>
        <v/>
      </c>
      <c r="D16" s="17">
        <f>SUM(D7:D15)</f>
        <v/>
      </c>
      <c r="E16" s="15">
        <f>SUM(E7:E15)</f>
        <v/>
      </c>
      <c r="F16" s="15">
        <f>SUM(F7:F15)</f>
        <v/>
      </c>
      <c r="H16" s="6" t="inlineStr">
        <is>
          <t>Denne linja mangler i lærebokas tabell 10.1. En plan uten sum kan ingen ta stilling til.</t>
        </is>
      </c>
    </row>
    <row r="18">
      <c r="A18" s="4" t="inlineStr">
        <is>
          <t>Hva budsjettet består av</t>
        </is>
      </c>
    </row>
    <row r="19">
      <c r="B19" s="6" t="inlineStr">
        <is>
          <t>Andel av budsjettet som er egne timer</t>
        </is>
      </c>
      <c r="F19" s="16">
        <f>(F16-E16)/F16</f>
        <v/>
      </c>
      <c r="H19" s="6" t="inlineStr">
        <is>
          <t>En liten bedrift kan ikke kjøpe seg markedsføring. Den må bruke folkene sine, og de er dyre.</t>
        </is>
      </c>
    </row>
    <row r="20">
      <c r="B20" s="6" t="inlineStr">
        <is>
          <t>Dyreste enkelttiltak</t>
        </is>
      </c>
      <c r="F20" s="15">
        <f>MAX(F7:F15)</f>
        <v/>
      </c>
      <c r="G20" s="7">
        <f>INDEX(A7:A15,MATCH(MAX(F7:F15),F7:F15,0))</f>
        <v/>
      </c>
      <c r="H20" s="6" t="inlineStr">
        <is>
          <t>Kolonne G viser hvilken uke det ligger i.</t>
        </is>
      </c>
    </row>
    <row r="21">
      <c r="B21" s="6" t="inlineStr">
        <is>
          <t>Avdelingens omsetning i 2026</t>
        </is>
      </c>
      <c r="F21" s="20">
        <f>Målene!B14</f>
        <v/>
      </c>
    </row>
    <row r="22">
      <c r="B22" s="6" t="inlineStr">
        <is>
          <t>Kampanjen som andel av omsetningen</t>
        </is>
      </c>
      <c r="F22" s="21">
        <f>F16/F21</f>
        <v/>
      </c>
    </row>
    <row r="24">
      <c r="A24" s="4" t="inlineStr">
        <is>
          <t>Til sammenlikning: lærebokas tabell 10.1</t>
        </is>
      </c>
    </row>
    <row r="25">
      <c r="B25" s="6" t="inlineStr">
        <is>
          <t>Bygghandel AS, omsetning 2023</t>
        </is>
      </c>
      <c r="F25" s="10" t="n">
        <v>660000000</v>
      </c>
    </row>
    <row r="26">
      <c r="B26" s="6" t="inlineStr">
        <is>
          <t>Sum av de ti budsjettpostene i tabell 10.1</t>
        </is>
      </c>
      <c r="F26" s="10" t="n">
        <v>357000</v>
      </c>
      <c r="H26" s="6" t="inlineStr">
        <is>
          <t>Læreboka lister postene, men summerer dem ikke. Summen er etterregnet; se avviksregisteret, oppslag 39.</t>
        </is>
      </c>
    </row>
    <row r="27">
      <c r="B27" s="6" t="inlineStr">
        <is>
          <t>Bygghandels kampanje som andel av omsetningen</t>
        </is>
      </c>
      <c r="F27" s="21">
        <f>F26/F25</f>
        <v/>
      </c>
    </row>
    <row r="28">
      <c r="B28" s="6" t="inlineStr">
        <is>
          <t>Nordlys' andel delt på Bygghandels</t>
        </is>
      </c>
      <c r="F28" s="17">
        <f>F22/F27</f>
        <v/>
      </c>
      <c r="H28" s="6" t="inlineStr">
        <is>
          <t>Så mange ganger så stor andel av omsetningen. Ikke fordi Nordlys sløser, men fordi markedsføring har et kostnadsgulv.</t>
        </is>
      </c>
    </row>
    <row r="29">
      <c r="B29" s="6" t="inlineStr">
        <is>
          <t>Hva kampanjen ville kostet med Bygghandels andel</t>
        </is>
      </c>
      <c r="F29" s="20">
        <f>F21*F27</f>
        <v/>
      </c>
      <c r="H29" s="6" t="inlineStr">
        <is>
          <t>Ikke nok til å skrive brevet. Gulvet ligger høyere enn dette.</t>
        </is>
      </c>
    </row>
    <row r="31">
      <c r="A31" s="4" t="inlineStr">
        <is>
          <t>Kontroll</t>
        </is>
      </c>
    </row>
    <row r="32">
      <c r="A32" s="6" t="inlineStr">
        <is>
          <t>Er hver budsjettpost regnet av timer og utlegg?</t>
        </is>
      </c>
      <c r="C32" s="18">
        <f>IF(ABS(F7-(C7*$C$4+D7*$E$4+E7))&lt;0.01,"OK — budsjettpostene er regnet, ikke gjettet","AVVIK: en budsjettpost stemmer ikke med timene og utleggene")</f>
        <v/>
      </c>
    </row>
    <row r="33">
      <c r="A33" s="6" t="inlineStr">
        <is>
          <t>Har planen en sum?</t>
        </is>
      </c>
      <c r="C33" s="18">
        <f>IF(F16&gt;0,"OK — planen har en budsjettsum. Det er den linja lærebokas mal mangler","AVVIK: en handlingsplan uten sum kan ingen ta stilling til")</f>
        <v/>
      </c>
    </row>
    <row r="34">
      <c r="A34" s="6" t="inlineStr">
        <is>
          <t>Har hvert tiltak en navngitt ansvarlig?</t>
        </is>
      </c>
      <c r="C34" s="18">
        <f>IF(COUNTA(G7:G15)=9,"OK — hvert tiltak har en navngitt ansvarlig, ikke en avdeling","AVVIK: et tiltak mangler ansvarlig. Da blir det ikke gjort")</f>
        <v/>
      </c>
    </row>
    <row r="35">
      <c r="A35" s="6" t="inlineStr">
        <is>
          <t>Kommer det interne tiltaket før de første kundebesøkene?</t>
        </is>
      </c>
      <c r="C35" s="18">
        <f>IF(A11&lt;A12,"OK — det interne oppstartsmøtet ligger før styrebesøkene. Kundene skal ikke få et budskap de ansatte ikke kjenner","AVVIK: rekkefølgen er snudd")</f>
        <v/>
      </c>
    </row>
    <row r="37">
      <c r="A37" s="8" t="inlineStr">
        <is>
          <t>Prøv dette: sett montørtimene på det interne oppstartsmøtet i D11 til null. Se hva budsjettet blir — og tenk gjennom hva som skjer med kampanjen.</t>
        </is>
      </c>
    </row>
    <row r="38">
      <c r="A38" s="3" t="inlineStr">
        <is>
          <t>Kilde: Hjertnes kap. 10.5 om handlingsplanen, med tabell 10.1. Timekostnadene er utledet av Nordlys' egne lønnstall.</t>
        </is>
      </c>
    </row>
  </sheetData>
  <conditionalFormatting sqref="C32">
    <cfRule type="expression" priority="1" dxfId="0" stopIfTrue="0">
      <formula>LEFT(C32,5)="AVVIK"</formula>
    </cfRule>
  </conditionalFormatting>
  <conditionalFormatting sqref="C33">
    <cfRule type="expression" priority="2" dxfId="0" stopIfTrue="0">
      <formula>LEFT(C33,5)="AVVIK"</formula>
    </cfRule>
  </conditionalFormatting>
  <conditionalFormatting sqref="C34">
    <cfRule type="expression" priority="3" dxfId="0" stopIfTrue="0">
      <formula>LEFT(C34,5)="AVVIK"</formula>
    </cfRule>
  </conditionalFormatting>
  <conditionalFormatting sqref="C35">
    <cfRule type="expression" priority="4" dxfId="0" stopIfTrue="0">
      <formula>LEFT(C35,5)="AVVIK"</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35"/>
  <sheetViews>
    <sheetView showGridLines="0" workbookViewId="0">
      <selection activeCell="A1" sqref="A1"/>
    </sheetView>
  </sheetViews>
  <sheetFormatPr baseColWidth="8" defaultRowHeight="15"/>
  <cols>
    <col width="52" customWidth="1" min="1" max="1"/>
    <col width="18" customWidth="1" min="2" max="2"/>
    <col width="18" customWidth="1" min="3" max="3"/>
    <col width="52" customWidth="1" min="4" max="4"/>
  </cols>
  <sheetData>
    <row r="1">
      <c r="A1" s="1" t="inlineStr">
        <is>
          <t>Hva planen må gi i økt omsetning for å bære seg</t>
        </is>
      </c>
    </row>
    <row r="2">
      <c r="A2" s="2" t="inlineStr">
        <is>
          <t>Det ene tallet som binder hele markedsplanen sammen.</t>
        </is>
      </c>
    </row>
    <row r="4">
      <c r="A4" s="4" t="inlineStr">
        <is>
          <t>1 · De to sidene</t>
        </is>
      </c>
    </row>
    <row r="5">
      <c r="A5" s="6" t="inlineStr">
        <is>
          <t>Hva planen koster: kampanjebudsjettet</t>
        </is>
      </c>
      <c r="B5" s="15">
        <f>Handlingsplanen!F16</f>
        <v/>
      </c>
    </row>
    <row r="6">
      <c r="A6" s="6" t="inlineStr">
        <is>
          <t>Hva planen skal gi: ekstra dekningsbidrag ved full måloppnåelse</t>
        </is>
      </c>
      <c r="B6" s="15">
        <f>Målene!D15</f>
        <v/>
      </c>
    </row>
    <row r="7">
      <c r="A7" s="6" t="inlineStr">
        <is>
          <t>Kampanjen som andel av det ekstra dekningsbidraget</t>
        </is>
      </c>
      <c r="B7" s="16">
        <f>B5/B6</f>
        <v/>
      </c>
      <c r="D7" s="6" t="inlineStr">
        <is>
          <t>Diskusjonsstoppet i økta handlet om nettopp dette tallet.</t>
        </is>
      </c>
    </row>
    <row r="9">
      <c r="A9" s="4" t="inlineStr">
        <is>
          <t>2 · Nullpunktet</t>
        </is>
      </c>
    </row>
    <row r="10">
      <c r="A10" s="6" t="inlineStr">
        <is>
          <t>Økt omsetning ved full måloppnåelse</t>
        </is>
      </c>
      <c r="B10" s="20">
        <f>Målene!D14</f>
        <v/>
      </c>
    </row>
    <row r="11">
      <c r="A11" s="6" t="inlineStr">
        <is>
          <t>Marginal dekningsgrad</t>
        </is>
      </c>
      <c r="B11" s="14">
        <f>B6/B10</f>
        <v/>
      </c>
      <c r="D11" s="6" t="inlineStr">
        <is>
          <t>Hvor mye av hver ny omsetningskrone som blir dekningsbidrag.</t>
        </is>
      </c>
    </row>
    <row r="12">
      <c r="A12" s="8" t="inlineStr">
        <is>
          <t>= ØKT OMSETNING SOM MÅ TIL FOR AT PLANEN SKAL BÆRE SEG</t>
        </is>
      </c>
      <c r="B12" s="15">
        <f>B5/B11</f>
        <v/>
      </c>
      <c r="D12" s="6" t="inlineStr">
        <is>
          <t>Dette er tallet du avslutter framlegget til styret med. Under dette er kampanjen et tap.</t>
        </is>
      </c>
    </row>
    <row r="13">
      <c r="A13" s="8" t="inlineStr">
        <is>
          <t>= Som andel av målet</t>
        </is>
      </c>
      <c r="B13" s="16">
        <f>B12/B10</f>
        <v/>
      </c>
      <c r="D13" s="6" t="inlineStr">
        <is>
          <t>Kampanjen trenger altså ikke å lykkes helt for å bære seg.</t>
        </is>
      </c>
    </row>
    <row r="15">
      <c r="A15" s="4" t="inlineStr">
        <is>
          <t>3 · Det samme tallet, uttrykt i anlegg</t>
        </is>
      </c>
    </row>
    <row r="16">
      <c r="A16" s="6" t="inlineStr">
        <is>
          <t>Solcelleanlegg som må til alene</t>
        </is>
      </c>
      <c r="B16" s="17">
        <f>B5/Målene!D5</f>
        <v/>
      </c>
    </row>
    <row r="17">
      <c r="A17" s="6" t="inlineStr">
        <is>
          <t>Ladepunkt som må til alene</t>
        </is>
      </c>
      <c r="B17" s="17">
        <f>B5/Målene!D6</f>
        <v/>
      </c>
      <c r="D17" s="6" t="inlineStr">
        <is>
          <t>To måter å si det samme på. Velg den styret forstår raskest.</t>
        </is>
      </c>
    </row>
    <row r="18">
      <c r="A18" s="6" t="inlineStr">
        <is>
          <t>Ekstra solcelleanlegg i målet</t>
        </is>
      </c>
      <c r="B18" s="13">
        <f>Målene!D11</f>
        <v/>
      </c>
    </row>
    <row r="19">
      <c r="A19" s="6" t="inlineStr">
        <is>
          <t>Ekstra ladepunkt i målet</t>
        </is>
      </c>
      <c r="B19" s="13">
        <f>Målene!D12</f>
        <v/>
      </c>
    </row>
    <row r="21">
      <c r="A21" s="4" t="inlineStr">
        <is>
          <t>4 · Kapasiteten planen krever</t>
        </is>
      </c>
    </row>
    <row r="22">
      <c r="A22" s="6" t="inlineStr">
        <is>
          <t>Montørtimer kampanjen selv binder</t>
        </is>
      </c>
      <c r="B22" s="13">
        <f>Handlingsplanen!D16</f>
        <v/>
      </c>
    </row>
    <row r="23">
      <c r="A23" s="6" t="inlineStr">
        <is>
          <t>Montørtimer leveransen binder i tillegg</t>
        </is>
      </c>
      <c r="B23" s="13">
        <f>Målene!D17</f>
        <v/>
      </c>
    </row>
    <row r="24">
      <c r="A24" s="8" t="inlineStr">
        <is>
          <t>= Til sammen</t>
        </is>
      </c>
      <c r="B24" s="17">
        <f>B22+B23</f>
        <v/>
      </c>
      <c r="D24" s="6" t="inlineStr">
        <is>
          <t>Kampanjen er den billige delen. Å levere det den selger, er den dyre.</t>
        </is>
      </c>
    </row>
    <row r="25">
      <c r="A25" s="6" t="inlineStr">
        <is>
          <t>Fakturerte montørtimer i bedriften</t>
        </is>
      </c>
      <c r="B25" s="12" t="n">
        <v>14400</v>
      </c>
    </row>
    <row r="26">
      <c r="A26" s="6" t="inlineStr">
        <is>
          <t>Som andel av bedriftens montørtimer</t>
        </is>
      </c>
      <c r="B26" s="14">
        <f>B24/B25</f>
        <v/>
      </c>
    </row>
    <row r="28">
      <c r="A28" s="4" t="inlineStr">
        <is>
          <t>Kontroll</t>
        </is>
      </c>
    </row>
    <row r="29">
      <c r="A29" s="6" t="inlineStr">
        <is>
          <t>Bærer planen seg ved full måloppnåelse?</t>
        </is>
      </c>
      <c r="C29" s="18">
        <f>IF(B6&gt;B5,"OK — det ekstra dekningsbidraget er større enn det kampanjen koster","AVVIK: kampanjen koster mer enn den kan gi. Da må planen eller målene justeres")</f>
        <v/>
      </c>
    </row>
    <row r="30">
      <c r="A30" s="6" t="inlineStr">
        <is>
          <t>Ligger nullpunktet innenfor målet?</t>
        </is>
      </c>
      <c r="C30" s="18">
        <f>IF(B12&lt;B10,"OK — kampanjen bærer seg før målet er nådd helt","AVVIK: kampanjen bærer seg først hvis målet overoppfylles")</f>
        <v/>
      </c>
    </row>
    <row r="31">
      <c r="A31" s="6" t="inlineStr">
        <is>
          <t>Gir de to måtene å regne nullpunktet på samme svar?</t>
        </is>
      </c>
      <c r="C31" s="18">
        <f>IF(ABS(B13-B7)&lt;0.0001,"OK — nullpunktet i omsetning og nullpunktet i dekningsbidrag gir samme måloppnåelse","AVVIK: de to regnemåtene er ikke enige")</f>
        <v/>
      </c>
    </row>
    <row r="32">
      <c r="A32" s="6" t="inlineStr">
        <is>
          <t>Krever leveransen flere timer enn kampanjen?</t>
        </is>
      </c>
      <c r="C32" s="18">
        <f>IF(B23&gt;B22,"OK — å levere målet binder flere montørtimer enn kampanjen selv gjør","AVVIK: kontroller timetallene")</f>
        <v/>
      </c>
    </row>
    <row r="34">
      <c r="A34" s="8" t="inlineStr">
        <is>
          <t>Prøv dette: sett kampanjebudsjettet opp ved å legge til fire timer på styrebesøkene i arket Handlingsplanen. Se hvor mye mer omsetning planen da må skape.</t>
        </is>
      </c>
    </row>
    <row r="35">
      <c r="A35" s="3" t="inlineStr">
        <is>
          <t>Kilde: Hjertnes kap. 10.5 og 10.6 om budsjettering og evaluering. Dekningsbidrag og montørtimer: Nordlys Elektro AS, Økonomistyring kapittel 5 og 7.</t>
        </is>
      </c>
    </row>
  </sheetData>
  <conditionalFormatting sqref="C29">
    <cfRule type="expression" priority="1" dxfId="0" stopIfTrue="0">
      <formula>LEFT(C29,5)="AVVIK"</formula>
    </cfRule>
  </conditionalFormatting>
  <conditionalFormatting sqref="C30">
    <cfRule type="expression" priority="2" dxfId="0" stopIfTrue="0">
      <formula>LEFT(C30,5)="AVVIK"</formula>
    </cfRule>
  </conditionalFormatting>
  <conditionalFormatting sqref="C31">
    <cfRule type="expression" priority="3" dxfId="0" stopIfTrue="0">
      <formula>LEFT(C31,5)="AVVIK"</formula>
    </cfRule>
  </conditionalFormatting>
  <conditionalFormatting sqref="C32">
    <cfRule type="expression" priority="4" dxfId="0" stopIfTrue="0">
      <formula>LEFT(C32,5)="AVVIK"</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54"/>
  <sheetViews>
    <sheetView showGridLines="0" workbookViewId="0">
      <selection activeCell="A1" sqref="A1"/>
    </sheetView>
  </sheetViews>
  <sheetFormatPr baseColWidth="8" defaultRowHeight="15"/>
  <cols>
    <col width="46" customWidth="1" min="1" max="1"/>
    <col width="18" customWidth="1" min="2" max="2"/>
    <col width="18" customWidth="1" min="3" max="3"/>
    <col width="18" customWidth="1" min="4" max="4"/>
    <col width="54" customWidth="1" min="5" max="5"/>
  </cols>
  <sheetData>
    <row r="1">
      <c r="A1" s="1" t="inlineStr">
        <is>
          <t>Tre scenarioer</t>
        </is>
      </c>
    </row>
    <row r="2">
      <c r="A2" s="2" t="inlineStr">
        <is>
          <t>Hva om kampanjen bare treffer delvis, hva om styret kutter, og hva om timene sprekker?</t>
        </is>
      </c>
    </row>
    <row r="4">
      <c r="A4" s="4" t="inlineStr">
        <is>
          <t>Scenario A · hva om kampanjen bare treffer delvis?</t>
        </is>
      </c>
    </row>
    <row r="5">
      <c r="A5" s="3" t="inlineStr">
        <is>
          <t>Nullpunktsraden er markert. Under den er kampanjen et tap.</t>
        </is>
      </c>
    </row>
    <row r="7" ht="28" customHeight="1">
      <c r="A7" s="9" t="inlineStr">
        <is>
          <t>Måloppnåelse</t>
        </is>
      </c>
      <c r="B7" s="9" t="inlineStr">
        <is>
          <t>Økt omsetning</t>
        </is>
      </c>
      <c r="C7" s="9" t="inlineStr">
        <is>
          <t>Ekstra dekningsbidrag</t>
        </is>
      </c>
      <c r="D7" s="9" t="inlineStr">
        <is>
          <t>Netto etter kampanjen</t>
        </is>
      </c>
      <c r="E7" s="9" t="inlineStr">
        <is>
          <t>Solcelleanlegg</t>
        </is>
      </c>
      <c r="F7" s="9" t="inlineStr">
        <is>
          <t>Ladepunkt</t>
        </is>
      </c>
      <c r="G7" s="9" t="inlineStr"/>
    </row>
    <row r="8">
      <c r="A8" s="22" t="n">
        <v>0</v>
      </c>
      <c r="B8" s="23">
        <f>A8*'Bærer den seg'!$B$10</f>
        <v/>
      </c>
      <c r="C8" s="23">
        <f>A8*'Bærer den seg'!$B$6</f>
        <v/>
      </c>
      <c r="D8" s="15">
        <f>C8-'Bærer den seg'!$B$5</f>
        <v/>
      </c>
      <c r="E8" s="13">
        <f>A8*Målene!$D$11</f>
        <v/>
      </c>
      <c r="F8" s="13">
        <f>A8*Målene!$D$12</f>
        <v/>
      </c>
    </row>
    <row r="9">
      <c r="A9" s="22" t="n">
        <v>0.25</v>
      </c>
      <c r="B9" s="23">
        <f>A9*'Bærer den seg'!$B$10</f>
        <v/>
      </c>
      <c r="C9" s="23">
        <f>A9*'Bærer den seg'!$B$6</f>
        <v/>
      </c>
      <c r="D9" s="15">
        <f>C9-'Bærer den seg'!$B$5</f>
        <v/>
      </c>
      <c r="E9" s="13">
        <f>A9*Målene!$D$11</f>
        <v/>
      </c>
      <c r="F9" s="13">
        <f>A9*Målene!$D$12</f>
        <v/>
      </c>
    </row>
    <row r="10">
      <c r="A10" s="22" t="n">
        <v>0.5</v>
      </c>
      <c r="B10" s="23">
        <f>A10*'Bærer den seg'!$B$10</f>
        <v/>
      </c>
      <c r="C10" s="23">
        <f>A10*'Bærer den seg'!$B$6</f>
        <v/>
      </c>
      <c r="D10" s="15">
        <f>C10-'Bærer den seg'!$B$5</f>
        <v/>
      </c>
      <c r="E10" s="13">
        <f>A10*Målene!$D$11</f>
        <v/>
      </c>
      <c r="F10" s="13">
        <f>A10*Målene!$D$12</f>
        <v/>
      </c>
    </row>
    <row r="11">
      <c r="A11" s="16">
        <f>'Bærer den seg'!B13</f>
        <v/>
      </c>
      <c r="B11" s="15">
        <f>A11*'Bærer den seg'!$B$10</f>
        <v/>
      </c>
      <c r="C11" s="15">
        <f>A11*'Bærer den seg'!$B$6</f>
        <v/>
      </c>
      <c r="D11" s="15">
        <f>C11-'Bærer den seg'!$B$5</f>
        <v/>
      </c>
      <c r="E11" s="13">
        <f>A11*Målene!$D$11</f>
        <v/>
      </c>
      <c r="F11" s="13">
        <f>A11*Målene!$D$12</f>
        <v/>
      </c>
      <c r="G11" s="8" t="inlineStr">
        <is>
          <t>Nullpunktet</t>
        </is>
      </c>
    </row>
    <row r="12">
      <c r="A12" s="22" t="n">
        <v>0.75</v>
      </c>
      <c r="B12" s="23">
        <f>A12*'Bærer den seg'!$B$10</f>
        <v/>
      </c>
      <c r="C12" s="23">
        <f>A12*'Bærer den seg'!$B$6</f>
        <v/>
      </c>
      <c r="D12" s="15">
        <f>C12-'Bærer den seg'!$B$5</f>
        <v/>
      </c>
      <c r="E12" s="13">
        <f>A12*Målene!$D$11</f>
        <v/>
      </c>
      <c r="F12" s="13">
        <f>A12*Målene!$D$12</f>
        <v/>
      </c>
    </row>
    <row r="13">
      <c r="A13" s="22" t="n">
        <v>1</v>
      </c>
      <c r="B13" s="23">
        <f>A13*'Bærer den seg'!$B$10</f>
        <v/>
      </c>
      <c r="C13" s="23">
        <f>A13*'Bærer den seg'!$B$6</f>
        <v/>
      </c>
      <c r="D13" s="15">
        <f>C13-'Bærer den seg'!$B$5</f>
        <v/>
      </c>
      <c r="E13" s="13">
        <f>A13*Målene!$D$11</f>
        <v/>
      </c>
      <c r="F13" s="13">
        <f>A13*Målene!$D$12</f>
        <v/>
      </c>
    </row>
    <row r="14">
      <c r="A14" s="22" t="n">
        <v>1.25</v>
      </c>
      <c r="B14" s="23">
        <f>A14*'Bærer den seg'!$B$10</f>
        <v/>
      </c>
      <c r="C14" s="23">
        <f>A14*'Bærer den seg'!$B$6</f>
        <v/>
      </c>
      <c r="D14" s="15">
        <f>C14-'Bærer den seg'!$B$5</f>
        <v/>
      </c>
      <c r="E14" s="13">
        <f>A14*Målene!$D$11</f>
        <v/>
      </c>
      <c r="F14" s="13">
        <f>A14*Målene!$D$12</f>
        <v/>
      </c>
    </row>
    <row r="16">
      <c r="A16" s="4" t="inlineStr">
        <is>
          <t>Kontroll</t>
        </is>
      </c>
    </row>
    <row r="17">
      <c r="A17" s="6" t="inlineStr">
        <is>
          <t>Gir nullpunktsraden netto null?</t>
        </is>
      </c>
      <c r="C17" s="18">
        <f>IF(ABS(D11)&lt;1,"OK — raden med nullpunktet gir nøyaktig null igjen etter kampanjen","AVVIK: nullpunktsraden stemmer ikke med arket Bærer den seg")</f>
        <v/>
      </c>
    </row>
    <row r="18">
      <c r="A18" s="6" t="inlineStr">
        <is>
          <t>Snur tabellen fra tap til gevinst?</t>
        </is>
      </c>
      <c r="C18" s="18">
        <f>IF(AND(D8&lt;0,D14&gt;0),"OK — tabellen snur fra tap til gevinst, og nullpunktet ligger imellom","AVVIK: utvid trappen så nullpunktet kommer med")</f>
        <v/>
      </c>
    </row>
    <row r="21">
      <c r="A21" s="4" t="inlineStr">
        <is>
          <t>Scenario B · styret kutter halve kampanjebudsjettet</t>
        </is>
      </c>
    </row>
    <row r="22">
      <c r="A22" s="3" t="inlineStr">
        <is>
          <t>Halve budsjettet betyr halve tiltakene. Spørsmålet er hvilke, og hva det gjør med måloppnåelsen.</t>
        </is>
      </c>
    </row>
    <row r="24">
      <c r="A24" s="6" t="inlineStr">
        <is>
          <t>Andel av budsjettet styret godkjenner</t>
        </is>
      </c>
      <c r="B24" s="22" t="n">
        <v>0.5</v>
      </c>
    </row>
    <row r="25">
      <c r="A25" s="8" t="inlineStr">
        <is>
          <t>= Budsjett etter kuttet</t>
        </is>
      </c>
      <c r="B25" s="15">
        <f>'Bærer den seg'!B5*B24</f>
        <v/>
      </c>
    </row>
    <row r="26">
      <c r="A26" s="6" t="inlineStr">
        <is>
          <t>Måloppnåelse du tror et halvert budsjett gir</t>
        </is>
      </c>
      <c r="B26" s="22" t="n">
        <v>0.5</v>
      </c>
      <c r="E26" s="6" t="inlineStr">
        <is>
          <t>Et anslag. Halvparten av pengene gir sjelden halvparten av resultatet — det interne tiltaket og kartleggingen må gjøres uansett.</t>
        </is>
      </c>
    </row>
    <row r="27">
      <c r="A27" s="8" t="inlineStr">
        <is>
          <t>= Ekstra dekningsbidrag da</t>
        </is>
      </c>
      <c r="B27" s="15">
        <f>'Bærer den seg'!B6*B26</f>
        <v/>
      </c>
    </row>
    <row r="28">
      <c r="A28" s="8" t="inlineStr">
        <is>
          <t>= Netto etter kuttet</t>
        </is>
      </c>
      <c r="B28" s="15">
        <f>B27-B25</f>
        <v/>
      </c>
    </row>
    <row r="29">
      <c r="A29" s="6" t="inlineStr">
        <is>
          <t>Netto uten kutt, til sammenlikning</t>
        </is>
      </c>
      <c r="B29" s="20">
        <f>'Bærer den seg'!B6-'Bærer den seg'!B5</f>
        <v/>
      </c>
    </row>
    <row r="30">
      <c r="A30" s="8" t="inlineStr">
        <is>
          <t>= Hva kuttet koster</t>
        </is>
      </c>
      <c r="B30" s="15">
        <f>B28-B29</f>
        <v/>
      </c>
    </row>
    <row r="31">
      <c r="A31" s="6" t="inlineStr">
        <is>
          <t>Laveste måloppnåelse som forsvarer det halve budsjettet</t>
        </is>
      </c>
      <c r="B31" s="14">
        <f>B25/'Bærer den seg'!B6</f>
        <v/>
      </c>
      <c r="E31" s="6" t="inlineStr">
        <is>
          <t>Et halvert budsjett har et lavere nullpunkt. Det er argumentet for kuttet — og det gjelder bare hvis måloppnåelsen ikke faller like mye.</t>
        </is>
      </c>
    </row>
    <row r="33">
      <c r="A33" s="4" t="inlineStr">
        <is>
          <t>Kontroll</t>
        </is>
      </c>
    </row>
    <row r="34">
      <c r="A34" s="6" t="inlineStr">
        <is>
          <t>Bærer den kuttede planen seg?</t>
        </is>
      </c>
      <c r="C34" s="18">
        <f>IF(B28&gt;0,"OK — også den kuttede planen gir mer enn den koster","AVVIK: den kuttede planen gir mindre enn den koster. Da er kuttet dyrere enn det ser ut")</f>
        <v/>
      </c>
    </row>
    <row r="35">
      <c r="A35" s="6" t="inlineStr">
        <is>
          <t>Er kuttet lønnsomt?</t>
        </is>
      </c>
      <c r="C35" s="18">
        <f>IF(B30&gt;=0,"OK — kuttet gir bedre netto enn den fulle planen","AVVIK: kuttet koster mer enn det sparer. Det er det du sier til styret")</f>
        <v/>
      </c>
    </row>
    <row r="36">
      <c r="A36" s="3" t="inlineStr">
        <is>
          <t>Her SKAL det stå AVVIK med anslagene som ligger inne. Halve budsjettet gir halve resultatet, og da taper bedriften på kuttet.</t>
        </is>
      </c>
    </row>
    <row r="38">
      <c r="A38" s="4" t="inlineStr">
        <is>
          <t>Scenario C · timeforbruket sprekker</t>
        </is>
      </c>
    </row>
    <row r="39">
      <c r="A39" s="3" t="inlineStr">
        <is>
          <t>Det vanligste avviket i en handlingsplan er ikke utleggene. Det er timene.</t>
        </is>
      </c>
    </row>
    <row r="41">
      <c r="A41" s="6" t="inlineStr">
        <is>
          <t>Faktisk timeforbruk i prosent av planlagt</t>
        </is>
      </c>
      <c r="B41" s="11" t="n">
        <v>1.4</v>
      </c>
    </row>
    <row r="42">
      <c r="A42" s="6" t="inlineStr">
        <is>
          <t>Planlagte administrasjonstimer</t>
        </is>
      </c>
      <c r="B42" s="13">
        <f>Handlingsplanen!C16</f>
        <v/>
      </c>
    </row>
    <row r="43">
      <c r="A43" s="6" t="inlineStr">
        <is>
          <t>Planlagte montørtimer</t>
        </is>
      </c>
      <c r="B43" s="13">
        <f>Handlingsplanen!D16</f>
        <v/>
      </c>
    </row>
    <row r="44">
      <c r="A44" s="6" t="inlineStr">
        <is>
          <t>Utlegg, som ikke sprekker</t>
        </is>
      </c>
      <c r="B44" s="20">
        <f>Handlingsplanen!E16</f>
        <v/>
      </c>
    </row>
    <row r="45">
      <c r="A45" s="8" t="inlineStr">
        <is>
          <t>= Budsjett med faktisk timeforbruk</t>
        </is>
      </c>
      <c r="B45" s="15">
        <f>(B42*Handlingsplanen!$C$4+B43*Handlingsplanen!$E$4)*B41+B44</f>
        <v/>
      </c>
    </row>
    <row r="46">
      <c r="A46" s="8" t="inlineStr">
        <is>
          <t>= Overskridelse</t>
        </is>
      </c>
      <c r="B46" s="15">
        <f>B45-'Bærer den seg'!B5</f>
        <v/>
      </c>
    </row>
    <row r="47">
      <c r="A47" s="8" t="inlineStr">
        <is>
          <t>= Nytt nullpunkt i økt omsetning</t>
        </is>
      </c>
      <c r="B47" s="15">
        <f>B45/'Bærer den seg'!B11</f>
        <v/>
      </c>
    </row>
    <row r="48">
      <c r="A48" s="6" t="inlineStr">
        <is>
          <t>Som andel av målet</t>
        </is>
      </c>
      <c r="B48" s="14">
        <f>B47/'Bærer den seg'!B10</f>
        <v/>
      </c>
      <c r="E48" s="6" t="inlineStr">
        <is>
          <t>Sammenlikn med nullpunktet uten sprekk. Timer som sprekker, flytter nullpunktet — de forsvinner ikke bare i en rapport.</t>
        </is>
      </c>
    </row>
    <row r="50">
      <c r="A50" s="4" t="inlineStr">
        <is>
          <t>Kontroll</t>
        </is>
      </c>
    </row>
    <row r="51">
      <c r="A51" s="6" t="inlineStr">
        <is>
          <t>Bærer planen seg fortsatt?</t>
        </is>
      </c>
      <c r="C51" s="18">
        <f>IF(B47&lt;'Bærer den seg'!B10,"OK — selv med sprekk ligger nullpunktet innenfor målet","AVVIK: med dette timeforbruket bærer kampanjen seg først hvis målet overoppfylles")</f>
        <v/>
      </c>
    </row>
    <row r="52">
      <c r="A52" s="6" t="inlineStr">
        <is>
          <t>Er utleggene holdt utenfor sprekken?</t>
        </is>
      </c>
      <c r="C52" s="18">
        <f>IF(ABS(B44-Handlingsplanen!E16)&lt;0.01,"OK — trykk og porto koster det samme uansett hvor lang tid det tar","AVVIK: kontroller utleggene")</f>
        <v/>
      </c>
    </row>
    <row r="54">
      <c r="A54" s="3" t="inlineStr">
        <is>
          <t>Kilde: Hjertnes kap. 10.5 om budsjettering og 10.6 om gjennomføring og evaluering, med beredskap for improvisasjon. Alle forutsetningene i scenarioene står i gule celler.</t>
        </is>
      </c>
    </row>
  </sheetData>
  <conditionalFormatting sqref="C17">
    <cfRule type="expression" priority="1" dxfId="0" stopIfTrue="0">
      <formula>LEFT(C17,5)="AVVIK"</formula>
    </cfRule>
  </conditionalFormatting>
  <conditionalFormatting sqref="C18">
    <cfRule type="expression" priority="2" dxfId="0" stopIfTrue="0">
      <formula>LEFT(C18,5)="AVVIK"</formula>
    </cfRule>
  </conditionalFormatting>
  <conditionalFormatting sqref="C34">
    <cfRule type="expression" priority="3" dxfId="0" stopIfTrue="0">
      <formula>LEFT(C34,5)="AVVIK"</formula>
    </cfRule>
  </conditionalFormatting>
  <conditionalFormatting sqref="C35">
    <cfRule type="expression" priority="4" dxfId="0" stopIfTrue="0">
      <formula>LEFT(C35,5)="AVVIK"</formula>
    </cfRule>
  </conditionalFormatting>
  <conditionalFormatting sqref="C51">
    <cfRule type="expression" priority="5" dxfId="0" stopIfTrue="0">
      <formula>LEFT(C51,5)="AVVIK"</formula>
    </cfRule>
  </conditionalFormatting>
  <conditionalFormatting sqref="C52">
    <cfRule type="expression" priority="6" dxfId="0" stopIfTrue="0">
      <formula>LEFT(C52,5)="AVVIK"</formula>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28"/>
  <sheetViews>
    <sheetView showGridLines="0" workbookViewId="0">
      <selection activeCell="A1" sqref="A1"/>
    </sheetView>
  </sheetViews>
  <sheetFormatPr baseColWidth="8" defaultRowHeight="15"/>
  <cols>
    <col width="8" customWidth="1" min="1" max="1"/>
    <col width="46" customWidth="1" min="2" max="2"/>
    <col width="12" customWidth="1" min="3" max="3"/>
    <col width="12" customWidth="1" min="4" max="4"/>
    <col width="12" customWidth="1" min="5" max="5"/>
    <col width="15" customWidth="1" min="6" max="6"/>
    <col width="22" customWidth="1" min="7" max="7"/>
    <col width="40" customWidth="1" min="8" max="8"/>
  </cols>
  <sheetData>
    <row r="1">
      <c r="A1" s="1" t="inlineStr">
        <is>
          <t>Din egen handlingsplan</t>
        </is>
      </c>
    </row>
    <row r="2">
      <c r="A2" s="2" t="inlineStr">
        <is>
          <t>Samme oppsett, tomt. Minst ett internt tiltak og minst én evaluering underveis.</t>
        </is>
      </c>
    </row>
    <row r="4">
      <c r="A4" s="4" t="inlineStr">
        <is>
          <t>Timekostnader</t>
        </is>
      </c>
      <c r="B4" s="6" t="inlineStr">
        <is>
          <t>Administrasjonstime</t>
        </is>
      </c>
      <c r="C4" s="19" t="n">
        <v>0</v>
      </c>
      <c r="D4" s="6" t="inlineStr">
        <is>
          <t>Montørtime</t>
        </is>
      </c>
      <c r="E4" s="10" t="n">
        <v>0</v>
      </c>
      <c r="H4" s="6" t="inlineStr">
        <is>
          <t>Ta med lønn og sosiale kostnader, ikke bare timelønna. De fleste undervurderer hva egne timer koster.</t>
        </is>
      </c>
    </row>
    <row r="6" ht="28" customHeight="1">
      <c r="A6" s="9" t="inlineStr">
        <is>
          <t>Uke</t>
        </is>
      </c>
      <c r="B6" s="9" t="inlineStr">
        <is>
          <t>Aktivitet</t>
        </is>
      </c>
      <c r="C6" s="9" t="inlineStr">
        <is>
          <t>Adm.timer</t>
        </is>
      </c>
      <c r="D6" s="9" t="inlineStr">
        <is>
          <t>Montørtimer</t>
        </is>
      </c>
      <c r="E6" s="9" t="inlineStr">
        <is>
          <t>Utlegg</t>
        </is>
      </c>
      <c r="F6" s="9" t="inlineStr">
        <is>
          <t>Budsjett</t>
        </is>
      </c>
      <c r="G6" s="9" t="inlineStr">
        <is>
          <t>Ansvarlig</t>
        </is>
      </c>
      <c r="H6" s="9" t="inlineStr">
        <is>
          <t>Det tiltaket skal føre til</t>
        </is>
      </c>
    </row>
    <row r="7">
      <c r="A7" s="5" t="inlineStr"/>
      <c r="B7" s="5" t="inlineStr"/>
      <c r="C7" s="11" t="n">
        <v>0</v>
      </c>
      <c r="D7" s="11" t="n">
        <v>0</v>
      </c>
      <c r="E7" s="10" t="n">
        <v>0</v>
      </c>
      <c r="F7" s="23">
        <f>C7*$C$4+D7*$E$4+E7</f>
        <v/>
      </c>
      <c r="G7" s="5" t="inlineStr"/>
      <c r="H7" s="5" t="inlineStr"/>
    </row>
    <row r="8">
      <c r="A8" s="5" t="inlineStr"/>
      <c r="B8" s="5" t="inlineStr"/>
      <c r="C8" s="11" t="n">
        <v>0</v>
      </c>
      <c r="D8" s="11" t="n">
        <v>0</v>
      </c>
      <c r="E8" s="10" t="n">
        <v>0</v>
      </c>
      <c r="F8" s="23">
        <f>C8*$C$4+D8*$E$4+E8</f>
        <v/>
      </c>
      <c r="G8" s="5" t="inlineStr"/>
      <c r="H8" s="5" t="inlineStr"/>
    </row>
    <row r="9">
      <c r="A9" s="5" t="inlineStr"/>
      <c r="B9" s="5" t="inlineStr"/>
      <c r="C9" s="11" t="n">
        <v>0</v>
      </c>
      <c r="D9" s="11" t="n">
        <v>0</v>
      </c>
      <c r="E9" s="10" t="n">
        <v>0</v>
      </c>
      <c r="F9" s="23">
        <f>C9*$C$4+D9*$E$4+E9</f>
        <v/>
      </c>
      <c r="G9" s="5" t="inlineStr"/>
      <c r="H9" s="5" t="inlineStr"/>
    </row>
    <row r="10">
      <c r="A10" s="5" t="inlineStr"/>
      <c r="B10" s="5" t="inlineStr"/>
      <c r="C10" s="11" t="n">
        <v>0</v>
      </c>
      <c r="D10" s="11" t="n">
        <v>0</v>
      </c>
      <c r="E10" s="10" t="n">
        <v>0</v>
      </c>
      <c r="F10" s="23">
        <f>C10*$C$4+D10*$E$4+E10</f>
        <v/>
      </c>
      <c r="G10" s="5" t="inlineStr"/>
      <c r="H10" s="5" t="inlineStr"/>
    </row>
    <row r="11">
      <c r="A11" s="5" t="inlineStr"/>
      <c r="B11" s="5" t="inlineStr"/>
      <c r="C11" s="11" t="n">
        <v>0</v>
      </c>
      <c r="D11" s="11" t="n">
        <v>0</v>
      </c>
      <c r="E11" s="10" t="n">
        <v>0</v>
      </c>
      <c r="F11" s="23">
        <f>C11*$C$4+D11*$E$4+E11</f>
        <v/>
      </c>
      <c r="G11" s="5" t="inlineStr"/>
      <c r="H11" s="5" t="inlineStr"/>
    </row>
    <row r="12">
      <c r="A12" s="5" t="inlineStr"/>
      <c r="B12" s="5" t="inlineStr"/>
      <c r="C12" s="11" t="n">
        <v>0</v>
      </c>
      <c r="D12" s="11" t="n">
        <v>0</v>
      </c>
      <c r="E12" s="10" t="n">
        <v>0</v>
      </c>
      <c r="F12" s="23">
        <f>C12*$C$4+D12*$E$4+E12</f>
        <v/>
      </c>
      <c r="G12" s="5" t="inlineStr"/>
      <c r="H12" s="5" t="inlineStr"/>
    </row>
    <row r="13">
      <c r="A13" s="5" t="inlineStr"/>
      <c r="B13" s="5" t="inlineStr"/>
      <c r="C13" s="11" t="n">
        <v>0</v>
      </c>
      <c r="D13" s="11" t="n">
        <v>0</v>
      </c>
      <c r="E13" s="10" t="n">
        <v>0</v>
      </c>
      <c r="F13" s="23">
        <f>C13*$C$4+D13*$E$4+E13</f>
        <v/>
      </c>
      <c r="G13" s="5" t="inlineStr"/>
      <c r="H13" s="5" t="inlineStr"/>
    </row>
    <row r="14">
      <c r="A14" s="5" t="inlineStr"/>
      <c r="B14" s="5" t="inlineStr"/>
      <c r="C14" s="11" t="n">
        <v>0</v>
      </c>
      <c r="D14" s="11" t="n">
        <v>0</v>
      </c>
      <c r="E14" s="10" t="n">
        <v>0</v>
      </c>
      <c r="F14" s="23">
        <f>C14*$C$4+D14*$E$4+E14</f>
        <v/>
      </c>
      <c r="G14" s="5" t="inlineStr"/>
      <c r="H14" s="5" t="inlineStr"/>
    </row>
    <row r="15">
      <c r="B15" s="8" t="inlineStr">
        <is>
          <t>= Sum</t>
        </is>
      </c>
      <c r="F15" s="15">
        <f>SUM(F7:F14)</f>
        <v/>
      </c>
    </row>
    <row r="17">
      <c r="A17" s="4" t="inlineStr">
        <is>
          <t>Hva planen skal gi</t>
        </is>
      </c>
    </row>
    <row r="18">
      <c r="B18" s="6" t="inlineStr">
        <is>
          <t>Ekstra dekningsbidrag hvis målet nås</t>
        </is>
      </c>
      <c r="F18" s="10" t="n">
        <v>0</v>
      </c>
    </row>
    <row r="19">
      <c r="B19" s="6" t="inlineStr">
        <is>
          <t>Marginal dekningsgrad</t>
        </is>
      </c>
      <c r="F19" s="22" t="n">
        <v>0</v>
      </c>
    </row>
    <row r="20">
      <c r="B20" s="8" t="inlineStr">
        <is>
          <t>= Kampanjen som andel av det ekstra dekningsbidraget</t>
        </is>
      </c>
      <c r="F20" s="16">
        <f>IF(F18=0,"",F15/F18)</f>
        <v/>
      </c>
    </row>
    <row r="21">
      <c r="B21" s="8" t="inlineStr">
        <is>
          <t>= Økt omsetning som må til for at planen skal bære seg</t>
        </is>
      </c>
      <c r="F21" s="15">
        <f>IF(F19=0,"",F15/F19)</f>
        <v/>
      </c>
      <c r="H21" s="6" t="inlineStr">
        <is>
          <t>Dette er tallet du avslutter med.</t>
        </is>
      </c>
    </row>
    <row r="23">
      <c r="A23" s="4" t="inlineStr">
        <is>
          <t>Kontroll</t>
        </is>
      </c>
    </row>
    <row r="24">
      <c r="A24" s="6" t="inlineStr">
        <is>
          <t>Har planen en sum og et mål å måles mot?</t>
        </is>
      </c>
      <c r="C24" s="18">
        <f>IF(AND(F15&gt;0,F18&gt;0),"OK — planen har både en budsjettsum og et dekningsbidrag å måles mot","AVVIK: fyll inn timekostnader, tiltak og forventet dekningsbidrag først")</f>
        <v/>
      </c>
    </row>
    <row r="25">
      <c r="A25" s="3" t="inlineStr">
        <is>
          <t>Her står det AVVIK til du har fylt inn dine egne tall. Det er meningen: arket er tomt når du får det.</t>
        </is>
      </c>
    </row>
    <row r="26">
      <c r="A26" s="6" t="inlineStr">
        <is>
          <t>Har hvert tiltak en navngitt ansvarlig?</t>
        </is>
      </c>
      <c r="C26" s="18">
        <f>IF(COUNTA(G7:G14)=COUNTA(B7:B14),"OK — hvert tiltak du har lagt inn, har en navngitt ansvarlig","AVVIK: et tiltak mangler ansvarlig. «Markedsavdelingen» er ikke et navn")</f>
        <v/>
      </c>
    </row>
    <row r="28">
      <c r="A28" s="8" t="inlineStr">
        <is>
          <t>Fire ting skiller en god plan fra en dårlig: hver linje har en navngitt person, budsjettpostene er regnet av timer, det interne tiltaket kommer FØR det eksterne, og evalueringen ligger midt i perioden.</t>
        </is>
      </c>
    </row>
  </sheetData>
  <conditionalFormatting sqref="C24">
    <cfRule type="expression" priority="1" dxfId="0" stopIfTrue="0">
      <formula>LEFT(C24,5)="AVVIK"</formula>
    </cfRule>
  </conditionalFormatting>
  <conditionalFormatting sqref="C26">
    <cfRule type="expression" priority="2" dxfId="0" stopIfTrue="0">
      <formula>LEFT(C26,5)="AVVIK"</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2026-09-11T09:30:19Z</dcterms:created>
  <dcterms:modified xmlns:dcterms="http://purl.org/dc/terms/" xmlns:xsi="http://www.w3.org/2001/XMLSchema-instance" xsi:type="dcterms:W3CDTF">2026-09-11T09:30:19Z</dcterms:modified>
</cp:coreProperties>
</file>