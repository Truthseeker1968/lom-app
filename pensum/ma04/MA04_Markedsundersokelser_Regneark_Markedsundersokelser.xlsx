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Feilmargin" sheetId="3" state="visible" r:id="rId5"/>
    <sheet name="Hvor mange må svare" sheetId="4" state="visible" r:id="rId6"/>
    <sheet name="To undersøkelser" sheetId="5" state="visible" r:id="rId7"/>
    <sheet name="Scenario" sheetId="6" state="visible" r:id="rId8"/>
    <sheet name="Din egen undersøkels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<sst xmlns="http://schemas.openxmlformats.org/spreadsheetml/2006/main" count="287" uniqueCount="253">
  <si>
    <t xml:space="preserve">Hvor mye kan svaret bomme? Den enkle versjonen</t>
  </si>
  <si>
    <t xml:space="preserve">Fyll inn de fire gule cellene. Svaret står i den grønne. Alt annet regner seg selv. Vil du gå dypere, ligger hele modellen i arkene bak.</t>
  </si>
  <si>
    <t xml:space="preserve">Det du vet</t>
  </si>
  <si>
    <t xml:space="preserve">Hvor mange kunder kunne du ha spurt?</t>
  </si>
  <si>
    <t xml:space="preserve">Hele kundelista. Det er populasjonen: alle du vil vite noe om.</t>
  </si>
  <si>
    <t xml:space="preserve">Hvor mange sendte du til eller ringte?</t>
  </si>
  <si>
    <t xml:space="preserve">Alle du prøvde å spørre, også de som ikke svarte.</t>
  </si>
  <si>
    <t xml:space="preserve">Hvor mange svarte?</t>
  </si>
  <si>
    <t xml:space="preserve">Det er dette tallet som avgjør hvor sikkert svaret er. Ikke antall spurte.</t>
  </si>
  <si>
    <t xml:space="preserve">Hvor mange av dem sa at de var fornøyde?</t>
  </si>
  <si>
    <t xml:space="preserve">Tell bare blant dem som svarte.</t>
  </si>
  <si>
    <t xml:space="preserve">Regnestykket</t>
  </si>
  <si>
    <t xml:space="preserve">Svarprosent</t>
  </si>
  <si>
    <t xml:space="preserve">Svar delt på spurte. Står den ikke i rapporten, var den som regel lav.</t>
  </si>
  <si>
    <t xml:space="preserve">Frafall: de som ikke svarte</t>
  </si>
  <si>
    <t xml:space="preserve">Frafallet er sjelden en tilfeldig gruppe. Det gjør svaret skjevt.</t>
  </si>
  <si>
    <t xml:space="preserve">Andel fornøyde blant dem som svarte</t>
  </si>
  <si>
    <t xml:space="preserve">Del på antall svar, ikke på antall spurte.</t>
  </si>
  <si>
    <t xml:space="preserve">FEILMARGIN I VERSTE FALL, PROSENTPOENG (±)</t>
  </si>
  <si>
    <t xml:space="preserve">Så mye kan svaret bomme fordi du spurte noen og ikke alle, med 95 prosent sikkerhet. Formelen er et tillegg til læreboka.</t>
  </si>
  <si>
    <t xml:space="preserve">Så mange må du spørre for å få 67 svar</t>
  </si>
  <si>
    <t xml:space="preserve">67 svar gir ±10 prosentpoeng med 214 kunder. Er tallet større enn kundelista, er metoden umulig.</t>
  </si>
  <si>
    <t xml:space="preserve">Hva svaret betyr</t>
  </si>
  <si>
    <t xml:space="preserve">Prøv selv</t>
  </si>
  <si>
    <t xml:space="preserve">1. Legg inn telefonrunden: B6 = 90, B7 = 67 og B8 = 48. Hva skjer med feilmarginen?</t>
  </si>
  <si>
    <t xml:space="preserve">2. Sett B7 lik B5. Hvorfor blir feilmarginen null?</t>
  </si>
  <si>
    <t xml:space="preserve">3. Hvor mange svar trenger du for å komme under 20 prosentpoeng? Prøv deg fram i B7.</t>
  </si>
  <si>
    <t xml:space="preserve">Tallene er Karis e-postundersøkelse fra januar 2026 (sammendraget til kap. 4). Kilde: Markedsføring, organisasjon og ledelse for LØM-emnet, kap. 4.5. Feilmarginen er et tillegg til læreboka (standard utvalgsteori). Nordlys Elektro AS er en konstruert casebedrift.</t>
  </si>
  <si>
    <t xml:space="preserve">Utvalg, svarprosent og feilmargin</t>
  </si>
  <si>
    <t xml:space="preserve">LØM Markedsføring kap. 4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</si>
  <si>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</si>
  <si>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</si>
  <si>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</si>
  <si>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</si>
  <si>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</si>
  <si>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</si>
  <si>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</si>
  <si>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</si>
  <si>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</si>
  <si>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</si>
  <si>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Hvor mye en kundeundersøkelse kan bomme, regnet på den enkleste måten.</t>
  </si>
  <si>
    <t xml:space="preserve">Feilmargin</t>
  </si>
  <si>
    <t xml:space="preserve">Hovedarket. Legg inn antall utsendte, antall svar og antall ja, og se hvor mye svaret kan bomme. Her ligger cellene du styrer alt fra: B5 til B9.</t>
  </si>
  <si>
    <t xml:space="preserve">Hvor mange må svare</t>
  </si>
  <si>
    <t xml:space="preserve">Feilmarginen ved ulike utvalgsstørrelser. Kurven flater ut, og det er hele poenget.</t>
  </si>
  <si>
    <t xml:space="preserve">To undersøkelser</t>
  </si>
  <si>
    <t xml:space="preserve">Karis e-post mot telefonrunden — samme bedrift, samme år, to ulike svar.</t>
  </si>
  <si>
    <t xml:space="preserve">Scenario</t>
  </si>
  <si>
    <t xml:space="preserve">Tre spørsmål: hva svarprosenten gjør med om undersøkelsen er mulig, hva presisjon koster, og hva skjevhet gjør med svaret.</t>
  </si>
  <si>
    <t xml:space="preserve">Din egen undersøkelse</t>
  </si>
  <si>
    <t xml:space="preserve">Samme oppsett, tomt. Legg inn tallene fra din egen bedrift.</t>
  </si>
  <si>
    <t xml:space="preserve">Tallene som ligger inne er de to undersøkelsene Kari Nordlund gjorde i 2026.</t>
  </si>
  <si>
    <t xml:space="preserve">MERK: feilmarginen står IKKE i læreboka. Hjertnes kap. 4.5 og 4.7.3 sier at</t>
  </si>
  <si>
    <t xml:space="preserve">gyldigheten bestemmes av utvalgets størrelse og sammensetning, men tallfester det</t>
  </si>
  <si>
    <t xml:space="preserve">ikke. Formelen her er standard utvalgsteori og er tatt med for å gjøre bokas eget</t>
  </si>
  <si>
    <t xml:space="preserve">poeng målbart. Der arket og læreboka skulle stå mot hverandre, gjelder læreboka.</t>
  </si>
  <si>
    <t xml:space="preserve">To ting formelen IKKE fikser:</t>
  </si>
  <si>
    <t xml:space="preserve">1) Skjevhet. Er utvalget ikke trukket tilfeldig, er tallet presist regnet på feil folk.</t>
  </si>
  <si>
    <t xml:space="preserve">   Scenario C i arket «Scenario» viser hvor galt det kan bli.</t>
  </si>
  <si>
    <t xml:space="preserve">2) Små tall. Under 30 svar er feilmarginen et varsel om usikkerhet, ikke en presis grense.</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</si>
  <si>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</si>
  <si>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</si>
  <si>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 fem knappene</t>
  </si>
  <si>
    <t xml:space="preserve">Feilmargin!B5</t>
  </si>
  <si>
    <t xml:space="preserve">Populasjon</t>
  </si>
  <si>
    <t xml:space="preserve">Hvor mange du kunne ha spurt. Endrer endelighetskorreksjonen i hele arbeidsboka.</t>
  </si>
  <si>
    <t xml:space="preserve">Feilmargin!B6</t>
  </si>
  <si>
    <t xml:space="preserve">Antall spurt</t>
  </si>
  <si>
    <t xml:space="preserve">Antall forsøk. Sammen med B7 gir den svarprosenten.</t>
  </si>
  <si>
    <t xml:space="preserve">Feilmargin!B7</t>
  </si>
  <si>
    <t xml:space="preserve">Antall SVAR</t>
  </si>
  <si>
    <t xml:space="preserve">Det tallet som bestemmer usikkerheten. Ikke antall du spurte.</t>
  </si>
  <si>
    <t xml:space="preserve">Feilmargin!B9</t>
  </si>
  <si>
    <t xml:space="preserve">z-verdi</t>
  </si>
  <si>
    <t xml:space="preserve">Sikkerhetsnivået. 1,96 er det vanlige.</t>
  </si>
  <si>
    <t xml:space="preserve">Feilmargin!B30</t>
  </si>
  <si>
    <t xml:space="preserve">Ønsket feilmargin</t>
  </si>
  <si>
    <t xml:space="preserve">Hva du krever av presisjon. Styrer scenario A og B.</t>
  </si>
  <si>
    <t xml:space="preserve">Hvilken oppgave bruker hvilket ark</t>
  </si>
  <si>
    <t xml:space="preserve">Oppgave i øvingsheftet</t>
  </si>
  <si>
    <t xml:space="preserve">Ark</t>
  </si>
  <si>
    <t xml:space="preserve">Celler du endrer og leser av</t>
  </si>
  <si>
    <t xml:space="preserve">A1 · Kan Kari si at kundene er fornøyde, med tolv svar?</t>
  </si>
  <si>
    <t xml:space="preserve">Tallene ligger inne. Se hva feilmarginen i B20 blir.</t>
  </si>
  <si>
    <t xml:space="preserve">A2 · Hva er galt med å spørre bare de kundene du likte?</t>
  </si>
  <si>
    <t xml:space="preserve">Scenario C: sett andelen ja blant dem som ikke svarte, og se hva den sanne andelen blir.</t>
  </si>
  <si>
    <t xml:space="preserve">1 · Hva tolv svar er verdt</t>
  </si>
  <si>
    <t xml:space="preserve">Legg inn B5, B6, B7 og B8. Les av svarprosenten i B12, andelen ja i B14, feilmarginen i B19 og B20 og intervallet i B21 og B22.</t>
  </si>
  <si>
    <t xml:space="preserve">2 · To undersøkelser, samme bedrift</t>
  </si>
  <si>
    <t xml:space="preserve">Endre B8 til B10 og C8 til C10. Les av rad 12 til 17, og dommen i D19.</t>
  </si>
  <si>
    <t xml:space="preserve">3 · Hva presisjon koster</t>
  </si>
  <si>
    <t xml:space="preserve">Hvor mange må svare og Scenario</t>
  </si>
  <si>
    <t xml:space="preserve">Tabellen i «Hvor mange må svare» gir deloppgave a) direkte. Scenario A: endre svarprosentene i B8, C8 og D8 og les av rad 11 til 13. Scenario B er tabellen over hva presisjon koster.</t>
  </si>
  <si>
    <t xml:space="preserve">4 · Sjekkliste: fra spørsmål til rapport</t>
  </si>
  <si>
    <t xml:space="preserve">—</t>
  </si>
  <si>
    <t xml:space="preserve">Denne oppgaven fyller du ut i heftet. Den bruker ikke regnearket.</t>
  </si>
  <si>
    <t xml:space="preserve">5 · Eksamensnær: hvorfor taper vi anbud?</t>
  </si>
  <si>
    <t xml:space="preserve">Scenario A gir deg hva metoden koster i antall du må spørre. Scenario C gir deg argumentet for hvem du må spørre. Bruk «Din egen undersøkelse» hvis du vil regne på din egen bedrift.</t>
  </si>
  <si>
    <t xml:space="preserve">Kontrollradene</t>
  </si>
  <si>
    <t xml:space="preserve">Hvert regneark har en kontrollblokk. Står det OK, henger tallene sammen. Står det AVVIK, farges cellen rød, og teksten sier hva som ikke går opp.</t>
  </si>
  <si>
    <t xml:space="preserve">To unntak, der AVVIK er selve svaret: kontrollen om tretti svar i arket «Feilmargin» skal vise AVVIK med tallene som ligger inne — tolv svar er for få. Og kontrollen i scenario A skal vise OK nettopp fordi e-postrunden er umulig å gjennomføre.</t>
  </si>
  <si>
    <t xml:space="preserve">Kontroller i arbeidsboka: Feilmargin B36, Feilmargin B37, Feilmargin B38, Hvor mange må svare C20, Hvor mange må svare C21, Hvor mange må svare C22, To undersøkelser B22, To undersøkelser B23, To undersøkelser B24, Scenario B16, Scenario B17, Scenario B31, Scenario B32, Scenario B48, Scenario B49, Din egen undersøkelse B23, Din egen undersøkelse B24</t>
  </si>
  <si>
    <t xml:space="preserve">Kilder</t>
  </si>
  <si>
    <t xml:space="preserve">Hjertnes, F.: Markedsføring, organisasjon og ledelse for LØM-emnet, 4. utg., kap. 4.1 til 4.7. Feilmarginformelen og vektingen i scenario C er standard utvalgsteori og et tillegg til læreboka.</t>
  </si>
  <si>
    <t xml:space="preserve">Populasjonen er Nordlys Elektro AS sine egne kunder i 2026: 214 kunder — de 34 som fikk solcelleanlegg og de 180 som fikk ladepunkt i 2026.</t>
  </si>
  <si>
    <t xml:space="preserve">Bransjetall: NHO Elektro, Lønnsomhetsrapport 2025, gjengitt i Elektro 24-7 19.08.2026 (hentet 10.09.2026). De 809 er bedriftene i datagrunnlaget, ikke bransjen. NHO Elektro oppgir ikke svarprosent.</t>
  </si>
  <si>
    <t xml:space="preserve">Hvor mye kan svaret bomme?</t>
  </si>
  <si>
    <t xml:space="preserve">Endre de gule cellene. Alt annet regner seg selv.</t>
  </si>
  <si>
    <t xml:space="preserve">1 · Undersøkelsen</t>
  </si>
  <si>
    <t xml:space="preserve">Populasjon: hvor mange kunne du ha spurt?</t>
  </si>
  <si>
    <t xml:space="preserve">214 kunder — de 34 som fikk solcelleanlegg og de 180 som fikk ladepunkt i 2026</t>
  </si>
  <si>
    <t xml:space="preserve">Antall du sendte til eller ringte</t>
  </si>
  <si>
    <t xml:space="preserve">Antall som SVARTE</t>
  </si>
  <si>
    <t xml:space="preserve">Det er dette tallet som avgjør usikkerheten — ikke antall du spurte.</t>
  </si>
  <si>
    <t xml:space="preserve">Antall av dem som svarte ja</t>
  </si>
  <si>
    <t xml:space="preserve">z-verdi (sikkerhetsnivå)</t>
  </si>
  <si>
    <t xml:space="preserve">1,645 gir 90 % sikkerhet · 1,96 gir 95 % · 2,576 gir 99 %</t>
  </si>
  <si>
    <t xml:space="preserve">2 · Hva du fikk inn</t>
  </si>
  <si>
    <t xml:space="preserve">= Svarprosent</t>
  </si>
  <si>
    <t xml:space="preserve">Står den ikke i rapporten, er det som regel fordi den var lav.</t>
  </si>
  <si>
    <t xml:space="preserve">= Frafall (de som ikke svarte)</t>
  </si>
  <si>
    <t xml:space="preserve">Frafallet er sjelden en tilfeldig gruppe. Det gjør resultatet skjevt, ikke bare unøyaktig.</t>
  </si>
  <si>
    <t xml:space="preserve">= Andelen som svarte ja</t>
  </si>
  <si>
    <t xml:space="preserve">= Utvalgets andel av populasjonen</t>
  </si>
  <si>
    <t xml:space="preserve">3 · Feilmarginen</t>
  </si>
  <si>
    <t xml:space="preserve">Endelighetskorreksjon</t>
  </si>
  <si>
    <t xml:space="preserve">Spør du en stor del av en kort kundeliste, er usikkerheten mindre enn formelen ellers sier.</t>
  </si>
  <si>
    <t xml:space="preserve">= Feilmargin ved den andelen dere målte</t>
  </si>
  <si>
    <t xml:space="preserve">= Feilmargin i verste fall (50/50)</t>
  </si>
  <si>
    <t xml:space="preserve">Usikkerheten er størst når svarene fordeler seg jevnt. Bruk dette tallet når du er i tvil.</t>
  </si>
  <si>
    <t xml:space="preserve">= Nedre grense for det sanne svaret</t>
  </si>
  <si>
    <t xml:space="preserve">= Øvre grense for det sanne svaret</t>
  </si>
  <si>
    <t xml:space="preserve">Konklusjonen du har lov til å trekke</t>
  </si>
  <si>
    <t xml:space="preserve">4 · Advarsler</t>
  </si>
  <si>
    <t xml:space="preserve">5 · Hvor mange svar trenger dere?</t>
  </si>
  <si>
    <t xml:space="preserve">Nødvendig antall svar, uten hensyn til liten populasjon</t>
  </si>
  <si>
    <t xml:space="preserve">= Nødvendig antall SVAR</t>
  </si>
  <si>
    <t xml:space="preserve">= Antall dere må spørre, med svarprosenten over</t>
  </si>
  <si>
    <t xml:space="preserve">Kontroll</t>
  </si>
  <si>
    <t xml:space="preserve">Er tallene logisk mulige?</t>
  </si>
  <si>
    <t xml:space="preserve">Ligger konfidensintervallet innenfor null og hundre?</t>
  </si>
  <si>
    <t xml:space="preserve">Er utvalget stort nok til at formelen er til å stole på?</t>
  </si>
  <si>
    <t xml:space="preserve">Med tallene som ligger inne SKAL det stå AVVIK her. Det er hele poenget med Karis e-post i januar: tolv svar er for få til å konkludere.</t>
  </si>
  <si>
    <t xml:space="preserve">Prøv dette: sett svarprosenten opp ved å bytte e-post med telefon — sett B6 til 90 og B7 til 67 — og se hvor mye smalere intervallet blir.</t>
  </si>
  <si>
    <t xml:space="preserve">Kilde: Hjertnes, F.: Markedsføring, organisasjon og ledelse for LØM-emnet, 4. utg., kap. 4.5, 4.6 og 4.7.3. Feilmarginformelen er standard utvalgsteori og et tillegg til læreboka. Populasjonen er Nordlys Elektro AS sine egne kunder i 2026.</t>
  </si>
  <si>
    <t xml:space="preserve">Feilmarginen ved ulike utvalgsstørrelser</t>
  </si>
  <si>
    <t xml:space="preserve">Populasjon og z-verdi hentes fra arket «Feilmargin». Marker A5:C14 og sett inn et linjediagram hvis du vil se kurven.</t>
  </si>
  <si>
    <t xml:space="preserve">Antall svar</t>
  </si>
  <si>
    <t xml:space="preserve">Andel av populasjonen</t>
  </si>
  <si>
    <t xml:space="preserve">Feilmargin (50/50)</t>
  </si>
  <si>
    <t xml:space="preserve">Uten korreksjon</t>
  </si>
  <si>
    <t xml:space="preserve">Hva det betyr i praksis</t>
  </si>
  <si>
    <t xml:space="preserve">Du kan ikke skille mellom en av tre og to av tre.</t>
  </si>
  <si>
    <t xml:space="preserve">Karis e-post i januar. Nesten ingen konklusjon tåler dette.</t>
  </si>
  <si>
    <t xml:space="preserve">Fortsatt for grovt til å velge mellom to alternativer.</t>
  </si>
  <si>
    <t xml:space="preserve">Her begynner formelen å bli til å stole på.</t>
  </si>
  <si>
    <t xml:space="preserve">Nå kan du se store forskjeller, men ikke små.</t>
  </si>
  <si>
    <t xml:space="preserve">Karis telefonrunde i mars. Ti prosentpoeng — nok til å bestemme seg.</t>
  </si>
  <si>
    <t xml:space="preserve">Presist nok for de fleste beslutninger en installatør står i.</t>
  </si>
  <si>
    <t xml:space="preserve">Dyrt. Du har ringt sytti prosent av kundelista.</t>
  </si>
  <si>
    <t xml:space="preserve">Du har spurt alle. Da finnes det ingen utvalgsusikkerhet igjen.</t>
  </si>
  <si>
    <t xml:space="preserve">Legg merke til formen på kurven: de første tretti svarene halverer usikkerheten. De neste hundre gjør knapt noe.</t>
  </si>
  <si>
    <t xml:space="preserve">Presisjon er dyrt. Litt presisjon er billig. Det er hele grunnen til at en liten bedrift kan gjøre nyttige undersøkelser selv.</t>
  </si>
  <si>
    <t xml:space="preserve">Kolonnen «Uten korreksjon» viser hva feilmarginen ville vært hvis kundelista var uendelig lang. Forskjellen er poenget: en liten bedrift med få kunder får mer ut av hvert svar enn et meningsmålingsbyrå gjør.</t>
  </si>
  <si>
    <t xml:space="preserve">Faller feilmarginen når utvalget vokser?</t>
  </si>
  <si>
    <t xml:space="preserve">Er feilmarginen null når alle er spurt?</t>
  </si>
  <si>
    <t xml:space="preserve">Senker endelighetskorreksjonen feilmarginen?</t>
  </si>
  <si>
    <t xml:space="preserve">Kilde: Hjertnes kap. 4.5 om utvalgets størrelse. Formelen er et tillegg til læreboka.</t>
  </si>
  <si>
    <t xml:space="preserve">Samme bedrift, samme spørsmål, to svar</t>
  </si>
  <si>
    <t xml:space="preserve">Kolonnene er Karis to undersøkelser. Se hva som skiller dem.</t>
  </si>
  <si>
    <t xml:space="preserve">E-posten i januar</t>
  </si>
  <si>
    <t xml:space="preserve">Telefonrunden i mars</t>
  </si>
  <si>
    <t xml:space="preserve">Hva forskjellen kommer av</t>
  </si>
  <si>
    <t xml:space="preserve">Utvalgsmetode</t>
  </si>
  <si>
    <t xml:space="preserve">Bekvemmelighetsutvalg</t>
  </si>
  <si>
    <t xml:space="preserve">Enkelt, tilfeldig utvalg</t>
  </si>
  <si>
    <t xml:space="preserve">Trukket eller ikke. Det er det viktigste valget i hele undersøkelsen.</t>
  </si>
  <si>
    <t xml:space="preserve">Metode</t>
  </si>
  <si>
    <t xml:space="preserve">E-post</t>
  </si>
  <si>
    <t xml:space="preserve">Telefon</t>
  </si>
  <si>
    <t xml:space="preserve">Telefon gir høyere svarprosent, men ingen anonymitet.</t>
  </si>
  <si>
    <t xml:space="preserve">Antall som svarte ja</t>
  </si>
  <si>
    <t xml:space="preserve">Fire av fem svarte ikke på e-posten. Tre av fire svarte på telefonen.</t>
  </si>
  <si>
    <t xml:space="preserve">= Andel som svarte ja</t>
  </si>
  <si>
    <t xml:space="preserve">Det høyeste tallet kommer fra den dårligste undersøkelsen. Det er ikke tilfeldig.</t>
  </si>
  <si>
    <t xml:space="preserve">= Feilmargin i verste fall</t>
  </si>
  <si>
    <t xml:space="preserve">Nesten tre ganger så stor usikkerhet i den første.</t>
  </si>
  <si>
    <t xml:space="preserve">= Nedre grense</t>
  </si>
  <si>
    <t xml:space="preserve">= Øvre grense</t>
  </si>
  <si>
    <t xml:space="preserve">Intervallene overlapper. De to undersøkelsene motsier altså ikke hverandre.</t>
  </si>
  <si>
    <t xml:space="preserve">= Bredden på intervallet, i prosentpoeng</t>
  </si>
  <si>
    <t xml:space="preserve">Hvilken av dem tør du bruke i markedsplanen?</t>
  </si>
  <si>
    <t xml:space="preserve">Har den store undersøkelsen minst usikkerhet?</t>
  </si>
  <si>
    <t xml:space="preserve">Overlapper intervallene?</t>
  </si>
  <si>
    <t xml:space="preserve">Gir den dårligste undersøkelsen det hyggeligste svaret?</t>
  </si>
  <si>
    <t xml:space="preserve">Merk at den første undersøkelsen ga det HYGGELIGSTE svaret. Et tall som bekrefter det ledelsen håpet på, blir sjelden etterprøvd.</t>
  </si>
  <si>
    <t xml:space="preserve">Tre scenarioer</t>
  </si>
  <si>
    <t xml:space="preserve">Endre de gule cellene og se hva som skjer. Alle tall hentes fra arket «Feilmargin».</t>
  </si>
  <si>
    <t xml:space="preserve">Scenario A · svarprosenten avgjør om undersøkelsen er mulig</t>
  </si>
  <si>
    <t xml:space="preserve">Målet er det samme i alle tre kolonnene. Det eneste som endrer seg, er hvor stor del som svarer.</t>
  </si>
  <si>
    <t xml:space="preserve">Personlig oppsøk</t>
  </si>
  <si>
    <t xml:space="preserve">Hva raden betyr</t>
  </si>
  <si>
    <t xml:space="preserve">De gule cellene er scenarioene. Endre dem fritt.</t>
  </si>
  <si>
    <t xml:space="preserve">Nødvendig antall SVAR</t>
  </si>
  <si>
    <t xml:space="preserve">Det samme uansett metode. Formelen bryr seg om svar, ikke om hvordan du spurte.</t>
  </si>
  <si>
    <t xml:space="preserve">= Antall du må spørre</t>
  </si>
  <si>
    <t xml:space="preserve">Andel av hele kundelista</t>
  </si>
  <si>
    <t xml:space="preserve">Dom</t>
  </si>
  <si>
    <t xml:space="preserve">Med tjue prosent svar må du spørre flere enn du har. Det er ikke en dyr undersøkelse — det er en umulig en.</t>
  </si>
  <si>
    <t xml:space="preserve">Krever lavere svarprosent at flere spørres?</t>
  </si>
  <si>
    <t xml:space="preserve">Hva som SKAL stå her med tallene som ligger inne</t>
  </si>
  <si>
    <t xml:space="preserve">Scenario B · hva presisjon koster</t>
  </si>
  <si>
    <t xml:space="preserve">Halverer du feilmarginen, firedobler du antall svar. Se hvor fort det blir dyrt.</t>
  </si>
  <si>
    <t xml:space="preserve">Nødvendige svar</t>
  </si>
  <si>
    <t xml:space="preserve">Må spørres på telefon</t>
  </si>
  <si>
    <t xml:space="preserve">Andel av kundelista</t>
  </si>
  <si>
    <t xml:space="preserve">Hva det betyr</t>
  </si>
  <si>
    <t xml:space="preserve">Grovt. Nok til å se om noe er stort eller lite.</t>
  </si>
  <si>
    <t xml:space="preserve">Fortsatt grovt, men billig.</t>
  </si>
  <si>
    <t xml:space="preserve">Målet Kari satte. Nok til å bestemme seg.</t>
  </si>
  <si>
    <t xml:space="preserve">Presist. Nå må du ringe mesteparten av kundelista.</t>
  </si>
  <si>
    <t xml:space="preserve">Meningsmålingsnivå. Her finnes ikke nok kunder.</t>
  </si>
  <si>
    <t xml:space="preserve">Krever mindre feilmargin flere svar?</t>
  </si>
  <si>
    <t xml:space="preserve">Er det nok kunder til den strengeste raden?</t>
  </si>
  <si>
    <t xml:space="preserve">Scenario C · skjevhet — det formelen ikke kan rette opp</t>
  </si>
  <si>
    <t xml:space="preserve">De som ikke svarte, er sjelden like de som svarte. Her setter du inn hva DE ville svart, og ser hva det sanne tallet blir.</t>
  </si>
  <si>
    <t xml:space="preserve">Antall som svarte</t>
  </si>
  <si>
    <t xml:space="preserve">Andel ja blant dem som svarte</t>
  </si>
  <si>
    <t xml:space="preserve">Antall som IKKE svarte</t>
  </si>
  <si>
    <t xml:space="preserve">Andel ja blant dem som ikke svarte</t>
  </si>
  <si>
    <t xml:space="preserve">Dette er gjettingen. Sett den lik andelen over hvis du tror frafallet er tilfeldig — og spør deg selv om du virkelig tror det.</t>
  </si>
  <si>
    <t xml:space="preserve">= Sann andel ja blant alle du spurte</t>
  </si>
  <si>
    <t xml:space="preserve">= Skjevhet i prosentpoeng</t>
  </si>
  <si>
    <t xml:space="preserve">Så mye for høyt eller lavt måler undersøkelsen, bare fordi frafallet ikke er tilfeldig.</t>
  </si>
  <si>
    <t xml:space="preserve">Feilmarginen ved den målte andelen</t>
  </si>
  <si>
    <t xml:space="preserve">Er skjevheten større enn feilmarginen?</t>
  </si>
  <si>
    <t xml:space="preserve">Står det JA, er skjevheten et større problem enn utvalgsstørrelsen — og da hjelper det ikke å spørre flere.</t>
  </si>
  <si>
    <t xml:space="preserve">Er skjevheten regnet riktig?</t>
  </si>
  <si>
    <t xml:space="preserve">Ti tusen svar fra bare fornøyde kunder er like skjevt som tolv. Et stort utvalg reparerer ikke et skjevt et — og ingen formel i dette arket kan si hvor skjevt det er. Det er derfor trekningen er viktigere enn antallet.</t>
  </si>
  <si>
    <t xml:space="preserve">Kilde: Hjertnes kap. 4.6 om utvalgsmetodene og 4.7.3 om gyldighet og pålitelighet. Vektingen i scenario C er standard utvalgsteori og et tillegg til læreboka.</t>
  </si>
  <si>
    <t xml:space="preserve">Din egen bedrift</t>
  </si>
  <si>
    <t xml:space="preserve">Samme oppsett som arket «Feilmargin», men tomt. Fyll inn tallene fra en undersøkelse dere selv har gjort.</t>
  </si>
  <si>
    <t xml:space="preserve">Populasjon: hvor mange kunne dere ha spurt?</t>
  </si>
  <si>
    <t xml:space="preserve">Alle kundene, alle som ba om tilbud, eller alle i markedet? Velg, og skriv det ned.</t>
  </si>
  <si>
    <t xml:space="preserve">Antall dere sendte til eller ringte</t>
  </si>
  <si>
    <t xml:space="preserve">Antall forsøk, ikke antall svar.</t>
  </si>
  <si>
    <t xml:space="preserve">Dette tallet bestemmer usikkerheten.</t>
  </si>
  <si>
    <t xml:space="preserve">Ja til det ene spørsmålet dere bryr dere mest om.</t>
  </si>
  <si>
    <t xml:space="preserve">2 · Resultat</t>
  </si>
  <si>
    <t xml:space="preserve">Konklusjonen dere har lov til å trekke</t>
  </si>
  <si>
    <t xml:space="preserve">Er svarprosenten høy nok til at frafallet ikke dominerer?</t>
  </si>
  <si>
    <t xml:space="preserve">Og det arket ikke kan svare på: ble utvalget trukket tilfeldig? Er det ikke det, er tallet over presist regnet på feil folk.</t>
  </si>
  <si>
    <t xml:space="preserve">Fikk dere aldri vite svarprosenten i en undersøkelse noen andre gjorde for dere, er det i seg selv et funn.</t>
  </si>
</sst>
</file>

<file path=xl/styles.xml><?xml version="1.0" encoding="utf-8"?>
<styleSheet xmlns="http://schemas.openxmlformats.org/spreadsheetml/2006/main">
  <numFmts count="6">
    <numFmt numFmtId="164" formatCode="General"/>
    <numFmt numFmtId="165" formatCode="#,##0"/>
    <numFmt numFmtId="166" formatCode="0.0\ %"/>
    <numFmt numFmtId="167" formatCode="0.0"/>
    <numFmt numFmtId="168" formatCode="#,##0.00"/>
    <numFmt numFmtId="169"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214</v>
      </c>
      <c r="C5" s="7" t="s">
        <v>4</v>
      </c>
    </row>
    <row r="6" customFormat="false" ht="15" hidden="false" customHeight="true" outlineLevel="0" collapsed="false">
      <c r="A6" s="5" t="s">
        <v>5</v>
      </c>
      <c r="B6" s="6" t="n">
        <v>60</v>
      </c>
      <c r="C6" s="7" t="s">
        <v>6</v>
      </c>
    </row>
    <row r="7" customFormat="false" ht="15" hidden="false" customHeight="true" outlineLevel="0" collapsed="false">
      <c r="A7" s="5" t="s">
        <v>7</v>
      </c>
      <c r="B7" s="6" t="n">
        <v>12</v>
      </c>
      <c r="C7" s="7" t="s">
        <v>8</v>
      </c>
    </row>
    <row r="8" customFormat="false" ht="15" hidden="false" customHeight="true" outlineLevel="0" collapsed="false">
      <c r="A8" s="5" t="s">
        <v>9</v>
      </c>
      <c r="B8" s="6" t="n">
        <v>11</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8" t="n">
        <f aca="false">B7/B6</f>
        <v>0.2</v>
      </c>
      <c r="C11" s="7" t="s">
        <v>13</v>
      </c>
    </row>
    <row r="12" customFormat="false" ht="15" hidden="false" customHeight="true" outlineLevel="0" collapsed="false">
      <c r="A12" s="5" t="s">
        <v>14</v>
      </c>
      <c r="B12" s="9" t="n">
        <f aca="false">B6-B7</f>
        <v>48</v>
      </c>
      <c r="C12" s="7" t="s">
        <v>15</v>
      </c>
    </row>
    <row r="13" customFormat="false" ht="15" hidden="false" customHeight="true" outlineLevel="0" collapsed="false">
      <c r="A13" s="5" t="s">
        <v>16</v>
      </c>
      <c r="B13" s="8" t="n">
        <f aca="false">B8/B7</f>
        <v>0.916666666666667</v>
      </c>
      <c r="C13" s="7" t="s">
        <v>17</v>
      </c>
    </row>
    <row r="14" customFormat="false" ht="15" hidden="false" customHeight="true" outlineLevel="0" collapsed="false"/>
    <row ht="32.25" customHeight="true" r="15" customFormat="false" hidden="false" outlineLevel="0" collapsed="false">
      <c r="A15" s="10" t="s">
        <v>18</v>
      </c>
      <c r="B15" s="11" t="n">
        <f aca="false">100*1.96*(0.25/B7)^0.5*((B5-B7)/(B5-1))^0.5</f>
        <v>27.5499830298537</v>
      </c>
      <c r="C15" s="7" t="s">
        <v>19</v>
      </c>
    </row>
    <row ht="24.75" customHeight="true" r="16" customFormat="false" hidden="false" outlineLevel="0" collapsed="false">
      <c r="A16" s="5" t="s">
        <v>20</v>
      </c>
      <c r="B16" s="9" t="n">
        <f aca="false">67/B11</f>
        <v>335</v>
      </c>
      <c r="C16" s="7" t="s">
        <v>21</v>
      </c>
    </row>
    <row r="17" customFormat="false" ht="15" hidden="false" customHeight="true" outlineLevel="0" collapsed="false"/>
    <row r="18" customFormat="false" ht="15" hidden="false" customHeight="true" outlineLevel="0" collapsed="false">
      <c r="A18" s="3" t="s">
        <v>22</v>
      </c>
      <c r="B18" s="4"/>
      <c r="C18" s="4"/>
    </row>
    <row r="19" customFormat="false" ht="33.75" hidden="false" customHeight="true" outlineLevel="0" collapsed="false">
      <c r="A19" s="12" t="str">
        <f aca="false">"Av dem som svarte, sa "&amp;TEXT(B13,"0.0 %")&amp;" at de var fornøyde. Men med "&amp;TEXT(ROUND(B7,0),"#,##0")&amp;" svar kan det sanne tallet i verste fall ligge "&amp;TEXT(ROUND(B15,1),"0.0")&amp;" prosentpoeng høyere eller lavere. Skjevheten fra frafallet kommer i tillegg."</f>
        <v>Av dem som svarte, sa 91.7 % at de var fornøyde. Men med 12 svar kan det sanne tallet i verste fall ligge 27.5 prosentpoeng høyere eller lavere. Skjevheten fra frafallet kommer i tillegg.</v>
      </c>
      <c r="B19" s="12"/>
      <c r="C19" s="12"/>
    </row>
    <row r="20" customFormat="false" ht="15" hidden="false" customHeight="true" outlineLevel="0" collapsed="false"/>
    <row r="21" customFormat="false" ht="15" hidden="false" customHeight="true" outlineLevel="0" collapsed="false">
      <c r="A21" s="3" t="s">
        <v>23</v>
      </c>
      <c r="B21" s="4"/>
      <c r="C21" s="4"/>
    </row>
    <row r="22" customFormat="false" ht="15" hidden="false" customHeight="true" outlineLevel="0" collapsed="false">
      <c r="A22" s="13" t="s">
        <v>24</v>
      </c>
      <c r="B22" s="13"/>
      <c r="C22" s="13"/>
    </row>
    <row r="23" customFormat="false" ht="15" hidden="false" customHeight="true" outlineLevel="0" collapsed="false">
      <c r="A23" s="13" t="s">
        <v>25</v>
      </c>
      <c r="B23" s="13"/>
      <c r="C23" s="13"/>
    </row>
    <row r="24" customFormat="false" ht="15" hidden="false" customHeight="true" outlineLevel="0" collapsed="false">
      <c r="A24" s="13" t="s">
        <v>26</v>
      </c>
      <c r="B24" s="13"/>
      <c r="C24" s="13"/>
    </row>
    <row r="25" customFormat="false" ht="15" hidden="false" customHeight="true" outlineLevel="0" collapsed="false"/>
    <row r="26" customFormat="false" ht="27" hidden="false" customHeight="true" outlineLevel="0" collapsed="false">
      <c r="A26" s="2" t="s">
        <v>27</v>
      </c>
      <c r="B26" s="2"/>
      <c r="C26" s="2"/>
    </row>
  </sheetData>
  <mergeCells count="6">
    <mergeCell ref="A2:C2"/>
    <mergeCell ref="A19:C19"/>
    <mergeCell ref="A22:C22"/>
    <mergeCell ref="A23:C23"/>
    <mergeCell ref="A24:C24"/>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2"/>
    <col collapsed="false" customWidth="true" hidden="false" outlineLevel="0" max="3" min="3" style="0" width="62"/>
  </cols>
  <sheetData>
    <row r="1" customFormat="false" ht="17.35" hidden="false" customHeight="false" outlineLevel="0" collapsed="false">
      <c r="A1" s="1" t="s">
        <v>28</v>
      </c>
    </row>
    <row r="2" customFormat="false" ht="15" hidden="false" customHeight="false" outlineLevel="0" collapsed="false">
      <c r="A2" s="14" t="s">
        <v>29</v>
      </c>
    </row>
    <row r="3" customFormat="false" ht="15" hidden="false" customHeight="false" outlineLevel="0" collapsed="false">
      <c r="A3" s="15" t="s">
        <v>30</v>
      </c>
    </row>
    <row r="4" customFormat="false" ht="15" hidden="false" customHeight="false" outlineLevel="0" collapsed="false">
      <c r="A4" s="16" t="s">
        <v>31</v>
      </c>
    </row>
    <row r="5" customFormat="false" ht="15" hidden="false" customHeight="false" outlineLevel="0" collapsed="false">
      <c r="A5" s="17" t="s">
        <v>32</v>
      </c>
      <c r="B5" s="18" t="s">
        <v>33</v>
      </c>
    </row>
    <row r="6" customFormat="false" ht="15" hidden="false" customHeight="false" outlineLevel="0" collapsed="false">
      <c r="A6" s="19" t="s">
        <v>34</v>
      </c>
      <c r="B6" s="18" t="s">
        <v>35</v>
      </c>
    </row>
    <row r="7" customFormat="false" ht="15" hidden="false" customHeight="false" outlineLevel="0" collapsed="false">
      <c r="A7" s="19" t="s">
        <v>36</v>
      </c>
      <c r="B7" s="18" t="s">
        <v>37</v>
      </c>
    </row>
    <row r="9" customFormat="false" ht="15" hidden="false" customHeight="false" outlineLevel="0" collapsed="false">
      <c r="A9" s="16" t="s">
        <v>38</v>
      </c>
    </row>
    <row r="10" customFormat="false" ht="15" hidden="false" customHeight="false" outlineLevel="0" collapsed="false">
      <c r="A10" s="20" t="s">
        <v>39</v>
      </c>
      <c r="B10" s="18" t="s">
        <v>40</v>
      </c>
    </row>
    <row r="11" customFormat="false" ht="15" hidden="false" customHeight="false" outlineLevel="0" collapsed="false">
      <c r="A11" s="20" t="s">
        <v>41</v>
      </c>
      <c r="B11" s="18" t="s">
        <v>42</v>
      </c>
    </row>
    <row r="12" customFormat="false" ht="15" hidden="false" customHeight="false" outlineLevel="0" collapsed="false">
      <c r="A12" s="20" t="s">
        <v>43</v>
      </c>
      <c r="B12" s="18" t="s">
        <v>44</v>
      </c>
    </row>
    <row r="13" customFormat="false" ht="15" hidden="false" customHeight="false" outlineLevel="0" collapsed="false">
      <c r="A13" s="20" t="s">
        <v>45</v>
      </c>
      <c r="B13" s="18" t="s">
        <v>46</v>
      </c>
    </row>
    <row r="14" customFormat="false" ht="15" hidden="false" customHeight="false" outlineLevel="0" collapsed="false">
      <c r="A14" s="20" t="s">
        <v>47</v>
      </c>
      <c r="B14" s="18" t="s">
        <v>48</v>
      </c>
    </row>
    <row r="15" customFormat="false" ht="15" hidden="false" customHeight="false" outlineLevel="0" collapsed="false">
      <c r="A15" s="20" t="s">
        <v>49</v>
      </c>
      <c r="B15" s="18" t="s">
        <v>50</v>
      </c>
    </row>
    <row r="17" customFormat="false" ht="15" hidden="false" customHeight="false" outlineLevel="0" collapsed="false">
      <c r="A17" s="15" t="s">
        <v>51</v>
      </c>
    </row>
    <row r="18" customFormat="false" ht="15" hidden="false" customHeight="false" outlineLevel="0" collapsed="false">
      <c r="A18" s="15"/>
    </row>
    <row r="19" customFormat="false" ht="15" hidden="false" customHeight="false" outlineLevel="0" collapsed="false">
      <c r="A19" s="15" t="s">
        <v>52</v>
      </c>
    </row>
    <row r="20" customFormat="false" ht="15" hidden="false" customHeight="false" outlineLevel="0" collapsed="false">
      <c r="A20" s="15" t="s">
        <v>53</v>
      </c>
    </row>
    <row r="21" customFormat="false" ht="15" hidden="false" customHeight="false" outlineLevel="0" collapsed="false">
      <c r="A21" s="15" t="s">
        <v>54</v>
      </c>
    </row>
    <row r="22" customFormat="false" ht="15" hidden="false" customHeight="false" outlineLevel="0" collapsed="false">
      <c r="A22" s="15" t="s">
        <v>55</v>
      </c>
    </row>
    <row r="23" customFormat="false" ht="15" hidden="false" customHeight="false" outlineLevel="0" collapsed="false">
      <c r="A23" s="15"/>
    </row>
    <row r="24" customFormat="false" ht="15" hidden="false" customHeight="false" outlineLevel="0" collapsed="false">
      <c r="A24" s="15" t="s">
        <v>56</v>
      </c>
    </row>
    <row r="25" customFormat="false" ht="15" hidden="false" customHeight="false" outlineLevel="0" collapsed="false">
      <c r="A25" s="15" t="s">
        <v>57</v>
      </c>
    </row>
    <row r="26" customFormat="false" ht="15" hidden="false" customHeight="false" outlineLevel="0" collapsed="false">
      <c r="A26" s="15" t="s">
        <v>58</v>
      </c>
    </row>
    <row r="27" customFormat="false" ht="15" hidden="false" customHeight="false" outlineLevel="0" collapsed="false">
      <c r="A27" s="15" t="s">
        <v>59</v>
      </c>
    </row>
    <row r="29" customFormat="false" ht="15" hidden="false" customHeight="false" outlineLevel="0" collapsed="false">
      <c r="A29" s="15" t="s">
        <v>60</v>
      </c>
    </row>
    <row r="30" customFormat="false" ht="15" hidden="false" customHeight="false" outlineLevel="0" collapsed="false">
      <c r="A30" s="15" t="s">
        <v>61</v>
      </c>
    </row>
    <row r="32" customFormat="false" ht="15" hidden="false" customHeight="false" outlineLevel="0" collapsed="false">
      <c r="A32" s="16" t="s">
        <v>62</v>
      </c>
    </row>
    <row r="33" customFormat="false" ht="15" hidden="false" customHeight="false" outlineLevel="0" collapsed="false">
      <c r="A33" s="18" t="s">
        <v>63</v>
      </c>
      <c r="B33" s="20" t="s">
        <v>64</v>
      </c>
      <c r="C33" s="18" t="s">
        <v>65</v>
      </c>
    </row>
    <row r="34" customFormat="false" ht="15" hidden="false" customHeight="false" outlineLevel="0" collapsed="false">
      <c r="A34" s="18" t="s">
        <v>66</v>
      </c>
      <c r="B34" s="20" t="s">
        <v>67</v>
      </c>
      <c r="C34" s="18" t="s">
        <v>68</v>
      </c>
    </row>
    <row r="35" customFormat="false" ht="15" hidden="false" customHeight="false" outlineLevel="0" collapsed="false">
      <c r="A35" s="18" t="s">
        <v>69</v>
      </c>
      <c r="B35" s="20" t="s">
        <v>70</v>
      </c>
      <c r="C35" s="18" t="s">
        <v>71</v>
      </c>
    </row>
    <row r="36" customFormat="false" ht="15" hidden="false" customHeight="false" outlineLevel="0" collapsed="false">
      <c r="A36" s="18" t="s">
        <v>72</v>
      </c>
      <c r="B36" s="20" t="s">
        <v>73</v>
      </c>
      <c r="C36" s="18" t="s">
        <v>74</v>
      </c>
    </row>
    <row r="37" customFormat="false" ht="15" hidden="false" customHeight="false" outlineLevel="0" collapsed="false">
      <c r="A37" s="18" t="s">
        <v>75</v>
      </c>
      <c r="B37" s="20" t="s">
        <v>76</v>
      </c>
      <c r="C37" s="18" t="s">
        <v>77</v>
      </c>
    </row>
    <row r="39" customFormat="false" ht="15" hidden="false" customHeight="false" outlineLevel="0" collapsed="false">
      <c r="A39" s="16" t="s">
        <v>78</v>
      </c>
    </row>
    <row r="40" customFormat="false" ht="27.75" hidden="false" customHeight="true" outlineLevel="0" collapsed="false">
      <c r="A40" s="21" t="s">
        <v>79</v>
      </c>
      <c r="B40" s="21" t="s">
        <v>80</v>
      </c>
      <c r="C40" s="21" t="s">
        <v>81</v>
      </c>
    </row>
    <row ht="27" customHeight="true" r="41" customFormat="false" hidden="false" outlineLevel="0" collapsed="false">
      <c s="33" r="A41" t="s">
        <v>82</v>
      </c>
      <c r="B41" s="20" t="s">
        <v>41</v>
      </c>
      <c r="C41" s="18" t="s">
        <v>83</v>
      </c>
    </row>
    <row ht="27" customHeight="true" r="42" customFormat="false" hidden="false" outlineLevel="0" collapsed="false">
      <c s="33" r="A42" t="s">
        <v>84</v>
      </c>
      <c r="B42" s="20" t="s">
        <v>47</v>
      </c>
      <c r="C42" s="18" t="s">
        <v>85</v>
      </c>
    </row>
    <row r="43" customFormat="false" ht="15" hidden="false" customHeight="false" outlineLevel="0" collapsed="false">
      <c r="A43" s="18" t="s">
        <v>86</v>
      </c>
      <c r="B43" s="20" t="s">
        <v>41</v>
      </c>
      <c r="C43" s="18" t="s">
        <v>87</v>
      </c>
    </row>
    <row r="44" customFormat="false" ht="15" hidden="false" customHeight="false" outlineLevel="0" collapsed="false">
      <c r="A44" s="18" t="s">
        <v>88</v>
      </c>
      <c r="B44" s="20" t="s">
        <v>45</v>
      </c>
      <c r="C44" s="18" t="s">
        <v>89</v>
      </c>
    </row>
    <row r="45" customFormat="false" ht="15" hidden="false" customHeight="false" outlineLevel="0" collapsed="false">
      <c r="A45" s="18" t="s">
        <v>90</v>
      </c>
      <c r="B45" s="20" t="s">
        <v>91</v>
      </c>
      <c r="C45" s="18" t="s">
        <v>92</v>
      </c>
    </row>
    <row r="46" customFormat="false" ht="15" hidden="false" customHeight="false" outlineLevel="0" collapsed="false">
      <c r="A46" s="18" t="s">
        <v>93</v>
      </c>
      <c r="B46" s="20" t="s">
        <v>94</v>
      </c>
      <c r="C46" s="18" t="s">
        <v>95</v>
      </c>
    </row>
    <row r="47" customFormat="false" ht="15" hidden="false" customHeight="false" outlineLevel="0" collapsed="false">
      <c r="A47" s="18" t="s">
        <v>96</v>
      </c>
      <c r="B47" s="20" t="s">
        <v>47</v>
      </c>
      <c r="C47" s="18" t="s">
        <v>97</v>
      </c>
    </row>
    <row r="49" customFormat="false" ht="15" hidden="false" customHeight="false" outlineLevel="0" collapsed="false">
      <c r="A49" s="16" t="s">
        <v>98</v>
      </c>
    </row>
    <row r="50" customFormat="false" ht="15" hidden="false" customHeight="false" outlineLevel="0" collapsed="false">
      <c r="A50" s="18" t="s">
        <v>99</v>
      </c>
    </row>
    <row r="51" customFormat="false" ht="15" hidden="false" customHeight="false" outlineLevel="0" collapsed="false">
      <c r="A51" s="18" t="s">
        <v>100</v>
      </c>
    </row>
    <row r="52" customFormat="false" ht="15" hidden="false" customHeight="false" outlineLevel="0" collapsed="false">
      <c r="A52" s="15" t="s">
        <v>101</v>
      </c>
    </row>
    <row r="54" customFormat="false" ht="15" hidden="false" customHeight="false" outlineLevel="0" collapsed="false">
      <c r="A54" s="16" t="s">
        <v>102</v>
      </c>
    </row>
    <row r="55" customFormat="false" ht="15" hidden="false" customHeight="false" outlineLevel="0" collapsed="false">
      <c r="A55" s="15" t="s">
        <v>103</v>
      </c>
    </row>
    <row r="56" customFormat="false" ht="15" hidden="false" customHeight="false" outlineLevel="0" collapsed="false">
      <c r="A56" s="15" t="s">
        <v>104</v>
      </c>
    </row>
    <row r="57" customFormat="false" ht="15" hidden="false" customHeight="false" outlineLevel="0" collapsed="false">
      <c r="A57" s="15" t="s">
        <v>105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66"/>
  </cols>
  <sheetData>
    <row r="1" customFormat="false" ht="17.35" hidden="false" customHeight="false" outlineLevel="0" collapsed="false">
      <c r="A1" s="1" t="s">
        <v>106</v>
      </c>
    </row>
    <row r="2" customFormat="false" ht="15" hidden="false" customHeight="false" outlineLevel="0" collapsed="false">
      <c r="A2" s="14" t="s">
        <v>107</v>
      </c>
    </row>
    <row r="4" customFormat="false" ht="15" hidden="false" customHeight="false" outlineLevel="0" collapsed="false">
      <c r="A4" s="16" t="s">
        <v>108</v>
      </c>
    </row>
    <row r="5" customFormat="false" ht="15" hidden="false" customHeight="false" outlineLevel="0" collapsed="false">
      <c r="A5" s="18" t="s">
        <v>109</v>
      </c>
      <c r="B5" s="22" t="n">
        <v>214</v>
      </c>
      <c r="C5" s="18" t="s">
        <v>110</v>
      </c>
    </row>
    <row r="6" customFormat="false" ht="15" hidden="false" customHeight="false" outlineLevel="0" collapsed="false">
      <c r="A6" s="18" t="s">
        <v>111</v>
      </c>
      <c r="B6" s="22" t="n">
        <v>60</v>
      </c>
    </row>
    <row r="7" customFormat="false" ht="15" hidden="false" customHeight="false" outlineLevel="0" collapsed="false">
      <c r="A7" s="18" t="s">
        <v>112</v>
      </c>
      <c r="B7" s="22" t="n">
        <v>12</v>
      </c>
      <c r="C7" s="18" t="s">
        <v>113</v>
      </c>
    </row>
    <row r="8" customFormat="false" ht="15" hidden="false" customHeight="false" outlineLevel="0" collapsed="false">
      <c r="A8" s="18" t="s">
        <v>114</v>
      </c>
      <c r="B8" s="22" t="n">
        <v>11</v>
      </c>
    </row>
    <row r="9" customFormat="false" ht="15" hidden="false" customHeight="false" outlineLevel="0" collapsed="false">
      <c r="A9" s="18" t="s">
        <v>115</v>
      </c>
      <c r="B9" s="23" t="n">
        <v>1.96</v>
      </c>
      <c r="C9" s="18" t="s">
        <v>116</v>
      </c>
    </row>
    <row r="11" customFormat="false" ht="15" hidden="false" customHeight="false" outlineLevel="0" collapsed="false">
      <c r="A11" s="16" t="s">
        <v>117</v>
      </c>
    </row>
    <row r="12" customFormat="false" ht="15" hidden="false" customHeight="false" outlineLevel="0" collapsed="false">
      <c r="A12" s="20" t="s">
        <v>118</v>
      </c>
      <c r="B12" s="24" t="n">
        <f aca="false">IF(B6=0,0,B7/B6)</f>
        <v>0.2</v>
      </c>
      <c r="C12" s="18" t="s">
        <v>119</v>
      </c>
    </row>
    <row r="13" customFormat="false" ht="15" hidden="false" customHeight="false" outlineLevel="0" collapsed="false">
      <c r="A13" s="18" t="s">
        <v>120</v>
      </c>
      <c r="B13" s="25" t="n">
        <f aca="false">B6-B7</f>
        <v>48</v>
      </c>
      <c r="C13" s="18" t="s">
        <v>121</v>
      </c>
    </row>
    <row r="14" customFormat="false" ht="15" hidden="false" customHeight="false" outlineLevel="0" collapsed="false">
      <c r="A14" s="20" t="s">
        <v>122</v>
      </c>
      <c r="B14" s="26" t="n">
        <f aca="false">IF(B7=0,0,B8/B7)</f>
        <v>0.916666666666667</v>
      </c>
    </row>
    <row r="15" customFormat="false" ht="15" hidden="false" customHeight="false" outlineLevel="0" collapsed="false">
      <c r="A15" s="18" t="s">
        <v>123</v>
      </c>
      <c r="B15" s="27" t="n">
        <f aca="false">IF(B5=0,0,B7/B5)</f>
        <v>0.0560747663551402</v>
      </c>
    </row>
    <row r="17" customFormat="false" ht="15" hidden="false" customHeight="false" outlineLevel="0" collapsed="false">
      <c r="A17" s="16" t="s">
        <v>124</v>
      </c>
    </row>
    <row r="18" customFormat="false" ht="15" hidden="false" customHeight="false" outlineLevel="0" collapsed="false">
      <c r="A18" s="18" t="s">
        <v>125</v>
      </c>
      <c r="B18" s="28" t="n">
        <f aca="false">IF(B5&lt;=1,1,SQRT(MAX(0,(B5-MIN(B7,B5))/(B5-1))))</f>
        <v>0.973836129701367</v>
      </c>
      <c r="C18" s="18" t="s">
        <v>126</v>
      </c>
    </row>
    <row r="19" customFormat="false" ht="15" hidden="false" customHeight="false" outlineLevel="0" collapsed="false">
      <c r="A19" s="20" t="s">
        <v>127</v>
      </c>
      <c r="B19" s="24" t="n">
        <f aca="false">IF(B7&lt;=0,0,B9*SQRT(B14*(1-B14)/B7)*B18)</f>
        <v>0.152288261151139</v>
      </c>
    </row>
    <row r="20" customFormat="false" ht="15" hidden="false" customHeight="false" outlineLevel="0" collapsed="false">
      <c r="A20" s="20" t="s">
        <v>128</v>
      </c>
      <c r="B20" s="24" t="n">
        <f aca="false">IF(B7&lt;=0,0,B9*SQRT(0.25/B7)*B18)</f>
        <v>0.275499830298537</v>
      </c>
      <c r="C20" s="18" t="s">
        <v>129</v>
      </c>
    </row>
    <row r="21" customFormat="false" ht="15" hidden="false" customHeight="false" outlineLevel="0" collapsed="false">
      <c r="A21" s="18" t="s">
        <v>130</v>
      </c>
      <c r="B21" s="26" t="n">
        <f aca="false">MAX(0,B14-B19)</f>
        <v>0.764378405515528</v>
      </c>
    </row>
    <row r="22" customFormat="false" ht="15" hidden="false" customHeight="false" outlineLevel="0" collapsed="false">
      <c r="A22" s="18" t="s">
        <v>131</v>
      </c>
      <c r="B22" s="26" t="n">
        <f aca="false">MIN(1,B14+B19)</f>
        <v>1</v>
      </c>
    </row>
    <row r="23" customFormat="false" ht="15" hidden="false" customHeight="false" outlineLevel="0" collapsed="false">
      <c r="A23" s="18" t="s">
        <v>132</v>
      </c>
      <c r="C23" s="29" t="str">
        <f aca="false">IF(B7=0,"Ingen svar — ingen konklusjon.","Det sanne tallet ligger et sted mellom "&amp;SUBSTITUTE(TEXT(B21*100,"0.0"),".",",")&amp;" % og "&amp;SUBSTITUTE(TEXT(B22*100,"0.0"),".",",")&amp;" %, med "&amp;IF(B9&lt;1.8,"90",IF(B9&lt;2.2,"95","99"))&amp;" % sikkerhet.")</f>
        <v>Det sanne tallet ligger et sted mellom 76,4 % og 100,0 %, med 95 % sikkerhet.</v>
      </c>
    </row>
    <row r="25" customFormat="false" ht="15" hidden="false" customHeight="false" outlineLevel="0" collapsed="false">
      <c r="A25" s="16" t="s">
        <v>133</v>
      </c>
      <c r="C25" s="30" t="str">
        <f aca="false">IF(B7&lt;30,"FÆRRE ENN 30 SVAR: formelen forutsetter et større utvalg. Bruk tallet som et varsel om usikkerhet, ikke som en presis grense.","")</f>
        <v>FÆRRE ENN 30 SVAR: formelen forutsetter et større utvalg. Bruk tallet som et varsel om usikkerhet, ikke som en presis grense.</v>
      </c>
    </row>
    <row r="26" customFormat="false" ht="15" hidden="false" customHeight="false" outlineLevel="0" collapsed="false">
      <c r="C26" s="30" t="str">
        <f aca="false">IF(B12&lt;0.4,"LAV SVARPROSENT: de som ikke svarte er sjelden en tilfeldig gruppe. Feilmarginen fanger ikke opp skjevheten.","")</f>
        <v>LAV SVARPROSENT: de som ikke svarte er sjelden en tilfeldig gruppe. Feilmarginen fanger ikke opp skjevheten.</v>
      </c>
    </row>
    <row r="27" customFormat="false" ht="15" hidden="false" customHeight="false" outlineLevel="0" collapsed="false">
      <c r="C27" s="30" t="str">
        <f aca="false">IF(B20&gt;0.1,"FEILMARGINEN ER STØRRE ENN TI PROSENTPOENG: du kan ikke skille mellom to alternativer som ligger nær hverandre.","")</f>
        <v>FEILMARGINEN ER STØRRE ENN TI PROSENTPOENG: du kan ikke skille mellom to alternativer som ligger nær hverandre.</v>
      </c>
    </row>
    <row r="29" customFormat="false" ht="15" hidden="false" customHeight="false" outlineLevel="0" collapsed="false">
      <c r="A29" s="16" t="s">
        <v>134</v>
      </c>
    </row>
    <row r="30" customFormat="false" ht="15" hidden="false" customHeight="false" outlineLevel="0" collapsed="false">
      <c r="A30" s="18" t="s">
        <v>76</v>
      </c>
      <c r="B30" s="31" t="n">
        <v>0.1</v>
      </c>
    </row>
    <row r="31" customFormat="false" ht="15" hidden="false" customHeight="false" outlineLevel="0" collapsed="false">
      <c r="A31" s="18" t="s">
        <v>135</v>
      </c>
      <c r="B31" s="25" t="n">
        <f aca="false">IF(B30&lt;=0,0,ROUNDUP(B9^2*0.25/B30^2,0))</f>
        <v>97</v>
      </c>
    </row>
    <row r="32" customFormat="false" ht="15" hidden="false" customHeight="false" outlineLevel="0" collapsed="false">
      <c r="A32" s="20" t="s">
        <v>136</v>
      </c>
      <c r="B32" s="32" t="n">
        <f aca="false">IF(B31=0,0,ROUNDUP(B31*B5/(B31+B5-1),0))</f>
        <v>67</v>
      </c>
    </row>
    <row r="33" customFormat="false" ht="15" hidden="false" customHeight="false" outlineLevel="0" collapsed="false">
      <c r="A33" s="20" t="s">
        <v>137</v>
      </c>
      <c r="B33" s="32" t="n">
        <f aca="false">IF(B12=0,0,ROUNDUP(B32/B12,0))</f>
        <v>335</v>
      </c>
      <c r="C33" s="30" t="str">
        <f aca="false">IF(B33&gt;B5,"Flere enn det finnes kunder. Med denne svarprosenten er undersøkelsen umulig — svarprosenten må opp.","Gjennomførbart.")</f>
        <v>Flere enn det finnes kunder. Med denne svarprosenten er undersøkelsen umulig — svarprosenten må opp.</v>
      </c>
    </row>
    <row r="35" customFormat="false" ht="15" hidden="false" customHeight="false" outlineLevel="0" collapsed="false">
      <c r="A35" s="16" t="s">
        <v>138</v>
      </c>
    </row>
    <row r="36" customFormat="false" ht="15" hidden="false" customHeight="false" outlineLevel="0" collapsed="false">
      <c r="A36" s="18" t="s">
        <v>139</v>
      </c>
      <c r="B36" s="30" t="str">
        <f aca="false">IF(AND(B7&lt;=B6,B8&lt;=B7,B6&lt;=B5),"OK — svar er færre enn spurte, ja er færre enn svar, og ingen er spurt to ganger","AVVIK: flere svar enn spurte, flere ja enn svar, eller flere spurte enn det finnes kunder")</f>
        <v>OK — svar er færre enn spurte, ja er færre enn svar, og ingen er spurt to ganger</v>
      </c>
    </row>
    <row r="37" customFormat="false" ht="15" hidden="false" customHeight="false" outlineLevel="0" collapsed="false">
      <c r="A37" s="18" t="s">
        <v>140</v>
      </c>
      <c r="B37" s="30" t="str">
        <f aca="false">IF(AND(B21&gt;=0,B22&lt;=1,B21&lt;=B22),"OK — intervallet er mulig","AVVIK: intervallet sprenger null eller hundre prosent")</f>
        <v>OK — intervallet er mulig</v>
      </c>
    </row>
    <row r="38" customFormat="false" ht="15" hidden="false" customHeight="false" outlineLevel="0" collapsed="false">
      <c r="A38" s="18" t="s">
        <v>141</v>
      </c>
      <c r="B38" s="30" t="str">
        <f aca="false">IF(B7&gt;=30,"OK — tretti svar eller mer, formelen er til å stole på","AVVIK: under tretti svar. Det er ikke en regnefeil, men tallet er et varsel om usikkerhet og ikke en presis grense")</f>
        <v>AVVIK: under tretti svar. Det er ikke en regnefeil, men tallet er et varsel om usikkerhet og ikke en presis grense</v>
      </c>
    </row>
    <row r="39" customFormat="false" ht="15" hidden="false" customHeight="false" outlineLevel="0" collapsed="false">
      <c r="A39" s="15" t="s">
        <v>142</v>
      </c>
    </row>
    <row r="41" customFormat="false" ht="15" hidden="false" customHeight="false" outlineLevel="0" collapsed="false">
      <c r="A41" s="20" t="s">
        <v>143</v>
      </c>
    </row>
    <row r="42" customFormat="false" ht="15" hidden="false" customHeight="false" outlineLevel="0" collapsed="false">
      <c r="A42" s="15" t="s">
        <v>144</v>
      </c>
    </row>
  </sheetData>
  <conditionalFormatting sqref="B36">
    <cfRule type="expression" priority="2" aboveAverage="0" equalAverage="0" bottom="0" percent="0" rank="0" text="" dxfId="0">
      <formula>LEFT(B36,5)="AVVIK"</formula>
    </cfRule>
  </conditionalFormatting>
  <conditionalFormatting sqref="B37">
    <cfRule type="expression" priority="3" aboveAverage="0" equalAverage="0" bottom="0" percent="0" rank="0" text="" dxfId="0">
      <formula>LEFT(B37,5)="AVVIK"</formula>
    </cfRule>
  </conditionalFormatting>
  <conditionalFormatting sqref="B38">
    <cfRule type="expression" priority="4" aboveAverage="0" equalAverage="0" bottom="0" percent="0" rank="0" text="" dxfId="0">
      <formula>LEFT(B38,5)="AVVIK"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26"/>
    <col collapsed="false" customWidth="true" hidden="false" outlineLevel="0" max="4" min="4" style="0" width="22"/>
    <col collapsed="false" customWidth="true" hidden="false" outlineLevel="0" max="5" min="5" style="0" width="52"/>
  </cols>
  <sheetData>
    <row r="1" customFormat="false" ht="17.35" hidden="false" customHeight="false" outlineLevel="0" collapsed="false">
      <c r="A1" s="1" t="s">
        <v>145</v>
      </c>
    </row>
    <row r="2" customFormat="false" ht="15" hidden="false" customHeight="false" outlineLevel="0" collapsed="false">
      <c r="A2" s="14" t="s">
        <v>146</v>
      </c>
    </row>
    <row r="4" customFormat="false" ht="27.75" hidden="false" customHeight="true" outlineLevel="0" collapsed="false">
      <c r="A4" s="21" t="s">
        <v>147</v>
      </c>
      <c r="B4" s="21" t="s">
        <v>148</v>
      </c>
      <c r="C4" s="21" t="s">
        <v>149</v>
      </c>
      <c r="D4" s="21" t="s">
        <v>150</v>
      </c>
      <c r="E4" s="21" t="s">
        <v>151</v>
      </c>
    </row>
    <row r="5" customFormat="false" ht="15" hidden="false" customHeight="false" outlineLevel="0" collapsed="false">
      <c r="A5" s="22" t="n">
        <v>10</v>
      </c>
      <c r="B5" s="27" t="n">
        <f aca="false">IF(Feilmargin!$B$5=0,0,A5/Feilmargin!$B$5)</f>
        <v>0.0467289719626168</v>
      </c>
      <c r="C5" s="24" t="n">
        <f aca="false">IF(A5&lt;=0,0,Feilmargin!$B$9*SQRT(0.25/A5)*IF(Feilmargin!$B$5&lt;=1,1,SQRT(MAX(0,(Feilmargin!$B$5-MIN(A5,Feilmargin!$B$5))/(Feilmargin!$B$5-1)))))</f>
        <v>0.303285297749472</v>
      </c>
      <c r="D5" s="27" t="n">
        <f aca="false">IF(A5&lt;=0,0,Feilmargin!$B$9*SQRT(0.25/A5))</f>
        <v>0.309903210696501</v>
      </c>
      <c r="E5" s="18" t="s">
        <v>152</v>
      </c>
    </row>
    <row r="6" customFormat="false" ht="15" hidden="false" customHeight="false" outlineLevel="0" collapsed="false">
      <c r="A6" s="22" t="n">
        <v>12</v>
      </c>
      <c r="B6" s="27" t="n">
        <f aca="false">IF(Feilmargin!$B$5=0,0,A6/Feilmargin!$B$5)</f>
        <v>0.0560747663551402</v>
      </c>
      <c r="C6" s="24" t="n">
        <f aca="false">IF(A6&lt;=0,0,Feilmargin!$B$9*SQRT(0.25/A6)*IF(Feilmargin!$B$5&lt;=1,1,SQRT(MAX(0,(Feilmargin!$B$5-MIN(A6,Feilmargin!$B$5))/(Feilmargin!$B$5-1)))))</f>
        <v>0.275499830298537</v>
      </c>
      <c r="D6" s="27" t="n">
        <f aca="false">IF(A6&lt;=0,0,Feilmargin!$B$9*SQRT(0.25/A6))</f>
        <v>0.282901631902917</v>
      </c>
      <c r="E6" s="18" t="s">
        <v>153</v>
      </c>
    </row>
    <row r="7" customFormat="false" ht="15" hidden="false" customHeight="false" outlineLevel="0" collapsed="false">
      <c r="A7" s="22" t="n">
        <v>20</v>
      </c>
      <c r="B7" s="27" t="n">
        <f aca="false">IF(Feilmargin!$B$5=0,0,A7/Feilmargin!$B$5)</f>
        <v>0.0934579439252336</v>
      </c>
      <c r="C7" s="24" t="n">
        <f aca="false">IF(A7&lt;=0,0,Feilmargin!$B$9*SQRT(0.25/A7)*IF(Feilmargin!$B$5&lt;=1,1,SQRT(MAX(0,(Feilmargin!$B$5-MIN(A7,Feilmargin!$B$5))/(Feilmargin!$B$5-1)))))</f>
        <v>0.20913279470613</v>
      </c>
      <c r="D7" s="27" t="n">
        <f aca="false">IF(A7&lt;=0,0,Feilmargin!$B$9*SQRT(0.25/A7))</f>
        <v>0.219134661794979</v>
      </c>
      <c r="E7" s="18" t="s">
        <v>154</v>
      </c>
    </row>
    <row r="8" customFormat="false" ht="15" hidden="false" customHeight="false" outlineLevel="0" collapsed="false">
      <c r="A8" s="22" t="n">
        <v>30</v>
      </c>
      <c r="B8" s="27" t="n">
        <f aca="false">IF(Feilmargin!$B$5=0,0,A8/Feilmargin!$B$5)</f>
        <v>0.14018691588785</v>
      </c>
      <c r="C8" s="24" t="n">
        <f aca="false">IF(A8&lt;=0,0,Feilmargin!$B$9*SQRT(0.25/A8)*IF(Feilmargin!$B$5&lt;=1,1,SQRT(MAX(0,(Feilmargin!$B$5-MIN(A8,Feilmargin!$B$5))/(Feilmargin!$B$5-1)))))</f>
        <v>0.16629705495027</v>
      </c>
      <c r="D8" s="27" t="n">
        <f aca="false">IF(A8&lt;=0,0,Feilmargin!$B$9*SQRT(0.25/A8))</f>
        <v>0.178922702118354</v>
      </c>
      <c r="E8" s="18" t="s">
        <v>155</v>
      </c>
    </row>
    <row r="9" customFormat="false" ht="15" hidden="false" customHeight="false" outlineLevel="0" collapsed="false">
      <c r="A9" s="22" t="n">
        <v>50</v>
      </c>
      <c r="B9" s="27" t="n">
        <f aca="false">IF(Feilmargin!$B$5=0,0,A9/Feilmargin!$B$5)</f>
        <v>0.233644859813084</v>
      </c>
      <c r="C9" s="24" t="n">
        <f aca="false">IF(A9&lt;=0,0,Feilmargin!$B$9*SQRT(0.25/A9)*IF(Feilmargin!$B$5&lt;=1,1,SQRT(MAX(0,(Feilmargin!$B$5-MIN(A9,Feilmargin!$B$5))/(Feilmargin!$B$5-1)))))</f>
        <v>0.121611094131919</v>
      </c>
      <c r="D9" s="27" t="n">
        <f aca="false">IF(A9&lt;=0,0,Feilmargin!$B$9*SQRT(0.25/A9))</f>
        <v>0.138592929112563</v>
      </c>
      <c r="E9" s="18" t="s">
        <v>156</v>
      </c>
    </row>
    <row r="10" customFormat="false" ht="15" hidden="false" customHeight="false" outlineLevel="0" collapsed="false">
      <c r="A10" s="22" t="n">
        <v>67</v>
      </c>
      <c r="B10" s="27" t="n">
        <f aca="false">IF(Feilmargin!$B$5=0,0,A10/Feilmargin!$B$5)</f>
        <v>0.313084112149533</v>
      </c>
      <c r="C10" s="24" t="n">
        <f aca="false">IF(A10&lt;=0,0,Feilmargin!$B$9*SQRT(0.25/A10)*IF(Feilmargin!$B$5&lt;=1,1,SQRT(MAX(0,(Feilmargin!$B$5-MIN(A10,Feilmargin!$B$5))/(Feilmargin!$B$5-1)))))</f>
        <v>0.0994620806471052</v>
      </c>
      <c r="D10" s="27" t="n">
        <f aca="false">IF(A10&lt;=0,0,Feilmargin!$B$9*SQRT(0.25/A10))</f>
        <v>0.119726055469179</v>
      </c>
      <c r="E10" s="18" t="s">
        <v>157</v>
      </c>
    </row>
    <row r="11" customFormat="false" ht="15" hidden="false" customHeight="false" outlineLevel="0" collapsed="false">
      <c r="A11" s="22" t="n">
        <v>100</v>
      </c>
      <c r="B11" s="27" t="n">
        <f aca="false">IF(Feilmargin!$B$5=0,0,A11/Feilmargin!$B$5)</f>
        <v>0.467289719626168</v>
      </c>
      <c r="C11" s="24" t="n">
        <f aca="false">IF(A11&lt;=0,0,Feilmargin!$B$9*SQRT(0.25/A11)*IF(Feilmargin!$B$5&lt;=1,1,SQRT(MAX(0,(Feilmargin!$B$5-MIN(A11,Feilmargin!$B$5))/(Feilmargin!$B$5-1)))))</f>
        <v>0.0716949720279219</v>
      </c>
      <c r="D11" s="27" t="n">
        <f aca="false">IF(A11&lt;=0,0,Feilmargin!$B$9*SQRT(0.25/A11))</f>
        <v>0.098</v>
      </c>
      <c r="E11" s="18" t="s">
        <v>158</v>
      </c>
    </row>
    <row r="12" customFormat="false" ht="15" hidden="false" customHeight="false" outlineLevel="0" collapsed="false">
      <c r="A12" s="22" t="n">
        <v>150</v>
      </c>
      <c r="B12" s="27" t="n">
        <f aca="false">IF(Feilmargin!$B$5=0,0,A12/Feilmargin!$B$5)</f>
        <v>0.700934579439252</v>
      </c>
      <c r="C12" s="24" t="n">
        <f aca="false">IF(A12&lt;=0,0,Feilmargin!$B$9*SQRT(0.25/A12)*IF(Feilmargin!$B$5&lt;=1,1,SQRT(MAX(0,(Feilmargin!$B$5-MIN(A12,Feilmargin!$B$5))/(Feilmargin!$B$5-1)))))</f>
        <v>0.0438612123269736</v>
      </c>
      <c r="D12" s="27" t="n">
        <f aca="false">IF(A12&lt;=0,0,Feilmargin!$B$9*SQRT(0.25/A12))</f>
        <v>0.0800166649309172</v>
      </c>
      <c r="E12" s="18" t="s">
        <v>159</v>
      </c>
    </row>
    <row r="13" customFormat="false" ht="15" hidden="false" customHeight="false" outlineLevel="0" collapsed="false">
      <c r="A13" s="22" t="n">
        <v>214</v>
      </c>
      <c r="B13" s="27" t="n">
        <f aca="false">IF(Feilmargin!$B$5=0,0,A13/Feilmargin!$B$5)</f>
        <v>1</v>
      </c>
      <c r="C13" s="24" t="n">
        <f aca="false">IF(A13&lt;=0,0,Feilmargin!$B$9*SQRT(0.25/A13)*IF(Feilmargin!$B$5&lt;=1,1,SQRT(MAX(0,(Feilmargin!$B$5-MIN(A13,Feilmargin!$B$5))/(Feilmargin!$B$5-1)))))</f>
        <v>0</v>
      </c>
      <c r="D13" s="27" t="n">
        <f aca="false">IF(A13&lt;=0,0,Feilmargin!$B$9*SQRT(0.25/A13))</f>
        <v>0.066991420848417</v>
      </c>
      <c r="E13" s="18" t="s">
        <v>160</v>
      </c>
    </row>
    <row r="15" customFormat="false" ht="15" hidden="false" customHeight="false" outlineLevel="0" collapsed="false">
      <c r="A15" s="20" t="s">
        <v>161</v>
      </c>
    </row>
    <row r="16" customFormat="false" ht="15" hidden="false" customHeight="false" outlineLevel="0" collapsed="false">
      <c r="A16" s="20" t="s">
        <v>162</v>
      </c>
    </row>
    <row r="17" customFormat="false" ht="15" hidden="false" customHeight="false" outlineLevel="0" collapsed="false">
      <c r="A17" s="15" t="s">
        <v>163</v>
      </c>
    </row>
    <row r="19" customFormat="false" ht="15" hidden="false" customHeight="false" outlineLevel="0" collapsed="false">
      <c r="A19" s="16" t="s">
        <v>138</v>
      </c>
    </row>
    <row r="20" customFormat="false" ht="15" hidden="false" customHeight="false" outlineLevel="0" collapsed="false">
      <c r="A20" s="18" t="s">
        <v>164</v>
      </c>
      <c r="C20" s="30" t="str">
        <f aca="false">IF(C5&gt;C13,"OK — feilmarginen faller nedover i tabellen","AVVIK: tabellen skal falle nedover. Sjekk at antallet svar stiger")</f>
        <v>OK — feilmarginen faller nedover i tabellen</v>
      </c>
    </row>
    <row r="21" customFormat="false" ht="15" hidden="false" customHeight="false" outlineLevel="0" collapsed="false">
      <c r="A21" s="18" t="s">
        <v>165</v>
      </c>
      <c r="C21" s="30" t="str">
        <f aca="false">IF(A13&lt;Feilmargin!$B$5,"OK — nederste rad er mindre enn populasjonen, så det er fortsatt utvalgsusikkerhet igjen",IF(C13&lt;0.0001,"OK — spør du alle, er det ingen utvalgsusikkerhet igjen","AVVIK: spør du alle, skal feilmarginen være null"))</f>
        <v>OK — spør du alle, er det ingen utvalgsusikkerhet igjen</v>
      </c>
    </row>
    <row r="22" customFormat="false" ht="15" hidden="false" customHeight="false" outlineLevel="0" collapsed="false">
      <c r="A22" s="18" t="s">
        <v>166</v>
      </c>
      <c r="C22" s="30" t="str">
        <f aca="false">IF(C5&lt;D5,"OK — korreksjonen gir lavere feilmargin enn formelen uten den","AVVIK: korreksjonen skal senke feilmarginen, ikke heve den")</f>
        <v>OK — korreksjonen gir lavere feilmargin enn formelen uten den</v>
      </c>
    </row>
    <row r="24" customFormat="false" ht="15" hidden="false" customHeight="false" outlineLevel="0" collapsed="false">
      <c r="A24" s="15" t="s">
        <v>167</v>
      </c>
    </row>
  </sheetData>
  <conditionalFormatting sqref="C20">
    <cfRule type="expression" priority="2" aboveAverage="0" equalAverage="0" bottom="0" percent="0" rank="0" text="" dxfId="0">
      <formula>LEFT(C20,5)="AVVIK"</formula>
    </cfRule>
  </conditionalFormatting>
  <conditionalFormatting sqref="C21">
    <cfRule type="expression" priority="3" aboveAverage="0" equalAverage="0" bottom="0" percent="0" rank="0" text="" dxfId="0">
      <formula>LEFT(C21,5)="AVVIK"</formula>
    </cfRule>
  </conditionalFormatting>
  <conditionalFormatting sqref="C22">
    <cfRule type="expression" priority="4" aboveAverage="0" equalAverage="0" bottom="0" percent="0" rank="0" text="" dxfId="0">
      <formula>LEFT(C22,5)="AVVIK"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22"/>
    <col collapsed="false" customWidth="true" hidden="false" outlineLevel="0" max="4" min="4" style="0" width="50"/>
  </cols>
  <sheetData>
    <row r="1" customFormat="false" ht="17.35" hidden="false" customHeight="false" outlineLevel="0" collapsed="false">
      <c r="A1" s="1" t="s">
        <v>168</v>
      </c>
    </row>
    <row r="2" customFormat="false" ht="15" hidden="false" customHeight="false" outlineLevel="0" collapsed="false">
      <c r="A2" s="14" t="s">
        <v>169</v>
      </c>
    </row>
    <row r="4" customFormat="false" ht="27.75" hidden="false" customHeight="true" outlineLevel="0" collapsed="false">
      <c r="A4" s="21"/>
      <c r="B4" s="21" t="s">
        <v>170</v>
      </c>
      <c r="C4" s="21" t="s">
        <v>171</v>
      </c>
      <c r="D4" s="21" t="s">
        <v>172</v>
      </c>
    </row>
    <row ht="27" customHeight="true" r="5" customFormat="false" hidden="false" outlineLevel="0" collapsed="false">
      <c r="A5" s="18" t="s">
        <v>173</v>
      </c>
      <c r="B5" s="18" t="s">
        <v>174</v>
      </c>
      <c s="33" r="C5" t="s">
        <v>175</v>
      </c>
      <c r="D5" s="18" t="s">
        <v>176</v>
      </c>
    </row>
    <row r="6" customFormat="false" ht="15" hidden="false" customHeight="false" outlineLevel="0" collapsed="false">
      <c r="A6" s="18" t="s">
        <v>177</v>
      </c>
      <c r="B6" s="18" t="s">
        <v>178</v>
      </c>
      <c r="C6" s="18" t="s">
        <v>179</v>
      </c>
      <c r="D6" s="18" t="s">
        <v>180</v>
      </c>
    </row>
    <row r="7" customFormat="false" ht="15" hidden="false" customHeight="false" outlineLevel="0" collapsed="false">
      <c r="A7" s="18" t="s">
        <v>64</v>
      </c>
      <c r="B7" s="25" t="n">
        <f aca="false">Feilmargin!$B$5</f>
        <v>214</v>
      </c>
      <c r="C7" s="25" t="n">
        <f aca="false">Feilmargin!$B$5</f>
        <v>214</v>
      </c>
    </row>
    <row r="8" customFormat="false" ht="15" hidden="false" customHeight="false" outlineLevel="0" collapsed="false">
      <c r="A8" s="18" t="s">
        <v>67</v>
      </c>
      <c r="B8" s="22" t="n">
        <v>60</v>
      </c>
      <c r="C8" s="22" t="n">
        <v>90</v>
      </c>
    </row>
    <row r="9" customFormat="false" ht="15" hidden="false" customHeight="false" outlineLevel="0" collapsed="false">
      <c r="A9" s="18" t="s">
        <v>147</v>
      </c>
      <c r="B9" s="22" t="n">
        <v>12</v>
      </c>
      <c r="C9" s="22" t="n">
        <v>67</v>
      </c>
    </row>
    <row r="10" customFormat="false" ht="15" hidden="false" customHeight="false" outlineLevel="0" collapsed="false">
      <c r="A10" s="18" t="s">
        <v>181</v>
      </c>
      <c r="B10" s="22" t="n">
        <v>11</v>
      </c>
      <c r="C10" s="22" t="n">
        <v>48</v>
      </c>
    </row>
    <row r="12" customFormat="false" ht="15" hidden="false" customHeight="false" outlineLevel="0" collapsed="false">
      <c r="A12" s="20" t="s">
        <v>118</v>
      </c>
      <c r="B12" s="24" t="n">
        <f aca="false">IF(B8=0,0,B9/B8)</f>
        <v>0.2</v>
      </c>
      <c r="C12" s="24" t="n">
        <f aca="false">IF(C8=0,0,C9/C8)</f>
        <v>0.744444444444445</v>
      </c>
      <c r="D12" s="18" t="s">
        <v>182</v>
      </c>
    </row>
    <row r="13" customFormat="false" ht="15" hidden="false" customHeight="false" outlineLevel="0" collapsed="false">
      <c r="A13" s="20" t="s">
        <v>183</v>
      </c>
      <c r="B13" s="26" t="n">
        <f aca="false">IF(B9=0,0,B10/B9)</f>
        <v>0.916666666666667</v>
      </c>
      <c r="C13" s="26" t="n">
        <f aca="false">IF(C9=0,0,C10/C9)</f>
        <v>0.716417910447761</v>
      </c>
      <c r="D13" s="18" t="s">
        <v>184</v>
      </c>
    </row>
    <row r="14" customFormat="false" ht="15" hidden="false" customHeight="false" outlineLevel="0" collapsed="false">
      <c r="A14" s="20" t="s">
        <v>185</v>
      </c>
      <c r="B14" s="24" t="n">
        <f aca="false">IF(B9&lt;=0,0,Feilmargin!$B$9*SQRT(0.25/B9)*IF(B7&lt;=1,1,SQRT(MAX(0,(B7-MIN(B9,B7))/(B7-1)))))</f>
        <v>0.275499830298537</v>
      </c>
      <c r="C14" s="24" t="n">
        <f aca="false">IF(C9&lt;=0,0,Feilmargin!$B$9*SQRT(0.25/C9)*IF(C7&lt;=1,1,SQRT(MAX(0,(C7-MIN(C9,C7))/(C7-1)))))</f>
        <v>0.0994620806471052</v>
      </c>
      <c r="D14" s="18" t="s">
        <v>186</v>
      </c>
    </row>
    <row r="15" customFormat="false" ht="15" hidden="false" customHeight="false" outlineLevel="0" collapsed="false">
      <c r="A15" s="18" t="s">
        <v>187</v>
      </c>
      <c r="B15" s="27" t="n">
        <f aca="false">MAX(0,B13-B14)</f>
        <v>0.64116683636813</v>
      </c>
      <c r="C15" s="27" t="n">
        <f aca="false">MAX(0,C13-C14)</f>
        <v>0.616955829800656</v>
      </c>
    </row>
    <row r="16" customFormat="false" ht="15" hidden="false" customHeight="false" outlineLevel="0" collapsed="false">
      <c r="A16" s="18" t="s">
        <v>188</v>
      </c>
      <c r="B16" s="27" t="n">
        <f aca="false">MIN(1,B13+B14)</f>
        <v>1</v>
      </c>
      <c r="C16" s="27" t="n">
        <f aca="false">MIN(1,C13+C14)</f>
        <v>0.815879991094866</v>
      </c>
      <c r="D16" s="18" t="s">
        <v>189</v>
      </c>
    </row>
    <row r="17" customFormat="false" ht="15" hidden="false" customHeight="false" outlineLevel="0" collapsed="false">
      <c r="A17" s="18" t="s">
        <v>190</v>
      </c>
      <c r="B17" s="27" t="n">
        <f aca="false">B16-B15</f>
        <v>0.35883316363187</v>
      </c>
      <c r="C17" s="27" t="n">
        <f aca="false">C16-C15</f>
        <v>0.19892416129421</v>
      </c>
    </row>
    <row r="19" customFormat="false" ht="15" hidden="false" customHeight="false" outlineLevel="0" collapsed="false">
      <c r="A19" s="16" t="s">
        <v>191</v>
      </c>
      <c r="D19" s="29" t="str">
        <f aca="false">IF(C14&lt;B14,"Telefonrunden. Ikke fordi tallet er penere — det er lavere — men fordi utvalget er trukket og usikkerheten er mindre.","E-posten.")</f>
        <v>Telefonrunden. Ikke fordi tallet er penere — det er lavere — men fordi utvalget er trukket og usikkerheten er mindre.</v>
      </c>
    </row>
    <row r="21" customFormat="false" ht="15" hidden="false" customHeight="false" outlineLevel="0" collapsed="false">
      <c r="A21" s="16" t="s">
        <v>138</v>
      </c>
    </row>
    <row r="22" customFormat="false" ht="15" hidden="false" customHeight="false" outlineLevel="0" collapsed="false">
      <c r="A22" s="18" t="s">
        <v>192</v>
      </c>
      <c r="B22" s="30" t="str">
        <f aca="false">IF(C14&lt;B14,"OK — flere svar gir smalere intervall","AVVIK: undersøkelsen med flest svar skal ha minst feilmargin")</f>
        <v>OK — flere svar gir smalere intervall</v>
      </c>
    </row>
    <row r="23" customFormat="false" ht="15" hidden="false" customHeight="false" outlineLevel="0" collapsed="false">
      <c r="A23" s="18" t="s">
        <v>193</v>
      </c>
      <c r="B23" s="30" t="str">
        <f aca="false">IF(AND(B15&lt;=C16,C15&lt;=B16),"OK — intervallene overlapper, så de to undersøkelsene motsier ikke hverandre","AVVIK: intervallene overlapper ikke. Da måler de to undersøkelsene noe forskjellig, og det må forklares")</f>
        <v>OK — intervallene overlapper, så de to undersøkelsene motsier ikke hverandre</v>
      </c>
    </row>
    <row ht="27" customHeight="true" r="24" customFormat="false" hidden="false" outlineLevel="0" collapsed="false">
      <c s="33" r="A24" t="s">
        <v>194</v>
      </c>
      <c r="B24" s="30" t="str">
        <f aca="false">IF(B13&gt;C13,"OK — e-posten gir det høyeste tallet. Det er hovedgrunnen til at dårlige undersøkelser overlever i bedrifter: de bekrefter det ledelsen håpet på","AVVIK: her gir den store undersøkelsen det høyeste tallet. Da mister sammenlikningen sitt viktigste poeng")</f>
        <v>OK — e-posten gir det høyeste tallet. Det er hovedgrunnen til at dårlige undersøkelser overlever i bedrifter: de bekrefter det ledelsen håpet på</v>
      </c>
    </row>
    <row r="26" customFormat="false" ht="15" hidden="false" customHeight="false" outlineLevel="0" collapsed="false">
      <c r="A26" s="20" t="s">
        <v>195</v>
      </c>
    </row>
  </sheetData>
  <conditionalFormatting sqref="B22">
    <cfRule type="expression" priority="2" aboveAverage="0" equalAverage="0" bottom="0" percent="0" rank="0" text="" dxfId="0">
      <formula>LEFT(B22,5)="AVVIK"</formula>
    </cfRule>
  </conditionalFormatting>
  <conditionalFormatting sqref="B23">
    <cfRule type="expression" priority="3" aboveAverage="0" equalAverage="0" bottom="0" percent="0" rank="0" text="" dxfId="0">
      <formula>LEFT(B23,5)="AVVIK"</formula>
    </cfRule>
  </conditionalFormatting>
  <conditionalFormatting sqref="B24">
    <cfRule type="expression" priority="4" aboveAverage="0" equalAverage="0" bottom="0" percent="0" rank="0" text="" dxfId="0">
      <formula>LEFT(B24,5)="AVVIK"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4" min="2" style="0" width="25"/>
    <col collapsed="false" customWidth="true" hidden="false" outlineLevel="0" max="5" min="5" style="0" width="46"/>
  </cols>
  <sheetData>
    <row r="1" customFormat="false" ht="17.35" hidden="false" customHeight="false" outlineLevel="0" collapsed="false">
      <c r="A1" s="1" t="s">
        <v>196</v>
      </c>
    </row>
    <row r="2" customFormat="false" ht="15" hidden="false" customHeight="false" outlineLevel="0" collapsed="false">
      <c r="A2" s="14" t="s">
        <v>197</v>
      </c>
    </row>
    <row r="4" customFormat="false" ht="15" hidden="false" customHeight="false" outlineLevel="0" collapsed="false">
      <c r="A4" s="16" t="s">
        <v>198</v>
      </c>
    </row>
    <row r="5" customFormat="false" ht="15" hidden="false" customHeight="false" outlineLevel="0" collapsed="false">
      <c r="A5" s="15" t="s">
        <v>199</v>
      </c>
    </row>
    <row r="7" customFormat="false" ht="27.75" hidden="false" customHeight="true" outlineLevel="0" collapsed="false">
      <c r="A7" s="21"/>
      <c r="B7" s="21" t="s">
        <v>178</v>
      </c>
      <c r="C7" s="21" t="s">
        <v>179</v>
      </c>
      <c r="D7" s="21" t="s">
        <v>200</v>
      </c>
      <c r="E7" s="21" t="s">
        <v>201</v>
      </c>
    </row>
    <row r="8" customFormat="false" ht="15" hidden="false" customHeight="false" outlineLevel="0" collapsed="false">
      <c r="A8" s="20" t="s">
        <v>12</v>
      </c>
      <c r="B8" s="31" t="n">
        <v>0.2</v>
      </c>
      <c r="C8" s="31" t="n">
        <v>0.744444444444445</v>
      </c>
      <c r="D8" s="31" t="n">
        <v>0.95</v>
      </c>
      <c r="E8" s="18" t="s">
        <v>202</v>
      </c>
    </row>
    <row r="9" customFormat="false" ht="15" hidden="false" customHeight="false" outlineLevel="0" collapsed="false">
      <c r="A9" s="18" t="s">
        <v>76</v>
      </c>
      <c r="B9" s="27" t="n">
        <f aca="false">Feilmargin!$B$30</f>
        <v>0.1</v>
      </c>
      <c r="C9" s="27" t="n">
        <f aca="false">Feilmargin!$B$30</f>
        <v>0.1</v>
      </c>
      <c r="D9" s="27" t="n">
        <f aca="false">Feilmargin!$B$30</f>
        <v>0.1</v>
      </c>
    </row>
    <row r="10" customFormat="false" ht="15" hidden="false" customHeight="false" outlineLevel="0" collapsed="false">
      <c r="A10" s="18" t="s">
        <v>203</v>
      </c>
      <c r="B10" s="25" t="n">
        <f aca="false">Feilmargin!$B$32</f>
        <v>67</v>
      </c>
      <c r="C10" s="25" t="n">
        <f aca="false">Feilmargin!$B$32</f>
        <v>67</v>
      </c>
      <c r="D10" s="25" t="n">
        <f aca="false">Feilmargin!$B$32</f>
        <v>67</v>
      </c>
      <c r="E10" s="18" t="s">
        <v>204</v>
      </c>
    </row>
    <row r="11" customFormat="false" ht="15" hidden="false" customHeight="false" outlineLevel="0" collapsed="false">
      <c r="A11" s="20" t="s">
        <v>205</v>
      </c>
      <c r="B11" s="32" t="n">
        <f aca="false">IF(B8=0,0,ROUNDUP(B10/B8,0))</f>
        <v>335</v>
      </c>
      <c r="C11" s="32" t="n">
        <f aca="false">IF(C8=0,0,ROUNDUP(C10/C8,0))</f>
        <v>90</v>
      </c>
      <c r="D11" s="32" t="n">
        <f aca="false">IF(D8=0,0,ROUNDUP(D10/D8,0))</f>
        <v>71</v>
      </c>
    </row>
    <row r="12" customFormat="false" ht="15" hidden="false" customHeight="false" outlineLevel="0" collapsed="false">
      <c r="A12" s="18" t="s">
        <v>206</v>
      </c>
      <c r="B12" s="27" t="n">
        <f aca="false">B11/Feilmargin!$B$5</f>
        <v>1.56542056074766</v>
      </c>
      <c r="C12" s="27" t="n">
        <f aca="false">C11/Feilmargin!$B$5</f>
        <v>0.420560747663551</v>
      </c>
      <c r="D12" s="27" t="n">
        <f aca="false">D11/Feilmargin!$B$5</f>
        <v>0.331775700934579</v>
      </c>
    </row>
    <row r="13" customFormat="false" ht="15" hidden="false" customHeight="false" outlineLevel="0" collapsed="false">
      <c r="A13" s="20" t="s">
        <v>207</v>
      </c>
      <c r="B13" s="29" t="str">
        <f aca="false">IF(B11&gt;Feilmargin!$B$5,"Umulig — ikke nok kunder","Gjennomførbart")</f>
        <v>Umulig — ikke nok kunder</v>
      </c>
      <c r="C13" s="29" t="str">
        <f aca="false">IF(C11&gt;Feilmargin!$B$5,"Umulig — ikke nok kunder","Gjennomførbart")</f>
        <v>Gjennomførbart</v>
      </c>
      <c r="D13" s="29" t="str">
        <f aca="false">IF(D11&gt;Feilmargin!$B$5,"Umulig — ikke nok kunder","Gjennomførbart")</f>
        <v>Gjennomførbart</v>
      </c>
      <c r="E13" s="18" t="s">
        <v>208</v>
      </c>
    </row>
    <row r="15" customFormat="false" ht="15" hidden="false" customHeight="false" outlineLevel="0" collapsed="false">
      <c r="A15" s="16" t="s">
        <v>138</v>
      </c>
    </row>
    <row r="16" customFormat="false" ht="15" hidden="false" customHeight="false" outlineLevel="0" collapsed="false">
      <c r="A16" s="18" t="s">
        <v>209</v>
      </c>
      <c r="B16" s="30" t="str">
        <f aca="false">IF(AND(B8&lt;C8,B11&gt;C11),"OK — lavere svarprosent krever at flere spørres","AVVIK: sjekk at e-postkolonnen har lavere svarprosent enn telefonkolonnen")</f>
        <v>OK — lavere svarprosent krever at flere spørres</v>
      </c>
    </row>
    <row r="17" customFormat="false" ht="15" hidden="false" customHeight="false" outlineLevel="0" collapsed="false">
      <c r="A17" s="18" t="s">
        <v>210</v>
      </c>
      <c r="B17" s="30" t="str">
        <f aca="false">IF(B11&gt;Feilmargin!$B$5,"OK — e-postrunden er umulig. Det er hele poenget med svarprosenten","AVVIK: e-postrunden er gjennomførbar. Da er svarprosenten satt for høyt til å bære poenget")</f>
        <v>OK — e-postrunden er umulig. Det er hele poenget med svarprosenten</v>
      </c>
    </row>
    <row r="20" customFormat="false" ht="15" hidden="false" customHeight="false" outlineLevel="0" collapsed="false">
      <c r="A20" s="16" t="s">
        <v>211</v>
      </c>
    </row>
    <row r="21" customFormat="false" ht="15" hidden="false" customHeight="false" outlineLevel="0" collapsed="false">
      <c r="A21" s="15" t="s">
        <v>212</v>
      </c>
    </row>
    <row r="23" customFormat="false" ht="27.75" hidden="false" customHeight="true" outlineLevel="0" collapsed="false">
      <c r="A23" s="21" t="s">
        <v>76</v>
      </c>
      <c r="B23" s="21" t="s">
        <v>213</v>
      </c>
      <c r="C23" s="21" t="s">
        <v>214</v>
      </c>
      <c r="D23" s="21" t="s">
        <v>215</v>
      </c>
      <c r="E23" s="21" t="s">
        <v>216</v>
      </c>
    </row>
    <row r="24" customFormat="false" ht="15" hidden="false" customHeight="false" outlineLevel="0" collapsed="false">
      <c r="A24" s="31" t="n">
        <v>0.2</v>
      </c>
      <c r="B24" s="32" t="n">
        <f aca="false">IF(A24&lt;=0,0,ROUNDUP(ROUNDUP(Feilmargin!$B$9^2*0.25/A24^2,0)*Feilmargin!$B$5/(ROUNDUP(Feilmargin!$B$9^2*0.25/A24^2,0)+Feilmargin!$B$5-1),0))</f>
        <v>23</v>
      </c>
      <c r="C24" s="25" t="n">
        <f aca="false">ROUNDUP(B24/Scenario!$C$8,0)</f>
        <v>31</v>
      </c>
      <c r="D24" s="27" t="n">
        <f aca="false">C24/Feilmargin!$B$5</f>
        <v>0.144859813084112</v>
      </c>
      <c r="E24" s="18" t="s">
        <v>217</v>
      </c>
    </row>
    <row r="25" customFormat="false" ht="15" hidden="false" customHeight="false" outlineLevel="0" collapsed="false">
      <c r="A25" s="31" t="n">
        <v>0.15</v>
      </c>
      <c r="B25" s="32" t="n">
        <f aca="false">IF(A25&lt;=0,0,ROUNDUP(ROUNDUP(Feilmargin!$B$9^2*0.25/A25^2,0)*Feilmargin!$B$5/(ROUNDUP(Feilmargin!$B$9^2*0.25/A25^2,0)+Feilmargin!$B$5-1),0))</f>
        <v>36</v>
      </c>
      <c r="C25" s="25" t="n">
        <f aca="false">ROUNDUP(B25/Scenario!$C$8,0)</f>
        <v>49</v>
      </c>
      <c r="D25" s="27" t="n">
        <f aca="false">C25/Feilmargin!$B$5</f>
        <v>0.228971962616822</v>
      </c>
      <c r="E25" s="18" t="s">
        <v>218</v>
      </c>
    </row>
    <row r="26" customFormat="false" ht="15" hidden="false" customHeight="false" outlineLevel="0" collapsed="false">
      <c r="A26" s="31" t="n">
        <v>0.1</v>
      </c>
      <c r="B26" s="32" t="n">
        <f aca="false">IF(A26&lt;=0,0,ROUNDUP(ROUNDUP(Feilmargin!$B$9^2*0.25/A26^2,0)*Feilmargin!$B$5/(ROUNDUP(Feilmargin!$B$9^2*0.25/A26^2,0)+Feilmargin!$B$5-1),0))</f>
        <v>67</v>
      </c>
      <c r="C26" s="25" t="n">
        <f aca="false">ROUNDUP(B26/Scenario!$C$8,0)</f>
        <v>90</v>
      </c>
      <c r="D26" s="27" t="n">
        <f aca="false">C26/Feilmargin!$B$5</f>
        <v>0.420560747663551</v>
      </c>
      <c r="E26" s="18" t="s">
        <v>219</v>
      </c>
    </row>
    <row r="27" customFormat="false" ht="15" hidden="false" customHeight="false" outlineLevel="0" collapsed="false">
      <c r="A27" s="31" t="n">
        <v>0.05</v>
      </c>
      <c r="B27" s="32" t="n">
        <f aca="false">IF(A27&lt;=0,0,ROUNDUP(ROUNDUP(Feilmargin!$B$9^2*0.25/A27^2,0)*Feilmargin!$B$5/(ROUNDUP(Feilmargin!$B$9^2*0.25/A27^2,0)+Feilmargin!$B$5-1),0))</f>
        <v>138</v>
      </c>
      <c r="C27" s="25" t="n">
        <f aca="false">ROUNDUP(B27/Scenario!$C$8,0)</f>
        <v>186</v>
      </c>
      <c r="D27" s="27" t="n">
        <f aca="false">C27/Feilmargin!$B$5</f>
        <v>0.869158878504673</v>
      </c>
      <c r="E27" s="18" t="s">
        <v>220</v>
      </c>
    </row>
    <row r="28" customFormat="false" ht="15" hidden="false" customHeight="false" outlineLevel="0" collapsed="false">
      <c r="A28" s="31" t="n">
        <v>0.03</v>
      </c>
      <c r="B28" s="32" t="n">
        <f aca="false">IF(A28&lt;=0,0,ROUNDUP(ROUNDUP(Feilmargin!$B$9^2*0.25/A28^2,0)*Feilmargin!$B$5/(ROUNDUP(Feilmargin!$B$9^2*0.25/A28^2,0)+Feilmargin!$B$5-1),0))</f>
        <v>179</v>
      </c>
      <c r="C28" s="25" t="n">
        <f aca="false">ROUNDUP(B28/Scenario!$C$8,0)</f>
        <v>241</v>
      </c>
      <c r="D28" s="27" t="n">
        <f aca="false">C28/Feilmargin!$B$5</f>
        <v>1.12616822429907</v>
      </c>
      <c r="E28" s="18" t="s">
        <v>221</v>
      </c>
    </row>
    <row r="30" customFormat="false" ht="15" hidden="false" customHeight="false" outlineLevel="0" collapsed="false">
      <c r="A30" s="16" t="s">
        <v>138</v>
      </c>
    </row>
    <row r="31" customFormat="false" ht="15" hidden="false" customHeight="false" outlineLevel="0" collapsed="false">
      <c r="A31" s="18" t="s">
        <v>222</v>
      </c>
      <c r="B31" s="30" t="str">
        <f aca="false">IF(B28&gt;B24,"OK — mindre feilmargin krever flere svar","AVVIK: tabellen skal stige nedover")</f>
        <v>OK — mindre feilmargin krever flere svar</v>
      </c>
    </row>
    <row r="32" customFormat="false" ht="15" hidden="false" customHeight="false" outlineLevel="0" collapsed="false">
      <c r="A32" s="18" t="s">
        <v>223</v>
      </c>
      <c r="B32" s="30" t="str">
        <f aca="false">IF(C28&gt;Feilmargin!$B$5,"OK — den strengeste raden krever flere enn det finnes kunder. Det er grensen for hva en liten bedrift kan måle","AVVIK: selv den strengeste raden er mulig. Da er tabellen for snill til å vise grensen")</f>
        <v>OK — den strengeste raden krever flere enn det finnes kunder. Det er grensen for hva en liten bedrift kan måle</v>
      </c>
    </row>
    <row r="35" customFormat="false" ht="15" hidden="false" customHeight="false" outlineLevel="0" collapsed="false">
      <c r="A35" s="16" t="s">
        <v>224</v>
      </c>
    </row>
    <row r="36" customFormat="false" ht="15" hidden="false" customHeight="false" outlineLevel="0" collapsed="false">
      <c r="A36" s="15" t="s">
        <v>225</v>
      </c>
    </row>
    <row r="38" customFormat="false" ht="15" hidden="false" customHeight="false" outlineLevel="0" collapsed="false">
      <c r="A38" s="18" t="s">
        <v>226</v>
      </c>
      <c r="B38" s="25" t="n">
        <f aca="false">Feilmargin!$B$7</f>
        <v>12</v>
      </c>
    </row>
    <row r="39" customFormat="false" ht="15" hidden="false" customHeight="false" outlineLevel="0" collapsed="false">
      <c r="A39" s="18" t="s">
        <v>227</v>
      </c>
      <c r="B39" s="24" t="n">
        <f aca="false">Feilmargin!$B$14</f>
        <v>0.916666666666667</v>
      </c>
    </row>
    <row r="40" customFormat="false" ht="15" hidden="false" customHeight="false" outlineLevel="0" collapsed="false">
      <c r="A40" s="18" t="s">
        <v>228</v>
      </c>
      <c r="B40" s="25" t="n">
        <f aca="false">Feilmargin!$B$6-Feilmargin!$B$7</f>
        <v>48</v>
      </c>
    </row>
    <row r="41" customFormat="false" ht="15" hidden="false" customHeight="false" outlineLevel="0" collapsed="false">
      <c r="A41" s="18" t="s">
        <v>229</v>
      </c>
      <c r="B41" s="31" t="n">
        <v>0.4</v>
      </c>
      <c r="E41" s="18" t="s">
        <v>230</v>
      </c>
    </row>
    <row r="42" customFormat="false" ht="15" hidden="false" customHeight="false" outlineLevel="0" collapsed="false">
      <c r="A42" s="20" t="s">
        <v>231</v>
      </c>
      <c r="B42" s="24" t="n">
        <f aca="false">IF((B38+B40)=0,0,(B38*B39+B40*B41)/(B38+B40))</f>
        <v>0.503333333333333</v>
      </c>
    </row>
    <row r="43" customFormat="false" ht="15" hidden="false" customHeight="false" outlineLevel="0" collapsed="false">
      <c r="A43" s="20" t="s">
        <v>232</v>
      </c>
      <c r="B43" s="24" t="n">
        <f aca="false">B39-B42</f>
        <v>0.413333333333333</v>
      </c>
      <c r="E43" s="18" t="s">
        <v>233</v>
      </c>
    </row>
    <row r="44" customFormat="false" ht="15" hidden="false" customHeight="false" outlineLevel="0" collapsed="false">
      <c r="A44" s="18" t="s">
        <v>234</v>
      </c>
      <c r="B44" s="27" t="n">
        <f aca="false">Feilmargin!$B$19</f>
        <v>0.152288261151139</v>
      </c>
    </row>
    <row r="45" customFormat="false" ht="15" hidden="false" customHeight="false" outlineLevel="0" collapsed="false">
      <c r="A45" s="20" t="s">
        <v>235</v>
      </c>
      <c r="B45" s="29" t="str">
        <f aca="false">IF(ABS(B43)&gt;B44,"JA","Nei")</f>
        <v>JA</v>
      </c>
      <c r="E45" s="18" t="s">
        <v>236</v>
      </c>
    </row>
    <row r="47" customFormat="false" ht="15" hidden="false" customHeight="false" outlineLevel="0" collapsed="false">
      <c r="A47" s="16" t="s">
        <v>138</v>
      </c>
    </row>
    <row r="48" customFormat="false" ht="15" hidden="false" customHeight="false" outlineLevel="0" collapsed="false">
      <c r="A48" s="18" t="s">
        <v>237</v>
      </c>
      <c r="B48" s="30" t="str">
        <f aca="false">IF(ABS((B38*B39+B40*B41)-(B38+B40)*B42)&lt;0.000001,"OK — de to gruppene veier riktig i snittet","AVVIK: vektingen av de to gruppene går ikke opp")</f>
        <v>OK — de to gruppene veier riktig i snittet</v>
      </c>
    </row>
    <row r="49" customFormat="false" ht="15" hidden="false" customHeight="false" outlineLevel="0" collapsed="false">
      <c r="A49" s="18" t="s">
        <v>210</v>
      </c>
      <c r="B49" s="30" t="str">
        <f aca="false">IF(ABS(B43)&gt;B44,"OK — skjevheten er større enn feilmarginen. Et større utvalg ville ikke reddet denne undersøkelsen","AVVIK: skjevheten er mindre enn feilmarginen. Prøv en lavere andel ja blant dem som ikke svarte, og se hva som skjer")</f>
        <v>OK — skjevheten er større enn feilmarginen. Et større utvalg ville ikke reddet denne undersøkelsen</v>
      </c>
    </row>
    <row r="51" customFormat="false" ht="15" hidden="false" customHeight="false" outlineLevel="0" collapsed="false">
      <c r="A51" s="20" t="s">
        <v>238</v>
      </c>
    </row>
    <row r="52" customFormat="false" ht="15" hidden="false" customHeight="false" outlineLevel="0" collapsed="false">
      <c r="A52" s="15" t="s">
        <v>239</v>
      </c>
    </row>
  </sheetData>
  <conditionalFormatting sqref="B16">
    <cfRule type="expression" priority="2" aboveAverage="0" equalAverage="0" bottom="0" percent="0" rank="0" text="" dxfId="0">
      <formula>LEFT(B16,5)="AVVIK"</formula>
    </cfRule>
  </conditionalFormatting>
  <conditionalFormatting sqref="B17">
    <cfRule type="expression" priority="3" aboveAverage="0" equalAverage="0" bottom="0" percent="0" rank="0" text="" dxfId="0">
      <formula>LEFT(B17,5)="AVVIK"</formula>
    </cfRule>
  </conditionalFormatting>
  <conditionalFormatting sqref="B31">
    <cfRule type="expression" priority="4" aboveAverage="0" equalAverage="0" bottom="0" percent="0" rank="0" text="" dxfId="0">
      <formula>LEFT(B31,5)="AVVIK"</formula>
    </cfRule>
  </conditionalFormatting>
  <conditionalFormatting sqref="B32">
    <cfRule type="expression" priority="5" aboveAverage="0" equalAverage="0" bottom="0" percent="0" rank="0" text="" dxfId="0">
      <formula>LEFT(B32,5)="AVVIK"</formula>
    </cfRule>
  </conditionalFormatting>
  <conditionalFormatting sqref="B48">
    <cfRule type="expression" priority="6" aboveAverage="0" equalAverage="0" bottom="0" percent="0" rank="0" text="" dxfId="0">
      <formula>LEFT(B48,5)="AVVIK"</formula>
    </cfRule>
  </conditionalFormatting>
  <conditionalFormatting sqref="B49">
    <cfRule type="expression" priority="7" aboveAverage="0" equalAverage="0" bottom="0" percent="0" rank="0" text="" dxfId="0">
      <formula>LEFT(B49,5)="AVVIK"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66"/>
  </cols>
  <sheetData>
    <row r="1" customFormat="false" ht="17.35" hidden="false" customHeight="false" outlineLevel="0" collapsed="false">
      <c r="A1" s="1" t="s">
        <v>240</v>
      </c>
    </row>
    <row r="2" customFormat="false" ht="15" hidden="false" customHeight="false" outlineLevel="0" collapsed="false">
      <c r="A2" s="14" t="s">
        <v>241</v>
      </c>
    </row>
    <row r="4" customFormat="false" ht="15" hidden="false" customHeight="false" outlineLevel="0" collapsed="false">
      <c r="A4" s="16" t="s">
        <v>108</v>
      </c>
    </row>
    <row r="5" customFormat="false" ht="15" hidden="false" customHeight="false" outlineLevel="0" collapsed="false">
      <c r="A5" s="18" t="s">
        <v>242</v>
      </c>
      <c r="B5" s="22" t="n">
        <v>0</v>
      </c>
      <c r="C5" s="18" t="s">
        <v>243</v>
      </c>
    </row>
    <row r="6" customFormat="false" ht="15" hidden="false" customHeight="false" outlineLevel="0" collapsed="false">
      <c r="A6" s="18" t="s">
        <v>244</v>
      </c>
      <c r="B6" s="22" t="n">
        <v>0</v>
      </c>
      <c r="C6" s="18" t="s">
        <v>245</v>
      </c>
    </row>
    <row r="7" customFormat="false" ht="15" hidden="false" customHeight="false" outlineLevel="0" collapsed="false">
      <c r="A7" s="18" t="s">
        <v>112</v>
      </c>
      <c r="B7" s="22" t="n">
        <v>0</v>
      </c>
      <c r="C7" s="18" t="s">
        <v>246</v>
      </c>
    </row>
    <row r="8" customFormat="false" ht="15" hidden="false" customHeight="false" outlineLevel="0" collapsed="false">
      <c r="A8" s="18" t="s">
        <v>114</v>
      </c>
      <c r="B8" s="22" t="n">
        <v>0</v>
      </c>
      <c r="C8" s="18" t="s">
        <v>247</v>
      </c>
    </row>
    <row r="9" customFormat="false" ht="15" hidden="false" customHeight="false" outlineLevel="0" collapsed="false">
      <c r="A9" s="18" t="s">
        <v>115</v>
      </c>
      <c r="B9" s="23" t="n">
        <v>1.96</v>
      </c>
      <c r="C9" s="18" t="s">
        <v>116</v>
      </c>
    </row>
    <row r="11" customFormat="false" ht="15" hidden="false" customHeight="false" outlineLevel="0" collapsed="false">
      <c r="A11" s="16" t="s">
        <v>248</v>
      </c>
    </row>
    <row r="12" customFormat="false" ht="15" hidden="false" customHeight="false" outlineLevel="0" collapsed="false">
      <c r="A12" s="18" t="s">
        <v>118</v>
      </c>
      <c r="B12" s="24" t="n">
        <f aca="false">IF(B6=0,0,B7/B6)</f>
        <v>0</v>
      </c>
    </row>
    <row r="13" customFormat="false" ht="15" hidden="false" customHeight="false" outlineLevel="0" collapsed="false">
      <c r="A13" s="18" t="s">
        <v>122</v>
      </c>
      <c r="B13" s="26" t="n">
        <f aca="false">IF(B7=0,0,B8/B7)</f>
        <v>0</v>
      </c>
    </row>
    <row r="14" customFormat="false" ht="15" hidden="false" customHeight="false" outlineLevel="0" collapsed="false">
      <c r="A14" s="18" t="s">
        <v>127</v>
      </c>
      <c r="B14" s="24" t="n">
        <f aca="false">IF(OR(B7&lt;=0,B5&lt;=1),0,B9*SQRT(B13*(1-B13)/B7)*IF(B5&lt;=1,1,SQRT(MAX(0,(B5-MIN(B7,B5))/(B5-1)))))</f>
        <v>0</v>
      </c>
    </row>
    <row r="15" customFormat="false" ht="15" hidden="false" customHeight="false" outlineLevel="0" collapsed="false">
      <c r="A15" s="18" t="s">
        <v>128</v>
      </c>
      <c r="B15" s="24" t="n">
        <f aca="false">IF(OR(B7&lt;=0,B5&lt;=1),0,B9*SQRT(0.25/B7)*IF(B5&lt;=1,1,SQRT(MAX(0,(B5-MIN(B7,B5))/(B5-1)))))</f>
        <v>0</v>
      </c>
    </row>
    <row r="16" customFormat="false" ht="15" hidden="false" customHeight="false" outlineLevel="0" collapsed="false">
      <c r="A16" s="18" t="s">
        <v>187</v>
      </c>
      <c r="B16" s="27" t="n">
        <f aca="false">MAX(0,B13-B14)</f>
        <v>0</v>
      </c>
    </row>
    <row r="17" customFormat="false" ht="15" hidden="false" customHeight="false" outlineLevel="0" collapsed="false">
      <c r="A17" s="18" t="s">
        <v>188</v>
      </c>
      <c r="B17" s="27" t="n">
        <f aca="false">MIN(1,B13+B14)</f>
        <v>0</v>
      </c>
    </row>
    <row r="19" customFormat="false" ht="15" hidden="false" customHeight="false" outlineLevel="0" collapsed="false">
      <c r="A19" s="18" t="s">
        <v>249</v>
      </c>
      <c r="C19" s="29" t="str">
        <f aca="false">IF(B7=0,"Fyll inn tallene over.","Mellom "&amp;SUBSTITUTE(TEXT(B16*100,"0.0"),".",",")&amp;" % og "&amp;SUBSTITUTE(TEXT(B17*100,"0.0"),".",",")&amp;" % av populasjonen svarer ja — så langt tallene rekker.")</f>
        <v>Fyll inn tallene over.</v>
      </c>
    </row>
    <row r="20" customFormat="false" ht="15" hidden="false" customHeight="false" outlineLevel="0" collapsed="false">
      <c r="C20" s="30" t="str">
        <f aca="false">IF(AND(B7&gt;0,B7&lt;30),"Under 30 svar. Formelen er et varsel, ikke en presisjon.","")</f>
        <v/>
      </c>
    </row>
    <row r="22" customFormat="false" ht="15" hidden="false" customHeight="false" outlineLevel="0" collapsed="false">
      <c r="A22" s="16" t="s">
        <v>138</v>
      </c>
    </row>
    <row r="23" customFormat="false" ht="15" hidden="false" customHeight="false" outlineLevel="0" collapsed="false">
      <c r="A23" s="18" t="s">
        <v>139</v>
      </c>
      <c r="B23" s="30" t="str">
        <f aca="false">IF(B5=0,"Fyll inn tallene over.",IF(AND(B7&lt;=B6,B8&lt;=B7,B6&lt;=B5),"OK — tallene henger sammen","AVVIK: flere svar enn spurte, flere ja enn svar, eller flere spurte enn det finnes i populasjonen"))</f>
        <v>Fyll inn tallene over.</v>
      </c>
    </row>
    <row r="24" customFormat="false" ht="15" hidden="false" customHeight="false" outlineLevel="0" collapsed="false">
      <c r="A24" s="18" t="s">
        <v>250</v>
      </c>
      <c r="B24" s="30" t="str">
        <f aca="false">IF(B6=0,"Fyll inn tallene over.",IF(B12&gt;=0.4,"OK — over førti prosent svarte","AVVIK: lav svarprosent. De som ikke svarte er sjelden en tilfeldig gruppe, og feilmarginen fanger ikke opp skjevheten"))</f>
        <v>Fyll inn tallene over.</v>
      </c>
    </row>
    <row r="26" customFormat="false" ht="15" hidden="false" customHeight="false" outlineLevel="0" collapsed="false">
      <c r="A26" s="20" t="s">
        <v>251</v>
      </c>
    </row>
    <row r="27" customFormat="false" ht="15" hidden="false" customHeight="false" outlineLevel="0" collapsed="false">
      <c r="A27" s="20" t="s">
        <v>252</v>
      </c>
    </row>
  </sheetData>
  <conditionalFormatting sqref="B23">
    <cfRule type="expression" priority="2" aboveAverage="0" equalAverage="0" bottom="0" percent="0" rank="0" text="" dxfId="0">
      <formula>LEFT(B23,5)="AVVIK"</formula>
    </cfRule>
  </conditionalFormatting>
  <conditionalFormatting sqref="B24">
    <cfRule type="expression" priority="3" aboveAverage="0" equalAverage="0" bottom="0" percent="0" rank="0" text="" dxfId="0">
      <formula>LEFT(B24,5)="AVVIK"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2026-09-11T09:30:03Z</dcterms:created>
  <dc:creator>openpyxl</dc:creator>
  <dc:description/>
  <dc:language>en-US</dc:language>
  <cp:lastModifiedBy/>
  <dcterms:modified xsi:type="dcterms:W3CDTF">2026-10-07T06:05:06Z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