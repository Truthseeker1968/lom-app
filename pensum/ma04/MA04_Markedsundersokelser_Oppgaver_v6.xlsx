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<sst xmlns="http://schemas.openxmlformats.org/spreadsheetml/2006/main" count="262" uniqueCount="177">
  <si>
    <t xml:space="preserve">Markedsundersøkelser. Oppgaver til kapittel 4</t>
  </si>
  <si>
    <t xml:space="preserve">Markedsføring, organisasjon og ledelse for LØM-emnet (Hjertnes), kapittel 4. Versjon 6, oktober 2026. Nordlys Elektro AS og Fjell Elektro AS er konstruerte casebedrifter; undersøkelsene og svartallene er konstruerte casetall.</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</si>
  <si>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</si>
  <si>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</si>
  <si>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</si>
  <si>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</si>
  <si>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</si>
  <si>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</si>
  <si>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Tom og de 94,4 prosentene: hvilken metode, og hvilket tall?</t>
  </si>
  <si>
    <t xml:space="preserve">1B  Fjell Elektro: hvor mange må Mona spørre, og hvem?</t>
  </si>
  <si>
    <t xml:space="preserve">1C  Toms skjema og telefonrunden: hva kan Kari gjøre med svarene?</t>
  </si>
  <si>
    <t xml:space="preserve">Fasit  Alle svar med regnestykket skrevet ut</t>
  </si>
  <si>
    <t xml:space="preserve">Dette er øvingsmateriell til repetisjons- og øvingsstøtte. I besvarelser, caser, prosjektoppgaver og eksamen gjelder lærebøkene og oppgitte primærkilder.</t>
  </si>
  <si>
    <t xml:space="preserve">«Er kundene våre fornøyde?»</t>
  </si>
  <si>
    <t xml:space="preserve">Oppgave 1A: Tom og de 94,4 prosentene: hvilken metode, og hvilket tall?</t>
  </si>
  <si>
    <t xml:space="preserve">«Hvordan opplever kundene oppmøtet, arbeidet, ryddingen og prisen ved servicebesøket, og hva må endres for at de bestiller igjen?»</t>
  </si>
  <si>
    <t xml:space="preserve">Alene, i par eller i gruppe, slik du vil.</t>
  </si>
  <si>
    <t xml:space="preserve">«Hvordan kan serviceavdelingen bli bedre?»</t>
  </si>
  <si>
    <t xml:space="preserve">Situasjonen</t>
  </si>
  <si>
    <t xml:space="preserve">Primærdata</t>
  </si>
  <si>
    <t xml:space="preserve">Serviceavdelingen i Nordlys Elektro har 210 oppdrag planlagt i år, men må ha 288 for å gå i null, og få av kundene bestiller igjen. Tom Berg (driftsleder service) vil vite hva kundene synes etter et servicebesøk. I vårhalvåret prøvde han to måter: etter hvert av de 105 besøkene fikk kunden en SMS med lenke til et skjema, og lærlingen Sara Lien ringte 40 av de 105 kundene, trukket tilfeldig, med fire korte spørsmål. Kari (daglig leder) har sett at 17 av 18 på SMS svarte «fornøyd» og sier: «94,4 %, da er det ikke kundene som er problemet.» Velg problemstilling, sorter datakildene og metodene, regn svarprosentene og andelene, og svar Kari.</t>
  </si>
  <si>
    <t xml:space="preserve">Sekundærdata</t>
  </si>
  <si>
    <t xml:space="preserve">Begrepene du trenger</t>
  </si>
  <si>
    <t xml:space="preserve">En markedsundersøkelse er innsamling, registrering og analyse av markedsdata, for å redusere usikkerhet før en beslutning eller måle virkningen av en som er tatt. Problemstillingen må være klar og entydig (4.1). Primærdata er nye data samlet inn til akkurat denne problemstillingen (feltundersøkelse); sekundærdata finnes fra før, samlet inn i en annen sammenheng (skrivebordsundersøkelse) (4.2). Primærdata samles inn med intervju, observasjon eller eksperiment, eller i en fokusgruppe (4.3). Svarprosent = antall svar / antall spurt × 100. Andel = antall ja / antall svar × 100 (vanlig prosentregning; boka gir ingen formel).</t>
  </si>
  <si>
    <t xml:space="preserve">Vårhalvåret 2026, serviceavdelingen</t>
  </si>
  <si>
    <t xml:space="preserve">SMS-skjema</t>
  </si>
  <si>
    <t xml:space="preserve">Telefon</t>
  </si>
  <si>
    <t xml:space="preserve">Kunder spurt</t>
  </si>
  <si>
    <t xml:space="preserve">Svar</t>
  </si>
  <si>
    <t xml:space="preserve">Svarte «fornøyd»</t>
  </si>
  <si>
    <t xml:space="preserve">SMS-skjemaet gikk til alle 105 kundene etter besøket. Telefonrunden gikk til 40 kunder som Sara trakk tilfeldig blant de 105, med fire korte spørsmål.</t>
  </si>
  <si>
    <t xml:space="preserve">Oppgaven, trinn for trinn</t>
  </si>
  <si>
    <t xml:space="preserve">1. Velg problemstillingen Tom bør bruke.
2. Sorter åtte datakilder i primærdata og sekundærdata, og fire innsamlingsmåter etter metode.
3. Regn svarprosenten for hver metode (a og b) og andelen fornøyde blant dem som svarte (c og d). Svar i prosent med én desimal, for eksempel 17,1.
4. Skriv svaret til Kari i e.</t>
  </si>
  <si>
    <t xml:space="preserve">Tom har tre forslag til problemstilling. Hvilken er klar og entydig nok til å gi et svar han kan bruke?</t>
  </si>
  <si>
    <t xml:space="preserve">Primærdata eller sekundærdata? (velg i nedtrekksmenyen)</t>
  </si>
  <si>
    <t xml:space="preserve">Intervju</t>
  </si>
  <si>
    <t xml:space="preserve">1 Sara ringer 40 servicekunder med fire spørsmål</t>
  </si>
  <si>
    <t xml:space="preserve">Observasjon</t>
  </si>
  <si>
    <t xml:space="preserve">2 Ordresystemet: hvem som har bestilt service før, og om de kom tilbake</t>
  </si>
  <si>
    <t xml:space="preserve">Eksperiment</t>
  </si>
  <si>
    <t xml:space="preserve">3 Statistisk sentralbyrå, tabell 12910: 3 462 foretak og 73,5 milliarder kr i omsetning i elektrisk installasjonsarbeid 2024</t>
  </si>
  <si>
    <t xml:space="preserve">Fokusgruppe</t>
  </si>
  <si>
    <t xml:space="preserve">4 NHO Elektros lønnsomhetsrapport: service er 19,7 % av bransjens omsetning</t>
  </si>
  <si>
    <t xml:space="preserve">5 SMS-skjemaet etter hvert servicebesøk</t>
  </si>
  <si>
    <t xml:space="preserve">6 Tilbudsmappa: hvem som ba om pris på service i fjor og valgte noen andre</t>
  </si>
  <si>
    <t xml:space="preserve">7 Ronny noterer hvor lenge kunden står og ser på mens montøren rydder</t>
  </si>
  <si>
    <t xml:space="preserve">8 Besøkstallene på nettsiden: hvilke sider kundene leser før de bestiller</t>
  </si>
  <si>
    <t xml:space="preserve">Hvilken innsamlingsmetode er dette? (velg i nedtrekksmenyen)</t>
  </si>
  <si>
    <t xml:space="preserve">Sara ringer 40 kunder og stiller fire spørsmål</t>
  </si>
  <si>
    <t xml:space="preserve">Ronny noterer hva kundene gjør mens montøren rydder, uten å si at han følger med</t>
  </si>
  <si>
    <t xml:space="preserve">Annenhver kunde får tilbud med ti års garanti, resten fem år. Tom ser hvilken versjon som blir signert</t>
  </si>
  <si>
    <t xml:space="preserve">Tom inviterer åtte servicekunder til en kveld på verkstedet for å diskutere hele tilbudet</t>
  </si>
  <si>
    <t xml:space="preserve">a) Svarprosent SMS-skjema: svar delt på spurt × 100, én desimal</t>
  </si>
  <si>
    <t xml:space="preserve">prosent</t>
  </si>
  <si>
    <t xml:space="preserve">b) Svarprosent telefon: svar delt på ringt × 100, én desimal</t>
  </si>
  <si>
    <t xml:space="preserve">c) Andel fornøyde blant dem som svarte på SMS: fornøyde delt på svar × 100, én desimal</t>
  </si>
  <si>
    <t xml:space="preserve">d) Andel fornøyde blant dem som svarte på telefon: fornøyde delt på svar × 100, én desimal</t>
  </si>
  <si>
    <t xml:space="preserve">e) Kari sier: «94,4 % fornøyde, da er det ikke kundene som er problemet.» Svar henne i to–tre setninger: hvilket av de to tallene kan Tom stole mest på, og hvorfor?</t>
  </si>
  <si>
    <t xml:space="preserve">Står du fast? Skriv JA i den gule cellen:</t>
  </si>
  <si>
    <t xml:space="preserve">Gule celler fyller du inn. Grønne regnes ut av arket. Sjekken til høyre forteller om svaret stemmer, og hva du bør se på hvis ikke.</t>
  </si>
  <si>
    <t xml:space="preserve">Ringe de kundene hun husker best</t>
  </si>
  <si>
    <t xml:space="preserve">Oppgave 1B: Fjell Elektro: hvor mange må Mona spørre, og hvem?</t>
  </si>
  <si>
    <t xml:space="preserve">Ringe de 67 første i kunderegisteret</t>
  </si>
  <si>
    <t xml:space="preserve">Nummerere alle 280 og la regnearket trekke 67 tilfeldig</t>
  </si>
  <si>
    <t xml:space="preserve">Han har rett: ring alltid alle</t>
  </si>
  <si>
    <t xml:space="preserve">Fjell Elektro AS har 280 kunder i kunderegisteret etter første driftsår. Eieren Mona Fjell vil vite hva kundene synes etter et servicebesøk, og hun vil ha 50 svar. Hun regner med at 75 % svarer på telefon og 15 % på et SMS-skjema. En telefonsamtale tar om lag 10 minutter. Montøren mener hun bør ringe alle 280, og selv tenkte hun først å ringe de kundene hun husker best. Regn hvor mange hun må spørre, velg trekkemåte, sett navn på utvalgsmetodene, og vurder påliteligheten.</t>
  </si>
  <si>
    <t xml:space="preserve">Utvalget bør ikke være større enn nødvendig; et godt trukket utvalg gir svaret billigere</t>
  </si>
  <si>
    <t xml:space="preserve">Flere svar gir lavere gyldighet</t>
  </si>
  <si>
    <t xml:space="preserve">Populasjonen er alle bedriften vil vite noe om; utvalget er den delen som deltar, og det bør ikke være større enn nødvendig (4.5). Sannsynlighetsutvalg: alle har tilnærmet like stor sjanse for å bli trukket (enkelt, tilfeldig utvalg; klyngeutvalg). Ikke-sannsynlighetsutvalg: bekvemmelighetsutvalg (de lettest tilgjengelige) og kvoteutvalg (satt sammen etter eget skjønn) (4.6). Antall som må spørres = antall svar du trenger / svarprosent som desimaltall, rundet opp. Pålitelighet er et resultat av hvordan undersøkelsen gjennomføres (4.7.3).</t>
  </si>
  <si>
    <t xml:space="preserve">Enkelt, tilfeldig utvalg</t>
  </si>
  <si>
    <t xml:space="preserve">Klyngeutvalg</t>
  </si>
  <si>
    <t xml:space="preserve">Fjell Elektro, kundeundersøkelsen</t>
  </si>
  <si>
    <t xml:space="preserve">Tall</t>
  </si>
  <si>
    <t xml:space="preserve">Bekvemmelighetsutvalg</t>
  </si>
  <si>
    <t xml:space="preserve">Kunder i kunderegisteret (populasjonen)</t>
  </si>
  <si>
    <t xml:space="preserve">Kvoteutvalg</t>
  </si>
  <si>
    <t xml:space="preserve">Svar Mona vil ha</t>
  </si>
  <si>
    <t xml:space="preserve">Ventet svarprosent, telefon</t>
  </si>
  <si>
    <t xml:space="preserve">Ventet svarprosent, SMS-skjema</t>
  </si>
  <si>
    <t xml:space="preserve">Minutter per telefonsamtale</t>
  </si>
  <si>
    <t xml:space="preserve">Svarprosentene står i hele prosent. Montøren foreslår å ringe alle 280. Monas første idé var å ringe de kundene hun husker best.</t>
  </si>
  <si>
    <t xml:space="preserve">1. Regn hvor mange Mona må ringe (a) og hvor mange som måtte fått SMS-skjemaet (b) for å få 50 svar. Antall som må spørres = svar du trenger / svarprosent som desimaltall. Rund opp til helt tall.
2. Velg hvordan hun bør trekke dem hun ringer (c), og hva boka sier om å ringe alle (d).
3. Sett navn på fire utvalgsmetoder (e).
4. Skriv i f hva som kan svekke påliteligheten når Mona ringer selv.</t>
  </si>
  <si>
    <t xml:space="preserve">a) Hvor mange må Mona ringe for å få 50 svar med 75 % svar? Rund opp</t>
  </si>
  <si>
    <t xml:space="preserve">kunder</t>
  </si>
  <si>
    <t xml:space="preserve">b) Hvor mange måtte fått SMS-skjemaet for å gi 50 svar med 15 % svar? Rund opp</t>
  </si>
  <si>
    <t xml:space="preserve">c) Hvordan bør Mona velge de 67 hun ringer, hvis svaret skal gjelde alle kundene?</t>
  </si>
  <si>
    <t xml:space="preserve">d) Montøren: «Ring alle 280, så blir svaret sikrest.» Hva sier boka?</t>
  </si>
  <si>
    <t xml:space="preserve">e) Hvilken utvalgsmetode er dette? (velg i nedtrekksmenyen)</t>
  </si>
  <si>
    <t xml:space="preserve">Mona nummererer alle 280 kundene og lar regnearket trekke 67</t>
  </si>
  <si>
    <t xml:space="preserve">Mona deler kundene etter måneden jobben ble gjort, trekker tre måneder og ringer alle kundene fra dem</t>
  </si>
  <si>
    <t xml:space="preserve">Mona ringer de kundene hun husker best</t>
  </si>
  <si>
    <t xml:space="preserve">Mona velger selv 30 privatkunder og 37 bedriftskunder som hun mener likner kundemassen</t>
  </si>
  <si>
    <t xml:space="preserve">f) Mona vil ringe kundene selv. Hva kan svekke påliteligheten, og hvordan kan hun unngå det? To–tre setninger.</t>
  </si>
  <si>
    <t xml:space="preserve">Godt: klart, entydig og svaret kan brukes</t>
  </si>
  <si>
    <t xml:space="preserve">Oppgave 1C: Toms skjema og telefonrunden: hva kan Kari gjøre med svarene?</t>
  </si>
  <si>
    <t xml:space="preserve">Dårlig: ledende</t>
  </si>
  <si>
    <t xml:space="preserve">Dårlig: to ting i ett spørsmål</t>
  </si>
  <si>
    <t xml:space="preserve">Dårlig: vagt, svaret kan ikke brukes</t>
  </si>
  <si>
    <t xml:space="preserve">Tom har laget seks spørsmål til kundeundersøkelsen etter servicebesøk, og Sara har ringt ferdig: 31 svar fra 40 trukne kunder. Svarene på «Hvor fornøyd er du med besøket?» står i frekvensfordelingen, og i krysstabellen er de holdt sammen med hva slags jobb det var. Vurder spørsmålene, sorter fire situasjoner på gyldighet og pålitelighet, regn andelene, og skriv anbefalingen til Kari.</t>
  </si>
  <si>
    <t xml:space="preserve">Uklare og tvetydige problemstillinger gir uklare og tvetydige svar (4.1), og det gjelder hvert spørsmål i skjemaet. Ved personlig intervju svarer folk det de tror intervjueren forventer (4.3.1). Frekvensfordelingen viser hvordan svarene fordeler seg på alternativene; krysstabellen viser hvordan to variabler virker sammen (4.7.2). Gyldighet er i hvilken grad svarene er representative for populasjonen (hvem du spurte, og når); pålitelighet er et resultat av hvordan undersøkelsen gjennomføres, med feilkilder på hvert trinn (4.7.3). Rapporten skal si når undersøkelsen ble gjort og hvilken metode som ble brukt, og begrunne metodevalget (4.8).</t>
  </si>
  <si>
    <t xml:space="preserve">Toms seks spørsmål: godt eller dårlig? (velg i nedtrekksmenyen)</t>
  </si>
  <si>
    <t xml:space="preserve">1 «Er du enig i at montøren gjorde en god jobb?»</t>
  </si>
  <si>
    <t xml:space="preserve">2 «Kom montøren til avtalt tid?» Ja / Nei</t>
  </si>
  <si>
    <t xml:space="preserve">3 «Var montøren hyggelig, og ble det ryddet etter jobben?» Ja / Nei</t>
  </si>
  <si>
    <t xml:space="preserve">4 «Hvor fornøyd er du med prisen i forhold til tilbudet du fikk?» Svært fornøyd / Fornøyd / Verken eller / Misfornøyd</t>
  </si>
  <si>
    <t xml:space="preserve">5 «Hva synes du om Nordlys?»</t>
  </si>
  <si>
    <t xml:space="preserve">6 «Ville du bestilt fra Nordlys igjen?» Ja / Nei / Vet ikke</t>
  </si>
  <si>
    <t xml:space="preserve">Gyldighet eller pålitelighet? (velg i nedtrekksmenyen)</t>
  </si>
  <si>
    <t xml:space="preserve">SMS-en gikk bare til kundene som hadde oppgitt mobilnummer</t>
  </si>
  <si>
    <t xml:space="preserve">Spørsmål 1 ber om et ja</t>
  </si>
  <si>
    <t xml:space="preserve">Undersøkelsen ble gjort uka etter en lang strømstans i nabolaget</t>
  </si>
  <si>
    <t xml:space="preserve">Montøren som gjorde jobben, ringer kunden selv</t>
  </si>
  <si>
    <t xml:space="preserve">Telefonrunden: 31 svar på «Hvor fornøyd er du med besøket?»</t>
  </si>
  <si>
    <t xml:space="preserve">Frekvensfordelingen viser hvordan de 31 svarene fordeler seg. Krysstabellen under holder svarene sammen med hva slags jobb det var. Summene regner arket ut (grønt).</t>
  </si>
  <si>
    <t xml:space="preserve">Frekvensfordeling</t>
  </si>
  <si>
    <t xml:space="preserve">Antall</t>
  </si>
  <si>
    <t xml:space="preserve">Gyldighet</t>
  </si>
  <si>
    <t xml:space="preserve">Svært fornøyd</t>
  </si>
  <si>
    <t xml:space="preserve">Pålitelighet</t>
  </si>
  <si>
    <t xml:space="preserve">Fornøyd</t>
  </si>
  <si>
    <t xml:space="preserve">Verken eller</t>
  </si>
  <si>
    <t xml:space="preserve">Misfornøyd</t>
  </si>
  <si>
    <t xml:space="preserve">Svar i alt</t>
  </si>
  <si>
    <t xml:space="preserve">Krysstabell: type jobb</t>
  </si>
  <si>
    <t xml:space="preserve">Fornøyde</t>
  </si>
  <si>
    <t xml:space="preserve">Sikringsskapbytte</t>
  </si>
  <si>
    <t xml:space="preserve">Feilsøking og småjobber</t>
  </si>
  <si>
    <t xml:space="preserve">I alt</t>
  </si>
  <si>
    <t xml:space="preserve">1. Vurder de seks spørsmålene og de fire situasjonene over.
2. Regn andelen fornøyde (svært fornøyd og fornøyd) av alle svar (a), og andelen fornøyde for hver type jobb (b og c). Prosent med én desimal.
3. Skriv anbefalingen til Kari i d.</t>
  </si>
  <si>
    <t xml:space="preserve">a) Andel fornøyde av de 31 svarene: (svært fornøyd + fornøyd) / svar × 100, én desimal</t>
  </si>
  <si>
    <t xml:space="preserve">b) Andel fornøyde, sikringsskapbytte: fornøyde / svar × 100, én desimal</t>
  </si>
  <si>
    <t xml:space="preserve">c) Andel fornøyde, feilsøking og småjobber: fornøyde / svar × 100, én desimal</t>
  </si>
  <si>
    <t xml:space="preserve">d) Kari spør: «Hva skal vi gjøre med dette?» Skriv tre–fire setninger: hva frekvensfordelingen sier, hva krysstabellen sier, hvilken metode Tom skal bruke videre, og ett tiltak for skjemaet.</t>
  </si>
  <si>
    <t xml:space="preserve">Fasit, kapittel 4</t>
  </si>
  <si>
    <t xml:space="preserve">Prøv oppgaven selv før du leser her. Regnestykket står ved siden av hvert svar. Tallene hentes fra fasitformlene, så de stemmer alltid med oppgavefanene.</t>
  </si>
  <si>
    <t xml:space="preserve">Oppgave</t>
  </si>
  <si>
    <t xml:space="preserve">Regnestykket</t>
  </si>
  <si>
    <t xml:space="preserve">1A Problemstillingen</t>
  </si>
  <si>
    <t xml:space="preserve">Den andre: sier hva som skal måles (oppmøte, arbeid, rydding, pris) og hva svaret skal brukes til (at kundene bestiller igjen).</t>
  </si>
  <si>
    <t xml:space="preserve">1A Primær eller sekundær</t>
  </si>
  <si>
    <t xml:space="preserve">Primærdata: 1 Sara ringer, 5 SMS-skjemaet, 7 Ronnys observasjon. Sekundærdata: 2 ordresystemet, 3 Statistisk sentralbyrå, 4 NHO Elektros rapport, 6 tilbudsmappa, 8 nettsiden.</t>
  </si>
  <si>
    <t xml:space="preserve">1A Metodene</t>
  </si>
  <si>
    <t xml:space="preserve">Sara ringer: intervju. Ronny noterer: observasjon. To tilbudsversjoner: eksperiment. Åtte kunder på verkstedet: fokusgruppe.</t>
  </si>
  <si>
    <t xml:space="preserve">1A a) Svarprosent SMS</t>
  </si>
  <si>
    <t xml:space="preserve">18 / 105 × 100 = 17,1 %</t>
  </si>
  <si>
    <t xml:space="preserve">1A b) Svarprosent telefon</t>
  </si>
  <si>
    <t xml:space="preserve">31 / 40 × 100 = 77,5 %</t>
  </si>
  <si>
    <t xml:space="preserve">1A c) Fornøyde, SMS</t>
  </si>
  <si>
    <t xml:space="preserve">17 / 18 × 100 = 94,4 %</t>
  </si>
  <si>
    <t xml:space="preserve">1A d) Fornøyde, telefon</t>
  </si>
  <si>
    <t xml:space="preserve">24 / 31 × 100 = 77,4 %</t>
  </si>
  <si>
    <t xml:space="preserve">1A e) Svaret til Kari</t>
  </si>
  <si>
    <t xml:space="preserve">Telefonrunden: 40 trukket tilfeldig, 31 svarte (77,5 %). På SMS svarte bare 18 av 105 (17,1 %), og de fornøyde svarer ofte mest villig; om de 87 som ikke svarte, vet Tom ingenting. 77,4 % fornøyde er tallet å stole på, og nesten hver fjerde kunde er ikke fornøyd.</t>
  </si>
  <si>
    <t xml:space="preserve">1B a) Må ringe</t>
  </si>
  <si>
    <t xml:space="preserve">50 / 0,75 = 66,7, rundet opp til 67 kunder</t>
  </si>
  <si>
    <t xml:space="preserve">1B b) Måtte fått SMS</t>
  </si>
  <si>
    <t xml:space="preserve">50 / 0,15 = 333,3, rundet opp til 334. Fjell har bare 280 kunder: med SMS er undersøkelsen umulig, ikke bare dyr</t>
  </si>
  <si>
    <t xml:space="preserve">1B c) Trekkemåte</t>
  </si>
  <si>
    <t xml:space="preserve">Nummerere alle 280 og trekke 67 tilfeldig: enkelt, tilfeldig utvalg.</t>
  </si>
  <si>
    <t xml:space="preserve">1B d) Ringe alle 280</t>
  </si>
  <si>
    <t xml:space="preserve">Utvalget bør ikke være større enn nødvendig. 67 samtaler er 11,2 timer, 280 er 46,7 timer.</t>
  </si>
  <si>
    <t xml:space="preserve">1B e) Utvalgsmetodene</t>
  </si>
  <si>
    <t xml:space="preserve">Nummerere og trekke: enkelt, tilfeldig utvalg. Trekke måneder: klyngeutvalg. Dem hun husker: bekvemmelighetsutvalg. 30 private og 37 bedrifter etter eget skjønn: kvoteutvalg.</t>
  </si>
  <si>
    <t xml:space="preserve">1B f) Påliteligheten</t>
  </si>
  <si>
    <t xml:space="preserve">Kundene kjenner Mona og svarer det de tror hun vil høre. Samme spørsmål i samme rekkefølge, ingen ledende formuleringer, ett skjema for svarene, og la gjerne noen andre ringe.</t>
  </si>
  <si>
    <t xml:space="preserve">1C Spørsmålene</t>
  </si>
  <si>
    <t xml:space="preserve">1 ledende. 2 godt. 3 to ting i ett. 4 godt. 5 vagt. 6 godt.</t>
  </si>
  <si>
    <t xml:space="preserve">1C Gyldighet eller pålitelighet</t>
  </si>
  <si>
    <t xml:space="preserve">Bare mobilnummer: gyldighet. Ber om et ja: pålitelighet. Strømstansen: gyldighet. Montøren ringer selv: pålitelighet.</t>
  </si>
  <si>
    <t xml:space="preserve">1C a) Fornøyde i alt</t>
  </si>
  <si>
    <t xml:space="preserve">(9 + 15) / 31 × 100 = 77,4 %</t>
  </si>
  <si>
    <t xml:space="preserve">1C b) Fornøyde, sikringsskap</t>
  </si>
  <si>
    <t xml:space="preserve">13 / 14 × 100 = 92,9 %</t>
  </si>
  <si>
    <t xml:space="preserve">1C c) Fornøyde, feilsøking</t>
  </si>
  <si>
    <t xml:space="preserve">11 / 17 × 100 = 64,7 %</t>
  </si>
  <si>
    <t xml:space="preserve">1C d) Til Kari</t>
  </si>
  <si>
    <t xml:space="preserve">77,4 % er fornøyde, men problemet ligger i feilsøking og småjobber (64,7 % mot 92,9 % på sikringsskap). Telefon til et tilfeldig utvalg hver måned, samme fire spørsmål, Sara ringer. Skjemaet: spørsmål 1 uten «enig i», spørsmål 3 delt i to, spørsmål 5 ut.</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</si>
</sst>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i val="true"/>
      <sz val="11"/>
      <color theme="1"/>
      <name val="Calibri"/>
      <family val="2"/>
      <charset val="1"/>
    </font>
    <font>
      <sz val="10.5"/>
      <name val="Calibri"/>
      <family val="0"/>
      <charset val="1"/>
    </font>
    <font>
      <b val="true"/>
      <sz val="11"/>
      <color theme="1"/>
      <name val="Calibri"/>
      <family val="2"/>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7" fontId="0" fillId="3" borderId="1" xfId="0" applyFont="false" applyBorder="true" applyAlignment="true" applyProtection="false">
      <alignment horizontal="right" vertical="center"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90"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19</v>
      </c>
    </row>
    <row r="7" customFormat="false" ht="90" hidden="false" customHeight="true" outlineLevel="0" collapsed="false">
      <c r="B7" s="9" t="s">
        <v>23</v>
      </c>
      <c r="C7" s="9"/>
      <c r="D7" s="9"/>
      <c r="E7" s="9"/>
      <c r="F7" s="9"/>
      <c r="G7" s="9"/>
      <c r="Z7" s="6" t="s">
        <v>21</v>
      </c>
    </row>
    <row r="8" customFormat="false" ht="15" hidden="false" customHeight="false" outlineLevel="0" collapsed="false">
      <c r="Z8" s="0" t="s">
        <v>19</v>
      </c>
    </row>
    <row r="9" customFormat="false" ht="15" hidden="false" customHeight="false" outlineLevel="0" collapsed="false">
      <c r="B9" s="10" t="s">
        <v>24</v>
      </c>
      <c r="C9" s="11" t="s">
        <v>25</v>
      </c>
      <c r="D9" s="11" t="s">
        <v>26</v>
      </c>
      <c r="Z9" s="6" t="s">
        <v>21</v>
      </c>
    </row>
    <row r="10" customFormat="false" ht="15" hidden="false" customHeight="false" outlineLevel="0" collapsed="false">
      <c r="B10" s="12" t="s">
        <v>27</v>
      </c>
      <c r="C10" s="13" t="n">
        <v>105</v>
      </c>
      <c r="D10" s="13" t="n">
        <v>40</v>
      </c>
      <c r="Z10" s="6" t="s">
        <v>19</v>
      </c>
    </row>
    <row r="11" customFormat="false" ht="15" hidden="false" customHeight="false" outlineLevel="0" collapsed="false">
      <c r="B11" s="12" t="s">
        <v>28</v>
      </c>
      <c r="C11" s="13" t="n">
        <v>18</v>
      </c>
      <c r="D11" s="13" t="n">
        <v>31</v>
      </c>
      <c r="Z11" s="6" t="s">
        <v>21</v>
      </c>
    </row>
    <row r="12" customFormat="false" ht="15" hidden="false" customHeight="false" outlineLevel="0" collapsed="false">
      <c r="B12" s="12" t="s">
        <v>29</v>
      </c>
      <c r="C12" s="13" t="n">
        <v>17</v>
      </c>
      <c r="D12" s="13" t="n">
        <v>24</v>
      </c>
      <c r="Z12" s="6" t="s">
        <v>19</v>
      </c>
    </row>
    <row r="13" customFormat="false" ht="30" hidden="false" customHeight="true" outlineLevel="0" collapsed="false">
      <c r="B13" s="14" t="s">
        <v>30</v>
      </c>
      <c r="C13" s="14"/>
      <c r="D13" s="14"/>
      <c r="E13" s="14"/>
      <c r="F13" s="14"/>
      <c r="G13" s="14"/>
      <c r="Z13" s="6" t="s">
        <v>21</v>
      </c>
    </row>
    <row r="14" customFormat="false" ht="15" hidden="false" customHeight="false" outlineLevel="0" collapsed="false">
      <c r="Z14" s="0" t="s">
        <v>19</v>
      </c>
    </row>
    <row r="15" customFormat="false" ht="15.75" hidden="false" customHeight="true" outlineLevel="0" collapsed="false">
      <c r="B15" s="8" t="s">
        <v>31</v>
      </c>
      <c r="C15" s="8"/>
      <c r="D15" s="8"/>
      <c r="E15" s="8"/>
      <c r="F15" s="8"/>
      <c r="G15" s="8"/>
      <c r="Z15" s="6" t="s">
        <v>21</v>
      </c>
    </row>
    <row r="16" customFormat="false" ht="45" hidden="false" customHeight="true" outlineLevel="0" collapsed="false">
      <c r="B16" s="9" t="s">
        <v>32</v>
      </c>
      <c r="C16" s="9"/>
      <c r="D16" s="9"/>
      <c r="E16" s="9"/>
      <c r="F16" s="9"/>
      <c r="G16" s="9"/>
      <c r="Z16" s="6" t="s">
        <v>19</v>
      </c>
    </row>
    <row r="17" customFormat="false" ht="15" hidden="false" customHeight="false" outlineLevel="0" collapsed="false">
      <c r="Z17" s="0" t="s">
        <v>21</v>
      </c>
    </row>
    <row r="18" customFormat="false" ht="39.75" hidden="false" customHeight="true" outlineLevel="0" collapsed="false">
      <c r="B18" s="15" t="s">
        <v>33</v>
      </c>
      <c r="C18" s="16"/>
      <c r="G18" s="17" t="str">
        <f aca="false">IF(C18="","Velg i nedtrekksmenyen.",IF(C18="«Hvordan opplever kundene oppmøtet, arbeidet, ryddingen og prisen ved servicebesøket, og hva må endres for at de bestiller igjen?»","Riktig. Problemstillingen sier hva som skal måles (fire sider ved besøket) og hva svaret skal brukes til (få kundene til å bestille igjen). De to andre er så vage at svarene blir vage: uklare og tvetydige problemstillinger gir uklare og tvetydige svar (4.1).","Ikke riktig. Problemstillingen sier hva som skal måles (fire sider ved besøket) og hva svaret skal brukes til (få kundene til å bestille igjen). De to andre er så vage at svarene blir vage: uklare og tvetydige problemstillinger gir uklare og tvetydige svar (4.1)."))</f>
        <v>Velg i nedtrekksmenyen.</v>
      </c>
      <c r="Z18" s="6" t="s">
        <v>19</v>
      </c>
    </row>
    <row r="19" customFormat="false" ht="15" hidden="false" customHeight="false" outlineLevel="0" collapsed="false">
      <c r="Z19" s="0" t="s">
        <v>21</v>
      </c>
    </row>
    <row r="20" customFormat="false" ht="15" hidden="false" customHeight="true" outlineLevel="0" collapsed="false">
      <c r="B20" s="18" t="s">
        <v>34</v>
      </c>
      <c r="C20" s="18"/>
      <c r="D20" s="18"/>
      <c r="E20" s="18"/>
      <c r="F20" s="18"/>
      <c r="G20" s="18"/>
      <c r="Z20" s="6" t="s">
        <v>35</v>
      </c>
    </row>
    <row r="21" customFormat="false" ht="39.75" hidden="false" customHeight="true" outlineLevel="0" collapsed="false">
      <c r="B21" s="15" t="s">
        <v>36</v>
      </c>
      <c r="C21" s="16"/>
      <c r="G21" s="17" t="str">
        <f aca="false">IF(C21="","Velg i nedtrekksmenyen.",IF(C21="Primærdata","Riktig. Nye data samlet inn til akkurat Toms problemstilling: en primærundersøkelse, feltundersøkelse (4.2).","Ikke riktig. Nye data samlet inn til akkurat Toms problemstilling: en primærundersøkelse, feltundersøkelse (4.2)."))</f>
        <v>Velg i nedtrekksmenyen.</v>
      </c>
      <c r="Z21" s="6" t="s">
        <v>37</v>
      </c>
    </row>
    <row r="22" customFormat="false" ht="39.75" hidden="false" customHeight="true" outlineLevel="0" collapsed="false">
      <c r="B22" s="15" t="s">
        <v>38</v>
      </c>
      <c r="C22" s="16"/>
      <c r="G22" s="17" t="str">
        <f aca="false">IF(C22="","Velg i nedtrekksmenyen.",IF(C22="Sekundærdata","Riktig. Dataene finnes allerede og ble samlet inn for å fakturere, ikke for å svare på Toms spørsmål (4.2).","Ikke riktig. Dataene finnes allerede og ble samlet inn for å fakturere, ikke for å svare på Toms spørsmål (4.2)."))</f>
        <v>Velg i nedtrekksmenyen.</v>
      </c>
      <c r="Z22" s="6" t="s">
        <v>39</v>
      </c>
    </row>
    <row r="23" customFormat="false" ht="39.75" hidden="false" customHeight="true" outlineLevel="0" collapsed="false">
      <c r="B23" s="15" t="s">
        <v>40</v>
      </c>
      <c r="C23" s="16"/>
      <c r="G23" s="17" t="str">
        <f aca="false">IF(C23="","Velg i nedtrekksmenyen.",IF(C23="Sekundærdata","Riktig. Samlet inn for et generelt formål, tilgjengelig for alle: en skrivebordsundersøkelse (4.2, 4.3).","Ikke riktig. Samlet inn for et generelt formål, tilgjengelig for alle: en skrivebordsundersøkelse (4.2, 4.3)."))</f>
        <v>Velg i nedtrekksmenyen.</v>
      </c>
      <c r="Z23" s="6" t="s">
        <v>41</v>
      </c>
    </row>
    <row r="24" customFormat="false" ht="39.75" hidden="false" customHeight="true" outlineLevel="0" collapsed="false">
      <c r="B24" s="15" t="s">
        <v>42</v>
      </c>
      <c r="C24" s="16"/>
      <c r="G24" s="17" t="str">
        <f aca="false">IF(C24="","Velg i nedtrekksmenyen.",IF(C24="Sekundærdata","Riktig. Bransjeforeningens rapport finnes fra før og gjelder 809 bedrifter, ikke Nordlys' kunder (4.2).","Ikke riktig. Bransjeforeningens rapport finnes fra før og gjelder 809 bedrifter, ikke Nordlys' kunder (4.2)."))</f>
        <v>Velg i nedtrekksmenyen.</v>
      </c>
      <c r="Z24" s="6" t="s">
        <v>35</v>
      </c>
    </row>
    <row r="25" customFormat="false" ht="39.75" hidden="false" customHeight="true" outlineLevel="0" collapsed="false">
      <c r="B25" s="15" t="s">
        <v>43</v>
      </c>
      <c r="C25" s="16"/>
      <c r="G25" s="17" t="str">
        <f aca="false">IF(C25="","Velg i nedtrekksmenyen.",IF(C25="Primærdata","Riktig. Skreddersydd for Toms problemstilling: en skriftlig spørreundersøkelse (4.2, 4.3.1).","Ikke riktig. Skreddersydd for Toms problemstilling: en skriftlig spørreundersøkelse (4.2, 4.3.1)."))</f>
        <v>Velg i nedtrekksmenyen.</v>
      </c>
      <c r="Z25" s="6" t="s">
        <v>37</v>
      </c>
    </row>
    <row r="26" customFormat="false" ht="39.75" hidden="false" customHeight="true" outlineLevel="0" collapsed="false">
      <c r="B26" s="15" t="s">
        <v>44</v>
      </c>
      <c r="C26" s="16"/>
      <c r="G26" s="17" t="str">
        <f aca="false">IF(C26="","Velg i nedtrekksmenyen.",IF(C26="Sekundærdata","Riktig. Finnes fra før, laget for å gi tilbud. Men den er gull: de som valgte andre, står ikke i ordresystemet.","Ikke riktig. Finnes fra før, laget for å gi tilbud. Men den er gull: de som valgte andre, står ikke i ordresystemet."))</f>
        <v>Velg i nedtrekksmenyen.</v>
      </c>
      <c r="Z26" s="6" t="s">
        <v>39</v>
      </c>
    </row>
    <row r="27" customFormat="false" ht="39.75" hidden="false" customHeight="true" outlineLevel="0" collapsed="false">
      <c r="B27" s="15" t="s">
        <v>45</v>
      </c>
      <c r="C27" s="16"/>
      <c r="G27" s="17" t="str">
        <f aca="false">IF(C27="","Velg i nedtrekksmenyen.",IF(C27="Primærdata","Riktig. Nye data samlet inn med observasjon av atferd (4.3.2).","Ikke riktig. Nye data samlet inn med observasjon av atferd (4.3.2)."))</f>
        <v>Velg i nedtrekksmenyen.</v>
      </c>
      <c r="Z27" s="6" t="s">
        <v>41</v>
      </c>
    </row>
    <row r="28" customFormat="false" ht="39.75" hidden="false" customHeight="true" outlineLevel="0" collapsed="false">
      <c r="B28" s="15" t="s">
        <v>46</v>
      </c>
      <c r="C28" s="16"/>
      <c r="G28" s="17" t="str">
        <f aca="false">IF(C28="","Velg i nedtrekksmenyen.",IF(C28="Sekundærdata","Riktig. Elektroniske spor som allerede ligger der; boka regner analyse av elektroniske atferdsdata som en sekundærmetode, så langt loven tillater (4.3).","Ikke riktig. Elektroniske spor som allerede ligger der; boka regner analyse av elektroniske atferdsdata som en sekundærmetode, så langt loven tillater (4.3)."))</f>
        <v>Velg i nedtrekksmenyen.</v>
      </c>
      <c r="Z28" s="6" t="s">
        <v>35</v>
      </c>
    </row>
    <row r="29" customFormat="false" ht="15" hidden="false" customHeight="false" outlineLevel="0" collapsed="false">
      <c r="Z29" s="0" t="s">
        <v>37</v>
      </c>
    </row>
    <row r="30" customFormat="false" ht="15" hidden="false" customHeight="true" outlineLevel="0" collapsed="false">
      <c r="B30" s="18" t="s">
        <v>47</v>
      </c>
      <c r="C30" s="18"/>
      <c r="D30" s="18"/>
      <c r="E30" s="18"/>
      <c r="F30" s="18"/>
      <c r="G30" s="18"/>
      <c r="Z30" s="6" t="s">
        <v>39</v>
      </c>
    </row>
    <row r="31" customFormat="false" ht="39.75" hidden="false" customHeight="true" outlineLevel="0" collapsed="false">
      <c r="B31" s="15" t="s">
        <v>48</v>
      </c>
      <c r="C31" s="16"/>
      <c r="G31" s="17" t="str">
        <f aca="false">IF(C31="","Velg i nedtrekksmenyen.",IF(C31="Intervju","Riktig. Spørreundersøkelse per telefon: den mest brukte metoden, telefonintervju (4.3.1).","Ikke riktig. Spørreundersøkelse per telefon: den mest brukte metoden, telefonintervju (4.3.1)."))</f>
        <v>Velg i nedtrekksmenyen.</v>
      </c>
      <c r="Z31" s="6" t="s">
        <v>41</v>
      </c>
    </row>
    <row r="32" customFormat="false" ht="39.75" hidden="false" customHeight="true" outlineLevel="0" collapsed="false">
      <c r="B32" s="15" t="s">
        <v>49</v>
      </c>
      <c r="C32" s="16"/>
      <c r="G32" s="17" t="str">
        <f aca="false">IF(C32="","Velg i nedtrekksmenyen.",IF(C32="Observasjon","Riktig. Å registrere atferd: lukket observasjon, fordi kunden ikke vet det (4.3.2).","Ikke riktig. Å registrere atferd: lukket observasjon, fordi kunden ikke vet det (4.3.2)."))</f>
        <v>Velg i nedtrekksmenyen.</v>
      </c>
      <c r="Z32" s="6" t="s">
        <v>35</v>
      </c>
    </row>
    <row r="33" customFormat="false" ht="39.75" hidden="false" customHeight="true" outlineLevel="0" collapsed="false">
      <c r="B33" s="15" t="s">
        <v>50</v>
      </c>
      <c r="C33" s="16"/>
      <c r="G33" s="17" t="str">
        <f aca="false">IF(C33="","Velg i nedtrekksmenyen.",IF(C33="Eksperiment","Riktig. Avdekker årsakssammenheng mellom tilbudet og valget: måler hva folk gjør, ikke hva de sier (4.3.3).","Ikke riktig. Avdekker årsakssammenheng mellom tilbudet og valget: måler hva folk gjør, ikke hva de sier (4.3.3)."))</f>
        <v>Velg i nedtrekksmenyen.</v>
      </c>
      <c r="Z33" s="6" t="s">
        <v>37</v>
      </c>
    </row>
    <row r="34" customFormat="false" ht="39.75" hidden="false" customHeight="true" outlineLevel="0" collapsed="false">
      <c r="B34" s="15" t="s">
        <v>51</v>
      </c>
      <c r="C34" s="16"/>
      <c r="G34" s="17" t="str">
        <f aca="false">IF(C34="","Velg i nedtrekksmenyen.",IF(C34="Fokusgruppe","Riktig. Seks til ti representative kunder som diskuterer alle sider ved tilbudet (4.3).","Ikke riktig. Seks til ti representative kunder som diskuterer alle sider ved tilbudet (4.3)."))</f>
        <v>Velg i nedtrekksmenyen.</v>
      </c>
      <c r="Z34" s="6" t="s">
        <v>39</v>
      </c>
    </row>
    <row r="35" customFormat="false" ht="15" hidden="false" customHeight="false" outlineLevel="0" collapsed="false">
      <c r="Z35" s="0" t="s">
        <v>41</v>
      </c>
    </row>
    <row r="36" customFormat="false" ht="43.5" hidden="false" customHeight="true" outlineLevel="0" collapsed="false">
      <c r="B36" s="15" t="s">
        <v>52</v>
      </c>
      <c r="C36" s="19"/>
      <c r="D36" s="20" t="s">
        <v>53</v>
      </c>
      <c r="G36" s="17" t="str">
        <f aca="false">IF(C36="","Skriv svaret i den gule cellen.",IF(ABS(C36-(ROUND(18/105*100,1)))&lt;=0.05,"Riktig.",IF(ABS(C36-(ROUND(17/105*100,1)))&lt;=0.05,"Du har delt de fornøyde på de spurte. Svarprosenten er alle svar, 18, delt på de spurte.",IF(ABS(C36-(ROUND(18/210*100,1)))&lt;=0.05,"Du har delt på alle 210 oppdragene i året. SMS-en gikk til de 105 i vårhalvåret.",IF(ABS(C36-(ROUND(17/18*100,1)))&lt;=0.05,"Det er andelen fornøyde blant dem som svarte (c). Svarprosenten er svar delt på spurt.","Ikke riktig ennå. Se på regnestykket øverst på fanen, og sjekk at du har med alle leddene.")))))</f>
        <v>Skriv svaret i den gule cellen.</v>
      </c>
    </row>
    <row r="37" customFormat="false" ht="43.5" hidden="false" customHeight="true" outlineLevel="0" collapsed="false">
      <c r="B37" s="15" t="s">
        <v>54</v>
      </c>
      <c r="C37" s="19"/>
      <c r="D37" s="20" t="s">
        <v>53</v>
      </c>
      <c r="G37" s="17" t="str">
        <f aca="false">IF(C37="","Skriv svaret i den gule cellen.",IF(ABS(C37-(ROUND(31/40*100,1)))&lt;=0.05,"Riktig.",IF(ABS(C37-(ROUND(31/105*100,1)))&lt;=0.05,"Du har delt på alle 105. Sara ringte bare 40 av dem.",IF(ABS(C37-(ROUND(24/40*100,1)))&lt;=0.05,"Du har delt de fornøyde på de ringte. Svarprosenten er alle svar, 31, delt på de 40.","Ikke riktig ennå. Se på regnestykket øverst på fanen, og sjekk at du har med alle leddene."))))</f>
        <v>Skriv svaret i den gule cellen.</v>
      </c>
    </row>
    <row r="38" customFormat="false" ht="43.5" hidden="false" customHeight="true" outlineLevel="0" collapsed="false">
      <c r="B38" s="15" t="s">
        <v>55</v>
      </c>
      <c r="C38" s="19"/>
      <c r="D38" s="20" t="s">
        <v>53</v>
      </c>
      <c r="G38" s="17" t="str">
        <f aca="false">IF(C38="","Skriv svaret i den gule cellen.",IF(ABS(C38-(ROUND(17/18*100,1)))&lt;=0.05,"Riktig.",IF(ABS(C38-(ROUND(17/105*100,1)))&lt;=0.05,"Du har delt på de spurte. Andelen regnes av dem som svarte, 18.",IF(ABS(C38-(ROUND(18/105*100,1)))&lt;=0.05,"Det er svarprosenten (a). Andelen fornøyde er 17 av de 18 som svarte.","Ikke riktig ennå. Se på regnestykket øverst på fanen, og sjekk at du har med alle leddene."))))</f>
        <v>Skriv svaret i den gule cellen.</v>
      </c>
    </row>
    <row r="39" customFormat="false" ht="43.5" hidden="false" customHeight="true" outlineLevel="0" collapsed="false">
      <c r="B39" s="15" t="s">
        <v>56</v>
      </c>
      <c r="C39" s="19"/>
      <c r="D39" s="20" t="s">
        <v>53</v>
      </c>
      <c r="G39" s="17" t="str">
        <f aca="false">IF(C39="","Skriv svaret i den gule cellen.",IF(ABS(C39-(ROUND(24/31*100,1)))&lt;=0.05,"Riktig.",IF(ABS(C39-(ROUND(24/40*100,1)))&lt;=0.05,"Du har delt på de 40 som ble ringt. Andelen regnes av de 31 som svarte.",IF(ABS(C39-(ROUND(31/40*100,1)))&lt;=0.05,"Det er svarprosenten (b). Andelen fornøyde er 24 av de 31 som svarte.","Ikke riktig ennå. Se på regnestykket øverst på fanen, og sjekk at du har med alle leddene."))))</f>
        <v>Skriv svaret i den gule cellen.</v>
      </c>
    </row>
    <row r="41" customFormat="false" ht="30" hidden="false" customHeight="true" outlineLevel="0" collapsed="false">
      <c r="B41" s="9" t="s">
        <v>57</v>
      </c>
      <c r="C41" s="9"/>
      <c r="D41" s="9"/>
      <c r="E41" s="9"/>
      <c r="F41" s="9"/>
      <c r="G41" s="9"/>
    </row>
    <row r="42" customFormat="false" ht="21.75" hidden="false" customHeight="true" outlineLevel="0" collapsed="false">
      <c r="B42" s="21"/>
      <c r="C42" s="21"/>
      <c r="D42" s="21"/>
      <c r="E42" s="21"/>
      <c r="F42" s="21"/>
      <c r="G42" s="21"/>
    </row>
    <row r="43" customFormat="false" ht="21.75" hidden="false" customHeight="true" outlineLevel="0" collapsed="false">
      <c r="B43" s="21"/>
      <c r="C43" s="21"/>
      <c r="D43" s="21"/>
      <c r="E43" s="21"/>
      <c r="F43" s="21"/>
      <c r="G43" s="21"/>
    </row>
    <row r="44" customFormat="false" ht="21.75" hidden="false" customHeight="true" outlineLevel="0" collapsed="false">
      <c r="B44" s="21"/>
      <c r="C44" s="21"/>
      <c r="D44" s="21"/>
      <c r="E44" s="21"/>
      <c r="F44" s="21"/>
      <c r="G44" s="21"/>
    </row>
    <row r="45" customFormat="false" ht="39.75" hidden="false" customHeight="true" outlineLevel="0" collapsed="false">
      <c r="B45" s="22" t="str">
        <f aca="false">IF(LEN(B42)&lt;40,"",IF(AND(ISNUMBER(SEARCH("telefon",B42)),ISNUMBER(SEARCH("svar",B42))),"Bra: du peker på telefonrunden og bruker svarprosenten. Sjekk at du også sier noe om de 87 som ikke svarte på SMS-en.",IF(OR(ISNUMBER(SEARCH("telefon",B42)),ISNUMBER(SEARCH("svar",B42))),"Du er på sporet. Sammenlikn de to metodene: hvor stor del svarte, og hvem ble spurt? Det hyggeligste tallet kom fra den svakeste metoden.","Tips: på SMS svarte 18 av 105 (17,1 %), og de fornøyde svarer ofte mest villig; om de 87 andre vet Tom ingenting. På telefon svarte 31 av 40 trukne (77,5 %), så 77,4 % fornøyde er tallet Tom bør bruke.")))</f>
        <v/>
      </c>
      <c r="C45" s="22"/>
      <c r="D45" s="22"/>
      <c r="E45" s="22"/>
      <c r="F45" s="22"/>
      <c r="G45" s="22"/>
    </row>
    <row r="46" customFormat="false" ht="15" hidden="false" customHeight="false" outlineLevel="0" collapsed="false">
      <c r="B46" s="23" t="s">
        <v>58</v>
      </c>
      <c r="C46" s="16"/>
    </row>
    <row r="47" customFormat="false" ht="45" hidden="false" customHeight="true" outlineLevel="0" collapsed="false">
      <c r="B47" s="24" t="str">
        <f aca="false">IF(C46="JA","Hint: Problemstillingen skal si hva som måles og hva svaret brukes til. Primærdata er samlet inn til akkurat dette spørsmålet; sekundærdata fantes fra før. Svarprosent = svar / spurt × 100: 18 av 105 og 31 av 40. Andel fornøyde = fornøyde / svar × 100: 17 av 18 og 24 av 31.","")</f>
        <v/>
      </c>
      <c r="C47" s="24"/>
      <c r="D47" s="24"/>
      <c r="E47" s="24"/>
      <c r="F47" s="24"/>
      <c r="G47" s="24"/>
    </row>
    <row r="49" customFormat="false" ht="30" hidden="false" customHeight="true" outlineLevel="0" collapsed="false">
      <c r="B49" s="7" t="s">
        <v>59</v>
      </c>
      <c r="C49" s="7"/>
      <c r="D49" s="7"/>
      <c r="E49" s="7"/>
      <c r="F49" s="7"/>
      <c r="G49" s="7"/>
    </row>
  </sheetData>
  <mergeCells count="16">
    <mergeCell ref="B2:G2"/>
    <mergeCell ref="B3:G3"/>
    <mergeCell ref="B4:G4"/>
    <mergeCell ref="B5:G5"/>
    <mergeCell ref="B6:G6"/>
    <mergeCell ref="B7:G7"/>
    <mergeCell ref="B13:G13"/>
    <mergeCell ref="B15:G15"/>
    <mergeCell ref="B16:G16"/>
    <mergeCell ref="B20:G20"/>
    <mergeCell ref="B30:G30"/>
    <mergeCell ref="B41:G41"/>
    <mergeCell ref="B42:G44"/>
    <mergeCell ref="B45:G45"/>
    <mergeCell ref="B47:G47"/>
    <mergeCell ref="B49:G49"/>
  </mergeCells>
  <conditionalFormatting sqref="G18">
    <cfRule type="expression" priority="2" aboveAverage="0" equalAverage="0" bottom="0" percent="0" rank="0" text="" dxfId="0">
      <formula>LEFT(G18,6)="Riktig"</formula>
    </cfRule>
    <cfRule type="expression" priority="3" aboveAverage="0" equalAverage="0" bottom="0" percent="0" rank="0" text="" dxfId="1">
      <formula>LEFT(G18,4)="Ikke"</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LEFT(G21,4)="Ikke"</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LEFT(G22,4)="Ikke"</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LEFT(G23,4)="Ikke"</formula>
    </cfRule>
  </conditionalFormatting>
  <conditionalFormatting sqref="G24">
    <cfRule type="expression" priority="10" aboveAverage="0" equalAverage="0" bottom="0" percent="0" rank="0" text="" dxfId="0">
      <formula>LEFT(G24,6)="Riktig"</formula>
    </cfRule>
    <cfRule type="expression" priority="11" aboveAverage="0" equalAverage="0" bottom="0" percent="0" rank="0" text="" dxfId="1">
      <formula>LEFT(G24,4)="Ikke"</formula>
    </cfRule>
  </conditionalFormatting>
  <conditionalFormatting sqref="G25">
    <cfRule type="expression" priority="12" aboveAverage="0" equalAverage="0" bottom="0" percent="0" rank="0" text="" dxfId="0">
      <formula>LEFT(G25,6)="Riktig"</formula>
    </cfRule>
    <cfRule type="expression" priority="13" aboveAverage="0" equalAverage="0" bottom="0" percent="0" rank="0" text="" dxfId="1">
      <formula>LEFT(G25,4)="Ikke"</formula>
    </cfRule>
  </conditionalFormatting>
  <conditionalFormatting sqref="G26">
    <cfRule type="expression" priority="14" aboveAverage="0" equalAverage="0" bottom="0" percent="0" rank="0" text="" dxfId="0">
      <formula>LEFT(G26,6)="Riktig"</formula>
    </cfRule>
    <cfRule type="expression" priority="15" aboveAverage="0" equalAverage="0" bottom="0" percent="0" rank="0" text="" dxfId="1">
      <formula>LEFT(G26,4)="Ikke"</formula>
    </cfRule>
  </conditionalFormatting>
  <conditionalFormatting sqref="G27">
    <cfRule type="expression" priority="16" aboveAverage="0" equalAverage="0" bottom="0" percent="0" rank="0" text="" dxfId="0">
      <formula>LEFT(G27,6)="Riktig"</formula>
    </cfRule>
    <cfRule type="expression" priority="17" aboveAverage="0" equalAverage="0" bottom="0" percent="0" rank="0" text="" dxfId="1">
      <formula>LEFT(G27,4)="Ikke"</formula>
    </cfRule>
  </conditionalFormatting>
  <conditionalFormatting sqref="G28">
    <cfRule type="expression" priority="18" aboveAverage="0" equalAverage="0" bottom="0" percent="0" rank="0" text="" dxfId="0">
      <formula>LEFT(G28,6)="Riktig"</formula>
    </cfRule>
    <cfRule type="expression" priority="19" aboveAverage="0" equalAverage="0" bottom="0" percent="0" rank="0" text="" dxfId="1">
      <formula>LEFT(G28,4)="Ikke"</formula>
    </cfRule>
  </conditionalFormatting>
  <conditionalFormatting sqref="G31">
    <cfRule type="expression" priority="20" aboveAverage="0" equalAverage="0" bottom="0" percent="0" rank="0" text="" dxfId="0">
      <formula>LEFT(G31,6)="Riktig"</formula>
    </cfRule>
    <cfRule type="expression" priority="21" aboveAverage="0" equalAverage="0" bottom="0" percent="0" rank="0" text="" dxfId="1">
      <formula>LEFT(G31,4)="Ikke"</formula>
    </cfRule>
  </conditionalFormatting>
  <conditionalFormatting sqref="G32">
    <cfRule type="expression" priority="22" aboveAverage="0" equalAverage="0" bottom="0" percent="0" rank="0" text="" dxfId="0">
      <formula>LEFT(G32,6)="Riktig"</formula>
    </cfRule>
    <cfRule type="expression" priority="23" aboveAverage="0" equalAverage="0" bottom="0" percent="0" rank="0" text="" dxfId="1">
      <formula>LEFT(G32,4)="Ikke"</formula>
    </cfRule>
  </conditionalFormatting>
  <conditionalFormatting sqref="G33">
    <cfRule type="expression" priority="24" aboveAverage="0" equalAverage="0" bottom="0" percent="0" rank="0" text="" dxfId="0">
      <formula>LEFT(G33,6)="Riktig"</formula>
    </cfRule>
    <cfRule type="expression" priority="25" aboveAverage="0" equalAverage="0" bottom="0" percent="0" rank="0" text="" dxfId="1">
      <formula>LEFT(G33,4)="Ikke"</formula>
    </cfRule>
  </conditionalFormatting>
  <conditionalFormatting sqref="G34">
    <cfRule type="expression" priority="26" aboveAverage="0" equalAverage="0" bottom="0" percent="0" rank="0" text="" dxfId="0">
      <formula>LEFT(G34,6)="Riktig"</formula>
    </cfRule>
    <cfRule type="expression" priority="27" aboveAverage="0" equalAverage="0" bottom="0" percent="0" rank="0" text="" dxfId="1">
      <formula>LEFT(G34,4)="Ikke"</formula>
    </cfRule>
  </conditionalFormatting>
  <conditionalFormatting sqref="G36">
    <cfRule type="expression" priority="28" aboveAverage="0" equalAverage="0" bottom="0" percent="0" rank="0" text="" dxfId="0">
      <formula>LEFT(G36,6)="Riktig"</formula>
    </cfRule>
    <cfRule type="expression" priority="29" aboveAverage="0" equalAverage="0" bottom="0" percent="0" rank="0" text="" dxfId="1">
      <formula>AND(G36&lt;&gt;"",LEFT(G36,6)&lt;&gt;"Riktig",LEFT(G36,5)&lt;&gt;"Skriv")</formula>
    </cfRule>
  </conditionalFormatting>
  <conditionalFormatting sqref="G37">
    <cfRule type="expression" priority="30" aboveAverage="0" equalAverage="0" bottom="0" percent="0" rank="0" text="" dxfId="0">
      <formula>LEFT(G37,6)="Riktig"</formula>
    </cfRule>
    <cfRule type="expression" priority="31" aboveAverage="0" equalAverage="0" bottom="0" percent="0" rank="0" text="" dxfId="1">
      <formula>AND(G37&lt;&gt;"",LEFT(G37,6)&lt;&gt;"Riktig",LEFT(G37,5)&lt;&gt;"Skriv")</formula>
    </cfRule>
  </conditionalFormatting>
  <conditionalFormatting sqref="G38">
    <cfRule type="expression" priority="32" aboveAverage="0" equalAverage="0" bottom="0" percent="0" rank="0" text="" dxfId="0">
      <formula>LEFT(G38,6)="Riktig"</formula>
    </cfRule>
    <cfRule type="expression" priority="33" aboveAverage="0" equalAverage="0" bottom="0" percent="0" rank="0" text="" dxfId="1">
      <formula>AND(G38&lt;&gt;"",LEFT(G38,6)&lt;&gt;"Riktig",LEFT(G38,5)&lt;&gt;"Skriv")</formula>
    </cfRule>
  </conditionalFormatting>
  <conditionalFormatting sqref="G39">
    <cfRule type="expression" priority="34" aboveAverage="0" equalAverage="0" bottom="0" percent="0" rank="0" text="" dxfId="0">
      <formula>LEFT(G39,6)="Riktig"</formula>
    </cfRule>
    <cfRule type="expression" priority="35" aboveAverage="0" equalAverage="0" bottom="0" percent="0" rank="0" text="" dxfId="1">
      <formula>AND(G39&lt;&gt;"",LEFT(G39,6)&lt;&gt;"Riktig",LEFT(G39,5)&lt;&gt;"Skriv")</formula>
    </cfRule>
  </conditionalFormatting>
  <dataValidations count="14">
    <dataValidation allowBlank="true" errorStyle="stop" operator="between" showDropDown="false" showErrorMessage="false" showInputMessage="false" sqref="C18" type="list">
      <formula1>$Z$1:$Z$3</formula1>
      <formula2>0</formula2>
    </dataValidation>
    <dataValidation allowBlank="true" errorStyle="stop" operator="between" showDropDown="false" showErrorMessage="false" showInputMessage="false" sqref="C21" type="list">
      <formula1>$Z$4:$Z$5</formula1>
      <formula2>0</formula2>
    </dataValidation>
    <dataValidation allowBlank="true" errorStyle="stop" operator="between" showDropDown="false" showErrorMessage="false" showInputMessage="false" sqref="C22" type="list">
      <formula1>$Z$6:$Z$7</formula1>
      <formula2>0</formula2>
    </dataValidation>
    <dataValidation allowBlank="true" errorStyle="stop" operator="between" showDropDown="false" showErrorMessage="false" showInputMessage="false" sqref="C23" type="list">
      <formula1>$Z$8:$Z$9</formula1>
      <formula2>0</formula2>
    </dataValidation>
    <dataValidation allowBlank="true" errorStyle="stop" operator="between" showDropDown="false" showErrorMessage="false" showInputMessage="false" sqref="C24" type="list">
      <formula1>$Z$10:$Z$11</formula1>
      <formula2>0</formula2>
    </dataValidation>
    <dataValidation allowBlank="true" errorStyle="stop" operator="between" showDropDown="false" showErrorMessage="false" showInputMessage="false" sqref="C25" type="list">
      <formula1>$Z$12:$Z$13</formula1>
      <formula2>0</formula2>
    </dataValidation>
    <dataValidation allowBlank="true" errorStyle="stop" operator="between" showDropDown="false" showErrorMessage="false" showInputMessage="false" sqref="C26" type="list">
      <formula1>$Z$14:$Z$15</formula1>
      <formula2>0</formula2>
    </dataValidation>
    <dataValidation allowBlank="true" errorStyle="stop" operator="between" showDropDown="false" showErrorMessage="false" showInputMessage="false" sqref="C27" type="list">
      <formula1>$Z$16:$Z$17</formula1>
      <formula2>0</formula2>
    </dataValidation>
    <dataValidation allowBlank="true" errorStyle="stop" operator="between" showDropDown="false" showErrorMessage="false" showInputMessage="false" sqref="C28" type="list">
      <formula1>$Z$18:$Z$19</formula1>
      <formula2>0</formula2>
    </dataValidation>
    <dataValidation allowBlank="true" errorStyle="stop" operator="between" showDropDown="false" showErrorMessage="false" showInputMessage="false" sqref="C31" type="list">
      <formula1>$Z$20:$Z$23</formula1>
      <formula2>0</formula2>
    </dataValidation>
    <dataValidation allowBlank="true" errorStyle="stop" operator="between" showDropDown="false" showErrorMessage="false" showInputMessage="false" sqref="C32" type="list">
      <formula1>$Z$24:$Z$27</formula1>
      <formula2>0</formula2>
    </dataValidation>
    <dataValidation allowBlank="true" errorStyle="stop" operator="between" showDropDown="false" showErrorMessage="false" showInputMessage="false" sqref="C33" type="list">
      <formula1>$Z$28:$Z$31</formula1>
      <formula2>0</formula2>
    </dataValidation>
    <dataValidation allowBlank="true" errorStyle="stop" operator="between" showDropDown="false" showErrorMessage="false" showInputMessage="false" sqref="C34" type="list">
      <formula1>$Z$32:$Z$35</formula1>
      <formula2>0</formula2>
    </dataValidation>
    <dataValidation allowBlank="true" errorStyle="stop" operator="between" showDropDown="false" showErrorMessage="false" showInputMessage="false" sqref="C4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60</v>
      </c>
    </row>
    <row r="2" customFormat="false" ht="25.5" hidden="false" customHeight="true" outlineLevel="0" collapsed="false">
      <c r="B2" s="5" t="s">
        <v>61</v>
      </c>
      <c r="C2" s="5"/>
      <c r="D2" s="5"/>
      <c r="E2" s="5"/>
      <c r="F2" s="5"/>
      <c r="G2" s="5"/>
      <c r="Z2" s="6" t="s">
        <v>62</v>
      </c>
    </row>
    <row r="3" customFormat="false" ht="15" hidden="false" customHeight="true" outlineLevel="0" collapsed="false">
      <c r="B3" s="7" t="s">
        <v>16</v>
      </c>
      <c r="C3" s="7"/>
      <c r="D3" s="7"/>
      <c r="E3" s="7"/>
      <c r="F3" s="7"/>
      <c r="G3" s="7"/>
      <c r="Z3" s="6" t="s">
        <v>63</v>
      </c>
    </row>
    <row r="4" customFormat="false" ht="15.75" hidden="false" customHeight="true" outlineLevel="0" collapsed="false">
      <c r="B4" s="8" t="s">
        <v>18</v>
      </c>
      <c r="C4" s="8"/>
      <c r="D4" s="8"/>
      <c r="E4" s="8"/>
      <c r="F4" s="8"/>
      <c r="G4" s="8"/>
      <c r="Z4" s="6" t="s">
        <v>64</v>
      </c>
    </row>
    <row r="5" customFormat="false" ht="60" hidden="false" customHeight="true" outlineLevel="0" collapsed="false">
      <c r="B5" s="9" t="s">
        <v>65</v>
      </c>
      <c r="C5" s="9"/>
      <c r="D5" s="9"/>
      <c r="E5" s="9"/>
      <c r="F5" s="9"/>
      <c r="G5" s="9"/>
      <c r="Z5" s="6" t="s">
        <v>66</v>
      </c>
    </row>
    <row r="6" customFormat="false" ht="15.75" hidden="false" customHeight="true" outlineLevel="0" collapsed="false">
      <c r="B6" s="8" t="s">
        <v>22</v>
      </c>
      <c r="C6" s="8"/>
      <c r="D6" s="8"/>
      <c r="E6" s="8"/>
      <c r="F6" s="8"/>
      <c r="G6" s="8"/>
      <c r="Z6" s="6" t="s">
        <v>67</v>
      </c>
    </row>
    <row r="7" customFormat="false" ht="75" hidden="false" customHeight="true" outlineLevel="0" collapsed="false">
      <c r="B7" s="9" t="s">
        <v>68</v>
      </c>
      <c r="C7" s="9"/>
      <c r="D7" s="9"/>
      <c r="E7" s="9"/>
      <c r="F7" s="9"/>
      <c r="G7" s="9"/>
      <c r="Z7" s="6" t="s">
        <v>69</v>
      </c>
    </row>
    <row r="8" customFormat="false" ht="15" hidden="false" customHeight="false" outlineLevel="0" collapsed="false">
      <c r="Z8" s="0" t="s">
        <v>70</v>
      </c>
    </row>
    <row r="9" customFormat="false" ht="15" hidden="false" customHeight="false" outlineLevel="0" collapsed="false">
      <c r="B9" s="10" t="s">
        <v>71</v>
      </c>
      <c r="C9" s="11" t="s">
        <v>72</v>
      </c>
      <c r="Z9" s="6" t="s">
        <v>73</v>
      </c>
    </row>
    <row r="10" customFormat="false" ht="15" hidden="false" customHeight="false" outlineLevel="0" collapsed="false">
      <c r="B10" s="12" t="s">
        <v>74</v>
      </c>
      <c r="C10" s="13" t="n">
        <v>280</v>
      </c>
      <c r="Z10" s="6" t="s">
        <v>75</v>
      </c>
    </row>
    <row r="11" customFormat="false" ht="15" hidden="false" customHeight="false" outlineLevel="0" collapsed="false">
      <c r="B11" s="12" t="s">
        <v>76</v>
      </c>
      <c r="C11" s="13" t="n">
        <v>50</v>
      </c>
      <c r="Z11" s="6" t="s">
        <v>69</v>
      </c>
    </row>
    <row r="12" customFormat="false" ht="15" hidden="false" customHeight="false" outlineLevel="0" collapsed="false">
      <c r="B12" s="12" t="s">
        <v>77</v>
      </c>
      <c r="C12" s="13" t="n">
        <v>75</v>
      </c>
      <c r="Z12" s="6" t="s">
        <v>70</v>
      </c>
    </row>
    <row r="13" customFormat="false" ht="15" hidden="false" customHeight="false" outlineLevel="0" collapsed="false">
      <c r="B13" s="12" t="s">
        <v>78</v>
      </c>
      <c r="C13" s="13" t="n">
        <v>15</v>
      </c>
      <c r="Z13" s="6" t="s">
        <v>73</v>
      </c>
    </row>
    <row r="14" customFormat="false" ht="15" hidden="false" customHeight="false" outlineLevel="0" collapsed="false">
      <c r="B14" s="12" t="s">
        <v>79</v>
      </c>
      <c r="C14" s="13" t="n">
        <v>10</v>
      </c>
      <c r="Z14" s="6" t="s">
        <v>75</v>
      </c>
    </row>
    <row r="15" customFormat="false" ht="30" hidden="false" customHeight="true" outlineLevel="0" collapsed="false">
      <c r="B15" s="14" t="s">
        <v>80</v>
      </c>
      <c r="C15" s="14"/>
      <c r="D15" s="14"/>
      <c r="E15" s="14"/>
      <c r="F15" s="14"/>
      <c r="G15" s="14"/>
      <c r="Z15" s="6" t="s">
        <v>69</v>
      </c>
    </row>
    <row r="16" customFormat="false" ht="15" hidden="false" customHeight="false" outlineLevel="0" collapsed="false">
      <c r="Z16" s="0" t="s">
        <v>70</v>
      </c>
    </row>
    <row r="17" customFormat="false" ht="15.75" hidden="false" customHeight="true" outlineLevel="0" collapsed="false">
      <c r="B17" s="8" t="s">
        <v>31</v>
      </c>
      <c r="C17" s="8"/>
      <c r="D17" s="8"/>
      <c r="E17" s="8"/>
      <c r="F17" s="8"/>
      <c r="G17" s="8"/>
      <c r="Z17" s="6" t="s">
        <v>73</v>
      </c>
    </row>
    <row r="18" customFormat="false" ht="60" hidden="false" customHeight="true" outlineLevel="0" collapsed="false">
      <c r="B18" s="9" t="s">
        <v>81</v>
      </c>
      <c r="C18" s="9"/>
      <c r="D18" s="9"/>
      <c r="E18" s="9"/>
      <c r="F18" s="9"/>
      <c r="G18" s="9"/>
      <c r="Z18" s="6" t="s">
        <v>75</v>
      </c>
    </row>
    <row r="19" customFormat="false" ht="15" hidden="false" customHeight="false" outlineLevel="0" collapsed="false">
      <c r="Z19" s="0" t="s">
        <v>69</v>
      </c>
    </row>
    <row r="20" customFormat="false" ht="43.5" hidden="false" customHeight="true" outlineLevel="0" collapsed="false">
      <c r="B20" s="15" t="s">
        <v>82</v>
      </c>
      <c r="C20" s="25"/>
      <c r="D20" s="20" t="s">
        <v>83</v>
      </c>
      <c r="G20" s="17" t="str">
        <f aca="false">IF(C20="","Skriv svaret i den gule cellen.",IF(C20=(67),"Riktig.",IF(ABS(C20-(66))&lt;=0,"Du har rundet ned. 50 / 0,75 = 66,7, og 66 samtaler gir i snitt færre enn 50 svar. Rund opp.",IF(ABS(C20-(ROUND(50*0.75,0)))&lt;=0,"Du har ganget med 0,75. Antall som må spørres er svar du trenger delt på svarprosenten.",IF(ABS(C20-(50))&lt;=0,"Det er antall svar hun vil ha. Bare 75 % svarer, så hun må ringe flere.","Ikke riktig ennå. Se på regnestykket øverst på fanen, og sjekk at du har med alle leddene.")))))</f>
        <v>Skriv svaret i den gule cellen.</v>
      </c>
      <c r="Z20" s="6" t="s">
        <v>70</v>
      </c>
    </row>
    <row r="21" customFormat="false" ht="43.5" hidden="false" customHeight="true" outlineLevel="0" collapsed="false">
      <c r="B21" s="15" t="s">
        <v>84</v>
      </c>
      <c r="C21" s="25"/>
      <c r="D21" s="20" t="s">
        <v>83</v>
      </c>
      <c r="G21" s="17" t="str">
        <f aca="false">IF(C21="","Skriv svaret i den gule cellen.",IF(C21=(334),"Riktig.",IF(ABS(C21-(333))&lt;=0,"Du har rundet ned. 50 / 0,15 = 333,3. Rund opp.",IF(ABS(C21-(ROUND(50*0.15,0)))&lt;=0,"Du har ganget med 0,15. Del antall svar du trenger på svarprosenten.",IF(ABS(C21-(280))&lt;=0,"Det er alle kundene Fjell har. Regn først hvor mange som måtte fått skjemaet; så ser du om det er mulig.","Ikke riktig ennå. Se på regnestykket øverst på fanen, og sjekk at du har med alle leddene.")))))</f>
        <v>Skriv svaret i den gule cellen.</v>
      </c>
      <c r="Z21" s="6" t="s">
        <v>73</v>
      </c>
    </row>
    <row r="22" customFormat="false" ht="15" hidden="false" customHeight="false" outlineLevel="0" collapsed="false">
      <c r="Z22" s="0" t="s">
        <v>75</v>
      </c>
    </row>
    <row r="23" customFormat="false" ht="39.75" hidden="false" customHeight="true" outlineLevel="0" collapsed="false">
      <c r="B23" s="15" t="s">
        <v>85</v>
      </c>
      <c r="C23" s="16"/>
      <c r="G23" s="17" t="str">
        <f aca="false">IF(C23="","Velg i nedtrekksmenyen.",IF(C23="Nummerere alle 280 og la regnearket trekke 67 tilfeldig","Riktig. Et enkelt, tilfeldig utvalg: alle i populasjonen har like stor sjanse for å bli trukket (4.6). De hun husker best, er et bekvemmelighetsutvalg, trolig de mest fornøyde eller mest misfornøyde. De 67 første er bare vinterkundene.","Ikke riktig. Et enkelt, tilfeldig utvalg: alle i populasjonen har like stor sjanse for å bli trukket (4.6). De hun husker best, er et bekvemmelighetsutvalg, trolig de mest fornøyde eller mest misfornøyde. De 67 første er bare vinterkundene."))</f>
        <v>Velg i nedtrekksmenyen.</v>
      </c>
    </row>
    <row r="24" customFormat="false" ht="39.75" hidden="false" customHeight="true" outlineLevel="0" collapsed="false">
      <c r="B24" s="15" t="s">
        <v>86</v>
      </c>
      <c r="C24" s="16"/>
      <c r="G24" s="17" t="str">
        <f aca="false">IF(C24="","Velg i nedtrekksmenyen.",IF(C24="Utvalget bør ikke være større enn nødvendig; et godt trukket utvalg gir svaret billigere","Riktig. Boka: utvalget bør ikke være større enn nødvendig (4.5), og verdien av dataene skal veies mot kostnaden (4.2). 67 samtaler à 10 minutter er 11,2 timer; 280 samtaler er 46,7 timer Mona ikke fakturerer.","Ikke riktig. Boka: utvalget bør ikke være større enn nødvendig (4.5), og verdien av dataene skal veies mot kostnaden (4.2). 67 samtaler à 10 minutter er 11,2 timer; 280 samtaler er 46,7 timer Mona ikke fakturerer."))</f>
        <v>Velg i nedtrekksmenyen.</v>
      </c>
    </row>
    <row r="26" customFormat="false" ht="15" hidden="false" customHeight="true" outlineLevel="0" collapsed="false">
      <c r="B26" s="18" t="s">
        <v>87</v>
      </c>
      <c r="C26" s="18"/>
      <c r="D26" s="18"/>
      <c r="E26" s="18"/>
      <c r="F26" s="18"/>
      <c r="G26" s="18"/>
    </row>
    <row r="27" customFormat="false" ht="39.75" hidden="false" customHeight="true" outlineLevel="0" collapsed="false">
      <c r="B27" s="15" t="s">
        <v>88</v>
      </c>
      <c r="C27" s="16"/>
      <c r="G27" s="17" t="str">
        <f aca="false">IF(C27="","Velg i nedtrekksmenyen.",IF(C27="Enkelt, tilfeldig utvalg","Riktig. Som å trekke lapper fra en hatt: hvert element får et nummer, og numrene trekkes tilfeldig. Et sannsynlighetsutvalg (4.6).","Ikke riktig. Som å trekke lapper fra en hatt: hvert element får et nummer, og numrene trekkes tilfeldig. Et sannsynlighetsutvalg (4.6)."))</f>
        <v>Velg i nedtrekksmenyen.</v>
      </c>
    </row>
    <row r="28" customFormat="false" ht="39.75" hidden="false" customHeight="true" outlineLevel="0" collapsed="false">
      <c r="B28" s="15" t="s">
        <v>89</v>
      </c>
      <c r="C28" s="16"/>
      <c r="G28" s="17" t="str">
        <f aca="false">IF(C28="","Velg i nedtrekksmenyen.",IF(C28="Klyngeutvalg","Riktig. Populasjonen er delt i grupper som likner hverandre, og noen grupper trekkes. Et sannsynlighetsutvalg (4.6).","Ikke riktig. Populasjonen er delt i grupper som likner hverandre, og noen grupper trekkes. Et sannsynlighetsutvalg (4.6)."))</f>
        <v>Velg i nedtrekksmenyen.</v>
      </c>
    </row>
    <row r="29" customFormat="false" ht="39.75" hidden="false" customHeight="true" outlineLevel="0" collapsed="false">
      <c r="B29" s="15" t="s">
        <v>90</v>
      </c>
      <c r="C29" s="16"/>
      <c r="G29" s="17" t="str">
        <f aca="false">IF(C29="","Velg i nedtrekksmenyen.",IF(C29="Bekvemmelighetsutvalg","Riktig. De som er lettest tilgjengelige. Representativiteten blir lett mangelfull (4.6).","Ikke riktig. De som er lettest tilgjengelige. Representativiteten blir lett mangelfull (4.6)."))</f>
        <v>Velg i nedtrekksmenyen.</v>
      </c>
    </row>
    <row r="30" customFormat="false" ht="39.75" hidden="false" customHeight="true" outlineLevel="0" collapsed="false">
      <c r="B30" s="15" t="s">
        <v>91</v>
      </c>
      <c r="C30" s="16"/>
      <c r="G30" s="17" t="str">
        <f aca="false">IF(C30="","Velg i nedtrekksmenyen.",IF(C30="Kvoteutvalg","Riktig. Hun setter selv sammen et utvalg hun mener gjenspeiler populasjonen. Ikke vitenskapelig; bygger på magefølelse (4.6).","Ikke riktig. Hun setter selv sammen et utvalg hun mener gjenspeiler populasjonen. Ikke vitenskapelig; bygger på magefølelse (4.6)."))</f>
        <v>Velg i nedtrekksmenyen.</v>
      </c>
    </row>
    <row r="32" customFormat="false" ht="15" hidden="false" customHeight="true" outlineLevel="0" collapsed="false">
      <c r="B32" s="9" t="s">
        <v>92</v>
      </c>
      <c r="C32" s="9"/>
      <c r="D32" s="9"/>
      <c r="E32" s="9"/>
      <c r="F32" s="9"/>
      <c r="G32" s="9"/>
    </row>
    <row r="33" customFormat="false" ht="21.75" hidden="false" customHeight="true" outlineLevel="0" collapsed="false">
      <c r="B33" s="21"/>
      <c r="C33" s="21"/>
      <c r="D33" s="21"/>
      <c r="E33" s="21"/>
      <c r="F33" s="21"/>
      <c r="G33" s="21"/>
    </row>
    <row r="34" customFormat="false" ht="21.75" hidden="false" customHeight="true" outlineLevel="0" collapsed="false">
      <c r="B34" s="21"/>
      <c r="C34" s="21"/>
      <c r="D34" s="21"/>
      <c r="E34" s="21"/>
      <c r="F34" s="21"/>
      <c r="G34" s="21"/>
    </row>
    <row r="35" customFormat="false" ht="21.75" hidden="false" customHeight="true" outlineLevel="0" collapsed="false">
      <c r="B35" s="21"/>
      <c r="C35" s="21"/>
      <c r="D35" s="21"/>
      <c r="E35" s="21"/>
      <c r="F35" s="21"/>
      <c r="G35" s="21"/>
    </row>
    <row r="36" customFormat="false" ht="39.75" hidden="false" customHeight="true" outlineLevel="0" collapsed="false">
      <c r="B36" s="22" t="str">
        <f aca="false">IF(LEN(B33)&lt;40,"",IF(AND(ISNUMBER(SEARCH("ledende",B33)),ISNUMBER(SEARCH("samme",B33))),"Bra: du nevner ledende spørsmål og at alle skal få de samme spørsmålene. Sjekk at du også sier hvem som bør ringe, siden kundene kjenner Mona.",IF(OR(ISNUMBER(SEARCH("ledende",B33)),ISNUMBER(SEARCH("samme",B33))),"Du er på sporet. Pålitelighet handler om hvordan undersøkelsen gjennomføres: spørsmålene, rekkefølgen, hvem som spør, og hvordan svarene registreres.","Tips: kundene kjenner Mona og er ikke anonyme; de svarer lett det de tror hun vil høre (4.3.1). Still de samme spørsmålene i samme rekkefølge, uten ledende formuleringer, registrer svarene i ett skjema, og la gjerne noen andre ringe (4.4, 4.7.3).")))</f>
        <v/>
      </c>
      <c r="C36" s="22"/>
      <c r="D36" s="22"/>
      <c r="E36" s="22"/>
      <c r="F36" s="22"/>
      <c r="G36" s="22"/>
    </row>
    <row r="37" customFormat="false" ht="15" hidden="false" customHeight="false" outlineLevel="0" collapsed="false">
      <c r="B37" s="23" t="s">
        <v>58</v>
      </c>
      <c r="C37" s="16"/>
    </row>
    <row r="38" customFormat="false" ht="45" hidden="false" customHeight="true" outlineLevel="0" collapsed="false">
      <c r="B38" s="24" t="str">
        <f aca="false">IF(C37="JA","Hint: Antall som må spørres = svar du trenger / svarprosent som desimaltall: 50 / 0,75 og 50 / 0,15, rundet opp. Trukket betyr at alle har like stor sjanse; plukket betyr at du valgte. Pålitelighet er hvordan du spør: samme spørsmål, ingen ledende formuleringer, og helst ikke den kunden kjenner.","")</f>
        <v/>
      </c>
      <c r="C38" s="24"/>
      <c r="D38" s="24"/>
      <c r="E38" s="24"/>
      <c r="F38" s="24"/>
      <c r="G38" s="24"/>
    </row>
    <row r="40" customFormat="false" ht="30" hidden="false" customHeight="true" outlineLevel="0" collapsed="false">
      <c r="B40" s="7" t="s">
        <v>59</v>
      </c>
      <c r="C40" s="7"/>
      <c r="D40" s="7"/>
      <c r="E40" s="7"/>
      <c r="F40" s="7"/>
      <c r="G40" s="7"/>
    </row>
  </sheetData>
  <mergeCells count="15">
    <mergeCell ref="B2:G2"/>
    <mergeCell ref="B3:G3"/>
    <mergeCell ref="B4:G4"/>
    <mergeCell ref="B5:G5"/>
    <mergeCell ref="B6:G6"/>
    <mergeCell ref="B7:G7"/>
    <mergeCell ref="B15:G15"/>
    <mergeCell ref="B17:G17"/>
    <mergeCell ref="B18:G18"/>
    <mergeCell ref="B26:G26"/>
    <mergeCell ref="B32:G32"/>
    <mergeCell ref="B33:G35"/>
    <mergeCell ref="B36:G36"/>
    <mergeCell ref="B38:G38"/>
    <mergeCell ref="B40:G40"/>
  </mergeCells>
  <conditionalFormatting sqref="G20">
    <cfRule type="expression" priority="2" aboveAverage="0" equalAverage="0" bottom="0" percent="0" rank="0" text="" dxfId="0">
      <formula>LEFT(G20,6)="Riktig"</formula>
    </cfRule>
    <cfRule type="expression" priority="3" aboveAverage="0" equalAverage="0" bottom="0" percent="0" rank="0" text="" dxfId="1">
      <formula>AND(G20&lt;&gt;"",LEFT(G20,6)&lt;&gt;"Riktig",LEFT(G20,5)&lt;&gt;"Skriv")</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AND(G21&lt;&gt;"",LEFT(G21,6)&lt;&gt;"Riktig",LEFT(G21,5)&lt;&gt;"Skriv")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LEFT(G23,4)="Ikke"</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LEFT(G24,4)="Ikke"</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LEFT(G27,4)="Ikke"</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LEFT(G28,4)="Ikke"</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LEFT(G29,4)="Ikke"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dataValidations count="7">
    <dataValidation allowBlank="true" errorStyle="stop" operator="between" showDropDown="false" showErrorMessage="false" showInputMessage="false" sqref="C23" type="list">
      <formula1>$Z$1:$Z$3</formula1>
      <formula2>0</formula2>
    </dataValidation>
    <dataValidation allowBlank="true" errorStyle="stop" operator="between" showDropDown="false" showErrorMessage="false" showInputMessage="false" sqref="C24" type="list">
      <formula1>$Z$4:$Z$6</formula1>
      <formula2>0</formula2>
    </dataValidation>
    <dataValidation allowBlank="true" errorStyle="stop" operator="between" showDropDown="false" showErrorMessage="false" showInputMessage="false" sqref="C27" type="list">
      <formula1>$Z$7:$Z$10</formula1>
      <formula2>0</formula2>
    </dataValidation>
    <dataValidation allowBlank="true" errorStyle="stop" operator="between" showDropDown="false" showErrorMessage="false" showInputMessage="false" sqref="C28" type="list">
      <formula1>$Z$11:$Z$14</formula1>
      <formula2>0</formula2>
    </dataValidation>
    <dataValidation allowBlank="true" errorStyle="stop" operator="between" showDropDown="false" showErrorMessage="false" showInputMessage="false" sqref="C29" type="list">
      <formula1>$Z$15:$Z$18</formula1>
      <formula2>0</formula2>
    </dataValidation>
    <dataValidation allowBlank="true" errorStyle="stop" operator="between" showDropDown="false" showErrorMessage="false" showInputMessage="false" sqref="C30" type="list">
      <formula1>$Z$19:$Z$22</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93</v>
      </c>
    </row>
    <row r="2" customFormat="false" ht="25.5" hidden="false" customHeight="true" outlineLevel="0" collapsed="false">
      <c r="B2" s="5" t="s">
        <v>94</v>
      </c>
      <c r="C2" s="5"/>
      <c r="D2" s="5"/>
      <c r="E2" s="5"/>
      <c r="F2" s="5"/>
      <c r="G2" s="5"/>
      <c r="Z2" s="6" t="s">
        <v>95</v>
      </c>
    </row>
    <row r="3" customFormat="false" ht="15" hidden="false" customHeight="true" outlineLevel="0" collapsed="false">
      <c r="B3" s="7" t="s">
        <v>16</v>
      </c>
      <c r="C3" s="7"/>
      <c r="D3" s="7"/>
      <c r="E3" s="7"/>
      <c r="F3" s="7"/>
      <c r="G3" s="7"/>
      <c r="Z3" s="6" t="s">
        <v>96</v>
      </c>
    </row>
    <row r="4" customFormat="false" ht="15.75" hidden="false" customHeight="true" outlineLevel="0" collapsed="false">
      <c r="B4" s="8" t="s">
        <v>18</v>
      </c>
      <c r="C4" s="8"/>
      <c r="D4" s="8"/>
      <c r="E4" s="8"/>
      <c r="F4" s="8"/>
      <c r="G4" s="8"/>
      <c r="Z4" s="6" t="s">
        <v>97</v>
      </c>
    </row>
    <row r="5" customFormat="false" ht="60" hidden="false" customHeight="true" outlineLevel="0" collapsed="false">
      <c r="B5" s="9" t="s">
        <v>98</v>
      </c>
      <c r="C5" s="9"/>
      <c r="D5" s="9"/>
      <c r="E5" s="9"/>
      <c r="F5" s="9"/>
      <c r="G5" s="9"/>
      <c r="Z5" s="6" t="s">
        <v>93</v>
      </c>
    </row>
    <row r="6" customFormat="false" ht="15.75" hidden="false" customHeight="true" outlineLevel="0" collapsed="false">
      <c r="B6" s="8" t="s">
        <v>22</v>
      </c>
      <c r="C6" s="8"/>
      <c r="D6" s="8"/>
      <c r="E6" s="8"/>
      <c r="F6" s="8"/>
      <c r="G6" s="8"/>
      <c r="Z6" s="6" t="s">
        <v>95</v>
      </c>
    </row>
    <row r="7" customFormat="false" ht="90" hidden="false" customHeight="true" outlineLevel="0" collapsed="false">
      <c r="B7" s="9" t="s">
        <v>99</v>
      </c>
      <c r="C7" s="9"/>
      <c r="D7" s="9"/>
      <c r="E7" s="9"/>
      <c r="F7" s="9"/>
      <c r="G7" s="9"/>
      <c r="Z7" s="6" t="s">
        <v>96</v>
      </c>
    </row>
    <row r="8" customFormat="false" ht="15" hidden="false" customHeight="false" outlineLevel="0" collapsed="false">
      <c r="Z8" s="0" t="s">
        <v>97</v>
      </c>
    </row>
    <row r="9" customFormat="false" ht="15" hidden="false" customHeight="true" outlineLevel="0" collapsed="false">
      <c r="B9" s="18" t="s">
        <v>100</v>
      </c>
      <c r="C9" s="18"/>
      <c r="D9" s="18"/>
      <c r="E9" s="18"/>
      <c r="F9" s="18"/>
      <c r="G9" s="18"/>
      <c r="Z9" s="6" t="s">
        <v>93</v>
      </c>
    </row>
    <row r="10" customFormat="false" ht="39.75" hidden="false" customHeight="true" outlineLevel="0" collapsed="false">
      <c r="B10" s="15" t="s">
        <v>101</v>
      </c>
      <c r="C10" s="16"/>
      <c r="G10" s="17" t="str">
        <f aca="false">IF(C10="","Velg i nedtrekksmenyen.",IF(C10="Dårlig: ledende","Riktig. Spørsmålet ber om et ja. Folk svarer det de tror spørreren forventer (4.3.1), og feil i utformingen av spørsmålene er en feilkilde for påliteligheten (4.7.3).","Ikke riktig. Spørsmålet ber om et ja. Folk svarer det de tror spørreren forventer (4.3.1), og feil i utformingen av spørsmålene er en feilkilde for påliteligheten (4.7.3)."))</f>
        <v>Velg i nedtrekksmenyen.</v>
      </c>
      <c r="Z10" s="6" t="s">
        <v>95</v>
      </c>
    </row>
    <row r="11" customFormat="false" ht="39.75" hidden="false" customHeight="true" outlineLevel="0" collapsed="false">
      <c r="B11" s="15" t="s">
        <v>102</v>
      </c>
      <c r="C11" s="16"/>
      <c r="G11" s="17" t="str">
        <f aca="false">IF(C11="","Velg i nedtrekksmenyen.",IF(C11="Godt: klart, entydig og svaret kan brukes","Riktig. Klart og entydig (4.1), kan tabuleres (4.7.2), og svaret kan brukes: Tom vet hva han skal rette på.","Ikke riktig. Klart og entydig (4.1), kan tabuleres (4.7.2), og svaret kan brukes: Tom vet hva han skal rette på."))</f>
        <v>Velg i nedtrekksmenyen.</v>
      </c>
      <c r="Z11" s="6" t="s">
        <v>96</v>
      </c>
    </row>
    <row r="12" customFormat="false" ht="39.75" hidden="false" customHeight="true" outlineLevel="0" collapsed="false">
      <c r="B12" s="15" t="s">
        <v>103</v>
      </c>
      <c r="C12" s="16"/>
      <c r="G12" s="17" t="str">
        <f aca="false">IF(C12="","Velg i nedtrekksmenyen.",IF(C12="Dårlig: to ting i ett spørsmål","Riktig. To ting i ett spørsmål. Svarer kunden nei, vet ikke Tom hvilket av dem som sviktet. Del det i to.","Ikke riktig. To ting i ett spørsmål. Svarer kunden nei, vet ikke Tom hvilket av dem som sviktet. Del det i to."))</f>
        <v>Velg i nedtrekksmenyen.</v>
      </c>
      <c r="Z12" s="6" t="s">
        <v>97</v>
      </c>
    </row>
    <row r="13" customFormat="false" ht="39.75" hidden="false" customHeight="true" outlineLevel="0" collapsed="false">
      <c r="B13" s="15" t="s">
        <v>104</v>
      </c>
      <c r="C13" s="16"/>
      <c r="G13" s="17" t="str">
        <f aca="false">IF(C13="","Velg i nedtrekksmenyen.",IF(C13="Godt: klart, entydig og svaret kan brukes","Riktig. Klart, gjelder én ting, og svaralternativene gir en frekvensfordeling (4.7.2).","Ikke riktig. Klart, gjelder én ting, og svaralternativene gir en frekvensfordeling (4.7.2)."))</f>
        <v>Velg i nedtrekksmenyen.</v>
      </c>
      <c r="Z13" s="6" t="s">
        <v>93</v>
      </c>
    </row>
    <row r="14" customFormat="false" ht="39.75" hidden="false" customHeight="true" outlineLevel="0" collapsed="false">
      <c r="B14" s="15" t="s">
        <v>105</v>
      </c>
      <c r="C14" s="16"/>
      <c r="G14" s="17" t="str">
        <f aca="false">IF(C14="","Velg i nedtrekksmenyen.",IF(C14="Dårlig: vagt, svaret kan ikke brukes","Riktig. Så vagt at svaret blir vagt (4.1). Tom kan ikke gjøre noe med «greit» eller «dårlig».","Ikke riktig. Så vagt at svaret blir vagt (4.1). Tom kan ikke gjøre noe med «greit» eller «dårlig»."))</f>
        <v>Velg i nedtrekksmenyen.</v>
      </c>
      <c r="Z14" s="6" t="s">
        <v>95</v>
      </c>
    </row>
    <row r="15" customFormat="false" ht="39.75" hidden="false" customHeight="true" outlineLevel="0" collapsed="false">
      <c r="B15" s="15" t="s">
        <v>106</v>
      </c>
      <c r="C15" s="16"/>
      <c r="G15" s="17" t="str">
        <f aca="false">IF(C15="","Velg i nedtrekksmenyen.",IF(C15="Godt: klart, entydig og svaret kan brukes","Riktig. Klart, og svaret går rett til problemstillingen: få kundene til å bestille igjen.","Ikke riktig. Klart, og svaret går rett til problemstillingen: få kundene til å bestille igjen."))</f>
        <v>Velg i nedtrekksmenyen.</v>
      </c>
      <c r="Z15" s="6" t="s">
        <v>96</v>
      </c>
    </row>
    <row r="16" customFormat="false" ht="15" hidden="false" customHeight="false" outlineLevel="0" collapsed="false">
      <c r="Z16" s="0" t="s">
        <v>97</v>
      </c>
    </row>
    <row r="17" customFormat="false" ht="15" hidden="false" customHeight="true" outlineLevel="0" collapsed="false">
      <c r="B17" s="18" t="s">
        <v>107</v>
      </c>
      <c r="C17" s="18"/>
      <c r="D17" s="18"/>
      <c r="E17" s="18"/>
      <c r="F17" s="18"/>
      <c r="G17" s="18"/>
      <c r="Z17" s="6" t="s">
        <v>93</v>
      </c>
    </row>
    <row r="18" customFormat="false" ht="39.75" hidden="false" customHeight="true" outlineLevel="0" collapsed="false">
      <c r="B18" s="15" t="s">
        <v>108</v>
      </c>
      <c r="C18" s="16"/>
      <c r="G18" s="17" t="str">
        <f aca="false">IF(C18="","Velg i nedtrekksmenyen.",IF(C18="Gyldighet","Riktig. Hvem som ble spurt: utvalgets sammensetning avgjør om svarene er representative for populasjonen (4.7.3).","Ikke riktig. Hvem som ble spurt: utvalgets sammensetning avgjør om svarene er representative for populasjonen (4.7.3)."))</f>
        <v>Velg i nedtrekksmenyen.</v>
      </c>
      <c r="Z18" s="6" t="s">
        <v>95</v>
      </c>
    </row>
    <row r="19" customFormat="false" ht="39.75" hidden="false" customHeight="true" outlineLevel="0" collapsed="false">
      <c r="B19" s="15" t="s">
        <v>109</v>
      </c>
      <c r="C19" s="16"/>
      <c r="G19" s="17" t="str">
        <f aca="false">IF(C19="","Velg i nedtrekksmenyen.",IF(C19="Pålitelighet","Riktig. Hvordan det spørres: feil i utformingen av spørsmålene er en feilkilde i gjennomføringen (4.7.3).","Ikke riktig. Hvordan det spørres: feil i utformingen av spørsmålene er en feilkilde i gjennomføringen (4.7.3)."))</f>
        <v>Velg i nedtrekksmenyen.</v>
      </c>
      <c r="Z19" s="6" t="s">
        <v>96</v>
      </c>
    </row>
    <row r="20" customFormat="false" ht="39.75" hidden="false" customHeight="true" outlineLevel="0" collapsed="false">
      <c r="B20" s="15" t="s">
        <v>110</v>
      </c>
      <c r="C20" s="16"/>
      <c r="G20" s="17" t="str">
        <f aca="false">IF(C20="","Velg i nedtrekksmenyen.",IF(C20="Gyldighet","Riktig. Svarene må vurderes i lys av dagsaktuelle begivenheter: de gjelder stemningen etter strømstansen, ikke året (4.7.3).","Ikke riktig. Svarene må vurderes i lys av dagsaktuelle begivenheter: de gjelder stemningen etter strømstansen, ikke året (4.7.3)."))</f>
        <v>Velg i nedtrekksmenyen.</v>
      </c>
      <c r="Z20" s="6" t="s">
        <v>97</v>
      </c>
    </row>
    <row r="21" customFormat="false" ht="39.75" hidden="false" customHeight="true" outlineLevel="0" collapsed="false">
      <c r="B21" s="15" t="s">
        <v>111</v>
      </c>
      <c r="C21" s="16"/>
      <c r="G21" s="17" t="str">
        <f aca="false">IF(C21="","Velg i nedtrekksmenyen.",IF(C21="Pålitelighet","Riktig. Kunden er ikke anonym og svarer lett det han tror montøren vil høre (4.3.1). Det er gjennomføringen, altså påliteligheten.","Ikke riktig. Kunden er ikke anonym og svarer lett det han tror montøren vil høre (4.3.1). Det er gjennomføringen, altså påliteligheten."))</f>
        <v>Velg i nedtrekksmenyen.</v>
      </c>
      <c r="Z21" s="6" t="s">
        <v>93</v>
      </c>
    </row>
    <row r="22" customFormat="false" ht="15" hidden="false" customHeight="false" outlineLevel="0" collapsed="false">
      <c r="Z22" s="0" t="s">
        <v>95</v>
      </c>
    </row>
    <row r="23" customFormat="false" ht="15.75" hidden="false" customHeight="true" outlineLevel="0" collapsed="false">
      <c r="B23" s="8" t="s">
        <v>112</v>
      </c>
      <c r="C23" s="8"/>
      <c r="D23" s="8"/>
      <c r="E23" s="8"/>
      <c r="F23" s="8"/>
      <c r="G23" s="8"/>
      <c r="Z23" s="6" t="s">
        <v>96</v>
      </c>
    </row>
    <row r="24" customFormat="false" ht="30" hidden="false" customHeight="true" outlineLevel="0" collapsed="false">
      <c r="B24" s="9" t="s">
        <v>113</v>
      </c>
      <c r="C24" s="9"/>
      <c r="D24" s="9"/>
      <c r="E24" s="9"/>
      <c r="F24" s="9"/>
      <c r="G24" s="9"/>
      <c r="Z24" s="6" t="s">
        <v>97</v>
      </c>
    </row>
    <row r="25" customFormat="false" ht="15" hidden="false" customHeight="false" outlineLevel="0" collapsed="false">
      <c r="B25" s="10" t="s">
        <v>114</v>
      </c>
      <c r="C25" s="11" t="s">
        <v>115</v>
      </c>
      <c r="Z25" s="6" t="s">
        <v>116</v>
      </c>
    </row>
    <row r="26" customFormat="false" ht="15" hidden="false" customHeight="false" outlineLevel="0" collapsed="false">
      <c r="B26" s="12" t="s">
        <v>117</v>
      </c>
      <c r="C26" s="13" t="n">
        <v>9</v>
      </c>
      <c r="Z26" s="6" t="s">
        <v>118</v>
      </c>
    </row>
    <row r="27" customFormat="false" ht="15" hidden="false" customHeight="false" outlineLevel="0" collapsed="false">
      <c r="B27" s="12" t="s">
        <v>119</v>
      </c>
      <c r="C27" s="13" t="n">
        <v>15</v>
      </c>
      <c r="Z27" s="6" t="s">
        <v>116</v>
      </c>
    </row>
    <row r="28" customFormat="false" ht="15" hidden="false" customHeight="false" outlineLevel="0" collapsed="false">
      <c r="B28" s="12" t="s">
        <v>120</v>
      </c>
      <c r="C28" s="13" t="n">
        <v>4</v>
      </c>
      <c r="Z28" s="6" t="s">
        <v>118</v>
      </c>
    </row>
    <row r="29" customFormat="false" ht="15" hidden="false" customHeight="false" outlineLevel="0" collapsed="false">
      <c r="B29" s="12" t="s">
        <v>121</v>
      </c>
      <c r="C29" s="13" t="n">
        <v>3</v>
      </c>
      <c r="Z29" s="6" t="s">
        <v>116</v>
      </c>
    </row>
    <row r="30" customFormat="false" ht="15" hidden="false" customHeight="false" outlineLevel="0" collapsed="false">
      <c r="B30" s="12" t="s">
        <v>122</v>
      </c>
      <c r="C30" s="26" t="n">
        <f aca="false">SUM(C26:C29)</f>
        <v>31</v>
      </c>
      <c r="Z30" s="6" t="s">
        <v>118</v>
      </c>
    </row>
    <row r="31" customFormat="false" ht="15" hidden="false" customHeight="false" outlineLevel="0" collapsed="false">
      <c r="Z31" s="0" t="s">
        <v>116</v>
      </c>
    </row>
    <row r="32" customFormat="false" ht="15" hidden="false" customHeight="false" outlineLevel="0" collapsed="false">
      <c r="B32" s="10" t="s">
        <v>123</v>
      </c>
      <c r="C32" s="11" t="s">
        <v>28</v>
      </c>
      <c r="D32" s="11" t="s">
        <v>124</v>
      </c>
      <c r="Z32" s="6" t="s">
        <v>118</v>
      </c>
    </row>
    <row r="33" customFormat="false" ht="15" hidden="false" customHeight="false" outlineLevel="0" collapsed="false">
      <c r="B33" s="12" t="s">
        <v>125</v>
      </c>
      <c r="C33" s="13" t="n">
        <v>14</v>
      </c>
      <c r="D33" s="13" t="n">
        <v>13</v>
      </c>
    </row>
    <row r="34" customFormat="false" ht="15" hidden="false" customHeight="false" outlineLevel="0" collapsed="false">
      <c r="B34" s="12" t="s">
        <v>126</v>
      </c>
      <c r="C34" s="13" t="n">
        <v>17</v>
      </c>
      <c r="D34" s="13" t="n">
        <v>11</v>
      </c>
    </row>
    <row r="35" customFormat="false" ht="15" hidden="false" customHeight="false" outlineLevel="0" collapsed="false">
      <c r="B35" s="12" t="s">
        <v>127</v>
      </c>
      <c r="C35" s="26" t="n">
        <f aca="false">SUM(D33:D34)</f>
        <v>24</v>
      </c>
      <c r="D35" s="26" t="n">
        <f aca="false">SUM(E33:E34)</f>
        <v>0</v>
      </c>
    </row>
    <row r="37" customFormat="false" ht="15.75" hidden="false" customHeight="true" outlineLevel="0" collapsed="false">
      <c r="B37" s="8" t="s">
        <v>31</v>
      </c>
      <c r="C37" s="8"/>
      <c r="D37" s="8"/>
      <c r="E37" s="8"/>
      <c r="F37" s="8"/>
      <c r="G37" s="8"/>
    </row>
    <row r="38" customFormat="false" ht="30" hidden="false" customHeight="true" outlineLevel="0" collapsed="false">
      <c r="B38" s="9" t="s">
        <v>128</v>
      </c>
      <c r="C38" s="9"/>
      <c r="D38" s="9"/>
      <c r="E38" s="9"/>
      <c r="F38" s="9"/>
      <c r="G38" s="9"/>
    </row>
    <row r="39" customFormat="false" ht="43.5" hidden="false" customHeight="true" outlineLevel="0" collapsed="false">
      <c r="B39" s="15" t="s">
        <v>129</v>
      </c>
      <c r="C39" s="19"/>
      <c r="D39" s="20" t="s">
        <v>53</v>
      </c>
      <c r="G39" s="17" t="str">
        <f aca="false">IF(C39="","Skriv svaret i den gule cellen.",IF(ABS(C39-(ROUND((9+15)/31*100,1)))&lt;=0.05,"Riktig.",IF(ABS(C39-(ROUND(15/31*100,1)))&lt;=0.05,"Du har tatt bare «fornøyd». Svært fornøyd teller også som fornøyd: 9 + 15.",IF(ABS(C39-(ROUND(9/31*100,1)))&lt;=0.05,"Det er bare «svært fornøyd». Legg til de 15 som svarte «fornøyd».",IF(ABS(C39-(ROUND((9+15)/40*100,1)))&lt;=0.05,"Du har delt på de 40 som ble ringt. Andelen regnes av de 31 som svarte.","Ikke riktig ennå. Se på regnestykket øverst på fanen, og sjekk at du har med alle leddene.")))))</f>
        <v>Skriv svaret i den gule cellen.</v>
      </c>
    </row>
    <row r="40" customFormat="false" ht="43.5" hidden="false" customHeight="true" outlineLevel="0" collapsed="false">
      <c r="B40" s="15" t="s">
        <v>130</v>
      </c>
      <c r="C40" s="19"/>
      <c r="D40" s="20" t="s">
        <v>53</v>
      </c>
      <c r="G40" s="17" t="str">
        <f aca="false">IF(C40="","Skriv svaret i den gule cellen.",IF(ABS(C40-(ROUND(13/14*100,1)))&lt;=0.05,"Riktig.",IF(ABS(C40-(ROUND(13/31*100,1)))&lt;=0.05,"Du har delt på alle 31 svar. Andelen for sikringsskap regnes av de 14 svarene i den gruppa.",IF(ABS(C40-(ROUND(14/31*100,1)))&lt;=0.05,"Det er sikringsskapenes andel av svarene. Spørsmålet er hvor mange av de 14 som var fornøyde.","Ikke riktig ennå. Se på regnestykket øverst på fanen, og sjekk at du har med alle leddene."))))</f>
        <v>Skriv svaret i den gule cellen.</v>
      </c>
    </row>
    <row r="41" customFormat="false" ht="43.5" hidden="false" customHeight="true" outlineLevel="0" collapsed="false">
      <c r="B41" s="15" t="s">
        <v>131</v>
      </c>
      <c r="C41" s="19"/>
      <c r="D41" s="20" t="s">
        <v>53</v>
      </c>
      <c r="G41" s="17" t="str">
        <f aca="false">IF(C41="","Skriv svaret i den gule cellen.",IF(ABS(C41-(ROUND(11/17*100,1)))&lt;=0.05,"Riktig.",IF(ABS(C41-(ROUND(11/31*100,1)))&lt;=0.05,"Du har delt på alle 31 svar. Del på de 17 svarene fra feilsøking og småjobber.",IF(ABS(C41-(ROUND(17/31*100,1)))&lt;=0.05,"Det er gruppas andel av svarene. Spørsmålet er hvor mange av de 17 som var fornøyde.","Ikke riktig ennå. Se på regnestykket øverst på fanen, og sjekk at du har med alle leddene."))))</f>
        <v>Skriv svaret i den gule cellen.</v>
      </c>
    </row>
    <row r="43" customFormat="false" ht="30" hidden="false" customHeight="true" outlineLevel="0" collapsed="false">
      <c r="B43" s="9" t="s">
        <v>132</v>
      </c>
      <c r="C43" s="9"/>
      <c r="D43" s="9"/>
      <c r="E43" s="9"/>
      <c r="F43" s="9"/>
      <c r="G43" s="9"/>
    </row>
    <row r="44" customFormat="false" ht="21.75" hidden="false" customHeight="true" outlineLevel="0" collapsed="false">
      <c r="B44" s="21"/>
      <c r="C44" s="21"/>
      <c r="D44" s="21"/>
      <c r="E44" s="21"/>
      <c r="F44" s="21"/>
      <c r="G44" s="21"/>
    </row>
    <row r="45" customFormat="false" ht="21.75" hidden="false" customHeight="true" outlineLevel="0" collapsed="false">
      <c r="B45" s="21"/>
      <c r="C45" s="21"/>
      <c r="D45" s="21"/>
      <c r="E45" s="21"/>
      <c r="F45" s="21"/>
      <c r="G45" s="21"/>
    </row>
    <row r="46" customFormat="false" ht="21.75" hidden="false" customHeight="true" outlineLevel="0" collapsed="false">
      <c r="B46" s="21"/>
      <c r="C46" s="21"/>
      <c r="D46" s="21"/>
      <c r="E46" s="21"/>
      <c r="F46" s="21"/>
      <c r="G46" s="21"/>
    </row>
    <row r="47" customFormat="false" ht="39.75" hidden="false" customHeight="true" outlineLevel="0" collapsed="false">
      <c r="B47" s="22" t="str">
        <f aca="false">IF(LEN(B44)&lt;40,"",IF(AND(ISNUMBER(SEARCH("feilsøking",B44)),ISNUMBER(SEARCH("telefon",B44))),"Bra: du peker på feilsøkingsjobbene og på telefon som metode. Sjekk at du også har med ett konkret tiltak for skjemaet (del spørsmål 3, fjern «enig i» i spørsmål 1).",IF(OR(ISNUMBER(SEARCH("feilsøking",B44)),ISNUMBER(SEARCH("telefon",B44))),"Du er på sporet. Krysstabellen sier hvor problemet ligger (hvilken type jobb), og metoden avgjør om Tom kan stole på neste runde.","Tips: 24 av 31 (77,4 %) er fornøyde, men krysstabellen viser 13 av 14 (92,9 %) på sikringsskap mot 11 av 17 (64,7 %) på feilsøking og småjobber. Problemet ligger i feilsøkingen. Bruk telefon til et tilfeldig utvalg hver måned, med samme fire spørsmål, og rett skjemaet: spørsmål 1 uten «enig i», spørsmål 3 delt i to, spørsmål 5 ut.")))</f>
        <v/>
      </c>
      <c r="C47" s="22"/>
      <c r="D47" s="22"/>
      <c r="E47" s="22"/>
      <c r="F47" s="22"/>
      <c r="G47" s="22"/>
    </row>
    <row r="48" customFormat="false" ht="15" hidden="false" customHeight="false" outlineLevel="0" collapsed="false">
      <c r="B48" s="23" t="s">
        <v>58</v>
      </c>
      <c r="C48" s="16"/>
    </row>
    <row r="49" customFormat="false" ht="45" hidden="false" customHeight="true" outlineLevel="0" collapsed="false">
      <c r="B49" s="24" t="str">
        <f aca="false">IF(C48="JA","Hint: Et godt spørsmål er klart, gjelder én ting, ber ikke om et bestemt svar, og svaret kan brukes til en beslutning. Gyldighet er hvem du spurte; pålitelighet er hvordan. Fornøyde = svært fornøyd + fornøyd = 24 av 31. Krysstabellen: 13 av 14 og 11 av 17.","")</f>
        <v/>
      </c>
      <c r="C49" s="24"/>
      <c r="D49" s="24"/>
      <c r="E49" s="24"/>
      <c r="F49" s="24"/>
      <c r="G49" s="24"/>
    </row>
    <row r="51" customFormat="false" ht="30" hidden="false" customHeight="true" outlineLevel="0" collapsed="false">
      <c r="B51" s="7" t="s">
        <v>59</v>
      </c>
      <c r="C51" s="7"/>
      <c r="D51" s="7"/>
      <c r="E51" s="7"/>
      <c r="F51" s="7"/>
      <c r="G51" s="7"/>
    </row>
  </sheetData>
  <mergeCells count="17">
    <mergeCell ref="B2:G2"/>
    <mergeCell ref="B3:G3"/>
    <mergeCell ref="B4:G4"/>
    <mergeCell ref="B5:G5"/>
    <mergeCell ref="B6:G6"/>
    <mergeCell ref="B7:G7"/>
    <mergeCell ref="B9:G9"/>
    <mergeCell ref="B17:G17"/>
    <mergeCell ref="B23:G23"/>
    <mergeCell ref="B24:G24"/>
    <mergeCell ref="B37:G37"/>
    <mergeCell ref="B38:G38"/>
    <mergeCell ref="B43:G43"/>
    <mergeCell ref="B44:G46"/>
    <mergeCell ref="B47:G47"/>
    <mergeCell ref="B49:G49"/>
    <mergeCell ref="B51:G51"/>
  </mergeCells>
  <conditionalFormatting sqref="G10">
    <cfRule type="expression" priority="2" aboveAverage="0" equalAverage="0" bottom="0" percent="0" rank="0" text="" dxfId="0">
      <formula>LEFT(G10,6)="Riktig"</formula>
    </cfRule>
    <cfRule type="expression" priority="3" aboveAverage="0" equalAverage="0" bottom="0" percent="0" rank="0" text="" dxfId="1">
      <formula>LEFT(G10,4)="Ikke"</formula>
    </cfRule>
  </conditionalFormatting>
  <conditionalFormatting sqref="G11">
    <cfRule type="expression" priority="4" aboveAverage="0" equalAverage="0" bottom="0" percent="0" rank="0" text="" dxfId="0">
      <formula>LEFT(G11,6)="Riktig"</formula>
    </cfRule>
    <cfRule type="expression" priority="5" aboveAverage="0" equalAverage="0" bottom="0" percent="0" rank="0" text="" dxfId="1">
      <formula>LEFT(G11,4)="Ikke"</formula>
    </cfRule>
  </conditionalFormatting>
  <conditionalFormatting sqref="G12">
    <cfRule type="expression" priority="6" aboveAverage="0" equalAverage="0" bottom="0" percent="0" rank="0" text="" dxfId="0">
      <formula>LEFT(G12,6)="Riktig"</formula>
    </cfRule>
    <cfRule type="expression" priority="7" aboveAverage="0" equalAverage="0" bottom="0" percent="0" rank="0" text="" dxfId="1">
      <formula>LEFT(G12,4)="Ikke"</formula>
    </cfRule>
  </conditionalFormatting>
  <conditionalFormatting sqref="G13">
    <cfRule type="expression" priority="8" aboveAverage="0" equalAverage="0" bottom="0" percent="0" rank="0" text="" dxfId="0">
      <formula>LEFT(G13,6)="Riktig"</formula>
    </cfRule>
    <cfRule type="expression" priority="9" aboveAverage="0" equalAverage="0" bottom="0" percent="0" rank="0" text="" dxfId="1">
      <formula>LEFT(G13,4)="Ikke"</formula>
    </cfRule>
  </conditionalFormatting>
  <conditionalFormatting sqref="G14">
    <cfRule type="expression" priority="10" aboveAverage="0" equalAverage="0" bottom="0" percent="0" rank="0" text="" dxfId="0">
      <formula>LEFT(G14,6)="Riktig"</formula>
    </cfRule>
    <cfRule type="expression" priority="11" aboveAverage="0" equalAverage="0" bottom="0" percent="0" rank="0" text="" dxfId="1">
      <formula>LEFT(G14,4)="Ikke"</formula>
    </cfRule>
  </conditionalFormatting>
  <conditionalFormatting sqref="G15">
    <cfRule type="expression" priority="12" aboveAverage="0" equalAverage="0" bottom="0" percent="0" rank="0" text="" dxfId="0">
      <formula>LEFT(G15,6)="Riktig"</formula>
    </cfRule>
    <cfRule type="expression" priority="13" aboveAverage="0" equalAverage="0" bottom="0" percent="0" rank="0" text="" dxfId="1">
      <formula>LEFT(G15,4)="Ikke"</formula>
    </cfRule>
  </conditionalFormatting>
  <conditionalFormatting sqref="G18">
    <cfRule type="expression" priority="14" aboveAverage="0" equalAverage="0" bottom="0" percent="0" rank="0" text="" dxfId="0">
      <formula>LEFT(G18,6)="Riktig"</formula>
    </cfRule>
    <cfRule type="expression" priority="15" aboveAverage="0" equalAverage="0" bottom="0" percent="0" rank="0" text="" dxfId="1">
      <formula>LEFT(G18,4)="Ikke"</formula>
    </cfRule>
  </conditionalFormatting>
  <conditionalFormatting sqref="G19">
    <cfRule type="expression" priority="16" aboveAverage="0" equalAverage="0" bottom="0" percent="0" rank="0" text="" dxfId="0">
      <formula>LEFT(G19,6)="Riktig"</formula>
    </cfRule>
    <cfRule type="expression" priority="17" aboveAverage="0" equalAverage="0" bottom="0" percent="0" rank="0" text="" dxfId="1">
      <formula>LEFT(G19,4)="Ikke"</formula>
    </cfRule>
  </conditionalFormatting>
  <conditionalFormatting sqref="G20">
    <cfRule type="expression" priority="18" aboveAverage="0" equalAverage="0" bottom="0" percent="0" rank="0" text="" dxfId="0">
      <formula>LEFT(G20,6)="Riktig"</formula>
    </cfRule>
    <cfRule type="expression" priority="19" aboveAverage="0" equalAverage="0" bottom="0" percent="0" rank="0" text="" dxfId="1">
      <formula>LEFT(G20,4)="Ikke"</formula>
    </cfRule>
  </conditionalFormatting>
  <conditionalFormatting sqref="G21">
    <cfRule type="expression" priority="20" aboveAverage="0" equalAverage="0" bottom="0" percent="0" rank="0" text="" dxfId="0">
      <formula>LEFT(G21,6)="Riktig"</formula>
    </cfRule>
    <cfRule type="expression" priority="21" aboveAverage="0" equalAverage="0" bottom="0" percent="0" rank="0" text="" dxfId="1">
      <formula>LEFT(G21,4)="Ikke"</formula>
    </cfRule>
  </conditionalFormatting>
  <conditionalFormatting sqref="G39">
    <cfRule type="expression" priority="22" aboveAverage="0" equalAverage="0" bottom="0" percent="0" rank="0" text="" dxfId="0">
      <formula>LEFT(G39,6)="Riktig"</formula>
    </cfRule>
    <cfRule type="expression" priority="23" aboveAverage="0" equalAverage="0" bottom="0" percent="0" rank="0" text="" dxfId="1">
      <formula>AND(G39&lt;&gt;"",LEFT(G39,6)&lt;&gt;"Riktig",LEFT(G39,5)&lt;&gt;"Skriv")</formula>
    </cfRule>
  </conditionalFormatting>
  <conditionalFormatting sqref="G40">
    <cfRule type="expression" priority="24" aboveAverage="0" equalAverage="0" bottom="0" percent="0" rank="0" text="" dxfId="0">
      <formula>LEFT(G40,6)="Riktig"</formula>
    </cfRule>
    <cfRule type="expression" priority="25" aboveAverage="0" equalAverage="0" bottom="0" percent="0" rank="0" text="" dxfId="1">
      <formula>AND(G40&lt;&gt;"",LEFT(G40,6)&lt;&gt;"Riktig",LEFT(G40,5)&lt;&gt;"Skriv")</formula>
    </cfRule>
  </conditionalFormatting>
  <conditionalFormatting sqref="G41">
    <cfRule type="expression" priority="26" aboveAverage="0" equalAverage="0" bottom="0" percent="0" rank="0" text="" dxfId="0">
      <formula>LEFT(G41,6)="Riktig"</formula>
    </cfRule>
    <cfRule type="expression" priority="27" aboveAverage="0" equalAverage="0" bottom="0" percent="0" rank="0" text="" dxfId="1">
      <formula>AND(G41&lt;&gt;"",LEFT(G41,6)&lt;&gt;"Riktig",LEFT(G41,5)&lt;&gt;"Skriv")</formula>
    </cfRule>
  </conditionalFormatting>
  <dataValidations count="11">
    <dataValidation allowBlank="true" errorStyle="stop" operator="between" showDropDown="false" showErrorMessage="false" showInputMessage="false" sqref="C10" type="list">
      <formula1>$Z$1:$Z$4</formula1>
      <formula2>0</formula2>
    </dataValidation>
    <dataValidation allowBlank="true" errorStyle="stop" operator="between" showDropDown="false" showErrorMessage="false" showInputMessage="false" sqref="C11" type="list">
      <formula1>$Z$5:$Z$8</formula1>
      <formula2>0</formula2>
    </dataValidation>
    <dataValidation allowBlank="true" errorStyle="stop" operator="between" showDropDown="false" showErrorMessage="false" showInputMessage="false" sqref="C12" type="list">
      <formula1>$Z$9:$Z$12</formula1>
      <formula2>0</formula2>
    </dataValidation>
    <dataValidation allowBlank="true" errorStyle="stop" operator="between" showDropDown="false" showErrorMessage="false" showInputMessage="false" sqref="C13" type="list">
      <formula1>$Z$13:$Z$16</formula1>
      <formula2>0</formula2>
    </dataValidation>
    <dataValidation allowBlank="true" errorStyle="stop" operator="between" showDropDown="false" showErrorMessage="false" showInputMessage="false" sqref="C14" type="list">
      <formula1>$Z$17:$Z$20</formula1>
      <formula2>0</formula2>
    </dataValidation>
    <dataValidation allowBlank="true" errorStyle="stop" operator="between" showDropDown="false" showErrorMessage="false" showInputMessage="false" sqref="C15" type="list">
      <formula1>$Z$21:$Z$24</formula1>
      <formula2>0</formula2>
    </dataValidation>
    <dataValidation allowBlank="true" errorStyle="stop" operator="between" showDropDown="false" showErrorMessage="false" showInputMessage="false" sqref="C18" type="list">
      <formula1>$Z$25:$Z$26</formula1>
      <formula2>0</formula2>
    </dataValidation>
    <dataValidation allowBlank="true" errorStyle="stop" operator="between" showDropDown="false" showErrorMessage="false" showInputMessage="false" sqref="C19" type="list">
      <formula1>$Z$27:$Z$28</formula1>
      <formula2>0</formula2>
    </dataValidation>
    <dataValidation allowBlank="true" errorStyle="stop" operator="between" showDropDown="false" showErrorMessage="false" showInputMessage="false" sqref="C20" type="list">
      <formula1>$Z$29:$Z$30</formula1>
      <formula2>0</formula2>
    </dataValidation>
    <dataValidation allowBlank="true" errorStyle="stop" operator="between" showDropDown="false" showErrorMessage="false" showInputMessage="false" sqref="C21" type="list">
      <formula1>$Z$31:$Z$32</formula1>
      <formula2>0</formula2>
    </dataValidation>
    <dataValidation allowBlank="true" errorStyle="stop" operator="between" showDropDown="false" showErrorMessage="false" showInputMessage="false" sqref="C4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7" t="s">
        <v>133</v>
      </c>
    </row>
    <row r="3" customFormat="false" ht="30" hidden="false" customHeight="true" outlineLevel="0" collapsed="false">
      <c r="B3" s="7" t="s">
        <v>134</v>
      </c>
      <c r="C3" s="7"/>
      <c r="D3" s="7"/>
    </row>
    <row r="5" customFormat="false" ht="15" hidden="false" customHeight="false" outlineLevel="0" collapsed="false">
      <c r="B5" s="28" t="s">
        <v>135</v>
      </c>
      <c r="C5" s="28" t="s">
        <v>28</v>
      </c>
      <c r="D5" s="28" t="s">
        <v>136</v>
      </c>
    </row>
    <row r="6" customFormat="false" ht="30" hidden="false" customHeight="true" outlineLevel="0" collapsed="false">
      <c r="B6" s="29" t="s">
        <v>137</v>
      </c>
      <c r="C6" s="26"/>
      <c r="D6" s="29" t="s">
        <v>138</v>
      </c>
    </row>
    <row r="7" customFormat="false" ht="45" hidden="false" customHeight="true" outlineLevel="0" collapsed="false">
      <c r="B7" s="29" t="s">
        <v>139</v>
      </c>
      <c r="C7" s="26"/>
      <c r="D7" s="29" t="s">
        <v>140</v>
      </c>
    </row>
    <row r="8" customFormat="false" ht="30" hidden="false" customHeight="true" outlineLevel="0" collapsed="false">
      <c r="B8" s="29" t="s">
        <v>141</v>
      </c>
      <c r="C8" s="26"/>
      <c r="D8" s="29" t="s">
        <v>142</v>
      </c>
    </row>
    <row r="9" customFormat="false" ht="30" hidden="false" customHeight="true" outlineLevel="0" collapsed="false">
      <c r="B9" s="29" t="s">
        <v>143</v>
      </c>
      <c r="C9" s="26" t="n">
        <v>17.1</v>
      </c>
      <c r="D9" s="29" t="s">
        <v>144</v>
      </c>
    </row>
    <row r="10" customFormat="false" ht="30" hidden="false" customHeight="true" outlineLevel="0" collapsed="false">
      <c r="B10" s="29" t="s">
        <v>145</v>
      </c>
      <c r="C10" s="26" t="n">
        <v>77.5</v>
      </c>
      <c r="D10" s="29" t="s">
        <v>146</v>
      </c>
    </row>
    <row r="11" customFormat="false" ht="30" hidden="false" customHeight="true" outlineLevel="0" collapsed="false">
      <c r="B11" s="29" t="s">
        <v>147</v>
      </c>
      <c r="C11" s="26" t="n">
        <v>94.4</v>
      </c>
      <c r="D11" s="29" t="s">
        <v>148</v>
      </c>
    </row>
    <row r="12" customFormat="false" ht="30" hidden="false" customHeight="true" outlineLevel="0" collapsed="false">
      <c r="B12" s="29" t="s">
        <v>149</v>
      </c>
      <c r="C12" s="26" t="n">
        <v>77.4</v>
      </c>
      <c r="D12" s="29" t="s">
        <v>150</v>
      </c>
    </row>
    <row r="13" customFormat="false" ht="60" hidden="false" customHeight="true" outlineLevel="0" collapsed="false">
      <c r="B13" s="29" t="s">
        <v>151</v>
      </c>
      <c r="C13" s="26"/>
      <c r="D13" s="29" t="s">
        <v>152</v>
      </c>
    </row>
    <row r="14" customFormat="false" ht="30" hidden="false" customHeight="true" outlineLevel="0" collapsed="false">
      <c r="B14" s="29" t="s">
        <v>153</v>
      </c>
      <c r="C14" s="26" t="n">
        <v>67</v>
      </c>
      <c r="D14" s="29" t="s">
        <v>154</v>
      </c>
    </row>
    <row r="15" customFormat="false" ht="30" hidden="false" customHeight="true" outlineLevel="0" collapsed="false">
      <c r="B15" s="29" t="s">
        <v>155</v>
      </c>
      <c r="C15" s="26" t="n">
        <v>334</v>
      </c>
      <c r="D15" s="29" t="s">
        <v>156</v>
      </c>
    </row>
    <row r="16" customFormat="false" ht="30" hidden="false" customHeight="true" outlineLevel="0" collapsed="false">
      <c r="B16" s="29" t="s">
        <v>157</v>
      </c>
      <c r="C16" s="26"/>
      <c r="D16" s="29" t="s">
        <v>158</v>
      </c>
    </row>
    <row r="17" customFormat="false" ht="30" hidden="false" customHeight="true" outlineLevel="0" collapsed="false">
      <c r="B17" s="29" t="s">
        <v>159</v>
      </c>
      <c r="C17" s="26"/>
      <c r="D17" s="29" t="s">
        <v>160</v>
      </c>
    </row>
    <row r="18" customFormat="false" ht="45" hidden="false" customHeight="true" outlineLevel="0" collapsed="false">
      <c r="B18" s="29" t="s">
        <v>161</v>
      </c>
      <c r="C18" s="26"/>
      <c r="D18" s="29" t="s">
        <v>162</v>
      </c>
    </row>
    <row r="19" customFormat="false" ht="45" hidden="false" customHeight="true" outlineLevel="0" collapsed="false">
      <c r="B19" s="29" t="s">
        <v>163</v>
      </c>
      <c r="C19" s="26"/>
      <c r="D19" s="29" t="s">
        <v>164</v>
      </c>
    </row>
    <row r="20" customFormat="false" ht="30" hidden="false" customHeight="true" outlineLevel="0" collapsed="false">
      <c r="B20" s="29" t="s">
        <v>165</v>
      </c>
      <c r="C20" s="26"/>
      <c r="D20" s="29" t="s">
        <v>166</v>
      </c>
    </row>
    <row r="21" customFormat="false" ht="30" hidden="false" customHeight="true" outlineLevel="0" collapsed="false">
      <c r="B21" s="29" t="s">
        <v>167</v>
      </c>
      <c r="C21" s="26"/>
      <c r="D21" s="29" t="s">
        <v>168</v>
      </c>
    </row>
    <row r="22" customFormat="false" ht="30" hidden="false" customHeight="true" outlineLevel="0" collapsed="false">
      <c r="B22" s="29" t="s">
        <v>169</v>
      </c>
      <c r="C22" s="26" t="n">
        <v>77.4</v>
      </c>
      <c r="D22" s="29" t="s">
        <v>170</v>
      </c>
    </row>
    <row r="23" customFormat="false" ht="30" hidden="false" customHeight="true" outlineLevel="0" collapsed="false">
      <c r="B23" s="29" t="s">
        <v>171</v>
      </c>
      <c r="C23" s="26" t="n">
        <v>92.9</v>
      </c>
      <c r="D23" s="29" t="s">
        <v>172</v>
      </c>
    </row>
    <row r="24" customFormat="false" ht="30" hidden="false" customHeight="true" outlineLevel="0" collapsed="false">
      <c r="B24" s="29" t="s">
        <v>173</v>
      </c>
      <c r="C24" s="26" t="n">
        <v>64.7</v>
      </c>
      <c r="D24" s="29" t="s">
        <v>174</v>
      </c>
    </row>
    <row r="25" customFormat="false" ht="45" hidden="false" customHeight="true" outlineLevel="0" collapsed="false">
      <c r="B25" s="29" t="s">
        <v>175</v>
      </c>
      <c r="C25" s="26"/>
      <c r="D25" s="29" t="s">
        <v>176</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2026-10-14T17:43:21Z</dcterms:created>
  <dc:creator>openpyxl</dc:creator>
  <dc:description/>
  <dc:language>en-US</dc:language>
  <cp:lastModifiedBy/>
  <dcterms:modified xsi:type="dcterms:W3CDTF">2026-10-14T17:43:21Z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