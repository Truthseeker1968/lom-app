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<sst xmlns="http://schemas.openxmlformats.org/spreadsheetml/2006/main" count="143" uniqueCount="122">
  <si>
    <t xml:space="preserve">Klasseoppgaver til Markedsføring kapittel 4: Markedsundersøkelser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</si>
  <si>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</si>
  <si>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</si>
  <si>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</si>
  <si>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</si>
  <si>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</si>
  <si>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</si>
  <si>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</si>
  <si>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</si>
  <si>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kundetilfredshet etter servicebesøk, SMS eller telefon? (Nordlys)</t>
  </si>
  <si>
    <t xml:space="preserve">A2</t>
  </si>
  <si>
    <t xml:space="preserve">Fjell Elektro: trenger borettslaget Haugtun ladepunkter? (Egen el-bedrift)</t>
  </si>
  <si>
    <t xml:space="preserve">B1</t>
  </si>
  <si>
    <t xml:space="preserve">Nordlys: behovet for ladepunkter i borettslagene, og hva svarene betyr (Nordlys)</t>
  </si>
  <si>
    <t xml:space="preserve">B2</t>
  </si>
  <si>
    <t xml:space="preserve">Fjell Elektro: hvor mange kunder må Mona spørre, og hvem? (Egen el-bedrift)</t>
  </si>
  <si>
    <t xml:space="preserve">Læreboka</t>
  </si>
  <si>
    <t xml:space="preserve">Hjertnes, F.: Markedsføring, organisasjon og ledelse for LØM-emnet, kapittel 4.</t>
  </si>
  <si>
    <t xml:space="preserve">Appen</t>
  </si>
  <si>
    <t xml:space="preserve">Markedsføring kap. 4 → Øv → Klasseoppgaver gir fasit per deloppgave.</t>
  </si>
  <si>
    <t xml:space="preserve">A1 · Nordlys: kundetilfredshet etter servicebesøk, SMS eller telefon?</t>
  </si>
  <si>
    <t xml:space="preserve">25 minutter · Helst alene. Sammen med sidemannen eller flere hvis du vil. Ark og blyant, appen (PC eller mobil) eller læreboka.</t>
  </si>
  <si>
    <t xml:space="preserve">Kort oppsummert: En markedsundersøkelse skal redusere usikkerheten før en beslutning, eller måle virkningen av en beslutning som er satt ut i livet (innledningen). Problemstillingen må være klar og entydig, for uklare spørsmål gir uklare svar (4.1). Skriftlige skjemaer er billige og kan være anonyme, men gir ofte lav svarprosent. Telefonintervju passer for få spørsmål og gir høy svarprosent. Ved personlig intervju svarer folk lett det de tror intervjueren forventer (4.3.1). Svarprosent = antall svar delt på antall spurt, ganger 100.</t>
  </si>
  <si>
    <t xml:space="preserve">Casen er lagt til 2026/2027. Serviceavdelingen i Nordlys (Tom Berg med fire montører og en lærling) hadde 105 servicebesøk i vårhalvåret. Tom vil vite hva kundene synes etter besøket, fordi få av dem bestiller igjen. Han prøvde to måter. Etter hvert besøk fikk kunden en SMS med lenke til et skjema. I tillegg ringte lærlingen Sara Lien 40 av de 105 kundene, trukket tilfeldig, med fire korte spørsmål. Tallene står i tabellen. Gå fram slik: velg problemstillingen, regn svarprosenten for hver metode, og vurder hvilken metode Tom bør bruke videre.</t>
  </si>
  <si>
    <t xml:space="preserve">Post</t>
  </si>
  <si>
    <t xml:space="preserve">SMS-skjema</t>
  </si>
  <si>
    <t xml:space="preserve">Telefon</t>
  </si>
  <si>
    <t xml:space="preserve">Kunder spurt</t>
  </si>
  <si>
    <t xml:space="preserve">Hvem som ble spurt</t>
  </si>
  <si>
    <t xml:space="preserve">alle 105</t>
  </si>
  <si>
    <t xml:space="preserve">40 trukket</t>
  </si>
  <si>
    <t xml:space="preserve">Svar</t>
  </si>
  <si>
    <t xml:space="preserve">Svarte «fornøyd»</t>
  </si>
  <si>
    <t xml:space="preserve">Hvem som spør</t>
  </si>
  <si>
    <t xml:space="preserve">ingen (lenke)</t>
  </si>
  <si>
    <t xml:space="preserve">Sara ringer</t>
  </si>
  <si>
    <t xml:space="preserve">Svarprosent</t>
  </si>
  <si>
    <t xml:space="preserve">Gule celler med spørsmålstegn kan du fylle inn selv mens du regner.</t>
  </si>
  <si>
    <t xml:space="preserve">Deloppgave</t>
  </si>
  <si>
    <t xml:space="preserve">Ditt svar</t>
  </si>
  <si>
    <t xml:space="preserve">Sjekk</t>
  </si>
  <si>
    <t xml:space="preserve">a)  Tom har skrevet tre forslag til problemstilling. Hvilken er klar og entydig nok til å gi et svar han kan bruke?   A: «Er kundene våre fornøyde?»   B: «Hvordan opplever kundene oppmøtet, arbeidet, ryddingen og prisen ved servicebesøket, og hva må endres for at de bestiller igjen?»   C: «Hvordan kan serviceavdelingen bli bedre?»   (skriv bokstaven)</t>
  </si>
  <si>
    <t xml:space="preserve">b)  Hva ble svarprosenten for SMS-skjemaet? Antall svar delt på antall spurt, ganger 100, med én desimal.</t>
  </si>
  <si>
    <t xml:space="preserve">c)  Hva ble svarprosenten for telefonrunden? Antall svar delt på antall ringt, ganger 100, med én desimal.</t>
  </si>
  <si>
    <t xml:space="preserve">d)  Ronny foreslår at montøren selv spør kunden om han er fornøyd, ansikt til ansikt, før han går. Hva er det største problemet med det, ifølge boka?   A: Svarprosenten blir for lav   B: Kunden er ikke anonym og svarer lett det han tror montøren vil høre   C: Det blir sekundærdata, ikke primærdata   (skriv bokstaven)</t>
  </si>
  <si>
    <t xml:space="preserve">e)  Av dem som svarte, var 17 av 18 fornøyde på SMS (94,4 %) og 24 av 31 på telefon (77,4 %). Hvilken metode bør Tom bruke videre, og hvorfor? Skriv to setninger og ett tiltak.</t>
  </si>
  <si>
    <t xml:space="preserve">Kilde: Hjertnes, F.: Markedsføring, organisasjon og ledelse for LØM-emnet, kap. 4, innledningen, avsnitt 4.1 (problemformulering) og 4.3.1 (intervjuformene). Nordlys Elektro AS er en konstruert casebedrift; undersøkelsene og svartallene er konstruerte.</t>
  </si>
  <si>
    <t xml:space="preserve">Regnearket er øvingsstøtte. Det kan ikke siteres eller vises til i besvarelser, prosjektoppgaver eller eksamen; der gjelder læreboka og oppgitte primærkilder.</t>
  </si>
  <si>
    <t xml:space="preserve">A2 · Fjell Elektro: trenger borettslaget Haugtun ladepunkter?</t>
  </si>
  <si>
    <t xml:space="preserve">Kort oppsummert: Primærdata er nye data samlet inn til akkurat denne problemstillingen (feltundersøkelse). De er presise, men kan bli dyre. Sekundærdata finnes allerede, samlet inn i en annen sammenheng (skrivebordsundersøkelse). De er billigere, men som regel mindre presise. De fleste undersøkelser bruker begge (4.2). Primærdata samles inn med intervju, observasjon eller eksperiment, eller i en fokusgruppe (4.3).</t>
  </si>
  <si>
    <t xml:space="preserve">Borettslaget Haugtun i Oslo øst har 60 leiligheter og 48 parkeringsplasser. Styret har bedt Fjell Elektro om pris på et felles ladeanlegg, men vet ikke hvor mange ladepunkter de trenger. Mona Fjell foreslår at styret spør beboerne før de bestemmer seg, og hjelper dem med undersøkelsen. Fjell la et skjema i alle 60 postkassene. Faktaene står under. Gå fram slik: velg problemstillingen, sorter kildene i primær- og sekundærdata, regn svarprosenten, og vurder styreleders snarvei.</t>
  </si>
  <si>
    <t xml:space="preserve">Forutsetning</t>
  </si>
  <si>
    <t xml:space="preserve">Verdi</t>
  </si>
  <si>
    <t xml:space="preserve">Borettslaget</t>
  </si>
  <si>
    <t xml:space="preserve">60 leiligheter, 48 parkeringsplasser, Oslo øst</t>
  </si>
  <si>
    <t xml:space="preserve">Beslutningen</t>
  </si>
  <si>
    <t xml:space="preserve">Hvor mange ladepunkter skal det felles anlegget ha?</t>
  </si>
  <si>
    <t xml:space="preserve">Skjemaet</t>
  </si>
  <si>
    <t xml:space="preserve">Lagt i alle 60 postkasser, svar innen to uker</t>
  </si>
  <si>
    <t xml:space="preserve">42 skjemaer kom tilbake</t>
  </si>
  <si>
    <t xml:space="preserve">Elbil i dag</t>
  </si>
  <si>
    <t xml:space="preserve">14 av de 42 som svarte</t>
  </si>
  <si>
    <t xml:space="preserve">Elbil innen to år</t>
  </si>
  <si>
    <t xml:space="preserve">11 av de 42 planlegger å kjøpe</t>
  </si>
  <si>
    <t xml:space="preserve">Elbiler i Norge</t>
  </si>
  <si>
    <t xml:space="preserve">32,5 % av personbilene (utgangen av 2025)</t>
  </si>
  <si>
    <t xml:space="preserve">Styreleders forslag</t>
  </si>
  <si>
    <t xml:space="preserve">32,5 % av 48 plasser = 16 ladepunkter, ingen undersøkelse</t>
  </si>
  <si>
    <t xml:space="preserve">a)  Hvilken av de tre problemstillingene passer best til beslutningen styret skal ta?   A: «Liker beboerne elbiler?»   B: «Er felles ladeanlegg lurt?»   C: «Hvor mange husstander vil trenge ladepunkt på egen plass de neste to årene?»   (skriv bokstaven)</t>
  </si>
  <si>
    <t xml:space="preserve">b)  Sorter kildene. Er dette primærdata, altså nye data samlet inn til akkurat denne problemstillingen? Svar ja eller nei for hver.</t>
  </si>
  <si>
    <t xml:space="preserve">      Skjemaet i de 60 postkassene   (Ja eller Nei)</t>
  </si>
  <si>
    <t xml:space="preserve">      Mona teller elbilene på parkeringsplassen en kveld   (Ja eller Nei)</t>
  </si>
  <si>
    <t xml:space="preserve">      Et kveldsmøte med styret og seks beboere om behovet   (Ja eller Nei)</t>
  </si>
  <si>
    <t xml:space="preserve">      Elbilforeningens tall: 32,5 % av personbilene er elbiler   (Ja eller Nei)</t>
  </si>
  <si>
    <t xml:space="preserve">      Borettslagets liste over hvem som leier parkeringsplass   (Ja eller Nei)</t>
  </si>
  <si>
    <t xml:space="preserve">      Fjells tilbud på ladeanlegg til et annet borettslag i fjor   (Ja eller Nei)</t>
  </si>
  <si>
    <t xml:space="preserve">c)  Hva ble svarprosenten på skjemaet i postkassene? Antall svar delt på antall skjemaer, ganger 100.</t>
  </si>
  <si>
    <t xml:space="preserve">d)  Styrelederen vil hoppe over undersøkelsen og regner 32,5 % av 48 plasser = 16 ladepunkter. Hva er svakheten i det?   A: Elbilforeningens tall er feil   B: Tallet er sekundærdata for hele landet og sier lite om akkurat dette borettslaget; det bør brukes sammen med primærdata   C: Ingen svakhet: offentlige tall er alltid bedre enn egne   (skriv bokstaven)</t>
  </si>
  <si>
    <t xml:space="preserve">e)  25 av de 42 husstandene som svarte, har elbil eller planlegger det innen to år. Hva bør styret bygge beslutningen på, og hva vet de ikke ennå? To–tre setninger.</t>
  </si>
  <si>
    <t xml:space="preserve">Kilde: Hjertnes, F.: Markedsføring, organisasjon og ledelse for LØM-emnet, kap. 4, avsnitt 4.1 (problemformulering), 4.2 (primær- og sekundærdata) og 4.3 (innsamlingsmetoder). Elbilandelen: Elbilforeningen, årsberetning 2025. Fjell Elektro AS og borettslaget Haugtun er konstruerte; svartallene er konstruerte.</t>
  </si>
  <si>
    <t xml:space="preserve">B1 · Nordlys: behovet for ladepunkter i borettslagene, og hva svarene betyr</t>
  </si>
  <si>
    <t xml:space="preserve">Kort oppsummert: Populasjonen er alle bedriften vil vite noe om; utvalget er den delen som deltar (4.5). I et klyngeutvalg deles populasjonen i grupper som ligner hverandre, og én eller flere grupper trekkes ut (4.6). Svarene tabuleres: en frekvensfordeling viser hvordan svarene fordeler seg, og en krysstabell viser hvordan to variabler virker sammen (4.7.2). Gyldighet er i hvilken grad svarene er representative for populasjonen (4.7.3).</t>
  </si>
  <si>
    <t xml:space="preserve">Det er 22 borettslag i nedslagsfeltet til Nordlys. Kari vil vite hvor mange husstander som vil ha ladepunkt de neste to årene, før hun bestemmer om avdelingen skal satse på borettslag. Hun nummererte de 22 borettslagene, trakk fire, og la et skjema i alle de 320 leilighetene i de fire. Svarene står i tabellen, fordelt på om husstanden har elbil i dag. Gå fram slik: bestem utvalgsmetoden, regn svarprosenten og andelen som vil ha ladepunkt, og vurder hva Kari kan si om alle de 22.</t>
  </si>
  <si>
    <t xml:space="preserve">Antall</t>
  </si>
  <si>
    <t xml:space="preserve">Vil ha ladepunkt</t>
  </si>
  <si>
    <t xml:space="preserve">Borettslag i nedslagsfeltet</t>
  </si>
  <si>
    <t xml:space="preserve">Borettslag trukket (alle spurt)</t>
  </si>
  <si>
    <t xml:space="preserve">Leiligheter som fikk skjema</t>
  </si>
  <si>
    <t xml:space="preserve">Svar: har elbil i dag</t>
  </si>
  <si>
    <t xml:space="preserve">Svar: har ikke elbil i dag</t>
  </si>
  <si>
    <t xml:space="preserve">Svar i alt</t>
  </si>
  <si>
    <t xml:space="preserve">a)  Kari trakk fire av de 22 borettslagene tilfeldig og spurte alle husstandene i dem. Hvilken utvalgsmetode er det?   A: Enkelt, tilfeldig utvalg   B: Klyngeutvalg   C: Kvoteutvalg   (skriv bokstaven)</t>
  </si>
  <si>
    <t xml:space="preserve">b)  Hva ble svarprosenten? Antall svar delt på antall leiligheter som fikk skjema, ganger 100, med én desimal.</t>
  </si>
  <si>
    <t xml:space="preserve">c)  Hvor stor andel av dem som svarte, vil ha ladepunkt de neste to årene? Del på antall svar, ikke antall spurt, og svar med én desimal.</t>
  </si>
  <si>
    <t xml:space="preserve">d)  Ida skriver i rapporten: «30,2 % av alle husstandene i de 22 borettslagene vil ha ladepunkt.» Hvilken vurdering er riktig?   A: Ja, 192 svar er nok til å si det sikkert   B: Nei, ikke uten videre: tallet gjelder dem som svarte, og gyldigheten avhenger av om svarerne og de fire borettslagene er representative   C: Nei, fordi klyngeutvalg ikke er et sannsynlighetsutvalg   (skriv bokstaven)</t>
  </si>
  <si>
    <t xml:space="preserve">e)  Bruk krysstabellen: hvor stor andel av dem med elbil og dem uten vil ha ladepunkt? Hva betyr det for Nordlys, og hva bør Kari gjøre før hun bestemmer seg? To–tre setninger.</t>
  </si>
  <si>
    <t xml:space="preserve">Kilde: Hjertnes, F.: Markedsføring, organisasjon og ledelse for LØM-emnet, kap. 4, avsnitt 4.5 (populasjon og utvalg), 4.6 (utvalgsmetoder) og 4.7 (frekvensfordeling, krysstabell, gyldighet). Nordlys Elektro AS er en konstruert casebedrift; undersøkelsene og svartallene er konstruerte.</t>
  </si>
  <si>
    <t xml:space="preserve">B2 · Fjell Elektro: hvor mange kunder må Mona spørre, og hvem?</t>
  </si>
  <si>
    <t xml:space="preserve">Kort oppsummert: Utvalget er den delen av populasjonen som deltar, og det bør ikke være større enn nødvendig (4.5). I et enkelt, tilfeldig utvalg får alle et nummer, og numrene trekkes tilfeldig. I et bekvemmelighetsutvalg velges de som er lettest tilgjengelige, og representativiteten blir lett mangelfull (4.6). Antall som må spørres = antall svar du trenger delt på svarprosenten (som desimaltall). Pålitelighet handler om hvordan undersøkelsen gjennomføres (4.7.3).</t>
  </si>
  <si>
    <t xml:space="preserve">Fjell Elektro har 280 kunder i kunderegisteret etter første driftsår. Mona vil vite hva kundene synes etter et servicebesøk, og hun vil ha 50 svar. Hun regner med at 75 % svarer på telefon og 15 % på et SMS-skjema. En telefonsamtale tar om lag 10 minutter, og hver time Mona bruker, er en time hun ikke fakturerer (890 kr). Gå fram slik: regn hvor mange hun må ringe og hvor mange hun må sende SMS til, velg trekkemåte, og vurder hvordan hun skal gjennomføre samtalene.</t>
  </si>
  <si>
    <t xml:space="preserve">Populasjonen</t>
  </si>
  <si>
    <t xml:space="preserve">280 kunder i kunderegisteret</t>
  </si>
  <si>
    <t xml:space="preserve">Svar Mona vil ha</t>
  </si>
  <si>
    <t xml:space="preserve">50</t>
  </si>
  <si>
    <t xml:space="preserve">Ventet svarprosent, telefon</t>
  </si>
  <si>
    <t xml:space="preserve">75 %</t>
  </si>
  <si>
    <t xml:space="preserve">Ventet svarprosent, SMS-skjema</t>
  </si>
  <si>
    <t xml:space="preserve">15 %</t>
  </si>
  <si>
    <t xml:space="preserve">Tid per telefonsamtale</t>
  </si>
  <si>
    <t xml:space="preserve">Om lag 10 minutter</t>
  </si>
  <si>
    <t xml:space="preserve">Monas timepris</t>
  </si>
  <si>
    <t xml:space="preserve">890 kr uten mva (tapt fakturering per time)</t>
  </si>
  <si>
    <t xml:space="preserve">Montørens forslag</t>
  </si>
  <si>
    <t xml:space="preserve">Ring alle 280, så blir svaret sikrest</t>
  </si>
  <si>
    <t xml:space="preserve">Monas første idé</t>
  </si>
  <si>
    <t xml:space="preserve">Ringe de kundene hun husker best</t>
  </si>
  <si>
    <t xml:space="preserve">a)  Hvor mange kunder må Mona ringe for å få 50 svar, når hun venter 75 % svar? Antall svar hun trenger delt på svarprosenten. Rund opp til helt tall.</t>
  </si>
  <si>
    <t xml:space="preserve">b)  Hvor mange kunder måtte fått SMS-skjemaet for å gi 50 svar, med 15 % svar? Rund opp til helt tall.</t>
  </si>
  <si>
    <t xml:space="preserve">c)  Hvordan bør Mona velge ut de 67 kundene hun skal ringe, hvis svaret skal gjelde alle kundene?   A: Ringe de kundene hun husker best   B: Ringe de 67 første i kunderegisteret (januar og februar)   C: Nummerere alle 280 og la regnearket trekke 67 tilfeldig   (skriv bokstaven)</t>
  </si>
  <si>
    <t xml:space="preserve">d)  Montøren mener Mona bør ringe alle 280, fordi flere svar alltid er bedre. Hva sier boka?   A: Han har rett: ring alltid alle   B: Utvalget bør ikke være større enn nødvendig; et godt trukket utvalg gir svaret billigere   C: Flere svar gir lavere gyldighet   (skriv bokstaven)</t>
  </si>
  <si>
    <t xml:space="preserve">e)  Mona tenker å ringe kundene selv. Hva kan svekke påliteligheten i undersøkelsen, og hvordan kan hun unngå det? To–tre setninger.</t>
  </si>
  <si>
    <t xml:space="preserve">Kilde: Hjertnes, F.: Markedsføring, organisasjon og ledelse for LØM-emnet, kap. 4, avsnitt 4.3.1 (intervjuformene), 4.5 (utvalget bør ikke være større enn nødvendig), 4.6 (utvalgsmetoder) og 4.7.3 (gyldighet og pålitelighet). Fjell Elektro AS og borettslaget Haugtun er konstruerte; svartallene er konstruerte.</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</si>
</sst>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s>
  <fills count="5">
    <fill>
      <patternFill patternType="none"/>
    </fill>
    <fill>
      <patternFill patternType="gray125"/>
    </fill>
    <fill>
      <patternFill patternType="solid">
        <fgColor rgb="FF2F4A6D"/>
        <bgColor rgb="FF333333"/>
      </patternFill>
    </fill>
    <fill>
      <patternFill patternType="solid">
        <fgColor rgb="FFF4F6FA"/>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A"/>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78.75" hidden="false" customHeight="true" outlineLevel="0" collapsed="false">
      <c r="A4" s="6" t="s">
        <v>22</v>
      </c>
      <c r="B4" s="6"/>
      <c r="C4" s="6"/>
      <c r="D4" s="6"/>
      <c r="E4" s="6"/>
      <c r="F4" s="6"/>
      <c r="G4" s="6"/>
    </row>
    <row r="5" customFormat="false" ht="78.75" hidden="false" customHeight="true" outlineLevel="0" collapsed="false">
      <c r="A5" s="7" t="s">
        <v>23</v>
      </c>
      <c r="B5" s="7"/>
      <c r="C5" s="7"/>
      <c r="D5" s="7"/>
      <c r="E5" s="7"/>
      <c r="F5" s="7"/>
      <c r="G5" s="7"/>
    </row>
    <row r="7" customFormat="false" ht="15" hidden="false" customHeight="false" outlineLevel="0" collapsed="false">
      <c r="A7" s="8" t="s">
        <v>24</v>
      </c>
      <c r="B7" s="9" t="s">
        <v>25</v>
      </c>
      <c r="C7" s="9" t="s">
        <v>26</v>
      </c>
    </row>
    <row r="8" customFormat="false" ht="15" hidden="false" customHeight="false" outlineLevel="0" collapsed="false">
      <c r="A8" s="10" t="s">
        <v>27</v>
      </c>
      <c r="B8" s="11" t="n">
        <v>105</v>
      </c>
      <c r="C8" s="11" t="n">
        <v>40</v>
      </c>
    </row>
    <row r="9" customFormat="false" ht="15" hidden="false" customHeight="false" outlineLevel="0" collapsed="false">
      <c r="A9" s="12" t="s">
        <v>28</v>
      </c>
      <c r="B9" s="13" t="s">
        <v>29</v>
      </c>
      <c r="C9" s="13" t="s">
        <v>30</v>
      </c>
    </row>
    <row r="10" customFormat="false" ht="15" hidden="false" customHeight="false" outlineLevel="0" collapsed="false">
      <c r="A10" s="10" t="s">
        <v>31</v>
      </c>
      <c r="B10" s="11" t="n">
        <v>18</v>
      </c>
      <c r="C10" s="11" t="n">
        <v>31</v>
      </c>
    </row>
    <row r="11" customFormat="false" ht="15" hidden="false" customHeight="false" outlineLevel="0" collapsed="false">
      <c r="A11" s="12" t="s">
        <v>32</v>
      </c>
      <c r="B11" s="14" t="n">
        <v>17</v>
      </c>
      <c r="C11" s="14" t="n">
        <v>24</v>
      </c>
    </row>
    <row r="12" customFormat="false" ht="15" hidden="false" customHeight="false" outlineLevel="0" collapsed="false">
      <c r="A12" s="10" t="s">
        <v>33</v>
      </c>
      <c r="B12" s="15" t="s">
        <v>34</v>
      </c>
      <c r="C12" s="15" t="s">
        <v>35</v>
      </c>
    </row>
    <row r="13" customFormat="false" ht="15" hidden="false" customHeight="false" outlineLevel="0" collapsed="false">
      <c r="A13" s="12" t="s">
        <v>36</v>
      </c>
      <c r="B13" s="16"/>
      <c r="C13" s="16"/>
    </row>
    <row r="14" customFormat="false" ht="15" hidden="false" customHeight="true" outlineLevel="0" collapsed="false">
      <c r="A14" s="6" t="s">
        <v>37</v>
      </c>
      <c r="B14" s="6"/>
      <c r="C14" s="6"/>
      <c r="D14" s="6"/>
      <c r="E14" s="6"/>
      <c r="F14" s="6"/>
      <c r="G14" s="6"/>
    </row>
    <row r="16" customFormat="false" ht="15" hidden="false" customHeight="false" outlineLevel="0" collapsed="false">
      <c r="A16" s="17" t="s">
        <v>38</v>
      </c>
      <c r="B16" s="17"/>
      <c r="C16" s="17"/>
      <c r="D16" s="17"/>
      <c r="E16" s="17"/>
      <c r="F16" s="17" t="s">
        <v>39</v>
      </c>
      <c r="G16" s="17" t="s">
        <v>40</v>
      </c>
    </row>
    <row r="17" customFormat="false" ht="63.75" hidden="false" customHeight="true" outlineLevel="0" collapsed="false">
      <c r="A17" s="7" t="s">
        <v>41</v>
      </c>
      <c r="B17" s="7"/>
      <c r="C17" s="7"/>
      <c r="D17" s="7"/>
      <c r="E17" s="7"/>
      <c r="F17" s="18"/>
      <c r="G17" s="19" t="str">
        <f aca="false">IF(F17="","",IF(UPPER(TRIM(F17))="B","Riktig","Prøv igjen"))</f>
        <v/>
      </c>
    </row>
    <row r="18" customFormat="false" ht="33.75" hidden="false" customHeight="true" outlineLevel="0" collapsed="false">
      <c r="A18" s="7" t="s">
        <v>42</v>
      </c>
      <c r="B18" s="7"/>
      <c r="C18" s="7"/>
      <c r="D18" s="7"/>
      <c r="E18" s="7"/>
      <c r="F18" s="16"/>
      <c r="G18" s="19" t="str">
        <f aca="false">IF(F18="","",IF(ABS(F18-(17.1))&lt;=0.1,"Riktig","Prøv igjen"))</f>
        <v/>
      </c>
    </row>
    <row r="19" customFormat="false" ht="33.75" hidden="false" customHeight="true" outlineLevel="0" collapsed="false">
      <c r="A19" s="7" t="s">
        <v>43</v>
      </c>
      <c r="B19" s="7"/>
      <c r="C19" s="7"/>
      <c r="D19" s="7"/>
      <c r="E19" s="7"/>
      <c r="F19" s="16"/>
      <c r="G19" s="19" t="str">
        <f aca="false">IF(F19="","",IF(ABS(F19-(77.5))&lt;=0.1,"Riktig","Prøv igjen"))</f>
        <v/>
      </c>
    </row>
    <row r="20" customFormat="false" ht="63.75" hidden="false" customHeight="true" outlineLevel="0" collapsed="false">
      <c r="A20" s="7" t="s">
        <v>44</v>
      </c>
      <c r="B20" s="7"/>
      <c r="C20" s="7"/>
      <c r="D20" s="7"/>
      <c r="E20" s="7"/>
      <c r="F20" s="18"/>
      <c r="G20" s="19" t="str">
        <f aca="false">IF(F20="","",IF(UPPER(TRIM(F20))="B","Riktig","Prøv igjen"))</f>
        <v/>
      </c>
    </row>
    <row r="21" customFormat="false" ht="33.75" hidden="false" customHeight="true" outlineLevel="0" collapsed="false">
      <c r="A21" s="7" t="s">
        <v>45</v>
      </c>
      <c r="B21" s="7"/>
      <c r="C21" s="7"/>
      <c r="D21" s="7"/>
      <c r="E21" s="7"/>
    </row>
    <row r="22" customFormat="false" ht="15" hidden="false" customHeight="false" outlineLevel="0" collapsed="false">
      <c r="A22" s="20"/>
      <c r="B22" s="20"/>
      <c r="C22" s="20"/>
      <c r="D22" s="20"/>
      <c r="E22" s="20"/>
      <c r="F22" s="20"/>
      <c r="G22" s="20"/>
    </row>
    <row r="23" customFormat="false" ht="15" hidden="false" customHeight="false" outlineLevel="0" collapsed="false">
      <c r="A23" s="20"/>
      <c r="B23" s="20"/>
      <c r="C23" s="20"/>
      <c r="D23" s="20"/>
      <c r="E23" s="20"/>
      <c r="F23" s="20"/>
      <c r="G23" s="20"/>
    </row>
    <row r="24" customFormat="false" ht="15" hidden="false" customHeight="false" outlineLevel="0" collapsed="false">
      <c r="A24" s="20"/>
      <c r="B24" s="20"/>
      <c r="C24" s="20"/>
      <c r="D24" s="20"/>
      <c r="E24" s="20"/>
      <c r="F24" s="20"/>
      <c r="G24" s="20"/>
    </row>
    <row r="26" customFormat="false" ht="48.75" hidden="false" customHeight="true" outlineLevel="0" collapsed="false">
      <c r="A26" s="6" t="s">
        <v>46</v>
      </c>
      <c r="B26" s="6"/>
      <c r="C26" s="6"/>
      <c r="D26" s="6"/>
      <c r="E26" s="6"/>
      <c r="F26" s="6"/>
      <c r="G26" s="6"/>
    </row>
    <row r="27" customFormat="false" ht="15" hidden="false" customHeight="true" outlineLevel="0" collapsed="false">
      <c r="A27" s="6" t="s">
        <v>47</v>
      </c>
      <c r="B27" s="6"/>
      <c r="C27" s="6"/>
      <c r="D27" s="6"/>
      <c r="E27" s="6"/>
      <c r="F27" s="6"/>
      <c r="G27" s="6"/>
    </row>
  </sheetData>
  <mergeCells count="12">
    <mergeCell ref="A4:G4"/>
    <mergeCell ref="A5:G5"/>
    <mergeCell ref="A14:G14"/>
    <mergeCell ref="A16:E16"/>
    <mergeCell ref="A17:E17"/>
    <mergeCell ref="A18:E18"/>
    <mergeCell ref="A19:E19"/>
    <mergeCell ref="A20:E20"/>
    <mergeCell ref="A21:E21"/>
    <mergeCell ref="A22:G24"/>
    <mergeCell ref="A26:G26"/>
    <mergeCell ref="A27:G2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48</v>
      </c>
    </row>
    <row r="2" customFormat="false" ht="15" hidden="false" customHeight="false" outlineLevel="0" collapsed="false">
      <c r="A2" s="2" t="s">
        <v>21</v>
      </c>
    </row>
    <row r="4" customFormat="false" ht="63.75" hidden="false" customHeight="true" outlineLevel="0" collapsed="false">
      <c r="A4" s="6" t="s">
        <v>49</v>
      </c>
      <c r="B4" s="6"/>
      <c r="C4" s="6"/>
      <c r="D4" s="6"/>
      <c r="E4" s="6"/>
      <c r="F4" s="6"/>
      <c r="G4" s="6"/>
    </row>
    <row r="5" customFormat="false" ht="78.75" hidden="false" customHeight="true" outlineLevel="0" collapsed="false">
      <c r="A5" s="7" t="s">
        <v>50</v>
      </c>
      <c r="B5" s="7"/>
      <c r="C5" s="7"/>
      <c r="D5" s="7"/>
      <c r="E5" s="7"/>
      <c r="F5" s="7"/>
      <c r="G5" s="7"/>
    </row>
    <row r="7" customFormat="false" ht="15" hidden="false" customHeight="false" outlineLevel="0" collapsed="false">
      <c r="A7" s="17" t="s">
        <v>51</v>
      </c>
      <c r="B7" s="17" t="s">
        <v>52</v>
      </c>
      <c r="C7" s="17"/>
      <c r="D7" s="17"/>
      <c r="E7" s="17"/>
      <c r="F7" s="17"/>
      <c r="G7" s="17"/>
    </row>
    <row r="8" customFormat="false" ht="18.75" hidden="false" customHeight="true" outlineLevel="0" collapsed="false">
      <c r="A8" s="21" t="s">
        <v>53</v>
      </c>
      <c r="B8" s="7" t="s">
        <v>54</v>
      </c>
      <c r="C8" s="7"/>
      <c r="D8" s="7"/>
      <c r="E8" s="7"/>
      <c r="F8" s="7"/>
      <c r="G8" s="7"/>
    </row>
    <row r="9" customFormat="false" ht="18.75" hidden="false" customHeight="true" outlineLevel="0" collapsed="false">
      <c r="A9" s="21" t="s">
        <v>55</v>
      </c>
      <c r="B9" s="7" t="s">
        <v>56</v>
      </c>
      <c r="C9" s="7"/>
      <c r="D9" s="7"/>
      <c r="E9" s="7"/>
      <c r="F9" s="7"/>
      <c r="G9" s="7"/>
    </row>
    <row r="10" customFormat="false" ht="18.75" hidden="false" customHeight="true" outlineLevel="0" collapsed="false">
      <c r="A10" s="21" t="s">
        <v>57</v>
      </c>
      <c r="B10" s="7" t="s">
        <v>58</v>
      </c>
      <c r="C10" s="7"/>
      <c r="D10" s="7"/>
      <c r="E10" s="7"/>
      <c r="F10" s="7"/>
      <c r="G10" s="7"/>
    </row>
    <row r="11" customFormat="false" ht="18.75" hidden="false" customHeight="true" outlineLevel="0" collapsed="false">
      <c r="A11" s="21" t="s">
        <v>31</v>
      </c>
      <c r="B11" s="7" t="s">
        <v>59</v>
      </c>
      <c r="C11" s="7"/>
      <c r="D11" s="7"/>
      <c r="E11" s="7"/>
      <c r="F11" s="7"/>
      <c r="G11" s="7"/>
    </row>
    <row r="12" customFormat="false" ht="18.75" hidden="false" customHeight="true" outlineLevel="0" collapsed="false">
      <c r="A12" s="21" t="s">
        <v>60</v>
      </c>
      <c r="B12" s="7" t="s">
        <v>61</v>
      </c>
      <c r="C12" s="7"/>
      <c r="D12" s="7"/>
      <c r="E12" s="7"/>
      <c r="F12" s="7"/>
      <c r="G12" s="7"/>
    </row>
    <row r="13" customFormat="false" ht="18.75" hidden="false" customHeight="true" outlineLevel="0" collapsed="false">
      <c r="A13" s="21" t="s">
        <v>62</v>
      </c>
      <c r="B13" s="7" t="s">
        <v>63</v>
      </c>
      <c r="C13" s="7"/>
      <c r="D13" s="7"/>
      <c r="E13" s="7"/>
      <c r="F13" s="7"/>
      <c r="G13" s="7"/>
    </row>
    <row r="14" customFormat="false" ht="18.75" hidden="false" customHeight="true" outlineLevel="0" collapsed="false">
      <c r="A14" s="21" t="s">
        <v>64</v>
      </c>
      <c r="B14" s="7" t="s">
        <v>65</v>
      </c>
      <c r="C14" s="7"/>
      <c r="D14" s="7"/>
      <c r="E14" s="7"/>
      <c r="F14" s="7"/>
      <c r="G14" s="7"/>
    </row>
    <row r="15" customFormat="false" ht="18.75" hidden="false" customHeight="true" outlineLevel="0" collapsed="false">
      <c r="A15" s="21" t="s">
        <v>66</v>
      </c>
      <c r="B15" s="7" t="s">
        <v>67</v>
      </c>
      <c r="C15" s="7"/>
      <c r="D15" s="7"/>
      <c r="E15" s="7"/>
      <c r="F15" s="7"/>
      <c r="G15" s="7"/>
    </row>
    <row r="17" customFormat="false" ht="15" hidden="false" customHeight="false" outlineLevel="0" collapsed="false">
      <c r="A17" s="17" t="s">
        <v>38</v>
      </c>
      <c r="B17" s="17"/>
      <c r="C17" s="17"/>
      <c r="D17" s="17"/>
      <c r="E17" s="17"/>
      <c r="F17" s="17" t="s">
        <v>39</v>
      </c>
      <c r="G17" s="17" t="s">
        <v>40</v>
      </c>
    </row>
    <row r="18" customFormat="false" ht="48.75" hidden="false" customHeight="true" outlineLevel="0" collapsed="false">
      <c r="A18" s="7" t="s">
        <v>68</v>
      </c>
      <c r="B18" s="7"/>
      <c r="C18" s="7"/>
      <c r="D18" s="7"/>
      <c r="E18" s="7"/>
      <c r="F18" s="18"/>
      <c r="G18" s="19" t="str">
        <f aca="false">IF(F18="","",IF(UPPER(TRIM(F18))="C","Riktig","Prøv igjen"))</f>
        <v/>
      </c>
    </row>
    <row r="19" customFormat="false" ht="33.75" hidden="false" customHeight="true" outlineLevel="0" collapsed="false">
      <c r="A19" s="7" t="s">
        <v>69</v>
      </c>
      <c r="B19" s="7"/>
      <c r="C19" s="7"/>
      <c r="D19" s="7"/>
      <c r="E19" s="7"/>
    </row>
    <row r="20" customFormat="false" ht="15" hidden="false" customHeight="true" outlineLevel="0" collapsed="false">
      <c r="A20" s="7" t="s">
        <v>70</v>
      </c>
      <c r="B20" s="7"/>
      <c r="C20" s="7"/>
      <c r="D20" s="7"/>
      <c r="E20" s="7"/>
      <c r="F20" s="18"/>
      <c r="G20" s="19" t="str">
        <f aca="false">IF(F20="","",IF(UPPER(TRIM(F20))="JA","Riktig","Prøv igjen"))</f>
        <v/>
      </c>
    </row>
    <row r="21" customFormat="false" ht="15" hidden="false" customHeight="true" outlineLevel="0" collapsed="false">
      <c r="A21" s="7" t="s">
        <v>71</v>
      </c>
      <c r="B21" s="7"/>
      <c r="C21" s="7"/>
      <c r="D21" s="7"/>
      <c r="E21" s="7"/>
      <c r="F21" s="18"/>
      <c r="G21" s="19" t="str">
        <f aca="false">IF(F21="","",IF(UPPER(TRIM(F21))="JA","Riktig","Prøv igjen"))</f>
        <v/>
      </c>
    </row>
    <row r="22" customFormat="false" ht="15" hidden="false" customHeight="true" outlineLevel="0" collapsed="false">
      <c r="A22" s="7" t="s">
        <v>72</v>
      </c>
      <c r="B22" s="7"/>
      <c r="C22" s="7"/>
      <c r="D22" s="7"/>
      <c r="E22" s="7"/>
      <c r="F22" s="18"/>
      <c r="G22" s="19" t="str">
        <f aca="false">IF(F22="","",IF(UPPER(TRIM(F22))="JA","Riktig","Prøv igjen"))</f>
        <v/>
      </c>
    </row>
    <row r="23" customFormat="false" ht="15" hidden="false" customHeight="true" outlineLevel="0" collapsed="false">
      <c r="A23" s="7" t="s">
        <v>73</v>
      </c>
      <c r="B23" s="7"/>
      <c r="C23" s="7"/>
      <c r="D23" s="7"/>
      <c r="E23" s="7"/>
      <c r="F23" s="18"/>
      <c r="G23" s="19" t="str">
        <f aca="false">IF(F23="","",IF(UPPER(TRIM(F23))="NEI","Riktig","Prøv igjen"))</f>
        <v/>
      </c>
    </row>
    <row r="24" customFormat="false" ht="15" hidden="false" customHeight="true" outlineLevel="0" collapsed="false">
      <c r="A24" s="7" t="s">
        <v>74</v>
      </c>
      <c r="B24" s="7"/>
      <c r="C24" s="7"/>
      <c r="D24" s="7"/>
      <c r="E24" s="7"/>
      <c r="F24" s="18"/>
      <c r="G24" s="19" t="str">
        <f aca="false">IF(F24="","",IF(UPPER(TRIM(F24))="NEI","Riktig","Prøv igjen"))</f>
        <v/>
      </c>
    </row>
    <row r="25" customFormat="false" ht="15" hidden="false" customHeight="true" outlineLevel="0" collapsed="false">
      <c r="A25" s="7" t="s">
        <v>75</v>
      </c>
      <c r="B25" s="7"/>
      <c r="C25" s="7"/>
      <c r="D25" s="7"/>
      <c r="E25" s="7"/>
      <c r="F25" s="18"/>
      <c r="G25" s="19" t="str">
        <f aca="false">IF(F25="","",IF(UPPER(TRIM(F25))="NEI","Riktig","Prøv igjen"))</f>
        <v/>
      </c>
    </row>
    <row r="26" customFormat="false" ht="33.75" hidden="false" customHeight="true" outlineLevel="0" collapsed="false">
      <c r="A26" s="7" t="s">
        <v>76</v>
      </c>
      <c r="B26" s="7"/>
      <c r="C26" s="7"/>
      <c r="D26" s="7"/>
      <c r="E26" s="7"/>
      <c r="F26" s="16"/>
      <c r="G26" s="19" t="str">
        <f aca="false">IF(F26="","",IF(ABS(F26-(70))&lt;=0.1,"Riktig","Prøv igjen"))</f>
        <v/>
      </c>
    </row>
    <row r="27" customFormat="false" ht="63.75" hidden="false" customHeight="true" outlineLevel="0" collapsed="false">
      <c r="A27" s="7" t="s">
        <v>77</v>
      </c>
      <c r="B27" s="7"/>
      <c r="C27" s="7"/>
      <c r="D27" s="7"/>
      <c r="E27" s="7"/>
      <c r="F27" s="18"/>
      <c r="G27" s="19" t="str">
        <f aca="false">IF(F27="","",IF(UPPER(TRIM(F27))="B","Riktig","Prøv igjen"))</f>
        <v/>
      </c>
    </row>
    <row r="28" customFormat="false" ht="33.75" hidden="false" customHeight="true" outlineLevel="0" collapsed="false">
      <c r="A28" s="7" t="s">
        <v>78</v>
      </c>
      <c r="B28" s="7"/>
      <c r="C28" s="7"/>
      <c r="D28" s="7"/>
      <c r="E28" s="7"/>
    </row>
    <row r="29" customFormat="false" ht="15" hidden="false" customHeight="false" outlineLevel="0" collapsed="false">
      <c r="A29" s="20"/>
      <c r="B29" s="20"/>
      <c r="C29" s="20"/>
      <c r="D29" s="20"/>
      <c r="E29" s="20"/>
      <c r="F29" s="20"/>
      <c r="G29" s="20"/>
    </row>
    <row r="30" customFormat="false" ht="15" hidden="false" customHeight="false" outlineLevel="0" collapsed="false">
      <c r="A30" s="20"/>
      <c r="B30" s="20"/>
      <c r="C30" s="20"/>
      <c r="D30" s="20"/>
      <c r="E30" s="20"/>
      <c r="F30" s="20"/>
      <c r="G30" s="20"/>
    </row>
    <row r="31" customFormat="false" ht="15" hidden="false" customHeight="false" outlineLevel="0" collapsed="false">
      <c r="A31" s="20"/>
      <c r="B31" s="20"/>
      <c r="C31" s="20"/>
      <c r="D31" s="20"/>
      <c r="E31" s="20"/>
      <c r="F31" s="20"/>
      <c r="G31" s="20"/>
    </row>
    <row r="33" customFormat="false" ht="48.75" hidden="false" customHeight="true" outlineLevel="0" collapsed="false">
      <c r="A33" s="6" t="s">
        <v>79</v>
      </c>
      <c r="B33" s="6"/>
      <c r="C33" s="6"/>
      <c r="D33" s="6"/>
      <c r="E33" s="6"/>
      <c r="F33" s="6"/>
      <c r="G33" s="6"/>
    </row>
    <row r="34" customFormat="false" ht="15" hidden="false" customHeight="true" outlineLevel="0" collapsed="false">
      <c r="A34" s="6" t="s">
        <v>47</v>
      </c>
      <c r="B34" s="6"/>
      <c r="C34" s="6"/>
      <c r="D34" s="6"/>
      <c r="E34" s="6"/>
      <c r="F34" s="6"/>
      <c r="G34" s="6"/>
    </row>
  </sheetData>
  <mergeCells count="26">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A26:E26"/>
    <mergeCell ref="A27:E27"/>
    <mergeCell ref="A28:E28"/>
    <mergeCell ref="A29:G31"/>
    <mergeCell ref="A33:G33"/>
    <mergeCell ref="A34:G3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80</v>
      </c>
    </row>
    <row r="2" customFormat="false" ht="15" hidden="false" customHeight="false" outlineLevel="0" collapsed="false">
      <c r="A2" s="2" t="s">
        <v>21</v>
      </c>
    </row>
    <row r="4" customFormat="false" ht="63.75" hidden="false" customHeight="true" outlineLevel="0" collapsed="false">
      <c r="A4" s="6" t="s">
        <v>81</v>
      </c>
      <c r="B4" s="6"/>
      <c r="C4" s="6"/>
      <c r="D4" s="6"/>
      <c r="E4" s="6"/>
      <c r="F4" s="6"/>
      <c r="G4" s="6"/>
    </row>
    <row r="5" customFormat="false" ht="78.75" hidden="false" customHeight="true" outlineLevel="0" collapsed="false">
      <c r="A5" s="7" t="s">
        <v>82</v>
      </c>
      <c r="B5" s="7"/>
      <c r="C5" s="7"/>
      <c r="D5" s="7"/>
      <c r="E5" s="7"/>
      <c r="F5" s="7"/>
      <c r="G5" s="7"/>
    </row>
    <row r="7" customFormat="false" ht="26.85" hidden="false" customHeight="false" outlineLevel="0" collapsed="false">
      <c r="A7" s="8" t="s">
        <v>24</v>
      </c>
      <c r="B7" s="9" t="s">
        <v>83</v>
      </c>
      <c r="C7" s="9" t="s">
        <v>84</v>
      </c>
    </row>
    <row r="8" customFormat="false" ht="15" hidden="false" customHeight="false" outlineLevel="0" collapsed="false">
      <c r="A8" s="10" t="s">
        <v>85</v>
      </c>
      <c r="B8" s="11" t="n">
        <v>22</v>
      </c>
      <c r="C8" s="15"/>
    </row>
    <row r="9" customFormat="false" ht="15" hidden="false" customHeight="false" outlineLevel="0" collapsed="false">
      <c r="A9" s="12" t="s">
        <v>86</v>
      </c>
      <c r="B9" s="14" t="n">
        <v>4</v>
      </c>
      <c r="C9" s="13"/>
    </row>
    <row r="10" customFormat="false" ht="15" hidden="false" customHeight="false" outlineLevel="0" collapsed="false">
      <c r="A10" s="10" t="s">
        <v>87</v>
      </c>
      <c r="B10" s="11" t="n">
        <v>320</v>
      </c>
      <c r="C10" s="15"/>
    </row>
    <row r="11" customFormat="false" ht="15" hidden="false" customHeight="false" outlineLevel="0" collapsed="false">
      <c r="A11" s="12" t="s">
        <v>88</v>
      </c>
      <c r="B11" s="14" t="n">
        <v>46</v>
      </c>
      <c r="C11" s="14" t="n">
        <v>38</v>
      </c>
    </row>
    <row r="12" customFormat="false" ht="15" hidden="false" customHeight="false" outlineLevel="0" collapsed="false">
      <c r="A12" s="10" t="s">
        <v>89</v>
      </c>
      <c r="B12" s="11" t="n">
        <v>146</v>
      </c>
      <c r="C12" s="11" t="n">
        <v>20</v>
      </c>
    </row>
    <row r="13" customFormat="false" ht="15" hidden="false" customHeight="false" outlineLevel="0" collapsed="false">
      <c r="A13" s="12" t="s">
        <v>90</v>
      </c>
      <c r="B13" s="14" t="n">
        <v>192</v>
      </c>
      <c r="C13" s="14" t="n">
        <v>58</v>
      </c>
    </row>
    <row r="14" customFormat="false" ht="15" hidden="false" customHeight="false" outlineLevel="0" collapsed="false">
      <c r="A14" s="10" t="s">
        <v>36</v>
      </c>
      <c r="B14" s="16"/>
      <c r="C14" s="15"/>
    </row>
    <row r="15" customFormat="false" ht="15" hidden="false" customHeight="true" outlineLevel="0" collapsed="false">
      <c r="A15" s="6" t="s">
        <v>37</v>
      </c>
      <c r="B15" s="6"/>
      <c r="C15" s="6"/>
      <c r="D15" s="6"/>
      <c r="E15" s="6"/>
      <c r="F15" s="6"/>
      <c r="G15" s="6"/>
    </row>
    <row r="17" customFormat="false" ht="15" hidden="false" customHeight="false" outlineLevel="0" collapsed="false">
      <c r="A17" s="17" t="s">
        <v>38</v>
      </c>
      <c r="B17" s="17"/>
      <c r="C17" s="17"/>
      <c r="D17" s="17"/>
      <c r="E17" s="17"/>
      <c r="F17" s="17" t="s">
        <v>39</v>
      </c>
      <c r="G17" s="17" t="s">
        <v>40</v>
      </c>
    </row>
    <row r="18" customFormat="false" ht="48.75" hidden="false" customHeight="true" outlineLevel="0" collapsed="false">
      <c r="A18" s="7" t="s">
        <v>91</v>
      </c>
      <c r="B18" s="7"/>
      <c r="C18" s="7"/>
      <c r="D18" s="7"/>
      <c r="E18" s="7"/>
      <c r="F18" s="18"/>
      <c r="G18" s="19" t="str">
        <f aca="false">IF(F18="","",IF(UPPER(TRIM(F18))="B","Riktig","Prøv igjen"))</f>
        <v/>
      </c>
    </row>
    <row r="19" customFormat="false" ht="33.75" hidden="false" customHeight="true" outlineLevel="0" collapsed="false">
      <c r="A19" s="7" t="s">
        <v>92</v>
      </c>
      <c r="B19" s="7"/>
      <c r="C19" s="7"/>
      <c r="D19" s="7"/>
      <c r="E19" s="7"/>
      <c r="F19" s="16"/>
      <c r="G19" s="19" t="str">
        <f aca="false">IF(F19="","",IF(ABS(F19-(60))&lt;=0.1,"Riktig","Prøv igjen"))</f>
        <v/>
      </c>
    </row>
    <row r="20" customFormat="false" ht="33.75" hidden="false" customHeight="true" outlineLevel="0" collapsed="false">
      <c r="A20" s="7" t="s">
        <v>93</v>
      </c>
      <c r="B20" s="7"/>
      <c r="C20" s="7"/>
      <c r="D20" s="7"/>
      <c r="E20" s="7"/>
      <c r="F20" s="16"/>
      <c r="G20" s="19" t="str">
        <f aca="false">IF(F20="","",IF(ABS(F20-(30.2))&lt;=0.1,"Riktig","Prøv igjen"))</f>
        <v/>
      </c>
    </row>
    <row r="21" customFormat="false" ht="78.75" hidden="false" customHeight="true" outlineLevel="0" collapsed="false">
      <c r="A21" s="7" t="s">
        <v>94</v>
      </c>
      <c r="B21" s="7"/>
      <c r="C21" s="7"/>
      <c r="D21" s="7"/>
      <c r="E21" s="7"/>
      <c r="F21" s="18"/>
      <c r="G21" s="19" t="str">
        <f aca="false">IF(F21="","",IF(UPPER(TRIM(F21))="B","Riktig","Prøv igjen"))</f>
        <v/>
      </c>
    </row>
    <row r="22" customFormat="false" ht="33.75" hidden="false" customHeight="true" outlineLevel="0" collapsed="false">
      <c r="A22" s="7" t="s">
        <v>95</v>
      </c>
      <c r="B22" s="7"/>
      <c r="C22" s="7"/>
      <c r="D22" s="7"/>
      <c r="E22" s="7"/>
    </row>
    <row r="23" customFormat="false" ht="15" hidden="false" customHeight="false" outlineLevel="0" collapsed="false">
      <c r="A23" s="20"/>
      <c r="B23" s="20"/>
      <c r="C23" s="20"/>
      <c r="D23" s="20"/>
      <c r="E23" s="20"/>
      <c r="F23" s="20"/>
      <c r="G23" s="20"/>
    </row>
    <row r="24" customFormat="false" ht="15" hidden="false" customHeight="false" outlineLevel="0" collapsed="false">
      <c r="A24" s="20"/>
      <c r="B24" s="20"/>
      <c r="C24" s="20"/>
      <c r="D24" s="20"/>
      <c r="E24" s="20"/>
      <c r="F24" s="20"/>
      <c r="G24" s="20"/>
    </row>
    <row r="25" customFormat="false" ht="15" hidden="false" customHeight="false" outlineLevel="0" collapsed="false">
      <c r="A25" s="20"/>
      <c r="B25" s="20"/>
      <c r="C25" s="20"/>
      <c r="D25" s="20"/>
      <c r="E25" s="20"/>
      <c r="F25" s="20"/>
      <c r="G25" s="20"/>
    </row>
    <row r="27" customFormat="false" ht="48.75" hidden="false" customHeight="true" outlineLevel="0" collapsed="false">
      <c r="A27" s="6" t="s">
        <v>96</v>
      </c>
      <c r="B27" s="6"/>
      <c r="C27" s="6"/>
      <c r="D27" s="6"/>
      <c r="E27" s="6"/>
      <c r="F27" s="6"/>
      <c r="G27" s="6"/>
    </row>
    <row r="28" customFormat="false" ht="15" hidden="false" customHeight="true" outlineLevel="0" collapsed="false">
      <c r="A28" s="6" t="s">
        <v>47</v>
      </c>
      <c r="B28" s="6"/>
      <c r="C28" s="6"/>
      <c r="D28" s="6"/>
      <c r="E28" s="6"/>
      <c r="F28" s="6"/>
      <c r="G28" s="6"/>
    </row>
  </sheetData>
  <mergeCells count="12">
    <mergeCell ref="A4:G4"/>
    <mergeCell ref="A5:G5"/>
    <mergeCell ref="A15:G15"/>
    <mergeCell ref="A17:E17"/>
    <mergeCell ref="A18:E18"/>
    <mergeCell ref="A19:E19"/>
    <mergeCell ref="A20:E20"/>
    <mergeCell ref="A21:E21"/>
    <mergeCell ref="A22:E22"/>
    <mergeCell ref="A23:G25"/>
    <mergeCell ref="A27:G27"/>
    <mergeCell ref="A28:G2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97</v>
      </c>
    </row>
    <row r="2" customFormat="false" ht="15" hidden="false" customHeight="false" outlineLevel="0" collapsed="false">
      <c r="A2" s="2" t="s">
        <v>21</v>
      </c>
    </row>
    <row r="4" customFormat="false" ht="78.75" hidden="false" customHeight="true" outlineLevel="0" collapsed="false">
      <c r="A4" s="6" t="s">
        <v>98</v>
      </c>
      <c r="B4" s="6"/>
      <c r="C4" s="6"/>
      <c r="D4" s="6"/>
      <c r="E4" s="6"/>
      <c r="F4" s="6"/>
      <c r="G4" s="6"/>
    </row>
    <row r="5" customFormat="false" ht="78.75" hidden="false" customHeight="true" outlineLevel="0" collapsed="false">
      <c r="A5" s="7" t="s">
        <v>99</v>
      </c>
      <c r="B5" s="7"/>
      <c r="C5" s="7"/>
      <c r="D5" s="7"/>
      <c r="E5" s="7"/>
      <c r="F5" s="7"/>
      <c r="G5" s="7"/>
    </row>
    <row r="7" customFormat="false" ht="15" hidden="false" customHeight="false" outlineLevel="0" collapsed="false">
      <c r="A7" s="17" t="s">
        <v>51</v>
      </c>
      <c r="B7" s="17" t="s">
        <v>52</v>
      </c>
      <c r="C7" s="17"/>
      <c r="D7" s="17"/>
      <c r="E7" s="17"/>
      <c r="F7" s="17"/>
      <c r="G7" s="17"/>
    </row>
    <row r="8" customFormat="false" ht="18.75" hidden="false" customHeight="true" outlineLevel="0" collapsed="false">
      <c r="A8" s="21" t="s">
        <v>100</v>
      </c>
      <c r="B8" s="7" t="s">
        <v>101</v>
      </c>
      <c r="C8" s="7"/>
      <c r="D8" s="7"/>
      <c r="E8" s="7"/>
      <c r="F8" s="7"/>
      <c r="G8" s="7"/>
    </row>
    <row r="9" customFormat="false" ht="18.75" hidden="false" customHeight="true" outlineLevel="0" collapsed="false">
      <c r="A9" s="21" t="s">
        <v>102</v>
      </c>
      <c r="B9" s="7" t="s">
        <v>103</v>
      </c>
      <c r="C9" s="7"/>
      <c r="D9" s="7"/>
      <c r="E9" s="7"/>
      <c r="F9" s="7"/>
      <c r="G9" s="7"/>
    </row>
    <row r="10" customFormat="false" ht="18.75" hidden="false" customHeight="true" outlineLevel="0" collapsed="false">
      <c r="A10" s="21" t="s">
        <v>104</v>
      </c>
      <c r="B10" s="7" t="s">
        <v>105</v>
      </c>
      <c r="C10" s="7"/>
      <c r="D10" s="7"/>
      <c r="E10" s="7"/>
      <c r="F10" s="7"/>
      <c r="G10" s="7"/>
    </row>
    <row r="11" customFormat="false" ht="18.75" hidden="false" customHeight="true" outlineLevel="0" collapsed="false">
      <c r="A11" s="21" t="s">
        <v>106</v>
      </c>
      <c r="B11" s="7" t="s">
        <v>107</v>
      </c>
      <c r="C11" s="7"/>
      <c r="D11" s="7"/>
      <c r="E11" s="7"/>
      <c r="F11" s="7"/>
      <c r="G11" s="7"/>
    </row>
    <row r="12" customFormat="false" ht="18.75" hidden="false" customHeight="true" outlineLevel="0" collapsed="false">
      <c r="A12" s="21" t="s">
        <v>108</v>
      </c>
      <c r="B12" s="7" t="s">
        <v>109</v>
      </c>
      <c r="C12" s="7"/>
      <c r="D12" s="7"/>
      <c r="E12" s="7"/>
      <c r="F12" s="7"/>
      <c r="G12" s="7"/>
    </row>
    <row r="13" customFormat="false" ht="18.75" hidden="false" customHeight="true" outlineLevel="0" collapsed="false">
      <c r="A13" s="21" t="s">
        <v>110</v>
      </c>
      <c r="B13" s="7" t="s">
        <v>111</v>
      </c>
      <c r="C13" s="7"/>
      <c r="D13" s="7"/>
      <c r="E13" s="7"/>
      <c r="F13" s="7"/>
      <c r="G13" s="7"/>
    </row>
    <row r="14" customFormat="false" ht="18.75" hidden="false" customHeight="true" outlineLevel="0" collapsed="false">
      <c r="A14" s="21" t="s">
        <v>112</v>
      </c>
      <c r="B14" s="7" t="s">
        <v>113</v>
      </c>
      <c r="C14" s="7"/>
      <c r="D14" s="7"/>
      <c r="E14" s="7"/>
      <c r="F14" s="7"/>
      <c r="G14" s="7"/>
    </row>
    <row r="15" customFormat="false" ht="18.75" hidden="false" customHeight="true" outlineLevel="0" collapsed="false">
      <c r="A15" s="21" t="s">
        <v>114</v>
      </c>
      <c r="B15" s="7" t="s">
        <v>115</v>
      </c>
      <c r="C15" s="7"/>
      <c r="D15" s="7"/>
      <c r="E15" s="7"/>
      <c r="F15" s="7"/>
      <c r="G15" s="7"/>
    </row>
    <row r="17" customFormat="false" ht="15" hidden="false" customHeight="false" outlineLevel="0" collapsed="false">
      <c r="A17" s="17" t="s">
        <v>38</v>
      </c>
      <c r="B17" s="17"/>
      <c r="C17" s="17"/>
      <c r="D17" s="17"/>
      <c r="E17" s="17"/>
      <c r="F17" s="17" t="s">
        <v>39</v>
      </c>
      <c r="G17" s="17" t="s">
        <v>40</v>
      </c>
    </row>
    <row r="18" customFormat="false" ht="33.75" hidden="false" customHeight="true" outlineLevel="0" collapsed="false">
      <c r="A18" s="7" t="s">
        <v>116</v>
      </c>
      <c r="B18" s="7"/>
      <c r="C18" s="7"/>
      <c r="D18" s="7"/>
      <c r="E18" s="7"/>
      <c r="F18" s="16"/>
      <c r="G18" s="19" t="str">
        <f aca="false">IF(F18="","",IF(ABS(F18-(67))&lt;=0.000000001,"Riktig","Prøv igjen"))</f>
        <v/>
      </c>
    </row>
    <row r="19" customFormat="false" ht="33.75" hidden="false" customHeight="true" outlineLevel="0" collapsed="false">
      <c r="A19" s="7" t="s">
        <v>117</v>
      </c>
      <c r="B19" s="7"/>
      <c r="C19" s="7"/>
      <c r="D19" s="7"/>
      <c r="E19" s="7"/>
      <c r="F19" s="16"/>
      <c r="G19" s="19" t="str">
        <f aca="false">IF(F19="","",IF(ABS(F19-(334))&lt;=0.000000001,"Riktig","Prøv igjen"))</f>
        <v/>
      </c>
    </row>
    <row r="20" customFormat="false" ht="48.75" hidden="false" customHeight="true" outlineLevel="0" collapsed="false">
      <c r="A20" s="7" t="s">
        <v>118</v>
      </c>
      <c r="B20" s="7"/>
      <c r="C20" s="7"/>
      <c r="D20" s="7"/>
      <c r="E20" s="7"/>
      <c r="F20" s="18"/>
      <c r="G20" s="19" t="str">
        <f aca="false">IF(F20="","",IF(UPPER(TRIM(F20))="C","Riktig","Prøv igjen"))</f>
        <v/>
      </c>
    </row>
    <row r="21" customFormat="false" ht="48.75" hidden="false" customHeight="true" outlineLevel="0" collapsed="false">
      <c r="A21" s="7" t="s">
        <v>119</v>
      </c>
      <c r="B21" s="7"/>
      <c r="C21" s="7"/>
      <c r="D21" s="7"/>
      <c r="E21" s="7"/>
      <c r="F21" s="18"/>
      <c r="G21" s="19" t="str">
        <f aca="false">IF(F21="","",IF(UPPER(TRIM(F21))="B","Riktig","Prøv igjen"))</f>
        <v/>
      </c>
    </row>
    <row r="22" customFormat="false" ht="33.75" hidden="false" customHeight="true" outlineLevel="0" collapsed="false">
      <c r="A22" s="7" t="s">
        <v>120</v>
      </c>
      <c r="B22" s="7"/>
      <c r="C22" s="7"/>
      <c r="D22" s="7"/>
      <c r="E22" s="7"/>
    </row>
    <row r="23" customFormat="false" ht="15" hidden="false" customHeight="false" outlineLevel="0" collapsed="false">
      <c r="A23" s="20"/>
      <c r="B23" s="20"/>
      <c r="C23" s="20"/>
      <c r="D23" s="20"/>
      <c r="E23" s="20"/>
      <c r="F23" s="20"/>
      <c r="G23" s="20"/>
    </row>
    <row r="24" customFormat="false" ht="15" hidden="false" customHeight="false" outlineLevel="0" collapsed="false">
      <c r="A24" s="20"/>
      <c r="B24" s="20"/>
      <c r="C24" s="20"/>
      <c r="D24" s="20"/>
      <c r="E24" s="20"/>
      <c r="F24" s="20"/>
      <c r="G24" s="20"/>
    </row>
    <row r="25" customFormat="false" ht="15" hidden="false" customHeight="false" outlineLevel="0" collapsed="false">
      <c r="A25" s="20"/>
      <c r="B25" s="20"/>
      <c r="C25" s="20"/>
      <c r="D25" s="20"/>
      <c r="E25" s="20"/>
      <c r="F25" s="20"/>
      <c r="G25" s="20"/>
    </row>
    <row r="27" customFormat="false" ht="48.75" hidden="false" customHeight="true" outlineLevel="0" collapsed="false">
      <c r="A27" s="6" t="s">
        <v>121</v>
      </c>
      <c r="B27" s="6"/>
      <c r="C27" s="6"/>
      <c r="D27" s="6"/>
      <c r="E27" s="6"/>
      <c r="F27" s="6"/>
      <c r="G27" s="6"/>
    </row>
    <row r="28" customFormat="false" ht="15" hidden="false" customHeight="true" outlineLevel="0" collapsed="false">
      <c r="A28" s="6" t="s">
        <v>47</v>
      </c>
      <c r="B28" s="6"/>
      <c r="C28" s="6"/>
      <c r="D28" s="6"/>
      <c r="E28" s="6"/>
      <c r="F28" s="6"/>
      <c r="G28" s="6"/>
    </row>
  </sheetData>
  <mergeCells count="2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G25"/>
    <mergeCell ref="A27:G27"/>
    <mergeCell ref="A28:G2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2026-10-11T08:45:54Z</dcterms:created>
  <dc:creator>openpyxl</dc:creator>
  <dc:description/>
  <dc:language>en-US</dc:language>
  <cp:lastModifiedBy/>
  <dcterms:modified xsi:type="dcterms:W3CDTF">2026-10-11T08:45:54Z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