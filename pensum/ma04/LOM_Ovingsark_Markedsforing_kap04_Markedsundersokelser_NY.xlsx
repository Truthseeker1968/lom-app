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iledning" sheetId="1" state="visible" r:id="rId1"/>
    <sheet xmlns:r="http://schemas.openxmlformats.org/officeDocument/2006/relationships" name="Feilmargin" sheetId="2" state="visible" r:id="rId2"/>
    <sheet xmlns:r="http://schemas.openxmlformats.org/officeDocument/2006/relationships" name="Hvor mange må svare" sheetId="3" state="visible" r:id="rId3"/>
    <sheet xmlns:r="http://schemas.openxmlformats.org/officeDocument/2006/relationships" name="To undersøkelser" sheetId="4" state="visible" r:id="rId4"/>
    <sheet xmlns:r="http://schemas.openxmlformats.org/officeDocument/2006/relationships" name="Scenario" sheetId="5" state="visible" r:id="rId5"/>
    <sheet xmlns:r="http://schemas.openxmlformats.org/officeDocument/2006/relationships" name="Din egen undersøkelse"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1F3864"/>
      <sz val="14"/>
    </font>
    <font>
      <name val="Arial"/>
      <i val="1"/>
      <color rgb="00595959"/>
      <sz val="10"/>
    </font>
    <font>
      <name val="Arial"/>
      <b val="1"/>
      <color rgb="001F3864"/>
      <sz val="10"/>
    </font>
    <font>
      <name val="Arial"/>
      <sz val="10"/>
    </font>
    <font>
      <name val="Arial"/>
      <color rgb="000000FF"/>
      <sz val="10"/>
    </font>
    <font>
      <name val="Arial"/>
      <b val="1"/>
      <sz val="10"/>
    </font>
    <font>
      <name val="Arial"/>
      <i val="1"/>
      <color rgb="00595959"/>
      <sz val="9"/>
    </font>
    <font>
      <name val="Arial"/>
      <b val="1"/>
      <color rgb="00FFFFFF"/>
      <sz val="10"/>
    </font>
  </fonts>
  <fills count="6">
    <fill>
      <patternFill/>
    </fill>
    <fill>
      <patternFill patternType="gray125"/>
    </fill>
    <fill>
      <patternFill patternType="solid">
        <fgColor rgb="00FFF2CC"/>
      </patternFill>
    </fill>
    <fill>
      <patternFill patternType="solid">
        <fgColor rgb="00DCE6F4"/>
      </patternFill>
    </fill>
    <fill>
      <patternFill patternType="solid">
        <fgColor rgb="00F2F2F2"/>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7" fillId="0" borderId="0" pivotButton="0" quotePrefix="0" xfId="0"/>
    <xf numFmtId="0" fontId="3" fillId="0" borderId="0" pivotButton="0" quotePrefix="0" xfId="0"/>
    <xf numFmtId="0" fontId="5" fillId="2" borderId="1" pivotButton="0" quotePrefix="0" xfId="0"/>
    <xf numFmtId="0" fontId="4" fillId="0" borderId="0" pivotButton="0" quotePrefix="0" xfId="0"/>
    <xf numFmtId="0" fontId="4" fillId="4" borderId="1" pivotButton="0" quotePrefix="0" xfId="0"/>
    <xf numFmtId="0" fontId="6" fillId="0" borderId="0" pivotButton="0" quotePrefix="0" xfId="0"/>
    <xf numFmtId="0" fontId="8" fillId="5" borderId="0" applyAlignment="1" pivotButton="0" quotePrefix="0" xfId="0">
      <alignment horizontal="center" vertical="center" wrapText="1"/>
    </xf>
    <xf numFmtId="3" fontId="5" fillId="2" borderId="1" pivotButton="0" quotePrefix="0" xfId="0"/>
    <xf numFmtId="4" fontId="5" fillId="2" borderId="1" pivotButton="0" quotePrefix="0" xfId="0"/>
    <xf numFmtId="164" fontId="6" fillId="3" borderId="1" pivotButton="0" quotePrefix="0" xfId="0"/>
    <xf numFmtId="3" fontId="4" fillId="4" borderId="1" pivotButton="0" quotePrefix="0" xfId="0"/>
    <xf numFmtId="164" fontId="6" fillId="4" borderId="1" pivotButton="0" quotePrefix="0" xfId="0"/>
    <xf numFmtId="164" fontId="4" fillId="4" borderId="1" pivotButton="0" quotePrefix="0" xfId="0"/>
    <xf numFmtId="4" fontId="4" fillId="4" borderId="1" pivotButton="0" quotePrefix="0" xfId="0"/>
    <xf numFmtId="0" fontId="6" fillId="3" borderId="1" pivotButton="0" quotePrefix="0" xfId="0"/>
    <xf numFmtId="0" fontId="6" fillId="4" borderId="1" pivotButton="0" quotePrefix="0" xfId="0"/>
    <xf numFmtId="164" fontId="5" fillId="2" borderId="1" pivotButton="0" quotePrefix="0" xfId="0"/>
    <xf numFmtId="3" fontId="6" fillId="3" borderId="1" pivotButton="0" quotePrefix="0" xfId="0"/>
  </cellXfs>
  <cellStyles count="1">
    <cellStyle name="Normal" xfId="0" builtinId="0" hidden="0"/>
  </cellStyles>
  <dxfs count="1">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56"/>
  <sheetViews>
    <sheetView showGridLines="0" workbookViewId="0">
      <selection activeCell="A1" sqref="A1"/>
    </sheetView>
  </sheetViews>
  <sheetFormatPr baseColWidth="8" defaultRowHeight="15"/>
  <cols>
    <col width="40" customWidth="1" min="1" max="1"/>
    <col width="32" customWidth="1" min="2" max="2"/>
    <col width="62" customWidth="1" min="3" max="3"/>
  </cols>
  <sheetData>
    <row r="1">
      <c r="A1" s="1" t="inlineStr">
        <is>
          <t>Utvalg, svarprosent og feilmargin</t>
        </is>
      </c>
    </row>
    <row r="2">
      <c r="A2" s="2" t="inlineStr">
        <is>
          <t>LØM Markedsføring kap. 4 · arbeidsregneark · Fagskolen Oslo, Avdeling Elkraft</t>
        </is>
      </c>
    </row>
    <row r="3">
      <c r="A3" s="3" t="inlineStr">
        <is>
          <t>Emne: Teknisk kommunikasjon og ledelse for 1ET-klassene · LØM for 2ET, 2EK, 3EK og 4EK</t>
        </is>
      </c>
    </row>
    <row r="4">
      <c r="A4" s="4" t="inlineStr">
        <is>
          <t>Fargekode</t>
        </is>
      </c>
    </row>
    <row r="5">
      <c r="A5" s="5" t="inlineStr">
        <is>
          <t>Gul celle med blå skrift</t>
        </is>
      </c>
      <c r="B5" s="6" t="inlineStr">
        <is>
          <t>Inndata — dette er tallene du endrer.</t>
        </is>
      </c>
    </row>
    <row r="6">
      <c r="A6" s="7" t="inlineStr">
        <is>
          <t>Grå eller lyseblå celle, svart skrift</t>
        </is>
      </c>
      <c r="B6" s="6" t="inlineStr">
        <is>
          <t>Formel — regner seg selv. Ikke skriv over den.</t>
        </is>
      </c>
    </row>
    <row r="7">
      <c r="A7" s="7" t="inlineStr">
        <is>
          <t>Mørkeblå rad med hvit skrift</t>
        </is>
      </c>
      <c r="B7" s="6" t="inlineStr">
        <is>
          <t>Kolonneoverskrift.</t>
        </is>
      </c>
    </row>
    <row r="9">
      <c r="A9" s="4" t="inlineStr">
        <is>
          <t>Ark i arbeidsboka</t>
        </is>
      </c>
    </row>
    <row r="10">
      <c r="A10" s="8" t="inlineStr">
        <is>
          <t>Feilmargin</t>
        </is>
      </c>
      <c r="B10" s="6" t="inlineStr">
        <is>
          <t>Hovedarket. Legg inn antall utsendte, antall svar og antall ja, og se hvor mye svaret kan bomme. Her ligger cellene du styrer alt fra: B5 til B9.</t>
        </is>
      </c>
    </row>
    <row r="11">
      <c r="A11" s="8" t="inlineStr">
        <is>
          <t>Hvor mange må svare</t>
        </is>
      </c>
      <c r="B11" s="6" t="inlineStr">
        <is>
          <t>Feilmarginen ved ulike utvalgsstørrelser. Kurven flater ut, og det er hele poenget.</t>
        </is>
      </c>
    </row>
    <row r="12">
      <c r="A12" s="8" t="inlineStr">
        <is>
          <t>To undersøkelser</t>
        </is>
      </c>
      <c r="B12" s="6" t="inlineStr">
        <is>
          <t>Karis e-post mot telefonrunden — samme bedrift, samme år, to ulike svar.</t>
        </is>
      </c>
    </row>
    <row r="13">
      <c r="A13" s="8" t="inlineStr">
        <is>
          <t>Scenario</t>
        </is>
      </c>
      <c r="B13" s="6" t="inlineStr">
        <is>
          <t>Tre spørsmål: hva svarprosenten gjør med om undersøkelsen er mulig, hva presisjon koster, og hva skjevhet gjør med svaret.</t>
        </is>
      </c>
    </row>
    <row r="14">
      <c r="A14" s="8" t="inlineStr">
        <is>
          <t>Din egen undersøkelse</t>
        </is>
      </c>
      <c r="B14" s="6" t="inlineStr">
        <is>
          <t>Samme oppsett, tomt. Legg inn tallene fra din egen bedrift.</t>
        </is>
      </c>
    </row>
    <row r="16">
      <c r="A16" s="3" t="inlineStr">
        <is>
          <t>Tallene som ligger inne er de to undersøkelsene Kari Nordlund gjorde i 2026.</t>
        </is>
      </c>
    </row>
    <row r="17">
      <c r="A17" s="3" t="inlineStr"/>
    </row>
    <row r="18">
      <c r="A18" s="3" t="inlineStr">
        <is>
          <t>MERK: feilmarginen står IKKE i læreboka. Hjertnes kap. 4.5 og 4.7.3 sier at</t>
        </is>
      </c>
    </row>
    <row r="19">
      <c r="A19" s="3" t="inlineStr">
        <is>
          <t>gyldigheten bestemmes av utvalgets størrelse og sammensetning, men tallfester det</t>
        </is>
      </c>
    </row>
    <row r="20">
      <c r="A20" s="3" t="inlineStr">
        <is>
          <t>ikke. Formelen her er standard utvalgsteori og er tatt med for å gjøre bokas eget</t>
        </is>
      </c>
    </row>
    <row r="21">
      <c r="A21" s="3" t="inlineStr">
        <is>
          <t>poeng målbart. Der arket og læreboka skulle stå mot hverandre, gjelder læreboka.</t>
        </is>
      </c>
    </row>
    <row r="22">
      <c r="A22" s="3" t="inlineStr"/>
    </row>
    <row r="23">
      <c r="A23" s="3" t="inlineStr">
        <is>
          <t>To ting formelen IKKE fikser:</t>
        </is>
      </c>
    </row>
    <row r="24">
      <c r="A24" s="3" t="inlineStr">
        <is>
          <t>1) Skjevhet. Er utvalget ikke trukket tilfeldig, er tallet presist regnet på feil folk.</t>
        </is>
      </c>
    </row>
    <row r="25">
      <c r="A25" s="3" t="inlineStr">
        <is>
          <t xml:space="preserve">   Scenario C i arket «Scenario» viser hvor galt det kan bli.</t>
        </is>
      </c>
    </row>
    <row r="26">
      <c r="A26" s="3" t="inlineStr">
        <is>
          <t>2) Små tall. Under 30 svar er feilmarginen et varsel om usikkerhet, ikke en presis grense.</t>
        </is>
      </c>
    </row>
    <row r="28">
      <c r="A28" s="3" t="inlineStr">
        <is>
          <t>Tallene som ligger inne er et eksempel fra en elektrobedrift. Bytt dem ut med dine egne — alle formler følger med.</t>
        </is>
      </c>
    </row>
    <row r="29">
      <c r="A29" s="3" t="inlineStr">
        <is>
          <t>Arbeidsregneark til LØM · Fagskolen Oslo, Avdeling Elkraft. Regnearket er øvingsstøtte, ikke et regnskapssystem.</t>
        </is>
      </c>
    </row>
    <row r="31">
      <c r="A31" s="4" t="inlineStr">
        <is>
          <t>De fem knappene</t>
        </is>
      </c>
    </row>
    <row r="32">
      <c r="A32" s="6" t="inlineStr">
        <is>
          <t>Feilmargin!B5</t>
        </is>
      </c>
      <c r="B32" s="8" t="inlineStr">
        <is>
          <t>Populasjon</t>
        </is>
      </c>
      <c r="C32" s="6" t="inlineStr">
        <is>
          <t>Hvor mange du kunne ha spurt. Endrer endelighetskorreksjonen i hele arbeidsboka.</t>
        </is>
      </c>
    </row>
    <row r="33">
      <c r="A33" s="6" t="inlineStr">
        <is>
          <t>Feilmargin!B6</t>
        </is>
      </c>
      <c r="B33" s="8" t="inlineStr">
        <is>
          <t>Antall spurt</t>
        </is>
      </c>
      <c r="C33" s="6" t="inlineStr">
        <is>
          <t>Antall forsøk. Sammen med B7 gir den svarprosenten.</t>
        </is>
      </c>
    </row>
    <row r="34">
      <c r="A34" s="6" t="inlineStr">
        <is>
          <t>Feilmargin!B7</t>
        </is>
      </c>
      <c r="B34" s="8" t="inlineStr">
        <is>
          <t>Antall SVAR</t>
        </is>
      </c>
      <c r="C34" s="6" t="inlineStr">
        <is>
          <t>Det tallet som bestemmer usikkerheten. Ikke antall du spurte.</t>
        </is>
      </c>
    </row>
    <row r="35">
      <c r="A35" s="6" t="inlineStr">
        <is>
          <t>Feilmargin!B9</t>
        </is>
      </c>
      <c r="B35" s="8" t="inlineStr">
        <is>
          <t>z-verdi</t>
        </is>
      </c>
      <c r="C35" s="6" t="inlineStr">
        <is>
          <t>Sikkerhetsnivået. 1,96 er det vanlige.</t>
        </is>
      </c>
    </row>
    <row r="36">
      <c r="A36" s="6" t="inlineStr">
        <is>
          <t>Feilmargin!B30</t>
        </is>
      </c>
      <c r="B36" s="8" t="inlineStr">
        <is>
          <t>Ønsket feilmargin</t>
        </is>
      </c>
      <c r="C36" s="6" t="inlineStr">
        <is>
          <t>Hva du krever av presisjon. Styrer scenario A og B.</t>
        </is>
      </c>
    </row>
    <row r="38">
      <c r="A38" s="4" t="inlineStr">
        <is>
          <t>Hvilken oppgave bruker hvilket ark</t>
        </is>
      </c>
    </row>
    <row r="39" ht="28" customHeight="1">
      <c r="A39" s="9" t="inlineStr">
        <is>
          <t>Oppgave i øvingsheftet</t>
        </is>
      </c>
      <c r="B39" s="9" t="inlineStr">
        <is>
          <t>Ark</t>
        </is>
      </c>
      <c r="C39" s="9" t="inlineStr">
        <is>
          <t>Celler du endrer og leser av</t>
        </is>
      </c>
    </row>
    <row r="40">
      <c r="A40" s="6" t="inlineStr">
        <is>
          <t>A1 · Kan Kari si at kundene er fornøyde, med tolv svar?</t>
        </is>
      </c>
      <c r="B40" s="8" t="inlineStr">
        <is>
          <t>Feilmargin</t>
        </is>
      </c>
      <c r="C40" s="6" t="inlineStr">
        <is>
          <t>Tallene ligger inne. Se hva feilmarginen i B20 blir.</t>
        </is>
      </c>
    </row>
    <row r="41">
      <c r="A41" s="6" t="inlineStr">
        <is>
          <t>A2 · Hva er galt med å spørre bare de kundene du likte?</t>
        </is>
      </c>
      <c r="B41" s="8" t="inlineStr">
        <is>
          <t>Scenario</t>
        </is>
      </c>
      <c r="C41" s="6" t="inlineStr">
        <is>
          <t>Scenario C: sett andelen ja blant dem som ikke svarte, og se hva den sanne andelen blir.</t>
        </is>
      </c>
    </row>
    <row r="42">
      <c r="A42" s="6" t="inlineStr">
        <is>
          <t>1 · Hva tolv svar er verdt</t>
        </is>
      </c>
      <c r="B42" s="8" t="inlineStr">
        <is>
          <t>Feilmargin</t>
        </is>
      </c>
      <c r="C42" s="6" t="inlineStr">
        <is>
          <t>Legg inn B5, B6, B7 og B8. Les av svarprosenten i B12, andelen ja i B14, feilmarginen i B19 og B20 og intervallet i B21 og B22.</t>
        </is>
      </c>
    </row>
    <row r="43">
      <c r="A43" s="6" t="inlineStr">
        <is>
          <t>2 · To undersøkelser, samme bedrift</t>
        </is>
      </c>
      <c r="B43" s="8" t="inlineStr">
        <is>
          <t>To undersøkelser</t>
        </is>
      </c>
      <c r="C43" s="6" t="inlineStr">
        <is>
          <t>Endre B8 til B10 og C8 til C10. Les av rad 12 til 17, og dommen i D19.</t>
        </is>
      </c>
    </row>
    <row r="44">
      <c r="A44" s="6" t="inlineStr">
        <is>
          <t>3 · Hva presisjon koster</t>
        </is>
      </c>
      <c r="B44" s="8" t="inlineStr">
        <is>
          <t>Hvor mange må svare og Scenario</t>
        </is>
      </c>
      <c r="C44" s="6" t="inlineStr">
        <is>
          <t>Tabellen i «Hvor mange må svare» gir deloppgave a) direkte. Scenario A: endre svarprosentene i B8, C8 og D8 og les av rad 11 til 13. Scenario B er tabellen over hva presisjon koster.</t>
        </is>
      </c>
    </row>
    <row r="45">
      <c r="A45" s="6" t="inlineStr">
        <is>
          <t>4 · Sjekkliste: fra spørsmål til rapport</t>
        </is>
      </c>
      <c r="B45" s="8" t="inlineStr">
        <is>
          <t>—</t>
        </is>
      </c>
      <c r="C45" s="6" t="inlineStr">
        <is>
          <t>Denne oppgaven fyller du ut i heftet. Den bruker ikke regnearket.</t>
        </is>
      </c>
    </row>
    <row r="46">
      <c r="A46" s="6" t="inlineStr">
        <is>
          <t>5 · Eksamensnær: hvorfor taper vi anbud?</t>
        </is>
      </c>
      <c r="B46" s="8" t="inlineStr">
        <is>
          <t>Scenario</t>
        </is>
      </c>
      <c r="C46" s="6" t="inlineStr">
        <is>
          <t>Scenario A gir deg hva metoden koster i antall du må spørre. Scenario C gir deg argumentet for hvem du må spørre. Bruk «Din egen undersøkelse» hvis du vil regne på din egen bedrift.</t>
        </is>
      </c>
    </row>
    <row r="48">
      <c r="A48" s="4" t="inlineStr">
        <is>
          <t>Kontrollradene</t>
        </is>
      </c>
    </row>
    <row r="49">
      <c r="A49" s="6" t="inlineStr">
        <is>
          <t>Hvert regneark har en kontrollblokk. Står det OK, henger tallene sammen. Står det AVVIK, farges cellen rød, og teksten sier hva som ikke går opp.</t>
        </is>
      </c>
    </row>
    <row r="50">
      <c r="A50" s="6" t="inlineStr">
        <is>
          <t>To unntak, der AVVIK er selve svaret: kontrollen om tretti svar i arket «Feilmargin» skal vise AVVIK med tallene som ligger inne — tolv svar er for få. Og kontrollen i scenario A skal vise OK nettopp fordi e-postrunden er umulig å gjennomføre.</t>
        </is>
      </c>
    </row>
    <row r="51">
      <c r="A51" s="3" t="inlineStr">
        <is>
          <t>Kontroller i arbeidsboka: Feilmargin B36, Feilmargin B37, Feilmargin B38, Hvor mange må svare C20, Hvor mange må svare C21, Hvor mange må svare C22, To undersøkelser B22, To undersøkelser B23, To undersøkelser B24, Scenario B16, Scenario B17, Scenario B31, Scenario B32, Scenario B48, Scenario B49, Din egen undersøkelse B23, Din egen undersøkelse B24</t>
        </is>
      </c>
    </row>
    <row r="53">
      <c r="A53" s="4" t="inlineStr">
        <is>
          <t>Kilder</t>
        </is>
      </c>
    </row>
    <row r="54">
      <c r="A54" s="3" t="inlineStr">
        <is>
          <t>Hjertnes, F.: Markedsføring, organisasjon og ledelse for LØM-emnet, 4. utg., kap. 4.1 til 4.7. Feilmarginformelen og vektingen i scenario C er standard utvalgsteori og et tillegg til læreboka.</t>
        </is>
      </c>
    </row>
    <row r="55">
      <c r="A55" s="3" t="inlineStr">
        <is>
          <t>Populasjonen er Nordlys Elektro AS sine egne kunder i 2026: 214 kunder — de 34 som fikk solcelleanlegg og de 180 som fikk ladepunkt i 2026.</t>
        </is>
      </c>
    </row>
    <row r="56">
      <c r="A56" s="3" t="inlineStr">
        <is>
          <t>Bransjetall: NHO Elektro, Lønnsomhetsrapport 2025, gjengitt i Elektro 24-7 19.08.2026 (hentet 10.09.2026). De 809 er bedriftene i datagrunnlaget, ikke bransjen. NHO Elektro oppgir ikke svarprosent.</t>
        </is>
      </c>
    </row>
  </sheetData>
  <printOptions horizontalCentered="0"/>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C42"/>
  <sheetViews>
    <sheetView showGridLines="0" workbookViewId="0">
      <pane ySplit="3" topLeftCell="A4" activePane="bottomLeft" state="frozen"/>
      <selection pane="bottomLeft" activeCell="A1" sqref="A1"/>
    </sheetView>
  </sheetViews>
  <sheetFormatPr baseColWidth="8" defaultRowHeight="15"/>
  <cols>
    <col width="48" customWidth="1" min="1" max="1"/>
    <col width="14" customWidth="1" min="2" max="2"/>
    <col width="66" customWidth="1" min="3" max="3"/>
  </cols>
  <sheetData>
    <row r="1">
      <c r="A1" s="1" t="inlineStr">
        <is>
          <t>Hvor mye kan svaret bomme?</t>
        </is>
      </c>
    </row>
    <row r="2">
      <c r="A2" s="2" t="inlineStr">
        <is>
          <t>Endre de gule cellene. Alt annet regner seg selv.</t>
        </is>
      </c>
    </row>
    <row r="4">
      <c r="A4" s="4" t="inlineStr">
        <is>
          <t>1 · Undersøkelsen</t>
        </is>
      </c>
    </row>
    <row r="5">
      <c r="A5" s="6" t="inlineStr">
        <is>
          <t>Populasjon: hvor mange kunne du ha spurt?</t>
        </is>
      </c>
      <c r="B5" s="10" t="n">
        <v>214</v>
      </c>
      <c r="C5" s="6" t="inlineStr">
        <is>
          <t>214 kunder — de 34 som fikk solcelleanlegg og de 180 som fikk ladepunkt i 2026</t>
        </is>
      </c>
    </row>
    <row r="6">
      <c r="A6" s="6" t="inlineStr">
        <is>
          <t>Antall du sendte til eller ringte</t>
        </is>
      </c>
      <c r="B6" s="10" t="n">
        <v>60</v>
      </c>
    </row>
    <row r="7">
      <c r="A7" s="6" t="inlineStr">
        <is>
          <t>Antall som SVARTE</t>
        </is>
      </c>
      <c r="B7" s="10" t="n">
        <v>12</v>
      </c>
      <c r="C7" s="6" t="inlineStr">
        <is>
          <t>Det er dette tallet som avgjør usikkerheten — ikke antall du spurte.</t>
        </is>
      </c>
    </row>
    <row r="8">
      <c r="A8" s="6" t="inlineStr">
        <is>
          <t>Antall av dem som svarte ja</t>
        </is>
      </c>
      <c r="B8" s="10" t="n">
        <v>11</v>
      </c>
    </row>
    <row r="9">
      <c r="A9" s="6" t="inlineStr">
        <is>
          <t>z-verdi (sikkerhetsnivå)</t>
        </is>
      </c>
      <c r="B9" s="11" t="n">
        <v>1.96</v>
      </c>
      <c r="C9" s="6" t="inlineStr">
        <is>
          <t>1,645 gir 90 % sikkerhet · 1,96 gir 95 % · 2,576 gir 99 %</t>
        </is>
      </c>
    </row>
    <row r="11">
      <c r="A11" s="4" t="inlineStr">
        <is>
          <t>2 · Hva du fikk inn</t>
        </is>
      </c>
    </row>
    <row r="12">
      <c r="A12" s="8" t="inlineStr">
        <is>
          <t>= Svarprosent</t>
        </is>
      </c>
      <c r="B12" s="12">
        <f>IF(B6=0,0,B7/B6)</f>
        <v/>
      </c>
      <c r="C12" s="6" t="inlineStr">
        <is>
          <t>Står den ikke i rapporten, er det som regel fordi den var lav.</t>
        </is>
      </c>
    </row>
    <row r="13">
      <c r="A13" s="6" t="inlineStr">
        <is>
          <t>= Frafall (de som ikke svarte)</t>
        </is>
      </c>
      <c r="B13" s="13">
        <f>B6-B7</f>
        <v/>
      </c>
      <c r="C13" s="6" t="inlineStr">
        <is>
          <t>Frafallet er sjelden en tilfeldig gruppe. Det gjør resultatet skjevt, ikke bare unøyaktig.</t>
        </is>
      </c>
    </row>
    <row r="14">
      <c r="A14" s="8" t="inlineStr">
        <is>
          <t>= Andelen som svarte ja</t>
        </is>
      </c>
      <c r="B14" s="14">
        <f>IF(B7=0,0,B8/B7)</f>
        <v/>
      </c>
    </row>
    <row r="15">
      <c r="A15" s="6" t="inlineStr">
        <is>
          <t>= Utvalgets andel av populasjonen</t>
        </is>
      </c>
      <c r="B15" s="15">
        <f>IF(B5=0,0,B7/B5)</f>
        <v/>
      </c>
    </row>
    <row r="17">
      <c r="A17" s="4" t="inlineStr">
        <is>
          <t>3 · Feilmarginen</t>
        </is>
      </c>
    </row>
    <row r="18">
      <c r="A18" s="6" t="inlineStr">
        <is>
          <t>Endelighetskorreksjon</t>
        </is>
      </c>
      <c r="B18" s="16">
        <f>IF(B5&lt;=1,1,SQRT(MAX(0,(B5-MIN(B7,B5))/(B5-1))))</f>
        <v/>
      </c>
      <c r="C18" s="6" t="inlineStr">
        <is>
          <t>Spør du en stor del av en kort kundeliste, er usikkerheten mindre enn formelen ellers sier.</t>
        </is>
      </c>
    </row>
    <row r="19">
      <c r="A19" s="8" t="inlineStr">
        <is>
          <t>= Feilmargin ved den andelen dere målte</t>
        </is>
      </c>
      <c r="B19" s="12">
        <f>IF(B7&lt;=0,0,B9*SQRT(B14*(1-B14)/B7)*B18)</f>
        <v/>
      </c>
    </row>
    <row r="20">
      <c r="A20" s="8" t="inlineStr">
        <is>
          <t>= Feilmargin i verste fall (50/50)</t>
        </is>
      </c>
      <c r="B20" s="12">
        <f>IF(B7&lt;=0,0,B9*SQRT(0.25/B7)*B18)</f>
        <v/>
      </c>
      <c r="C20" s="6" t="inlineStr">
        <is>
          <t>Usikkerheten er størst når svarene fordeler seg jevnt. Bruk dette tallet når du er i tvil.</t>
        </is>
      </c>
    </row>
    <row r="21">
      <c r="A21" s="6" t="inlineStr">
        <is>
          <t>= Nedre grense for det sanne svaret</t>
        </is>
      </c>
      <c r="B21" s="14">
        <f>MAX(0,B14-B19)</f>
        <v/>
      </c>
    </row>
    <row r="22">
      <c r="A22" s="6" t="inlineStr">
        <is>
          <t>= Øvre grense for det sanne svaret</t>
        </is>
      </c>
      <c r="B22" s="14">
        <f>MIN(1,B14+B19)</f>
        <v/>
      </c>
    </row>
    <row r="23">
      <c r="A23" s="6" t="inlineStr">
        <is>
          <t>Konklusjonen du har lov til å trekke</t>
        </is>
      </c>
      <c r="C23" s="17">
        <f>IF(B7=0,"Ingen svar — ingen konklusjon.","Det sanne tallet ligger et sted mellom "&amp;SUBSTITUTE(TEXT(B21*100,"0.0"),".",",")&amp;" % og "&amp;SUBSTITUTE(TEXT(B22*100,"0.0"),".",",")&amp;" %, med "&amp;IF(B9&lt;1.8,"90",IF(B9&lt;2.2,"95","99"))&amp;" % sikkerhet.")</f>
        <v/>
      </c>
    </row>
    <row r="25">
      <c r="A25" s="4" t="inlineStr">
        <is>
          <t>4 · Advarsler</t>
        </is>
      </c>
      <c r="C25" s="18">
        <f>IF(B7&lt;30,"FÆRRE ENN 30 SVAR: formelen forutsetter et større utvalg. Bruk tallet som et varsel om usikkerhet, ikke som en presis grense.","")</f>
        <v/>
      </c>
    </row>
    <row r="26">
      <c r="C26" s="18">
        <f>IF(B12&lt;0.4,"LAV SVARPROSENT: de som ikke svarte er sjelden en tilfeldig gruppe. Feilmarginen fanger ikke opp skjevheten.","")</f>
        <v/>
      </c>
    </row>
    <row r="27">
      <c r="C27" s="18">
        <f>IF(B20&gt;0.1,"FEILMARGINEN ER STØRRE ENN TI PROSENTPOENG: du kan ikke skille mellom to alternativer som ligger nær hverandre.","")</f>
        <v/>
      </c>
    </row>
    <row r="29">
      <c r="A29" s="4" t="inlineStr">
        <is>
          <t>5 · Hvor mange svar trenger dere?</t>
        </is>
      </c>
    </row>
    <row r="30">
      <c r="A30" s="6" t="inlineStr">
        <is>
          <t>Ønsket feilmargin</t>
        </is>
      </c>
      <c r="B30" s="19" t="n">
        <v>0.1</v>
      </c>
    </row>
    <row r="31">
      <c r="A31" s="6" t="inlineStr">
        <is>
          <t>Nødvendig antall svar, uten hensyn til liten populasjon</t>
        </is>
      </c>
      <c r="B31" s="13">
        <f>IF(B30&lt;=0,0,ROUNDUP(B9^2*0.25/B30^2,0))</f>
        <v/>
      </c>
    </row>
    <row r="32">
      <c r="A32" s="8" t="inlineStr">
        <is>
          <t>= Nødvendig antall SVAR</t>
        </is>
      </c>
      <c r="B32" s="20">
        <f>IF(B31=0,0,ROUNDUP(B31*B5/(B31+B5-1),0))</f>
        <v/>
      </c>
    </row>
    <row r="33">
      <c r="A33" s="8" t="inlineStr">
        <is>
          <t>= Antall dere må spørre, med svarprosenten over</t>
        </is>
      </c>
      <c r="B33" s="20">
        <f>IF(B12=0,0,ROUNDUP(B32/B12,0))</f>
        <v/>
      </c>
      <c r="C33" s="18">
        <f>IF(B33&gt;B5,"Flere enn det finnes kunder. Med denne svarprosenten er undersøkelsen umulig — svarprosenten må opp.","Gjennomførbart.")</f>
        <v/>
      </c>
    </row>
    <row r="35">
      <c r="A35" s="4" t="inlineStr">
        <is>
          <t>Kontroll</t>
        </is>
      </c>
    </row>
    <row r="36">
      <c r="A36" s="6" t="inlineStr">
        <is>
          <t>Er tallene logisk mulige?</t>
        </is>
      </c>
      <c r="B36" s="18">
        <f>IF(AND(B7&lt;=B6,B8&lt;=B7,B6&lt;=B5),"OK — svar er færre enn spurte, ja er færre enn svar, og ingen er spurt to ganger","AVVIK: flere svar enn spurte, flere ja enn svar, eller flere spurte enn det finnes kunder")</f>
        <v/>
      </c>
    </row>
    <row r="37">
      <c r="A37" s="6" t="inlineStr">
        <is>
          <t>Ligger konfidensintervallet innenfor null og hundre?</t>
        </is>
      </c>
      <c r="B37" s="18">
        <f>IF(AND(B21&gt;=0,B22&lt;=1,B21&lt;=B22),"OK — intervallet er mulig","AVVIK: intervallet sprenger null eller hundre prosent")</f>
        <v/>
      </c>
    </row>
    <row r="38">
      <c r="A38" s="6" t="inlineStr">
        <is>
          <t>Er utvalget stort nok til at formelen er til å stole på?</t>
        </is>
      </c>
      <c r="B38" s="18">
        <f>IF(B7&gt;=30,"OK — tretti svar eller mer, formelen er til å stole på","AVVIK: under tretti svar. Det er ikke en regnefeil, men tallet er et varsel om usikkerhet og ikke en presis grense")</f>
        <v/>
      </c>
    </row>
    <row r="39">
      <c r="A39" s="3" t="inlineStr">
        <is>
          <t>Med tallene som ligger inne SKAL det stå AVVIK her. Det er hele poenget med Karis e-post i januar: tolv svar er for få til å konkludere.</t>
        </is>
      </c>
    </row>
    <row r="41">
      <c r="A41" s="8" t="inlineStr">
        <is>
          <t>Prøv dette: sett svarprosenten opp ved å bytte e-post med telefon — sett B6 til 90 og B7 til 67 — og se hvor mye smalere intervallet blir.</t>
        </is>
      </c>
    </row>
    <row r="42">
      <c r="A42" s="3" t="inlineStr">
        <is>
          <t>Kilde: Hjertnes, F.: Markedsføring, organisasjon og ledelse for LØM-emnet, 4. utg., kap. 4.5, 4.6 og 4.7.3. Feilmarginformelen er standard utvalgsteori og et tillegg til læreboka. Populasjonen er Nordlys Elektro AS sine egne kunder i 2026.</t>
        </is>
      </c>
    </row>
  </sheetData>
  <conditionalFormatting sqref="B36">
    <cfRule type="expression" priority="1" dxfId="0" stopIfTrue="0">
      <formula>LEFT(B36,5)="AVVIK"</formula>
    </cfRule>
  </conditionalFormatting>
  <conditionalFormatting sqref="B37">
    <cfRule type="expression" priority="2" dxfId="0" stopIfTrue="0">
      <formula>LEFT(B37,5)="AVVIK"</formula>
    </cfRule>
  </conditionalFormatting>
  <conditionalFormatting sqref="B38">
    <cfRule type="expression" priority="3" dxfId="0" stopIfTrue="0">
      <formula>LEFT(B38,5)="AVVIK"</formula>
    </cfRule>
  </conditionalFormatting>
  <printOptions horizontalCentered="0"/>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E24"/>
  <sheetViews>
    <sheetView showGridLines="0" workbookViewId="0">
      <pane ySplit="4" topLeftCell="A5" activePane="bottomLeft" state="frozen"/>
      <selection pane="bottomLeft" activeCell="A1" sqref="A1"/>
    </sheetView>
  </sheetViews>
  <sheetFormatPr baseColWidth="8" defaultRowHeight="15"/>
  <cols>
    <col width="18" customWidth="1" min="1" max="1"/>
    <col width="22" customWidth="1" min="2" max="2"/>
    <col width="26" customWidth="1" min="3" max="3"/>
    <col width="22" customWidth="1" min="4" max="4"/>
    <col width="52" customWidth="1" min="5" max="5"/>
  </cols>
  <sheetData>
    <row r="1">
      <c r="A1" s="1" t="inlineStr">
        <is>
          <t>Feilmarginen ved ulike utvalgsstørrelser</t>
        </is>
      </c>
    </row>
    <row r="2">
      <c r="A2" s="2" t="inlineStr">
        <is>
          <t>Populasjon og z-verdi hentes fra arket «Feilmargin». Marker A5:C14 og sett inn et linjediagram hvis du vil se kurven.</t>
        </is>
      </c>
    </row>
    <row r="4" ht="28" customHeight="1">
      <c r="A4" s="9" t="inlineStr">
        <is>
          <t>Antall svar</t>
        </is>
      </c>
      <c r="B4" s="9" t="inlineStr">
        <is>
          <t>Andel av populasjonen</t>
        </is>
      </c>
      <c r="C4" s="9" t="inlineStr">
        <is>
          <t>Feilmargin (50/50)</t>
        </is>
      </c>
      <c r="D4" s="9" t="inlineStr">
        <is>
          <t>Uten korreksjon</t>
        </is>
      </c>
      <c r="E4" s="9" t="inlineStr">
        <is>
          <t>Hva det betyr i praksis</t>
        </is>
      </c>
    </row>
    <row r="5">
      <c r="A5" s="10" t="n">
        <v>10</v>
      </c>
      <c r="B5" s="15">
        <f>IF(Feilmargin!$B$5=0,0,A5/Feilmargin!$B$5)</f>
        <v/>
      </c>
      <c r="C5" s="12">
        <f>IF(A5&lt;=0,0,Feilmargin!$B$9*SQRT(0.25/A5)*IF(Feilmargin!$B$5&lt;=1,1,SQRT(MAX(0,(Feilmargin!$B$5-MIN(A5,Feilmargin!$B$5))/(Feilmargin!$B$5-1)))))</f>
        <v/>
      </c>
      <c r="D5" s="15">
        <f>IF(A5&lt;=0,0,Feilmargin!$B$9*SQRT(0.25/A5))</f>
        <v/>
      </c>
      <c r="E5" s="6" t="inlineStr">
        <is>
          <t>Du kan ikke skille mellom en av tre og to av tre.</t>
        </is>
      </c>
    </row>
    <row r="6">
      <c r="A6" s="10" t="n">
        <v>12</v>
      </c>
      <c r="B6" s="15">
        <f>IF(Feilmargin!$B$5=0,0,A6/Feilmargin!$B$5)</f>
        <v/>
      </c>
      <c r="C6" s="12">
        <f>IF(A6&lt;=0,0,Feilmargin!$B$9*SQRT(0.25/A6)*IF(Feilmargin!$B$5&lt;=1,1,SQRT(MAX(0,(Feilmargin!$B$5-MIN(A6,Feilmargin!$B$5))/(Feilmargin!$B$5-1)))))</f>
        <v/>
      </c>
      <c r="D6" s="15">
        <f>IF(A6&lt;=0,0,Feilmargin!$B$9*SQRT(0.25/A6))</f>
        <v/>
      </c>
      <c r="E6" s="6" t="inlineStr">
        <is>
          <t>Karis e-post i januar. Nesten ingen konklusjon tåler dette.</t>
        </is>
      </c>
    </row>
    <row r="7">
      <c r="A7" s="10" t="n">
        <v>20</v>
      </c>
      <c r="B7" s="15">
        <f>IF(Feilmargin!$B$5=0,0,A7/Feilmargin!$B$5)</f>
        <v/>
      </c>
      <c r="C7" s="12">
        <f>IF(A7&lt;=0,0,Feilmargin!$B$9*SQRT(0.25/A7)*IF(Feilmargin!$B$5&lt;=1,1,SQRT(MAX(0,(Feilmargin!$B$5-MIN(A7,Feilmargin!$B$5))/(Feilmargin!$B$5-1)))))</f>
        <v/>
      </c>
      <c r="D7" s="15">
        <f>IF(A7&lt;=0,0,Feilmargin!$B$9*SQRT(0.25/A7))</f>
        <v/>
      </c>
      <c r="E7" s="6" t="inlineStr">
        <is>
          <t>Fortsatt for grovt til å velge mellom to alternativer.</t>
        </is>
      </c>
    </row>
    <row r="8">
      <c r="A8" s="10" t="n">
        <v>30</v>
      </c>
      <c r="B8" s="15">
        <f>IF(Feilmargin!$B$5=0,0,A8/Feilmargin!$B$5)</f>
        <v/>
      </c>
      <c r="C8" s="12">
        <f>IF(A8&lt;=0,0,Feilmargin!$B$9*SQRT(0.25/A8)*IF(Feilmargin!$B$5&lt;=1,1,SQRT(MAX(0,(Feilmargin!$B$5-MIN(A8,Feilmargin!$B$5))/(Feilmargin!$B$5-1)))))</f>
        <v/>
      </c>
      <c r="D8" s="15">
        <f>IF(A8&lt;=0,0,Feilmargin!$B$9*SQRT(0.25/A8))</f>
        <v/>
      </c>
      <c r="E8" s="6" t="inlineStr">
        <is>
          <t>Her begynner formelen å bli til å stole på.</t>
        </is>
      </c>
    </row>
    <row r="9">
      <c r="A9" s="10" t="n">
        <v>50</v>
      </c>
      <c r="B9" s="15">
        <f>IF(Feilmargin!$B$5=0,0,A9/Feilmargin!$B$5)</f>
        <v/>
      </c>
      <c r="C9" s="12">
        <f>IF(A9&lt;=0,0,Feilmargin!$B$9*SQRT(0.25/A9)*IF(Feilmargin!$B$5&lt;=1,1,SQRT(MAX(0,(Feilmargin!$B$5-MIN(A9,Feilmargin!$B$5))/(Feilmargin!$B$5-1)))))</f>
        <v/>
      </c>
      <c r="D9" s="15">
        <f>IF(A9&lt;=0,0,Feilmargin!$B$9*SQRT(0.25/A9))</f>
        <v/>
      </c>
      <c r="E9" s="6" t="inlineStr">
        <is>
          <t>Nå kan du se store forskjeller, men ikke små.</t>
        </is>
      </c>
    </row>
    <row r="10">
      <c r="A10" s="10" t="n">
        <v>67</v>
      </c>
      <c r="B10" s="15">
        <f>IF(Feilmargin!$B$5=0,0,A10/Feilmargin!$B$5)</f>
        <v/>
      </c>
      <c r="C10" s="12">
        <f>IF(A10&lt;=0,0,Feilmargin!$B$9*SQRT(0.25/A10)*IF(Feilmargin!$B$5&lt;=1,1,SQRT(MAX(0,(Feilmargin!$B$5-MIN(A10,Feilmargin!$B$5))/(Feilmargin!$B$5-1)))))</f>
        <v/>
      </c>
      <c r="D10" s="15">
        <f>IF(A10&lt;=0,0,Feilmargin!$B$9*SQRT(0.25/A10))</f>
        <v/>
      </c>
      <c r="E10" s="6" t="inlineStr">
        <is>
          <t>Karis telefonrunde i mars. Ti prosentpoeng — nok til å bestemme seg.</t>
        </is>
      </c>
    </row>
    <row r="11">
      <c r="A11" s="10" t="n">
        <v>100</v>
      </c>
      <c r="B11" s="15">
        <f>IF(Feilmargin!$B$5=0,0,A11/Feilmargin!$B$5)</f>
        <v/>
      </c>
      <c r="C11" s="12">
        <f>IF(A11&lt;=0,0,Feilmargin!$B$9*SQRT(0.25/A11)*IF(Feilmargin!$B$5&lt;=1,1,SQRT(MAX(0,(Feilmargin!$B$5-MIN(A11,Feilmargin!$B$5))/(Feilmargin!$B$5-1)))))</f>
        <v/>
      </c>
      <c r="D11" s="15">
        <f>IF(A11&lt;=0,0,Feilmargin!$B$9*SQRT(0.25/A11))</f>
        <v/>
      </c>
      <c r="E11" s="6" t="inlineStr">
        <is>
          <t>Presist nok for de fleste beslutninger en installatør står i.</t>
        </is>
      </c>
    </row>
    <row r="12">
      <c r="A12" s="10" t="n">
        <v>150</v>
      </c>
      <c r="B12" s="15">
        <f>IF(Feilmargin!$B$5=0,0,A12/Feilmargin!$B$5)</f>
        <v/>
      </c>
      <c r="C12" s="12">
        <f>IF(A12&lt;=0,0,Feilmargin!$B$9*SQRT(0.25/A12)*IF(Feilmargin!$B$5&lt;=1,1,SQRT(MAX(0,(Feilmargin!$B$5-MIN(A12,Feilmargin!$B$5))/(Feilmargin!$B$5-1)))))</f>
        <v/>
      </c>
      <c r="D12" s="15">
        <f>IF(A12&lt;=0,0,Feilmargin!$B$9*SQRT(0.25/A12))</f>
        <v/>
      </c>
      <c r="E12" s="6" t="inlineStr">
        <is>
          <t>Dyrt. Du har ringt sytti prosent av kundelista.</t>
        </is>
      </c>
    </row>
    <row r="13">
      <c r="A13" s="10" t="n">
        <v>214</v>
      </c>
      <c r="B13" s="15">
        <f>IF(Feilmargin!$B$5=0,0,A13/Feilmargin!$B$5)</f>
        <v/>
      </c>
      <c r="C13" s="12">
        <f>IF(A13&lt;=0,0,Feilmargin!$B$9*SQRT(0.25/A13)*IF(Feilmargin!$B$5&lt;=1,1,SQRT(MAX(0,(Feilmargin!$B$5-MIN(A13,Feilmargin!$B$5))/(Feilmargin!$B$5-1)))))</f>
        <v/>
      </c>
      <c r="D13" s="15">
        <f>IF(A13&lt;=0,0,Feilmargin!$B$9*SQRT(0.25/A13))</f>
        <v/>
      </c>
      <c r="E13" s="6" t="inlineStr">
        <is>
          <t>Du har spurt alle. Da finnes det ingen utvalgsusikkerhet igjen.</t>
        </is>
      </c>
    </row>
    <row r="15">
      <c r="A15" s="8" t="inlineStr">
        <is>
          <t>Legg merke til formen på kurven: de første tretti svarene halverer usikkerheten. De neste hundre gjør knapt noe.</t>
        </is>
      </c>
    </row>
    <row r="16">
      <c r="A16" s="8" t="inlineStr">
        <is>
          <t>Presisjon er dyrt. Litt presisjon er billig. Det er hele grunnen til at en liten bedrift kan gjøre nyttige undersøkelser selv.</t>
        </is>
      </c>
    </row>
    <row r="17">
      <c r="A17" s="3" t="inlineStr">
        <is>
          <t>Kolonnen «Uten korreksjon» viser hva feilmarginen ville vært hvis kundelista var uendelig lang. Forskjellen er poenget: en liten bedrift med få kunder får mer ut av hvert svar enn et meningsmålingsbyrå gjør.</t>
        </is>
      </c>
    </row>
    <row r="19">
      <c r="A19" s="4" t="inlineStr">
        <is>
          <t>Kontroll</t>
        </is>
      </c>
    </row>
    <row r="20">
      <c r="A20" s="6" t="inlineStr">
        <is>
          <t>Faller feilmarginen når utvalget vokser?</t>
        </is>
      </c>
      <c r="C20" s="18">
        <f>IF(C5&gt;C13,"OK — feilmarginen faller nedover i tabellen","AVVIK: tabellen skal falle nedover. Sjekk at antallet svar stiger")</f>
        <v/>
      </c>
    </row>
    <row r="21">
      <c r="A21" s="6" t="inlineStr">
        <is>
          <t>Er feilmarginen null når alle er spurt?</t>
        </is>
      </c>
      <c r="C21" s="18">
        <f>IF(A13&lt;Feilmargin!$B$5,"OK — nederste rad er mindre enn populasjonen, så det er fortsatt utvalgsusikkerhet igjen",IF(C13&lt;0.0001,"OK — spør du alle, er det ingen utvalgsusikkerhet igjen","AVVIK: spør du alle, skal feilmarginen være null"))</f>
        <v/>
      </c>
    </row>
    <row r="22">
      <c r="A22" s="6" t="inlineStr">
        <is>
          <t>Senker endelighetskorreksjonen feilmarginen?</t>
        </is>
      </c>
      <c r="C22" s="18">
        <f>IF(C5&lt;D5,"OK — korreksjonen gir lavere feilmargin enn formelen uten den","AVVIK: korreksjonen skal senke feilmarginen, ikke heve den")</f>
        <v/>
      </c>
    </row>
    <row r="24">
      <c r="A24" s="3" t="inlineStr">
        <is>
          <t>Kilde: Hjertnes kap. 4.5 om utvalgets størrelse. Formelen er et tillegg til læreboka.</t>
        </is>
      </c>
    </row>
  </sheetData>
  <conditionalFormatting sqref="C20">
    <cfRule type="expression" priority="1" dxfId="0" stopIfTrue="0">
      <formula>LEFT(C20,5)="AVVIK"</formula>
    </cfRule>
  </conditionalFormatting>
  <conditionalFormatting sqref="C21">
    <cfRule type="expression" priority="2" dxfId="0" stopIfTrue="0">
      <formula>LEFT(C21,5)="AVVIK"</formula>
    </cfRule>
  </conditionalFormatting>
  <conditionalFormatting sqref="C22">
    <cfRule type="expression" priority="3" dxfId="0" stopIfTrue="0">
      <formula>LEFT(C22,5)="AVVIK"</formula>
    </cfRule>
  </conditionalFormatting>
  <printOptions horizontalCentered="0"/>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D26"/>
  <sheetViews>
    <sheetView showGridLines="0" workbookViewId="0">
      <selection activeCell="A1" sqref="A1"/>
    </sheetView>
  </sheetViews>
  <sheetFormatPr baseColWidth="8" defaultRowHeight="15"/>
  <cols>
    <col width="42" customWidth="1" min="1" max="1"/>
    <col width="22" customWidth="1" min="2" max="2"/>
    <col width="22" customWidth="1" min="3" max="3"/>
    <col width="50" customWidth="1" min="4" max="4"/>
  </cols>
  <sheetData>
    <row r="1">
      <c r="A1" s="1" t="inlineStr">
        <is>
          <t>Samme bedrift, samme spørsmål, to svar</t>
        </is>
      </c>
    </row>
    <row r="2">
      <c r="A2" s="2" t="inlineStr">
        <is>
          <t>Kolonnene er Karis to undersøkelser. Se hva som skiller dem.</t>
        </is>
      </c>
    </row>
    <row r="4" ht="28" customHeight="1">
      <c r="A4" s="9" t="inlineStr"/>
      <c r="B4" s="9" t="inlineStr">
        <is>
          <t>E-posten i januar</t>
        </is>
      </c>
      <c r="C4" s="9" t="inlineStr">
        <is>
          <t>Telefonrunden i mars</t>
        </is>
      </c>
      <c r="D4" s="9" t="inlineStr">
        <is>
          <t>Hva forskjellen kommer av</t>
        </is>
      </c>
    </row>
    <row r="5">
      <c r="A5" s="6" t="inlineStr">
        <is>
          <t>Utvalgsmetode</t>
        </is>
      </c>
      <c r="B5" s="6" t="inlineStr">
        <is>
          <t>Bekvemmelighetsutvalg</t>
        </is>
      </c>
      <c r="C5" s="6" t="inlineStr">
        <is>
          <t>Enkelt, tilfeldig utvalg</t>
        </is>
      </c>
      <c r="D5" s="6" t="inlineStr">
        <is>
          <t>Trukket eller ikke. Det er det viktigste valget i hele undersøkelsen.</t>
        </is>
      </c>
    </row>
    <row r="6">
      <c r="A6" s="6" t="inlineStr">
        <is>
          <t>Metode</t>
        </is>
      </c>
      <c r="B6" s="6" t="inlineStr">
        <is>
          <t>E-post</t>
        </is>
      </c>
      <c r="C6" s="6" t="inlineStr">
        <is>
          <t>Telefon</t>
        </is>
      </c>
      <c r="D6" s="6" t="inlineStr">
        <is>
          <t>Telefon gir høyere svarprosent, men ingen anonymitet.</t>
        </is>
      </c>
    </row>
    <row r="7">
      <c r="A7" s="6" t="inlineStr">
        <is>
          <t>Populasjon</t>
        </is>
      </c>
      <c r="B7" s="13">
        <f>Feilmargin!$B$5</f>
        <v/>
      </c>
      <c r="C7" s="13">
        <f>Feilmargin!$B$5</f>
        <v/>
      </c>
    </row>
    <row r="8">
      <c r="A8" s="6" t="inlineStr">
        <is>
          <t>Antall spurt</t>
        </is>
      </c>
      <c r="B8" s="10" t="n">
        <v>60</v>
      </c>
      <c r="C8" s="10" t="n">
        <v>90</v>
      </c>
    </row>
    <row r="9">
      <c r="A9" s="6" t="inlineStr">
        <is>
          <t>Antall svar</t>
        </is>
      </c>
      <c r="B9" s="10" t="n">
        <v>12</v>
      </c>
      <c r="C9" s="10" t="n">
        <v>67</v>
      </c>
    </row>
    <row r="10">
      <c r="A10" s="6" t="inlineStr">
        <is>
          <t>Antall som svarte ja</t>
        </is>
      </c>
      <c r="B10" s="10" t="n">
        <v>11</v>
      </c>
      <c r="C10" s="10" t="n">
        <v>48</v>
      </c>
    </row>
    <row r="12">
      <c r="A12" s="8" t="inlineStr">
        <is>
          <t>= Svarprosent</t>
        </is>
      </c>
      <c r="B12" s="12">
        <f>IF(B8=0,0,B9/B8)</f>
        <v/>
      </c>
      <c r="C12" s="12">
        <f>IF(C8=0,0,C9/C8)</f>
        <v/>
      </c>
      <c r="D12" s="6" t="inlineStr">
        <is>
          <t>Fire av fem svarte ikke på e-posten. Tre av fire svarte på telefonen.</t>
        </is>
      </c>
    </row>
    <row r="13">
      <c r="A13" s="8" t="inlineStr">
        <is>
          <t>= Andel som svarte ja</t>
        </is>
      </c>
      <c r="B13" s="14">
        <f>IF(B9=0,0,B10/B9)</f>
        <v/>
      </c>
      <c r="C13" s="14">
        <f>IF(C9=0,0,C10/C9)</f>
        <v/>
      </c>
      <c r="D13" s="6" t="inlineStr">
        <is>
          <t>Det høyeste tallet kommer fra den dårligste undersøkelsen. Det er ikke tilfeldig.</t>
        </is>
      </c>
    </row>
    <row r="14">
      <c r="A14" s="8" t="inlineStr">
        <is>
          <t>= Feilmargin i verste fall</t>
        </is>
      </c>
      <c r="B14" s="12">
        <f>IF(B9&lt;=0,0,Feilmargin!$B$9*SQRT(0.25/B9)*IF(B7&lt;=1,1,SQRT(MAX(0,(B7-MIN(B9,B7))/(B7-1)))))</f>
        <v/>
      </c>
      <c r="C14" s="12">
        <f>IF(C9&lt;=0,0,Feilmargin!$B$9*SQRT(0.25/C9)*IF(C7&lt;=1,1,SQRT(MAX(0,(C7-MIN(C9,C7))/(C7-1)))))</f>
        <v/>
      </c>
      <c r="D14" s="6" t="inlineStr">
        <is>
          <t>Nesten tre ganger så stor usikkerhet i den første.</t>
        </is>
      </c>
    </row>
    <row r="15">
      <c r="A15" s="6" t="inlineStr">
        <is>
          <t>= Nedre grense</t>
        </is>
      </c>
      <c r="B15" s="15">
        <f>MAX(0,B13-B14)</f>
        <v/>
      </c>
      <c r="C15" s="15">
        <f>MAX(0,C13-C14)</f>
        <v/>
      </c>
    </row>
    <row r="16">
      <c r="A16" s="6" t="inlineStr">
        <is>
          <t>= Øvre grense</t>
        </is>
      </c>
      <c r="B16" s="15">
        <f>MIN(1,B13+B14)</f>
        <v/>
      </c>
      <c r="C16" s="15">
        <f>MIN(1,C13+C14)</f>
        <v/>
      </c>
      <c r="D16" s="6" t="inlineStr">
        <is>
          <t>Intervallene overlapper. De to undersøkelsene motsier altså ikke hverandre.</t>
        </is>
      </c>
    </row>
    <row r="17">
      <c r="A17" s="6" t="inlineStr">
        <is>
          <t>= Bredden på intervallet, i prosentpoeng</t>
        </is>
      </c>
      <c r="B17" s="15">
        <f>B16-B15</f>
        <v/>
      </c>
      <c r="C17" s="15">
        <f>C16-C15</f>
        <v/>
      </c>
    </row>
    <row r="19">
      <c r="A19" s="4" t="inlineStr">
        <is>
          <t>Hvilken av dem tør du bruke i markedsplanen?</t>
        </is>
      </c>
      <c r="D19" s="17">
        <f>IF(C14&lt;B14,"Telefonrunden. Ikke fordi tallet er penere — det er lavere — men fordi utvalget er trukket og usikkerheten er mindre.","E-posten.")</f>
        <v/>
      </c>
    </row>
    <row r="21">
      <c r="A21" s="4" t="inlineStr">
        <is>
          <t>Kontroll</t>
        </is>
      </c>
    </row>
    <row r="22">
      <c r="A22" s="6" t="inlineStr">
        <is>
          <t>Har den store undersøkelsen minst usikkerhet?</t>
        </is>
      </c>
      <c r="B22" s="18">
        <f>IF(C14&lt;B14,"OK — flere svar gir smalere intervall","AVVIK: undersøkelsen med flest svar skal ha minst feilmargin")</f>
        <v/>
      </c>
    </row>
    <row r="23">
      <c r="A23" s="6" t="inlineStr">
        <is>
          <t>Overlapper intervallene?</t>
        </is>
      </c>
      <c r="B23" s="18">
        <f>IF(AND(B15&lt;=C16,C15&lt;=B16),"OK — intervallene overlapper, så de to undersøkelsene motsier ikke hverandre","AVVIK: intervallene overlapper ikke. Da måler de to undersøkelsene noe forskjellig, og det må forklares")</f>
        <v/>
      </c>
    </row>
    <row r="24">
      <c r="A24" s="6" t="inlineStr">
        <is>
          <t>Gir den dårligste undersøkelsen det hyggeligste svaret?</t>
        </is>
      </c>
      <c r="B24" s="18">
        <f>IF(B13&gt;C13,"OK — e-posten gir det høyeste tallet. Det er hovedgrunnen til at dårlige undersøkelser overlever i bedrifter: de bekrefter det ledelsen håpet på","AVVIK: her gir den store undersøkelsen det høyeste tallet. Da mister sammenlikningen sitt viktigste poeng")</f>
        <v/>
      </c>
    </row>
    <row r="26">
      <c r="A26" s="8" t="inlineStr">
        <is>
          <t>Merk at den første undersøkelsen ga det HYGGELIGSTE svaret. Et tall som bekrefter det ledelsen håpet på, blir sjelden etterprøvd.</t>
        </is>
      </c>
    </row>
  </sheetData>
  <conditionalFormatting sqref="B22">
    <cfRule type="expression" priority="1" dxfId="0" stopIfTrue="0">
      <formula>LEFT(B22,5)="AVVIK"</formula>
    </cfRule>
  </conditionalFormatting>
  <conditionalFormatting sqref="B23">
    <cfRule type="expression" priority="2" dxfId="0" stopIfTrue="0">
      <formula>LEFT(B23,5)="AVVIK"</formula>
    </cfRule>
  </conditionalFormatting>
  <conditionalFormatting sqref="B24">
    <cfRule type="expression" priority="3" dxfId="0" stopIfTrue="0">
      <formula>LEFT(B24,5)="AVVIK"</formula>
    </cfRule>
  </conditionalFormatting>
  <printOptions horizontalCentered="0"/>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52"/>
  <sheetViews>
    <sheetView showGridLines="0" workbookViewId="0">
      <selection activeCell="A1" sqref="A1"/>
    </sheetView>
  </sheetViews>
  <sheetFormatPr baseColWidth="8" defaultRowHeight="15"/>
  <cols>
    <col width="48" customWidth="1" min="1" max="1"/>
    <col width="25" customWidth="1" min="2" max="2"/>
    <col width="25" customWidth="1" min="3" max="3"/>
    <col width="25" customWidth="1" min="4" max="4"/>
    <col width="46" customWidth="1" min="5" max="5"/>
  </cols>
  <sheetData>
    <row r="1">
      <c r="A1" s="1" t="inlineStr">
        <is>
          <t>Tre scenarioer</t>
        </is>
      </c>
    </row>
    <row r="2">
      <c r="A2" s="2" t="inlineStr">
        <is>
          <t>Endre de gule cellene og se hva som skjer. Alle tall hentes fra arket «Feilmargin».</t>
        </is>
      </c>
    </row>
    <row r="4">
      <c r="A4" s="4" t="inlineStr">
        <is>
          <t>Scenario A · svarprosenten avgjør om undersøkelsen er mulig</t>
        </is>
      </c>
    </row>
    <row r="5">
      <c r="A5" s="3" t="inlineStr">
        <is>
          <t>Målet er det samme i alle tre kolonnene. Det eneste som endrer seg, er hvor stor del som svarer.</t>
        </is>
      </c>
    </row>
    <row r="7" ht="28" customHeight="1">
      <c r="A7" s="9" t="inlineStr"/>
      <c r="B7" s="9" t="inlineStr">
        <is>
          <t>E-post</t>
        </is>
      </c>
      <c r="C7" s="9" t="inlineStr">
        <is>
          <t>Telefon</t>
        </is>
      </c>
      <c r="D7" s="9" t="inlineStr">
        <is>
          <t>Personlig oppsøk</t>
        </is>
      </c>
      <c r="E7" s="9" t="inlineStr">
        <is>
          <t>Hva raden betyr</t>
        </is>
      </c>
    </row>
    <row r="8">
      <c r="A8" s="8" t="inlineStr">
        <is>
          <t>Svarprosent</t>
        </is>
      </c>
      <c r="B8" s="19" t="n">
        <v>0.2</v>
      </c>
      <c r="C8" s="19" t="n">
        <v>0.7444444444444445</v>
      </c>
      <c r="D8" s="19" t="n">
        <v>0.95</v>
      </c>
      <c r="E8" s="6" t="inlineStr">
        <is>
          <t>De gule cellene er scenarioene. Endre dem fritt.</t>
        </is>
      </c>
    </row>
    <row r="9">
      <c r="A9" s="6" t="inlineStr">
        <is>
          <t>Ønsket feilmargin</t>
        </is>
      </c>
      <c r="B9" s="15">
        <f>Feilmargin!$B$30</f>
        <v/>
      </c>
      <c r="C9" s="15">
        <f>Feilmargin!$B$30</f>
        <v/>
      </c>
      <c r="D9" s="15">
        <f>Feilmargin!$B$30</f>
        <v/>
      </c>
    </row>
    <row r="10">
      <c r="A10" s="6" t="inlineStr">
        <is>
          <t>Nødvendig antall SVAR</t>
        </is>
      </c>
      <c r="B10" s="13">
        <f>Feilmargin!$B$32</f>
        <v/>
      </c>
      <c r="C10" s="13">
        <f>Feilmargin!$B$32</f>
        <v/>
      </c>
      <c r="D10" s="13">
        <f>Feilmargin!$B$32</f>
        <v/>
      </c>
      <c r="E10" s="6" t="inlineStr">
        <is>
          <t>Det samme uansett metode. Formelen bryr seg om svar, ikke om hvordan du spurte.</t>
        </is>
      </c>
    </row>
    <row r="11">
      <c r="A11" s="8" t="inlineStr">
        <is>
          <t>= Antall du må spørre</t>
        </is>
      </c>
      <c r="B11" s="20">
        <f>IF(B8=0,0,ROUNDUP(B10/B8,0))</f>
        <v/>
      </c>
      <c r="C11" s="20">
        <f>IF(C8=0,0,ROUNDUP(C10/C8,0))</f>
        <v/>
      </c>
      <c r="D11" s="20">
        <f>IF(D8=0,0,ROUNDUP(D10/D8,0))</f>
        <v/>
      </c>
    </row>
    <row r="12">
      <c r="A12" s="6" t="inlineStr">
        <is>
          <t>Andel av hele kundelista</t>
        </is>
      </c>
      <c r="B12" s="15">
        <f>B11/Feilmargin!$B$5</f>
        <v/>
      </c>
      <c r="C12" s="15">
        <f>C11/Feilmargin!$B$5</f>
        <v/>
      </c>
      <c r="D12" s="15">
        <f>D11/Feilmargin!$B$5</f>
        <v/>
      </c>
    </row>
    <row r="13">
      <c r="A13" s="8" t="inlineStr">
        <is>
          <t>Dom</t>
        </is>
      </c>
      <c r="B13" s="17">
        <f>IF(B11&gt;Feilmargin!$B$5,"Umulig — ikke nok kunder","Gjennomførbart")</f>
        <v/>
      </c>
      <c r="C13" s="17">
        <f>IF(C11&gt;Feilmargin!$B$5,"Umulig — ikke nok kunder","Gjennomførbart")</f>
        <v/>
      </c>
      <c r="D13" s="17">
        <f>IF(D11&gt;Feilmargin!$B$5,"Umulig — ikke nok kunder","Gjennomførbart")</f>
        <v/>
      </c>
      <c r="E13" s="6" t="inlineStr">
        <is>
          <t>Med tjue prosent svar må du spørre flere enn du har. Det er ikke en dyr undersøkelse — det er en umulig en.</t>
        </is>
      </c>
    </row>
    <row r="15">
      <c r="A15" s="4" t="inlineStr">
        <is>
          <t>Kontroll</t>
        </is>
      </c>
    </row>
    <row r="16">
      <c r="A16" s="6" t="inlineStr">
        <is>
          <t>Krever lavere svarprosent at flere spørres?</t>
        </is>
      </c>
      <c r="B16" s="18">
        <f>IF(AND(B8&lt;C8,B11&gt;C11),"OK — lavere svarprosent krever at flere spørres","AVVIK: sjekk at e-postkolonnen har lavere svarprosent enn telefonkolonnen")</f>
        <v/>
      </c>
    </row>
    <row r="17">
      <c r="A17" s="6" t="inlineStr">
        <is>
          <t>Hva som SKAL stå her med tallene som ligger inne</t>
        </is>
      </c>
      <c r="B17" s="18">
        <f>IF(B11&gt;Feilmargin!$B$5,"OK — e-postrunden er umulig. Det er hele poenget med svarprosenten","AVVIK: e-postrunden er gjennomførbar. Da er svarprosenten satt for høyt til å bære poenget")</f>
        <v/>
      </c>
    </row>
    <row r="20">
      <c r="A20" s="4" t="inlineStr">
        <is>
          <t>Scenario B · hva presisjon koster</t>
        </is>
      </c>
    </row>
    <row r="21">
      <c r="A21" s="3" t="inlineStr">
        <is>
          <t>Halverer du feilmarginen, firedobler du antall svar. Se hvor fort det blir dyrt.</t>
        </is>
      </c>
    </row>
    <row r="23" ht="28" customHeight="1">
      <c r="A23" s="9" t="inlineStr">
        <is>
          <t>Ønsket feilmargin</t>
        </is>
      </c>
      <c r="B23" s="9" t="inlineStr">
        <is>
          <t>Nødvendige svar</t>
        </is>
      </c>
      <c r="C23" s="9" t="inlineStr">
        <is>
          <t>Må spørres på telefon</t>
        </is>
      </c>
      <c r="D23" s="9" t="inlineStr">
        <is>
          <t>Andel av kundelista</t>
        </is>
      </c>
      <c r="E23" s="9" t="inlineStr">
        <is>
          <t>Hva det betyr</t>
        </is>
      </c>
    </row>
    <row r="24">
      <c r="A24" s="19" t="n">
        <v>0.2</v>
      </c>
      <c r="B24" s="20">
        <f>IF(A24&lt;=0,0,ROUNDUP(ROUNDUP(Feilmargin!$B$9^2*0.25/A24^2,0)*Feilmargin!$B$5/(ROUNDUP(Feilmargin!$B$9^2*0.25/A24^2,0)+Feilmargin!$B$5-1),0))</f>
        <v/>
      </c>
      <c r="C24" s="13">
        <f>ROUNDUP(B24/Scenario!$C$8,0)</f>
        <v/>
      </c>
      <c r="D24" s="15">
        <f>C24/Feilmargin!$B$5</f>
        <v/>
      </c>
      <c r="E24" s="6" t="inlineStr">
        <is>
          <t>Grovt. Nok til å se om noe er stort eller lite.</t>
        </is>
      </c>
    </row>
    <row r="25">
      <c r="A25" s="19" t="n">
        <v>0.15</v>
      </c>
      <c r="B25" s="20">
        <f>IF(A25&lt;=0,0,ROUNDUP(ROUNDUP(Feilmargin!$B$9^2*0.25/A25^2,0)*Feilmargin!$B$5/(ROUNDUP(Feilmargin!$B$9^2*0.25/A25^2,0)+Feilmargin!$B$5-1),0))</f>
        <v/>
      </c>
      <c r="C25" s="13">
        <f>ROUNDUP(B25/Scenario!$C$8,0)</f>
        <v/>
      </c>
      <c r="D25" s="15">
        <f>C25/Feilmargin!$B$5</f>
        <v/>
      </c>
      <c r="E25" s="6" t="inlineStr">
        <is>
          <t>Fortsatt grovt, men billig.</t>
        </is>
      </c>
    </row>
    <row r="26">
      <c r="A26" s="19" t="n">
        <v>0.1</v>
      </c>
      <c r="B26" s="20">
        <f>IF(A26&lt;=0,0,ROUNDUP(ROUNDUP(Feilmargin!$B$9^2*0.25/A26^2,0)*Feilmargin!$B$5/(ROUNDUP(Feilmargin!$B$9^2*0.25/A26^2,0)+Feilmargin!$B$5-1),0))</f>
        <v/>
      </c>
      <c r="C26" s="13">
        <f>ROUNDUP(B26/Scenario!$C$8,0)</f>
        <v/>
      </c>
      <c r="D26" s="15">
        <f>C26/Feilmargin!$B$5</f>
        <v/>
      </c>
      <c r="E26" s="6" t="inlineStr">
        <is>
          <t>Målet Kari satte. Nok til å bestemme seg.</t>
        </is>
      </c>
    </row>
    <row r="27">
      <c r="A27" s="19" t="n">
        <v>0.05</v>
      </c>
      <c r="B27" s="20">
        <f>IF(A27&lt;=0,0,ROUNDUP(ROUNDUP(Feilmargin!$B$9^2*0.25/A27^2,0)*Feilmargin!$B$5/(ROUNDUP(Feilmargin!$B$9^2*0.25/A27^2,0)+Feilmargin!$B$5-1),0))</f>
        <v/>
      </c>
      <c r="C27" s="13">
        <f>ROUNDUP(B27/Scenario!$C$8,0)</f>
        <v/>
      </c>
      <c r="D27" s="15">
        <f>C27/Feilmargin!$B$5</f>
        <v/>
      </c>
      <c r="E27" s="6" t="inlineStr">
        <is>
          <t>Presist. Nå må du ringe mesteparten av kundelista.</t>
        </is>
      </c>
    </row>
    <row r="28">
      <c r="A28" s="19" t="n">
        <v>0.03</v>
      </c>
      <c r="B28" s="20">
        <f>IF(A28&lt;=0,0,ROUNDUP(ROUNDUP(Feilmargin!$B$9^2*0.25/A28^2,0)*Feilmargin!$B$5/(ROUNDUP(Feilmargin!$B$9^2*0.25/A28^2,0)+Feilmargin!$B$5-1),0))</f>
        <v/>
      </c>
      <c r="C28" s="13">
        <f>ROUNDUP(B28/Scenario!$C$8,0)</f>
        <v/>
      </c>
      <c r="D28" s="15">
        <f>C28/Feilmargin!$B$5</f>
        <v/>
      </c>
      <c r="E28" s="6" t="inlineStr">
        <is>
          <t>Meningsmålingsnivå. Her finnes ikke nok kunder.</t>
        </is>
      </c>
    </row>
    <row r="30">
      <c r="A30" s="4" t="inlineStr">
        <is>
          <t>Kontroll</t>
        </is>
      </c>
    </row>
    <row r="31">
      <c r="A31" s="6" t="inlineStr">
        <is>
          <t>Krever mindre feilmargin flere svar?</t>
        </is>
      </c>
      <c r="B31" s="18">
        <f>IF(B28&gt;B24,"OK — mindre feilmargin krever flere svar","AVVIK: tabellen skal stige nedover")</f>
        <v/>
      </c>
    </row>
    <row r="32">
      <c r="A32" s="6" t="inlineStr">
        <is>
          <t>Er det nok kunder til den strengeste raden?</t>
        </is>
      </c>
      <c r="B32" s="18">
        <f>IF(C28&gt;Feilmargin!$B$5,"OK — den strengeste raden krever flere enn det finnes kunder. Det er grensen for hva en liten bedrift kan måle","AVVIK: selv den strengeste raden er mulig. Da er tabellen for snill til å vise grensen")</f>
        <v/>
      </c>
    </row>
    <row r="35">
      <c r="A35" s="4" t="inlineStr">
        <is>
          <t>Scenario C · skjevhet — det formelen ikke kan rette opp</t>
        </is>
      </c>
    </row>
    <row r="36">
      <c r="A36" s="3" t="inlineStr">
        <is>
          <t>De som ikke svarte, er sjelden like de som svarte. Her setter du inn hva DE ville svart, og ser hva det sanne tallet blir.</t>
        </is>
      </c>
    </row>
    <row r="38">
      <c r="A38" s="6" t="inlineStr">
        <is>
          <t>Antall som svarte</t>
        </is>
      </c>
      <c r="B38" s="13">
        <f>Feilmargin!$B$7</f>
        <v/>
      </c>
    </row>
    <row r="39">
      <c r="A39" s="6" t="inlineStr">
        <is>
          <t>Andel ja blant dem som svarte</t>
        </is>
      </c>
      <c r="B39" s="12">
        <f>Feilmargin!$B$14</f>
        <v/>
      </c>
    </row>
    <row r="40">
      <c r="A40" s="6" t="inlineStr">
        <is>
          <t>Antall som IKKE svarte</t>
        </is>
      </c>
      <c r="B40" s="13">
        <f>Feilmargin!$B$6-Feilmargin!$B$7</f>
        <v/>
      </c>
    </row>
    <row r="41">
      <c r="A41" s="6" t="inlineStr">
        <is>
          <t>Andel ja blant dem som ikke svarte</t>
        </is>
      </c>
      <c r="B41" s="19" t="n">
        <v>0.4</v>
      </c>
      <c r="E41" s="6" t="inlineStr">
        <is>
          <t>Dette er gjettingen. Sett den lik andelen over hvis du tror frafallet er tilfeldig — og spør deg selv om du virkelig tror det.</t>
        </is>
      </c>
    </row>
    <row r="42">
      <c r="A42" s="8" t="inlineStr">
        <is>
          <t>= Sann andel ja blant alle du spurte</t>
        </is>
      </c>
      <c r="B42" s="12">
        <f>IF((B38+B40)=0,0,(B38*B39+B40*B41)/(B38+B40))</f>
        <v/>
      </c>
    </row>
    <row r="43">
      <c r="A43" s="8" t="inlineStr">
        <is>
          <t>= Skjevhet i prosentpoeng</t>
        </is>
      </c>
      <c r="B43" s="12">
        <f>B39-B42</f>
        <v/>
      </c>
      <c r="E43" s="6" t="inlineStr">
        <is>
          <t>Så mye for høyt eller lavt måler undersøkelsen, bare fordi frafallet ikke er tilfeldig.</t>
        </is>
      </c>
    </row>
    <row r="44">
      <c r="A44" s="6" t="inlineStr">
        <is>
          <t>Feilmarginen ved den målte andelen</t>
        </is>
      </c>
      <c r="B44" s="15">
        <f>Feilmargin!$B$19</f>
        <v/>
      </c>
    </row>
    <row r="45">
      <c r="A45" s="8" t="inlineStr">
        <is>
          <t>Er skjevheten større enn feilmarginen?</t>
        </is>
      </c>
      <c r="B45" s="17">
        <f>IF(ABS(B43)&gt;B44,"JA","Nei")</f>
        <v/>
      </c>
      <c r="E45" s="6" t="inlineStr">
        <is>
          <t>Står det JA, er skjevheten et større problem enn utvalgsstørrelsen — og da hjelper det ikke å spørre flere.</t>
        </is>
      </c>
    </row>
    <row r="47">
      <c r="A47" s="4" t="inlineStr">
        <is>
          <t>Kontroll</t>
        </is>
      </c>
    </row>
    <row r="48">
      <c r="A48" s="6" t="inlineStr">
        <is>
          <t>Er skjevheten regnet riktig?</t>
        </is>
      </c>
      <c r="B48" s="18">
        <f>IF(ABS((B38*B39+B40*B41)-(B38+B40)*B42)&lt;0.000001,"OK — de to gruppene veier riktig i snittet","AVVIK: vektingen av de to gruppene går ikke opp")</f>
        <v/>
      </c>
    </row>
    <row r="49">
      <c r="A49" s="6" t="inlineStr">
        <is>
          <t>Hva som SKAL stå her med tallene som ligger inne</t>
        </is>
      </c>
      <c r="B49" s="18">
        <f>IF(ABS(B43)&gt;B44,"OK — skjevheten er større enn feilmarginen. Et større utvalg ville ikke reddet denne undersøkelsen","AVVIK: skjevheten er mindre enn feilmarginen. Prøv en lavere andel ja blant dem som ikke svarte, og se hva som skjer")</f>
        <v/>
      </c>
    </row>
    <row r="51">
      <c r="A51" s="8" t="inlineStr">
        <is>
          <t>Ti tusen svar fra bare fornøyde kunder er like skjevt som tolv. Et stort utvalg reparerer ikke et skjevt et — og ingen formel i dette arket kan si hvor skjevt det er. Det er derfor trekningen er viktigere enn antallet.</t>
        </is>
      </c>
    </row>
    <row r="52">
      <c r="A52" s="3" t="inlineStr">
        <is>
          <t>Kilde: Hjertnes kap. 4.6 om utvalgsmetodene og 4.7.3 om gyldighet og pålitelighet. Vektingen i scenario C er standard utvalgsteori og et tillegg til læreboka.</t>
        </is>
      </c>
    </row>
  </sheetData>
  <conditionalFormatting sqref="B16">
    <cfRule type="expression" priority="1" dxfId="0" stopIfTrue="0">
      <formula>LEFT(B16,5)="AVVIK"</formula>
    </cfRule>
  </conditionalFormatting>
  <conditionalFormatting sqref="B17">
    <cfRule type="expression" priority="2" dxfId="0" stopIfTrue="0">
      <formula>LEFT(B17,5)="AVVIK"</formula>
    </cfRule>
  </conditionalFormatting>
  <conditionalFormatting sqref="B31">
    <cfRule type="expression" priority="3" dxfId="0" stopIfTrue="0">
      <formula>LEFT(B31,5)="AVVIK"</formula>
    </cfRule>
  </conditionalFormatting>
  <conditionalFormatting sqref="B32">
    <cfRule type="expression" priority="4" dxfId="0" stopIfTrue="0">
      <formula>LEFT(B32,5)="AVVIK"</formula>
    </cfRule>
  </conditionalFormatting>
  <conditionalFormatting sqref="B48">
    <cfRule type="expression" priority="5" dxfId="0" stopIfTrue="0">
      <formula>LEFT(B48,5)="AVVIK"</formula>
    </cfRule>
  </conditionalFormatting>
  <conditionalFormatting sqref="B49">
    <cfRule type="expression" priority="6" dxfId="0" stopIfTrue="0">
      <formula>LEFT(B49,5)="AVVIK"</formula>
    </cfRule>
  </conditionalFormatting>
  <printOptions horizontalCentered="0"/>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C27"/>
  <sheetViews>
    <sheetView showGridLines="0" workbookViewId="0">
      <selection activeCell="A1" sqref="A1"/>
    </sheetView>
  </sheetViews>
  <sheetFormatPr baseColWidth="8" defaultRowHeight="15"/>
  <cols>
    <col width="48" customWidth="1" min="1" max="1"/>
    <col width="14" customWidth="1" min="2" max="2"/>
    <col width="66" customWidth="1" min="3" max="3"/>
  </cols>
  <sheetData>
    <row r="1">
      <c r="A1" s="1" t="inlineStr">
        <is>
          <t>Din egen bedrift</t>
        </is>
      </c>
    </row>
    <row r="2">
      <c r="A2" s="2" t="inlineStr">
        <is>
          <t>Samme oppsett som arket «Feilmargin», men tomt. Fyll inn tallene fra en undersøkelse dere selv har gjort.</t>
        </is>
      </c>
    </row>
    <row r="4">
      <c r="A4" s="4" t="inlineStr">
        <is>
          <t>1 · Undersøkelsen</t>
        </is>
      </c>
    </row>
    <row r="5">
      <c r="A5" s="6" t="inlineStr">
        <is>
          <t>Populasjon: hvor mange kunne dere ha spurt?</t>
        </is>
      </c>
      <c r="B5" s="10" t="n">
        <v>0</v>
      </c>
      <c r="C5" s="6" t="inlineStr">
        <is>
          <t>Alle kundene, alle som ba om tilbud, eller alle i markedet? Velg, og skriv det ned.</t>
        </is>
      </c>
    </row>
    <row r="6">
      <c r="A6" s="6" t="inlineStr">
        <is>
          <t>Antall dere sendte til eller ringte</t>
        </is>
      </c>
      <c r="B6" s="10" t="n">
        <v>0</v>
      </c>
      <c r="C6" s="6" t="inlineStr">
        <is>
          <t>Antall forsøk, ikke antall svar.</t>
        </is>
      </c>
    </row>
    <row r="7">
      <c r="A7" s="6" t="inlineStr">
        <is>
          <t>Antall som SVARTE</t>
        </is>
      </c>
      <c r="B7" s="10" t="n">
        <v>0</v>
      </c>
      <c r="C7" s="6" t="inlineStr">
        <is>
          <t>Dette tallet bestemmer usikkerheten.</t>
        </is>
      </c>
    </row>
    <row r="8">
      <c r="A8" s="6" t="inlineStr">
        <is>
          <t>Antall av dem som svarte ja</t>
        </is>
      </c>
      <c r="B8" s="10" t="n">
        <v>0</v>
      </c>
      <c r="C8" s="6" t="inlineStr">
        <is>
          <t>Ja til det ene spørsmålet dere bryr dere mest om.</t>
        </is>
      </c>
    </row>
    <row r="9">
      <c r="A9" s="6" t="inlineStr">
        <is>
          <t>z-verdi (sikkerhetsnivå)</t>
        </is>
      </c>
      <c r="B9" s="11" t="n">
        <v>1.96</v>
      </c>
      <c r="C9" s="6" t="inlineStr">
        <is>
          <t>1,645 gir 90 % sikkerhet · 1,96 gir 95 % · 2,576 gir 99 %</t>
        </is>
      </c>
    </row>
    <row r="11">
      <c r="A11" s="4" t="inlineStr">
        <is>
          <t>2 · Resultat</t>
        </is>
      </c>
    </row>
    <row r="12">
      <c r="A12" s="6" t="inlineStr">
        <is>
          <t>= Svarprosent</t>
        </is>
      </c>
      <c r="B12" s="12">
        <f>IF(B6=0,0,B7/B6)</f>
        <v/>
      </c>
    </row>
    <row r="13">
      <c r="A13" s="6" t="inlineStr">
        <is>
          <t>= Andelen som svarte ja</t>
        </is>
      </c>
      <c r="B13" s="14">
        <f>IF(B7=0,0,B8/B7)</f>
        <v/>
      </c>
    </row>
    <row r="14">
      <c r="A14" s="6" t="inlineStr">
        <is>
          <t>= Feilmargin ved den andelen dere målte</t>
        </is>
      </c>
      <c r="B14" s="12">
        <f>IF(OR(B7&lt;=0,B5&lt;=1),0,B9*SQRT(B13*(1-B13)/B7)*IF(B5&lt;=1,1,SQRT(MAX(0,(B5-MIN(B7,B5))/(B5-1)))))</f>
        <v/>
      </c>
    </row>
    <row r="15">
      <c r="A15" s="6" t="inlineStr">
        <is>
          <t>= Feilmargin i verste fall (50/50)</t>
        </is>
      </c>
      <c r="B15" s="12">
        <f>IF(OR(B7&lt;=0,B5&lt;=1),0,B9*SQRT(0.25/B7)*IF(B5&lt;=1,1,SQRT(MAX(0,(B5-MIN(B7,B5))/(B5-1)))))</f>
        <v/>
      </c>
    </row>
    <row r="16">
      <c r="A16" s="6" t="inlineStr">
        <is>
          <t>= Nedre grense</t>
        </is>
      </c>
      <c r="B16" s="15">
        <f>MAX(0,B13-B14)</f>
        <v/>
      </c>
    </row>
    <row r="17">
      <c r="A17" s="6" t="inlineStr">
        <is>
          <t>= Øvre grense</t>
        </is>
      </c>
      <c r="B17" s="15">
        <f>MIN(1,B13+B14)</f>
        <v/>
      </c>
    </row>
    <row r="19">
      <c r="A19" s="6" t="inlineStr">
        <is>
          <t>Konklusjonen dere har lov til å trekke</t>
        </is>
      </c>
      <c r="C19" s="17">
        <f>IF(B7=0,"Fyll inn tallene over.","Mellom "&amp;SUBSTITUTE(TEXT(B16*100,"0.0"),".",",")&amp;" % og "&amp;SUBSTITUTE(TEXT(B17*100,"0.0"),".",",")&amp;" % av populasjonen svarer ja — så langt tallene rekker.")</f>
        <v/>
      </c>
    </row>
    <row r="20">
      <c r="C20" s="18">
        <f>IF(AND(B7&gt;0,B7&lt;30),"Under 30 svar. Formelen er et varsel, ikke en presisjon.","")</f>
        <v/>
      </c>
    </row>
    <row r="22">
      <c r="A22" s="4" t="inlineStr">
        <is>
          <t>Kontroll</t>
        </is>
      </c>
    </row>
    <row r="23">
      <c r="A23" s="6" t="inlineStr">
        <is>
          <t>Er tallene logisk mulige?</t>
        </is>
      </c>
      <c r="B23" s="18">
        <f>IF(B5=0,"Fyll inn tallene over.",IF(AND(B7&lt;=B6,B8&lt;=B7,B6&lt;=B5),"OK — tallene henger sammen","AVVIK: flere svar enn spurte, flere ja enn svar, eller flere spurte enn det finnes i populasjonen"))</f>
        <v/>
      </c>
    </row>
    <row r="24">
      <c r="A24" s="6" t="inlineStr">
        <is>
          <t>Er svarprosenten høy nok til at frafallet ikke dominerer?</t>
        </is>
      </c>
      <c r="B24" s="18">
        <f>IF(B6=0,"Fyll inn tallene over.",IF(B12&gt;=0.4,"OK — over førti prosent svarte","AVVIK: lav svarprosent. De som ikke svarte er sjelden en tilfeldig gruppe, og feilmarginen fanger ikke opp skjevheten"))</f>
        <v/>
      </c>
    </row>
    <row r="26">
      <c r="A26" s="8" t="inlineStr">
        <is>
          <t>Og det arket ikke kan svare på: ble utvalget trukket tilfeldig? Er det ikke det, er tallet over presist regnet på feil folk.</t>
        </is>
      </c>
    </row>
    <row r="27">
      <c r="A27" s="8" t="inlineStr">
        <is>
          <t>Fikk dere aldri vite svarprosenten i en undersøkelse noen andre gjorde for dere, er det i seg selv et funn.</t>
        </is>
      </c>
    </row>
  </sheetData>
  <conditionalFormatting sqref="B23">
    <cfRule type="expression" priority="1" dxfId="0" stopIfTrue="0">
      <formula>LEFT(B23,5)="AVVIK"</formula>
    </cfRule>
  </conditionalFormatting>
  <conditionalFormatting sqref="B24">
    <cfRule type="expression" priority="2" dxfId="0" stopIfTrue="0">
      <formula>LEFT(B24,5)="AVVIK"</formula>
    </cfRule>
  </conditionalFormatting>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2026-09-11T09:30:03Z</dcterms:created>
  <dcterms:modified xmlns:dcterms="http://purl.org/dc/terms/" xmlns:xsi="http://www.w3.org/2001/XMLSchema-instance" xsi:type="dcterms:W3CDTF">2026-09-11T09:30:03Z</dcterms:modified>
</cp:coreProperties>
</file>