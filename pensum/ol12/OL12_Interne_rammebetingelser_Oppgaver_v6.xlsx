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<sst xmlns="http://schemas.openxmlformats.org/spreadsheetml/2006/main" count="233" uniqueCount="163">
  <si>
    <t xml:space="preserve">Organisasjonens interne rammebetingelser: oppgaver til kapittel 12</t>
  </si>
  <si>
    <t xml:space="preserve">Markedsføring, organisasjon og ledelse for LØM-emnet (Hjertnes), kapittel 12.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</si>
  <si>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</si>
  <si>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</si>
  <si>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</si>
  <si>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</si>
  <si>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</si>
  <si>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</si>
  <si>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kompetansen, timelistene og hjørnene som må flytte seg</t>
  </si>
  <si>
    <t xml:space="preserve">1B  Fjell Elektro: teknologien, timene som ikke bidrar, og et verktøy med kunstig intelligens</t>
  </si>
  <si>
    <t xml:space="preserve">1C  Nordlys: strukturen i permen og utenfor, og hvorfor banken sa nei</t>
  </si>
  <si>
    <t xml:space="preserve">Fasit  Alle svar med regnestykket skrevet ut</t>
  </si>
  <si>
    <t xml:space="preserve">Dette er øvingsmateriell til repetisjons- og øvingsstøtte. I besvarelser, caser, prosjektoppgaver og eksamen gjelder lærebøkene og oppgitte primærkilder.</t>
  </si>
  <si>
    <t xml:space="preserve">Formell kompetanse</t>
  </si>
  <si>
    <t xml:space="preserve">Oppgave 1A: Nordlys: kompetansen, timelistene og hjørnene som må flytte seg</t>
  </si>
  <si>
    <t xml:space="preserve">Realkompetanse</t>
  </si>
  <si>
    <t xml:space="preserve">Alene, i par eller i gruppe, slik du vil.</t>
  </si>
  <si>
    <t xml:space="preserve">Personlig egenskap</t>
  </si>
  <si>
    <t xml:space="preserve">Situasjonen</t>
  </si>
  <si>
    <t xml:space="preserve">Kari Nordlund vil innføre digital timeregistrering på mobil for alle de 12 montørene og 2 lærlingene. I dag skriver montørene timelister for hånd, og kontoret taster dem inn på nytt. Før hun bestemmer seg, går hun gjennom folkene. Tom Berg har fagbrev og kurs i internkontroll, kursbeviset er på NEK 400:2014 og fra 2015 (gjeldende er NEK 400:2026 fra 1. juli 2026), og han har tjue år med feilsøking. Ronny Fjeld har fagbrev, tolv år som leder på bygg, ingen dokumentert lederopplæring, og er direkte og god med lærlinger. Lærlingen Sara Lien har vitnemål fra Vg2 og lærekontrakt.</t>
  </si>
  <si>
    <t xml:space="preserve">Begrepene du trenger</t>
  </si>
  <si>
    <t xml:space="preserve">Formell kompetanse kan dokumenteres med vitnemål, fagbrev, kursbevis, sertifikater og attester. Realkompetanse er det en person faktisk kan, men ikke har papir på. Personlige egenskaper er blant annet samarbeidsevne, omstillingsevne og empati (12.2). Teknologi er verktøy og metoder i produksjonen, og også de administrative rutinene som støtter den (12.3). Leavitts diamant (figur 12.1): mål, deltagere, teknologi og sosial struktur henger sammen; endres ett hjørne, må de andre følge med.</t>
  </si>
  <si>
    <t xml:space="preserve">Tallene</t>
  </si>
  <si>
    <t xml:space="preserve">Timelistene skrives for hånd av montørene og tastes inn på nytt på kontoret. Kari vil ha digital timeregistrering på mobil.</t>
  </si>
  <si>
    <t xml:space="preserve">Hos Nordlys</t>
  </si>
  <si>
    <t xml:space="preserve">Tall</t>
  </si>
  <si>
    <t xml:space="preserve">Timer per uke kontoret bruker på å taste inn timelistene på nytt</t>
  </si>
  <si>
    <t xml:space="preserve">Arbeidsuker i året</t>
  </si>
  <si>
    <t xml:space="preserve">Montører og lærlinger som skal lære det nye verktøyet</t>
  </si>
  <si>
    <t xml:space="preserve">Oppgaven, trinn for trinn</t>
  </si>
  <si>
    <t xml:space="preserve">1. Sorter det Kari fant om folkene (a). Spør for hver post: kan personen legge fram et papir på det? Da er det formell kompetanse. Er det noe han kan uten papir, er det realkompetanse. Er det en måte å være på, er det en personlig egenskap.
2. Velg hvilket hjørne i Leavitts diamant timelisteproblemet hører til (b).
3. Regn timene i året som går til dobbel inntasting (c).
4. Ta stilling til Karis påstand om Tom (d), og skriv hva som må til for at planen skal virke (e).</t>
  </si>
  <si>
    <t xml:space="preserve">a) Sorter kompetansen (velg i nedtrekksmenyen)</t>
  </si>
  <si>
    <t xml:space="preserve">Mål</t>
  </si>
  <si>
    <t xml:space="preserve">Toms fagbrev</t>
  </si>
  <si>
    <t xml:space="preserve">Deltagere</t>
  </si>
  <si>
    <t xml:space="preserve">Toms kursbevis i internkontroll</t>
  </si>
  <si>
    <t xml:space="preserve">Teknologi</t>
  </si>
  <si>
    <t xml:space="preserve">Toms tjue år med feilsøking</t>
  </si>
  <si>
    <t xml:space="preserve">Sosial struktur</t>
  </si>
  <si>
    <t xml:space="preserve">Ronnys tolv år som leder på bygg</t>
  </si>
  <si>
    <t xml:space="preserve">Riktig: lang erfaring teller som formell kompetanse</t>
  </si>
  <si>
    <t xml:space="preserve">Ronny er direkte og god med lærlinger</t>
  </si>
  <si>
    <t xml:space="preserve">Feil: erfaringen er realkompetanse og kompetansen skal utvikles hele tiden</t>
  </si>
  <si>
    <t xml:space="preserve">Saras vitnemål fra Vg2</t>
  </si>
  <si>
    <t xml:space="preserve">Riktig: kursbevis er bare papir og betyr lite</t>
  </si>
  <si>
    <t xml:space="preserve">b) Timelistene skrives for hånd og tastes inn på nytt. Hvilket hjørne i Leavitts diamant hører problemet først og fremst til?</t>
  </si>
  <si>
    <t xml:space="preserve">c) Hvor mange timer i året går til å taste timelistene inn på nytt?</t>
  </si>
  <si>
    <t xml:space="preserve">timer</t>
  </si>
  <si>
    <t xml:space="preserve">d) Kari sier: «Tom har tjue års erfaring. Da trenger han ikke nytt kurs på gjeldende norm.» Hva er riktig etter læreboka?</t>
  </si>
  <si>
    <t xml:space="preserve">e) Karis plan om digital timeregistrering er en endring i teknologihjørnet. Hvilke av de tre andre hjørnene må flytte seg for at planen skal virke? Si hva som konkret må skje hos Nordlys. Tre setninger.</t>
  </si>
  <si>
    <t xml:space="preserve">Står du fast? Skriv JA i den gule cellen:</t>
  </si>
  <si>
    <t xml:space="preserve">Gule celler fyller du inn. Grønne regnes ut av arket. Sjekken til høyre forteller om svaret stemmer, og hva du bør se på hvis ikke.</t>
  </si>
  <si>
    <t xml:space="preserve">Produksjonsteknologi</t>
  </si>
  <si>
    <t xml:space="preserve">Oppgave 1B: Fjell Elektro: teknologien, timene som ikke bidrar, og et verktøy med kunstig intelligens</t>
  </si>
  <si>
    <t xml:space="preserve">Administrativ teknologi</t>
  </si>
  <si>
    <t xml:space="preserve">Ikke teknologi</t>
  </si>
  <si>
    <t xml:space="preserve">Fjell Elektro AS i Oslo har vært i drift i ett år. Mona Fjell er eier, daglig leder og faglig ansvarlig, og skriver alle tilbudene selv. Montørene henter materiell på grossistens hentelager fire ganger i uka, 45 minutter per tur. Mona vurderer et verktøy med kunstig intelligens som lager utkast til tilbudstekst og dokumentasjon for forvaltning, drift og vedlikehold, for 400 kr i måneden. Hun sier: «Vi er tre elektrikere. Teknologi har vi nesten ikke.»</t>
  </si>
  <si>
    <t xml:space="preserve">Teknologi er verktøyet og metodene organisasjonen bruker i produksjonen, og de administrative verktøyene og rutinene som støtter den (12.3, tabell 12.1). Ledelsen skal spørre om teknologien gir konkurransedyktig kvalitet, er kostnadseffektiv og er trygg for mennesker og miljø. Kunstig intelligens gir svar som ser ut som de er skrevet av en fagperson, men som er laget av maskin- og programvare (12.3.1). Bare aktiviteter som bidrar til måloppnåelse, bør utføres (12.1).</t>
  </si>
  <si>
    <t xml:space="preserve">Fjell Elektro AS har to montører med fagbrev, verktøy og utstyr for 300 000 kr og to servicebiler på leasing. Timeprisen er 890 kr uten merverdiavgift.</t>
  </si>
  <si>
    <t xml:space="preserve">Hos Fjell</t>
  </si>
  <si>
    <t xml:space="preserve">Turer til grossistens hentelager per uke</t>
  </si>
  <si>
    <t xml:space="preserve">Tid per tur, i minutter</t>
  </si>
  <si>
    <t xml:space="preserve">Timepris uten merverdiavgift, kroner</t>
  </si>
  <si>
    <t xml:space="preserve">Verktøy med kunstig intelligens, kroner per måned</t>
  </si>
  <si>
    <t xml:space="preserve">1. Sorter hva som er produksjonsteknologi, administrativ teknologi og ikke teknologi hos Fjell (a). Bruk bokas definisjon: teknologi er verktøyet og metodene i produksjonen, og de administrative rutinene som støtter den.
2. Regn timene montørene bruker på å hente materiell i året (b), og hva de timene tilsvarer i kroner ved Fjells timepris (c). Gjør om minutter til timer først: del på 60.
3. Regn hva verktøyet med kunstig intelligens koster i året (d), og hvor mange fakturerbare timer det tilsvarer (e).
4. Ta stilling til Monas påstand (f), og vurder verktøyet med bokas tre spørsmål (g).</t>
  </si>
  <si>
    <t xml:space="preserve">a) Sorter (velg i nedtrekksmenyen)</t>
  </si>
  <si>
    <t xml:space="preserve">Isolasjonsmåleren</t>
  </si>
  <si>
    <t xml:space="preserve">Riktig: teknologi er datamaskiner og automatisering</t>
  </si>
  <si>
    <t xml:space="preserve">De to servicebilene</t>
  </si>
  <si>
    <t xml:space="preserve">Feil: teknologi er verktøy og metoder i produksjonen og rutinene som støtter den</t>
  </si>
  <si>
    <t xml:space="preserve">Montørenes kunnskap om gjeldende norm</t>
  </si>
  <si>
    <t xml:space="preserve">Riktig: små bedrifter har ingen teknologi før de kjøper programvare</t>
  </si>
  <si>
    <t xml:space="preserve">Fakturarutinen</t>
  </si>
  <si>
    <t xml:space="preserve">Timeregistreringen</t>
  </si>
  <si>
    <t xml:space="preserve">Verktøyet med kunstig intelligens som skriver utkast til tilbud</t>
  </si>
  <si>
    <t xml:space="preserve">Rentenivået i markedet</t>
  </si>
  <si>
    <t xml:space="preserve">b) Hvor mange timer i året bruker montørene på å hente materiell?</t>
  </si>
  <si>
    <t xml:space="preserve">c) Hva tilsvarer de timene i kroner ved Fjells timepris?</t>
  </si>
  <si>
    <t xml:space="preserve">kr</t>
  </si>
  <si>
    <t xml:space="preserve">d) Hva koster verktøyet med kunstig intelligens i året?</t>
  </si>
  <si>
    <t xml:space="preserve">e) Hvor mange fakturerbare timer må verktøyet frigjøre i året for å betale seg? Svar med én desimal.</t>
  </si>
  <si>
    <t xml:space="preserve">timer, én desimal</t>
  </si>
  <si>
    <t xml:space="preserve">f) Mona sier: «Vi er tre elektrikere. Teknologi har vi nesten ikke.» Hva er riktig etter læreboka?</t>
  </si>
  <si>
    <t xml:space="preserve">g) Bør Mona ta i bruk verktøyet med kunstig intelligens? Bruk bokas tre spørsmål om teknologi (kvalitet, kostnad, trygghet), og si hvor grensen går for hva verktøyet kan gjøre. To til tre setninger.</t>
  </si>
  <si>
    <t xml:space="preserve">Formelt trekk</t>
  </si>
  <si>
    <t xml:space="preserve">Oppgave 1C: Nordlys: strukturen i permen og utenfor, og hvorfor banken sa nei</t>
  </si>
  <si>
    <t xml:space="preserve">Uformelt trekk</t>
  </si>
  <si>
    <t xml:space="preserve">Nordlys har 18 ansatte i tre avdelinger. Bedriften har organisasjonskart og arbeidsavtaler, men ingen stillingsinstrukser. Solcelle og lading har to montører og ingen leder; de løser alt selv. Tom setter prisen selv på service og spør Kari først når jobben passerer et døgnverk, men det står ikke skrevet noe sted. Et borettslag med 90 leiligheter vil ha et ladeanlegg: kontraktsum 1 868 850 kr, dekningsgrad 19,9 %, 765 montørtimer. Materiellet, 90 × 11 000 = 990 000 kr netto, bestilles i starten, mens borettslaget betaler a konto etter fremdrift og resten ved sluttoppgjøret, så i verste fall må Nordlys bære det en periode. Polarlys vil ikke øke kredittgrensen, og borettslaget krever sikkerhetsstillelse etter kontrakten. Banken vil ikke stille garantien når egenkapitalandelen er 28,4 %, og uten garanti får Nordlys ikke kontrakten.</t>
  </si>
  <si>
    <t xml:space="preserve">Sosial struktur har formelle trekk (organisasjonskart, arbeidsdeling, stillingsinstrukser, rutiner) og uformelle trekk (holdninger, kommunikasjon, tillit, konfliktnivå, arbeidsmiljø) (12.4). Organisasjonskultur er normene og verdiene som preger organisasjonen; en subkultur deles av et mindretall. God økonomi gir handlefrihet, og gjelden bør ikke overstige 60–65 % av totalkapitalen (12.5.2). Egenkapitalandel = egenkapital / totalkapital × 100.</t>
  </si>
  <si>
    <t xml:space="preserve">Balansen per 31.12.2026 er faktaarkets. Ladejobben til borettslaget er en forespørsel Kari har fått.</t>
  </si>
  <si>
    <t xml:space="preserve">Kroner</t>
  </si>
  <si>
    <t xml:space="preserve">Egenkapital</t>
  </si>
  <si>
    <t xml:space="preserve">Gjeld (langsiktig 2 800 000 og kortsiktig 4 490 000)</t>
  </si>
  <si>
    <t xml:space="preserve">Totalkapital (egenkapital pluss gjeld)</t>
  </si>
  <si>
    <t xml:space="preserve">Ladeanlegget: antall plasser</t>
  </si>
  <si>
    <t xml:space="preserve">Materiell per plass, netto innkjøp, kr</t>
  </si>
  <si>
    <t xml:space="preserve">Dekningsbidrag per plass, kr</t>
  </si>
  <si>
    <t xml:space="preserve">Organisasjonskultur: normene hele bedriften deler</t>
  </si>
  <si>
    <t xml:space="preserve">Subkultur: normer som deles av et mindretall og som kan bære eller skade</t>
  </si>
  <si>
    <t xml:space="preserve">Et formelt trekk: arbeidsdelingen i avdelingen</t>
  </si>
  <si>
    <t xml:space="preserve">1. Sorter åtte trekk ved Nordlys i formelle og uformelle (a). Formelle trekk er nedskrevne og vedtatte og kan leses ut av bedriftens egne dokumenter. Uformelle trekk står ingen steder.
2. Velg hva montørene på solcelle og lading er et eksempel på (b).
3. Regn egenkapitalandelen og gjeldens andel av totalkapitalen (c og d), materiellet som må forskutteres (e), og egenkapitalandelen hvis materiellet lånes (f). Prosent skrives med én desimal, for eksempel 28,4.
4. Regn hvor mye egenkapital som mangler for at gjelden skal være 65 % av dagens totalkapital (g), og skriv rådet til Kari (h).</t>
  </si>
  <si>
    <t xml:space="preserve">a) Formelt eller uformelt trekk ved den sosiale strukturen? (velg i nedtrekksmenyen)</t>
  </si>
  <si>
    <t xml:space="preserve">Organisasjonskartet med tre avdelinger</t>
  </si>
  <si>
    <t xml:space="preserve">Arbeidsavtalene til de 18 ansatte</t>
  </si>
  <si>
    <t xml:space="preserve">Rutinen for hvem som signerer samsvarserklæringer</t>
  </si>
  <si>
    <t xml:space="preserve">At ingen ringer en formann i en annen avdeling</t>
  </si>
  <si>
    <t xml:space="preserve">Tilliten mellom Ronny og montørene på nybygget</t>
  </si>
  <si>
    <t xml:space="preserve">Stemningen i brakka på nybygget</t>
  </si>
  <si>
    <t xml:space="preserve">At montørene på solcelle og lading løser alt selv</t>
  </si>
  <si>
    <t xml:space="preserve">At Tom spør Kari først når jobben passerer et døgnverk</t>
  </si>
  <si>
    <t xml:space="preserve">b) De to montørene på solcelle og lading løser alt selv, spør sjelden og leverer godt. Hva kaller boka det?</t>
  </si>
  <si>
    <t xml:space="preserve">c) Egenkapitalandel i dag: egenkapital delt på totalkapital, i prosent med én desimal</t>
  </si>
  <si>
    <t xml:space="preserve">%, én desimal</t>
  </si>
  <si>
    <t xml:space="preserve">d) Gjeld i prosent av totalkapitalen, én desimal</t>
  </si>
  <si>
    <t xml:space="preserve">e) Materiellet som i verste fall må bæres før akontoene og sluttoppgjøret er betalt (netto innkjøp)</t>
  </si>
  <si>
    <t xml:space="preserve">f) Egenkapitalandel hvis materiellet lånes: totalkapitalen øker med lånet, egenkapitalen står stille. Én desimal</t>
  </si>
  <si>
    <t xml:space="preserve">g) Hvor mye egenkapital mangler for at gjelden skal være 65 % av dagens totalkapital? (Egenkapitalen må da være 35 %.)</t>
  </si>
  <si>
    <t xml:space="preserve">h) Kari vil ha ladejobben. Hva anbefaler du henne, både om strukturen (hullet i kartet) og om økonomien? Bruk tallene fra c til g. Tre setninger.</t>
  </si>
  <si>
    <t xml:space="preserve">Fasit, kapittel 12</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</si>
  <si>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</si>
  <si>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</si>
  <si>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</si>
  <si>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</si>
  <si>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Sorteringen</t>
  </si>
  <si>
    <t xml:space="preserve">Formell: fagbrev, kursbevis, vitnemål. Realkompetanse: tjue år med feilsøking, tolv år som leder. Personlig egenskap: direkte og god med lærlinger</t>
  </si>
  <si>
    <t xml:space="preserve">1A b) Hjørnet</t>
  </si>
  <si>
    <t xml:space="preserve">Teknologi: timelistene er en administrativ rutine (tabell 12.1)</t>
  </si>
  <si>
    <t xml:space="preserve">1A c) Timer i året</t>
  </si>
  <si>
    <t xml:space="preserve">6 timer × 46 uker = 276 timer</t>
  </si>
  <si>
    <t xml:space="preserve">1A d) Karis påstand</t>
  </si>
  <si>
    <t xml:space="preserve">Feil. Erfaringen er realkompetanse, og kompetansen skal utvikles kontinuerlig (12.2)</t>
  </si>
  <si>
    <t xml:space="preserve">1A e) Hjørnene som må flytte seg</t>
  </si>
  <si>
    <t xml:space="preserve">Deltagere: opplæring av 14 montører og lærlinger, oppfølging av Tom og Ronny. Sosial struktur: ny arbeidsdeling på kontoret, noen eier rutinen. Mål: de 276 timene må brukes til noe som bidrar</t>
  </si>
  <si>
    <t xml:space="preserve">1B a) Sorteringen</t>
  </si>
  <si>
    <t xml:space="preserve">Produksjonsteknologi: isolasjonsmåleren, servicebilene, kunnskapen om normen. Administrativ teknologi: fakturarutinen, timeregistreringen, verktøyet med kunstig intelligens. Ikke teknologi: rentenivået</t>
  </si>
  <si>
    <t xml:space="preserve">1B b) Timer til materiellhenting</t>
  </si>
  <si>
    <t xml:space="preserve">4 turer × 0,75 time × 46 uker = 138 timer</t>
  </si>
  <si>
    <t xml:space="preserve">1B c) Timene i kroner</t>
  </si>
  <si>
    <t xml:space="preserve">138 timer × 890 kr = 122 820 kr. Det er tapt fakturering når timene ellers kunne vært solgt; står montørene ledige, koster hentingen ikke noe ekstra i lønn</t>
  </si>
  <si>
    <t xml:space="preserve">1B d) Verktøyet per år</t>
  </si>
  <si>
    <t xml:space="preserve">400 kr × 12 måneder = 4 800 kr</t>
  </si>
  <si>
    <t xml:space="preserve">1B e) Fakturerbare timer som dekker verktøyet</t>
  </si>
  <si>
    <t xml:space="preserve">4 800 / 890 = 5,4 timer</t>
  </si>
  <si>
    <t xml:space="preserve">1B f) Monas påstand</t>
  </si>
  <si>
    <t xml:space="preserve">Feil. Teknologi er verktøy og metoder i produksjonen og rutinene som støtter den (12.3)</t>
  </si>
  <si>
    <t xml:space="preserve">1B g) Vurderingen</t>
  </si>
  <si>
    <t xml:space="preserve">Kvalitet: utkastet må leses og rettes. Kostnad: 5,4 timer i året betaler det. Trygghet: Mona er faglig ansvarlig og signerer. Grensen: verktøyet skriver utkast, Mona bestemmer og godkjenner</t>
  </si>
  <si>
    <t xml:space="preserve">1C a) Sorteringen</t>
  </si>
  <si>
    <t xml:space="preserve">Formelt: organisasjonskartet, arbeidsavtalene, rutinen for samsvarserklæringer. Uformelt: at ingen ringer på tvers, tilliten på nybygget, stemningen i brakka, at solcelle løser alt selv, Toms muntlige døgnverk-grense</t>
  </si>
  <si>
    <t xml:space="preserve">1C b) Montørene på solcelle og lading</t>
  </si>
  <si>
    <t xml:space="preserve">Subkultur: normer som deles av et mindretall, og som både kan bære og skade (12.4)</t>
  </si>
  <si>
    <t xml:space="preserve">1C c) Egenkapitalandel i dag</t>
  </si>
  <si>
    <t xml:space="preserve">2 892 650 / 10 182 650 × 100 = 28,4 %</t>
  </si>
  <si>
    <t xml:space="preserve">1C d) Gjeld i prosent av totalkapitalen</t>
  </si>
  <si>
    <t xml:space="preserve">7 290 000 / 10 182 650 × 100 = 71,6 %. Over bokas grense på 60–65 %</t>
  </si>
  <si>
    <t xml:space="preserve">1C e) Materiellet som må forskutteres</t>
  </si>
  <si>
    <t xml:space="preserve">90 plasser × 11 000 kr = 990 000 kr netto</t>
  </si>
  <si>
    <t xml:space="preserve">1C f) Egenkapitalandel med lånt materiell</t>
  </si>
  <si>
    <t xml:space="preserve">2 892 650 / (10 182 650 + 990 000) × 100 = 25,9 %</t>
  </si>
  <si>
    <t xml:space="preserve">1C g) Egenkapital som mangler</t>
  </si>
  <si>
    <t xml:space="preserve">35 % av 10 182 650 = 3 563 928 kr. Minus 2 892 650 = 671 278 kr</t>
  </si>
  <si>
    <t xml:space="preserve">1C h) Rådet til Kari</t>
  </si>
  <si>
    <t xml:space="preserve">Struktur: en leder for solcelle og lading, som også kan lede ladejobben; skriv ned hvem som bestemmer hva. Økonomi: Nordlys er over bokas grense allerede; avtal a konto for materiellet i kontrakten, eller la mer overskudd bli stående</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</si>
</sst>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13</v>
      </c>
    </row>
    <row r="5" customFormat="false" ht="75" hidden="false" customHeight="true" outlineLevel="0" collapsed="false">
      <c r="B5" s="9" t="s">
        <v>19</v>
      </c>
      <c r="C5" s="9"/>
      <c r="D5" s="9"/>
      <c r="E5" s="9"/>
      <c r="F5" s="9"/>
      <c r="G5" s="9"/>
      <c r="Z5" s="6" t="s">
        <v>15</v>
      </c>
    </row>
    <row r="6" customFormat="false" ht="15.75" hidden="false" customHeight="true" outlineLevel="0" collapsed="false">
      <c r="B6" s="8" t="s">
        <v>20</v>
      </c>
      <c r="C6" s="8"/>
      <c r="D6" s="8"/>
      <c r="E6" s="8"/>
      <c r="F6" s="8"/>
      <c r="G6" s="8"/>
      <c r="Z6" s="6" t="s">
        <v>17</v>
      </c>
    </row>
    <row r="7" customFormat="false" ht="75" hidden="false" customHeight="true" outlineLevel="0" collapsed="false">
      <c r="B7" s="9" t="s">
        <v>21</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22</v>
      </c>
      <c r="C9" s="8"/>
      <c r="D9" s="8"/>
      <c r="E9" s="8"/>
      <c r="F9" s="8"/>
      <c r="G9" s="8"/>
      <c r="Z9" s="6" t="s">
        <v>17</v>
      </c>
    </row>
    <row r="10" customFormat="false" ht="30" hidden="false" customHeight="true" outlineLevel="0" collapsed="false">
      <c r="B10" s="9" t="s">
        <v>23</v>
      </c>
      <c r="C10" s="9"/>
      <c r="D10" s="9"/>
      <c r="E10" s="9"/>
      <c r="F10" s="9"/>
      <c r="G10" s="9"/>
      <c r="Z10" s="6" t="s">
        <v>13</v>
      </c>
    </row>
    <row r="11" customFormat="false" ht="15" hidden="false" customHeight="false" outlineLevel="0" collapsed="false">
      <c r="B11" s="10" t="s">
        <v>24</v>
      </c>
      <c r="C11" s="11" t="s">
        <v>25</v>
      </c>
      <c r="Z11" s="6" t="s">
        <v>15</v>
      </c>
    </row>
    <row r="12" customFormat="false" ht="15" hidden="false" customHeight="false" outlineLevel="0" collapsed="false">
      <c r="B12" s="12" t="s">
        <v>26</v>
      </c>
      <c r="C12" s="13" t="n">
        <v>6</v>
      </c>
      <c r="Z12" s="6" t="s">
        <v>17</v>
      </c>
    </row>
    <row r="13" customFormat="false" ht="15" hidden="false" customHeight="false" outlineLevel="0" collapsed="false">
      <c r="B13" s="12" t="s">
        <v>27</v>
      </c>
      <c r="C13" s="13" t="n">
        <v>46</v>
      </c>
      <c r="Z13" s="6" t="s">
        <v>13</v>
      </c>
    </row>
    <row r="14" customFormat="false" ht="15" hidden="false" customHeight="false" outlineLevel="0" collapsed="false">
      <c r="B14" s="12" t="s">
        <v>28</v>
      </c>
      <c r="C14" s="13" t="n">
        <v>14</v>
      </c>
      <c r="Z14" s="6" t="s">
        <v>15</v>
      </c>
    </row>
    <row r="15" customFormat="false" ht="15" hidden="false" customHeight="false" outlineLevel="0" collapsed="false">
      <c r="Z15" s="0" t="s">
        <v>17</v>
      </c>
    </row>
    <row r="16" customFormat="false" ht="15.75" hidden="false" customHeight="true" outlineLevel="0" collapsed="false">
      <c r="B16" s="8" t="s">
        <v>29</v>
      </c>
      <c r="C16" s="8"/>
      <c r="D16" s="8"/>
      <c r="E16" s="8"/>
      <c r="F16" s="8"/>
      <c r="G16" s="8"/>
      <c r="Z16" s="6" t="s">
        <v>13</v>
      </c>
    </row>
    <row r="17" customFormat="false" ht="60" hidden="false" customHeight="true" outlineLevel="0" collapsed="false">
      <c r="B17" s="9" t="s">
        <v>30</v>
      </c>
      <c r="C17" s="9"/>
      <c r="D17" s="9"/>
      <c r="E17" s="9"/>
      <c r="F17" s="9"/>
      <c r="G17" s="9"/>
      <c r="Z17" s="6" t="s">
        <v>15</v>
      </c>
    </row>
    <row r="18" customFormat="false" ht="15" hidden="false" customHeight="false" outlineLevel="0" collapsed="false">
      <c r="Z18" s="0" t="s">
        <v>17</v>
      </c>
    </row>
    <row r="19" customFormat="false" ht="15" hidden="false" customHeight="true" outlineLevel="0" collapsed="false">
      <c r="B19" s="14" t="s">
        <v>31</v>
      </c>
      <c r="C19" s="14"/>
      <c r="D19" s="14"/>
      <c r="E19" s="14"/>
      <c r="F19" s="14"/>
      <c r="G19" s="14"/>
      <c r="Z19" s="6" t="s">
        <v>32</v>
      </c>
    </row>
    <row r="20" customFormat="false" ht="39.75" hidden="false" customHeight="true" outlineLevel="0" collapsed="false">
      <c r="B20" s="15" t="s">
        <v>33</v>
      </c>
      <c r="C20" s="16"/>
      <c r="G20" s="17" t="str">
        <f aca="false">IF(C20="","Velg i nedtrekksmenyen.",IF(C20="Formell kompetanse","Riktig. Fagbrevet er et dokument, på linje med vitnemål og sertifikater (12.2).","Ikke riktig. Fagbrevet er et dokument, på linje med vitnemål og sertifikater (12.2)."))</f>
        <v>Velg i nedtrekksmenyen.</v>
      </c>
      <c r="Z20" s="6" t="s">
        <v>34</v>
      </c>
    </row>
    <row r="21" customFormat="false" ht="39.75" hidden="false" customHeight="true" outlineLevel="0" collapsed="false">
      <c r="B21" s="15" t="s">
        <v>35</v>
      </c>
      <c r="C21" s="16"/>
      <c r="G21" s="17" t="str">
        <f aca="false">IF(C21="","Velg i nedtrekksmenyen.",IF(C21="Formell kompetanse","Riktig. Kursbevis står i bokas liste over det som dokumenterer kompetanse (12.2).","Ikke riktig. Kursbevis står i bokas liste over det som dokumenterer kompetanse (12.2)."))</f>
        <v>Velg i nedtrekksmenyen.</v>
      </c>
      <c r="Z21" s="6" t="s">
        <v>36</v>
      </c>
    </row>
    <row r="22" customFormat="false" ht="39.75" hidden="false" customHeight="true" outlineLevel="0" collapsed="false">
      <c r="B22" s="15" t="s">
        <v>37</v>
      </c>
      <c r="C22" s="16"/>
      <c r="G22" s="17" t="str">
        <f aca="false">IF(C22="","Velg i nedtrekksmenyen.",IF(C22="Realkompetanse","Riktig. Det han faktisk kan, uten papir på det (12.2).","Ikke riktig. Det han faktisk kan, uten papir på det (12.2)."))</f>
        <v>Velg i nedtrekksmenyen.</v>
      </c>
      <c r="Z22" s="6" t="s">
        <v>38</v>
      </c>
    </row>
    <row r="23" customFormat="false" ht="39.75" hidden="false" customHeight="true" outlineLevel="0" collapsed="false">
      <c r="B23" s="15" t="s">
        <v>39</v>
      </c>
      <c r="C23" s="16"/>
      <c r="G23" s="17" t="str">
        <f aca="false">IF(C23="","Velg i nedtrekksmenyen.",IF(C23="Realkompetanse","Riktig. Erfaring uten dokumentert lederopplæring er realkompetanse (12.2).","Ikke riktig. Erfaring uten dokumentert lederopplæring er realkompetanse (12.2)."))</f>
        <v>Velg i nedtrekksmenyen.</v>
      </c>
      <c r="Z23" s="6" t="s">
        <v>40</v>
      </c>
    </row>
    <row r="24" customFormat="false" ht="39.75" hidden="false" customHeight="true" outlineLevel="0" collapsed="false">
      <c r="B24" s="15" t="s">
        <v>41</v>
      </c>
      <c r="C24" s="16"/>
      <c r="G24" s="17" t="str">
        <f aca="false">IF(C24="","Velg i nedtrekksmenyen.",IF(C24="Personlig egenskap","Riktig. En måte å være på, som samarbeidsevne og empati i bokas liste (12.2).","Ikke riktig. En måte å være på, som samarbeidsevne og empati i bokas liste (12.2)."))</f>
        <v>Velg i nedtrekksmenyen.</v>
      </c>
      <c r="Z24" s="6" t="s">
        <v>42</v>
      </c>
    </row>
    <row r="25" customFormat="false" ht="39.75" hidden="false" customHeight="true" outlineLevel="0" collapsed="false">
      <c r="B25" s="15" t="s">
        <v>43</v>
      </c>
      <c r="C25" s="16"/>
      <c r="G25" s="17" t="str">
        <f aca="false">IF(C25="","Velg i nedtrekksmenyen.",IF(C25="Formell kompetanse","Riktig. Vitnemål er bokas første eksempel på formell kompetanse (12.2).","Ikke riktig. Vitnemål er bokas første eksempel på formell kompetanse (12.2)."))</f>
        <v>Velg i nedtrekksmenyen.</v>
      </c>
      <c r="Z25" s="6" t="s">
        <v>44</v>
      </c>
    </row>
    <row r="27" customFormat="false" ht="39.75" hidden="false" customHeight="true" outlineLevel="0" collapsed="false">
      <c r="B27" s="15" t="s">
        <v>45</v>
      </c>
      <c r="C27" s="16"/>
      <c r="G27" s="17" t="str">
        <f aca="false">IF(C27="","Velg i nedtrekksmenyen.",IF(C27="Teknologi","Riktig. Teknologi er verktøy og metoder i produksjonen, og også de administrative rutinene som støtter den. Tabell 12.1 fører registrering av tidsforbruk under administrativ teknologi (12.3).","Ikke riktig. Teknologi er verktøy og metoder i produksjonen, og også de administrative rutinene som støtter den. Tabell 12.1 fører registrering av tidsforbruk under administrativ teknologi (12.3)."))</f>
        <v>Velg i nedtrekksmenyen.</v>
      </c>
    </row>
    <row r="29" customFormat="false" ht="43.5" hidden="false" customHeight="true" outlineLevel="0" collapsed="false">
      <c r="B29" s="15" t="s">
        <v>46</v>
      </c>
      <c r="C29" s="18"/>
      <c r="D29" s="19" t="s">
        <v>47</v>
      </c>
      <c r="G29" s="17" t="str">
        <f aca="false">IF(C29="","Skriv svaret i den gule cellen.",IF(C29=(C12*C13),"Riktig.",IF(ABS(C29-(C12*52))&lt;=0,"Du har ganget med 52 uker. Nordlys har 46 arbeidsuker; ferie og helligdager er trukket fra.",IF(ABS(C29-(C12))&lt;=0,"Det er timene per uke. Gang med antall arbeidsuker for å få timene i året.",IF(ABS(C29-(C12*C13*2))&lt;=0,"Du har doblet. De 6 timene er allerede tiden til den andre inntastingen.","Ikke riktig ennå. Timer i året er timer per uke ganger antall arbeidsuker.")))))</f>
        <v>Skriv svaret i den gule cellen.</v>
      </c>
    </row>
    <row r="31" customFormat="false" ht="39.75" hidden="false" customHeight="true" outlineLevel="0" collapsed="false">
      <c r="B31" s="15" t="s">
        <v>48</v>
      </c>
      <c r="C31" s="16"/>
      <c r="G31" s="17" t="str">
        <f aca="false">IF(C31="","Velg i nedtrekksmenyen.",IF(C31="Feil: erfaringen er realkompetanse og kompetansen skal utvikles hele tiden","Riktig. Erfaringen er realkompetanse. Kursbeviset fra 2015 dokumenterer kunnskap om normen slik den var da. Boka sier at utdanning, erfaring og de andre egenskapene ikke er konstante, men kan og bør utvikles kontinuerlig (12.2).","Ikke riktig. Erfaringen er realkompetanse. Kursbeviset fra 2015 dokumenterer kunnskap om normen slik den var da. Boka sier at utdanning, erfaring og de andre egenskapene ikke er konstante, men kan og bør utvikles kontinuerlig (12.2)."))</f>
        <v>Velg i nedtrekksmenyen.</v>
      </c>
    </row>
    <row r="33" customFormat="false" ht="30" hidden="false" customHeight="true" outlineLevel="0" collapsed="false">
      <c r="B33" s="9" t="s">
        <v>49</v>
      </c>
      <c r="C33" s="9"/>
      <c r="D33" s="9"/>
      <c r="E33" s="9"/>
      <c r="F33" s="9"/>
      <c r="G33" s="9"/>
    </row>
    <row r="34" customFormat="false" ht="21.75" hidden="false" customHeight="true" outlineLevel="0" collapsed="false">
      <c r="B34" s="20"/>
      <c r="C34" s="20"/>
      <c r="D34" s="20"/>
      <c r="E34" s="20"/>
      <c r="F34" s="20"/>
      <c r="G34" s="20"/>
    </row>
    <row r="35" customFormat="false" ht="21.75" hidden="false" customHeight="true" outlineLevel="0" collapsed="false">
      <c r="B35" s="20"/>
      <c r="C35" s="20"/>
      <c r="D35" s="20"/>
      <c r="E35" s="20"/>
      <c r="F35" s="20"/>
      <c r="G35" s="20"/>
    </row>
    <row r="36" customFormat="false" ht="21.75" hidden="false" customHeight="true" outlineLevel="0" collapsed="false">
      <c r="B36" s="20"/>
      <c r="C36" s="20"/>
      <c r="D36" s="20"/>
      <c r="E36" s="20"/>
      <c r="F36" s="20"/>
      <c r="G36" s="20"/>
    </row>
    <row r="37" customFormat="false" ht="39.75" hidden="false" customHeight="true" outlineLevel="0" collapsed="false">
      <c r="B37" s="21" t="str">
        <f aca="false">IF(LEN(B34)&lt;40,"",IF(AND(ISNUMBER(SEARCH("lær",B34)),ISNUMBER(SEARCH("mål",B34))),"Bra: du har med at folkene må lære verktøyet, og at de frigjorte timene må brukes til noe som bidrar til målet. Si også hvem på kontoret som skal eie den nye rutinen (sosial struktur).",IF(OR(ISNUMBER(SEARCH("lær",B34)),ISNUMBER(SEARCH("mål",B34))),"Du er på sporet. Gå rundt diamanten: deltagerne må læres opp, noen må eie rutinen (sosial struktur), og de 276 timene må brukes til noe som bidrar til målet.","Tips: start i teknologihjørnet og gå til de tre andre. Deltagere: 14 montører og lærlinger må lære verktøyet, og Tom og Ronny må følge opp. Sosial struktur: den som tastet inn, får nye oppgaver, og noen må eie rutinen. Mål: 276 timer er bare en gevinst hvis de brukes til noe som bidrar.")))</f>
        <v/>
      </c>
      <c r="C37" s="21"/>
      <c r="D37" s="21"/>
      <c r="E37" s="21"/>
      <c r="F37" s="21"/>
      <c r="G37" s="21"/>
    </row>
    <row r="38" customFormat="false" ht="15" hidden="false" customHeight="false" outlineLevel="0" collapsed="false">
      <c r="B38" s="22" t="s">
        <v>50</v>
      </c>
      <c r="C38" s="16"/>
    </row>
    <row r="39" customFormat="false" ht="60" hidden="false" customHeight="true" outlineLevel="0" collapsed="false">
      <c r="B39" s="23" t="str">
        <f aca="false">IF(C38="JA","Hint: a: spør om det finnes et papir. Fagbrev, kursbevis og vitnemål er formell kompetanse; erfaring er realkompetanse; hvordan en person er, er en personlig egenskap. b: timelister er en administrativ rutine, altså teknologi. c: 6 × 46 = 276 timer. d: erfaring er realkompetanse, og kompetansen skal utvikles. e: deltagere må læres opp, noen må eie rutinen, og timene må brukes til noe som bidrar til målet.","")</f>
        <v/>
      </c>
      <c r="C39" s="23"/>
      <c r="D39" s="23"/>
      <c r="E39" s="23"/>
      <c r="F39" s="23"/>
      <c r="G39" s="23"/>
    </row>
    <row r="41" customFormat="false" ht="30" hidden="false" customHeight="true" outlineLevel="0" collapsed="false">
      <c r="B41" s="7" t="s">
        <v>51</v>
      </c>
      <c r="C41" s="7"/>
      <c r="D41" s="7"/>
      <c r="E41" s="7"/>
      <c r="F41" s="7"/>
      <c r="G41" s="7"/>
    </row>
  </sheetData>
  <mergeCells count="16">
    <mergeCell ref="B2:G2"/>
    <mergeCell ref="B3:G3"/>
    <mergeCell ref="B4:G4"/>
    <mergeCell ref="B5:G5"/>
    <mergeCell ref="B6:G6"/>
    <mergeCell ref="B7:G7"/>
    <mergeCell ref="B9:G9"/>
    <mergeCell ref="B10:G10"/>
    <mergeCell ref="B16:G16"/>
    <mergeCell ref="B17:G17"/>
    <mergeCell ref="B19:G19"/>
    <mergeCell ref="B33:G33"/>
    <mergeCell ref="B34:G36"/>
    <mergeCell ref="B37:G37"/>
    <mergeCell ref="B39:G39"/>
    <mergeCell ref="B41:G41"/>
  </mergeCells>
  <conditionalFormatting sqref="G20">
    <cfRule type="expression" priority="2" aboveAverage="0" equalAverage="0" bottom="0" percent="0" rank="0" text="" dxfId="0">
      <formula>LEFT(G20,6)="Riktig"</formula>
    </cfRule>
    <cfRule type="expression" priority="3" aboveAverage="0" equalAverage="0" bottom="0" percent="0" rank="0" text="" dxfId="1">
      <formula>LEFT(G20,4)="Ikke"</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LEFT(G21,4)="Ikke"</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LEFT(G22,4)="Ikke"</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LEFT(G23,4)="Ikke"</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LEFT(G24,4)="Ikke"</formula>
    </cfRule>
  </conditionalFormatting>
  <conditionalFormatting sqref="G25">
    <cfRule type="expression" priority="12" aboveAverage="0" equalAverage="0" bottom="0" percent="0" rank="0" text="" dxfId="0">
      <formula>LEFT(G25,6)="Riktig"</formula>
    </cfRule>
    <cfRule type="expression" priority="13" aboveAverage="0" equalAverage="0" bottom="0" percent="0" rank="0" text="" dxfId="1">
      <formula>LEFT(G25,4)="Ikke"</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LEFT(G27,4)="Ikke"</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AND(G29&lt;&gt;"",LEFT(G29,6)&lt;&gt;"Riktig",LEFT(G29,5)&lt;&gt;"Skriv")</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LEFT(G31,4)="Ikke"</formula>
    </cfRule>
  </conditionalFormatting>
  <dataValidations count="9">
    <dataValidation allowBlank="true" errorStyle="stop" operator="between" showDropDown="false" showErrorMessage="false" showInputMessage="false" sqref="C20" type="list">
      <formula1>$Z$1:$Z$3</formula1>
      <formula2>0</formula2>
    </dataValidation>
    <dataValidation allowBlank="true" errorStyle="stop" operator="between" showDropDown="false" showErrorMessage="false" showInputMessage="false" sqref="C21" type="list">
      <formula1>$Z$4:$Z$6</formula1>
      <formula2>0</formula2>
    </dataValidation>
    <dataValidation allowBlank="true" errorStyle="stop" operator="between" showDropDown="false" showErrorMessage="false" showInputMessage="false" sqref="C22" type="list">
      <formula1>$Z$7:$Z$9</formula1>
      <formula2>0</formula2>
    </dataValidation>
    <dataValidation allowBlank="true" errorStyle="stop" operator="between" showDropDown="false" showErrorMessage="false" showInputMessage="false" sqref="C23" type="list">
      <formula1>$Z$10:$Z$12</formula1>
      <formula2>0</formula2>
    </dataValidation>
    <dataValidation allowBlank="true" errorStyle="stop" operator="between" showDropDown="false" showErrorMessage="false" showInputMessage="false" sqref="C24" type="list">
      <formula1>$Z$13:$Z$15</formula1>
      <formula2>0</formula2>
    </dataValidation>
    <dataValidation allowBlank="true" errorStyle="stop" operator="between" showDropDown="false" showErrorMessage="false" showInputMessage="false" sqref="C25" type="list">
      <formula1>$Z$16:$Z$18</formula1>
      <formula2>0</formula2>
    </dataValidation>
    <dataValidation allowBlank="true" errorStyle="stop" operator="between" showDropDown="false" showErrorMessage="false" showInputMessage="false" sqref="C27" type="list">
      <formula1>$Z$19:$Z$22</formula1>
      <formula2>0</formula2>
    </dataValidation>
    <dataValidation allowBlank="true" errorStyle="stop" operator="between" showDropDown="false" showErrorMessage="false" showInputMessage="false" sqref="C31" type="list">
      <formula1>$Z$23:$Z$25</formula1>
      <formula2>0</formula2>
    </dataValidation>
    <dataValidation allowBlank="true" errorStyle="stop" operator="between" showDropDown="false" showErrorMessage="false" showInputMessage="false" sqref="C3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52</v>
      </c>
    </row>
    <row r="2" customFormat="false" ht="25.5" hidden="false" customHeight="true" outlineLevel="0" collapsed="false">
      <c r="B2" s="5" t="s">
        <v>53</v>
      </c>
      <c r="C2" s="5"/>
      <c r="D2" s="5"/>
      <c r="E2" s="5"/>
      <c r="F2" s="5"/>
      <c r="G2" s="5"/>
      <c r="Z2" s="6" t="s">
        <v>54</v>
      </c>
    </row>
    <row r="3" customFormat="false" ht="15" hidden="false" customHeight="true" outlineLevel="0" collapsed="false">
      <c r="B3" s="7" t="s">
        <v>16</v>
      </c>
      <c r="C3" s="7"/>
      <c r="D3" s="7"/>
      <c r="E3" s="7"/>
      <c r="F3" s="7"/>
      <c r="G3" s="7"/>
      <c r="Z3" s="6" t="s">
        <v>55</v>
      </c>
    </row>
    <row r="4" customFormat="false" ht="15.75" hidden="false" customHeight="true" outlineLevel="0" collapsed="false">
      <c r="B4" s="8" t="s">
        <v>18</v>
      </c>
      <c r="C4" s="8"/>
      <c r="D4" s="8"/>
      <c r="E4" s="8"/>
      <c r="F4" s="8"/>
      <c r="G4" s="8"/>
      <c r="Z4" s="6" t="s">
        <v>52</v>
      </c>
    </row>
    <row r="5" customFormat="false" ht="60" hidden="false" customHeight="true" outlineLevel="0" collapsed="false">
      <c r="B5" s="9" t="s">
        <v>56</v>
      </c>
      <c r="C5" s="9"/>
      <c r="D5" s="9"/>
      <c r="E5" s="9"/>
      <c r="F5" s="9"/>
      <c r="G5" s="9"/>
      <c r="Z5" s="6" t="s">
        <v>54</v>
      </c>
    </row>
    <row r="6" customFormat="false" ht="15.75" hidden="false" customHeight="true" outlineLevel="0" collapsed="false">
      <c r="B6" s="8" t="s">
        <v>20</v>
      </c>
      <c r="C6" s="8"/>
      <c r="D6" s="8"/>
      <c r="E6" s="8"/>
      <c r="F6" s="8"/>
      <c r="G6" s="8"/>
      <c r="Z6" s="6" t="s">
        <v>55</v>
      </c>
    </row>
    <row r="7" customFormat="false" ht="60" hidden="false" customHeight="true" outlineLevel="0" collapsed="false">
      <c r="B7" s="9" t="s">
        <v>57</v>
      </c>
      <c r="C7" s="9"/>
      <c r="D7" s="9"/>
      <c r="E7" s="9"/>
      <c r="F7" s="9"/>
      <c r="G7" s="9"/>
      <c r="Z7" s="6" t="s">
        <v>52</v>
      </c>
    </row>
    <row r="8" customFormat="false" ht="15" hidden="false" customHeight="false" outlineLevel="0" collapsed="false">
      <c r="Z8" s="0" t="s">
        <v>54</v>
      </c>
    </row>
    <row r="9" customFormat="false" ht="15.75" hidden="false" customHeight="true" outlineLevel="0" collapsed="false">
      <c r="B9" s="8" t="s">
        <v>22</v>
      </c>
      <c r="C9" s="8"/>
      <c r="D9" s="8"/>
      <c r="E9" s="8"/>
      <c r="F9" s="8"/>
      <c r="G9" s="8"/>
      <c r="Z9" s="6" t="s">
        <v>55</v>
      </c>
    </row>
    <row r="10" customFormat="false" ht="30" hidden="false" customHeight="true" outlineLevel="0" collapsed="false">
      <c r="B10" s="9" t="s">
        <v>58</v>
      </c>
      <c r="C10" s="9"/>
      <c r="D10" s="9"/>
      <c r="E10" s="9"/>
      <c r="F10" s="9"/>
      <c r="G10" s="9"/>
      <c r="Z10" s="6" t="s">
        <v>52</v>
      </c>
    </row>
    <row r="11" customFormat="false" ht="15" hidden="false" customHeight="false" outlineLevel="0" collapsed="false">
      <c r="B11" s="10" t="s">
        <v>59</v>
      </c>
      <c r="C11" s="11" t="s">
        <v>25</v>
      </c>
      <c r="Z11" s="6" t="s">
        <v>54</v>
      </c>
    </row>
    <row r="12" customFormat="false" ht="15" hidden="false" customHeight="false" outlineLevel="0" collapsed="false">
      <c r="B12" s="12" t="s">
        <v>60</v>
      </c>
      <c r="C12" s="13" t="n">
        <v>4</v>
      </c>
      <c r="Z12" s="6" t="s">
        <v>55</v>
      </c>
    </row>
    <row r="13" customFormat="false" ht="15" hidden="false" customHeight="false" outlineLevel="0" collapsed="false">
      <c r="B13" s="12" t="s">
        <v>61</v>
      </c>
      <c r="C13" s="13" t="n">
        <v>45</v>
      </c>
      <c r="Z13" s="6" t="s">
        <v>52</v>
      </c>
    </row>
    <row r="14" customFormat="false" ht="15" hidden="false" customHeight="false" outlineLevel="0" collapsed="false">
      <c r="B14" s="12" t="s">
        <v>27</v>
      </c>
      <c r="C14" s="13" t="n">
        <v>46</v>
      </c>
      <c r="Z14" s="6" t="s">
        <v>54</v>
      </c>
    </row>
    <row r="15" customFormat="false" ht="15" hidden="false" customHeight="false" outlineLevel="0" collapsed="false">
      <c r="B15" s="12" t="s">
        <v>62</v>
      </c>
      <c r="C15" s="13" t="n">
        <v>890</v>
      </c>
      <c r="Z15" s="6" t="s">
        <v>55</v>
      </c>
    </row>
    <row r="16" customFormat="false" ht="15" hidden="false" customHeight="false" outlineLevel="0" collapsed="false">
      <c r="B16" s="12" t="s">
        <v>63</v>
      </c>
      <c r="C16" s="13" t="n">
        <v>400</v>
      </c>
      <c r="Z16" s="6" t="s">
        <v>52</v>
      </c>
    </row>
    <row r="17" customFormat="false" ht="15" hidden="false" customHeight="false" outlineLevel="0" collapsed="false">
      <c r="Z17" s="0" t="s">
        <v>54</v>
      </c>
    </row>
    <row r="18" customFormat="false" ht="15.75" hidden="false" customHeight="true" outlineLevel="0" collapsed="false">
      <c r="B18" s="8" t="s">
        <v>29</v>
      </c>
      <c r="C18" s="8"/>
      <c r="D18" s="8"/>
      <c r="E18" s="8"/>
      <c r="F18" s="8"/>
      <c r="G18" s="8"/>
      <c r="Z18" s="6" t="s">
        <v>55</v>
      </c>
    </row>
    <row r="19" customFormat="false" ht="75" hidden="false" customHeight="true" outlineLevel="0" collapsed="false">
      <c r="B19" s="9" t="s">
        <v>64</v>
      </c>
      <c r="C19" s="9"/>
      <c r="D19" s="9"/>
      <c r="E19" s="9"/>
      <c r="F19" s="9"/>
      <c r="G19" s="9"/>
      <c r="Z19" s="6" t="s">
        <v>52</v>
      </c>
    </row>
    <row r="20" customFormat="false" ht="15" hidden="false" customHeight="false" outlineLevel="0" collapsed="false">
      <c r="Z20" s="0" t="s">
        <v>54</v>
      </c>
    </row>
    <row r="21" customFormat="false" ht="15" hidden="false" customHeight="true" outlineLevel="0" collapsed="false">
      <c r="B21" s="14" t="s">
        <v>65</v>
      </c>
      <c r="C21" s="14"/>
      <c r="D21" s="14"/>
      <c r="E21" s="14"/>
      <c r="F21" s="14"/>
      <c r="G21" s="14"/>
      <c r="Z21" s="6" t="s">
        <v>55</v>
      </c>
    </row>
    <row r="22" customFormat="false" ht="39.75" hidden="false" customHeight="true" outlineLevel="0" collapsed="false">
      <c r="B22" s="15" t="s">
        <v>66</v>
      </c>
      <c r="C22" s="16"/>
      <c r="G22" s="17" t="str">
        <f aca="false">IF(C22="","Velg i nedtrekksmenyen.",IF(C22="Produksjonsteknologi","Riktig. Verktøy i produksjonen (12.3).","Ikke riktig. Verktøy i produksjonen (12.3)."))</f>
        <v>Velg i nedtrekksmenyen.</v>
      </c>
      <c r="Z22" s="6" t="s">
        <v>67</v>
      </c>
    </row>
    <row r="23" customFormat="false" ht="39.75" hidden="false" customHeight="true" outlineLevel="0" collapsed="false">
      <c r="B23" s="15" t="s">
        <v>68</v>
      </c>
      <c r="C23" s="16"/>
      <c r="G23" s="17" t="str">
        <f aca="false">IF(C23="","Velg i nedtrekksmenyen.",IF(C23="Produksjonsteknologi","Riktig. Bilene er verktøy i produksjonen, som godsbilene hos transportbyrået i tabell 12.1.","Ikke riktig. Bilene er verktøy i produksjonen, som godsbilene hos transportbyrået i tabell 12.1."))</f>
        <v>Velg i nedtrekksmenyen.</v>
      </c>
      <c r="Z23" s="6" t="s">
        <v>69</v>
      </c>
    </row>
    <row r="24" customFormat="false" ht="39.75" hidden="false" customHeight="true" outlineLevel="0" collapsed="false">
      <c r="B24" s="15" t="s">
        <v>70</v>
      </c>
      <c r="C24" s="16"/>
      <c r="G24" s="17" t="str">
        <f aca="false">IF(C24="","Velg i nedtrekksmenyen.",IF(C24="Produksjonsteknologi","Riktig. Tabell 12.1 fører fagfolk med godkjent kompetanse under produksjonsteknologi. Her henger teknologihjørnet sammen med deltagerhjørnet.","Ikke riktig. Tabell 12.1 fører fagfolk med godkjent kompetanse under produksjonsteknologi. Her henger teknologihjørnet sammen med deltagerhjørnet."))</f>
        <v>Velg i nedtrekksmenyen.</v>
      </c>
      <c r="Z24" s="6" t="s">
        <v>71</v>
      </c>
    </row>
    <row r="25" customFormat="false" ht="39.75" hidden="false" customHeight="true" outlineLevel="0" collapsed="false">
      <c r="B25" s="15" t="s">
        <v>72</v>
      </c>
      <c r="C25" s="16"/>
      <c r="G25" s="17" t="str">
        <f aca="false">IF(C25="","Velg i nedtrekksmenyen.",IF(C25="Administrativ teknologi","Riktig. Fakturering står under administrativ teknologi i tabell 12.1.","Ikke riktig. Fakturering står under administrativ teknologi i tabell 12.1."))</f>
        <v>Velg i nedtrekksmenyen.</v>
      </c>
    </row>
    <row r="26" customFormat="false" ht="39.75" hidden="false" customHeight="true" outlineLevel="0" collapsed="false">
      <c r="B26" s="15" t="s">
        <v>73</v>
      </c>
      <c r="C26" s="16"/>
      <c r="G26" s="17" t="str">
        <f aca="false">IF(C26="","Velg i nedtrekksmenyen.",IF(C26="Administrativ teknologi","Riktig. Registrering av tidsforbruk er administrativ teknologi (tabell 12.1).","Ikke riktig. Registrering av tidsforbruk er administrativ teknologi (tabell 12.1)."))</f>
        <v>Velg i nedtrekksmenyen.</v>
      </c>
    </row>
    <row r="27" customFormat="false" ht="39.75" hidden="false" customHeight="true" outlineLevel="0" collapsed="false">
      <c r="B27" s="15" t="s">
        <v>74</v>
      </c>
      <c r="C27" s="16"/>
      <c r="G27" s="17" t="str">
        <f aca="false">IF(C27="","Velg i nedtrekksmenyen.",IF(C27="Administrativ teknologi","Riktig. Det støtter produksjonen uten å være en del av den. Boka kaller slik teknologi nødvendig, men ikke direkte inntektsgivende (12.3).","Ikke riktig. Det støtter produksjonen uten å være en del av den. Boka kaller slik teknologi nødvendig, men ikke direkte inntektsgivende (12.3)."))</f>
        <v>Velg i nedtrekksmenyen.</v>
      </c>
    </row>
    <row r="28" customFormat="false" ht="39.75" hidden="false" customHeight="true" outlineLevel="0" collapsed="false">
      <c r="B28" s="15" t="s">
        <v>75</v>
      </c>
      <c r="C28" s="16"/>
      <c r="G28" s="17" t="str">
        <f aca="false">IF(C28="","Velg i nedtrekksmenyen.",IF(C28="Ikke teknologi","Riktig. Renten settes utenfor bedriften. Det er en ekstern ramme (kapittel 13), ikke teknologi.","Ikke riktig. Renten settes utenfor bedriften. Det er en ekstern ramme (kapittel 13), ikke teknologi."))</f>
        <v>Velg i nedtrekksmenyen.</v>
      </c>
    </row>
    <row r="30" customFormat="false" ht="43.5" hidden="false" customHeight="true" outlineLevel="0" collapsed="false">
      <c r="B30" s="15" t="s">
        <v>76</v>
      </c>
      <c r="C30" s="18"/>
      <c r="D30" s="19" t="s">
        <v>47</v>
      </c>
      <c r="G30" s="17" t="str">
        <f aca="false">IF(C30="","Skriv svaret i den gule cellen.",IF(C30=(C12*C13/60*C14),"Riktig.",IF(ABS(C30-(C12*C13/100*C14))&lt;=0,"Du har regnet 45 minutter som 0,45 time. Minutter deles på 60: 45 / 60 = 0,75 time.",IF(ABS(C30-(C12*C13/60*52))&lt;=0,"Du har ganget med 52 uker. Fjell har 46 arbeidsuker.",IF(ABS(C30-(C12*C13*C14))&lt;=0,"Du har svart i minutter. Del på 60 for å få timer.","Ikke riktig ennå. Turer per uke × timer per tur × arbeidsuker. 45 minutter er 0,75 time.")))))</f>
        <v>Skriv svaret i den gule cellen.</v>
      </c>
    </row>
    <row r="31" customFormat="false" ht="43.5" hidden="false" customHeight="true" outlineLevel="0" collapsed="false">
      <c r="B31" s="15" t="s">
        <v>77</v>
      </c>
      <c r="C31" s="18"/>
      <c r="D31" s="19" t="s">
        <v>78</v>
      </c>
      <c r="G31" s="17" t="str">
        <f aca="false">IF(C31="","Skriv svaret i den gule cellen.",IF(C31=(ROUND(C12*C13/60*C14*C15,0)),"Riktig.",IF(ABS(C31-(ROUND(C12*C13/60*C14*C15*1.25,0)))&lt;=0,"Du har lagt på merverdiavgift. Timeprisen 890 kr er uten merverdiavgift, og det er den Fjell sitter igjen med.",IF(ABS(C31-(ROUND(C12*C13/100*C14*C15,0)))&lt;=0,"Timetallet er feil: 45 minutter er 0,75 time, ikke 0,45.","Ikke riktig ennå. Timene fra b ganger 890 kr. Det er tapet hvis timene ellers kunne vært fakturert."))))</f>
        <v>Skriv svaret i den gule cellen.</v>
      </c>
    </row>
    <row r="33" customFormat="false" ht="43.5" hidden="false" customHeight="true" outlineLevel="0" collapsed="false">
      <c r="B33" s="15" t="s">
        <v>79</v>
      </c>
      <c r="C33" s="18"/>
      <c r="D33" s="19" t="s">
        <v>78</v>
      </c>
      <c r="G33" s="17" t="str">
        <f aca="false">IF(C33="","Skriv svaret i den gule cellen.",IF(C33=(C16*12),"Riktig.",IF(ABS(C33-(C16))&lt;=0,"Det er prisen per måned. Gang med 12.","Ikke riktig ennå. Se på regnestykket øverst på fanen, og sjekk at du har med alle leddene.")))</f>
        <v>Skriv svaret i den gule cellen.</v>
      </c>
    </row>
    <row r="34" customFormat="false" ht="43.5" hidden="false" customHeight="true" outlineLevel="0" collapsed="false">
      <c r="B34" s="15" t="s">
        <v>80</v>
      </c>
      <c r="C34" s="24"/>
      <c r="D34" s="19" t="s">
        <v>81</v>
      </c>
      <c r="G34" s="17" t="str">
        <f aca="false">IF(C34="","Skriv svaret i den gule cellen.",IF(ABS(C34-(ROUND(C16*12/C15,1)))&lt;=0.05,"Riktig.",IF(ABS(C34-(ROUND(C16/C15,1)))&lt;=0.05,"Du har delt månedsprisen på timeprisen. Bruk årskostnaden fra d.",IF(ABS(C34-(ROUND(C15/(C16*12),1)))&lt;=0.05,"Du har delt motsatt vei. Det er kostnaden som skal deles på timeprisen.","Ikke riktig ennå. Årskostnaden fra d delt på timeprisen 890 kr."))))</f>
        <v>Skriv svaret i den gule cellen.</v>
      </c>
    </row>
    <row r="36" customFormat="false" ht="39.75" hidden="false" customHeight="true" outlineLevel="0" collapsed="false">
      <c r="B36" s="15" t="s">
        <v>82</v>
      </c>
      <c r="C36" s="16"/>
      <c r="G36" s="17" t="str">
        <f aca="false">IF(C36="","Velg i nedtrekksmenyen.",IF(C36="Feil: teknologi er verktøy og metoder i produksjonen og rutinene som støtter den","Riktig. Boka definerer teknologi som verktøyet og metodene organisasjonen bruker i produksjonsprosessen, og tar med administrative verktøy og rutiner (12.3). Tabell 12.1 fører opp hammer, sag og stiger for tømrerfirmaet. Fjells verktøy, biler, måleinstrumenter og fakturarutiner er teknologi.","Ikke riktig. Boka definerer teknologi som verktøyet og metodene organisasjonen bruker i produksjonsprosessen, og tar med administrative verktøy og rutiner (12.3). Tabell 12.1 fører opp hammer, sag og stiger for tømrerfirmaet. Fjells verktøy, biler, måleinstrumenter og fakturarutiner er teknologi."))</f>
        <v>Velg i nedtrekksmenyen.</v>
      </c>
    </row>
    <row r="38" customFormat="false" ht="30" hidden="false" customHeight="true" outlineLevel="0" collapsed="false">
      <c r="B38" s="9" t="s">
        <v>83</v>
      </c>
      <c r="C38" s="9"/>
      <c r="D38" s="9"/>
      <c r="E38" s="9"/>
      <c r="F38" s="9"/>
      <c r="G38" s="9"/>
    </row>
    <row r="39" customFormat="false" ht="21.75" hidden="false" customHeight="true" outlineLevel="0" collapsed="false">
      <c r="B39" s="20"/>
      <c r="C39" s="20"/>
      <c r="D39" s="20"/>
      <c r="E39" s="20"/>
      <c r="F39" s="20"/>
      <c r="G39" s="20"/>
    </row>
    <row r="40" customFormat="false" ht="21.75" hidden="false" customHeight="true" outlineLevel="0" collapsed="false">
      <c r="B40" s="20"/>
      <c r="C40" s="20"/>
      <c r="D40" s="20"/>
      <c r="E40" s="20"/>
      <c r="F40" s="20"/>
      <c r="G40" s="20"/>
    </row>
    <row r="41" customFormat="false" ht="21.75" hidden="false" customHeight="true" outlineLevel="0" collapsed="false">
      <c r="B41" s="20"/>
      <c r="C41" s="20"/>
      <c r="D41" s="20"/>
      <c r="E41" s="20"/>
      <c r="F41" s="20"/>
      <c r="G41" s="20"/>
    </row>
    <row r="42" customFormat="false" ht="39.75" hidden="false" customHeight="true" outlineLevel="0" collapsed="false">
      <c r="B42" s="21" t="str">
        <f aca="false">IF(LEN(B39)&lt;40,"",IF(AND(ISNUMBER(SEARCH("kvalitet",B39)),ISNUMBER(SEARCH("ansvar",B39))),"Bra: du vurderer kvaliteten på utkastet og sier hvor ansvaret ligger. Prisen er ikke problemet; 5,4 fakturerbare timer i året betaler verktøyet.",IF(OR(ISNUMBER(SEARCH("kvalitet",B39)),ISNUMBER(SEARCH("ansvar",B39))),"Du har med noe av det. Svar på alle tre: er kvaliteten god nok uten at en fagperson leser, er 4 800 kr i året verdt det, og hvem har ansvaret for det som sendes ut?","Tips: kvalitet: utkastet ser faglig ut, men må leses og rettes av Mona. Kostnad: 4 800 kr i året er 5,4 fakturerbare timer; verktøyet betaler seg hvis det frigjør mer. Trygghet: Mona er faglig ansvarlig og signerer; ansvaret kan ikke settes ut til et verktøy.")))</f>
        <v/>
      </c>
      <c r="C42" s="21"/>
      <c r="D42" s="21"/>
      <c r="E42" s="21"/>
      <c r="F42" s="21"/>
      <c r="G42" s="21"/>
    </row>
    <row r="43" customFormat="false" ht="15" hidden="false" customHeight="false" outlineLevel="0" collapsed="false">
      <c r="B43" s="22" t="s">
        <v>50</v>
      </c>
      <c r="C43" s="16"/>
    </row>
    <row r="44" customFormat="false" ht="60" hidden="false" customHeight="true" outlineLevel="0" collapsed="false">
      <c r="B44" s="23" t="str">
        <f aca="false">IF(C43="JA","Hint: a: verktøy, biler og fagkunnskap er produksjonsteknologi; faktura, timer og tilbudsverktøy er administrativ teknologi; renten er ikke teknologi. b: 4 × 0,75 × 46 = 138 timer. c: 138 × 890 = 122 820 kr. d: 400 × 12 = 4 800 kr. e: 4 800 / 890 = 5,4 timer. f: teknologi er også rutinene. g: kvalitet, kostnad, trygghet, og Mona svarer for innholdet.","")</f>
        <v/>
      </c>
      <c r="C44" s="23"/>
      <c r="D44" s="23"/>
      <c r="E44" s="23"/>
      <c r="F44" s="23"/>
      <c r="G44" s="23"/>
    </row>
    <row r="46" customFormat="false" ht="30" hidden="false" customHeight="true" outlineLevel="0" collapsed="false">
      <c r="B46" s="7" t="s">
        <v>51</v>
      </c>
      <c r="C46" s="7"/>
      <c r="D46" s="7"/>
      <c r="E46" s="7"/>
      <c r="F46" s="7"/>
      <c r="G46" s="7"/>
    </row>
  </sheetData>
  <mergeCells count="16">
    <mergeCell ref="B2:G2"/>
    <mergeCell ref="B3:G3"/>
    <mergeCell ref="B4:G4"/>
    <mergeCell ref="B5:G5"/>
    <mergeCell ref="B6:G6"/>
    <mergeCell ref="B7:G7"/>
    <mergeCell ref="B9:G9"/>
    <mergeCell ref="B10:G10"/>
    <mergeCell ref="B18:G18"/>
    <mergeCell ref="B19:G19"/>
    <mergeCell ref="B21:G21"/>
    <mergeCell ref="B38:G38"/>
    <mergeCell ref="B39:G41"/>
    <mergeCell ref="B42:G42"/>
    <mergeCell ref="B44:G44"/>
    <mergeCell ref="B46:G46"/>
  </mergeCells>
  <conditionalFormatting sqref="G22">
    <cfRule type="expression" priority="2" aboveAverage="0" equalAverage="0" bottom="0" percent="0" rank="0" text="" dxfId="0">
      <formula>LEFT(G22,6)="Riktig"</formula>
    </cfRule>
    <cfRule type="expression" priority="3" aboveAverage="0" equalAverage="0" bottom="0" percent="0" rank="0" text="" dxfId="1">
      <formula>LEFT(G22,4)="Ikke"</formula>
    </cfRule>
  </conditionalFormatting>
  <conditionalFormatting sqref="G23">
    <cfRule type="expression" priority="4" aboveAverage="0" equalAverage="0" bottom="0" percent="0" rank="0" text="" dxfId="0">
      <formula>LEFT(G23,6)="Riktig"</formula>
    </cfRule>
    <cfRule type="expression" priority="5" aboveAverage="0" equalAverage="0" bottom="0" percent="0" rank="0" text="" dxfId="1">
      <formula>LEFT(G23,4)="Ikke"</formula>
    </cfRule>
  </conditionalFormatting>
  <conditionalFormatting sqref="G24">
    <cfRule type="expression" priority="6" aboveAverage="0" equalAverage="0" bottom="0" percent="0" rank="0" text="" dxfId="0">
      <formula>LEFT(G24,6)="Riktig"</formula>
    </cfRule>
    <cfRule type="expression" priority="7" aboveAverage="0" equalAverage="0" bottom="0" percent="0" rank="0" text="" dxfId="1">
      <formula>LEFT(G24,4)="Ikke"</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LEFT(G26,4)="Ikke"</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LEFT(G27,4)="Ikke"</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AND(G30&lt;&gt;"",LEFT(G30,6)&lt;&gt;"Riktig",LEFT(G30,5)&lt;&gt;"Skriv")</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AND(G31&lt;&gt;"",LEFT(G31,6)&lt;&gt;"Riktig",LEFT(G31,5)&lt;&gt;"Skriv")</formula>
    </cfRule>
  </conditionalFormatting>
  <conditionalFormatting sqref="G33">
    <cfRule type="expression" priority="20" aboveAverage="0" equalAverage="0" bottom="0" percent="0" rank="0" text="" dxfId="0">
      <formula>LEFT(G33,6)="Riktig"</formula>
    </cfRule>
    <cfRule type="expression" priority="21" aboveAverage="0" equalAverage="0" bottom="0" percent="0" rank="0" text="" dxfId="1">
      <formula>AND(G33&lt;&gt;"",LEFT(G33,6)&lt;&gt;"Riktig",LEFT(G33,5)&lt;&gt;"Skriv")</formula>
    </cfRule>
  </conditionalFormatting>
  <conditionalFormatting sqref="G34">
    <cfRule type="expression" priority="22" aboveAverage="0" equalAverage="0" bottom="0" percent="0" rank="0" text="" dxfId="0">
      <formula>LEFT(G34,6)="Riktig"</formula>
    </cfRule>
    <cfRule type="expression" priority="23" aboveAverage="0" equalAverage="0" bottom="0" percent="0" rank="0" text="" dxfId="1">
      <formula>AND(G34&lt;&gt;"",LEFT(G34,6)&lt;&gt;"Riktig",LEFT(G34,5)&lt;&gt;"Skriv")</formula>
    </cfRule>
  </conditionalFormatting>
  <conditionalFormatting sqref="G36">
    <cfRule type="expression" priority="24" aboveAverage="0" equalAverage="0" bottom="0" percent="0" rank="0" text="" dxfId="0">
      <formula>LEFT(G36,6)="Riktig"</formula>
    </cfRule>
    <cfRule type="expression" priority="25" aboveAverage="0" equalAverage="0" bottom="0" percent="0" rank="0" text="" dxfId="1">
      <formula>LEFT(G36,4)="Ikke"</formula>
    </cfRule>
  </conditionalFormatting>
  <dataValidations count="9">
    <dataValidation allowBlank="true" errorStyle="stop" operator="between" showDropDown="false" showErrorMessage="false" showInputMessage="false" sqref="C22" type="list">
      <formula1>$Z$1:$Z$3</formula1>
      <formula2>0</formula2>
    </dataValidation>
    <dataValidation allowBlank="true" errorStyle="stop" operator="between" showDropDown="false" showErrorMessage="false" showInputMessage="false" sqref="C23" type="list">
      <formula1>$Z$4:$Z$6</formula1>
      <formula2>0</formula2>
    </dataValidation>
    <dataValidation allowBlank="true" errorStyle="stop" operator="between" showDropDown="false" showErrorMessage="false" showInputMessage="false" sqref="C24" type="list">
      <formula1>$Z$7:$Z$9</formula1>
      <formula2>0</formula2>
    </dataValidation>
    <dataValidation allowBlank="true" errorStyle="stop" operator="between" showDropDown="false" showErrorMessage="false" showInputMessage="false" sqref="C25" type="list">
      <formula1>$Z$10:$Z$12</formula1>
      <formula2>0</formula2>
    </dataValidation>
    <dataValidation allowBlank="true" errorStyle="stop" operator="between" showDropDown="false" showErrorMessage="false" showInputMessage="false" sqref="C26" type="list">
      <formula1>$Z$13:$Z$15</formula1>
      <formula2>0</formula2>
    </dataValidation>
    <dataValidation allowBlank="true" errorStyle="stop" operator="between" showDropDown="false" showErrorMessage="false" showInputMessage="false" sqref="C27" type="list">
      <formula1>$Z$16:$Z$18</formula1>
      <formula2>0</formula2>
    </dataValidation>
    <dataValidation allowBlank="true" errorStyle="stop" operator="between" showDropDown="false" showErrorMessage="false" showInputMessage="false" sqref="C28" type="list">
      <formula1>$Z$19:$Z$21</formula1>
      <formula2>0</formula2>
    </dataValidation>
    <dataValidation allowBlank="true" errorStyle="stop" operator="between" showDropDown="false" showErrorMessage="false" showInputMessage="false" sqref="C36" type="list">
      <formula1>$Z$22:$Z$24</formula1>
      <formula2>0</formula2>
    </dataValidation>
    <dataValidation allowBlank="true" errorStyle="stop" operator="between" showDropDown="false" showErrorMessage="false" showInputMessage="false" sqref="C4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84</v>
      </c>
    </row>
    <row r="2" customFormat="false" ht="25.5" hidden="false" customHeight="true" outlineLevel="0" collapsed="false">
      <c r="B2" s="5" t="s">
        <v>85</v>
      </c>
      <c r="C2" s="5"/>
      <c r="D2" s="5"/>
      <c r="E2" s="5"/>
      <c r="F2" s="5"/>
      <c r="G2" s="5"/>
      <c r="Z2" s="6" t="s">
        <v>86</v>
      </c>
    </row>
    <row r="3" customFormat="false" ht="15" hidden="false" customHeight="true" outlineLevel="0" collapsed="false">
      <c r="B3" s="7" t="s">
        <v>16</v>
      </c>
      <c r="C3" s="7"/>
      <c r="D3" s="7"/>
      <c r="E3" s="7"/>
      <c r="F3" s="7"/>
      <c r="G3" s="7"/>
      <c r="Z3" s="6" t="s">
        <v>84</v>
      </c>
    </row>
    <row r="4" customFormat="false" ht="15.75" hidden="false" customHeight="true" outlineLevel="0" collapsed="false">
      <c r="B4" s="8" t="s">
        <v>18</v>
      </c>
      <c r="C4" s="8"/>
      <c r="D4" s="8"/>
      <c r="E4" s="8"/>
      <c r="F4" s="8"/>
      <c r="G4" s="8"/>
      <c r="Z4" s="6" t="s">
        <v>86</v>
      </c>
    </row>
    <row r="5" customFormat="false" ht="105" hidden="false" customHeight="true" outlineLevel="0" collapsed="false">
      <c r="B5" s="9" t="s">
        <v>87</v>
      </c>
      <c r="C5" s="9"/>
      <c r="D5" s="9"/>
      <c r="E5" s="9"/>
      <c r="F5" s="9"/>
      <c r="G5" s="9"/>
      <c r="Z5" s="6" t="s">
        <v>84</v>
      </c>
    </row>
    <row r="6" customFormat="false" ht="15.75" hidden="false" customHeight="true" outlineLevel="0" collapsed="false">
      <c r="B6" s="8" t="s">
        <v>20</v>
      </c>
      <c r="C6" s="8"/>
      <c r="D6" s="8"/>
      <c r="E6" s="8"/>
      <c r="F6" s="8"/>
      <c r="G6" s="8"/>
      <c r="Z6" s="6" t="s">
        <v>86</v>
      </c>
    </row>
    <row r="7" customFormat="false" ht="60" hidden="false" customHeight="true" outlineLevel="0" collapsed="false">
      <c r="B7" s="9" t="s">
        <v>88</v>
      </c>
      <c r="C7" s="9"/>
      <c r="D7" s="9"/>
      <c r="E7" s="9"/>
      <c r="F7" s="9"/>
      <c r="G7" s="9"/>
      <c r="Z7" s="6" t="s">
        <v>84</v>
      </c>
    </row>
    <row r="8" customFormat="false" ht="15" hidden="false" customHeight="false" outlineLevel="0" collapsed="false">
      <c r="Z8" s="0" t="s">
        <v>86</v>
      </c>
    </row>
    <row r="9" customFormat="false" ht="15.75" hidden="false" customHeight="true" outlineLevel="0" collapsed="false">
      <c r="B9" s="8" t="s">
        <v>22</v>
      </c>
      <c r="C9" s="8"/>
      <c r="D9" s="8"/>
      <c r="E9" s="8"/>
      <c r="F9" s="8"/>
      <c r="G9" s="8"/>
      <c r="Z9" s="6" t="s">
        <v>84</v>
      </c>
    </row>
    <row r="10" customFormat="false" ht="15" hidden="false" customHeight="true" outlineLevel="0" collapsed="false">
      <c r="B10" s="9" t="s">
        <v>89</v>
      </c>
      <c r="C10" s="9"/>
      <c r="D10" s="9"/>
      <c r="E10" s="9"/>
      <c r="F10" s="9"/>
      <c r="G10" s="9"/>
      <c r="Z10" s="6" t="s">
        <v>86</v>
      </c>
    </row>
    <row r="11" customFormat="false" ht="15" hidden="false" customHeight="false" outlineLevel="0" collapsed="false">
      <c r="B11" s="10" t="s">
        <v>24</v>
      </c>
      <c r="C11" s="11" t="s">
        <v>90</v>
      </c>
      <c r="Z11" s="6" t="s">
        <v>84</v>
      </c>
    </row>
    <row r="12" customFormat="false" ht="15" hidden="false" customHeight="false" outlineLevel="0" collapsed="false">
      <c r="B12" s="12" t="s">
        <v>91</v>
      </c>
      <c r="C12" s="13" t="n">
        <v>2892650</v>
      </c>
      <c r="Z12" s="6" t="s">
        <v>86</v>
      </c>
    </row>
    <row r="13" customFormat="false" ht="15" hidden="false" customHeight="false" outlineLevel="0" collapsed="false">
      <c r="B13" s="12" t="s">
        <v>92</v>
      </c>
      <c r="C13" s="13" t="n">
        <v>7290000</v>
      </c>
      <c r="Z13" s="6" t="s">
        <v>84</v>
      </c>
    </row>
    <row r="14" customFormat="false" ht="15" hidden="false" customHeight="false" outlineLevel="0" collapsed="false">
      <c r="B14" s="12" t="s">
        <v>93</v>
      </c>
      <c r="C14" s="25" t="n">
        <f aca="false">C12+C13</f>
        <v>10182650</v>
      </c>
      <c r="Z14" s="6" t="s">
        <v>86</v>
      </c>
    </row>
    <row r="15" customFormat="false" ht="15" hidden="false" customHeight="false" outlineLevel="0" collapsed="false">
      <c r="B15" s="12" t="s">
        <v>94</v>
      </c>
      <c r="C15" s="13" t="n">
        <v>90</v>
      </c>
      <c r="Z15" s="6" t="s">
        <v>84</v>
      </c>
    </row>
    <row r="16" customFormat="false" ht="15" hidden="false" customHeight="false" outlineLevel="0" collapsed="false">
      <c r="B16" s="12" t="s">
        <v>95</v>
      </c>
      <c r="C16" s="13" t="n">
        <v>11000</v>
      </c>
      <c r="Z16" s="6" t="s">
        <v>86</v>
      </c>
    </row>
    <row r="17" customFormat="false" ht="15" hidden="false" customHeight="false" outlineLevel="0" collapsed="false">
      <c r="B17" s="12" t="s">
        <v>96</v>
      </c>
      <c r="C17" s="13" t="n">
        <v>4125</v>
      </c>
      <c r="Z17" s="6" t="s">
        <v>97</v>
      </c>
    </row>
    <row r="18" customFormat="false" ht="15" hidden="false" customHeight="false" outlineLevel="0" collapsed="false">
      <c r="Z18" s="0" t="s">
        <v>98</v>
      </c>
    </row>
    <row r="19" customFormat="false" ht="15.75" hidden="false" customHeight="true" outlineLevel="0" collapsed="false">
      <c r="B19" s="8" t="s">
        <v>29</v>
      </c>
      <c r="C19" s="8"/>
      <c r="D19" s="8"/>
      <c r="E19" s="8"/>
      <c r="F19" s="8"/>
      <c r="G19" s="8"/>
      <c r="Z19" s="6" t="s">
        <v>99</v>
      </c>
    </row>
    <row r="20" customFormat="false" ht="75" hidden="false" customHeight="true" outlineLevel="0" collapsed="false">
      <c r="B20" s="9" t="s">
        <v>100</v>
      </c>
      <c r="C20" s="9"/>
      <c r="D20" s="9"/>
      <c r="E20" s="9"/>
      <c r="F20" s="9"/>
      <c r="G20" s="9"/>
    </row>
    <row r="22" customFormat="false" ht="15" hidden="false" customHeight="true" outlineLevel="0" collapsed="false">
      <c r="B22" s="14" t="s">
        <v>101</v>
      </c>
      <c r="C22" s="14"/>
      <c r="D22" s="14"/>
      <c r="E22" s="14"/>
      <c r="F22" s="14"/>
      <c r="G22" s="14"/>
    </row>
    <row r="23" customFormat="false" ht="39.75" hidden="false" customHeight="true" outlineLevel="0" collapsed="false">
      <c r="B23" s="15" t="s">
        <v>102</v>
      </c>
      <c r="C23" s="16"/>
      <c r="G23" s="17" t="str">
        <f aca="false">IF(C23="","Velg i nedtrekksmenyen.",IF(C23="Formelt trekk","Riktig. Nedskrevet og vedtatt; står i bokas liste over formelle trekk (12.4).","Ikke riktig. Nedskrevet og vedtatt; står i bokas liste over formelle trekk (12.4)."))</f>
        <v>Velg i nedtrekksmenyen.</v>
      </c>
    </row>
    <row r="24" customFormat="false" ht="39.75" hidden="false" customHeight="true" outlineLevel="0" collapsed="false">
      <c r="B24" s="15" t="s">
        <v>103</v>
      </c>
      <c r="C24" s="16"/>
      <c r="G24" s="17" t="str">
        <f aca="false">IF(C24="","Velg i nedtrekksmenyen.",IF(C24="Formelt trekk","Riktig. Et dokument som kan leses: formelt (12.4).","Ikke riktig. Et dokument som kan leses: formelt (12.4)."))</f>
        <v>Velg i nedtrekksmenyen.</v>
      </c>
    </row>
    <row r="25" customFormat="false" ht="39.75" hidden="false" customHeight="true" outlineLevel="0" collapsed="false">
      <c r="B25" s="15" t="s">
        <v>104</v>
      </c>
      <c r="C25" s="16"/>
      <c r="G25" s="17" t="str">
        <f aca="false">IF(C25="","Velg i nedtrekksmenyen.",IF(C25="Formelt trekk","Riktig. Rutiner og prosedyrer er formelle trekk (12.4).","Ikke riktig. Rutiner og prosedyrer er formelle trekk (12.4)."))</f>
        <v>Velg i nedtrekksmenyen.</v>
      </c>
    </row>
    <row r="26" customFormat="false" ht="39.75" hidden="false" customHeight="true" outlineLevel="0" collapsed="false">
      <c r="B26" s="15" t="s">
        <v>105</v>
      </c>
      <c r="C26" s="16"/>
      <c r="G26" s="17" t="str">
        <f aca="false">IF(C26="","Velg i nedtrekksmenyen.",IF(C26="Uformelt trekk","Riktig. Horisontal kommunikasjon, altså på tvers, står i bokas liste over uformelle trekk (12.4).","Ikke riktig. Horisontal kommunikasjon, altså på tvers, står i bokas liste over uformelle trekk (12.4)."))</f>
        <v>Velg i nedtrekksmenyen.</v>
      </c>
    </row>
    <row r="27" customFormat="false" ht="39.75" hidden="false" customHeight="true" outlineLevel="0" collapsed="false">
      <c r="B27" s="15" t="s">
        <v>106</v>
      </c>
      <c r="C27" s="16"/>
      <c r="G27" s="17" t="str">
        <f aca="false">IF(C27="","Velg i nedtrekksmenyen.",IF(C27="Uformelt trekk","Riktig. Tillitsforholdet mellom over- og underordnede er et uformelt trekk (12.4).","Ikke riktig. Tillitsforholdet mellom over- og underordnede er et uformelt trekk (12.4)."))</f>
        <v>Velg i nedtrekksmenyen.</v>
      </c>
    </row>
    <row r="28" customFormat="false" ht="39.75" hidden="false" customHeight="true" outlineLevel="0" collapsed="false">
      <c r="B28" s="15" t="s">
        <v>107</v>
      </c>
      <c r="C28" s="16"/>
      <c r="G28" s="17" t="str">
        <f aca="false">IF(C28="","Velg i nedtrekksmenyen.",IF(C28="Uformelt trekk","Riktig. Det psykososiale arbeidsmiljøet er et uformelt trekk (12.4).","Ikke riktig. Det psykososiale arbeidsmiljøet er et uformelt trekk (12.4)."))</f>
        <v>Velg i nedtrekksmenyen.</v>
      </c>
    </row>
    <row r="29" customFormat="false" ht="39.75" hidden="false" customHeight="true" outlineLevel="0" collapsed="false">
      <c r="B29" s="15" t="s">
        <v>108</v>
      </c>
      <c r="C29" s="16"/>
      <c r="G29" s="17" t="str">
        <f aca="false">IF(C29="","Velg i nedtrekksmenyen.",IF(C29="Uformelt trekk","Riktig. En norm som ikke står noe sted; en subkultur (12.4).","Ikke riktig. En norm som ikke står noe sted; en subkultur (12.4)."))</f>
        <v>Velg i nedtrekksmenyen.</v>
      </c>
    </row>
    <row r="30" customFormat="false" ht="39.75" hidden="false" customHeight="true" outlineLevel="0" collapsed="false">
      <c r="B30" s="15" t="s">
        <v>109</v>
      </c>
      <c r="C30" s="16"/>
      <c r="G30" s="17" t="str">
        <f aca="false">IF(C30="","Velg i nedtrekksmenyen.",IF(C30="Uformelt trekk","Riktig. Grensen finnes bare muntlig. Skrives den ned som en fullmaktsgrense, blir den et formelt trekk.","Ikke riktig. Grensen finnes bare muntlig. Skrives den ned som en fullmaktsgrense, blir den et formelt trekk."))</f>
        <v>Velg i nedtrekksmenyen.</v>
      </c>
    </row>
    <row r="32" customFormat="false" ht="39.75" hidden="false" customHeight="true" outlineLevel="0" collapsed="false">
      <c r="B32" s="15" t="s">
        <v>110</v>
      </c>
      <c r="C32" s="16"/>
      <c r="G32" s="17" t="str">
        <f aca="false">IF(C32="","Velg i nedtrekksmenyen.",IF(C32="Subkultur: normer som deles av et mindretall og som kan bære eller skade","Riktig. En subkultur er normer og verdier som deles av et mindretall og framstår som avvikende. Boka sier at subkulturer kan være ødeleggende, men også bidra positivt (12.4). Her bærer den avdelingen og skjuler at den mangler leder.","Ikke riktig. En subkultur er normer og verdier som deles av et mindretall og framstår som avvikende. Boka sier at subkulturer kan være ødeleggende, men også bidra positivt (12.4). Her bærer den avdelingen og skjuler at den mangler leder."))</f>
        <v>Velg i nedtrekksmenyen.</v>
      </c>
    </row>
    <row r="34" customFormat="false" ht="43.5" hidden="false" customHeight="true" outlineLevel="0" collapsed="false">
      <c r="B34" s="15" t="s">
        <v>111</v>
      </c>
      <c r="C34" s="24"/>
      <c r="D34" s="19" t="s">
        <v>112</v>
      </c>
      <c r="G34" s="17" t="str">
        <f aca="false">IF(C34="","Skriv svaret i den gule cellen.",IF(ABS(C34-(ROUND(C12/C14*100,1)))&lt;=0.05,"Riktig.",IF(ABS(C34-(ROUND(C12/C13*100,1)))&lt;=0.05,"Du har delt på gjelden. Egenkapitalandelen er egenkapital delt på totalkapitalen (egenkapital pluss gjeld).",IF(ABS(C34-(ROUND(C13/C14*100,1)))&lt;=0.05,"Det er gjeldens andel. Egenkapitalandelen er egenkapitalen delt på totalkapitalen.","Ikke riktig ennå. Egenkapital delt på totalkapital, ganger 100."))))</f>
        <v>Skriv svaret i den gule cellen.</v>
      </c>
    </row>
    <row r="35" customFormat="false" ht="43.5" hidden="false" customHeight="true" outlineLevel="0" collapsed="false">
      <c r="B35" s="15" t="s">
        <v>113</v>
      </c>
      <c r="C35" s="24"/>
      <c r="D35" s="19" t="s">
        <v>112</v>
      </c>
      <c r="G35" s="17" t="str">
        <f aca="false">IF(C35="","Skriv svaret i den gule cellen.",IF(ABS(C35-(ROUND(C13/C14*100,1)))&lt;=0.05,"Riktig.",IF(ABS(C35-(ROUND(C13/C12*100,1)))&lt;=0.05,"Du har delt gjelden på egenkapitalen. Det er gjeldsgraden slik Økonomistyring regner den. Boka her mener gjeld delt på totalkapitalen.","Ikke riktig ennå. Gjeld delt på totalkapital, ganger 100. Eller 100 minus egenkapitalandelen.")))</f>
        <v>Skriv svaret i den gule cellen.</v>
      </c>
    </row>
    <row r="36" customFormat="false" ht="43.5" hidden="false" customHeight="true" outlineLevel="0" collapsed="false">
      <c r="B36" s="15" t="s">
        <v>114</v>
      </c>
      <c r="C36" s="18"/>
      <c r="D36" s="19" t="s">
        <v>78</v>
      </c>
      <c r="G36" s="17" t="str">
        <f aca="false">IF(C36="","Skriv svaret i den gule cellen.",IF(C36=(C15*C16),"Riktig.",IF(ABS(C36-(C15*C17))&lt;=0,"Du har regnet dekningsbidraget (90 × 4 125). Materiellet er 11 000 kr per plass.",IF(ABS(C36-(C16))&lt;=0,"Det er materiellet for én plass. Gang med 90 plasser.","Ikke riktig ennå. 90 plasser × 11 000 kr netto."))))</f>
        <v>Skriv svaret i den gule cellen.</v>
      </c>
    </row>
    <row r="37" customFormat="false" ht="43.5" hidden="false" customHeight="true" outlineLevel="0" collapsed="false">
      <c r="B37" s="15" t="s">
        <v>115</v>
      </c>
      <c r="C37" s="24"/>
      <c r="D37" s="19" t="s">
        <v>112</v>
      </c>
      <c r="G37" s="17" t="str">
        <f aca="false">IF(C37="","Skriv svaret i den gule cellen.",IF(ABS(C37-(ROUND(C12/(C14+C15*C16)*100,1)))&lt;=0.05,"Riktig.",IF(ABS(C37-(ROUND(C12/C14*100,1)))&lt;=0.05,"Du har glemt at totalkapitalen øker med lånet. Legg 990 000 til totalkapitalen før du deler.",IF(ABS(C37-(ROUND((C12-C15*C16)/C14*100,1)))&lt;=0.05,"Du har trukket lånet fra egenkapitalen. Et lån øker gjelden og totalkapitalen; egenkapitalen er den samme.","Ikke riktig ennå. 2 892 650 delt på (10 182 650 + 990 000), ganger 100."))))</f>
        <v>Skriv svaret i den gule cellen.</v>
      </c>
    </row>
    <row r="38" customFormat="false" ht="43.5" hidden="false" customHeight="true" outlineLevel="0" collapsed="false">
      <c r="B38" s="15" t="s">
        <v>116</v>
      </c>
      <c r="C38" s="18"/>
      <c r="D38" s="19" t="s">
        <v>78</v>
      </c>
      <c r="G38" s="17" t="str">
        <f aca="false">IF(C38="","Skriv svaret i den gule cellen.",IF(ABS(C38-(ROUND(C14*0.35-C12,0)))&lt;=1,"Riktig.",IF(ABS(C38-(ROUND(C14*0.35,0)))&lt;=1,"Det er egenkapitalen Nordlys måtte hatt. Trekk fra den egenkapitalen de har, 2 892 650.",IF(ABS(C38-(ROUND((C14+C15*C16)*0.35-C12,0)))&lt;=1,"Du har brukt totalkapitalen med lånet. Oppgaven spør om dagens balanse, 10 182 650.","Ikke riktig ennå. 35 % av 10 182 650 minus 2 892 650."))))</f>
        <v>Skriv svaret i den gule cellen.</v>
      </c>
    </row>
    <row r="40" customFormat="false" ht="30" hidden="false" customHeight="true" outlineLevel="0" collapsed="false">
      <c r="B40" s="9" t="s">
        <v>117</v>
      </c>
      <c r="C40" s="9"/>
      <c r="D40" s="9"/>
      <c r="E40" s="9"/>
      <c r="F40" s="9"/>
      <c r="G40" s="9"/>
    </row>
    <row r="41" customFormat="false" ht="21.75" hidden="false" customHeight="true" outlineLevel="0" collapsed="false">
      <c r="B41" s="20"/>
      <c r="C41" s="20"/>
      <c r="D41" s="20"/>
      <c r="E41" s="20"/>
      <c r="F41" s="20"/>
      <c r="G41" s="20"/>
    </row>
    <row r="42" customFormat="false" ht="21.75" hidden="false" customHeight="true" outlineLevel="0" collapsed="false">
      <c r="B42" s="20"/>
      <c r="C42" s="20"/>
      <c r="D42" s="20"/>
      <c r="E42" s="20"/>
      <c r="F42" s="20"/>
      <c r="G42" s="20"/>
    </row>
    <row r="43" customFormat="false" ht="21.75" hidden="false" customHeight="true" outlineLevel="0" collapsed="false">
      <c r="B43" s="20"/>
      <c r="C43" s="20"/>
      <c r="D43" s="20"/>
      <c r="E43" s="20"/>
      <c r="F43" s="20"/>
      <c r="G43" s="20"/>
    </row>
    <row r="44" customFormat="false" ht="39.75" hidden="false" customHeight="true" outlineLevel="0" collapsed="false">
      <c r="B44" s="21" t="str">
        <f aca="false">IF(LEN(B41)&lt;40,"",IF(AND(ISNUMBER(SEARCH("leder",B41)),ISNUMBER(SEARCH("egenkapital",B41))),"Bra: du tar både strukturen (en leder for solcelle og lading) og økonomien (egenkapitalen). Si også hva som er alternativet: forskudd fra borettslaget, eller å la mer av overskuddet bli stående.",IF(OR(ISNUMBER(SEARCH("leder",B41)),ISNUMBER(SEARCH("egenkapital",B41))),"Du har med ett av de to. Ta med det andre også: avdelingen trenger en leder som kan være prosjektleder, og egenkapitalandelen på 28,4 % er grunnen til at banken ikke vil stille garantien.","Tips: struktur: gi solcelle og lading en leder som kan lede ladejobben, og skriv ned hvem som bestemmer hva. Økonomi: med 71,6 % gjeld er Nordlys allerede over bokas grense på 60–65 %, og med lånt materiell faller egenkapitalandelen til 25,9 %. Avtal betalingsplan med a konto for materiellet i kontrakten, eller la mer av overskuddet bli stående til egenkapitalen er 671 278 kr høyere.")))</f>
        <v/>
      </c>
      <c r="C44" s="21"/>
      <c r="D44" s="21"/>
      <c r="E44" s="21"/>
      <c r="F44" s="21"/>
      <c r="G44" s="21"/>
    </row>
    <row r="45" customFormat="false" ht="15" hidden="false" customHeight="false" outlineLevel="0" collapsed="false">
      <c r="B45" s="22" t="s">
        <v>50</v>
      </c>
      <c r="C45" s="16"/>
    </row>
    <row r="46" customFormat="false" ht="45" hidden="false" customHeight="true" outlineLevel="0" collapsed="false">
      <c r="B46" s="23" t="str">
        <f aca="false">IF(C45="JA","Hint: a: det som står på papir er formelt; kommunikasjon, tillit, stemning og vaner er uformelt. b: subkultur. c: 2 892 650 / 10 182 650 × 100 = 28,4 %. d: 100 − 28,4 = 71,6 %. e: 90 × 11 000 = 990 000 kr. f: 2 892 650 / 11 172 650 × 100 = 25,9 %. g: 35 % av 10 182 650 = 3 563 928, minus 2 892 650 = 671 278 kr.","")</f>
        <v/>
      </c>
      <c r="C46" s="23"/>
      <c r="D46" s="23"/>
      <c r="E46" s="23"/>
      <c r="F46" s="23"/>
      <c r="G46" s="23"/>
    </row>
    <row r="48" customFormat="false" ht="30" hidden="false" customHeight="true" outlineLevel="0" collapsed="false">
      <c r="B48" s="7" t="s">
        <v>51</v>
      </c>
      <c r="C48" s="7"/>
      <c r="D48" s="7"/>
      <c r="E48" s="7"/>
      <c r="F48" s="7"/>
      <c r="G48" s="7"/>
    </row>
  </sheetData>
  <mergeCells count="16">
    <mergeCell ref="B2:G2"/>
    <mergeCell ref="B3:G3"/>
    <mergeCell ref="B4:G4"/>
    <mergeCell ref="B5:G5"/>
    <mergeCell ref="B6:G6"/>
    <mergeCell ref="B7:G7"/>
    <mergeCell ref="B9:G9"/>
    <mergeCell ref="B10:G10"/>
    <mergeCell ref="B19:G19"/>
    <mergeCell ref="B20:G20"/>
    <mergeCell ref="B22:G22"/>
    <mergeCell ref="B40:G40"/>
    <mergeCell ref="B41:G43"/>
    <mergeCell ref="B44:G44"/>
    <mergeCell ref="B46:G46"/>
    <mergeCell ref="B48:G48"/>
  </mergeCells>
  <conditionalFormatting sqref="G23">
    <cfRule type="expression" priority="2" aboveAverage="0" equalAverage="0" bottom="0" percent="0" rank="0" text="" dxfId="0">
      <formula>LEFT(G23,6)="Riktig"</formula>
    </cfRule>
    <cfRule type="expression" priority="3" aboveAverage="0" equalAverage="0" bottom="0" percent="0" rank="0" text="" dxfId="1">
      <formula>LEFT(G23,4)="Ikke"</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LEFT(G24,4)="Ikke"</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LEFT(G25,4)="Ikke"</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LEFT(G26,4)="Ikke"</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LEFT(G27,4)="Ikke"</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4">
    <cfRule type="expression" priority="20" aboveAverage="0" equalAverage="0" bottom="0" percent="0" rank="0" text="" dxfId="0">
      <formula>LEFT(G34,6)="Riktig"</formula>
    </cfRule>
    <cfRule type="expression" priority="21" aboveAverage="0" equalAverage="0" bottom="0" percent="0" rank="0" text="" dxfId="1">
      <formula>AND(G34&lt;&gt;"",LEFT(G34,6)&lt;&gt;"Riktig",LEFT(G34,5)&lt;&gt;"Skriv")</formula>
    </cfRule>
  </conditionalFormatting>
  <conditionalFormatting sqref="G35">
    <cfRule type="expression" priority="22" aboveAverage="0" equalAverage="0" bottom="0" percent="0" rank="0" text="" dxfId="0">
      <formula>LEFT(G35,6)="Riktig"</formula>
    </cfRule>
    <cfRule type="expression" priority="23" aboveAverage="0" equalAverage="0" bottom="0" percent="0" rank="0" text="" dxfId="1">
      <formula>AND(G35&lt;&gt;"",LEFT(G35,6)&lt;&gt;"Riktig",LEFT(G35,5)&lt;&gt;"Skriv")</formula>
    </cfRule>
  </conditionalFormatting>
  <conditionalFormatting sqref="G36">
    <cfRule type="expression" priority="24" aboveAverage="0" equalAverage="0" bottom="0" percent="0" rank="0" text="" dxfId="0">
      <formula>LEFT(G36,6)="Riktig"</formula>
    </cfRule>
    <cfRule type="expression" priority="25" aboveAverage="0" equalAverage="0" bottom="0" percent="0" rank="0" text="" dxfId="1">
      <formula>AND(G36&lt;&gt;"",LEFT(G36,6)&lt;&gt;"Riktig",LEFT(G36,5)&lt;&gt;"Skriv")</formula>
    </cfRule>
  </conditionalFormatting>
  <conditionalFormatting sqref="G37">
    <cfRule type="expression" priority="26" aboveAverage="0" equalAverage="0" bottom="0" percent="0" rank="0" text="" dxfId="0">
      <formula>LEFT(G37,6)="Riktig"</formula>
    </cfRule>
    <cfRule type="expression" priority="27" aboveAverage="0" equalAverage="0" bottom="0" percent="0" rank="0" text="" dxfId="1">
      <formula>AND(G37&lt;&gt;"",LEFT(G37,6)&lt;&gt;"Riktig",LEFT(G37,5)&lt;&gt;"Skriv")</formula>
    </cfRule>
  </conditionalFormatting>
  <conditionalFormatting sqref="G38">
    <cfRule type="expression" priority="28" aboveAverage="0" equalAverage="0" bottom="0" percent="0" rank="0" text="" dxfId="0">
      <formula>LEFT(G38,6)="Riktig"</formula>
    </cfRule>
    <cfRule type="expression" priority="29" aboveAverage="0" equalAverage="0" bottom="0" percent="0" rank="0" text="" dxfId="1">
      <formula>AND(G38&lt;&gt;"",LEFT(G38,6)&lt;&gt;"Riktig",LEFT(G38,5)&lt;&gt;"Skriv")</formula>
    </cfRule>
  </conditionalFormatting>
  <dataValidations count="10">
    <dataValidation allowBlank="true" errorStyle="stop" operator="between" showDropDown="false" showErrorMessage="false" showInputMessage="false" sqref="C23" type="list">
      <formula1>$Z$1:$Z$2</formula1>
      <formula2>0</formula2>
    </dataValidation>
    <dataValidation allowBlank="true" errorStyle="stop" operator="between" showDropDown="false" showErrorMessage="false" showInputMessage="false" sqref="C24" type="list">
      <formula1>$Z$3:$Z$4</formula1>
      <formula2>0</formula2>
    </dataValidation>
    <dataValidation allowBlank="true" errorStyle="stop" operator="between" showDropDown="false" showErrorMessage="false" showInputMessage="false" sqref="C25" type="list">
      <formula1>$Z$5:$Z$6</formula1>
      <formula2>0</formula2>
    </dataValidation>
    <dataValidation allowBlank="true" errorStyle="stop" operator="between" showDropDown="false" showErrorMessage="false" showInputMessage="false" sqref="C26" type="list">
      <formula1>$Z$7:$Z$8</formula1>
      <formula2>0</formula2>
    </dataValidation>
    <dataValidation allowBlank="true" errorStyle="stop" operator="between" showDropDown="false" showErrorMessage="false" showInputMessage="false" sqref="C27" type="list">
      <formula1>$Z$9:$Z$10</formula1>
      <formula2>0</formula2>
    </dataValidation>
    <dataValidation allowBlank="true" errorStyle="stop" operator="between" showDropDown="false" showErrorMessage="false" showInputMessage="false" sqref="C28" type="list">
      <formula1>$Z$11:$Z$12</formula1>
      <formula2>0</formula2>
    </dataValidation>
    <dataValidation allowBlank="true" errorStyle="stop" operator="between" showDropDown="false" showErrorMessage="false" showInputMessage="false" sqref="C29" type="list">
      <formula1>$Z$13:$Z$14</formula1>
      <formula2>0</formula2>
    </dataValidation>
    <dataValidation allowBlank="true" errorStyle="stop" operator="between" showDropDown="false" showErrorMessage="false" showInputMessage="false" sqref="C30" type="list">
      <formula1>$Z$15:$Z$16</formula1>
      <formula2>0</formula2>
    </dataValidation>
    <dataValidation allowBlank="true" errorStyle="stop" operator="between" showDropDown="false" showErrorMessage="false" showInputMessage="false" sqref="C32" type="list">
      <formula1>$Z$17:$Z$19</formula1>
      <formula2>0</formula2>
    </dataValidation>
    <dataValidation allowBlank="true" errorStyle="stop" operator="between" showDropDown="false" showErrorMessage="false" showInputMessage="false" sqref="C4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118</v>
      </c>
    </row>
    <row r="3" customFormat="false" ht="30" hidden="false" customHeight="true" outlineLevel="0" collapsed="false">
      <c r="B3" s="7" t="s">
        <v>119</v>
      </c>
      <c r="C3" s="7"/>
      <c r="D3" s="7"/>
    </row>
    <row r="5" customFormat="false" ht="15" hidden="false" customHeight="false" outlineLevel="0" collapsed="false">
      <c r="B5" s="27" t="s">
        <v>120</v>
      </c>
      <c r="C5" s="27" t="s">
        <v>121</v>
      </c>
      <c r="D5" s="27" t="s">
        <v>122</v>
      </c>
    </row>
    <row r="6" customFormat="false" ht="30" hidden="false" customHeight="true" outlineLevel="0" collapsed="false">
      <c r="B6" s="28" t="s">
        <v>123</v>
      </c>
      <c r="C6" s="25"/>
      <c r="D6" s="28" t="s">
        <v>124</v>
      </c>
    </row>
    <row r="7" customFormat="false" ht="30" hidden="false" customHeight="true" outlineLevel="0" collapsed="false">
      <c r="B7" s="28" t="s">
        <v>125</v>
      </c>
      <c r="C7" s="25"/>
      <c r="D7" s="28" t="s">
        <v>126</v>
      </c>
    </row>
    <row r="8" customFormat="false" ht="30" hidden="false" customHeight="true" outlineLevel="0" collapsed="false">
      <c r="B8" s="28" t="s">
        <v>127</v>
      </c>
      <c r="C8" s="25" t="n">
        <v>276</v>
      </c>
      <c r="D8" s="28" t="s">
        <v>128</v>
      </c>
    </row>
    <row r="9" customFormat="false" ht="30" hidden="false" customHeight="true" outlineLevel="0" collapsed="false">
      <c r="B9" s="28" t="s">
        <v>129</v>
      </c>
      <c r="C9" s="25"/>
      <c r="D9" s="28" t="s">
        <v>130</v>
      </c>
    </row>
    <row r="10" customFormat="false" ht="45" hidden="false" customHeight="true" outlineLevel="0" collapsed="false">
      <c r="B10" s="28" t="s">
        <v>131</v>
      </c>
      <c r="C10" s="25"/>
      <c r="D10" s="28" t="s">
        <v>132</v>
      </c>
    </row>
    <row r="11" customFormat="false" ht="45" hidden="false" customHeight="true" outlineLevel="0" collapsed="false">
      <c r="B11" s="28" t="s">
        <v>133</v>
      </c>
      <c r="C11" s="25"/>
      <c r="D11" s="28" t="s">
        <v>134</v>
      </c>
    </row>
    <row r="12" customFormat="false" ht="30" hidden="false" customHeight="true" outlineLevel="0" collapsed="false">
      <c r="B12" s="28" t="s">
        <v>135</v>
      </c>
      <c r="C12" s="25" t="n">
        <v>138</v>
      </c>
      <c r="D12" s="28" t="s">
        <v>136</v>
      </c>
    </row>
    <row r="13" customFormat="false" ht="30" hidden="false" customHeight="true" outlineLevel="0" collapsed="false">
      <c r="B13" s="28" t="s">
        <v>137</v>
      </c>
      <c r="C13" s="25" t="n">
        <v>122820</v>
      </c>
      <c r="D13" s="28" t="s">
        <v>138</v>
      </c>
    </row>
    <row r="14" customFormat="false" ht="30" hidden="false" customHeight="true" outlineLevel="0" collapsed="false">
      <c r="B14" s="28" t="s">
        <v>139</v>
      </c>
      <c r="C14" s="25" t="n">
        <v>4800</v>
      </c>
      <c r="D14" s="28" t="s">
        <v>140</v>
      </c>
    </row>
    <row r="15" customFormat="false" ht="30" hidden="false" customHeight="true" outlineLevel="0" collapsed="false">
      <c r="B15" s="28" t="s">
        <v>141</v>
      </c>
      <c r="C15" s="25" t="n">
        <v>5.4</v>
      </c>
      <c r="D15" s="28" t="s">
        <v>142</v>
      </c>
    </row>
    <row r="16" customFormat="false" ht="30" hidden="false" customHeight="true" outlineLevel="0" collapsed="false">
      <c r="B16" s="28" t="s">
        <v>143</v>
      </c>
      <c r="C16" s="25"/>
      <c r="D16" s="28" t="s">
        <v>144</v>
      </c>
    </row>
    <row r="17" customFormat="false" ht="45" hidden="false" customHeight="true" outlineLevel="0" collapsed="false">
      <c r="B17" s="28" t="s">
        <v>145</v>
      </c>
      <c r="C17" s="25"/>
      <c r="D17" s="28" t="s">
        <v>146</v>
      </c>
    </row>
    <row r="18" customFormat="false" ht="45" hidden="false" customHeight="true" outlineLevel="0" collapsed="false">
      <c r="B18" s="28" t="s">
        <v>147</v>
      </c>
      <c r="C18" s="25"/>
      <c r="D18" s="28" t="s">
        <v>148</v>
      </c>
    </row>
    <row r="19" customFormat="false" ht="30" hidden="false" customHeight="true" outlineLevel="0" collapsed="false">
      <c r="B19" s="28" t="s">
        <v>149</v>
      </c>
      <c r="C19" s="25"/>
      <c r="D19" s="28" t="s">
        <v>150</v>
      </c>
    </row>
    <row r="20" customFormat="false" ht="30" hidden="false" customHeight="true" outlineLevel="0" collapsed="false">
      <c r="B20" s="28" t="s">
        <v>151</v>
      </c>
      <c r="C20" s="25" t="n">
        <v>28.4</v>
      </c>
      <c r="D20" s="28" t="s">
        <v>152</v>
      </c>
    </row>
    <row r="21" customFormat="false" ht="30" hidden="false" customHeight="true" outlineLevel="0" collapsed="false">
      <c r="B21" s="28" t="s">
        <v>153</v>
      </c>
      <c r="C21" s="25" t="n">
        <v>71.6</v>
      </c>
      <c r="D21" s="28" t="s">
        <v>154</v>
      </c>
    </row>
    <row r="22" customFormat="false" ht="30" hidden="false" customHeight="true" outlineLevel="0" collapsed="false">
      <c r="B22" s="28" t="s">
        <v>155</v>
      </c>
      <c r="C22" s="25" t="n">
        <v>990000</v>
      </c>
      <c r="D22" s="28" t="s">
        <v>156</v>
      </c>
    </row>
    <row r="23" customFormat="false" ht="30" hidden="false" customHeight="true" outlineLevel="0" collapsed="false">
      <c r="B23" s="28" t="s">
        <v>157</v>
      </c>
      <c r="C23" s="25" t="n">
        <v>25.4</v>
      </c>
      <c r="D23" s="28" t="s">
        <v>158</v>
      </c>
    </row>
    <row r="24" customFormat="false" ht="30" hidden="false" customHeight="true" outlineLevel="0" collapsed="false">
      <c r="B24" s="28" t="s">
        <v>159</v>
      </c>
      <c r="C24" s="25" t="n">
        <v>671278</v>
      </c>
      <c r="D24" s="28" t="s">
        <v>160</v>
      </c>
    </row>
    <row r="25" customFormat="false" ht="45" hidden="false" customHeight="true" outlineLevel="0" collapsed="false">
      <c r="B25" s="28" t="s">
        <v>161</v>
      </c>
      <c r="C25" s="25"/>
      <c r="D25" s="28" t="s">
        <v>162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2026-10-22T17:54:45Z</dcterms:created>
  <dc:creator>openpyxl</dc:creator>
  <dc:description/>
  <dc:language>en-US</dc:language>
  <cp:lastModifiedBy/>
  <dcterms:modified xsi:type="dcterms:W3CDTF">2026-10-22T17:54:45Z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