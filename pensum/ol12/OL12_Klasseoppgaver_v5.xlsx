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Veiledning" sheetId="1" state="visible" r:id="rId3"/>
    <sheet name="A1" sheetId="2" state="visible" r:id="rId4"/>
    <sheet name="A2" sheetId="3" state="visible" r:id="rId5"/>
    <sheet name="B1" sheetId="4" state="visible" r:id="rId6"/>
    <sheet name="B2" sheetId="5" state="visible" r:id="rId7"/>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<sst xmlns="http://schemas.openxmlformats.org/spreadsheetml/2006/main" count="146" uniqueCount="125">
  <si>
    <t xml:space="preserve">Klasseoppgaver til Organisasjon og ledelse kapittel 12: Organisasjonens interne rammebetingelser (V5)</t>
  </si>
  <si>
    <t xml:space="preserve">LØM · Fagskolen Oslo, Avdeling Elkraft · versjon 5, oktober 2026</t>
  </si>
  <si>
    <t xml:space="preserve">Slik bruker du arbeidsboka</t>
  </si>
  <si>
    <t xml:space="preserve">Gule celler med blå skrift</t>
  </si>
  <si>
    <t xml:space="preserve">Her skriver du svaret ditt.</t>
  </si>
  <si>
    <t xml:space="preserve">Kolonnen «Sjekk»</t>
  </si>
  <si>
    <t xml:space="preserve">Viser «Riktig» eller «Prøv igjen» når du har svart. Løsningen får du i appen etter levering, eller i plenum.</t>
  </si>
  <si>
    <t xml:space="preserve">Arkene</t>
  </si>
  <si>
    <t xml:space="preserve">A1</t>
  </si>
  <si>
    <t xml:space="preserve">Nordlys: kompetansen, timelistene og hjørnene som må flytte seg (Nordlys)</t>
  </si>
  <si>
    <t xml:space="preserve">A2</t>
  </si>
  <si>
    <t xml:space="preserve">Fjell Elektro: interne rammer, målet og et KI-verktøy (Egen el-bedrift)</t>
  </si>
  <si>
    <t xml:space="preserve">B1</t>
  </si>
  <si>
    <t xml:space="preserve">Nordlys: les organisasjonskartet, og finn hullet (Nordlys)</t>
  </si>
  <si>
    <t xml:space="preserve">B2</t>
  </si>
  <si>
    <t xml:space="preserve">Fjell Elektro: fra enkel struktur til et prosjekt ved siden av (Egen el-bedrift)</t>
  </si>
  <si>
    <t xml:space="preserve">Læreboka</t>
  </si>
  <si>
    <t xml:space="preserve">Hjertnes, F.: Markedsføring, organisasjon og ledelse for LØM-emnet, kapittel 12.</t>
  </si>
  <si>
    <t xml:space="preserve">Appen</t>
  </si>
  <si>
    <t xml:space="preserve">Organisasjon og ledelse kap. 12 → Øv → Klasseoppgaver gir fasit per deloppgave.</t>
  </si>
  <si>
    <t xml:space="preserve">A1 · Nordlys: kompetansen, timelistene og hjørnene som må flytte seg</t>
  </si>
  <si>
    <t xml:space="preserve">25 minutter · Helst alene. Sammen med sidemannen eller flere hvis du vil. Ark og blyant, appen (PC eller mobil) eller læreboka.</t>
  </si>
  <si>
    <t xml:space="preserve">Kort oppsummert: Læreboka deler deltagernes kompetanse i tre (12.2): formell kompetanse kan dokumenteres med vitnemål, fagbrev, kursbevis, sertifikater og attester. Realkompetanse er det en person faktisk kan, men ikke har papir på. Personlige egenskaper er blant annet samarbeidsevne, omstillingsevne og empati. Teknologi er verktøy og metoder i produksjonen, og også de administrative rutinene som støtter den (12.3). Leavitts diamant viser at mål, deltagere, teknologi og sosial struktur henger sammen: endres ett hjørne, må de andre følge med.</t>
  </si>
  <si>
    <t xml:space="preserve">Casen er lagt til 2026/2027. Kari Nordlund vil innføre digital timeregistrering på mobil for alle de 14 montørene og lærlingene. I dag skriver montørene timelister for hånd, og kontoret taster dem inn på nytt: det tar 6 timer i uka i 46 arbeidsuker. Før hun bestemmer seg, går hun gjennom folkene. Tom Berg har fagbrev og kurs i internkontroll, kursbeviset på gjeldende norm er fra 2015, og han har tjue år med feilsøking. Ronny Fjeld har fagbrev, tolv år som leder på bygg, ingen dokumentert lederopplæring, og er direkte og god med lærlinger. Lærlingen Sara Lien har vitnemål fra Vg2 og lærekontrakt. Gå fram slik: sorter kompetansen, plasser timelistene i diamanten, regn timene, og vurder hva som må til for at Karis plan skal virke.</t>
  </si>
  <si>
    <t xml:space="preserve">Forutsetning</t>
  </si>
  <si>
    <t xml:space="preserve">Verdi</t>
  </si>
  <si>
    <t xml:space="preserve">Tom Berg, driftsleder service</t>
  </si>
  <si>
    <t xml:space="preserve">Fagbrev og kurs i internkontroll. Kursbevis på gjeldende norm fra 2015. Tjue år med feilsøking</t>
  </si>
  <si>
    <t xml:space="preserve">Ronny Fjeld, formann prosjekt</t>
  </si>
  <si>
    <t xml:space="preserve">Fagbrev. Tolv år som leder på bygg, ingen dokumentert lederopplæring. Direkte, god med lærlinger</t>
  </si>
  <si>
    <t xml:space="preserve">Sara Lien, lærling</t>
  </si>
  <si>
    <t xml:space="preserve">Vitnemål fra Vg2 og lærekontrakt</t>
  </si>
  <si>
    <t xml:space="preserve">Timelistene</t>
  </si>
  <si>
    <t xml:space="preserve">Skrives for hånd og tastes inn på nytt på kontoret: 6 timer i uka, 46 arbeidsuker</t>
  </si>
  <si>
    <t xml:space="preserve">Karis plan</t>
  </si>
  <si>
    <t xml:space="preserve">Digital timeregistrering på mobil for alle 14 montører og lærlinger</t>
  </si>
  <si>
    <t xml:space="preserve">Deloppgave</t>
  </si>
  <si>
    <t xml:space="preserve">Ditt svar</t>
  </si>
  <si>
    <t xml:space="preserve">Sjekk</t>
  </si>
  <si>
    <t xml:space="preserve">a)  Sorter det Kari fant. Er dette formell kompetanse, altså noe som kan dokumenteres? Svar ja eller nei for hver.</t>
  </si>
  <si>
    <t xml:space="preserve">      Toms fagbrev   (Ja eller Nei)</t>
  </si>
  <si>
    <t xml:space="preserve">      Toms kursbevis i internkontroll   (Ja eller Nei)</t>
  </si>
  <si>
    <t xml:space="preserve">      Toms tjue år med feilsøking   (Ja eller Nei)</t>
  </si>
  <si>
    <t xml:space="preserve">      Ronnys tolv år som leder på bygg   (Ja eller Nei)</t>
  </si>
  <si>
    <t xml:space="preserve">      Ronny er direkte og god med lærlinger   (Ja eller Nei)</t>
  </si>
  <si>
    <t xml:space="preserve">      Saras vitnemål fra Vg2   (Ja eller Nei)</t>
  </si>
  <si>
    <t xml:space="preserve">b)  Timelistene skrives for hånd og tastes inn på nytt. Hvilket hjørne i Leavitts diamant hører problemet først og fremst til?   A: Deltagere: montørene skriver for sakte   B: Teknologi: en administrativ rutine som støtter produksjonen   C: Mål: timelistene er et mål i seg selv   (skriv bokstaven)</t>
  </si>
  <si>
    <t xml:space="preserve">c)  Kontoret bruker 6 timer i uka på å taste inn timelistene på nytt, i 46 arbeidsuker. Hvor mange timer i året er det?</t>
  </si>
  <si>
    <t xml:space="preserve">d)  Kari sier: «Tom har tjue års erfaring. Da trenger han ikke nytt kurs på gjeldende norm.» Hva er riktig etter læreboka?   A: Riktig: lang erfaring teller som formell kompetanse   B: Feil: erfaringen er realkompetanse, og kompetansen er ikke konstant; den skal utvikles hele tiden   C: Riktig: kursbevis er bare papir og betyr lite for oppdragene   (skriv bokstaven)</t>
  </si>
  <si>
    <t xml:space="preserve">e)  Karis plan om digital timeregistrering er en endring i teknologihjørnet. Bruk Leavitts diamant: hvilke av de tre andre hjørnene må flytte seg for at planen skal virke? Tre setninger.</t>
  </si>
  <si>
    <t xml:space="preserve">Kilde: Hjertnes, F.: Markedsføring, organisasjon og ledelse for LØM-emnet, kap. 12, figur 12.1 (Leavitts diamant), avsnitt 12.1 (mål), 12.2 (deltagere og kompetanse) og 12.3 (teknologi, tabell 12.1). Fakta om folkene og timelistene er de samme som i appen kap. 12. Nordlys Elektro AS er en konstruert casebedrift.</t>
  </si>
  <si>
    <t xml:space="preserve">Regnearket er øvingsstøtte. Det kan ikke siteres eller vises til i besvarelser, prosjektoppgaver eller eksamen; der gjelder læreboka og oppgitte primærkilder.</t>
  </si>
  <si>
    <t xml:space="preserve">A2 · Fjell Elektro: interne rammer, målet og et KI-verktøy</t>
  </si>
  <si>
    <t xml:space="preserve">Kort oppsummert: Interne arbeidsbetingelser er alle forhold internt i organisasjonen som påvirker dens muligheter til å nå sine mål (innledningen til kap. 12). Et forretningsforetak har størst mulig økonomisk fortjeneste som overordnet mål, og bare aktiviteter som bidrar til måloppnåelse bør utføres (12.1). Teknologi er verktøy og metoder i produksjonen og de administrative rutinene som støtter den. Ledelsen skal spørre om teknologien gir konkurransedyktig kvalitet, er kostnadseffektiv og er trygg for mennesker og miljø (12.3).</t>
  </si>
  <si>
    <t xml:space="preserve">Fjell Elektro AS har vært i drift i ett år. Mona Fjell er eier, daglig leder og faglig ansvarlig (installatørprøven 2023), og skriver alle tilbudene selv. Bedriften har to montører med fagbrev, verktøy og utstyr for 300 000 kr og to servicebiler på leasing. Driftsmarginen ble 3,0 % første år. Montørene henter materiell på grossistens hentelager fire ganger i uka, 45 minutter per tur, i 46 arbeidsuker. Mona vurderer et KI-verktøy som lager utkast til tilbudstekst og FDV-dokumentasjon, for 400 kr i måneden. Gå fram slik: sorter hva som er internt, velg det overordnede målet, regn timene til materiellhenting, og vurder KI-verktøyet.</t>
  </si>
  <si>
    <t xml:space="preserve">Mona Fjell</t>
  </si>
  <si>
    <t xml:space="preserve">Eier, daglig leder og faglig ansvarlig. Installatørprøven 2023. Skriver alle tilbudene selv</t>
  </si>
  <si>
    <t xml:space="preserve">Folk</t>
  </si>
  <si>
    <t xml:space="preserve">To montører med fagbrev</t>
  </si>
  <si>
    <t xml:space="preserve">Utstyr</t>
  </si>
  <si>
    <t xml:space="preserve">Verktøy og utstyr for 300 000 kr, to servicebiler på leasing</t>
  </si>
  <si>
    <t xml:space="preserve">Økonomi</t>
  </si>
  <si>
    <t xml:space="preserve">Driftsmargin 3,0 % første år. Banklånet har flytende rente</t>
  </si>
  <si>
    <t xml:space="preserve">Materiellhenting</t>
  </si>
  <si>
    <t xml:space="preserve">Fire turer i uka, 45 minutter per tur, 46 arbeidsuker</t>
  </si>
  <si>
    <t xml:space="preserve">Rundt bedriften</t>
  </si>
  <si>
    <t xml:space="preserve">Bransjen mangler fagarbeidere. Landsdekkende kjeder konkurrerer i Oslo øst</t>
  </si>
  <si>
    <t xml:space="preserve">KI-verktøyet</t>
  </si>
  <si>
    <t xml:space="preserve">Utkast til tilbudstekst og FDV-dokumentasjon, 400 kr i måneden</t>
  </si>
  <si>
    <t xml:space="preserve">a)  Sorter forholdene. Er dette en intern arbeidsbetingelse for Fjell, altså et forhold inne i bedriften som påvirker muligheten til å nå målene? Svar ja eller nei for hver.</t>
  </si>
  <si>
    <t xml:space="preserve">      Monas installatørprøve   (Ja eller Nei)</t>
  </si>
  <si>
    <t xml:space="preserve">      Verktøyet og servicebilene   (Ja eller Nei)</t>
  </si>
  <si>
    <t xml:space="preserve">      Driftsmargin 3,0 % første år   (Ja eller Nei)</t>
  </si>
  <si>
    <t xml:space="preserve">      Bransjen mangler fagarbeidere   (Ja eller Nei)</t>
  </si>
  <si>
    <t xml:space="preserve">      Landsdekkende kjeder i Oslo øst   (Ja eller Nei)</t>
  </si>
  <si>
    <t xml:space="preserve">      Rentenivået i markedet   (Ja eller Nei)</t>
  </si>
  <si>
    <t xml:space="preserve">b)  Hva er det overordnede målet til Fjell Elektro AS etter læreboka?   A: Fornøyde kunder i Oslo øst   B: Størst mulig økonomisk fortjeneste   C: Flest mulig ladepunkt montert   (skriv bokstaven)</t>
  </si>
  <si>
    <t xml:space="preserve">c)  Montørene henter materiell fire ganger i uka, 45 minutter per tur, i 46 arbeidsuker. Hvor mange timer i året er det?</t>
  </si>
  <si>
    <t xml:space="preserve">d)  Mona sier: «Vi er tre elektrikere. Teknologi har vi nesten ikke.» Hva er riktig etter læreboka?   A: Riktig: teknologi er datamaskiner og automatisering   B: Feil: teknologi er verktøy og metoder i produksjonen, og de administrative rutinene som støtter den   C: Riktig: små bedrifter har ingen teknologi før de kjøper programvare   (skriv bokstaven)</t>
  </si>
  <si>
    <t xml:space="preserve">e)  Bør Mona ta i bruk KI-verktøyet? Bruk lærebokas tre spørsmål om teknologi (kvalitet, kostnad, trygghet), og si hvor grensen går for hva verktøyet kan gjøre. To–tre setninger.</t>
  </si>
  <si>
    <t xml:space="preserve">Kilde: Hjertnes, F.: Markedsføring, organisasjon og ledelse for LØM-emnet, kap. 12, innledningen (interne arbeidsbetingelser), avsnitt 12.1 (mål), 12.3 og 12.3.1 (teknologi og kunstig intelligens) og 12.5.2 (økonomi). Materiellhentingen er fra MA08. Fjell Elektro AS er en konstruert casebedrift.</t>
  </si>
  <si>
    <t xml:space="preserve">B1 · Nordlys: les organisasjonskartet, og finn hullet</t>
  </si>
  <si>
    <t xml:space="preserve">Kort oppsummert: Organisasjonskartet er et formelt trekk ved den sosiale strukturen (12.4). Kontrollspennet er hvor mange underordnede én leder har direkte under seg; Fayol mente at seks til ti er optimalt (14.2). Enhetlig ledelse betyr at hver underordnet bare har én direkte overordnet. Staben står under toppledelsen og over linjen, gir støtte og råd, men har ikke ordregivende myndighet (14.4). Linjeorganisasjonen kan deles inn etter funksjon, produkt eller marked (14.5–14.7).</t>
  </si>
  <si>
    <t xml:space="preserve">Nordlys har 18 ansatte. Kari Nordlund er daglig leder. Ida Haugen regner anbud og priser for alle avdelingene, men gir ikke ordre til montørene. Service ledes av Tom Berg med 4 montører og 1 lærling; Tom setter prisen selv på stedet og spør Kari først når jobben passerer et døgnverk. Prosjekt og nybygg ledes av Ronny Fjeld med 6 montører og 1 lærling, som jobber på samme bygg; prisen er satt av Ida i anbudet. Solcelle og lading har 2 montører og ingen egen leder; de ringer Kari, som ofte sitter i møte. Bedriften har arbeidsavtaler, men ingen stillingsinstrukser eller skrevne fullmaktsgrenser. Gå fram slik: tell Karis kontrollspenn, plasser Ida, navngi inndelingen av avdelingene, og foreslå en endring.</t>
  </si>
  <si>
    <t xml:space="preserve">Kari Nordlund, daglig leder</t>
  </si>
  <si>
    <t xml:space="preserve">Har direkte under seg: Ida, Tom, Ronny og de 2 montørene på solcelle og lading</t>
  </si>
  <si>
    <t xml:space="preserve">Ida Haugen, kalkulatør</t>
  </si>
  <si>
    <t xml:space="preserve">Regner anbud og priser for alle avdelingene. Gir ikke ordre til montørene</t>
  </si>
  <si>
    <t xml:space="preserve">Tom Berg, service</t>
  </si>
  <si>
    <t xml:space="preserve">4 montører og 1 lærling. Setter prisen selv; spør Kari når jobben passerer et døgnverk</t>
  </si>
  <si>
    <t xml:space="preserve">Ronny Fjeld, prosjekt og nybygg</t>
  </si>
  <si>
    <t xml:space="preserve">6 montører og 1 lærling på samme bygg. Prisen er satt av Ida i anbudet</t>
  </si>
  <si>
    <t xml:space="preserve">Solcelle og lading</t>
  </si>
  <si>
    <t xml:space="preserve">2 montører, ingen egen leder. De ringer Kari</t>
  </si>
  <si>
    <t xml:space="preserve">Skriftlig</t>
  </si>
  <si>
    <t xml:space="preserve">Arbeidsavtaler. Ingen stillingsinstrukser eller fullmaktsgrenser</t>
  </si>
  <si>
    <t xml:space="preserve">Fayol (boka)</t>
  </si>
  <si>
    <t xml:space="preserve">Seks til ti underordnede anses optimalt</t>
  </si>
  <si>
    <t xml:space="preserve">a)  Hva er Karis kontrollspenn, altså hvor mange personer har hun direkte under seg?</t>
  </si>
  <si>
    <t xml:space="preserve">b)  Ida regner anbud og priser for alle avdelingene, men gir ikke ordre til montørene. Hvor hører hun hjemme i organisasjonskartet?   A: I linjen, som avdelingsleder på nivå med Tom og Ronny   B: I staben: støtte for ledelsen, utenfor linjen, uten ordregivende myndighet   C: I den operative kjernen, sammen med montørene   (skriv bokstaven)</t>
  </si>
  <si>
    <t xml:space="preserve">c)  Avdelingene hos Nordlys er service, prosjekt og nybygg, og solcelle og lading. Hvilken variant av linjeorganisasjonen er det?   A: Funksjonsdelt: innkjøp, produksjon og salg   B: Produktdelt: avdelingene følger tjenestene bedriften selger   C: Markedsdelt: avdelingene følger landsdeler eller kundetyper   (skriv bokstaven)</t>
  </si>
  <si>
    <t xml:space="preserve">d)  En student sier: «Ronny har 7 under seg og Kari 5. Det er Ronny som har for stort kontrollspenn.» Hva er riktig?   A: Riktig: 7 er over grensen i boka   B: Feil: Ronnys 7 er innenfor Fayols seks til ti. Problemet hos Kari er at 2 montører uten leder går rett til en daglig leder   C: Feil: kontrollspenn er hvor mange nivåer bedriften har   (skriv bokstaven)</t>
  </si>
  <si>
    <t xml:space="preserve">e)  Hvilken endring i organisasjonskartet anbefaler du Kari, og hva bør skrives ned? Bruk begrepene kontrollspenn, enhetlig ledelse og formalisering. Tre setninger.</t>
  </si>
  <si>
    <t xml:space="preserve">Kilde: Hjertnes, F.: Markedsføring, organisasjon og ledelse for LØM-emnet, kap. 12.4 (sosial struktur: organisasjonskart, over- og underordning, stillingsinstrukser), kap. 14.2 (Fayol: enhetlig ledelse, kontrollspenn, sentralisering), 14.4 (linje og stab) og 14.5–14.7 (funksjons-, produkt- og markedsdelt), kap. 15.6.2 (formalisering). Organisasjonskartet er det samme som i appen kap. 11. Nordlys Elektro AS er en konstruert casebedrift.</t>
  </si>
  <si>
    <t xml:space="preserve">B2 · Fjell Elektro: fra enkel struktur til et prosjekt ved siden av</t>
  </si>
  <si>
    <t xml:space="preserve">Kort oppsummert: Entreprenørorganisasjonen er en liten organisasjon med få ansatte, ingen fast arbeidsdeling og liten grad av formalisering. Den har bare toppledelse og operativ kjerne, og er fleksibel, men mangelen på formalisering kan gi uklare ansvars- og myndighetsforhold (15.8.1). Et prosjekt er en engangsoppgave med klart mål, bestemt tids- og kostnadsramme, og det legges ned når oppgaven er løst (15.8.5). Behovet for formalisering, hvem som gjør hva og hvem som bestemmer, øker med størrelsen (15.6.2).</t>
  </si>
  <si>
    <t xml:space="preserve">Fjell Elektro AS er Mona Fjell, som er eier, daglig leder og faglig ansvarlig, og to montører. Det er ingen fast arbeidsdeling mellom montørene, og ingenting er skrevet ned om hvem som bestemmer hva. Bedriften har 3 500 fakturerbare timer i året. Haugerud Bygg AS vil ha Fjell som underleverandør på 900 fakturerbare timer over seks måneder, og betaler 60 dager etter månedlig faktura. Servicekundene i Oslo øst skal fortsatt betjenes. Mona foreslår at den ene montøren går fast på Haugerud, mens hun og den andre tar service. Gå fram slik: bestem organisasjonstypen, regn timene per måned og andelen av halvårets timer, og vurder hva som må skrives ned.</t>
  </si>
  <si>
    <t xml:space="preserve">I dag</t>
  </si>
  <si>
    <t xml:space="preserve">Mona (eier, daglig leder, faglig ansvarlig) og to montører. Ingen fast arbeidsdeling, ingenting skrevet ned om hvem som bestemmer hva</t>
  </si>
  <si>
    <t xml:space="preserve">Kapasitet</t>
  </si>
  <si>
    <t xml:space="preserve">3 500 fakturerbare timer i året</t>
  </si>
  <si>
    <t xml:space="preserve">Haugerud-jobben</t>
  </si>
  <si>
    <t xml:space="preserve">900 fakturerbare timer over seks måneder, som underleverandør</t>
  </si>
  <si>
    <t xml:space="preserve">Betaling</t>
  </si>
  <si>
    <t xml:space="preserve">Haugerud betaler 60 dager etter månedlig faktura</t>
  </si>
  <si>
    <t xml:space="preserve">Servicekundene</t>
  </si>
  <si>
    <t xml:space="preserve">Boliger og små næringskunder i Oslo øst skal fortsatt betjenes</t>
  </si>
  <si>
    <t xml:space="preserve">Monas forslag</t>
  </si>
  <si>
    <t xml:space="preserve">Den ene montøren går fast på Haugerud; Mona og den andre tar service</t>
  </si>
  <si>
    <t xml:space="preserve">a)  Hvilken av lærebokas organisasjonstyper passer best på Fjell Elektro slik bedriften er i dag?   A: Entreprenørorganisasjonen (enkel struktur)   B: Maskinbyråkratiet   C: Divisjonsorganisasjonen   (skriv bokstaven)</t>
  </si>
  <si>
    <t xml:space="preserve">b)  Haugerud-jobben er 900 fakturerbare timer over seks måneder. Hvor mange timer i måneden er det?</t>
  </si>
  <si>
    <t xml:space="preserve">c)  Fjell har 3 500 fakturerbare timer i året. Hvor stor andel av timene i halvåret går til Haugerud-jobben, i prosent med én desimal?</t>
  </si>
  <si>
    <t xml:space="preserve">d)  Mona sier: «Vi er bare tre. Vi trenger ikke skrive ned hvem som bestemmer hva på Haugerud.» Hva er riktig etter læreboka?   A: Riktig: formalisering trengs bare i store organisasjoner   B: Feil: et prosjekt har klart mål og tids- og kostnadsramme, og i en enkel struktur gir lite formalisering lett uklare ansvars- og myndighetsforhold   C: Riktig: prosjektet legges uansett ned når jobben er ferdig   (skriv bokstaven)</t>
  </si>
  <si>
    <t xml:space="preserve">e)  Tegn Fjell Elektro slik bedriften blir i halvåret med Haugerud-jobben. Hvem bestemmer hva på Haugerud, og hva er den største risikoen? To–tre setninger.</t>
  </si>
  <si>
    <t xml:space="preserve">Kilde: Hjertnes, F.: Markedsføring, organisasjon og ledelse for LØM-emnet, kap. 15.8.1 (entreprenørorganisasjonen), 15.6.2 (formalisering) og 15.8.5 (prosjektoppgavens kjennetegn, prosjektorganisasjon med kontrollerende autoritet), kap. 12.4 (formelle trekk) og 12.5.2 (økonomi). Haugerud-jobben er fra MA05 og MA08. Fjell Elektro AS er en konstruert casebedrift.</t>
  </si>
</sst>
</file>

<file path=xl/styles.xml><?xml version="1.0" encoding="utf-8"?>
<styleSheet xmlns="http://schemas.openxmlformats.org/spreadsheetml/2006/main">
  <numFmts count="2">
    <numFmt numFmtId="164" formatCode="General"/>
    <numFmt numFmtId="165" formatCode="#,##0.##;\−#,##0.##;\0"/>
  </numFmts>
  <fonts count="10">
    <font>
      <sz val="11"/>
      <color theme="1"/>
      <name val="Calibri"/>
      <family val="2"/>
      <charset val="1"/>
    </font>
    <font>
      <sz val="10"/>
      <name val="Arial"/>
      <family val="0"/>
    </font>
    <font>
      <sz val="10"/>
      <name val="Arial"/>
      <family val="0"/>
    </font>
    <font>
      <sz val="10"/>
      <name val="Arial"/>
      <family val="0"/>
    </font>
    <font>
      <b val="true"/>
      <sz val="14"/>
      <color rgb="FF2F4A6D"/>
      <name val="Arial"/>
      <family val="0"/>
      <charset val="1"/>
    </font>
    <font>
      <i val="true"/>
      <sz val="10"/>
      <color rgb="FF5E6670"/>
      <name val="Arial"/>
      <family val="0"/>
      <charset val="1"/>
    </font>
    <font>
      <b val="true"/>
      <sz val="11"/>
      <name val="Arial"/>
      <family val="0"/>
      <charset val="1"/>
    </font>
    <font>
      <sz val="11"/>
      <name val="Arial"/>
      <family val="0"/>
      <charset val="1"/>
    </font>
    <font>
      <b val="true"/>
      <sz val="11"/>
      <color rgb="FFFFFFFF"/>
      <name val="Arial"/>
      <family val="0"/>
      <charset val="1"/>
    </font>
    <font>
      <sz val="11"/>
      <color rgb="FF0000FF"/>
      <name val="Arial"/>
      <family val="0"/>
      <charset val="1"/>
    </font>
  </fonts>
  <fills count="4">
    <fill>
      <patternFill patternType="none"/>
    </fill>
    <fill>
      <patternFill patternType="gray125"/>
    </fill>
    <fill>
      <patternFill patternType="solid">
        <fgColor rgb="FF2F4A6D"/>
        <bgColor rgb="FF333333"/>
      </patternFill>
    </fill>
    <fill>
      <patternFill patternType="solid">
        <fgColor rgb="FFFFFF00"/>
        <bgColor rgb="FFFFFF00"/>
      </patternFill>
    </fill>
  </fills>
  <borders count="2">
    <border diagonalUp="false" diagonalDown="false">
      <left/>
      <right/>
      <top/>
      <bottom/>
      <diagonal/>
    </border>
    <border diagonalUp="false" diagonalDown="false">
      <left style="thin">
        <color rgb="FFDDE3EA"/>
      </left>
      <right style="thin">
        <color rgb="FFDDE3EA"/>
      </right>
      <top style="thin">
        <color rgb="FFDDE3EA"/>
      </top>
      <bottom style="thin">
        <color rgb="FFDDE3EA"/>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4">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true" applyAlignment="true" applyProtection="false">
      <alignment horizontal="general" vertical="top" textRotation="0" wrapText="true" indent="0" shrinkToFit="false"/>
      <protection locked="true" hidden="false"/>
    </xf>
    <xf numFmtId="164" fontId="7" fillId="0" borderId="0" xfId="0" applyFont="true" applyBorder="true" applyAlignment="true" applyProtection="false">
      <alignment horizontal="general" vertical="top" textRotation="0" wrapText="true" indent="0" shrinkToFit="false"/>
      <protection locked="true" hidden="false"/>
    </xf>
    <xf numFmtId="164" fontId="8" fillId="2" borderId="1" xfId="0" applyFont="true" applyBorder="true" applyAlignment="false" applyProtection="false">
      <alignment horizontal="general" vertical="bottom" textRotation="0" wrapText="false" indent="0" shrinkToFit="false"/>
      <protection locked="true" hidden="false"/>
    </xf>
    <xf numFmtId="164" fontId="7" fillId="0" borderId="1" xfId="0" applyFont="true" applyBorder="true" applyAlignment="false" applyProtection="false">
      <alignment horizontal="general" vertical="bottom" textRotation="0" wrapText="false" indent="0" shrinkToFit="false"/>
      <protection locked="true" hidden="false"/>
    </xf>
    <xf numFmtId="164" fontId="9" fillId="3" borderId="1" xfId="0" applyFont="true" applyBorder="true" applyAlignment="false" applyProtection="false">
      <alignment horizontal="general" vertical="bottom" textRotation="0" wrapText="false" indent="0" shrinkToFit="false"/>
      <protection locked="true" hidden="false"/>
    </xf>
    <xf numFmtId="164" fontId="5" fillId="0" borderId="1" xfId="0" applyFont="true" applyBorder="true" applyAlignment="true" applyProtection="false">
      <alignment horizontal="center" vertical="bottom" textRotation="0" wrapText="false" indent="0" shrinkToFit="false"/>
      <protection locked="true" hidden="false"/>
    </xf>
    <xf numFmtId="165" fontId="9" fillId="3" borderId="1" xfId="0" applyFont="true" applyBorder="true" applyAlignment="false" applyProtection="false">
      <alignment horizontal="general" vertical="bottom" textRotation="0" wrapText="false" indent="0" shrinkToFit="false"/>
      <protection locked="true" hidden="false"/>
    </xf>
    <xf numFmtId="164" fontId="9" fillId="3" borderId="1"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DDE3EA"/>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E6670"/>
      <rgbColor rgb="FF969696"/>
      <rgbColor rgb="FF003366"/>
      <rgbColor rgb="FF339966"/>
      <rgbColor rgb="FF003300"/>
      <rgbColor rgb="FF333300"/>
      <rgbColor rgb="FF993300"/>
      <rgbColor rgb="FF993366"/>
      <rgbColor rgb="FF2F4A6D"/>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B13"/>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8"/>
    <col collapsed="false" customWidth="true" hidden="false" outlineLevel="0" max="2" min="2" style="0" width="100"/>
  </cols>
  <sheetData>
    <row r="1" customFormat="false" ht="17.35" hidden="false" customHeight="false" outlineLevel="0" collapsed="false">
      <c r="A1" s="1" t="s">
        <v>0</v>
      </c>
    </row>
    <row r="2" customFormat="false" ht="15" hidden="false" customHeight="false" outlineLevel="0" collapsed="false">
      <c r="A2" s="2" t="s">
        <v>1</v>
      </c>
    </row>
    <row r="4" customFormat="false" ht="15" hidden="false" customHeight="false" outlineLevel="0" collapsed="false">
      <c r="A4" s="3" t="s">
        <v>2</v>
      </c>
      <c r="B4" s="4"/>
    </row>
    <row r="5" customFormat="false" ht="15" hidden="false" customHeight="false" outlineLevel="0" collapsed="false">
      <c r="A5" s="5" t="s">
        <v>3</v>
      </c>
      <c r="B5" s="4" t="s">
        <v>4</v>
      </c>
    </row>
    <row r="6" customFormat="false" ht="15" hidden="false" customHeight="false" outlineLevel="0" collapsed="false">
      <c r="A6" s="5" t="s">
        <v>5</v>
      </c>
      <c r="B6" s="4" t="s">
        <v>6</v>
      </c>
    </row>
    <row r="7" customFormat="false" ht="15" hidden="false" customHeight="false" outlineLevel="0" collapsed="false">
      <c r="A7" s="3" t="s">
        <v>7</v>
      </c>
      <c r="B7" s="4"/>
    </row>
    <row r="8" customFormat="false" ht="15" hidden="false" customHeight="false" outlineLevel="0" collapsed="false">
      <c r="A8" s="5" t="s">
        <v>8</v>
      </c>
      <c r="B8" s="4" t="s">
        <v>9</v>
      </c>
    </row>
    <row r="9" customFormat="false" ht="15" hidden="false" customHeight="false" outlineLevel="0" collapsed="false">
      <c r="A9" s="5" t="s">
        <v>10</v>
      </c>
      <c r="B9" s="4" t="s">
        <v>11</v>
      </c>
    </row>
    <row r="10" customFormat="false" ht="15" hidden="false" customHeight="false" outlineLevel="0" collapsed="false">
      <c r="A10" s="5" t="s">
        <v>12</v>
      </c>
      <c r="B10" s="4" t="s">
        <v>13</v>
      </c>
    </row>
    <row r="11" customFormat="false" ht="15" hidden="false" customHeight="false" outlineLevel="0" collapsed="false">
      <c r="A11" s="5" t="s">
        <v>14</v>
      </c>
      <c r="B11" s="4" t="s">
        <v>15</v>
      </c>
    </row>
    <row r="12" customFormat="false" ht="15" hidden="false" customHeight="false" outlineLevel="0" collapsed="false">
      <c r="A12" s="3" t="s">
        <v>16</v>
      </c>
      <c r="B12" s="4" t="s">
        <v>17</v>
      </c>
    </row>
    <row r="13" customFormat="false" ht="15" hidden="false" customHeight="false" outlineLevel="0" collapsed="false">
      <c r="A13" s="3" t="s">
        <v>18</v>
      </c>
      <c r="B13" s="4" t="s">
        <v>19</v>
      </c>
    </row>
  </sheetData>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G3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5" min="2" style="0" width="16"/>
    <col collapsed="false" customWidth="true" hidden="false" outlineLevel="0" max="6" min="6" style="0" width="18"/>
    <col collapsed="false" customWidth="true" hidden="false" outlineLevel="0" max="7" min="7" style="0" width="14"/>
  </cols>
  <sheetData>
    <row r="1" customFormat="false" ht="17.35" hidden="false" customHeight="false" outlineLevel="0" collapsed="false">
      <c r="A1" s="1" t="s">
        <v>20</v>
      </c>
    </row>
    <row r="2" customFormat="false" ht="15" hidden="false" customHeight="false" outlineLevel="0" collapsed="false">
      <c r="A2" s="2" t="s">
        <v>21</v>
      </c>
    </row>
    <row r="4" customFormat="false" ht="78.75" hidden="false" customHeight="true" outlineLevel="0" collapsed="false">
      <c r="A4" s="6" t="s">
        <v>22</v>
      </c>
      <c r="B4" s="6"/>
      <c r="C4" s="6"/>
      <c r="D4" s="6"/>
      <c r="E4" s="6"/>
      <c r="F4" s="6"/>
      <c r="G4" s="6"/>
    </row>
    <row r="5" customFormat="false" ht="108.75" hidden="false" customHeight="true" outlineLevel="0" collapsed="false">
      <c r="A5" s="7" t="s">
        <v>23</v>
      </c>
      <c r="B5" s="7"/>
      <c r="C5" s="7"/>
      <c r="D5" s="7"/>
      <c r="E5" s="7"/>
      <c r="F5" s="7"/>
      <c r="G5" s="7"/>
    </row>
    <row r="7" customFormat="false" ht="15" hidden="false" customHeight="false" outlineLevel="0" collapsed="false">
      <c r="A7" s="8" t="s">
        <v>24</v>
      </c>
      <c r="B7" s="8" t="s">
        <v>25</v>
      </c>
      <c r="C7" s="8"/>
      <c r="D7" s="8"/>
      <c r="E7" s="8"/>
      <c r="F7" s="8"/>
      <c r="G7" s="8"/>
    </row>
    <row r="8" customFormat="false" ht="33.75" hidden="false" customHeight="true" outlineLevel="0" collapsed="false">
      <c r="A8" s="9" t="s">
        <v>26</v>
      </c>
      <c r="B8" s="7" t="s">
        <v>27</v>
      </c>
      <c r="C8" s="7"/>
      <c r="D8" s="7"/>
      <c r="E8" s="7"/>
      <c r="F8" s="7"/>
      <c r="G8" s="7"/>
    </row>
    <row r="9" customFormat="false" ht="33.75" hidden="false" customHeight="true" outlineLevel="0" collapsed="false">
      <c r="A9" s="9" t="s">
        <v>28</v>
      </c>
      <c r="B9" s="7" t="s">
        <v>29</v>
      </c>
      <c r="C9" s="7"/>
      <c r="D9" s="7"/>
      <c r="E9" s="7"/>
      <c r="F9" s="7"/>
      <c r="G9" s="7"/>
    </row>
    <row r="10" customFormat="false" ht="18.75" hidden="false" customHeight="true" outlineLevel="0" collapsed="false">
      <c r="A10" s="9" t="s">
        <v>30</v>
      </c>
      <c r="B10" s="7" t="s">
        <v>31</v>
      </c>
      <c r="C10" s="7"/>
      <c r="D10" s="7"/>
      <c r="E10" s="7"/>
      <c r="F10" s="7"/>
      <c r="G10" s="7"/>
    </row>
    <row r="11" customFormat="false" ht="18.75" hidden="false" customHeight="true" outlineLevel="0" collapsed="false">
      <c r="A11" s="9" t="s">
        <v>32</v>
      </c>
      <c r="B11" s="7" t="s">
        <v>33</v>
      </c>
      <c r="C11" s="7"/>
      <c r="D11" s="7"/>
      <c r="E11" s="7"/>
      <c r="F11" s="7"/>
      <c r="G11" s="7"/>
    </row>
    <row r="12" customFormat="false" ht="18.75" hidden="false" customHeight="true" outlineLevel="0" collapsed="false">
      <c r="A12" s="9" t="s">
        <v>34</v>
      </c>
      <c r="B12" s="7" t="s">
        <v>35</v>
      </c>
      <c r="C12" s="7"/>
      <c r="D12" s="7"/>
      <c r="E12" s="7"/>
      <c r="F12" s="7"/>
      <c r="G12" s="7"/>
    </row>
    <row r="14" customFormat="false" ht="15" hidden="false" customHeight="false" outlineLevel="0" collapsed="false">
      <c r="A14" s="8" t="s">
        <v>36</v>
      </c>
      <c r="B14" s="8"/>
      <c r="C14" s="8"/>
      <c r="D14" s="8"/>
      <c r="E14" s="8"/>
      <c r="F14" s="8" t="s">
        <v>37</v>
      </c>
      <c r="G14" s="8" t="s">
        <v>38</v>
      </c>
    </row>
    <row r="15" customFormat="false" ht="33.75" hidden="false" customHeight="true" outlineLevel="0" collapsed="false">
      <c r="A15" s="7" t="s">
        <v>39</v>
      </c>
      <c r="B15" s="7"/>
      <c r="C15" s="7"/>
      <c r="D15" s="7"/>
      <c r="E15" s="7"/>
    </row>
    <row r="16" customFormat="false" ht="15" hidden="false" customHeight="true" outlineLevel="0" collapsed="false">
      <c r="A16" s="7" t="s">
        <v>40</v>
      </c>
      <c r="B16" s="7"/>
      <c r="C16" s="7"/>
      <c r="D16" s="7"/>
      <c r="E16" s="7"/>
      <c r="F16" s="10"/>
      <c r="G16" s="11" t="str">
        <f aca="false">IF(F16="","",IF(UPPER(TRIM(F16))="JA","Riktig","Prøv igjen"))</f>
        <v/>
      </c>
    </row>
    <row r="17" customFormat="false" ht="15" hidden="false" customHeight="true" outlineLevel="0" collapsed="false">
      <c r="A17" s="7" t="s">
        <v>41</v>
      </c>
      <c r="B17" s="7"/>
      <c r="C17" s="7"/>
      <c r="D17" s="7"/>
      <c r="E17" s="7"/>
      <c r="F17" s="10"/>
      <c r="G17" s="11" t="str">
        <f aca="false">IF(F17="","",IF(UPPER(TRIM(F17))="JA","Riktig","Prøv igjen"))</f>
        <v/>
      </c>
    </row>
    <row r="18" customFormat="false" ht="15" hidden="false" customHeight="true" outlineLevel="0" collapsed="false">
      <c r="A18" s="7" t="s">
        <v>42</v>
      </c>
      <c r="B18" s="7"/>
      <c r="C18" s="7"/>
      <c r="D18" s="7"/>
      <c r="E18" s="7"/>
      <c r="F18" s="10"/>
      <c r="G18" s="11" t="str">
        <f aca="false">IF(F18="","",IF(UPPER(TRIM(F18))="NEI","Riktig","Prøv igjen"))</f>
        <v/>
      </c>
    </row>
    <row r="19" customFormat="false" ht="15" hidden="false" customHeight="true" outlineLevel="0" collapsed="false">
      <c r="A19" s="7" t="s">
        <v>43</v>
      </c>
      <c r="B19" s="7"/>
      <c r="C19" s="7"/>
      <c r="D19" s="7"/>
      <c r="E19" s="7"/>
      <c r="F19" s="10"/>
      <c r="G19" s="11" t="str">
        <f aca="false">IF(F19="","",IF(UPPER(TRIM(F19))="NEI","Riktig","Prøv igjen"))</f>
        <v/>
      </c>
    </row>
    <row r="20" customFormat="false" ht="15" hidden="false" customHeight="true" outlineLevel="0" collapsed="false">
      <c r="A20" s="7" t="s">
        <v>44</v>
      </c>
      <c r="B20" s="7"/>
      <c r="C20" s="7"/>
      <c r="D20" s="7"/>
      <c r="E20" s="7"/>
      <c r="F20" s="10"/>
      <c r="G20" s="11" t="str">
        <f aca="false">IF(F20="","",IF(UPPER(TRIM(F20))="NEI","Riktig","Prøv igjen"))</f>
        <v/>
      </c>
    </row>
    <row r="21" customFormat="false" ht="15" hidden="false" customHeight="true" outlineLevel="0" collapsed="false">
      <c r="A21" s="7" t="s">
        <v>45</v>
      </c>
      <c r="B21" s="7"/>
      <c r="C21" s="7"/>
      <c r="D21" s="7"/>
      <c r="E21" s="7"/>
      <c r="F21" s="10"/>
      <c r="G21" s="11" t="str">
        <f aca="false">IF(F21="","",IF(UPPER(TRIM(F21))="JA","Riktig","Prøv igjen"))</f>
        <v/>
      </c>
    </row>
    <row r="22" customFormat="false" ht="63.75" hidden="false" customHeight="true" outlineLevel="0" collapsed="false">
      <c r="A22" s="7" t="s">
        <v>46</v>
      </c>
      <c r="B22" s="7"/>
      <c r="C22" s="7"/>
      <c r="D22" s="7"/>
      <c r="E22" s="7"/>
      <c r="F22" s="10"/>
      <c r="G22" s="11" t="str">
        <f aca="false">IF(F22="","",IF(UPPER(TRIM(F22))="B","Riktig","Prøv igjen"))</f>
        <v/>
      </c>
    </row>
    <row r="23" customFormat="false" ht="33.75" hidden="false" customHeight="true" outlineLevel="0" collapsed="false">
      <c r="A23" s="7" t="s">
        <v>47</v>
      </c>
      <c r="B23" s="7"/>
      <c r="C23" s="7"/>
      <c r="D23" s="7"/>
      <c r="E23" s="7"/>
      <c r="F23" s="12"/>
      <c r="G23" s="11" t="str">
        <f aca="false">IF(F23="","",IF(ABS(F23-(276))&lt;=0.000000001,"Riktig","Prøv igjen"))</f>
        <v/>
      </c>
    </row>
    <row r="24" customFormat="false" ht="63.75" hidden="false" customHeight="true" outlineLevel="0" collapsed="false">
      <c r="A24" s="7" t="s">
        <v>48</v>
      </c>
      <c r="B24" s="7"/>
      <c r="C24" s="7"/>
      <c r="D24" s="7"/>
      <c r="E24" s="7"/>
      <c r="F24" s="10"/>
      <c r="G24" s="11" t="str">
        <f aca="false">IF(F24="","",IF(UPPER(TRIM(F24))="B","Riktig","Prøv igjen"))</f>
        <v/>
      </c>
    </row>
    <row r="25" customFormat="false" ht="33.75" hidden="false" customHeight="true" outlineLevel="0" collapsed="false">
      <c r="A25" s="7" t="s">
        <v>49</v>
      </c>
      <c r="B25" s="7"/>
      <c r="C25" s="7"/>
      <c r="D25" s="7"/>
      <c r="E25" s="7"/>
    </row>
    <row r="26" customFormat="false" ht="15" hidden="false" customHeight="false" outlineLevel="0" collapsed="false">
      <c r="A26" s="13"/>
      <c r="B26" s="13"/>
      <c r="C26" s="13"/>
      <c r="D26" s="13"/>
      <c r="E26" s="13"/>
      <c r="F26" s="13"/>
      <c r="G26" s="13"/>
    </row>
    <row r="27" customFormat="false" ht="15" hidden="false" customHeight="false" outlineLevel="0" collapsed="false">
      <c r="A27" s="13"/>
      <c r="B27" s="13"/>
      <c r="C27" s="13"/>
      <c r="D27" s="13"/>
      <c r="E27" s="13"/>
      <c r="F27" s="13"/>
      <c r="G27" s="13"/>
    </row>
    <row r="28" customFormat="false" ht="15" hidden="false" customHeight="false" outlineLevel="0" collapsed="false">
      <c r="A28" s="13"/>
      <c r="B28" s="13"/>
      <c r="C28" s="13"/>
      <c r="D28" s="13"/>
      <c r="E28" s="13"/>
      <c r="F28" s="13"/>
      <c r="G28" s="13"/>
    </row>
    <row r="30" customFormat="false" ht="48.75" hidden="false" customHeight="true" outlineLevel="0" collapsed="false">
      <c r="A30" s="6" t="s">
        <v>50</v>
      </c>
      <c r="B30" s="6"/>
      <c r="C30" s="6"/>
      <c r="D30" s="6"/>
      <c r="E30" s="6"/>
      <c r="F30" s="6"/>
      <c r="G30" s="6"/>
    </row>
    <row r="31" customFormat="false" ht="15" hidden="false" customHeight="true" outlineLevel="0" collapsed="false">
      <c r="A31" s="6" t="s">
        <v>51</v>
      </c>
      <c r="B31" s="6"/>
      <c r="C31" s="6"/>
      <c r="D31" s="6"/>
      <c r="E31" s="6"/>
      <c r="F31" s="6"/>
      <c r="G31" s="6"/>
    </row>
  </sheetData>
  <mergeCells count="23">
    <mergeCell ref="A4:G4"/>
    <mergeCell ref="A5:G5"/>
    <mergeCell ref="B7:G7"/>
    <mergeCell ref="B8:G8"/>
    <mergeCell ref="B9:G9"/>
    <mergeCell ref="B10:G10"/>
    <mergeCell ref="B11:G11"/>
    <mergeCell ref="B12:G12"/>
    <mergeCell ref="A14:E14"/>
    <mergeCell ref="A15:E15"/>
    <mergeCell ref="A16:E16"/>
    <mergeCell ref="A17:E17"/>
    <mergeCell ref="A18:E18"/>
    <mergeCell ref="A19:E19"/>
    <mergeCell ref="A20:E20"/>
    <mergeCell ref="A21:E21"/>
    <mergeCell ref="A22:E22"/>
    <mergeCell ref="A23:E23"/>
    <mergeCell ref="A24:E24"/>
    <mergeCell ref="A25:E25"/>
    <mergeCell ref="A26:G28"/>
    <mergeCell ref="A30:G30"/>
    <mergeCell ref="A31:G31"/>
  </mergeCells>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G3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5" min="2" style="0" width="16"/>
    <col collapsed="false" customWidth="true" hidden="false" outlineLevel="0" max="6" min="6" style="0" width="18"/>
    <col collapsed="false" customWidth="true" hidden="false" outlineLevel="0" max="7" min="7" style="0" width="14"/>
  </cols>
  <sheetData>
    <row r="1" customFormat="false" ht="17.35" hidden="false" customHeight="false" outlineLevel="0" collapsed="false">
      <c r="A1" s="1" t="s">
        <v>52</v>
      </c>
    </row>
    <row r="2" customFormat="false" ht="15" hidden="false" customHeight="false" outlineLevel="0" collapsed="false">
      <c r="A2" s="2" t="s">
        <v>21</v>
      </c>
    </row>
    <row r="4" customFormat="false" ht="78.75" hidden="false" customHeight="true" outlineLevel="0" collapsed="false">
      <c r="A4" s="6" t="s">
        <v>53</v>
      </c>
      <c r="B4" s="6"/>
      <c r="C4" s="6"/>
      <c r="D4" s="6"/>
      <c r="E4" s="6"/>
      <c r="F4" s="6"/>
      <c r="G4" s="6"/>
    </row>
    <row r="5" customFormat="false" ht="93.75" hidden="false" customHeight="true" outlineLevel="0" collapsed="false">
      <c r="A5" s="7" t="s">
        <v>54</v>
      </c>
      <c r="B5" s="7"/>
      <c r="C5" s="7"/>
      <c r="D5" s="7"/>
      <c r="E5" s="7"/>
      <c r="F5" s="7"/>
      <c r="G5" s="7"/>
    </row>
    <row r="7" customFormat="false" ht="15" hidden="false" customHeight="false" outlineLevel="0" collapsed="false">
      <c r="A7" s="8" t="s">
        <v>24</v>
      </c>
      <c r="B7" s="8" t="s">
        <v>25</v>
      </c>
      <c r="C7" s="8"/>
      <c r="D7" s="8"/>
      <c r="E7" s="8"/>
      <c r="F7" s="8"/>
      <c r="G7" s="8"/>
    </row>
    <row r="8" customFormat="false" ht="33.75" hidden="false" customHeight="true" outlineLevel="0" collapsed="false">
      <c r="A8" s="9" t="s">
        <v>55</v>
      </c>
      <c r="B8" s="7" t="s">
        <v>56</v>
      </c>
      <c r="C8" s="7"/>
      <c r="D8" s="7"/>
      <c r="E8" s="7"/>
      <c r="F8" s="7"/>
      <c r="G8" s="7"/>
    </row>
    <row r="9" customFormat="false" ht="18.75" hidden="false" customHeight="true" outlineLevel="0" collapsed="false">
      <c r="A9" s="9" t="s">
        <v>57</v>
      </c>
      <c r="B9" s="7" t="s">
        <v>58</v>
      </c>
      <c r="C9" s="7"/>
      <c r="D9" s="7"/>
      <c r="E9" s="7"/>
      <c r="F9" s="7"/>
      <c r="G9" s="7"/>
    </row>
    <row r="10" customFormat="false" ht="18.75" hidden="false" customHeight="true" outlineLevel="0" collapsed="false">
      <c r="A10" s="9" t="s">
        <v>59</v>
      </c>
      <c r="B10" s="7" t="s">
        <v>60</v>
      </c>
      <c r="C10" s="7"/>
      <c r="D10" s="7"/>
      <c r="E10" s="7"/>
      <c r="F10" s="7"/>
      <c r="G10" s="7"/>
    </row>
    <row r="11" customFormat="false" ht="18.75" hidden="false" customHeight="true" outlineLevel="0" collapsed="false">
      <c r="A11" s="9" t="s">
        <v>61</v>
      </c>
      <c r="B11" s="7" t="s">
        <v>62</v>
      </c>
      <c r="C11" s="7"/>
      <c r="D11" s="7"/>
      <c r="E11" s="7"/>
      <c r="F11" s="7"/>
      <c r="G11" s="7"/>
    </row>
    <row r="12" customFormat="false" ht="18.75" hidden="false" customHeight="true" outlineLevel="0" collapsed="false">
      <c r="A12" s="9" t="s">
        <v>63</v>
      </c>
      <c r="B12" s="7" t="s">
        <v>64</v>
      </c>
      <c r="C12" s="7"/>
      <c r="D12" s="7"/>
      <c r="E12" s="7"/>
      <c r="F12" s="7"/>
      <c r="G12" s="7"/>
    </row>
    <row r="13" customFormat="false" ht="18.75" hidden="false" customHeight="true" outlineLevel="0" collapsed="false">
      <c r="A13" s="9" t="s">
        <v>65</v>
      </c>
      <c r="B13" s="7" t="s">
        <v>66</v>
      </c>
      <c r="C13" s="7"/>
      <c r="D13" s="7"/>
      <c r="E13" s="7"/>
      <c r="F13" s="7"/>
      <c r="G13" s="7"/>
    </row>
    <row r="14" customFormat="false" ht="18.75" hidden="false" customHeight="true" outlineLevel="0" collapsed="false">
      <c r="A14" s="9" t="s">
        <v>67</v>
      </c>
      <c r="B14" s="7" t="s">
        <v>68</v>
      </c>
      <c r="C14" s="7"/>
      <c r="D14" s="7"/>
      <c r="E14" s="7"/>
      <c r="F14" s="7"/>
      <c r="G14" s="7"/>
    </row>
    <row r="16" customFormat="false" ht="15" hidden="false" customHeight="false" outlineLevel="0" collapsed="false">
      <c r="A16" s="8" t="s">
        <v>36</v>
      </c>
      <c r="B16" s="8"/>
      <c r="C16" s="8"/>
      <c r="D16" s="8"/>
      <c r="E16" s="8"/>
      <c r="F16" s="8" t="s">
        <v>37</v>
      </c>
      <c r="G16" s="8" t="s">
        <v>38</v>
      </c>
    </row>
    <row r="17" customFormat="false" ht="33.75" hidden="false" customHeight="true" outlineLevel="0" collapsed="false">
      <c r="A17" s="7" t="s">
        <v>69</v>
      </c>
      <c r="B17" s="7"/>
      <c r="C17" s="7"/>
      <c r="D17" s="7"/>
      <c r="E17" s="7"/>
    </row>
    <row r="18" customFormat="false" ht="15" hidden="false" customHeight="true" outlineLevel="0" collapsed="false">
      <c r="A18" s="7" t="s">
        <v>70</v>
      </c>
      <c r="B18" s="7"/>
      <c r="C18" s="7"/>
      <c r="D18" s="7"/>
      <c r="E18" s="7"/>
      <c r="F18" s="10"/>
      <c r="G18" s="11" t="str">
        <f aca="false">IF(F18="","",IF(UPPER(TRIM(F18))="JA","Riktig","Prøv igjen"))</f>
        <v/>
      </c>
    </row>
    <row r="19" customFormat="false" ht="15" hidden="false" customHeight="true" outlineLevel="0" collapsed="false">
      <c r="A19" s="7" t="s">
        <v>71</v>
      </c>
      <c r="B19" s="7"/>
      <c r="C19" s="7"/>
      <c r="D19" s="7"/>
      <c r="E19" s="7"/>
      <c r="F19" s="10"/>
      <c r="G19" s="11" t="str">
        <f aca="false">IF(F19="","",IF(UPPER(TRIM(F19))="JA","Riktig","Prøv igjen"))</f>
        <v/>
      </c>
    </row>
    <row r="20" customFormat="false" ht="15" hidden="false" customHeight="true" outlineLevel="0" collapsed="false">
      <c r="A20" s="7" t="s">
        <v>72</v>
      </c>
      <c r="B20" s="7"/>
      <c r="C20" s="7"/>
      <c r="D20" s="7"/>
      <c r="E20" s="7"/>
      <c r="F20" s="10"/>
      <c r="G20" s="11" t="str">
        <f aca="false">IF(F20="","",IF(UPPER(TRIM(F20))="JA","Riktig","Prøv igjen"))</f>
        <v/>
      </c>
    </row>
    <row r="21" customFormat="false" ht="15" hidden="false" customHeight="true" outlineLevel="0" collapsed="false">
      <c r="A21" s="7" t="s">
        <v>73</v>
      </c>
      <c r="B21" s="7"/>
      <c r="C21" s="7"/>
      <c r="D21" s="7"/>
      <c r="E21" s="7"/>
      <c r="F21" s="10"/>
      <c r="G21" s="11" t="str">
        <f aca="false">IF(F21="","",IF(UPPER(TRIM(F21))="NEI","Riktig","Prøv igjen"))</f>
        <v/>
      </c>
    </row>
    <row r="22" customFormat="false" ht="15" hidden="false" customHeight="true" outlineLevel="0" collapsed="false">
      <c r="A22" s="7" t="s">
        <v>74</v>
      </c>
      <c r="B22" s="7"/>
      <c r="C22" s="7"/>
      <c r="D22" s="7"/>
      <c r="E22" s="7"/>
      <c r="F22" s="10"/>
      <c r="G22" s="11" t="str">
        <f aca="false">IF(F22="","",IF(UPPER(TRIM(F22))="NEI","Riktig","Prøv igjen"))</f>
        <v/>
      </c>
    </row>
    <row r="23" customFormat="false" ht="15" hidden="false" customHeight="true" outlineLevel="0" collapsed="false">
      <c r="A23" s="7" t="s">
        <v>75</v>
      </c>
      <c r="B23" s="7"/>
      <c r="C23" s="7"/>
      <c r="D23" s="7"/>
      <c r="E23" s="7"/>
      <c r="F23" s="10"/>
      <c r="G23" s="11" t="str">
        <f aca="false">IF(F23="","",IF(UPPER(TRIM(F23))="NEI","Riktig","Prøv igjen"))</f>
        <v/>
      </c>
    </row>
    <row r="24" customFormat="false" ht="48.75" hidden="false" customHeight="true" outlineLevel="0" collapsed="false">
      <c r="A24" s="7" t="s">
        <v>76</v>
      </c>
      <c r="B24" s="7"/>
      <c r="C24" s="7"/>
      <c r="D24" s="7"/>
      <c r="E24" s="7"/>
      <c r="F24" s="10"/>
      <c r="G24" s="11" t="str">
        <f aca="false">IF(F24="","",IF(UPPER(TRIM(F24))="B","Riktig","Prøv igjen"))</f>
        <v/>
      </c>
    </row>
    <row r="25" customFormat="false" ht="33.75" hidden="false" customHeight="true" outlineLevel="0" collapsed="false">
      <c r="A25" s="7" t="s">
        <v>77</v>
      </c>
      <c r="B25" s="7"/>
      <c r="C25" s="7"/>
      <c r="D25" s="7"/>
      <c r="E25" s="7"/>
      <c r="F25" s="12"/>
      <c r="G25" s="11" t="str">
        <f aca="false">IF(F25="","",IF(ABS(F25-(138))&lt;=0.000000001,"Riktig","Prøv igjen"))</f>
        <v/>
      </c>
    </row>
    <row r="26" customFormat="false" ht="63.75" hidden="false" customHeight="true" outlineLevel="0" collapsed="false">
      <c r="A26" s="7" t="s">
        <v>78</v>
      </c>
      <c r="B26" s="7"/>
      <c r="C26" s="7"/>
      <c r="D26" s="7"/>
      <c r="E26" s="7"/>
      <c r="F26" s="10"/>
      <c r="G26" s="11" t="str">
        <f aca="false">IF(F26="","",IF(UPPER(TRIM(F26))="B","Riktig","Prøv igjen"))</f>
        <v/>
      </c>
    </row>
    <row r="27" customFormat="false" ht="33.75" hidden="false" customHeight="true" outlineLevel="0" collapsed="false">
      <c r="A27" s="7" t="s">
        <v>79</v>
      </c>
      <c r="B27" s="7"/>
      <c r="C27" s="7"/>
      <c r="D27" s="7"/>
      <c r="E27" s="7"/>
    </row>
    <row r="28" customFormat="false" ht="15" hidden="false" customHeight="false" outlineLevel="0" collapsed="false">
      <c r="A28" s="13"/>
      <c r="B28" s="13"/>
      <c r="C28" s="13"/>
      <c r="D28" s="13"/>
      <c r="E28" s="13"/>
      <c r="F28" s="13"/>
      <c r="G28" s="13"/>
    </row>
    <row r="29" customFormat="false" ht="15" hidden="false" customHeight="false" outlineLevel="0" collapsed="false">
      <c r="A29" s="13"/>
      <c r="B29" s="13"/>
      <c r="C29" s="13"/>
      <c r="D29" s="13"/>
      <c r="E29" s="13"/>
      <c r="F29" s="13"/>
      <c r="G29" s="13"/>
    </row>
    <row r="30" customFormat="false" ht="15" hidden="false" customHeight="false" outlineLevel="0" collapsed="false">
      <c r="A30" s="13"/>
      <c r="B30" s="13"/>
      <c r="C30" s="13"/>
      <c r="D30" s="13"/>
      <c r="E30" s="13"/>
      <c r="F30" s="13"/>
      <c r="G30" s="13"/>
    </row>
    <row r="32" customFormat="false" ht="48.75" hidden="false" customHeight="true" outlineLevel="0" collapsed="false">
      <c r="A32" s="6" t="s">
        <v>80</v>
      </c>
      <c r="B32" s="6"/>
      <c r="C32" s="6"/>
      <c r="D32" s="6"/>
      <c r="E32" s="6"/>
      <c r="F32" s="6"/>
      <c r="G32" s="6"/>
    </row>
    <row r="33" customFormat="false" ht="15" hidden="false" customHeight="true" outlineLevel="0" collapsed="false">
      <c r="A33" s="6" t="s">
        <v>51</v>
      </c>
      <c r="B33" s="6"/>
      <c r="C33" s="6"/>
      <c r="D33" s="6"/>
      <c r="E33" s="6"/>
      <c r="F33" s="6"/>
      <c r="G33" s="6"/>
    </row>
  </sheetData>
  <mergeCells count="25">
    <mergeCell ref="A4:G4"/>
    <mergeCell ref="A5:G5"/>
    <mergeCell ref="B7:G7"/>
    <mergeCell ref="B8:G8"/>
    <mergeCell ref="B9:G9"/>
    <mergeCell ref="B10:G10"/>
    <mergeCell ref="B11:G11"/>
    <mergeCell ref="B12:G12"/>
    <mergeCell ref="B13:G13"/>
    <mergeCell ref="B14:G14"/>
    <mergeCell ref="A16:E16"/>
    <mergeCell ref="A17:E17"/>
    <mergeCell ref="A18:E18"/>
    <mergeCell ref="A19:E19"/>
    <mergeCell ref="A20:E20"/>
    <mergeCell ref="A21:E21"/>
    <mergeCell ref="A22:E22"/>
    <mergeCell ref="A23:E23"/>
    <mergeCell ref="A24:E24"/>
    <mergeCell ref="A25:E25"/>
    <mergeCell ref="A26:E26"/>
    <mergeCell ref="A27:E27"/>
    <mergeCell ref="A28:G30"/>
    <mergeCell ref="A32:G32"/>
    <mergeCell ref="A33:G33"/>
  </mergeCells>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G2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5" min="2" style="0" width="16"/>
    <col collapsed="false" customWidth="true" hidden="false" outlineLevel="0" max="6" min="6" style="0" width="18"/>
    <col collapsed="false" customWidth="true" hidden="false" outlineLevel="0" max="7" min="7" style="0" width="14"/>
  </cols>
  <sheetData>
    <row r="1" customFormat="false" ht="17.35" hidden="false" customHeight="false" outlineLevel="0" collapsed="false">
      <c r="A1" s="1" t="s">
        <v>81</v>
      </c>
    </row>
    <row r="2" customFormat="false" ht="15" hidden="false" customHeight="false" outlineLevel="0" collapsed="false">
      <c r="A2" s="2" t="s">
        <v>21</v>
      </c>
    </row>
    <row r="4" customFormat="false" ht="78.75" hidden="false" customHeight="true" outlineLevel="0" collapsed="false">
      <c r="A4" s="6" t="s">
        <v>82</v>
      </c>
      <c r="B4" s="6"/>
      <c r="C4" s="6"/>
      <c r="D4" s="6"/>
      <c r="E4" s="6"/>
      <c r="F4" s="6"/>
      <c r="G4" s="6"/>
    </row>
    <row r="5" customFormat="false" ht="108.75" hidden="false" customHeight="true" outlineLevel="0" collapsed="false">
      <c r="A5" s="7" t="s">
        <v>83</v>
      </c>
      <c r="B5" s="7"/>
      <c r="C5" s="7"/>
      <c r="D5" s="7"/>
      <c r="E5" s="7"/>
      <c r="F5" s="7"/>
      <c r="G5" s="7"/>
    </row>
    <row r="7" customFormat="false" ht="15" hidden="false" customHeight="false" outlineLevel="0" collapsed="false">
      <c r="A7" s="8" t="s">
        <v>24</v>
      </c>
      <c r="B7" s="8" t="s">
        <v>25</v>
      </c>
      <c r="C7" s="8"/>
      <c r="D7" s="8"/>
      <c r="E7" s="8"/>
      <c r="F7" s="8"/>
      <c r="G7" s="8"/>
    </row>
    <row r="8" customFormat="false" ht="18.75" hidden="false" customHeight="true" outlineLevel="0" collapsed="false">
      <c r="A8" s="9" t="s">
        <v>84</v>
      </c>
      <c r="B8" s="7" t="s">
        <v>85</v>
      </c>
      <c r="C8" s="7"/>
      <c r="D8" s="7"/>
      <c r="E8" s="7"/>
      <c r="F8" s="7"/>
      <c r="G8" s="7"/>
    </row>
    <row r="9" customFormat="false" ht="18.75" hidden="false" customHeight="true" outlineLevel="0" collapsed="false">
      <c r="A9" s="9" t="s">
        <v>86</v>
      </c>
      <c r="B9" s="7" t="s">
        <v>87</v>
      </c>
      <c r="C9" s="7"/>
      <c r="D9" s="7"/>
      <c r="E9" s="7"/>
      <c r="F9" s="7"/>
      <c r="G9" s="7"/>
    </row>
    <row r="10" customFormat="false" ht="18.75" hidden="false" customHeight="true" outlineLevel="0" collapsed="false">
      <c r="A10" s="9" t="s">
        <v>88</v>
      </c>
      <c r="B10" s="7" t="s">
        <v>89</v>
      </c>
      <c r="C10" s="7"/>
      <c r="D10" s="7"/>
      <c r="E10" s="7"/>
      <c r="F10" s="7"/>
      <c r="G10" s="7"/>
    </row>
    <row r="11" customFormat="false" ht="18.75" hidden="false" customHeight="true" outlineLevel="0" collapsed="false">
      <c r="A11" s="9" t="s">
        <v>90</v>
      </c>
      <c r="B11" s="7" t="s">
        <v>91</v>
      </c>
      <c r="C11" s="7"/>
      <c r="D11" s="7"/>
      <c r="E11" s="7"/>
      <c r="F11" s="7"/>
      <c r="G11" s="7"/>
    </row>
    <row r="12" customFormat="false" ht="18.75" hidden="false" customHeight="true" outlineLevel="0" collapsed="false">
      <c r="A12" s="9" t="s">
        <v>92</v>
      </c>
      <c r="B12" s="7" t="s">
        <v>93</v>
      </c>
      <c r="C12" s="7"/>
      <c r="D12" s="7"/>
      <c r="E12" s="7"/>
      <c r="F12" s="7"/>
      <c r="G12" s="7"/>
    </row>
    <row r="13" customFormat="false" ht="18.75" hidden="false" customHeight="true" outlineLevel="0" collapsed="false">
      <c r="A13" s="9" t="s">
        <v>94</v>
      </c>
      <c r="B13" s="7" t="s">
        <v>95</v>
      </c>
      <c r="C13" s="7"/>
      <c r="D13" s="7"/>
      <c r="E13" s="7"/>
      <c r="F13" s="7"/>
      <c r="G13" s="7"/>
    </row>
    <row r="14" customFormat="false" ht="18.75" hidden="false" customHeight="true" outlineLevel="0" collapsed="false">
      <c r="A14" s="9" t="s">
        <v>96</v>
      </c>
      <c r="B14" s="7" t="s">
        <v>97</v>
      </c>
      <c r="C14" s="7"/>
      <c r="D14" s="7"/>
      <c r="E14" s="7"/>
      <c r="F14" s="7"/>
      <c r="G14" s="7"/>
    </row>
    <row r="16" customFormat="false" ht="15" hidden="false" customHeight="false" outlineLevel="0" collapsed="false">
      <c r="A16" s="8" t="s">
        <v>36</v>
      </c>
      <c r="B16" s="8"/>
      <c r="C16" s="8"/>
      <c r="D16" s="8"/>
      <c r="E16" s="8"/>
      <c r="F16" s="8" t="s">
        <v>37</v>
      </c>
      <c r="G16" s="8" t="s">
        <v>38</v>
      </c>
    </row>
    <row r="17" customFormat="false" ht="18.75" hidden="false" customHeight="true" outlineLevel="0" collapsed="false">
      <c r="A17" s="7" t="s">
        <v>98</v>
      </c>
      <c r="B17" s="7"/>
      <c r="C17" s="7"/>
      <c r="D17" s="7"/>
      <c r="E17" s="7"/>
      <c r="F17" s="12"/>
      <c r="G17" s="11" t="str">
        <f aca="false">IF(F17="","",IF(ABS(F17-(5))&lt;=0.000000001,"Riktig","Prøv igjen"))</f>
        <v/>
      </c>
    </row>
    <row r="18" customFormat="false" ht="63.75" hidden="false" customHeight="true" outlineLevel="0" collapsed="false">
      <c r="A18" s="7" t="s">
        <v>99</v>
      </c>
      <c r="B18" s="7"/>
      <c r="C18" s="7"/>
      <c r="D18" s="7"/>
      <c r="E18" s="7"/>
      <c r="F18" s="10"/>
      <c r="G18" s="11" t="str">
        <f aca="false">IF(F18="","",IF(UPPER(TRIM(F18))="B","Riktig","Prøv igjen"))</f>
        <v/>
      </c>
    </row>
    <row r="19" customFormat="false" ht="63.75" hidden="false" customHeight="true" outlineLevel="0" collapsed="false">
      <c r="A19" s="7" t="s">
        <v>100</v>
      </c>
      <c r="B19" s="7"/>
      <c r="C19" s="7"/>
      <c r="D19" s="7"/>
      <c r="E19" s="7"/>
      <c r="F19" s="10"/>
      <c r="G19" s="11" t="str">
        <f aca="false">IF(F19="","",IF(UPPER(TRIM(F19))="B","Riktig","Prøv igjen"))</f>
        <v/>
      </c>
    </row>
    <row r="20" customFormat="false" ht="63.75" hidden="false" customHeight="true" outlineLevel="0" collapsed="false">
      <c r="A20" s="7" t="s">
        <v>101</v>
      </c>
      <c r="B20" s="7"/>
      <c r="C20" s="7"/>
      <c r="D20" s="7"/>
      <c r="E20" s="7"/>
      <c r="F20" s="10"/>
      <c r="G20" s="11" t="str">
        <f aca="false">IF(F20="","",IF(UPPER(TRIM(F20))="B","Riktig","Prøv igjen"))</f>
        <v/>
      </c>
    </row>
    <row r="21" customFormat="false" ht="33.75" hidden="false" customHeight="true" outlineLevel="0" collapsed="false">
      <c r="A21" s="7" t="s">
        <v>102</v>
      </c>
      <c r="B21" s="7"/>
      <c r="C21" s="7"/>
      <c r="D21" s="7"/>
      <c r="E21" s="7"/>
    </row>
    <row r="22" customFormat="false" ht="15" hidden="false" customHeight="false" outlineLevel="0" collapsed="false">
      <c r="A22" s="13"/>
      <c r="B22" s="13"/>
      <c r="C22" s="13"/>
      <c r="D22" s="13"/>
      <c r="E22" s="13"/>
      <c r="F22" s="13"/>
      <c r="G22" s="13"/>
    </row>
    <row r="23" customFormat="false" ht="15" hidden="false" customHeight="false" outlineLevel="0" collapsed="false">
      <c r="A23" s="13"/>
      <c r="B23" s="13"/>
      <c r="C23" s="13"/>
      <c r="D23" s="13"/>
      <c r="E23" s="13"/>
      <c r="F23" s="13"/>
      <c r="G23" s="13"/>
    </row>
    <row r="24" customFormat="false" ht="15" hidden="false" customHeight="false" outlineLevel="0" collapsed="false">
      <c r="A24" s="13"/>
      <c r="B24" s="13"/>
      <c r="C24" s="13"/>
      <c r="D24" s="13"/>
      <c r="E24" s="13"/>
      <c r="F24" s="13"/>
      <c r="G24" s="13"/>
    </row>
    <row r="26" customFormat="false" ht="63.75" hidden="false" customHeight="true" outlineLevel="0" collapsed="false">
      <c r="A26" s="6" t="s">
        <v>103</v>
      </c>
      <c r="B26" s="6"/>
      <c r="C26" s="6"/>
      <c r="D26" s="6"/>
      <c r="E26" s="6"/>
      <c r="F26" s="6"/>
      <c r="G26" s="6"/>
    </row>
    <row r="27" customFormat="false" ht="15" hidden="false" customHeight="true" outlineLevel="0" collapsed="false">
      <c r="A27" s="6" t="s">
        <v>51</v>
      </c>
      <c r="B27" s="6"/>
      <c r="C27" s="6"/>
      <c r="D27" s="6"/>
      <c r="E27" s="6"/>
      <c r="F27" s="6"/>
      <c r="G27" s="6"/>
    </row>
  </sheetData>
  <mergeCells count="19">
    <mergeCell ref="A4:G4"/>
    <mergeCell ref="A5:G5"/>
    <mergeCell ref="B7:G7"/>
    <mergeCell ref="B8:G8"/>
    <mergeCell ref="B9:G9"/>
    <mergeCell ref="B10:G10"/>
    <mergeCell ref="B11:G11"/>
    <mergeCell ref="B12:G12"/>
    <mergeCell ref="B13:G13"/>
    <mergeCell ref="B14:G14"/>
    <mergeCell ref="A16:E16"/>
    <mergeCell ref="A17:E17"/>
    <mergeCell ref="A18:E18"/>
    <mergeCell ref="A19:E19"/>
    <mergeCell ref="A20:E20"/>
    <mergeCell ref="A21:E21"/>
    <mergeCell ref="A22:G24"/>
    <mergeCell ref="A26:G26"/>
    <mergeCell ref="A27:G27"/>
  </mergeCells>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G2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5" min="2" style="0" width="16"/>
    <col collapsed="false" customWidth="true" hidden="false" outlineLevel="0" max="6" min="6" style="0" width="18"/>
    <col collapsed="false" customWidth="true" hidden="false" outlineLevel="0" max="7" min="7" style="0" width="14"/>
  </cols>
  <sheetData>
    <row r="1" customFormat="false" ht="17.35" hidden="false" customHeight="false" outlineLevel="0" collapsed="false">
      <c r="A1" s="1" t="s">
        <v>104</v>
      </c>
    </row>
    <row r="2" customFormat="false" ht="15" hidden="false" customHeight="false" outlineLevel="0" collapsed="false">
      <c r="A2" s="2" t="s">
        <v>21</v>
      </c>
    </row>
    <row r="4" customFormat="false" ht="78.75" hidden="false" customHeight="true" outlineLevel="0" collapsed="false">
      <c r="A4" s="6" t="s">
        <v>105</v>
      </c>
      <c r="B4" s="6"/>
      <c r="C4" s="6"/>
      <c r="D4" s="6"/>
      <c r="E4" s="6"/>
      <c r="F4" s="6"/>
      <c r="G4" s="6"/>
    </row>
    <row r="5" customFormat="false" ht="93.75" hidden="false" customHeight="true" outlineLevel="0" collapsed="false">
      <c r="A5" s="7" t="s">
        <v>106</v>
      </c>
      <c r="B5" s="7"/>
      <c r="C5" s="7"/>
      <c r="D5" s="7"/>
      <c r="E5" s="7"/>
      <c r="F5" s="7"/>
      <c r="G5" s="7"/>
    </row>
    <row r="7" customFormat="false" ht="15" hidden="false" customHeight="false" outlineLevel="0" collapsed="false">
      <c r="A7" s="8" t="s">
        <v>24</v>
      </c>
      <c r="B7" s="8" t="s">
        <v>25</v>
      </c>
      <c r="C7" s="8"/>
      <c r="D7" s="8"/>
      <c r="E7" s="8"/>
      <c r="F7" s="8"/>
      <c r="G7" s="8"/>
    </row>
    <row r="8" customFormat="false" ht="33.75" hidden="false" customHeight="true" outlineLevel="0" collapsed="false">
      <c r="A8" s="9" t="s">
        <v>107</v>
      </c>
      <c r="B8" s="7" t="s">
        <v>108</v>
      </c>
      <c r="C8" s="7"/>
      <c r="D8" s="7"/>
      <c r="E8" s="7"/>
      <c r="F8" s="7"/>
      <c r="G8" s="7"/>
    </row>
    <row r="9" customFormat="false" ht="18.75" hidden="false" customHeight="true" outlineLevel="0" collapsed="false">
      <c r="A9" s="9" t="s">
        <v>109</v>
      </c>
      <c r="B9" s="7" t="s">
        <v>110</v>
      </c>
      <c r="C9" s="7"/>
      <c r="D9" s="7"/>
      <c r="E9" s="7"/>
      <c r="F9" s="7"/>
      <c r="G9" s="7"/>
    </row>
    <row r="10" customFormat="false" ht="18.75" hidden="false" customHeight="true" outlineLevel="0" collapsed="false">
      <c r="A10" s="9" t="s">
        <v>111</v>
      </c>
      <c r="B10" s="7" t="s">
        <v>112</v>
      </c>
      <c r="C10" s="7"/>
      <c r="D10" s="7"/>
      <c r="E10" s="7"/>
      <c r="F10" s="7"/>
      <c r="G10" s="7"/>
    </row>
    <row r="11" customFormat="false" ht="18.75" hidden="false" customHeight="true" outlineLevel="0" collapsed="false">
      <c r="A11" s="9" t="s">
        <v>113</v>
      </c>
      <c r="B11" s="7" t="s">
        <v>114</v>
      </c>
      <c r="C11" s="7"/>
      <c r="D11" s="7"/>
      <c r="E11" s="7"/>
      <c r="F11" s="7"/>
      <c r="G11" s="7"/>
    </row>
    <row r="12" customFormat="false" ht="18.75" hidden="false" customHeight="true" outlineLevel="0" collapsed="false">
      <c r="A12" s="9" t="s">
        <v>115</v>
      </c>
      <c r="B12" s="7" t="s">
        <v>116</v>
      </c>
      <c r="C12" s="7"/>
      <c r="D12" s="7"/>
      <c r="E12" s="7"/>
      <c r="F12" s="7"/>
      <c r="G12" s="7"/>
    </row>
    <row r="13" customFormat="false" ht="18.75" hidden="false" customHeight="true" outlineLevel="0" collapsed="false">
      <c r="A13" s="9" t="s">
        <v>117</v>
      </c>
      <c r="B13" s="7" t="s">
        <v>118</v>
      </c>
      <c r="C13" s="7"/>
      <c r="D13" s="7"/>
      <c r="E13" s="7"/>
      <c r="F13" s="7"/>
      <c r="G13" s="7"/>
    </row>
    <row r="15" customFormat="false" ht="15" hidden="false" customHeight="false" outlineLevel="0" collapsed="false">
      <c r="A15" s="8" t="s">
        <v>36</v>
      </c>
      <c r="B15" s="8"/>
      <c r="C15" s="8"/>
      <c r="D15" s="8"/>
      <c r="E15" s="8"/>
      <c r="F15" s="8" t="s">
        <v>37</v>
      </c>
      <c r="G15" s="8" t="s">
        <v>38</v>
      </c>
    </row>
    <row r="16" customFormat="false" ht="48.75" hidden="false" customHeight="true" outlineLevel="0" collapsed="false">
      <c r="A16" s="7" t="s">
        <v>119</v>
      </c>
      <c r="B16" s="7"/>
      <c r="C16" s="7"/>
      <c r="D16" s="7"/>
      <c r="E16" s="7"/>
      <c r="F16" s="10"/>
      <c r="G16" s="11" t="str">
        <f aca="false">IF(F16="","",IF(UPPER(TRIM(F16))="A","Riktig","Prøv igjen"))</f>
        <v/>
      </c>
    </row>
    <row r="17" customFormat="false" ht="33.75" hidden="false" customHeight="true" outlineLevel="0" collapsed="false">
      <c r="A17" s="7" t="s">
        <v>120</v>
      </c>
      <c r="B17" s="7"/>
      <c r="C17" s="7"/>
      <c r="D17" s="7"/>
      <c r="E17" s="7"/>
      <c r="F17" s="12"/>
      <c r="G17" s="11" t="str">
        <f aca="false">IF(F17="","",IF(ABS(F17-(150))&lt;=0.000000001,"Riktig","Prøv igjen"))</f>
        <v/>
      </c>
    </row>
    <row r="18" customFormat="false" ht="33.75" hidden="false" customHeight="true" outlineLevel="0" collapsed="false">
      <c r="A18" s="7" t="s">
        <v>121</v>
      </c>
      <c r="B18" s="7"/>
      <c r="C18" s="7"/>
      <c r="D18" s="7"/>
      <c r="E18" s="7"/>
      <c r="F18" s="12"/>
      <c r="G18" s="11" t="str">
        <f aca="false">IF(F18="","",IF(ABS(F18-(51.4))&lt;=0.1,"Riktig","Prøv igjen"))</f>
        <v/>
      </c>
    </row>
    <row r="19" customFormat="false" ht="78.75" hidden="false" customHeight="true" outlineLevel="0" collapsed="false">
      <c r="A19" s="7" t="s">
        <v>122</v>
      </c>
      <c r="B19" s="7"/>
      <c r="C19" s="7"/>
      <c r="D19" s="7"/>
      <c r="E19" s="7"/>
      <c r="F19" s="10"/>
      <c r="G19" s="11" t="str">
        <f aca="false">IF(F19="","",IF(UPPER(TRIM(F19))="B","Riktig","Prøv igjen"))</f>
        <v/>
      </c>
    </row>
    <row r="20" customFormat="false" ht="33.75" hidden="false" customHeight="true" outlineLevel="0" collapsed="false">
      <c r="A20" s="7" t="s">
        <v>123</v>
      </c>
      <c r="B20" s="7"/>
      <c r="C20" s="7"/>
      <c r="D20" s="7"/>
      <c r="E20" s="7"/>
    </row>
    <row r="21" customFormat="false" ht="15" hidden="false" customHeight="false" outlineLevel="0" collapsed="false">
      <c r="A21" s="13"/>
      <c r="B21" s="13"/>
      <c r="C21" s="13"/>
      <c r="D21" s="13"/>
      <c r="E21" s="13"/>
      <c r="F21" s="13"/>
      <c r="G21" s="13"/>
    </row>
    <row r="22" customFormat="false" ht="15" hidden="false" customHeight="false" outlineLevel="0" collapsed="false">
      <c r="A22" s="13"/>
      <c r="B22" s="13"/>
      <c r="C22" s="13"/>
      <c r="D22" s="13"/>
      <c r="E22" s="13"/>
      <c r="F22" s="13"/>
      <c r="G22" s="13"/>
    </row>
    <row r="23" customFormat="false" ht="15" hidden="false" customHeight="false" outlineLevel="0" collapsed="false">
      <c r="A23" s="13"/>
      <c r="B23" s="13"/>
      <c r="C23" s="13"/>
      <c r="D23" s="13"/>
      <c r="E23" s="13"/>
      <c r="F23" s="13"/>
      <c r="G23" s="13"/>
    </row>
    <row r="25" customFormat="false" ht="63.75" hidden="false" customHeight="true" outlineLevel="0" collapsed="false">
      <c r="A25" s="6" t="s">
        <v>124</v>
      </c>
      <c r="B25" s="6"/>
      <c r="C25" s="6"/>
      <c r="D25" s="6"/>
      <c r="E25" s="6"/>
      <c r="F25" s="6"/>
      <c r="G25" s="6"/>
    </row>
    <row r="26" customFormat="false" ht="15" hidden="false" customHeight="true" outlineLevel="0" collapsed="false">
      <c r="A26" s="6" t="s">
        <v>51</v>
      </c>
      <c r="B26" s="6"/>
      <c r="C26" s="6"/>
      <c r="D26" s="6"/>
      <c r="E26" s="6"/>
      <c r="F26" s="6"/>
      <c r="G26" s="6"/>
    </row>
  </sheetData>
  <mergeCells count="18">
    <mergeCell ref="A4:G4"/>
    <mergeCell ref="A5:G5"/>
    <mergeCell ref="B7:G7"/>
    <mergeCell ref="B8:G8"/>
    <mergeCell ref="B9:G9"/>
    <mergeCell ref="B10:G10"/>
    <mergeCell ref="B11:G11"/>
    <mergeCell ref="B12:G12"/>
    <mergeCell ref="B13:G13"/>
    <mergeCell ref="A15:E15"/>
    <mergeCell ref="A16:E16"/>
    <mergeCell ref="A17:E17"/>
    <mergeCell ref="A18:E18"/>
    <mergeCell ref="A19:E19"/>
    <mergeCell ref="A20:E20"/>
    <mergeCell ref="A21:G23"/>
    <mergeCell ref="A25:G25"/>
    <mergeCell ref="A26:G26"/>
  </mergeCells>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2026-10-11T08:56:27Z</dcterms:created>
  <dc:creator>openpyxl</dc:creator>
  <dc:description/>
  <dc:language>en-US</dc:language>
  <cp:lastModifiedBy/>
  <dcterms:modified xsi:type="dcterms:W3CDTF">2026-10-11T08:56:27Z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