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iledning" sheetId="1" state="visible" r:id="rId1"/>
    <sheet xmlns:r="http://schemas.openxmlformats.org/officeDocument/2006/relationships" name="Nordlys" sheetId="2" state="visible" r:id="rId2"/>
    <sheet xmlns:r="http://schemas.openxmlformats.org/officeDocument/2006/relationships" name="Nøkkeltall" sheetId="3" state="visible" r:id="rId3"/>
    <sheet xmlns:r="http://schemas.openxmlformats.org/officeDocument/2006/relationships" name="Fra kapittel 3" sheetId="4" state="visible" r:id="rId4"/>
    <sheet xmlns:r="http://schemas.openxmlformats.org/officeDocument/2006/relationships" name="Din bedrift" sheetId="5" state="visible" r:id="rId5"/>
    <sheet xmlns:r="http://schemas.openxmlformats.org/officeDocument/2006/relationships" name="Les og tolk" sheetId="6" state="visible" r:id="rId6"/>
    <sheet xmlns:r="http://schemas.openxmlformats.org/officeDocument/2006/relationships" name="Scenario" sheetId="7" state="visible" r:id="rId7"/>
  </sheets>
  <definedNames/>
  <calcPr calcId="124519" fullCalcOnLoad="1"/>
</workbook>
</file>

<file path=xl/styles.xml><?xml version="1.0" encoding="utf-8"?>
<styleSheet xmlns="http://schemas.openxmlformats.org/spreadsheetml/2006/main">
  <numFmts count="2">
    <numFmt numFmtId="164" formatCode="#,##0 &quot;kr&quot;"/>
    <numFmt numFmtId="165" formatCode="0.0%"/>
  </numFmts>
  <fonts count="9">
    <font>
      <name val="Calibri"/>
      <family val="2"/>
      <color theme="1"/>
      <sz val="11"/>
      <scheme val="minor"/>
    </font>
    <font>
      <name val="Arial"/>
      <b val="1"/>
      <color rgb="001F3864"/>
      <sz val="14"/>
    </font>
    <font>
      <name val="Arial"/>
      <i val="1"/>
      <color rgb="00595959"/>
      <sz val="10"/>
    </font>
    <font>
      <name val="Arial"/>
      <b val="1"/>
      <color rgb="001F3864"/>
      <sz val="10"/>
    </font>
    <font>
      <name val="Arial"/>
      <b val="1"/>
      <sz val="10"/>
    </font>
    <font>
      <name val="Arial"/>
      <color rgb="000000FF"/>
      <sz val="10"/>
    </font>
    <font>
      <name val="Arial"/>
      <sz val="10"/>
    </font>
    <font>
      <name val="Arial"/>
      <i val="1"/>
      <color rgb="00595959"/>
      <sz val="9"/>
    </font>
    <font>
      <name val="Arial"/>
      <b val="1"/>
      <color rgb="00FFFFFF"/>
      <sz val="10"/>
    </font>
  </fonts>
  <fills count="6">
    <fill>
      <patternFill/>
    </fill>
    <fill>
      <patternFill patternType="gray125"/>
    </fill>
    <fill>
      <patternFill patternType="solid">
        <fgColor rgb="00FFF2CC"/>
      </patternFill>
    </fill>
    <fill>
      <patternFill patternType="solid">
        <fgColor rgb="00F2F2F2"/>
      </patternFill>
    </fill>
    <fill>
      <patternFill patternType="solid">
        <fgColor rgb="00DCE6F4"/>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7" fillId="0" borderId="0" pivotButton="0" quotePrefix="0" xfId="0"/>
    <xf numFmtId="0" fontId="3" fillId="0" borderId="0" pivotButton="0" quotePrefix="0" xfId="0"/>
    <xf numFmtId="0" fontId="5" fillId="2" borderId="1" pivotButton="0" quotePrefix="0" xfId="0"/>
    <xf numFmtId="0" fontId="6" fillId="0" borderId="0" pivotButton="0" quotePrefix="0" xfId="0"/>
    <xf numFmtId="0" fontId="6" fillId="3" borderId="1" pivotButton="0" quotePrefix="0" xfId="0"/>
    <xf numFmtId="0" fontId="4" fillId="0" borderId="0" pivotButton="0" quotePrefix="0" xfId="0"/>
    <xf numFmtId="0" fontId="8" fillId="5" borderId="0" applyAlignment="1" pivotButton="0" quotePrefix="0" xfId="0">
      <alignment horizontal="center" vertical="center" wrapText="1"/>
    </xf>
    <xf numFmtId="164" fontId="5" fillId="2" borderId="1" pivotButton="0" quotePrefix="0" xfId="0"/>
    <xf numFmtId="164" fontId="6" fillId="3" borderId="1" pivotButton="0" quotePrefix="0" xfId="0"/>
    <xf numFmtId="164" fontId="4" fillId="4" borderId="1" pivotButton="0" quotePrefix="0" xfId="0"/>
    <xf numFmtId="0" fontId="4" fillId="3" borderId="1" pivotButton="0" quotePrefix="0" xfId="0"/>
    <xf numFmtId="165" fontId="4" fillId="4" borderId="1" pivotButton="0" quotePrefix="0" xfId="0"/>
    <xf numFmtId="165" fontId="5" fillId="2" borderId="1" pivotButton="0" quotePrefix="0" xfId="0"/>
    <xf numFmtId="4" fontId="4" fillId="4" borderId="1" pivotButton="0" quotePrefix="0" xfId="0"/>
    <xf numFmtId="4" fontId="5" fillId="2" borderId="1" pivotButton="0" quotePrefix="0" xfId="0"/>
    <xf numFmtId="165" fontId="4" fillId="3" borderId="1" pivotButton="0" quotePrefix="0" xfId="0"/>
    <xf numFmtId="4" fontId="4" fillId="3" borderId="1" pivotButton="0" quotePrefix="0" xfId="0"/>
    <xf numFmtId="164" fontId="4" fillId="3" borderId="1" pivotButton="0" quotePrefix="0" xfId="0"/>
    <xf numFmtId="3" fontId="5" fillId="2" borderId="1" pivotButton="0" quotePrefix="0" xfId="0"/>
    <xf numFmtId="165" fontId="6" fillId="3" borderId="1" pivotButton="0" quotePrefix="0" xfId="0"/>
    <xf numFmtId="4" fontId="6" fillId="3" borderId="1" pivotButton="0" quotePrefix="0" xfId="0"/>
    <xf numFmtId="3" fontId="4" fillId="4" borderId="1" pivotButton="0" quotePrefix="0" xfId="0"/>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6"/>
  <sheetViews>
    <sheetView showGridLines="0" workbookViewId="0">
      <selection activeCell="A1" sqref="A1"/>
    </sheetView>
  </sheetViews>
  <sheetFormatPr baseColWidth="8" defaultRowHeight="15"/>
  <cols>
    <col width="40" customWidth="1" min="1" max="1"/>
    <col width="30" customWidth="1" min="2" max="2"/>
    <col width="64" customWidth="1" min="3" max="3"/>
  </cols>
  <sheetData>
    <row r="1">
      <c r="A1" s="1" t="inlineStr">
        <is>
          <t>Nøkkeltall — regnskapsanalyse</t>
        </is>
      </c>
    </row>
    <row r="2">
      <c r="A2" s="2" t="inlineStr">
        <is>
          <t>LØM Økonomistyring kap. 4 · arbeidsregneark · Fagskolen Oslo, Avdeling Elkraft</t>
        </is>
      </c>
    </row>
    <row r="3">
      <c r="A3" s="3" t="inlineStr">
        <is>
          <t>Emne: Teknisk kommunikasjon og ledelse for 1ET-klassene · LØM for 2ET, 2EK, 3EK og 4EK</t>
        </is>
      </c>
    </row>
    <row r="4">
      <c r="A4" s="4" t="inlineStr">
        <is>
          <t>Fargekode</t>
        </is>
      </c>
    </row>
    <row r="5">
      <c r="A5" s="5" t="inlineStr">
        <is>
          <t>Gul celle med blå skrift</t>
        </is>
      </c>
      <c r="B5" s="6" t="inlineStr">
        <is>
          <t>Inndata — dette er tallene du endrer.</t>
        </is>
      </c>
    </row>
    <row r="6">
      <c r="A6" s="7" t="inlineStr">
        <is>
          <t>Grå eller lyseblå celle, svart skrift</t>
        </is>
      </c>
      <c r="B6" s="6" t="inlineStr">
        <is>
          <t>Formel — regner seg selv. Ikke skriv over den.</t>
        </is>
      </c>
    </row>
    <row r="7">
      <c r="A7" s="7" t="inlineStr">
        <is>
          <t>Mørkeblå rad med hvit skrift</t>
        </is>
      </c>
      <c r="B7" s="6" t="inlineStr">
        <is>
          <t>Kolonneoverskrift.</t>
        </is>
      </c>
    </row>
    <row r="9">
      <c r="A9" s="4" t="inlineStr">
        <is>
          <t>Ark i arbeidsboka</t>
        </is>
      </c>
    </row>
    <row r="10">
      <c r="A10" s="8" t="inlineStr">
        <is>
          <t>Fra kapittel 3</t>
        </is>
      </c>
      <c r="B10" s="6" t="inlineStr">
        <is>
          <t>Broen: de ni tallene kapittel 4 henter fra resultatet og balansen i kapittel 3, og hva som faktisk er nytt her.</t>
        </is>
      </c>
    </row>
    <row r="11">
      <c r="A11" s="8" t="inlineStr">
        <is>
          <t>Nordlys</t>
        </is>
      </c>
      <c r="B11" s="6" t="inlineStr">
        <is>
          <t>Resultat og balanse for Nordlys Elektro AS 2026. Gule celler er postene i regnskapet. Her ligger den ene cellen du styrer alt fra: B5.</t>
        </is>
      </c>
    </row>
    <row r="12">
      <c r="A12" s="8" t="inlineStr">
        <is>
          <t>Nøkkeltall</t>
        </is>
      </c>
      <c r="B12" s="6" t="inlineStr">
        <is>
          <t>De sju nøkkeltallene regnet av Nordlys-arket, med bransjetall og normtall ved siden av. Under dem de fem effektivitetstallene, Du Pont-modellen og de to vanligste regnefeilene.</t>
        </is>
      </c>
    </row>
    <row r="13">
      <c r="A13" s="8" t="inlineStr">
        <is>
          <t>Din bedrift</t>
        </is>
      </c>
      <c r="B13" s="6" t="inlineStr">
        <is>
          <t>Samme oppstilling, tom for deg. Legg inn tallene fra din egen arbeidsplass, så følger alle sju nøkkeltallene med.</t>
        </is>
      </c>
    </row>
    <row r="14">
      <c r="A14" s="8" t="inlineStr">
        <is>
          <t>Les og tolk</t>
        </is>
      </c>
      <c r="B14" s="6" t="inlineStr">
        <is>
          <t>To bedrifter side ved side. Her regner du ingenting — du skal vurdere.</t>
        </is>
      </c>
    </row>
    <row r="15">
      <c r="A15" s="8" t="inlineStr">
        <is>
          <t>Scenario</t>
        </is>
      </c>
      <c r="B15" s="6" t="inlineStr">
        <is>
          <t>Tre spørsmål: hva et utbytte gjør med nøkkeltallene, hva som skjer når renta stiger, og hvilken av to bedrifter til salgs du ville kjøpt.</t>
        </is>
      </c>
    </row>
    <row r="17">
      <c r="A17" s="3" t="inlineStr">
        <is>
          <t>De sju nøkkeltallene du skal kunne: driftsmargin, totalkapitalrentabilitet,</t>
        </is>
      </c>
    </row>
    <row r="18">
      <c r="A18" s="3" t="inlineStr">
        <is>
          <t>egenkapitalrentabilitet, likviditetsgrad 1 og 2, egenkapitalandel og gjeldsgrad.</t>
        </is>
      </c>
    </row>
    <row r="19">
      <c r="A19" s="3" t="inlineStr">
        <is>
          <t>Egenkapitalrentabiliteten regnes av ordinært resultat før skatt, ikke av årsresultatet.</t>
        </is>
      </c>
    </row>
    <row r="20">
      <c r="A20" s="3" t="inlineStr">
        <is>
          <t>Rentabilitet regnes av GJENNOMSNITTLIG kapital, og krever derfor fjorårets balanse.</t>
        </is>
      </c>
    </row>
    <row r="21">
      <c r="A21" s="3" t="inlineStr">
        <is>
          <t>Effektivitetstallene sier hvor LENGE pengene står bundet: kredittid kunder og</t>
        </is>
      </c>
    </row>
    <row r="22">
      <c r="A22" s="3" t="inlineStr">
        <is>
          <t>leverandører, lagringstid, varelagerets og kapitalens omløpshastighet.</t>
        </is>
      </c>
    </row>
    <row r="23">
      <c r="A23" s="3" t="inlineStr">
        <is>
          <t>Du Pont: totalkapitalrentabilitet = resultatgrad × kapitalens omløpshastighet.</t>
        </is>
      </c>
    </row>
    <row r="25">
      <c r="A25" s="3" t="inlineStr">
        <is>
          <t>Tallene som ligger inne er et eksempel fra en elektrobedrift. Bytt dem ut med dine egne — alle formler følger med.</t>
        </is>
      </c>
    </row>
    <row r="26">
      <c r="A26" s="3" t="inlineStr">
        <is>
          <t>Arbeidsregneark til LØM · Fagskolen Oslo, Avdeling Elkraft. Regnearket er øvingsstøtte, ikke et regnskapssystem.</t>
        </is>
      </c>
    </row>
    <row r="28">
      <c r="A28" s="4" t="inlineStr">
        <is>
          <t>Den ene knappen</t>
        </is>
      </c>
    </row>
    <row r="29">
      <c r="A29" s="6" t="inlineStr">
        <is>
          <t>Nordlys!B5</t>
        </is>
      </c>
      <c r="B29" s="6" t="inlineStr">
        <is>
          <t>Salgsinntekt 2026</t>
        </is>
      </c>
      <c r="C29" s="6" t="inlineStr">
        <is>
          <t>Endrer du denne cellen, følger alle sju nøkkeltallene og alle tre scenarioene med.</t>
        </is>
      </c>
    </row>
    <row r="31">
      <c r="A31" s="4" t="inlineStr">
        <is>
          <t>Koblingen til kapittel 3</t>
        </is>
      </c>
    </row>
    <row r="32">
      <c r="A32" s="6" t="inlineStr">
        <is>
          <t>LOM_Ovingsark_Okonomistyring_kap03_Resultat_og_balanse_NY.xlsx</t>
        </is>
      </c>
      <c r="B32" s="6" t="inlineStr">
        <is>
          <t>Regnearket til kapittel 3</t>
        </is>
      </c>
      <c r="C32" s="6" t="inlineStr">
        <is>
          <t>Nøkkeltallene her er ikke nye opplysninger. De er det samme resultatet og den samme balansen, satt opp mot hverandre. Arket «Fra kapittel 3» viser hvilke ni tall som kommer derfra, og hva som faktisk er nytt.</t>
        </is>
      </c>
    </row>
    <row r="34">
      <c r="A34" s="4" t="inlineStr">
        <is>
          <t>Hvilken oppgave bruker hvilket ark</t>
        </is>
      </c>
    </row>
    <row r="35" ht="28" customHeight="1">
      <c r="A35" s="9" t="inlineStr">
        <is>
          <t>Oppgave i øvingsheftet</t>
        </is>
      </c>
      <c r="B35" s="9" t="inlineStr">
        <is>
          <t>Ark</t>
        </is>
      </c>
      <c r="C35" s="9" t="inlineStr">
        <is>
          <t>Celler du endrer og leser av</t>
        </is>
      </c>
    </row>
    <row r="36">
      <c r="A36" s="6" t="inlineStr">
        <is>
          <t>A1 · Banken har ti minutter</t>
        </is>
      </c>
      <c r="B36" s="8" t="inlineStr">
        <is>
          <t>Nøkkeltall</t>
        </is>
      </c>
      <c r="C36" s="6" t="inlineStr">
        <is>
          <t>Les av kolonne C, D og E i radene 6 til 12.</t>
        </is>
      </c>
    </row>
    <row r="37">
      <c r="A37" s="6" t="inlineStr">
        <is>
          <t>A2 · Eierne får tre ganger så mye</t>
        </is>
      </c>
      <c r="B37" s="8" t="inlineStr">
        <is>
          <t>Nøkkeltall, Scenario</t>
        </is>
      </c>
      <c r="C37" s="6" t="inlineStr">
        <is>
          <t>Les av C7, C8, C15, C16 og C17. Scenario B lar deg sette renta opp i B35.</t>
        </is>
      </c>
    </row>
    <row r="38">
      <c r="A38" s="6" t="inlineStr">
        <is>
          <t>A3 · Klasseoppgave: kredittutvalget velger</t>
        </is>
      </c>
      <c r="B38" s="8" t="inlineStr">
        <is>
          <t>Les og tolk</t>
        </is>
      </c>
      <c r="C38" s="6" t="inlineStr">
        <is>
          <t>Søker B ligger som gule celler i C10 til C15. Kolonne E viser hvem som er høyest, og opptellingen står under tabellen.</t>
        </is>
      </c>
    </row>
    <row r="39">
      <c r="A39" s="6" t="inlineStr">
        <is>
          <t>1 · De fire lønnsomhetstallene</t>
        </is>
      </c>
      <c r="B39" s="8" t="inlineStr">
        <is>
          <t>Nordlys, Nøkkeltall</t>
        </is>
      </c>
      <c r="C39" s="6" t="inlineStr">
        <is>
          <t>Endre B5 til B18 i «Nordlys». Les av C6 i «Nøkkeltall», og avansen i C19.</t>
        </is>
      </c>
    </row>
    <row r="40">
      <c r="A40" s="6" t="inlineStr">
        <is>
          <t>2 · Kapitalavkastningen</t>
        </is>
      </c>
      <c r="B40" s="8" t="inlineStr">
        <is>
          <t>Nordlys, Nøkkeltall</t>
        </is>
      </c>
      <c r="C40" s="6" t="inlineStr">
        <is>
          <t>Se hvordan gjennomsnittstallene kommer fram i «Nordlys» radene 45 til 51. Les av C7, C8 og C15 i «Nøkkeltall», og de to regnefeilene i C47 og C48. Du Pont-blokka i radene 38 til 44 viser hvorfor TKR er som den er.</t>
        </is>
      </c>
    </row>
    <row r="41">
      <c r="A41" s="6" t="inlineStr">
        <is>
          <t>3 · Betalingsevne og soliditet</t>
        </is>
      </c>
      <c r="B41" s="8" t="inlineStr">
        <is>
          <t>Nordlys, Nøkkeltall</t>
        </is>
      </c>
      <c r="C41" s="6" t="inlineStr">
        <is>
          <t>Endre balansen i «Nordlys» B22 til B39. Les av C9, C10, C11, C12 og C18 i «Nøkkeltall». Deloppgave e) prøver du ved å flytte beløp fra B36 til B35. Effektivitetstallene i radene 27 til 35 viser hvor lenge pengene står bundet.</t>
        </is>
      </c>
    </row>
    <row r="42">
      <c r="A42" s="6" t="inlineStr">
        <is>
          <t>4 · Medeieren vil ha utbytte</t>
        </is>
      </c>
      <c r="B42" s="8" t="inlineStr">
        <is>
          <t>Scenario</t>
        </is>
      </c>
      <c r="C42" s="6" t="inlineStr">
        <is>
          <t>Scenario A: legg utbyttet i B7 og les av kolonne B og C i radene 10 til 19.</t>
        </is>
      </c>
    </row>
    <row r="43">
      <c r="A43" s="6" t="inlineStr">
        <is>
          <t>5 · Eksamensnær: hvilken ville du kjøpt?</t>
        </is>
      </c>
      <c r="B43" s="8" t="inlineStr">
        <is>
          <t>Scenario</t>
        </is>
      </c>
      <c r="C43" s="6" t="inlineStr">
        <is>
          <t>Scenario C: endre B53 til B60 og C53 til C60. Les av radene 63 til 77 — særlig B74 og C74, og B75, C75 og B77.</t>
        </is>
      </c>
    </row>
    <row r="45">
      <c r="A45" s="4" t="inlineStr">
        <is>
          <t>Kontrollradene</t>
        </is>
      </c>
    </row>
    <row r="46">
      <c r="A46" s="6" t="inlineStr">
        <is>
          <t>Hvert regneark har en kontrollblokk. Står det OK, henger tallene sammen. Står det AVVIK, farges cellen rød, og teksten sier hva som ikke går opp.</t>
        </is>
      </c>
    </row>
    <row r="47">
      <c r="A47" s="6" t="inlineStr">
        <is>
          <t>Fem unntak: kontrollen på egenkapitalandelen i arket «Nøkkeltall», den første i «Les og tolk», de to første i scenario A og den første i scenario C skal vise AVVIK med tallene som ligger inne. Der er avviket selve svaret — Nordlys ligger under bransjen, søker B ser mest lønnsom ut, et utbytte gjør bedriften svakere samtidig som ett nøkkeltall ser bedre ut, og de to bedriftene til salgs koster praktisk talt det samme.</t>
        </is>
      </c>
    </row>
    <row r="48">
      <c r="A48" s="3" t="inlineStr">
        <is>
          <t>Kontroller i arbeidsboka: Nordlys B43, Nordlys B54, Nordlys B55, Nøkkeltall B51, Nøkkeltall B52, Nøkkeltall B53, Nøkkeltall B54, Nøkkeltall B55, Nøkkeltall B56, Nøkkeltall B58, Fra kapittel 3 B33, Fra kapittel 3 B34, Din bedrift B49, Din bedrift B50, Les og tolk B24, Les og tolk B26, Les og tolk B27, Scenario B22, Scenario B24, Scenario B26, Scenario B44, Scenario B45, Scenario B80, Scenario B82, Scenario B83</t>
        </is>
      </c>
    </row>
    <row r="50">
      <c r="A50" s="4" t="inlineStr">
        <is>
          <t>Slik henger kapitlet sammen med resten</t>
        </is>
      </c>
    </row>
    <row r="51">
      <c r="A51" s="6" t="inlineStr">
        <is>
          <t>Balansen nøkkeltallene regnes av, er den samme som settes opp i kapittel 3. Egenkapitalandelen er den samme aksjekapitalen Kari og Tom skjøt inn i 2019, kapittel 1, pluss det bedriften har tjent siden. Og driftsmarginen er resultatet av kostnadsdelingen i kapittel 2 og timeprisen i kapittel 5.</t>
        </is>
      </c>
    </row>
    <row r="53">
      <c r="A53" s="4" t="inlineStr">
        <is>
          <t>Kilder</t>
        </is>
      </c>
    </row>
    <row r="54">
      <c r="A54" s="3" t="inlineStr">
        <is>
          <t>Hjertnes, J. og Skorpen, K.: Økonomistyring for LØM-emnet (ISBN 978-82-450-5544-3), kapittel 4 «Regnskapsanalyse», avsnitt 4.1 til 4.2.4 og tabell 4.2.</t>
        </is>
      </c>
    </row>
    <row r="55">
      <c r="A55" s="3" t="inlineStr">
        <is>
          <t>Bransjetall: NHO Elektro, Lønnsomhetsrapport 2025, gjengitt i Elektro 24-7 19.08.2026 (hentet 10.09.2026). De 809 er bedriftene i datagrunnlaget, ikke bransjen. NHO Elektro oppgir ikke svarprosent.</t>
        </is>
      </c>
    </row>
    <row r="56">
      <c r="A56" s="3" t="inlineStr">
        <is>
          <t>Nordlys Elektro AS er en konstruert casebedrift. Tallene henger sammen på tvers av alle ti kapitlene i Økonomistyring for LØM-emnet. Bedriftene i «Les og tolk» og i scenario C er konstruert for øvingene.</t>
        </is>
      </c>
    </row>
  </sheetData>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57"/>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3" customWidth="1" min="3" max="3"/>
    <col width="56" customWidth="1" min="4" max="4"/>
  </cols>
  <sheetData>
    <row r="1">
      <c r="A1" s="1" t="inlineStr">
        <is>
          <t>Nordlys Elektro AS — resultat og balanse 2026</t>
        </is>
      </c>
    </row>
    <row r="2">
      <c r="A2" s="2" t="inlineStr">
        <is>
          <t>Gule celler er postene fra regnskapet. Alt annet regner seg selv.</t>
        </is>
      </c>
    </row>
    <row r="4">
      <c r="A4" s="4" t="inlineStr">
        <is>
          <t>1 · Resultatregnskap 2026</t>
        </is>
      </c>
    </row>
    <row r="5">
      <c r="A5" s="8" t="inlineStr">
        <is>
          <t>SALGSINNTEKT — den ene knappen</t>
        </is>
      </c>
      <c r="B5" s="10" t="n">
        <v>22400000</v>
      </c>
      <c r="D5" s="6" t="inlineStr">
        <is>
          <t>Dette er cellen du endrer. Alle sju nøkkeltallene og alle tre scenarioene henter herfra.</t>
        </is>
      </c>
    </row>
    <row r="6">
      <c r="A6" s="6" t="inlineStr">
        <is>
          <t>Varekostnad materiell</t>
        </is>
      </c>
      <c r="B6" s="10" t="n">
        <v>7990000</v>
      </c>
    </row>
    <row r="7">
      <c r="A7" s="6" t="inlineStr">
        <is>
          <t>Varekostnad innleide montører</t>
        </is>
      </c>
      <c r="B7" s="10" t="n">
        <v>400000</v>
      </c>
    </row>
    <row r="8">
      <c r="A8" s="6" t="inlineStr">
        <is>
          <t>Sum varekostnad</t>
        </is>
      </c>
      <c r="B8" s="11">
        <f>B6+B7</f>
        <v/>
      </c>
      <c r="D8" s="6" t="inlineStr">
        <is>
          <t>Materiell og innleid hjelp.</t>
        </is>
      </c>
    </row>
    <row r="9">
      <c r="A9" s="8" t="inlineStr">
        <is>
          <t>= Bruttofortjeneste</t>
        </is>
      </c>
      <c r="B9" s="12">
        <f>B5-B8</f>
        <v/>
      </c>
      <c r="D9" s="6" t="inlineStr">
        <is>
          <t>Det som er igjen før dine egne folk og alle regningene.</t>
        </is>
      </c>
    </row>
    <row r="10">
      <c r="A10" s="6" t="inlineStr">
        <is>
          <t>Lønnskostnad</t>
        </is>
      </c>
      <c r="B10" s="10" t="n">
        <v>10660000</v>
      </c>
    </row>
    <row r="11">
      <c r="A11" s="6" t="inlineStr">
        <is>
          <t>Avskrivninger</t>
        </is>
      </c>
      <c r="B11" s="10" t="n">
        <v>620000</v>
      </c>
    </row>
    <row r="12">
      <c r="A12" s="6" t="inlineStr">
        <is>
          <t>Andre driftskostnader</t>
        </is>
      </c>
      <c r="B12" s="10" t="n">
        <v>1386000</v>
      </c>
    </row>
    <row r="13">
      <c r="A13" s="6" t="inlineStr">
        <is>
          <t>Sum driftskostnader</t>
        </is>
      </c>
      <c r="B13" s="11">
        <f>B8+B10+B11+B12</f>
        <v/>
      </c>
    </row>
    <row r="14">
      <c r="A14" s="8" t="inlineStr">
        <is>
          <t>= Driftsresultat</t>
        </is>
      </c>
      <c r="B14" s="12">
        <f>B5-B13</f>
        <v/>
      </c>
      <c r="D14" s="6" t="inlineStr">
        <is>
          <t>Telleren i driftsmarginen.</t>
        </is>
      </c>
    </row>
    <row r="15">
      <c r="A15" s="6" t="inlineStr">
        <is>
          <t>Renteinntekter</t>
        </is>
      </c>
      <c r="B15" s="10" t="n">
        <v>56000</v>
      </c>
    </row>
    <row r="16">
      <c r="A16" s="6" t="inlineStr">
        <is>
          <t>Rentekostnader</t>
        </is>
      </c>
      <c r="B16" s="10" t="n">
        <v>210000</v>
      </c>
      <c r="D16" s="6" t="inlineStr">
        <is>
          <t>Legges tilbake i totalkapitalrentabiliteten — det er långivernes del.</t>
        </is>
      </c>
    </row>
    <row r="17">
      <c r="A17" s="8" t="inlineStr">
        <is>
          <t>= Ordinært resultat før skatt</t>
        </is>
      </c>
      <c r="B17" s="12">
        <f>B14+B15-B16</f>
        <v/>
      </c>
      <c r="D17" s="6" t="inlineStr">
        <is>
          <t>Dette tallet brukes i både TKR og EKR.</t>
        </is>
      </c>
    </row>
    <row r="18">
      <c r="A18" s="6" t="inlineStr">
        <is>
          <t>Skattekostnad</t>
        </is>
      </c>
      <c r="B18" s="10" t="n">
        <v>262000</v>
      </c>
    </row>
    <row r="19">
      <c r="A19" s="8" t="inlineStr">
        <is>
          <t>= Årsresultat</t>
        </is>
      </c>
      <c r="B19" s="12">
        <f>B17-B18</f>
        <v/>
      </c>
      <c r="D19" s="6" t="inlineStr">
        <is>
          <t>Brukes IKKE i egenkapitalrentabiliteten.</t>
        </is>
      </c>
    </row>
    <row r="21">
      <c r="A21" s="4" t="inlineStr">
        <is>
          <t>2 · Balanse pr. 31.12.2026 — eiendeler</t>
        </is>
      </c>
    </row>
    <row r="22">
      <c r="A22" s="6" t="inlineStr">
        <is>
          <t>Maskiner og verktøy</t>
        </is>
      </c>
      <c r="B22" s="10" t="n">
        <v>1200000</v>
      </c>
    </row>
    <row r="23">
      <c r="A23" s="6" t="inlineStr">
        <is>
          <t>Biler</t>
        </is>
      </c>
      <c r="B23" s="10" t="n">
        <v>2400000</v>
      </c>
    </row>
    <row r="24">
      <c r="A24" s="6" t="inlineStr">
        <is>
          <t>Sum anleggsmidler</t>
        </is>
      </c>
      <c r="B24" s="11">
        <f>B22+B23</f>
        <v/>
      </c>
    </row>
    <row r="25">
      <c r="A25" s="6" t="inlineStr">
        <is>
          <t>Varelager</t>
        </is>
      </c>
      <c r="B25" s="10" t="n">
        <v>1400000</v>
      </c>
      <c r="D25" s="6" t="inlineStr">
        <is>
          <t>Det minst likvide omløpsmiddelet — trekkes ut i likviditetsgrad 2.</t>
        </is>
      </c>
    </row>
    <row r="26">
      <c r="A26" s="6" t="inlineStr">
        <is>
          <t>Kundefordringer</t>
        </is>
      </c>
      <c r="B26" s="10" t="n">
        <v>4200000</v>
      </c>
      <c r="D26" s="6" t="inlineStr">
        <is>
          <t>Penger som er fakturert, men ikke kommet inn.</t>
        </is>
      </c>
    </row>
    <row r="27">
      <c r="A27" s="6" t="inlineStr">
        <is>
          <t>Bankinnskudd</t>
        </is>
      </c>
      <c r="B27" s="10" t="n">
        <v>1000000</v>
      </c>
    </row>
    <row r="28">
      <c r="A28" s="8" t="inlineStr">
        <is>
          <t>= Sum omløpsmidler</t>
        </is>
      </c>
      <c r="B28" s="12">
        <f>B25+B26+B27</f>
        <v/>
      </c>
    </row>
    <row r="29">
      <c r="A29" s="8" t="inlineStr">
        <is>
          <t>= Sum eiendeler (totalkapital)</t>
        </is>
      </c>
      <c r="B29" s="12">
        <f>B24+B28</f>
        <v/>
      </c>
    </row>
    <row r="31">
      <c r="A31" s="4" t="inlineStr">
        <is>
          <t>3 · Balanse pr. 31.12.2026 — egenkapital og gjeld</t>
        </is>
      </c>
    </row>
    <row r="32">
      <c r="A32" s="6" t="inlineStr">
        <is>
          <t>Aksjekapital</t>
        </is>
      </c>
      <c r="B32" s="10" t="n">
        <v>300000</v>
      </c>
    </row>
    <row r="33">
      <c r="A33" s="6" t="inlineStr">
        <is>
          <t>Annen egenkapital</t>
        </is>
      </c>
      <c r="B33" s="10" t="n">
        <v>2610000</v>
      </c>
    </row>
    <row r="34">
      <c r="A34" s="8" t="inlineStr">
        <is>
          <t>= Sum egenkapital</t>
        </is>
      </c>
      <c r="B34" s="12">
        <f>B32+B33</f>
        <v/>
      </c>
    </row>
    <row r="35">
      <c r="A35" s="6" t="inlineStr">
        <is>
          <t>Banklån (langsiktig gjeld)</t>
        </is>
      </c>
      <c r="B35" s="10" t="n">
        <v>2800000</v>
      </c>
    </row>
    <row r="36">
      <c r="A36" s="6" t="inlineStr">
        <is>
          <t>Leverandørgjeld</t>
        </is>
      </c>
      <c r="B36" s="10" t="n">
        <v>2100000</v>
      </c>
    </row>
    <row r="37">
      <c r="A37" s="6" t="inlineStr">
        <is>
          <t>Skyldige offentlige avgifter</t>
        </is>
      </c>
      <c r="B37" s="10" t="n">
        <v>1200000</v>
      </c>
      <c r="D37" s="6" t="inlineStr">
        <is>
          <t>Forskuddstrekk, arbeidsgiveravgift og merverdiavgift. Faste forfallsdatoer.</t>
        </is>
      </c>
    </row>
    <row r="38">
      <c r="A38" s="6" t="inlineStr">
        <is>
          <t>Skyldige feriepenger</t>
        </is>
      </c>
      <c r="B38" s="10" t="n">
        <v>890000</v>
      </c>
    </row>
    <row r="39">
      <c r="A39" s="6" t="inlineStr">
        <is>
          <t>Kassekreditt</t>
        </is>
      </c>
      <c r="B39" s="10" t="n">
        <v>300000</v>
      </c>
    </row>
    <row r="40">
      <c r="A40" s="8" t="inlineStr">
        <is>
          <t>= Sum kortsiktig gjeld</t>
        </is>
      </c>
      <c r="B40" s="12">
        <f>B36+B37+B38+B39</f>
        <v/>
      </c>
    </row>
    <row r="41">
      <c r="A41" s="6" t="inlineStr">
        <is>
          <t>Sum gjeld</t>
        </is>
      </c>
      <c r="B41" s="11">
        <f>B35+B40</f>
        <v/>
      </c>
    </row>
    <row r="42">
      <c r="A42" s="8" t="inlineStr">
        <is>
          <t>= Sum egenkapital og gjeld</t>
        </is>
      </c>
      <c r="B42" s="12">
        <f>B34+B41</f>
        <v/>
      </c>
    </row>
    <row r="43">
      <c r="A43" s="6" t="inlineStr">
        <is>
          <t>Balanserer den?</t>
        </is>
      </c>
      <c r="B43" s="13">
        <f>IF(B42=B29,"OK — de to sidene er like store","AVVIK: balansen går ikke opp")</f>
        <v/>
      </c>
    </row>
    <row r="45">
      <c r="A45" s="4" t="inlineStr">
        <is>
          <t>4 · Inngående verdier 01.01.2026</t>
        </is>
      </c>
    </row>
    <row r="46">
      <c r="A46" s="6" t="inlineStr">
        <is>
          <t>Totalkapital ved årets begynnelse</t>
        </is>
      </c>
      <c r="B46" s="10" t="n">
        <v>9400000</v>
      </c>
      <c r="D46" s="6" t="inlineStr">
        <is>
          <t>Hentes fra fjorårets balanse.</t>
        </is>
      </c>
    </row>
    <row r="47">
      <c r="A47" s="6" t="inlineStr">
        <is>
          <t>Egenkapital ved årets begynnelse</t>
        </is>
      </c>
      <c r="B47" s="11">
        <f>B34-B19</f>
        <v/>
      </c>
      <c r="D47" s="6" t="inlineStr">
        <is>
          <t>Årets overskudd er lagt til egenkapitalen, så vi trekker det fra igjen.</t>
        </is>
      </c>
    </row>
    <row r="48">
      <c r="A48" s="6" t="inlineStr">
        <is>
          <t>Gjeld ved årets begynnelse</t>
        </is>
      </c>
      <c r="B48" s="11">
        <f>B46-B47</f>
        <v/>
      </c>
    </row>
    <row r="49">
      <c r="A49" s="8" t="inlineStr">
        <is>
          <t>= Gjennomsnittlig totalkapital</t>
        </is>
      </c>
      <c r="B49" s="12">
        <f>(B46+B29)/2</f>
        <v/>
      </c>
      <c r="D49" s="6" t="inlineStr">
        <is>
          <t>Rentabilitetstall regnes av gjennomsnittet gjennom året,</t>
        </is>
      </c>
    </row>
    <row r="50">
      <c r="A50" s="8" t="inlineStr">
        <is>
          <t>= Gjennomsnittlig egenkapital</t>
        </is>
      </c>
      <c r="B50" s="12">
        <f>(B47+B34)/2</f>
        <v/>
      </c>
      <c r="D50" s="6" t="inlineStr">
        <is>
          <t>ikke av tallet på én enkelt dag.</t>
        </is>
      </c>
    </row>
    <row r="51">
      <c r="A51" s="8" t="inlineStr">
        <is>
          <t>= Gjennomsnittlig gjeld</t>
        </is>
      </c>
      <c r="B51" s="12">
        <f>(B48+B41)/2</f>
        <v/>
      </c>
    </row>
    <row r="53">
      <c r="A53" s="4" t="inlineStr">
        <is>
          <t>Kontroll</t>
        </is>
      </c>
    </row>
    <row r="54">
      <c r="A54" s="6" t="inlineStr">
        <is>
          <t>Går snittene opp mot hverandre?</t>
        </is>
      </c>
      <c r="B54" s="13">
        <f>IF(ABS(B50+B51-B49)&lt;1,"OK — gjennomsnittlig egenkapital pluss gjennomsnittlig gjeld er lik gjennomsnittlig totalkapital","AVVIK: snittene henger ikke sammen")</f>
        <v/>
      </c>
    </row>
    <row r="55">
      <c r="A55" s="6" t="inlineStr">
        <is>
          <t>Er egenkapitalen ved årets begynnelse positiv?</t>
        </is>
      </c>
      <c r="B55" s="13">
        <f>IF(B47&gt;0,"OK — bedriften hadde egenkapital også ved inngangen til året","AVVIK: negativ inngående egenkapital gjør egenkapitalrentabiliteten meningsløs")</f>
        <v/>
      </c>
    </row>
    <row r="57">
      <c r="A57" s="3" t="inlineStr">
        <is>
          <t>Kilde: Økonomistyring for LØM-emnet, kap. 3 og 4. Nordlys Elektro AS er en konstruert casebedrift som brukes i hele Økonomistyring. Dette er nøyaktig det samme resultatet og den samme balansen som i LOM_Ovingsark_Okonomistyring_kap03_Resultat_og_balanse_NY.xlsx.</t>
        </is>
      </c>
    </row>
  </sheetData>
  <conditionalFormatting sqref="B43">
    <cfRule type="expression" priority="1" dxfId="0" stopIfTrue="0">
      <formula>LEFT(B43,5)="AVVIK"</formula>
    </cfRule>
  </conditionalFormatting>
  <conditionalFormatting sqref="B54">
    <cfRule type="expression" priority="2" dxfId="0" stopIfTrue="0">
      <formula>LEFT(B54,5)="AVVIK"</formula>
    </cfRule>
  </conditionalFormatting>
  <conditionalFormatting sqref="B55">
    <cfRule type="expression" priority="3" dxfId="0" stopIfTrue="0">
      <formula>LEFT(B55,5)="AVVIK"</formula>
    </cfRule>
  </conditionalFormatting>
  <printOptions horizontalCentered="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64"/>
  <sheetViews>
    <sheetView showGridLines="0" workbookViewId="0">
      <pane ySplit="5" topLeftCell="A6" activePane="bottomLeft" state="frozen"/>
      <selection pane="bottomLeft" activeCell="A1" sqref="A1"/>
    </sheetView>
  </sheetViews>
  <sheetFormatPr baseColWidth="8" defaultRowHeight="15"/>
  <cols>
    <col width="28" customWidth="1" min="1" max="1"/>
    <col width="52" customWidth="1" min="2" max="2"/>
    <col width="15" customWidth="1" min="3" max="3"/>
    <col width="18" customWidth="1" min="4" max="4"/>
    <col width="20" customWidth="1" min="5" max="5"/>
    <col width="52" customWidth="1" min="6" max="6"/>
  </cols>
  <sheetData>
    <row r="1">
      <c r="A1" s="1" t="inlineStr">
        <is>
          <t>De sju nøkkeltallene for Nordlys Elektro AS</t>
        </is>
      </c>
    </row>
    <row r="2">
      <c r="A2" s="2" t="inlineStr">
        <is>
          <t>Alle tall er formler mot arket «Nordlys». Endrer du en post der, endrer nøkkeltallet seg her.</t>
        </is>
      </c>
    </row>
    <row r="4">
      <c r="A4" s="4" t="inlineStr">
        <is>
          <t>1 · De sju</t>
        </is>
      </c>
    </row>
    <row r="5" ht="28" customHeight="1">
      <c r="A5" s="9" t="inlineStr">
        <is>
          <t>Nøkkeltall</t>
        </is>
      </c>
      <c r="B5" s="9" t="inlineStr">
        <is>
          <t>Slik regnes det</t>
        </is>
      </c>
      <c r="C5" s="9" t="inlineStr">
        <is>
          <t>Verdi</t>
        </is>
      </c>
      <c r="D5" s="9" t="inlineStr">
        <is>
          <t>Bransje eller norm</t>
        </is>
      </c>
      <c r="E5" s="9" t="inlineStr">
        <is>
          <t>Vurdering</t>
        </is>
      </c>
      <c r="F5" s="9" t="inlineStr">
        <is>
          <t>Hva det måler</t>
        </is>
      </c>
    </row>
    <row r="6">
      <c r="A6" s="6" t="inlineStr">
        <is>
          <t>Driftsmargin</t>
        </is>
      </c>
      <c r="B6" s="6" t="inlineStr">
        <is>
          <t>Driftsresultat / salgsinntekt</t>
        </is>
      </c>
      <c r="C6" s="14">
        <f>Nordlys!B14/Nordlys!B5</f>
        <v/>
      </c>
      <c r="D6" s="15" t="n">
        <v>0.075</v>
      </c>
      <c r="E6" s="7">
        <f>IF(C6&gt;=D6,"Over normen","Under normen")</f>
        <v/>
      </c>
      <c r="F6" s="6" t="inlineStr">
        <is>
          <t>Hvor mye av hver fakturerte krone som blir igjen etter at hele driften er betalt.</t>
        </is>
      </c>
    </row>
    <row r="7">
      <c r="A7" s="6" t="inlineStr">
        <is>
          <t>Totalkapitalrentabilitet</t>
        </is>
      </c>
      <c r="B7" s="6" t="inlineStr">
        <is>
          <t>(Ord. resultat før skatt + rentekostnader) / gj.sn. totalkapital</t>
        </is>
      </c>
      <c r="C7" s="14">
        <f>(Nordlys!B17+Nordlys!B16)/Nordlys!B49</f>
        <v/>
      </c>
      <c r="D7" s="15" t="n">
        <v>0.146</v>
      </c>
      <c r="E7" s="7">
        <f>IF(C7&gt;=D7,"Over normen","Under normen")</f>
        <v/>
      </c>
      <c r="F7" s="6" t="inlineStr">
        <is>
          <t>Avkastningen på hele kapitalen, uansett hvem som har skutt den inn.</t>
        </is>
      </c>
    </row>
    <row r="8">
      <c r="A8" s="6" t="inlineStr">
        <is>
          <t>Egenkapitalrentabilitet</t>
        </is>
      </c>
      <c r="B8" s="6" t="inlineStr">
        <is>
          <t>Ordinært resultat før skatt / gj.sn. egenkapital</t>
        </is>
      </c>
      <c r="C8" s="14">
        <f>Nordlys!B17/Nordlys!B50</f>
        <v/>
      </c>
      <c r="D8" s="15" t="n">
        <v>0.2</v>
      </c>
      <c r="E8" s="7">
        <f>IF(C8&gt;=D8,"Over normen","Under normen")</f>
        <v/>
      </c>
      <c r="F8" s="6" t="inlineStr">
        <is>
          <t>Avkastningen på eiernes egne penger.</t>
        </is>
      </c>
    </row>
    <row r="9">
      <c r="A9" s="6" t="inlineStr">
        <is>
          <t>Likviditetsgrad 1</t>
        </is>
      </c>
      <c r="B9" s="6" t="inlineStr">
        <is>
          <t>Omløpsmidler / kortsiktig gjeld</t>
        </is>
      </c>
      <c r="C9" s="14">
        <f>Nordlys!B28/Nordlys!B40</f>
        <v/>
      </c>
      <c r="D9" s="15" t="n">
        <v>2</v>
      </c>
      <c r="E9" s="7">
        <f>IF(C9&gt;=D9,"Over normen","Under normen")</f>
        <v/>
      </c>
      <c r="F9" s="6" t="inlineStr">
        <is>
          <t>Om omløpsmidlene dekker gjelden som forfaller i år.</t>
        </is>
      </c>
    </row>
    <row r="10">
      <c r="A10" s="6" t="inlineStr">
        <is>
          <t>Likviditetsgrad 2</t>
        </is>
      </c>
      <c r="B10" s="6" t="inlineStr">
        <is>
          <t>(Omløpsmidler − varelager) / kortsiktig gjeld</t>
        </is>
      </c>
      <c r="C10" s="14">
        <f>(Nordlys!B28-Nordlys!B25)/Nordlys!B40</f>
        <v/>
      </c>
      <c r="D10" s="15" t="n">
        <v>1</v>
      </c>
      <c r="E10" s="7">
        <f>IF(C10&gt;=D10,"Over normen","Under normen")</f>
        <v/>
      </c>
      <c r="F10" s="6" t="inlineStr">
        <is>
          <t>Samme spørsmål, men uten det minst likvide omløpsmiddelet.</t>
        </is>
      </c>
    </row>
    <row r="11">
      <c r="A11" s="6" t="inlineStr">
        <is>
          <t>Egenkapitalandel</t>
        </is>
      </c>
      <c r="B11" s="6" t="inlineStr">
        <is>
          <t>Egenkapital / totalkapital</t>
        </is>
      </c>
      <c r="C11" s="14">
        <f>Nordlys!B34/Nordlys!B29</f>
        <v/>
      </c>
      <c r="D11" s="15" t="n">
        <v>0.362</v>
      </c>
      <c r="E11" s="7">
        <f>IF(C11&gt;=D11,"Over normen","Under normen")</f>
        <v/>
      </c>
      <c r="F11" s="6" t="inlineStr">
        <is>
          <t>Hvor mye bedriften tåler å tape før det er långivernes penger som forsvinner.</t>
        </is>
      </c>
    </row>
    <row r="12">
      <c r="A12" s="6" t="inlineStr">
        <is>
          <t>Gjeldsgrad</t>
        </is>
      </c>
      <c r="B12" s="6" t="inlineStr">
        <is>
          <t>Sum gjeld / egenkapital</t>
        </is>
      </c>
      <c r="C12" s="16">
        <f>Nordlys!B41/Nordlys!B34</f>
        <v/>
      </c>
      <c r="D12" s="17" t="n">
        <v>5</v>
      </c>
      <c r="E12" s="7">
        <f>IF(C12&lt;=D12,"Innenfor","Over grensen")</f>
        <v/>
      </c>
      <c r="F12" s="6" t="inlineStr">
        <is>
          <t>Hvor mange kroner bedriften skylder per krone eierne har inne.</t>
        </is>
      </c>
    </row>
    <row r="14">
      <c r="A14" s="4" t="inlineStr">
        <is>
          <t>2 · Sammenhengen som er kapitlets poeng</t>
        </is>
      </c>
    </row>
    <row r="15">
      <c r="A15" s="6" t="inlineStr">
        <is>
          <t>Gjennomsnittlig lånerente</t>
        </is>
      </c>
      <c r="C15" s="18">
        <f>Nordlys!B16/Nordlys!B51</f>
        <v/>
      </c>
      <c r="F15" s="6" t="inlineStr">
        <is>
          <t>Rentekostnader delt på gjennomsnittlig gjeld.</t>
        </is>
      </c>
    </row>
    <row r="16">
      <c r="A16" s="6" t="inlineStr">
        <is>
          <t>Margin: TKR minus lånerente, i prosentpoeng</t>
        </is>
      </c>
      <c r="C16" s="19">
        <f>(C7-C15)*100</f>
        <v/>
      </c>
      <c r="F16" s="6" t="inlineStr">
        <is>
          <t>Så mye kan lønnsomheten falle før gjelden begynner å spise egenkapitalen.</t>
        </is>
      </c>
    </row>
    <row r="17">
      <c r="A17" s="6" t="inlineStr">
        <is>
          <t>EKR delt på TKR</t>
        </is>
      </c>
      <c r="C17" s="19">
        <f>C8/C7</f>
        <v/>
      </c>
      <c r="F17" s="6" t="inlineStr">
        <is>
          <t>Hvor mange ganger mer eierne får enn kapitalen som helhet.</t>
        </is>
      </c>
    </row>
    <row r="18">
      <c r="A18" s="6" t="inlineStr">
        <is>
          <t>Arbeidskapital</t>
        </is>
      </c>
      <c r="C18" s="20">
        <f>Nordlys!B28-Nordlys!B40</f>
        <v/>
      </c>
      <c r="F18" s="6" t="inlineStr">
        <is>
          <t>Omløpsmidler minus kortsiktig gjeld, i kroner. Må være positiv.</t>
        </is>
      </c>
    </row>
    <row r="19">
      <c r="A19" s="6" t="inlineStr">
        <is>
          <t>Avanse (bruttofortjeneste / varekostnad)</t>
        </is>
      </c>
      <c r="C19" s="18">
        <f>Nordlys!B9/Nordlys!B8</f>
        <v/>
      </c>
      <c r="F19" s="6" t="inlineStr">
        <is>
          <t>Samme kroner som bruttofortjenesten, men delt på varekostnaden i stedet for på salget.</t>
        </is>
      </c>
    </row>
    <row r="21">
      <c r="A21" s="4" t="inlineStr">
        <is>
          <t>3 · Effektivitet — hvor lenge står pengene bundet?</t>
        </is>
      </c>
    </row>
    <row r="22">
      <c r="A22" s="6" t="inlineStr">
        <is>
          <t>Merverdiavgiftssats</t>
        </is>
      </c>
      <c r="B22" s="15" t="n">
        <v>0.25</v>
      </c>
      <c r="F22" s="6" t="inlineStr">
        <is>
          <t>Kredittidene regnes av fakturabeløpet, og det er med mva. Salgsinntekten i resultatet er uten.</t>
        </is>
      </c>
    </row>
    <row r="23">
      <c r="A23" s="6" t="inlineStr">
        <is>
          <t>Salgsinntekt inkl. mva.</t>
        </is>
      </c>
      <c r="C23" s="20">
        <f>Nordlys!B5*(1+B22)</f>
        <v/>
      </c>
    </row>
    <row r="24">
      <c r="A24" s="6" t="inlineStr">
        <is>
          <t>Varekjøp inkl. mva.</t>
        </is>
      </c>
      <c r="C24" s="20">
        <f>Nordlys!B8*(1+B22)</f>
        <v/>
      </c>
      <c r="F24" s="6" t="inlineStr">
        <is>
          <t>Vareforbruket er lik varekjøpet så lenge lageret er like stort ved inngangen og utgangen av året.</t>
        </is>
      </c>
    </row>
    <row r="26" ht="28" customHeight="1">
      <c r="A26" s="9" t="inlineStr">
        <is>
          <t>Nøkkeltall</t>
        </is>
      </c>
      <c r="B26" s="9" t="inlineStr">
        <is>
          <t>Slik regnes det</t>
        </is>
      </c>
      <c r="C26" s="9" t="inlineStr">
        <is>
          <t>Verdi</t>
        </is>
      </c>
      <c r="D26" s="9" t="inlineStr"/>
      <c r="E26" s="9" t="inlineStr"/>
      <c r="F26" s="9" t="inlineStr">
        <is>
          <t>Hva det måler</t>
        </is>
      </c>
    </row>
    <row r="27">
      <c r="A27" s="6" t="inlineStr">
        <is>
          <t>Kredittid kunder</t>
        </is>
      </c>
      <c r="B27" s="6" t="inlineStr">
        <is>
          <t>Kundefordringer × 365 / salgsinntekt inkl. mva.</t>
        </is>
      </c>
      <c r="C27" s="16">
        <f>Nordlys!B26*365/C23</f>
        <v/>
      </c>
      <c r="F27" s="6" t="inlineStr">
        <is>
          <t>Hvor mange dager det i snitt går fra du sender fakturaen til pengene er på konto.</t>
        </is>
      </c>
    </row>
    <row r="28">
      <c r="A28" s="6" t="inlineStr">
        <is>
          <t>Kredittid leverandører</t>
        </is>
      </c>
      <c r="B28" s="6" t="inlineStr">
        <is>
          <t>Leverandørgjeld × 365 / varekjøp inkl. mva.</t>
        </is>
      </c>
      <c r="C28" s="16">
        <f>Nordlys!B36*365/C24</f>
        <v/>
      </c>
      <c r="F28" s="6" t="inlineStr">
        <is>
          <t>Hvor mange dager du i snitt bruker på å betale grossisten. Dette er gratis finansiering så lenge du holder fristen.</t>
        </is>
      </c>
    </row>
    <row r="29">
      <c r="A29" s="6" t="inlineStr">
        <is>
          <t>Varelagerets omløpshastighet</t>
        </is>
      </c>
      <c r="B29" s="6" t="inlineStr">
        <is>
          <t>Varekostnad / varelager</t>
        </is>
      </c>
      <c r="C29" s="16">
        <f>Nordlys!B8/Nordlys!B25</f>
        <v/>
      </c>
      <c r="F29" s="6" t="inlineStr">
        <is>
          <t>Hvor mange ganger i året hele lageret selges ut og fylles opp igjen.</t>
        </is>
      </c>
    </row>
    <row r="30">
      <c r="A30" s="6" t="inlineStr">
        <is>
          <t>Gjennomsnittlig lagringstid</t>
        </is>
      </c>
      <c r="B30" s="6" t="inlineStr">
        <is>
          <t>365 / varelagerets omløpshastighet</t>
        </is>
      </c>
      <c r="C30" s="16">
        <f>365/C29</f>
        <v/>
      </c>
      <c r="F30" s="6" t="inlineStr">
        <is>
          <t>Hvor lenge en kveilrull i snitt står på hylla før den er montert og fakturert.</t>
        </is>
      </c>
    </row>
    <row r="31">
      <c r="A31" s="6" t="inlineStr">
        <is>
          <t>Kapitalens omløpshastighet</t>
        </is>
      </c>
      <c r="B31" s="6" t="inlineStr">
        <is>
          <t>Salgsinntekt / gj.sn. totalkapital</t>
        </is>
      </c>
      <c r="C31" s="16">
        <f>Nordlys!B5/Nordlys!B49</f>
        <v/>
      </c>
      <c r="F31" s="6" t="inlineStr">
        <is>
          <t>Hvor mange kroner i omsetning hver krone i bedriften drar inn i løpet av et år.</t>
        </is>
      </c>
    </row>
    <row r="33">
      <c r="A33" s="6" t="inlineStr">
        <is>
          <t>Avtalt kredittid på fakturaen, i dager</t>
        </is>
      </c>
      <c r="B33" s="21" t="n">
        <v>20</v>
      </c>
      <c r="F33" s="6" t="inlineStr">
        <is>
          <t>Den samme fristen budsjettet i kapittel 9 regner med.</t>
        </is>
      </c>
    </row>
    <row r="34">
      <c r="A34" s="6" t="inlineStr">
        <is>
          <t>Så mange dager BRUKER kundene ut over avtalen</t>
        </is>
      </c>
      <c r="C34" s="19">
        <f>C27-B33</f>
        <v/>
      </c>
      <c r="F34" s="6" t="inlineStr">
        <is>
          <t>Dager Nordlys låner ut penger gratis.</t>
        </is>
      </c>
    </row>
    <row r="35">
      <c r="A35" s="6" t="inlineStr">
        <is>
          <t>Ti dager kortere kredittid frigjør</t>
        </is>
      </c>
      <c r="C35" s="20">
        <f>C23*10/365</f>
        <v/>
      </c>
      <c r="F35" s="6" t="inlineStr">
        <is>
          <t>Uten én krone i økt omsetning. Fakturer samme dag jobben er ferdig, og purr.</t>
        </is>
      </c>
    </row>
    <row r="37">
      <c r="A37" s="4" t="inlineStr">
        <is>
          <t>4 · Du Pont — de to veiene til samme lønnsomhet</t>
        </is>
      </c>
    </row>
    <row r="38">
      <c r="A38" s="6" t="inlineStr">
        <is>
          <t>Resultatgrad</t>
        </is>
      </c>
      <c r="C38" s="18">
        <f>(Nordlys!B17+Nordlys!B16)/Nordlys!B5</f>
        <v/>
      </c>
      <c r="F38" s="6" t="inlineStr">
        <is>
          <t>Hvor mye som blir igjen av hver krone du fakturerer.</t>
        </is>
      </c>
    </row>
    <row r="39">
      <c r="A39" s="6" t="inlineStr">
        <is>
          <t>Kapitalens omløpshastighet</t>
        </is>
      </c>
      <c r="C39" s="19">
        <f>C31</f>
        <v/>
      </c>
      <c r="F39" s="6" t="inlineStr">
        <is>
          <t>Hvor mange kroner i omsetning hver krone i bedriften drar inn på et år.</t>
        </is>
      </c>
    </row>
    <row r="40">
      <c r="A40" s="8" t="inlineStr">
        <is>
          <t>= Resultatgrad × omløpshastighet</t>
        </is>
      </c>
      <c r="C40" s="14">
        <f>C38*C39</f>
        <v/>
      </c>
      <c r="F40" s="6" t="inlineStr">
        <is>
          <t>Dette ER totalkapitalrentabiliteten. Du Pont er ingen ny formel — den viser de to knappene du kan skru på.</t>
        </is>
      </c>
    </row>
    <row r="42">
      <c r="A42" s="8" t="inlineStr">
        <is>
          <t>To bedrifter, samme lønnsomhet, helt ulik drift</t>
        </is>
      </c>
    </row>
    <row r="43">
      <c r="A43" s="6" t="inlineStr">
        <is>
          <t>Marginbedriften — få og store jobber, høyt påslag, mye kapital bundet</t>
        </is>
      </c>
      <c r="C43" s="18">
        <f>C38*2*(C39/2)</f>
        <v/>
      </c>
      <c r="F43" s="6" t="inlineStr">
        <is>
          <t>Dobbel margin, halv omløpshastighet.</t>
        </is>
      </c>
    </row>
    <row r="44">
      <c r="A44" s="6" t="inlineStr">
        <is>
          <t>Volumbedriften — mange små serviceoppdrag, lavt påslag, lite bundet kapital</t>
        </is>
      </c>
      <c r="C44" s="18">
        <f>(C38/2)*C39*2</f>
        <v/>
      </c>
      <c r="F44" s="6" t="inlineStr">
        <is>
          <t>Halv margin, dobbel omløpshastighet. Begge ender på det samme.</t>
        </is>
      </c>
    </row>
    <row r="46">
      <c r="A46" s="4" t="inlineStr">
        <is>
          <t>5 · De to vanligste regnefeilene</t>
        </is>
      </c>
    </row>
    <row r="47">
      <c r="A47" s="6" t="inlineStr">
        <is>
          <t>TKR uten rentekostnadene i telleren</t>
        </is>
      </c>
      <c r="C47" s="18">
        <f>Nordlys!B17/Nordlys!B49</f>
        <v/>
      </c>
      <c r="F47" s="6" t="inlineStr">
        <is>
          <t>For lavt. Rentene er långivernes del av avkastningen og skal legges tilbake.</t>
        </is>
      </c>
    </row>
    <row r="48">
      <c r="A48" s="6" t="inlineStr">
        <is>
          <t>EKR med årsresultatet i telleren</t>
        </is>
      </c>
      <c r="C48" s="18">
        <f>Nordlys!B19/Nordlys!B50</f>
        <v/>
      </c>
      <c r="F48" s="6" t="inlineStr">
        <is>
          <t>For lavt. Skattekostnaden sier lite om hvor godt bedriften drives.</t>
        </is>
      </c>
    </row>
    <row r="50">
      <c r="A50" s="4" t="inlineStr">
        <is>
          <t>Kontroll</t>
        </is>
      </c>
    </row>
    <row r="51">
      <c r="A51" s="6" t="inlineStr">
        <is>
          <t>Er totalkapitalrentabiliteten høyere enn lånerenta?</t>
        </is>
      </c>
      <c r="B51" s="13">
        <f>IF(C7&gt;C15,"OK — den lånte kapitalen tjener mer enn den koster, og differansen tilfaller eierne","AVVIK: lånene spiser egenkapitalen — da virker gjeldsgraden mot eierne i stedet for for dem")</f>
        <v/>
      </c>
    </row>
    <row r="52">
      <c r="A52" s="6" t="inlineStr">
        <is>
          <t>Er likviditetsgrad 2 lavere enn grad 1?</t>
        </is>
      </c>
      <c r="B52" s="13">
        <f>IF(C10&lt;=C9,"OK — grad 2 er alltid lavest, fordi varelageret er trukket ut","AVVIK: varelageret kan ikke være negativt")</f>
        <v/>
      </c>
    </row>
    <row r="53">
      <c r="A53" s="6" t="inlineStr">
        <is>
          <t>Stemmer gjeldsgraden med egenkapitalandelen?</t>
        </is>
      </c>
      <c r="B53" s="13">
        <f>IF(ABS(C12-(1-C11)/C11)&lt;0.001,"OK — gjeldsgraden og egenkapitalandelen sier det samme to ganger. Den ene er den andre snudd på hodet","AVVIK: de to henger ikke sammen")</f>
        <v/>
      </c>
    </row>
    <row r="54">
      <c r="A54" s="6" t="inlineStr">
        <is>
          <t>Går Du Pont opp mot totalkapitalrentabiliteten?</t>
        </is>
      </c>
      <c r="B54" s="13">
        <f>IF(ABS(C40-C7)&lt;0.0001,"OK — resultatgrad ganget med kapitalens omløpshastighet gir nøyaktig totalkapitalrentabiliteten","AVVIK: da er en av de tre tallene regnet av feil grunnlag")</f>
        <v/>
      </c>
    </row>
    <row r="55">
      <c r="A55" s="6" t="inlineStr">
        <is>
          <t>Gir de to Du Pont-bedriftene samme lønnsomhet?</t>
        </is>
      </c>
      <c r="B55" s="13">
        <f>IF(ABS(C43-C44)&lt;0.0001,"OK — samme totalkapitalrentabilitet, helt ulik vei dit. Ingen av dem er den riktige, men du må vite hvilken du driver","AVVIK: da viser eksempelet ikke lenger to veier til SAMME lønnsomhet")</f>
        <v/>
      </c>
    </row>
    <row r="56">
      <c r="A56" s="6" t="inlineStr">
        <is>
          <t>Ligger egenkapitalandelen på bransjenivå?</t>
        </is>
      </c>
      <c r="B56" s="13">
        <f>IF(C11&gt;=D11,"OK — egenkapitalandelen er på eller over bransjens nivå","AVVIK: egenkapitalandelen ligger under bransjen. Det er det første banken ser")</f>
        <v/>
      </c>
    </row>
    <row r="57">
      <c r="A57" s="3" t="inlineStr">
        <is>
          <t>Her SKAL det stå AVVIK med tallene som ligger inne. Nordlys ligger under bransjen, og det er nettopp poenget i kapitlet.</t>
        </is>
      </c>
    </row>
    <row r="58">
      <c r="A58" s="6" t="inlineStr">
        <is>
          <t>Står pengene bundet lenger enn grossisten finansierer dem? (lagringstid + kredittid kunder − kredittid leverandører)</t>
        </is>
      </c>
      <c r="B58" s="13">
        <f>IF(C30+C27-C28&gt;0,"OK — og det er nettopp derfor kassekreditten brukes: fra kabelen kjøpes til kunden betaler går det "&amp;TEXT(C30+C27,"0")&amp;" dager, grossisten finansierer "&amp;TEXT(C28,"0")&amp;" av dem, og de siste "&amp;TEXT(C30+C27-C28,"0")&amp;" må Nordlys finansiere selv","AVVIK: da finansierer leverandørene hele driften, og kassekreditten skulle vært unødvendig")</f>
        <v/>
      </c>
    </row>
    <row r="59">
      <c r="A59" s="3" t="inlineStr">
        <is>
          <t>Her SKAL det stå OK med tallene som ligger inne — og det er et problem, ikke en trøst. Dagene Nordlys finansierer selv er det kassekreditten dekker.</t>
        </is>
      </c>
    </row>
    <row r="62">
      <c r="A62" s="8" t="inlineStr">
        <is>
          <t>Prøv dette: sett annen egenkapital i Nordlys!B33 opp til 5 000 000 og se hva som skjer med egenkapitalrentabiliteten — og med egenkapitalandelen. De går hver sin vei, og det er hele poenget.</t>
        </is>
      </c>
    </row>
    <row r="63">
      <c r="A63" s="8" t="inlineStr">
        <is>
          <t>Prøv dette også: sett kundefordringene i Nordlys!B26 ned med 700 000 og se hva som skjer med kredittid kunder, med begge likviditetsgradene og med kapitalens omløpshastighet. Ett grep, tre tall.</t>
        </is>
      </c>
    </row>
    <row r="64">
      <c r="A64" s="3" t="inlineStr">
        <is>
          <t>Kilde: Økonomistyring for LØM-emnet, kap. 4.2 til 4.2.4 og tabell 4.2. Bransjetall: NHO Elektro, Lønnsomhetsrapport 2025, gjengitt i Elektro 24-7 19.08.2026 (hentet 10.09.2026). De 809 er bedriftene i datagrunnlaget, ikke bransjen. NHO Elektro oppgir ikke svarprosent.</t>
        </is>
      </c>
    </row>
  </sheetData>
  <conditionalFormatting sqref="B51">
    <cfRule type="expression" priority="1" dxfId="0" stopIfTrue="0">
      <formula>LEFT(B51,5)="AVVIK"</formula>
    </cfRule>
  </conditionalFormatting>
  <conditionalFormatting sqref="B52">
    <cfRule type="expression" priority="2" dxfId="0" stopIfTrue="0">
      <formula>LEFT(B52,5)="AVVIK"</formula>
    </cfRule>
  </conditionalFormatting>
  <conditionalFormatting sqref="B53">
    <cfRule type="expression" priority="3" dxfId="0" stopIfTrue="0">
      <formula>LEFT(B53,5)="AVVIK"</formula>
    </cfRule>
  </conditionalFormatting>
  <conditionalFormatting sqref="B54">
    <cfRule type="expression" priority="4" dxfId="0" stopIfTrue="0">
      <formula>LEFT(B54,5)="AVVIK"</formula>
    </cfRule>
  </conditionalFormatting>
  <conditionalFormatting sqref="B55">
    <cfRule type="expression" priority="5" dxfId="0" stopIfTrue="0">
      <formula>LEFT(B55,5)="AVVIK"</formula>
    </cfRule>
  </conditionalFormatting>
  <conditionalFormatting sqref="B56">
    <cfRule type="expression" priority="6" dxfId="0" stopIfTrue="0">
      <formula>LEFT(B56,5)="AVVIK"</formula>
    </cfRule>
  </conditionalFormatting>
  <conditionalFormatting sqref="B58">
    <cfRule type="expression" priority="7" dxfId="0" stopIfTrue="0">
      <formula>LEFT(B58,5)="AVVIK"</formula>
    </cfRule>
  </conditionalFormatting>
  <printOptions horizontalCentered="0"/>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37"/>
  <sheetViews>
    <sheetView showGridLines="0" workbookViewId="0">
      <selection activeCell="A1" sqref="A1"/>
    </sheetView>
  </sheetViews>
  <sheetFormatPr baseColWidth="8" defaultRowHeight="15"/>
  <cols>
    <col width="44" customWidth="1" min="1" max="1"/>
    <col width="18" customWidth="1" min="2" max="2"/>
    <col width="62" customWidth="1" min="3" max="3"/>
  </cols>
  <sheetData>
    <row r="1">
      <c r="A1" s="1" t="inlineStr">
        <is>
          <t>Nøkkeltallene er ikke nye tall</t>
        </is>
      </c>
    </row>
    <row r="2">
      <c r="A2" s="2" t="inlineStr">
        <is>
          <t>Alt i dette regnearket er hentet fra det samme resultatet og den samme balansen som i kapittel 3.</t>
        </is>
      </c>
    </row>
    <row r="4">
      <c r="A4" s="4" t="inlineStr">
        <is>
          <t>1 · De ni tallene kapittel 4 henter fra kapittel 3</t>
        </is>
      </c>
    </row>
    <row r="5" ht="28" customHeight="1">
      <c r="A5" s="9" t="inlineStr">
        <is>
          <t>Post</t>
        </is>
      </c>
      <c r="B5" s="9" t="inlineStr">
        <is>
          <t>Kroner</t>
        </is>
      </c>
      <c r="C5" s="9" t="inlineStr">
        <is>
          <t>Hva den brukes til her</t>
        </is>
      </c>
    </row>
    <row r="6">
      <c r="A6" s="6" t="inlineStr">
        <is>
          <t>Salgsinntekt</t>
        </is>
      </c>
      <c r="B6" s="12">
        <f>Nordlys!B5</f>
        <v/>
      </c>
      <c r="C6" s="6" t="inlineStr">
        <is>
          <t>Nevneren i driftsmargin og resultatgrad.</t>
        </is>
      </c>
    </row>
    <row r="7">
      <c r="A7" s="6" t="inlineStr">
        <is>
          <t>Driftsresultat</t>
        </is>
      </c>
      <c r="B7" s="12">
        <f>Nordlys!B14</f>
        <v/>
      </c>
      <c r="C7" s="6" t="inlineStr">
        <is>
          <t>Telleren i driftsmarginen.</t>
        </is>
      </c>
    </row>
    <row r="8">
      <c r="A8" s="6" t="inlineStr">
        <is>
          <t>Ordinært resultat før skattekostnad</t>
        </is>
      </c>
      <c r="B8" s="12">
        <f>Nordlys!B17</f>
        <v/>
      </c>
      <c r="C8" s="6" t="inlineStr">
        <is>
          <t>Telleren i egenkapitalrentabiliteten, og en del av telleren i totalkapitalrentabiliteten.</t>
        </is>
      </c>
    </row>
    <row r="9">
      <c r="A9" s="6" t="inlineStr">
        <is>
          <t>Rentekostnader</t>
        </is>
      </c>
      <c r="B9" s="12">
        <f>Nordlys!B16</f>
        <v/>
      </c>
      <c r="C9" s="6" t="inlineStr">
        <is>
          <t>Legges tilbake i totalkapitalrentabiliteten — det er långivernes del av avkastningen.</t>
        </is>
      </c>
    </row>
    <row r="10">
      <c r="A10" s="6" t="inlineStr">
        <is>
          <t>Sum eiendeler (totalkapital)</t>
        </is>
      </c>
      <c r="B10" s="12">
        <f>Nordlys!B29</f>
        <v/>
      </c>
      <c r="C10" s="6" t="inlineStr">
        <is>
          <t>Nevneren i egenkapitalandelen.</t>
        </is>
      </c>
    </row>
    <row r="11">
      <c r="A11" s="6" t="inlineStr">
        <is>
          <t>Sum egenkapital</t>
        </is>
      </c>
      <c r="B11" s="12">
        <f>Nordlys!B34</f>
        <v/>
      </c>
      <c r="C11" s="6" t="inlineStr">
        <is>
          <t>Telleren i egenkapitalandelen, nevneren i egenkapitalrentabiliteten.</t>
        </is>
      </c>
    </row>
    <row r="12">
      <c r="A12" s="6" t="inlineStr">
        <is>
          <t>Sum omløpsmidler</t>
        </is>
      </c>
      <c r="B12" s="12">
        <f>Nordlys!B28</f>
        <v/>
      </c>
      <c r="C12" s="6" t="inlineStr">
        <is>
          <t>Telleren i likviditetsgrad 1.</t>
        </is>
      </c>
    </row>
    <row r="13">
      <c r="A13" s="6" t="inlineStr">
        <is>
          <t>Varelager</t>
        </is>
      </c>
      <c r="B13" s="12">
        <f>Nordlys!B25</f>
        <v/>
      </c>
      <c r="C13" s="6" t="inlineStr">
        <is>
          <t>Trekkes ut av telleren i likviditetsgrad 2.</t>
        </is>
      </c>
    </row>
    <row r="14">
      <c r="A14" s="6" t="inlineStr">
        <is>
          <t>Sum kortsiktig gjeld</t>
        </is>
      </c>
      <c r="B14" s="12">
        <f>Nordlys!B40</f>
        <v/>
      </c>
      <c r="C14" s="6" t="inlineStr">
        <is>
          <t>Nevneren i begge likviditetsgradene.</t>
        </is>
      </c>
    </row>
    <row r="16">
      <c r="A16" s="4" t="inlineStr">
        <is>
          <t>2 · Hva som er nytt i kapittel 4</t>
        </is>
      </c>
    </row>
    <row r="17">
      <c r="A17" s="6" t="inlineStr">
        <is>
          <t>Inngående totalkapital 01.01.2026</t>
        </is>
      </c>
      <c r="B17" s="20">
        <f>Nordlys!B46</f>
        <v/>
      </c>
      <c r="C17" s="6" t="inlineStr">
        <is>
          <t>Fjorårets balanse. Uten den kan ingen rentabilitet regnes.</t>
        </is>
      </c>
    </row>
    <row r="18">
      <c r="A18" s="6" t="inlineStr">
        <is>
          <t>Bransjetall og normtall</t>
        </is>
      </c>
      <c r="C18" s="6" t="inlineStr">
        <is>
          <t>Kolonne D i arket «Nøkkeltall». Et nøkkeltall uten et sammenlikningsgrunnlag er bare et tall.</t>
        </is>
      </c>
    </row>
    <row r="19">
      <c r="A19" s="6" t="inlineStr">
        <is>
          <t>Selve divisjonen</t>
        </is>
      </c>
      <c r="C19" s="6" t="inlineStr">
        <is>
          <t>Det er alt. Nøkkeltallene er de samme kronene, satt opp mot hverandre, slik at de kan sammenliknes med i fjor og med andre bedrifter.</t>
        </is>
      </c>
    </row>
    <row r="21">
      <c r="A21" s="4" t="inlineStr">
        <is>
          <t>3 · De fire som kan regnes av balansen alene</t>
        </is>
      </c>
    </row>
    <row r="22">
      <c r="A22" s="6" t="inlineStr">
        <is>
          <t>Egenkapitalandel</t>
        </is>
      </c>
      <c r="B22" s="18">
        <f>Nøkkeltall!C11</f>
        <v/>
      </c>
      <c r="C22" s="6" t="inlineStr">
        <is>
          <t>Regnes også i arket «Til kapittel 4» i regnearket til kapittel 3 — samme formel, samme svar.</t>
        </is>
      </c>
    </row>
    <row r="23">
      <c r="A23" s="6" t="inlineStr">
        <is>
          <t>Gjeldsgrad</t>
        </is>
      </c>
      <c r="B23" s="19">
        <f>Nøkkeltall!C12</f>
        <v/>
      </c>
    </row>
    <row r="24">
      <c r="A24" s="6" t="inlineStr">
        <is>
          <t>Likviditetsgrad 1</t>
        </is>
      </c>
      <c r="B24" s="18">
        <f>Nøkkeltall!C9</f>
        <v/>
      </c>
    </row>
    <row r="25">
      <c r="A25" s="6" t="inlineStr">
        <is>
          <t>Likviditetsgrad 2</t>
        </is>
      </c>
      <c r="B25" s="18">
        <f>Nøkkeltall!C10</f>
        <v/>
      </c>
    </row>
    <row r="27">
      <c r="A27" s="4" t="inlineStr">
        <is>
          <t>4 · De tre som også trenger resultatregnskapet</t>
        </is>
      </c>
    </row>
    <row r="28">
      <c r="A28" s="6" t="inlineStr">
        <is>
          <t>Driftsmargin</t>
        </is>
      </c>
      <c r="B28" s="18">
        <f>Nøkkeltall!C6</f>
        <v/>
      </c>
      <c r="C28" s="6" t="inlineStr">
        <is>
          <t>Trenger driftsresultatet.</t>
        </is>
      </c>
    </row>
    <row r="29">
      <c r="A29" s="6" t="inlineStr">
        <is>
          <t>Totalkapitalrentabilitet</t>
        </is>
      </c>
      <c r="B29" s="18">
        <f>Nøkkeltall!C7</f>
        <v/>
      </c>
      <c r="C29" s="6" t="inlineStr">
        <is>
          <t>Trenger resultat før skatt, rentekostnadene og fjorårets balanse.</t>
        </is>
      </c>
    </row>
    <row r="30">
      <c r="A30" s="6" t="inlineStr">
        <is>
          <t>Egenkapitalrentabilitet</t>
        </is>
      </c>
      <c r="B30" s="18">
        <f>Nøkkeltall!C8</f>
        <v/>
      </c>
      <c r="C30" s="6" t="inlineStr">
        <is>
          <t>Trenger resultat før skatt og fjorårets balanse.</t>
        </is>
      </c>
    </row>
    <row r="32">
      <c r="A32" s="4" t="inlineStr">
        <is>
          <t>Kontroll</t>
        </is>
      </c>
    </row>
    <row r="33">
      <c r="A33" s="6" t="inlineStr">
        <is>
          <t>Er de ni tallene formler mot arket «Nordlys»?</t>
        </is>
      </c>
      <c r="B33" s="13">
        <f>IF(AND(B6=Nordlys!B5,B10=Nordlys!B29,B11=Nordlys!B34,B14=Nordlys!B40),"OK — alle er formler. Endrer du en post i arket Nordlys, endrer nøkkeltallet seg overalt","AVVIK: en av koblingene er brutt")</f>
        <v/>
      </c>
    </row>
    <row r="34">
      <c r="A34" s="6" t="inlineStr">
        <is>
          <t>Går balansetallene opp?</t>
        </is>
      </c>
      <c r="B34" s="13">
        <f>IF(ABS(B10-Nordlys!B24-B12)&lt;1,"OK — sum eiendeler er anleggsmidler pluss omløpsmidler","AVVIK: balansetallene henger ikke sammen")</f>
        <v/>
      </c>
    </row>
    <row r="36">
      <c r="A36" s="8" t="inlineStr">
        <is>
          <t>Poenget: en regnskapsanalyse tilfører ingen opplysninger. Den gjør de opplysningene du allerede har, sammenliknbare — med i fjor, med bransjen og med normtall. Derfor er det ingen vei utenom kapittel 3.</t>
        </is>
      </c>
    </row>
    <row r="37">
      <c r="A37" s="3" t="inlineStr">
        <is>
          <t>Regnearket til kapittel 3: LOM_Ovingsark_Okonomistyring_kap03_Resultat_og_balanse_NY.xlsx. Der finner du de samme postene, og arket «Til kapittel 4» viser den samme broen fra den andre siden.</t>
        </is>
      </c>
    </row>
  </sheetData>
  <conditionalFormatting sqref="B33">
    <cfRule type="expression" priority="1" dxfId="0" stopIfTrue="0">
      <formula>LEFT(B33,5)="AVVIK"</formula>
    </cfRule>
  </conditionalFormatting>
  <conditionalFormatting sqref="B34">
    <cfRule type="expression" priority="2" dxfId="0" stopIfTrue="0">
      <formula>LEFT(B34,5)="AVVIK"</formula>
    </cfRule>
  </conditionalFormatting>
  <printOptions horizontalCentered="0"/>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53"/>
  <sheetViews>
    <sheetView showGridLines="0" workbookViewId="0">
      <selection activeCell="A1" sqref="A1"/>
    </sheetView>
  </sheetViews>
  <sheetFormatPr baseColWidth="8" defaultRowHeight="15"/>
  <cols>
    <col width="40" customWidth="1" min="1" max="1"/>
    <col width="18" customWidth="1" min="2" max="2"/>
    <col width="15" customWidth="1" min="3" max="3"/>
    <col width="20" customWidth="1" min="4" max="4"/>
    <col width="20" customWidth="1" min="5" max="5"/>
    <col width="44" customWidth="1" min="6" max="6"/>
  </cols>
  <sheetData>
    <row r="1">
      <c r="A1" s="1" t="inlineStr">
        <is>
          <t>Din egen bedrift — samme oppstilling</t>
        </is>
      </c>
    </row>
    <row r="2">
      <c r="A2" s="2" t="inlineStr">
        <is>
          <t>Skriv tallene fra din egen arbeidsplass over de gule cellene. Formlene følger med.</t>
        </is>
      </c>
    </row>
    <row r="4">
      <c r="A4" s="6" t="inlineStr">
        <is>
          <t>Bedrift</t>
        </is>
      </c>
      <c r="B4" s="5" t="inlineStr">
        <is>
          <t>Skriv inn navnet her</t>
        </is>
      </c>
      <c r="D4" s="6" t="inlineStr">
        <is>
          <t>Regnskapsår</t>
        </is>
      </c>
      <c r="E4" s="21" t="n">
        <v>2026</v>
      </c>
    </row>
    <row r="6">
      <c r="A6" s="4" t="inlineStr">
        <is>
          <t>1 · Resultatregnskap</t>
        </is>
      </c>
    </row>
    <row r="7">
      <c r="A7" s="6" t="inlineStr">
        <is>
          <t>Salgsinntekt</t>
        </is>
      </c>
      <c r="B7" s="10" t="n">
        <v>22400000</v>
      </c>
    </row>
    <row r="8">
      <c r="A8" s="6" t="inlineStr">
        <is>
          <t>Sum varekostnad</t>
        </is>
      </c>
      <c r="B8" s="10" t="n">
        <v>8390000</v>
      </c>
    </row>
    <row r="9">
      <c r="A9" s="6" t="inlineStr">
        <is>
          <t>Lønnskostnad</t>
        </is>
      </c>
      <c r="B9" s="10" t="n">
        <v>10660000</v>
      </c>
    </row>
    <row r="10">
      <c r="A10" s="6" t="inlineStr">
        <is>
          <t>Avskrivninger</t>
        </is>
      </c>
      <c r="B10" s="10" t="n">
        <v>620000</v>
      </c>
    </row>
    <row r="11">
      <c r="A11" s="6" t="inlineStr">
        <is>
          <t>Andre driftskostnader</t>
        </is>
      </c>
      <c r="B11" s="10" t="n">
        <v>1386000</v>
      </c>
    </row>
    <row r="12">
      <c r="A12" s="6" t="inlineStr">
        <is>
          <t>Renteinntekter</t>
        </is>
      </c>
      <c r="B12" s="10" t="n">
        <v>56000</v>
      </c>
    </row>
    <row r="13">
      <c r="A13" s="6" t="inlineStr">
        <is>
          <t>Rentekostnader</t>
        </is>
      </c>
      <c r="B13" s="10" t="n">
        <v>210000</v>
      </c>
    </row>
    <row r="14">
      <c r="A14" s="6" t="inlineStr">
        <is>
          <t>Skattekostnad</t>
        </is>
      </c>
      <c r="B14" s="10" t="n">
        <v>262000</v>
      </c>
    </row>
    <row r="15">
      <c r="A15" s="8" t="inlineStr">
        <is>
          <t>= Driftsresultat</t>
        </is>
      </c>
      <c r="B15" s="12">
        <f>B7-B8-B9-B10-B11</f>
        <v/>
      </c>
    </row>
    <row r="16">
      <c r="A16" s="8" t="inlineStr">
        <is>
          <t>= Ordinært resultat før skatt</t>
        </is>
      </c>
      <c r="B16" s="12">
        <f>B15+B12-B13</f>
        <v/>
      </c>
    </row>
    <row r="17">
      <c r="A17" s="8" t="inlineStr">
        <is>
          <t>= Årsresultat</t>
        </is>
      </c>
      <c r="B17" s="12">
        <f>B16-B14</f>
        <v/>
      </c>
    </row>
    <row r="19">
      <c r="A19" s="4" t="inlineStr">
        <is>
          <t>2 · Balanse</t>
        </is>
      </c>
    </row>
    <row r="20">
      <c r="A20" s="6" t="inlineStr">
        <is>
          <t>Sum anleggsmidler</t>
        </is>
      </c>
      <c r="B20" s="10" t="n">
        <v>3600000</v>
      </c>
    </row>
    <row r="21">
      <c r="A21" s="6" t="inlineStr">
        <is>
          <t>Varelager</t>
        </is>
      </c>
      <c r="B21" s="10" t="n">
        <v>1400000</v>
      </c>
    </row>
    <row r="22">
      <c r="A22" s="6" t="inlineStr">
        <is>
          <t>Kundefordringer</t>
        </is>
      </c>
      <c r="B22" s="10" t="n">
        <v>4200000</v>
      </c>
    </row>
    <row r="23">
      <c r="A23" s="6" t="inlineStr">
        <is>
          <t>Bankinnskudd og kontanter</t>
        </is>
      </c>
      <c r="B23" s="10" t="n">
        <v>1000000</v>
      </c>
    </row>
    <row r="24">
      <c r="A24" s="6" t="inlineStr">
        <is>
          <t>Sum egenkapital</t>
        </is>
      </c>
      <c r="B24" s="10" t="n">
        <v>2910000</v>
      </c>
    </row>
    <row r="25">
      <c r="A25" s="6" t="inlineStr">
        <is>
          <t>Langsiktig gjeld</t>
        </is>
      </c>
      <c r="B25" s="10" t="n">
        <v>2800000</v>
      </c>
    </row>
    <row r="26">
      <c r="A26" s="6" t="inlineStr">
        <is>
          <t>Sum kortsiktig gjeld</t>
        </is>
      </c>
      <c r="B26" s="10" t="n">
        <v>4490000</v>
      </c>
    </row>
    <row r="27">
      <c r="A27" s="6" t="inlineStr">
        <is>
          <t>Totalkapital ved årets begynnelse</t>
        </is>
      </c>
      <c r="B27" s="10" t="n">
        <v>9400000</v>
      </c>
    </row>
    <row r="28">
      <c r="A28" s="8" t="inlineStr">
        <is>
          <t>= Sum omløpsmidler</t>
        </is>
      </c>
      <c r="B28" s="12">
        <f>B21+B22+B23</f>
        <v/>
      </c>
    </row>
    <row r="29">
      <c r="A29" s="8" t="inlineStr">
        <is>
          <t>= Sum eiendeler (totalkapital)</t>
        </is>
      </c>
      <c r="B29" s="12">
        <f>B20+B28</f>
        <v/>
      </c>
    </row>
    <row r="30">
      <c r="A30" s="8" t="inlineStr">
        <is>
          <t>= Sum gjeld</t>
        </is>
      </c>
      <c r="B30" s="12">
        <f>B25+B26</f>
        <v/>
      </c>
    </row>
    <row r="31">
      <c r="A31" s="8" t="inlineStr">
        <is>
          <t>= Sum egenkapital og gjeld</t>
        </is>
      </c>
      <c r="B31" s="12">
        <f>B24+B30</f>
        <v/>
      </c>
    </row>
    <row r="32">
      <c r="A32" s="6" t="inlineStr">
        <is>
          <t>Differanse</t>
        </is>
      </c>
      <c r="B32" s="20">
        <f>B29-B31</f>
        <v/>
      </c>
      <c r="F32" s="6" t="inlineStr">
        <is>
          <t>Skal være 0. Er den ikke det, har du glemt en post.</t>
        </is>
      </c>
    </row>
    <row r="33">
      <c r="A33" s="6" t="inlineStr">
        <is>
          <t>Gjennomsnittlig totalkapital</t>
        </is>
      </c>
      <c r="B33" s="20">
        <f>(B27+B29)/2</f>
        <v/>
      </c>
    </row>
    <row r="34">
      <c r="A34" s="6" t="inlineStr">
        <is>
          <t>Egenkapital ved årets begynnelse</t>
        </is>
      </c>
      <c r="B34" s="11">
        <f>B24-B17</f>
        <v/>
      </c>
    </row>
    <row r="35">
      <c r="A35" s="6" t="inlineStr">
        <is>
          <t>Gjennomsnittlig egenkapital</t>
        </is>
      </c>
      <c r="B35" s="20">
        <f>(B34+B24)/2</f>
        <v/>
      </c>
    </row>
    <row r="36">
      <c r="A36" s="6" t="inlineStr">
        <is>
          <t>Gjennomsnittlig gjeld</t>
        </is>
      </c>
      <c r="B36" s="20">
        <f>((B27-B34)+B30)/2</f>
        <v/>
      </c>
    </row>
    <row r="38">
      <c r="A38" s="4" t="inlineStr">
        <is>
          <t>3 · Dine sju nøkkeltall</t>
        </is>
      </c>
    </row>
    <row r="39" ht="28" customHeight="1">
      <c r="A39" s="9" t="inlineStr">
        <is>
          <t>Nøkkeltall</t>
        </is>
      </c>
      <c r="B39" s="9" t="inlineStr">
        <is>
          <t>Din verdi</t>
        </is>
      </c>
      <c r="C39" s="9" t="inlineStr">
        <is>
          <t>Bransje eller norm</t>
        </is>
      </c>
      <c r="D39" s="9" t="inlineStr">
        <is>
          <t>Vurdering</t>
        </is>
      </c>
    </row>
    <row r="40">
      <c r="A40" s="6" t="inlineStr">
        <is>
          <t>Driftsmargin</t>
        </is>
      </c>
      <c r="B40" s="14">
        <f>IF($B$7=0,"",B15/B7)</f>
        <v/>
      </c>
      <c r="C40" s="15" t="n">
        <v>0.075</v>
      </c>
      <c r="D40" s="7">
        <f>IF(B40="","",IF(B40&gt;=C40,"Over normen","Under normen"))</f>
        <v/>
      </c>
    </row>
    <row r="41">
      <c r="A41" s="6" t="inlineStr">
        <is>
          <t>Totalkapitalrentabilitet</t>
        </is>
      </c>
      <c r="B41" s="14">
        <f>IF(B33=0,"",(B16+B13)/B33)</f>
        <v/>
      </c>
      <c r="C41" s="15" t="n">
        <v>0.146</v>
      </c>
      <c r="D41" s="7">
        <f>IF(B41="","",IF(B41&gt;=C41,"Over normen","Under normen"))</f>
        <v/>
      </c>
    </row>
    <row r="42">
      <c r="A42" s="6" t="inlineStr">
        <is>
          <t>Egenkapitalrentabilitet</t>
        </is>
      </c>
      <c r="B42" s="14">
        <f>IF(B35=0,"",B16/B35)</f>
        <v/>
      </c>
      <c r="C42" s="15" t="n">
        <v>0.2</v>
      </c>
      <c r="D42" s="7">
        <f>IF(B42="","",IF(B42&gt;=C42,"Over normen","Under normen"))</f>
        <v/>
      </c>
    </row>
    <row r="43">
      <c r="A43" s="6" t="inlineStr">
        <is>
          <t>Likviditetsgrad 1</t>
        </is>
      </c>
      <c r="B43" s="14">
        <f>IF(B26=0,"",B28/B26)</f>
        <v/>
      </c>
      <c r="C43" s="15" t="n">
        <v>2</v>
      </c>
      <c r="D43" s="7">
        <f>IF(B43="","",IF(B43&gt;=C43,"Over normen","Under normen"))</f>
        <v/>
      </c>
    </row>
    <row r="44">
      <c r="A44" s="6" t="inlineStr">
        <is>
          <t>Likviditetsgrad 2</t>
        </is>
      </c>
      <c r="B44" s="14">
        <f>IF(B26=0,"",(B28-B21)/B26)</f>
        <v/>
      </c>
      <c r="C44" s="15" t="n">
        <v>1</v>
      </c>
      <c r="D44" s="7">
        <f>IF(B44="","",IF(B44&gt;=C44,"Over normen","Under normen"))</f>
        <v/>
      </c>
    </row>
    <row r="45">
      <c r="A45" s="6" t="inlineStr">
        <is>
          <t>Egenkapitalandel</t>
        </is>
      </c>
      <c r="B45" s="14">
        <f>IF(B29=0,"",B24/B29)</f>
        <v/>
      </c>
      <c r="C45" s="15" t="n">
        <v>0.362</v>
      </c>
      <c r="D45" s="7">
        <f>IF(B45="","",IF(B45&gt;=C45,"Over normen","Under normen"))</f>
        <v/>
      </c>
    </row>
    <row r="46">
      <c r="A46" s="6" t="inlineStr">
        <is>
          <t>Gjeldsgrad</t>
        </is>
      </c>
      <c r="B46" s="16">
        <f>IF(B24=0,"",B30/B24)</f>
        <v/>
      </c>
      <c r="C46" s="17" t="n">
        <v>5</v>
      </c>
      <c r="D46" s="7">
        <f>IF(B46="","",IF(B46&lt;=C46,"Innenfor","Over grensen"))</f>
        <v/>
      </c>
    </row>
    <row r="48">
      <c r="A48" s="4" t="inlineStr">
        <is>
          <t>Kontroll</t>
        </is>
      </c>
    </row>
    <row r="49">
      <c r="A49" s="6" t="inlineStr">
        <is>
          <t>Balanserer din balanse?</t>
        </is>
      </c>
      <c r="B49" s="13">
        <f>IF(B29=0,"Ikke fylt ut ennå",IF(ABS(B32)&lt;1,"OK — de to sidene er like store","AVVIK: differansen står i B32 — du har glemt en post"))</f>
        <v/>
      </c>
    </row>
    <row r="50">
      <c r="A50" s="6" t="inlineStr">
        <is>
          <t>Er totalkapitalrentabiliteten høyere enn lånerenta?</t>
        </is>
      </c>
      <c r="B50" s="13">
        <f>IF(OR(B36=0,B33=0),"Ikke fylt ut ennå",IF((B16+B13)/B33&gt;B13/B36,"OK — den lånte kapitalen tjener mer enn den koster","AVVIK: lånene spiser egenkapitalen"))</f>
        <v/>
      </c>
    </row>
    <row r="52">
      <c r="A52" s="8" t="inlineStr">
        <is>
          <t>Tallene som ligger inne er Nordlys Elektro AS, som eksempel. Skriv over dem, så følger alle sju nøkkeltallene med.</t>
        </is>
      </c>
    </row>
    <row r="53">
      <c r="A53" s="6" t="inlineStr">
        <is>
          <t>Får du ikke tak i alle postene, spør regnskapsføreren om «resultat og balanse for i fjor og året før». Det er alt du trenger — og du trenger fjorårets balanse for å regne rentabilitet i det hele tatt.</t>
        </is>
      </c>
    </row>
  </sheetData>
  <conditionalFormatting sqref="B49">
    <cfRule type="expression" priority="1" dxfId="0" stopIfTrue="0">
      <formula>LEFT(B49,5)="AVVIK"</formula>
    </cfRule>
  </conditionalFormatting>
  <conditionalFormatting sqref="B50">
    <cfRule type="expression" priority="2" dxfId="0" stopIfTrue="0">
      <formula>LEFT(B50,5)="AVVIK"</formula>
    </cfRule>
  </conditionalFormatting>
  <printOptions horizontalCentered="0"/>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44"/>
  <sheetViews>
    <sheetView showGridLines="0" workbookViewId="0">
      <selection activeCell="A1" sqref="A1"/>
    </sheetView>
  </sheetViews>
  <sheetFormatPr baseColWidth="8" defaultRowHeight="15"/>
  <cols>
    <col width="28" customWidth="1" min="1" max="1"/>
    <col width="22" customWidth="1" min="2" max="2"/>
    <col width="24" customWidth="1" min="3" max="3"/>
    <col width="20" customWidth="1" min="4" max="4"/>
    <col width="30" customWidth="1" min="5" max="5"/>
  </cols>
  <sheetData>
    <row r="1">
      <c r="A1" s="1" t="inlineStr">
        <is>
          <t>To søkere, én kassekreditt</t>
        </is>
      </c>
    </row>
    <row r="2">
      <c r="A2" s="2" t="inlineStr">
        <is>
          <t>Her regner du ingenting. Nøkkeltallene er ferdig utregnet — du skal vurdere.</t>
        </is>
      </c>
    </row>
    <row r="4">
      <c r="A4" s="4" t="inlineStr">
        <is>
          <t>Situasjonen</t>
        </is>
      </c>
    </row>
    <row r="5">
      <c r="A5" s="6" t="inlineStr">
        <is>
          <t>To elektrobedrifter søker banken om utvidet kassekreditt før en stor rammeavtale. Bare én kan få ja.</t>
        </is>
      </c>
    </row>
    <row r="6">
      <c r="A6" s="6" t="inlineStr">
        <is>
          <t>Bedrift A er Nordlys Elektro AS. Tallene hentes fra arket «Nøkkeltall».</t>
        </is>
      </c>
    </row>
    <row r="7">
      <c r="A7" s="6" t="inlineStr">
        <is>
          <t>Bedrift B er Kystfiber Entreprenør AS. Tallene ligger i de gule cellene og kan endres.</t>
        </is>
      </c>
    </row>
    <row r="9" ht="28" customHeight="1">
      <c r="A9" s="9" t="inlineStr">
        <is>
          <t>Nøkkeltall</t>
        </is>
      </c>
      <c r="B9" s="9" t="inlineStr">
        <is>
          <t>A: Nordlys Elektro AS</t>
        </is>
      </c>
      <c r="C9" s="9" t="inlineStr">
        <is>
          <t>B: Kystfiber Entreprenør AS</t>
        </is>
      </c>
      <c r="D9" s="9" t="inlineStr">
        <is>
          <t>Bransje eller norm</t>
        </is>
      </c>
      <c r="E9" s="9" t="inlineStr">
        <is>
          <t>Hvem har det høyeste tallet?</t>
        </is>
      </c>
    </row>
    <row r="10">
      <c r="A10" s="6" t="inlineStr">
        <is>
          <t>Driftsmargin</t>
        </is>
      </c>
      <c r="B10" s="18">
        <f>Nøkkeltall!C6</f>
        <v/>
      </c>
      <c r="C10" s="15" t="n">
        <v>0.095</v>
      </c>
      <c r="D10" s="22">
        <f>Nøkkeltall!D6</f>
        <v/>
      </c>
      <c r="E10" s="7">
        <f>IF(C10&gt;B10,"B","A")</f>
        <v/>
      </c>
    </row>
    <row r="11">
      <c r="A11" s="6" t="inlineStr">
        <is>
          <t>Totalkapitalrentabilitet</t>
        </is>
      </c>
      <c r="B11" s="18">
        <f>Nøkkeltall!C7</f>
        <v/>
      </c>
      <c r="C11" s="15" t="n">
        <v>0.19</v>
      </c>
      <c r="D11" s="22">
        <f>Nøkkeltall!D7</f>
        <v/>
      </c>
      <c r="E11" s="7">
        <f>IF(C11&gt;B11,"B","A")</f>
        <v/>
      </c>
    </row>
    <row r="12">
      <c r="A12" s="6" t="inlineStr">
        <is>
          <t>Egenkapitalrentabilitet</t>
        </is>
      </c>
      <c r="B12" s="18">
        <f>Nøkkeltall!C8</f>
        <v/>
      </c>
      <c r="C12" s="15" t="n">
        <v>0.95</v>
      </c>
      <c r="D12" s="22">
        <f>Nøkkeltall!D8</f>
        <v/>
      </c>
      <c r="E12" s="7">
        <f>IF(C12&gt;B12,"B","A")</f>
        <v/>
      </c>
    </row>
    <row r="13">
      <c r="A13" s="6" t="inlineStr">
        <is>
          <t>Likviditetsgrad 1</t>
        </is>
      </c>
      <c r="B13" s="18">
        <f>Nøkkeltall!C9</f>
        <v/>
      </c>
      <c r="C13" s="15" t="n">
        <v>0.92</v>
      </c>
      <c r="D13" s="22">
        <f>Nøkkeltall!D9</f>
        <v/>
      </c>
      <c r="E13" s="7">
        <f>IF(C13&gt;B13,"B","A")</f>
        <v/>
      </c>
    </row>
    <row r="14">
      <c r="A14" s="6" t="inlineStr">
        <is>
          <t>Likviditetsgrad 2</t>
        </is>
      </c>
      <c r="B14" s="18">
        <f>Nøkkeltall!C10</f>
        <v/>
      </c>
      <c r="C14" s="15" t="n">
        <v>0.61</v>
      </c>
      <c r="D14" s="22">
        <f>Nøkkeltall!D10</f>
        <v/>
      </c>
      <c r="E14" s="7">
        <f>IF(C14&gt;B14,"B","A")</f>
        <v/>
      </c>
    </row>
    <row r="15">
      <c r="A15" s="6" t="inlineStr">
        <is>
          <t>Egenkapitalandel</t>
        </is>
      </c>
      <c r="B15" s="18">
        <f>Nøkkeltall!C11</f>
        <v/>
      </c>
      <c r="C15" s="15" t="n">
        <v>0.12</v>
      </c>
      <c r="D15" s="22">
        <f>Nøkkeltall!D11</f>
        <v/>
      </c>
      <c r="E15" s="7">
        <f>IF(C15&gt;B15,"B","A")</f>
        <v/>
      </c>
    </row>
    <row r="16">
      <c r="A16" s="6" t="inlineStr">
        <is>
          <t>Gjeldsgrad</t>
        </is>
      </c>
      <c r="B16" s="19">
        <f>Nøkkeltall!C12</f>
        <v/>
      </c>
      <c r="C16" s="19">
        <f>(1-C15)/C15</f>
        <v/>
      </c>
      <c r="D16" s="23">
        <f>Nøkkeltall!D12</f>
        <v/>
      </c>
      <c r="E16" s="7">
        <f>IF(C16&gt;B16,"B","A")</f>
        <v/>
      </c>
    </row>
    <row r="17">
      <c r="E17" s="3" t="inlineStr">
        <is>
          <t>Her er høyest dårligst.</t>
        </is>
      </c>
    </row>
    <row r="19">
      <c r="A19" s="4" t="inlineStr">
        <is>
          <t>Tell opp</t>
        </is>
      </c>
    </row>
    <row r="20">
      <c r="A20" s="6" t="inlineStr">
        <is>
          <t>Antall nøkkeltall der B har det høyeste tallet</t>
        </is>
      </c>
      <c r="C20" s="24">
        <f>COUNTIF(E10:E16,"B")</f>
        <v/>
      </c>
    </row>
    <row r="21">
      <c r="A21" s="6" t="inlineStr">
        <is>
          <t>Av dem: antall der høyest faktisk er best</t>
        </is>
      </c>
      <c r="C21" s="24">
        <f>C20-IF(E16="B",1,0)</f>
        <v/>
      </c>
      <c r="E21" s="6" t="inlineStr">
        <is>
          <t>Gjeldsgraden trekkes fra — der er høyest det dårligste.</t>
        </is>
      </c>
    </row>
    <row r="23">
      <c r="A23" s="4" t="inlineStr">
        <is>
          <t>Kontroll</t>
        </is>
      </c>
    </row>
    <row r="24">
      <c r="A24" s="6" t="inlineStr">
        <is>
          <t>Ser søker B mest lønnsom ut?</t>
        </is>
      </c>
      <c r="B24" s="13">
        <f>IF(AND(E10="B",E11="B",E12="B"),"AVVIK: søker B er best på alle tre lønnsomhetstallene. Nettopp derfor er dette en felle — banken hefter for soliditeten, ikke for lønnsomheten","OK — søker B er ikke best på alle lønnsomhetstallene")</f>
        <v/>
      </c>
    </row>
    <row r="25">
      <c r="A25" s="3" t="inlineStr">
        <is>
          <t>Her SKAL det stå AVVIK med tallene som ligger inne. Det er hele poenget i oppgave A3.</t>
        </is>
      </c>
    </row>
    <row r="26">
      <c r="A26" s="6" t="inlineStr">
        <is>
          <t>Klarer søker B den kortsiktige gjelden?</t>
        </is>
      </c>
      <c r="B26" s="13">
        <f>IF(C13&gt;=1,"OK — omløpsmidlene dekker den kortsiktige gjelden","AVVIK: likviditetsgrad 1 er under 100 prosent — omløpsmidlene dekker ikke engang gjelden som forfaller i år")</f>
        <v/>
      </c>
    </row>
    <row r="27">
      <c r="A27" s="6" t="inlineStr">
        <is>
          <t>Stemmer søker Bs gjeldsgrad med egenkapitalandelen?</t>
        </is>
      </c>
      <c r="B27" s="13">
        <f>IF(ABS(C16-(1-C15)/C15)&lt;0.001,"OK — de to henger sammen","AVVIK: gjeldsgraden er regnet av noe annet enn egenkapitalandelen")</f>
        <v/>
      </c>
    </row>
    <row r="29">
      <c r="A29" s="4" t="inlineStr">
        <is>
          <t>Spørsmålene du skal svare på</t>
        </is>
      </c>
    </row>
    <row r="30">
      <c r="A30" s="6" t="inlineStr">
        <is>
          <t>1. Hvilken av de to vil banken låne ut til? Gi tre argumenter.</t>
        </is>
      </c>
    </row>
    <row r="31">
      <c r="A31" s="6" t="inlineStr">
        <is>
          <t>2. Minst ett av argumentene skal bruke et normtall fra læreboka.</t>
        </is>
      </c>
    </row>
    <row r="32">
      <c r="A32" s="6" t="inlineStr">
        <is>
          <t>3. B har nesten dobbelt så høy egenkapitalrentabilitet som A. Forklar hvorfor det ikke gjør B til den tryggeste låntakeren.</t>
        </is>
      </c>
    </row>
    <row r="33">
      <c r="A33" s="6" t="inlineStr">
        <is>
          <t>4. Hvilke tre tiltak ville du krevd av den som får nei?</t>
        </is>
      </c>
    </row>
    <row r="34">
      <c r="A34" s="6" t="inlineStr">
        <is>
          <t>5. Hva mangler du i denne tabellen for å være helt trygg på vurderingen din?</t>
        </is>
      </c>
    </row>
    <row r="36">
      <c r="A36" s="4" t="inlineStr">
        <is>
          <t>Skriv vurderingen din her:</t>
        </is>
      </c>
    </row>
    <row r="37">
      <c r="A37" s="5" t="inlineStr"/>
    </row>
    <row r="38">
      <c r="A38" s="5" t="inlineStr"/>
    </row>
    <row r="39">
      <c r="A39" s="5" t="inlineStr"/>
    </row>
    <row r="40">
      <c r="A40" s="5" t="inlineStr"/>
    </row>
    <row r="42">
      <c r="A42" s="3" t="inlineStr">
        <is>
          <t>Hint til spørsmål 3: se på nevneren i egenkapitalrentabiliteten. Jo mindre eierne har inne, jo større blir prosenten av det samme resultatet.</t>
        </is>
      </c>
    </row>
    <row r="43">
      <c r="A43" s="3" t="inlineStr">
        <is>
          <t>Hint til spørsmål 5: nøkkeltallene sier ingenting om når kundene betaler, eller om ordrereserven for neste år.</t>
        </is>
      </c>
    </row>
    <row r="44">
      <c r="A44" s="3" t="inlineStr">
        <is>
          <t>Kilde: metode og normtall fra Økonomistyring for LØM-emnet, kap. 4.2. Tallene for bedrift B er konstruert for øvingen; bedriftsnavnet er hentet fra casemiljøet rundt Nordlys Elektro AS.</t>
        </is>
      </c>
    </row>
  </sheetData>
  <conditionalFormatting sqref="B24">
    <cfRule type="expression" priority="1" dxfId="0" stopIfTrue="0">
      <formula>LEFT(B24,5)="AVVIK"</formula>
    </cfRule>
  </conditionalFormatting>
  <conditionalFormatting sqref="B26">
    <cfRule type="expression" priority="2" dxfId="0" stopIfTrue="0">
      <formula>LEFT(B26,5)="AVVIK"</formula>
    </cfRule>
  </conditionalFormatting>
  <conditionalFormatting sqref="B27">
    <cfRule type="expression" priority="3" dxfId="0" stopIfTrue="0">
      <formula>LEFT(B27,5)="AVVIK"</formula>
    </cfRule>
  </conditionalFormatting>
  <printOptions horizontalCentered="0"/>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E85"/>
  <sheetViews>
    <sheetView showGridLines="0" workbookViewId="0">
      <selection activeCell="A1" sqref="A1"/>
    </sheetView>
  </sheetViews>
  <sheetFormatPr baseColWidth="8" defaultRowHeight="15"/>
  <cols>
    <col width="48" customWidth="1" min="1" max="1"/>
    <col width="20" customWidth="1" min="2" max="2"/>
    <col width="20" customWidth="1" min="3" max="3"/>
    <col width="18" customWidth="1" min="4" max="4"/>
    <col width="54" customWidth="1" min="5" max="5"/>
  </cols>
  <sheetData>
    <row r="1">
      <c r="A1" s="1" t="inlineStr">
        <is>
          <t>Tre scenarioer</t>
        </is>
      </c>
    </row>
    <row r="2">
      <c r="A2" s="2" t="inlineStr">
        <is>
          <t>Endre de gule cellene og se hva som skjer. Alle tall hentes fra de andre arkene.</t>
        </is>
      </c>
    </row>
    <row r="4">
      <c r="A4" s="4" t="inlineStr">
        <is>
          <t>Scenario A · medeieren vil ha utbytte</t>
        </is>
      </c>
    </row>
    <row r="5">
      <c r="A5" s="3" t="inlineStr">
        <is>
          <t>Oppgave 4 i øvingsheftet. Utbyttet tar penger ut av både egenkapitalen og bankkontoen.</t>
        </is>
      </c>
    </row>
    <row r="7">
      <c r="A7" s="6" t="inlineStr">
        <is>
          <t>Utbytte som foreslås</t>
        </is>
      </c>
      <c r="B7" s="10" t="n">
        <v>600000</v>
      </c>
      <c r="E7" s="6" t="inlineStr">
        <is>
          <t>Endre denne og se hvor mye som skal til før tallene bryter normene.</t>
        </is>
      </c>
    </row>
    <row r="9" ht="28" customHeight="1">
      <c r="A9" s="9" t="inlineStr">
        <is>
          <t>Nøkkeltall</t>
        </is>
      </c>
      <c r="B9" s="9" t="inlineStr">
        <is>
          <t>Før utbytte</t>
        </is>
      </c>
      <c r="C9" s="9" t="inlineStr">
        <is>
          <t>Etter utbytte</t>
        </is>
      </c>
      <c r="D9" s="9" t="inlineStr">
        <is>
          <t>Norm</t>
        </is>
      </c>
      <c r="E9" s="9" t="inlineStr">
        <is>
          <t>Hva som skjer</t>
        </is>
      </c>
    </row>
    <row r="10">
      <c r="A10" s="6" t="inlineStr">
        <is>
          <t>Egenkapital</t>
        </is>
      </c>
      <c r="B10" s="11">
        <f>Nordlys!B34</f>
        <v/>
      </c>
      <c r="C10" s="11">
        <f>B10-$B$7</f>
        <v/>
      </c>
    </row>
    <row r="11">
      <c r="A11" s="6" t="inlineStr">
        <is>
          <t>Totalkapital</t>
        </is>
      </c>
      <c r="B11" s="11">
        <f>Nordlys!B29</f>
        <v/>
      </c>
      <c r="C11" s="11">
        <f>B11-$B$7</f>
        <v/>
      </c>
    </row>
    <row r="12">
      <c r="A12" s="6" t="inlineStr">
        <is>
          <t>Bankinnskudd</t>
        </is>
      </c>
      <c r="B12" s="11">
        <f>Nordlys!B27</f>
        <v/>
      </c>
      <c r="C12" s="11">
        <f>B12-$B$7</f>
        <v/>
      </c>
      <c r="E12" s="6" t="inlineStr">
        <is>
          <t>Utbyttet betales herfra. Blir tallet negativt, må bedriften trekke på kassekreditten.</t>
        </is>
      </c>
    </row>
    <row r="13">
      <c r="A13" s="6" t="inlineStr">
        <is>
          <t>Omløpsmidler</t>
        </is>
      </c>
      <c r="B13" s="11">
        <f>Nordlys!B28</f>
        <v/>
      </c>
      <c r="C13" s="11">
        <f>B13-$B$7</f>
        <v/>
      </c>
    </row>
    <row r="14">
      <c r="A14" s="8" t="inlineStr">
        <is>
          <t>Egenkapitalandel</t>
        </is>
      </c>
      <c r="B14" s="14">
        <f>B10/B11</f>
        <v/>
      </c>
      <c r="C14" s="14">
        <f>C10/C11</f>
        <v/>
      </c>
      <c r="D14" s="22">
        <f>Nøkkeltall!D11</f>
        <v/>
      </c>
      <c r="E14" s="6" t="inlineStr">
        <is>
          <t>Faller. Bedriften blir mindre solid.</t>
        </is>
      </c>
    </row>
    <row r="15">
      <c r="A15" s="8" t="inlineStr">
        <is>
          <t>Gjeldsgrad</t>
        </is>
      </c>
      <c r="B15" s="16">
        <f>(B11-B10)/B10</f>
        <v/>
      </c>
      <c r="C15" s="16">
        <f>(C11-C10)/C10</f>
        <v/>
      </c>
      <c r="D15" s="23">
        <f>Nøkkeltall!D12</f>
        <v/>
      </c>
      <c r="E15" s="6" t="inlineStr">
        <is>
          <t>Stiger. Samme sak som over, snudd på hodet.</t>
        </is>
      </c>
    </row>
    <row r="16">
      <c r="A16" s="8" t="inlineStr">
        <is>
          <t>Likviditetsgrad 1</t>
        </is>
      </c>
      <c r="B16" s="14">
        <f>B13/Nordlys!B40</f>
        <v/>
      </c>
      <c r="C16" s="14">
        <f>C13/Nordlys!B40</f>
        <v/>
      </c>
      <c r="D16" s="22">
        <f>Nøkkeltall!D9</f>
        <v/>
      </c>
    </row>
    <row r="17">
      <c r="A17" s="8" t="inlineStr">
        <is>
          <t>Likviditetsgrad 2</t>
        </is>
      </c>
      <c r="B17" s="14">
        <f>(B13-Nordlys!B25)/Nordlys!B40</f>
        <v/>
      </c>
      <c r="C17" s="14">
        <f>(C13-Nordlys!B25)/Nordlys!B40</f>
        <v/>
      </c>
      <c r="D17" s="22">
        <f>Nøkkeltall!D10</f>
        <v/>
      </c>
      <c r="E17" s="6" t="inlineStr">
        <is>
          <t>Faller. Betalingsevnen blir svakere.</t>
        </is>
      </c>
    </row>
    <row r="18">
      <c r="A18" s="8" t="inlineStr">
        <is>
          <t>Egenkapitalrentabilitet</t>
        </is>
      </c>
      <c r="B18" s="14">
        <f>Nordlys!B17/((Nordlys!B47+B10)/2)</f>
        <v/>
      </c>
      <c r="C18" s="14">
        <f>Nordlys!B17/((Nordlys!B47+C10)/2)</f>
        <v/>
      </c>
      <c r="D18" s="22">
        <f>Nøkkeltall!D8</f>
        <v/>
      </c>
      <c r="E18" s="6" t="inlineStr">
        <is>
          <t>STIGER — og det er hele poenget. Nevneren blir mindre.</t>
        </is>
      </c>
    </row>
    <row r="19">
      <c r="A19" s="6" t="inlineStr">
        <is>
          <t>Utbyttet målt mot bankinnskuddet</t>
        </is>
      </c>
      <c r="B19" s="19">
        <f>$B$7/B12</f>
        <v/>
      </c>
    </row>
    <row r="21">
      <c r="A21" s="4" t="inlineStr">
        <is>
          <t>Kontroll</t>
        </is>
      </c>
    </row>
    <row r="22">
      <c r="A22" s="6" t="inlineStr">
        <is>
          <t>Blir bedriften mindre solid av utbyttet?</t>
        </is>
      </c>
      <c r="B22" s="13">
        <f>IF(C14&lt;B14,"AVVIK: egenkapitalandelen faller og gjeldsgraden stiger. Bedriften blir svakere på alt som betyr noe for banken","OK — utbyttet svekker ikke soliditeten")</f>
        <v/>
      </c>
    </row>
    <row r="23">
      <c r="A23" s="3" t="inlineStr">
        <is>
          <t>Her SKAL det stå AVVIK med tallene som ligger inne.</t>
        </is>
      </c>
    </row>
    <row r="24">
      <c r="A24" s="6" t="inlineStr">
        <is>
          <t>Ser egenkapitalrentabiliteten bedre ut etterpå?</t>
        </is>
      </c>
      <c r="B24" s="13">
        <f>IF(C18&gt;B18,"AVVIK: egenkapitalrentabiliteten STIGER av utbyttet, samtidig som alt annet blir svakere. Et høyt tall kan være et faresignal","OK — egenkapitalrentabiliteten stiger ikke")</f>
        <v/>
      </c>
    </row>
    <row r="25">
      <c r="A25" s="3" t="inlineStr">
        <is>
          <t>Også dette SKAL vise AVVIK. Det er kapitlets viktigste advarsel, satt i tall.</t>
        </is>
      </c>
    </row>
    <row r="26">
      <c r="A26" s="6" t="inlineStr">
        <is>
          <t>Er det penger på konto til utbyttet?</t>
        </is>
      </c>
      <c r="B26" s="13">
        <f>IF(C12&gt;=0,"OK — bankinnskuddet dekker utbyttet, men se hva som blir igjen til lønn og merverdiavgift","AVVIK: bankinnskuddet dekker ikke utbyttet — pengene må hentes fra kassekreditten")</f>
        <v/>
      </c>
    </row>
    <row r="29">
      <c r="A29" s="4" t="inlineStr">
        <is>
          <t>Scenario B · hva om renta stiger?</t>
        </is>
      </c>
    </row>
    <row r="30">
      <c r="A30" s="3" t="inlineStr">
        <is>
          <t>Gjeldsgraden virker begge veier. Her ser du hvor grensen går.</t>
        </is>
      </c>
    </row>
    <row r="32">
      <c r="A32" s="6" t="inlineStr">
        <is>
          <t>Gjennomsnittlig gjeld</t>
        </is>
      </c>
      <c r="B32" s="11">
        <f>Nordlys!B51</f>
        <v/>
      </c>
    </row>
    <row r="33">
      <c r="A33" s="6" t="inlineStr">
        <is>
          <t>Rentekostnader i dag</t>
        </is>
      </c>
      <c r="B33" s="11">
        <f>Nordlys!B16</f>
        <v/>
      </c>
    </row>
    <row r="34">
      <c r="A34" s="6" t="inlineStr">
        <is>
          <t>Gjennomsnittlig lånerente i dag</t>
        </is>
      </c>
      <c r="B34" s="18">
        <f>B33/B32</f>
        <v/>
      </c>
    </row>
    <row r="35">
      <c r="A35" s="6" t="inlineStr">
        <is>
          <t>Ny lånerente</t>
        </is>
      </c>
      <c r="B35" s="15" t="n">
        <v>0.06</v>
      </c>
      <c r="E35" s="6" t="inlineStr">
        <is>
          <t>Endre denne. Hvor høyt må den før eierne taper på gjelden?</t>
        </is>
      </c>
    </row>
    <row r="36">
      <c r="A36" s="6" t="inlineStr">
        <is>
          <t>= Nye rentekostnader</t>
        </is>
      </c>
      <c r="B36" s="12">
        <f>B32*B35</f>
        <v/>
      </c>
    </row>
    <row r="37">
      <c r="A37" s="6" t="inlineStr">
        <is>
          <t>= Nytt ordinært resultat før skatt</t>
        </is>
      </c>
      <c r="B37" s="12">
        <f>Nordlys!B14+Nordlys!B15-B36</f>
        <v/>
      </c>
    </row>
    <row r="38">
      <c r="A38" s="8" t="inlineStr">
        <is>
          <t>Totalkapitalrentabilitet</t>
        </is>
      </c>
      <c r="B38" s="14">
        <f>(B37+B36)/Nordlys!B49</f>
        <v/>
      </c>
      <c r="E38" s="6" t="inlineStr">
        <is>
          <t>Uendret — TKR påvirkes ikke av renta. Rentene legges jo tilbake.</t>
        </is>
      </c>
    </row>
    <row r="39">
      <c r="A39" s="8" t="inlineStr">
        <is>
          <t>Egenkapitalrentabilitet</t>
        </is>
      </c>
      <c r="B39" s="14">
        <f>B37/Nordlys!B50</f>
        <v/>
      </c>
      <c r="E39" s="6" t="inlineStr">
        <is>
          <t>Faller når renta stiger. Her ligger hele risikoen ved gjeldsgraden.</t>
        </is>
      </c>
    </row>
    <row r="40">
      <c r="A40" s="6" t="inlineStr">
        <is>
          <t>Margin: TKR minus ny lånerente, i prosentpoeng</t>
        </is>
      </c>
      <c r="B40" s="19">
        <f>(B38-B35)*100</f>
        <v/>
      </c>
    </row>
    <row r="41">
      <c r="A41" s="6" t="inlineStr">
        <is>
          <t>Renta som gir null igjen til eierne</t>
        </is>
      </c>
      <c r="B41" s="14">
        <f>(Nordlys!B14+Nordlys!B15)/B32</f>
        <v/>
      </c>
      <c r="E41" s="6" t="inlineStr">
        <is>
          <t>Ved denne renta spiser rentekostnadene hele driftsresultatet.</t>
        </is>
      </c>
    </row>
    <row r="43">
      <c r="A43" s="4" t="inlineStr">
        <is>
          <t>Kontroll</t>
        </is>
      </c>
    </row>
    <row r="44">
      <c r="A44" s="6" t="inlineStr">
        <is>
          <t>Er totalkapitalrentabiliteten fortsatt høyere enn lånerenta?</t>
        </is>
      </c>
      <c r="B44" s="13">
        <f>IF(B38&gt;B35,"OK — den lånte kapitalen tjener fortsatt mer enn den koster","AVVIK: lånerenta har passert totalkapitalrentabiliteten. Nå spiser gjelden egenkapitalen i stedet for å løfte den")</f>
        <v/>
      </c>
    </row>
    <row r="45">
      <c r="A45" s="6" t="inlineStr">
        <is>
          <t>Er totalkapitalrentabiliteten uavhengig av renta?</t>
        </is>
      </c>
      <c r="B45" s="13">
        <f>IF(ABS(B38-Nøkkeltall!C7)&lt;0.0001,"OK — totalkapitalrentabiliteten er den samme uansett hva renta er. Det er nettopp derfor rentene legges tilbake i telleren","AVVIK: sjekk formlene — TKR skal ikke endre seg av renta alene")</f>
        <v/>
      </c>
    </row>
    <row r="48">
      <c r="A48" s="4" t="inlineStr">
        <is>
          <t>Scenario C · to bedrifter til salgs</t>
        </is>
      </c>
    </row>
    <row r="49">
      <c r="A49" s="3" t="inlineStr">
        <is>
          <t>Oppgave 5 i øvingsheftet. Begge omsetter for det samme som Nordlys. Her regner du deg fra nøkkeltallene tilbake til kroner.</t>
        </is>
      </c>
    </row>
    <row r="51" ht="28" customHeight="1">
      <c r="A51" s="9" t="inlineStr"/>
      <c r="B51" s="9" t="inlineStr">
        <is>
          <t>Fjellheim Elektro AS</t>
        </is>
      </c>
      <c r="C51" s="9" t="inlineStr">
        <is>
          <t>Sørvest Installasjon AS</t>
        </is>
      </c>
      <c r="D51" s="9" t="inlineStr">
        <is>
          <t>Bransje</t>
        </is>
      </c>
      <c r="E51" s="9" t="inlineStr">
        <is>
          <t>Hva raden betyr</t>
        </is>
      </c>
    </row>
    <row r="52">
      <c r="A52" s="6" t="inlineStr">
        <is>
          <t>Omsetning</t>
        </is>
      </c>
      <c r="B52" s="11">
        <f>Nordlys!$B$5</f>
        <v/>
      </c>
      <c r="C52" s="11">
        <f>Nordlys!$B$5</f>
        <v/>
      </c>
      <c r="E52" s="6" t="inlineStr">
        <is>
          <t>Den samme for begge — og den samme som Nordlys.</t>
        </is>
      </c>
    </row>
    <row r="53">
      <c r="A53" s="6" t="inlineStr">
        <is>
          <t>Driftsmargin</t>
        </is>
      </c>
      <c r="B53" s="15" t="n">
        <v>0.08799999999999999</v>
      </c>
      <c r="C53" s="15" t="n">
        <v>0.042</v>
      </c>
      <c r="D53" s="22">
        <f>Nøkkeltall!D6</f>
        <v/>
      </c>
    </row>
    <row r="54">
      <c r="A54" s="6" t="inlineStr">
        <is>
          <t>Totalkapitalrentabilitet</t>
        </is>
      </c>
      <c r="B54" s="15" t="n">
        <v>0.175</v>
      </c>
      <c r="C54" s="15" t="n">
        <v>0.08</v>
      </c>
      <c r="D54" s="22">
        <f>Nøkkeltall!D7</f>
        <v/>
      </c>
    </row>
    <row r="55">
      <c r="A55" s="6" t="inlineStr">
        <is>
          <t>Egenkapitalrentabilitet</t>
        </is>
      </c>
      <c r="B55" s="15" t="n">
        <v>0.62</v>
      </c>
      <c r="C55" s="15" t="n">
        <v>0.125</v>
      </c>
    </row>
    <row r="56">
      <c r="A56" s="6" t="inlineStr">
        <is>
          <t>Likviditetsgrad 1</t>
        </is>
      </c>
      <c r="B56" s="15" t="n">
        <v>1.18</v>
      </c>
      <c r="C56" s="15" t="n">
        <v>2.1</v>
      </c>
      <c r="D56" s="22">
        <f>Nøkkeltall!D9</f>
        <v/>
      </c>
    </row>
    <row r="57">
      <c r="A57" s="6" t="inlineStr">
        <is>
          <t>Likviditetsgrad 2</t>
        </is>
      </c>
      <c r="B57" s="15" t="n">
        <v>0.78</v>
      </c>
      <c r="C57" s="15" t="n">
        <v>1.55</v>
      </c>
      <c r="D57" s="22">
        <f>Nøkkeltall!D10</f>
        <v/>
      </c>
    </row>
    <row r="58">
      <c r="A58" s="6" t="inlineStr">
        <is>
          <t>Egenkapitalandel</t>
        </is>
      </c>
      <c r="B58" s="15" t="n">
        <v>0.18</v>
      </c>
      <c r="C58" s="15" t="n">
        <v>0.52</v>
      </c>
      <c r="D58" s="22">
        <f>Nøkkeltall!D11</f>
        <v/>
      </c>
    </row>
    <row r="59">
      <c r="A59" s="6" t="inlineStr">
        <is>
          <t>Gjeldsgrad</t>
        </is>
      </c>
      <c r="B59" s="19">
        <f>(1-B58)/B58</f>
        <v/>
      </c>
      <c r="C59" s="19">
        <f>(1-C58)/C58</f>
        <v/>
      </c>
      <c r="D59" s="23">
        <f>Nøkkeltall!D12</f>
        <v/>
      </c>
    </row>
    <row r="60">
      <c r="A60" s="6" t="inlineStr">
        <is>
          <t>Prisantydning for aksjene</t>
        </is>
      </c>
      <c r="B60" s="10" t="n">
        <v>6000000</v>
      </c>
      <c r="C60" s="10" t="n">
        <v>9500000</v>
      </c>
    </row>
    <row r="62">
      <c r="A62" s="4" t="inlineStr">
        <is>
          <t>Regn deg tilbake til kroner</t>
        </is>
      </c>
    </row>
    <row r="63">
      <c r="A63" s="8" t="inlineStr">
        <is>
          <t>= Driftsresultat</t>
        </is>
      </c>
      <c r="B63" s="12">
        <f>B52*B53</f>
        <v/>
      </c>
      <c r="C63" s="12">
        <f>C52*C53</f>
        <v/>
      </c>
      <c r="E63" s="6" t="inlineStr">
        <is>
          <t>Samme omsetning, svært ulikt resultat.</t>
        </is>
      </c>
    </row>
    <row r="64">
      <c r="A64" s="6" t="inlineStr">
        <is>
          <t>= Totalkapital</t>
        </is>
      </c>
      <c r="B64" s="11">
        <f>B63/B54</f>
        <v/>
      </c>
      <c r="C64" s="11">
        <f>C63/C54</f>
        <v/>
      </c>
      <c r="E64" s="6" t="inlineStr">
        <is>
          <t>Driftsresultat delt på totalkapitalrentabilitet. Forutsetter at renteinntektene er null.</t>
        </is>
      </c>
    </row>
    <row r="65">
      <c r="A65" s="8" t="inlineStr">
        <is>
          <t>= Egenkapital</t>
        </is>
      </c>
      <c r="B65" s="12">
        <f>B64*B58</f>
        <v/>
      </c>
      <c r="C65" s="12">
        <f>C64*C58</f>
        <v/>
      </c>
    </row>
    <row r="66">
      <c r="A66" s="8" t="inlineStr">
        <is>
          <t>= Gjeld</t>
        </is>
      </c>
      <c r="B66" s="12">
        <f>B64-B65</f>
        <v/>
      </c>
      <c r="C66" s="12">
        <f>C64-C65</f>
        <v/>
      </c>
    </row>
    <row r="67">
      <c r="A67" s="6" t="inlineStr">
        <is>
          <t>= Ordinært resultat før skatt</t>
        </is>
      </c>
      <c r="B67" s="11">
        <f>B55*B65</f>
        <v/>
      </c>
      <c r="C67" s="11">
        <f>C55*C65</f>
        <v/>
      </c>
    </row>
    <row r="68">
      <c r="A68" s="6" t="inlineStr">
        <is>
          <t>= Rentekostnader</t>
        </is>
      </c>
      <c r="B68" s="11">
        <f>B63-B67</f>
        <v/>
      </c>
      <c r="C68" s="11">
        <f>C63-C67</f>
        <v/>
      </c>
    </row>
    <row r="69">
      <c r="A69" s="6" t="inlineStr">
        <is>
          <t>= Gjennomsnittlig lånerente</t>
        </is>
      </c>
      <c r="B69" s="18">
        <f>B68/B66</f>
        <v/>
      </c>
      <c r="C69" s="18">
        <f>C68/C66</f>
        <v/>
      </c>
    </row>
    <row r="70">
      <c r="A70" s="6" t="inlineStr">
        <is>
          <t>Margin: TKR minus lånerente, i prosentpoeng</t>
        </is>
      </c>
      <c r="B70" s="19">
        <f>(B54-B69)*100</f>
        <v/>
      </c>
      <c r="C70" s="19">
        <f>(C54-C69)*100</f>
        <v/>
      </c>
      <c r="E70" s="6" t="inlineStr">
        <is>
          <t>Så mye kan lønnsomheten falle før eierne begynner å tape på gjelden.</t>
        </is>
      </c>
    </row>
    <row r="72">
      <c r="A72" s="4" t="inlineStr">
        <is>
          <t>Hva du faktisk betaler</t>
        </is>
      </c>
    </row>
    <row r="73">
      <c r="A73" s="6" t="inlineStr">
        <is>
          <t>Pris delt på egenkapital</t>
        </is>
      </c>
      <c r="B73" s="19">
        <f>B60/B65</f>
        <v/>
      </c>
      <c r="C73" s="19">
        <f>C60/C65</f>
        <v/>
      </c>
    </row>
    <row r="74">
      <c r="A74" s="8" t="inlineStr">
        <is>
          <t>Avkastning på kjøpesummen</t>
        </is>
      </c>
      <c r="B74" s="14">
        <f>B67/B60</f>
        <v/>
      </c>
      <c r="C74" s="14">
        <f>C67/C60</f>
        <v/>
      </c>
      <c r="E74" s="6" t="inlineStr">
        <is>
          <t>Resultat før skatt delt på det du betaler for aksjene.</t>
        </is>
      </c>
    </row>
    <row r="75">
      <c r="A75" s="8" t="inlineStr">
        <is>
          <t>= Pris PLUSS gjelden du overtar</t>
        </is>
      </c>
      <c r="B75" s="12">
        <f>B60+B66</f>
        <v/>
      </c>
      <c r="C75" s="12">
        <f>C60+C66</f>
        <v/>
      </c>
      <c r="E75" s="6" t="inlineStr">
        <is>
          <t>Dette er hva bedriften i praksis koster deg.</t>
        </is>
      </c>
    </row>
    <row r="76">
      <c r="A76" s="6" t="inlineStr">
        <is>
          <t>Forskjell mellom de to, i kroner</t>
        </is>
      </c>
      <c r="B76" s="20">
        <f>ABS(B75-C75)</f>
        <v/>
      </c>
    </row>
    <row r="77">
      <c r="A77" s="6" t="inlineStr">
        <is>
          <t>Forskjell i prosent</t>
        </is>
      </c>
      <c r="B77" s="18">
        <f>B76/B75</f>
        <v/>
      </c>
    </row>
    <row r="79">
      <c r="A79" s="4" t="inlineStr">
        <is>
          <t>Kontroll</t>
        </is>
      </c>
    </row>
    <row r="80">
      <c r="A80" s="6" t="inlineStr">
        <is>
          <t>Koster de to praktisk talt det samme?</t>
        </is>
      </c>
      <c r="B80" s="13">
        <f>IF(B77&lt;0.05,"AVVIK: de to bedriftene koster praktisk talt det samme når gjelden regnes med. Prisantydningene alene sier deg altså ingenting","OK — de to koster ulikt også når gjelden regnes med")</f>
        <v/>
      </c>
    </row>
    <row r="81">
      <c r="A81" s="3" t="inlineStr">
        <is>
          <t>Her SKAL det stå AVVIK med tallene som ligger inne. Det er hele poenget i oppgave 5.</t>
        </is>
      </c>
    </row>
    <row r="82">
      <c r="A82" s="6" t="inlineStr">
        <is>
          <t>Er rentekostnadene positive for begge?</t>
        </is>
      </c>
      <c r="B82" s="13">
        <f>IF(AND(B68&gt;0,C68&gt;0),"OK — regnestykket henger sammen for begge bedriftene","AVVIK: negative rentekostnader betyr at egenkapitalrentabiliteten er satt for høyt i forhold til driftsmarginen")</f>
        <v/>
      </c>
    </row>
    <row r="83">
      <c r="A83" s="6" t="inlineStr">
        <is>
          <t>Ligger begge over sin egen lånerente?</t>
        </is>
      </c>
      <c r="B83" s="13">
        <f>IF(AND(B54&gt;B69,C54&gt;C69),"OK — begge tjener mer på kapitalen enn den koster","AVVIK: minst én av bedriftene taper på gjelden sin")</f>
        <v/>
      </c>
    </row>
    <row r="85">
      <c r="A85" s="3" t="inlineStr">
        <is>
          <t>Kilde: Økonomistyring for LØM-emnet, kap. 4.2.1 til 4.2.4. Bransjetall: NHO Elektro, Lønnsomhetsrapport 2025, gjengitt i Elektro 24-7 19.08.2026 (hentet 10.09.2026). De 809 er bedriftene i datagrunnlaget, ikke bransjen. NHO Elektro oppgir ikke svarprosent. De to bedriftene i scenario C er konstruert for øvingen, men utledet: hver av dem er gitt fire nøkkeltall og den samme omsetningen som Nordlys, og alt annet regnes av dem.</t>
        </is>
      </c>
    </row>
  </sheetData>
  <conditionalFormatting sqref="B22">
    <cfRule type="expression" priority="1" dxfId="0" stopIfTrue="0">
      <formula>LEFT(B22,5)="AVVIK"</formula>
    </cfRule>
  </conditionalFormatting>
  <conditionalFormatting sqref="B24">
    <cfRule type="expression" priority="2" dxfId="0" stopIfTrue="0">
      <formula>LEFT(B24,5)="AVVIK"</formula>
    </cfRule>
  </conditionalFormatting>
  <conditionalFormatting sqref="B26">
    <cfRule type="expression" priority="3" dxfId="0" stopIfTrue="0">
      <formula>LEFT(B26,5)="AVVIK"</formula>
    </cfRule>
  </conditionalFormatting>
  <conditionalFormatting sqref="B44">
    <cfRule type="expression" priority="4" dxfId="0" stopIfTrue="0">
      <formula>LEFT(B44,5)="AVVIK"</formula>
    </cfRule>
  </conditionalFormatting>
  <conditionalFormatting sqref="B45">
    <cfRule type="expression" priority="5" dxfId="0" stopIfTrue="0">
      <formula>LEFT(B45,5)="AVVIK"</formula>
    </cfRule>
  </conditionalFormatting>
  <conditionalFormatting sqref="B80">
    <cfRule type="expression" priority="6" dxfId="0" stopIfTrue="0">
      <formula>LEFT(B80,5)="AVVIK"</formula>
    </cfRule>
  </conditionalFormatting>
  <conditionalFormatting sqref="B82">
    <cfRule type="expression" priority="7" dxfId="0" stopIfTrue="0">
      <formula>LEFT(B82,5)="AVVIK"</formula>
    </cfRule>
  </conditionalFormatting>
  <conditionalFormatting sqref="B83">
    <cfRule type="expression" priority="8" dxfId="0" stopIfTrue="0">
      <formula>LEFT(B83,5)="AVVIK"</formula>
    </cfRule>
  </conditionalFormatting>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2026-09-14T08:33:12Z</dcterms:created>
  <dcterms:modified xmlns:dcterms="http://purl.org/dc/terms/" xmlns:xsi="http://www.w3.org/2001/XMLSchema-instance" xsi:type="dcterms:W3CDTF">2026-10-02T09:30:55Z</dcterms:modified>
</cp:coreProperties>
</file>