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Nordlys" sheetId="3" state="visible" r:id="rId5"/>
    <sheet name="Nøkkeltall" sheetId="4" state="visible" r:id="rId6"/>
    <sheet name="Fra kapittel 3" sheetId="5" state="visible" r:id="rId7"/>
    <sheet name="Din bedrift" sheetId="6" state="visible" r:id="rId8"/>
    <sheet name="Les og tolk" sheetId="7" state="visible" r:id="rId9"/>
    <sheet name="Scenario"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<sst xmlns="http://schemas.openxmlformats.org/spreadsheetml/2006/main" count="500" uniqueCount="409">
  <si>
    <t xml:space="preserve">Hvorfor får eierne 47,9 prosent? Den enkle versjonen</t>
  </si>
  <si>
    <t xml:space="preserve">Fyll inn de fire gule cellene. Svaret står i den grønne. Alt annet regner seg selv. Vil du gå dypere, ligger alle sju nøkkeltallene i arkene bak.</t>
  </si>
  <si>
    <t xml:space="preserve">Det du vet</t>
  </si>
  <si>
    <t xml:space="preserve">Hva ble resultatet før skatt?</t>
  </si>
  <si>
    <t xml:space="preserve">Ordinært resultat før skatt. Ikke årsresultatet, for skatten sier lite om driften.</t>
  </si>
  <si>
    <t xml:space="preserve">Hvor mye betalte bedriften i renter?</t>
  </si>
  <si>
    <t xml:space="preserve">Rentekostnadene i resultatregnskapet. Det er bankens del.</t>
  </si>
  <si>
    <t xml:space="preserve">Hvor mye penger sto i bedriften i snitt gjennom året?</t>
  </si>
  <si>
    <t xml:space="preserve">Gjennomsnittlig totalkapital: alt bedriften eier, i snitt av 1. januar og 31. desember.</t>
  </si>
  <si>
    <t xml:space="preserve">Hvor mye av det var eiernes egne penger, i snitt?</t>
  </si>
  <si>
    <t xml:space="preserve">Gjennomsnittlig egenkapital. Resten er gjeld.</t>
  </si>
  <si>
    <t xml:space="preserve">Regnestykket</t>
  </si>
  <si>
    <t xml:space="preserve">Det hele kapitalen tjente</t>
  </si>
  <si>
    <t xml:space="preserve">Resultat før skatt pluss rentene. Rentene legges tilbake fordi de er bankens del.</t>
  </si>
  <si>
    <t xml:space="preserve">Totalkapitalrentabilitet</t>
  </si>
  <si>
    <t xml:space="preserve">Hva alle pengene i bedriften tjener. Bransjen ligger på 14,6 prosent.</t>
  </si>
  <si>
    <t xml:space="preserve">Gjeld i snitt gjennom året</t>
  </si>
  <si>
    <t xml:space="preserve">Det som ikke er eiernes, er lånt.</t>
  </si>
  <si>
    <t xml:space="preserve">Gjennomsnittlig gjeldsrente</t>
  </si>
  <si>
    <t xml:space="preserve">Rentene delt på all gjeld, også den rentefrie. Banken tar 7,5 % på lånene.</t>
  </si>
  <si>
    <t xml:space="preserve">EGENKAPITALRENTABILITET</t>
  </si>
  <si>
    <t xml:space="preserve">Hva eierne får igjen på sine egne penger.</t>
  </si>
  <si>
    <t xml:space="preserve">Hele kapitalen minus gjeldsrenta, i prosentpoeng</t>
  </si>
  <si>
    <t xml:space="preserve">Så mye mer tjener de lånte pengene enn de koster. Blir tallet negativt, spises egenkapitalen.</t>
  </si>
  <si>
    <t xml:space="preserve">Hva svaret betyr</t>
  </si>
  <si>
    <t xml:space="preserve">Prøv selv</t>
  </si>
  <si>
    <t xml:space="preserve">1. Dobbel rente: sett B6 til 420 000 og B5 til 980 000. Hva skjer med egenkapitalrentabiliteten?</t>
  </si>
  <si>
    <t xml:space="preserve">2. Eierne skyter inn mer: sett B8 til 4 000 000. Blir tallet til eierne høyere eller lavere? Hvorfor?</t>
  </si>
  <si>
    <t xml:space="preserve">3. Hva må stå i B5 for at B17 skal bli null eller negativt? Hva betyr det for eierne?</t>
  </si>
  <si>
    <t xml:space="preserve">Tallene er Nordlys Elektro AS sine for 2026 (sammendraget og arket «Nordlys»). Kilde: Økonomistyring for LØM-emnet, kap. 4.2.1 og 4.2.4. Nordlys Elektro AS er en konstruert casebedrift.</t>
  </si>
  <si>
    <t xml:space="preserve">Nøkkeltall — regnskapsanalyse</t>
  </si>
  <si>
    <t xml:space="preserve">LØM Økonomistyring kap. 4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</si>
  <si>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</si>
  <si>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</si>
  <si>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</si>
  <si>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</si>
  <si>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</si>
  <si>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</si>
  <si>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</si>
  <si>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</si>
  <si>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</si>
  <si>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</si>
  <si>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Fire gule celler, ett svar. Hvorfor eierne får 47,9 prosent når hele kapitalen tjener 14,3.</t>
  </si>
  <si>
    <t xml:space="preserve">Fra kapittel 3</t>
  </si>
  <si>
    <t xml:space="preserve">Broen: de ni tallene kapittel 4 henter fra resultatet og balansen i kapittel 3, og hva som faktisk er nytt her.</t>
  </si>
  <si>
    <t xml:space="preserve">Nordlys</t>
  </si>
  <si>
    <t xml:space="preserve">Resultat og balanse for Nordlys Elektro AS 2026. Gule celler er postene i regnskapet. Her ligger den ene cellen du styrer alt fra: B5.</t>
  </si>
  <si>
    <t xml:space="preserve">Nøkkeltall</t>
  </si>
  <si>
    <t xml:space="preserve">De sju nøkkeltallene regnet av Nordlys-arket, med bransjetall og normtall ved siden av. Under dem de fem effektivitetstallene, resultatgraden og de to vanligste regnefeilene.</t>
  </si>
  <si>
    <t xml:space="preserve">Din bedrift</t>
  </si>
  <si>
    <t xml:space="preserve">Samme oppstilling, tom for deg. Legg inn tallene fra din egen arbeidsplass, så følger alle sju nøkkeltallene med.</t>
  </si>
  <si>
    <t xml:space="preserve">Les og tolk</t>
  </si>
  <si>
    <t xml:space="preserve">To bedrifter side ved side. Her regner du ingenting — du skal vurdere.</t>
  </si>
  <si>
    <t xml:space="preserve">Scenario</t>
  </si>
  <si>
    <t xml:space="preserve">Tre spørsmål: hva et utbytte gjør med nøkkeltallene, hva som skjer når renta stiger, og hvilken av to bedrifter til salgs du ville kjøpt.</t>
  </si>
  <si>
    <t xml:space="preserve">De sju nøkkeltallene du skal kunne: driftsmargin, totalkapitalrentabilitet,</t>
  </si>
  <si>
    <t xml:space="preserve">egenkapitalrentabilitet, likviditetsgrad 1 og 2, egenkapitalandel og gjeldsgrad.</t>
  </si>
  <si>
    <t xml:space="preserve">Egenkapitalrentabiliteten regnes av ordinært resultat før skatt, ikke av årsresultatet.</t>
  </si>
  <si>
    <t xml:space="preserve">Rentabilitet regnes av GJENNOMSNITTLIG kapital, og krever derfor fjorårets balanse.</t>
  </si>
  <si>
    <t xml:space="preserve">Effektivitetstallene sier hvor LENGE pengene står bundet: kredittid kunder og</t>
  </si>
  <si>
    <t xml:space="preserve">leverandører, lagringstid, varelagerets og kapitalens omløpshastighet.</t>
  </si>
  <si>
    <t xml:space="preserve">Kredittidene og lagringstiden regnes med 360 dager i året, slik boka gjør.</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</si>
  <si>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</si>
  <si>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</si>
  <si>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Den ene knappen</t>
  </si>
  <si>
    <t xml:space="preserve">Nordlys!B5</t>
  </si>
  <si>
    <t xml:space="preserve">Salgsinntekt 2026</t>
  </si>
  <si>
    <t xml:space="preserve">Endrer du denne cellen, følger alle sju nøkkeltallene og alle tre scenarioene med.</t>
  </si>
  <si>
    <t xml:space="preserve">Koblingen til kapittel 3</t>
  </si>
  <si>
    <t xml:space="preserve">OK03_Bedriftens_regnskap_Regneark_Resultat_og_balanse.xlsx</t>
  </si>
  <si>
    <t xml:space="preserve">Regnearket til kapittel 3</t>
  </si>
  <si>
    <t xml:space="preserve">Nøkkeltallene her er ikke nye opplysninger. De er det samme resultatet og den samme balansen, satt opp mot hverandre. Arket «Fra kapittel 3» viser hvilke ni tall som kommer derfra, og hva som faktisk er nytt.</t>
  </si>
  <si>
    <t xml:space="preserve">Hvilken oppgave bruker hvilket ark</t>
  </si>
  <si>
    <t xml:space="preserve">Oppgave i øvingsheftet</t>
  </si>
  <si>
    <t xml:space="preserve">Ark</t>
  </si>
  <si>
    <t xml:space="preserve">Celler du endrer og leser av</t>
  </si>
  <si>
    <t xml:space="preserve">A1 · Banken har ti minutter</t>
  </si>
  <si>
    <t xml:space="preserve">Les av kolonne C, D og E i radene 6 til 12.</t>
  </si>
  <si>
    <t xml:space="preserve">A2 · Eierne får tre ganger så mye</t>
  </si>
  <si>
    <t xml:space="preserve">Nøkkeltall, Scenario</t>
  </si>
  <si>
    <t xml:space="preserve">Les av C7, C8, C15, C16 og C17. Scenario B lar deg sette renta opp i B35.</t>
  </si>
  <si>
    <t xml:space="preserve">A3 · Klasseoppgave: kredittutvalget velger</t>
  </si>
  <si>
    <t xml:space="preserve">Søker B ligger som gule celler i C10 til C15. Kolonne E viser hvem som er høyest, og opptellingen står under tabellen.</t>
  </si>
  <si>
    <t xml:space="preserve">1 · De fire lønnsomhetstallene</t>
  </si>
  <si>
    <t xml:space="preserve">Nordlys, Nøkkeltall</t>
  </si>
  <si>
    <t xml:space="preserve">Endre B5 til B18 i «Nordlys». Les av C6 i «Nøkkeltall», og avansen i C19.</t>
  </si>
  <si>
    <t xml:space="preserve">2 · Kapitalavkastningen</t>
  </si>
  <si>
    <t xml:space="preserve">Se hvordan gjennomsnittstallene kommer fram i «Nordlys» radene 45 til 51. Les av C7, C8 og C15 i «Nøkkeltall», og de to regnefeilene i C41 og C42.</t>
  </si>
  <si>
    <t xml:space="preserve">3 · Betalingsevne og soliditet</t>
  </si>
  <si>
    <t xml:space="preserve">Endre balansen i «Nordlys» B22 til B39. Les av C9, C10, C11, C12 og C18 i «Nøkkeltall». Deloppgave e) prøver du ved å flytte beløp fra B36 til B35. Effektivitetstallene i radene 27 til 35 viser hvor lenge pengene står bundet.</t>
  </si>
  <si>
    <t xml:space="preserve">4 · Medeieren vil ha utbytte</t>
  </si>
  <si>
    <t xml:space="preserve">Scenario A: legg utbyttet i B7 og les av kolonne B og C i radene 10 til 19.</t>
  </si>
  <si>
    <t xml:space="preserve">5 · Eksamensnær: hvilken ville du kjøpt?</t>
  </si>
  <si>
    <t xml:space="preserve">Scenario C: endre B53 til B60 og C53 til C60. Les av radene 63 til 77 — særlig B74 og C74, og B75, C75 og B77.</t>
  </si>
  <si>
    <t xml:space="preserve">Kontrollradene</t>
  </si>
  <si>
    <t xml:space="preserve">Hvert regneark har en kontrollblokk. Står det OK, henger tallene sammen. Står det AVVIK, farges cellen rød, og teksten sier hva som ikke går opp.</t>
  </si>
  <si>
    <t xml:space="preserve">Fem unntak: kontrollen på egenkapitalandelen i arket «Nøkkeltall», den første i «Les og tolk», de to første i scenario A og den første i scenario C skal vise AVVIK med tallene som ligger inne. Der er avviket selve svaret — Nordlys ligger under bransjen, søker B ser mest lønnsom ut, et utbytte gjør bedriften svakere samtidig som ett nøkkeltall ser bedre ut, og de to bedriftene til salgs koster praktisk talt det samme.</t>
  </si>
  <si>
    <t xml:space="preserve">Kontroller i arbeidsboka: Nordlys B43, Nordlys B54, Nordlys B55, Nøkkeltall B45, Nøkkeltall B46, Nøkkeltall B47, Nøkkeltall B48, Nøkkeltall B50, Fra kapittel 3 B33, Fra kapittel 3 B34, Din bedrift B49, Din bedrift B50, Les og tolk B24, Les og tolk B26, Les og tolk B27, Scenario B22, Scenario B24, Scenario B26, Scenario B44, Scenario B45, Scenario B80, Scenario B82, Scenario B83</t>
  </si>
  <si>
    <t xml:space="preserve">Slik henger kapitlet sammen med resten</t>
  </si>
  <si>
    <t xml:space="preserve">Balansen nøkkeltallene regnes av, er den samme som settes opp i kapittel 3. Egenkapitalandelen er den samme aksjekapitalen Kari og Tom skjøt inn i 2019, kapittel 1, pluss det bedriften har tjent siden. Og driftsmarginen er resultatet av kostnadsdelingen i kapittel 2 og timeprisen i kapittel 5.</t>
  </si>
  <si>
    <t xml:space="preserve">Kilder</t>
  </si>
  <si>
    <t xml:space="preserve">Hjertnes, J. og Skorpen, K.: Økonomistyring for LØM-emnet (ISBN 978-82-450-5544-3), kapittel 4 «Regnskapsanalyse», avsnitt 4.1 til 4.2.4 og tabell 4.2.</t>
  </si>
  <si>
    <t xml:space="preserve">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</si>
  <si>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alle ti kapitlene i Økonomistyring for LØM-emnet. Bedriftene i «Les og tolk» og i scenario C er konstruert for øvingene.</t>
  </si>
  <si>
    <t xml:space="preserve">Nordlys Elektro AS — resultat og balanse 2026</t>
  </si>
  <si>
    <t xml:space="preserve">Gule celler er postene fra regnskapet. Alt annet regner seg selv.</t>
  </si>
  <si>
    <t xml:space="preserve">1 · Resultatregnskap 2026</t>
  </si>
  <si>
    <t xml:space="preserve">SALGSINNTEKT — den ene knappen</t>
  </si>
  <si>
    <t xml:space="preserve">Dette er cellen du endrer. Alle sju nøkkeltallene og alle tre scenarioene henter herfra.</t>
  </si>
  <si>
    <t xml:space="preserve">Varekostnad materiell</t>
  </si>
  <si>
    <t xml:space="preserve">Varekostnad innleide montører</t>
  </si>
  <si>
    <t xml:space="preserve">Sum varekostnad</t>
  </si>
  <si>
    <t xml:space="preserve">Materiell og innleid hjelp.</t>
  </si>
  <si>
    <t xml:space="preserve">= Bruttofortjeneste</t>
  </si>
  <si>
    <t xml:space="preserve">Det som er igjen før dine egne folk og alle regningene.</t>
  </si>
  <si>
    <t xml:space="preserve">Lønnskostnad</t>
  </si>
  <si>
    <t xml:space="preserve">Avskrivninger</t>
  </si>
  <si>
    <t xml:space="preserve">Andre driftskostnader</t>
  </si>
  <si>
    <t xml:space="preserve">Sum driftskostnader</t>
  </si>
  <si>
    <t xml:space="preserve">= Driftsresultat</t>
  </si>
  <si>
    <t xml:space="preserve">Telleren i driftsmarginen.</t>
  </si>
  <si>
    <t xml:space="preserve">Renteinntekter</t>
  </si>
  <si>
    <t xml:space="preserve">Rentekostnader</t>
  </si>
  <si>
    <t xml:space="preserve">Legges tilbake i totalkapitalrentabiliteten — det er långivernes del.</t>
  </si>
  <si>
    <t xml:space="preserve">= Ordinært resultat før skatt</t>
  </si>
  <si>
    <t xml:space="preserve">Dette tallet brukes i både TKR og EKR.</t>
  </si>
  <si>
    <t xml:space="preserve">Skattekostnad</t>
  </si>
  <si>
    <t xml:space="preserve">= Årsresultat</t>
  </si>
  <si>
    <t xml:space="preserve">Brukes IKKE i egenkapitalrentabiliteten.</t>
  </si>
  <si>
    <t xml:space="preserve">2 · Balanse pr. 31.12.2026 — eiendeler</t>
  </si>
  <si>
    <t xml:space="preserve">Verktøy og måleinstrumenter</t>
  </si>
  <si>
    <t xml:space="preserve">Biler</t>
  </si>
  <si>
    <t xml:space="preserve">Sum anleggsmidler</t>
  </si>
  <si>
    <t xml:space="preserve">Varelager</t>
  </si>
  <si>
    <t xml:space="preserve">Det minst likvide omløpsmiddelet — trekkes ut i likviditetsgrad 2.</t>
  </si>
  <si>
    <t xml:space="preserve">Kundefordringer</t>
  </si>
  <si>
    <t xml:space="preserve">Penger som er fakturert, men ikke kommet inn.</t>
  </si>
  <si>
    <t xml:space="preserve">Bankinnskudd</t>
  </si>
  <si>
    <t xml:space="preserve">= Sum omløpsmidler</t>
  </si>
  <si>
    <t xml:space="preserve">= Sum eiendeler (totalkapital)</t>
  </si>
  <si>
    <t xml:space="preserve">3 · Balanse pr. 31.12.2026 — egenkapital og gjeld</t>
  </si>
  <si>
    <t xml:space="preserve">Aksjekapital</t>
  </si>
  <si>
    <t xml:space="preserve">Annen egenkapital</t>
  </si>
  <si>
    <t xml:space="preserve">= Sum egenkapital</t>
  </si>
  <si>
    <t xml:space="preserve">Banklån (langsiktig gjeld)</t>
  </si>
  <si>
    <t xml:space="preserve">Leverandørgjeld</t>
  </si>
  <si>
    <t xml:space="preserve">Skyldige offentlige avgifter</t>
  </si>
  <si>
    <t xml:space="preserve">Forskuddstrekk, arbeidsgiveravgift og merverdiavgift. Faste forfallsdatoer.</t>
  </si>
  <si>
    <t xml:space="preserve">Skyldige feriepenger</t>
  </si>
  <si>
    <t xml:space="preserve">Kassekreditt</t>
  </si>
  <si>
    <t xml:space="preserve">= Sum kortsiktig gjeld</t>
  </si>
  <si>
    <t xml:space="preserve">Sum gjeld</t>
  </si>
  <si>
    <t xml:space="preserve">= Sum egenkapital og gjeld</t>
  </si>
  <si>
    <t xml:space="preserve">Balanserer den?</t>
  </si>
  <si>
    <t xml:space="preserve">4 · Inngående verdier 01.01.2026</t>
  </si>
  <si>
    <t xml:space="preserve">Totalkapital ved årets begynnelse</t>
  </si>
  <si>
    <t xml:space="preserve">Hentes fra fjorårets balanse.</t>
  </si>
  <si>
    <t xml:space="preserve">Egenkapital ved årets begynnelse</t>
  </si>
  <si>
    <t xml:space="preserve">Årets overskudd er lagt til egenkapitalen, så vi trekker det fra igjen.</t>
  </si>
  <si>
    <t xml:space="preserve">Gjeld ved årets begynnelse</t>
  </si>
  <si>
    <t xml:space="preserve">= Gjennomsnittlig totalkapital</t>
  </si>
  <si>
    <t xml:space="preserve">Rentabilitetstall regnes av gjennomsnittet gjennom året,</t>
  </si>
  <si>
    <t xml:space="preserve">= Gjennomsnittlig egenkapital</t>
  </si>
  <si>
    <t xml:space="preserve">ikke av tallet på én enkelt dag.</t>
  </si>
  <si>
    <t xml:space="preserve">= Gjennomsnittlig gjeld</t>
  </si>
  <si>
    <t xml:space="preserve">Kontroll</t>
  </si>
  <si>
    <t xml:space="preserve">Går snittene opp mot hverandre?</t>
  </si>
  <si>
    <t xml:space="preserve">Er egenkapitalen ved årets begynnelse positiv?</t>
  </si>
  <si>
    <t xml:space="preserve">Kilde: Økonomistyring for LØM-emnet, kap. 3 og 4. Nordlys Elektro AS er en konstruert casebedrift som brukes i hele Økonomistyring. Dette er nøyaktig det samme resultatet og den samme balansen som i OK03_Bedriftens_regnskap_Regneark_Resultat_og_balanse.xlsx.</t>
  </si>
  <si>
    <t xml:space="preserve">De sju nøkkeltallene for Nordlys Elektro AS</t>
  </si>
  <si>
    <t xml:space="preserve">Alle tall er formler mot arket «Nordlys». Endrer du en post der, endrer nøkkeltallet seg her.</t>
  </si>
  <si>
    <t xml:space="preserve">1 · De sju</t>
  </si>
  <si>
    <t xml:space="preserve">Slik regnes det</t>
  </si>
  <si>
    <t xml:space="preserve">Verdi</t>
  </si>
  <si>
    <t xml:space="preserve">Bransje eller norm</t>
  </si>
  <si>
    <t xml:space="preserve">Vurdering</t>
  </si>
  <si>
    <t xml:space="preserve">Hva det måler</t>
  </si>
  <si>
    <t xml:space="preserve">Driftsmargin</t>
  </si>
  <si>
    <t xml:space="preserve">Driftsresultat / salgsinntekt</t>
  </si>
  <si>
    <t xml:space="preserve">Hvor mye av hver fakturerte krone som blir igjen etter at hele driften er betalt.</t>
  </si>
  <si>
    <t xml:space="preserve">(Ord. resultat før skatt + rentekostnader) / gj.sn. totalkapital</t>
  </si>
  <si>
    <t xml:space="preserve">Avkastningen på hele kapitalen, uansett hvem som har skutt den inn.</t>
  </si>
  <si>
    <t xml:space="preserve">Egenkapitalrentabilitet</t>
  </si>
  <si>
    <t xml:space="preserve">Ordinært resultat før skatt / gj.sn. egenkapital</t>
  </si>
  <si>
    <t xml:space="preserve">Avkastningen på eiernes egne penger.</t>
  </si>
  <si>
    <t xml:space="preserve">Likviditetsgrad 1</t>
  </si>
  <si>
    <t xml:space="preserve">Omløpsmidler / kortsiktig gjeld</t>
  </si>
  <si>
    <t xml:space="preserve">Om omløpsmidlene dekker gjelden som forfaller i år.</t>
  </si>
  <si>
    <t xml:space="preserve">Likviditetsgrad 2</t>
  </si>
  <si>
    <t xml:space="preserve">(Omløpsmidler − varelager) / kortsiktig gjeld</t>
  </si>
  <si>
    <t xml:space="preserve">Samme spørsmål, men uten det minst likvide omløpsmiddelet.</t>
  </si>
  <si>
    <t xml:space="preserve">Egenkapitalandel</t>
  </si>
  <si>
    <t xml:space="preserve">Egenkapital / totalkapital</t>
  </si>
  <si>
    <t xml:space="preserve">Hvor mye bedriften tåler å tape før det er långivernes penger som forsvinner.</t>
  </si>
  <si>
    <t xml:space="preserve">Gjeldsgrad</t>
  </si>
  <si>
    <t xml:space="preserve">Sum gjeld / egenkapital</t>
  </si>
  <si>
    <t xml:space="preserve">Hvor mange kroner bedriften skylder per krone eierne har inne.</t>
  </si>
  <si>
    <t xml:space="preserve">2 · Sammenhengen som er kapitlets poeng</t>
  </si>
  <si>
    <t xml:space="preserve">Rentekostnader delt på gjennomsnittlig gjeld, også den rentefrie. Banken tar 7,5 % på lån og kassekreditt.</t>
  </si>
  <si>
    <t xml:space="preserve">Margin: TKR minus gjeldsrente, i prosentpoeng</t>
  </si>
  <si>
    <t xml:space="preserve">Så mye kan lønnsomheten falle før gjelden begynner å spise egenkapitalen.</t>
  </si>
  <si>
    <t xml:space="preserve">EKR delt på TKR</t>
  </si>
  <si>
    <t xml:space="preserve">Hvor mange ganger mer eierne får enn kapitalen som helhet.</t>
  </si>
  <si>
    <t xml:space="preserve">Arbeidskapital</t>
  </si>
  <si>
    <t xml:space="preserve">Omløpsmidler minus kortsiktig gjeld, i kroner. Må være positiv.</t>
  </si>
  <si>
    <t xml:space="preserve">Avanse (bruttofortjeneste / varekostnad)</t>
  </si>
  <si>
    <t xml:space="preserve">Samme kroner som bruttofortjenesten, men delt på varekostnaden i stedet for på salget.</t>
  </si>
  <si>
    <t xml:space="preserve">3 · Effektivitet — hvor lenge står pengene bundet?</t>
  </si>
  <si>
    <t xml:space="preserve">Merverdiavgiftssats</t>
  </si>
  <si>
    <t xml:space="preserve">Kredittidene regnes av fakturabeløpet, og det er med mva. Salgsinntekten i resultatet er uten.</t>
  </si>
  <si>
    <t xml:space="preserve">Salgsinntekt inkl. mva.</t>
  </si>
  <si>
    <t xml:space="preserve">Varekjøp inkl. mva.</t>
  </si>
  <si>
    <t xml:space="preserve">Vareforbruket er lik varekjøpet så lenge lageret er like stort ved inngangen og utgangen av året.</t>
  </si>
  <si>
    <t xml:space="preserve">Kredittid kunder</t>
  </si>
  <si>
    <t xml:space="preserve">Kundefordringer × 360 / salgsinntekt inkl. mva.</t>
  </si>
  <si>
    <t xml:space="preserve">Hvor mange dager det i snitt går fra du sender fakturaen til pengene er på konto.</t>
  </si>
  <si>
    <t xml:space="preserve">Kredittid leverandører</t>
  </si>
  <si>
    <t xml:space="preserve">Leverandørgjeld × 360 / varekjøp inkl. mva.</t>
  </si>
  <si>
    <t xml:space="preserve">Hvor mange dager du i snitt bruker på å betale grossisten. Dette er gratis finansiering så lenge du holder fristen.</t>
  </si>
  <si>
    <t xml:space="preserve">Varelagerets omløpshastighet</t>
  </si>
  <si>
    <t xml:space="preserve">Varekostnad / varelager</t>
  </si>
  <si>
    <t xml:space="preserve">Hvor mange ganger i året hele lageret selges ut og fylles opp igjen.</t>
  </si>
  <si>
    <t xml:space="preserve">Gjennomsnittlig lagringstid</t>
  </si>
  <si>
    <t xml:space="preserve">360 / varelagerets omløpshastighet</t>
  </si>
  <si>
    <t xml:space="preserve">Hvor lenge en kveilrull i snitt står på hylla før den er montert og fakturert.</t>
  </si>
  <si>
    <t xml:space="preserve">Kapitalens omløpshastighet</t>
  </si>
  <si>
    <t xml:space="preserve">Salgsinntekt / gj.sn. totalkapital</t>
  </si>
  <si>
    <t xml:space="preserve">Hvor mange kroner i omsetning hver krone i bedriften drar inn i løpet av et år.</t>
  </si>
  <si>
    <t xml:space="preserve">Avtalt kredittid på fakturaen, i dager</t>
  </si>
  <si>
    <t xml:space="preserve">Den samme fristen budsjettet i kapittel 9 regner med.</t>
  </si>
  <si>
    <t xml:space="preserve">Så mange dager BRUKER kundene ut over avtalen</t>
  </si>
  <si>
    <t xml:space="preserve">Dager Nordlys låner ut penger gratis.</t>
  </si>
  <si>
    <t xml:space="preserve">Ti dager kortere kredittid frigjør</t>
  </si>
  <si>
    <t xml:space="preserve">Uten én krone i økt omsetning. Fakturer samme dag jobben er ferdig, og purr.</t>
  </si>
  <si>
    <t xml:space="preserve">4 · Resultatgrad</t>
  </si>
  <si>
    <t xml:space="preserve">Resultatgrad</t>
  </si>
  <si>
    <t xml:space="preserve">(Resultat før skatt + rentekostnader) / salgsinntekt</t>
  </si>
  <si>
    <t xml:space="preserve">Hvor mye som blir igjen av hver krone du fakturerer.</t>
  </si>
  <si>
    <t xml:space="preserve">5 · De to vanligste regnefeilene</t>
  </si>
  <si>
    <t xml:space="preserve">TKR uten rentekostnadene i telleren</t>
  </si>
  <si>
    <t xml:space="preserve">For lavt. Rentene er långivernes del av avkastningen og skal legges tilbake.</t>
  </si>
  <si>
    <t xml:space="preserve">EKR med årsresultatet i telleren</t>
  </si>
  <si>
    <t xml:space="preserve">For lavt. Skattekostnaden sier lite om hvor godt bedriften drives.</t>
  </si>
  <si>
    <t xml:space="preserve">Er totalkapitalrentabiliteten høyere enn gjeldsrenta?</t>
  </si>
  <si>
    <t xml:space="preserve">Er likviditetsgrad 2 lavere enn grad 1?</t>
  </si>
  <si>
    <t xml:space="preserve">Stemmer gjeldsgraden med egenkapitalandelen?</t>
  </si>
  <si>
    <t xml:space="preserve">Ligger egenkapitalandelen på bransjenivå?</t>
  </si>
  <si>
    <t xml:space="preserve">Her SKAL det stå AVVIK med tallene som ligger inne. Nordlys ligger under bransjen, og det er nettopp poenget i kapitlet.</t>
  </si>
  <si>
    <t xml:space="preserve">Står pengene bundet lenger enn grossisten finansierer dem? (lagringstid + kredittid kunder − kredittid leverandører)</t>
  </si>
  <si>
    <t xml:space="preserve">Her SKAL det stå OK med tallene som ligger inne — og det er et problem, ikke en trøst. Dagene Nordlys finansierer selv er det kassekreditten dekker.</t>
  </si>
  <si>
    <t xml:space="preserve">Prøv dette: sett annen egenkapital i Nordlys!B33 opp til 5 000 000 og se hva som skjer med egenkapitalrentabiliteten — og med egenkapitalandelen. De går hver sin vei, og det er hele poenget.</t>
  </si>
  <si>
    <t xml:space="preserve">Prøv dette også: sett kundefordringene i Nordlys!B26 ned med 700 000 og se hva som skjer med kredittid kunder, med begge likviditetsgradene og med kapitalens omløpshastighet. Ett grep, tre tall.</t>
  </si>
  <si>
    <t xml:space="preserve">Kilde: Økonomistyring for LØM-emnet, kap. 4.2 til 4.2.4 og tabell 4.2. Bransjetall: NHO Elektro, Lønnsomhetsrapport 2025, gjengitt i Elektro 24-7 19.08.2026 (hentet 10.09.2026). De 809 er bedriftene i datagrunnlaget, ikke bransjen. NHO Elektro oppgir ikke svarprosent.</t>
  </si>
  <si>
    <t xml:space="preserve">Nøkkeltallene er ikke nye tall</t>
  </si>
  <si>
    <t xml:space="preserve">Alt i dette regnearket er hentet fra det samme resultatet og den samme balansen som i kapittel 3.</t>
  </si>
  <si>
    <t xml:space="preserve">1 · De ni tallene kapittel 4 henter fra kapittel 3</t>
  </si>
  <si>
    <t xml:space="preserve">Post</t>
  </si>
  <si>
    <t xml:space="preserve">Kroner</t>
  </si>
  <si>
    <t xml:space="preserve">Hva den brukes til her</t>
  </si>
  <si>
    <t xml:space="preserve">Salgsinntekt</t>
  </si>
  <si>
    <t xml:space="preserve">Nevneren i driftsmargin og resultatgrad.</t>
  </si>
  <si>
    <t xml:space="preserve">Driftsresultat</t>
  </si>
  <si>
    <t xml:space="preserve">Ordinært resultat før skattekostnad</t>
  </si>
  <si>
    <t xml:space="preserve">Telleren i egenkapitalrentabiliteten, og en del av telleren i totalkapitalrentabiliteten.</t>
  </si>
  <si>
    <t xml:space="preserve">Legges tilbake i totalkapitalrentabiliteten — det er långivernes del av avkastningen.</t>
  </si>
  <si>
    <t xml:space="preserve">Sum eiendeler (totalkapital)</t>
  </si>
  <si>
    <t xml:space="preserve">Nevneren i egenkapitalandelen.</t>
  </si>
  <si>
    <t xml:space="preserve">Sum egenkapital</t>
  </si>
  <si>
    <t xml:space="preserve">Telleren i egenkapitalandelen, nevneren i egenkapitalrentabiliteten.</t>
  </si>
  <si>
    <t xml:space="preserve">Sum omløpsmidler</t>
  </si>
  <si>
    <t xml:space="preserve">Telleren i likviditetsgrad 1.</t>
  </si>
  <si>
    <t xml:space="preserve">Trekkes ut av telleren i likviditetsgrad 2.</t>
  </si>
  <si>
    <t xml:space="preserve">Sum kortsiktig gjeld</t>
  </si>
  <si>
    <t xml:space="preserve">Nevneren i begge likviditetsgradene.</t>
  </si>
  <si>
    <t xml:space="preserve">2 · Hva som er nytt i kapittel 4</t>
  </si>
  <si>
    <t xml:space="preserve">Inngående totalkapital 01.01.2026</t>
  </si>
  <si>
    <t xml:space="preserve">Fjorårets balanse. Uten den kan ingen rentabilitet regnes.</t>
  </si>
  <si>
    <t xml:space="preserve">Bransjetall og normtall</t>
  </si>
  <si>
    <t xml:space="preserve">Kolonne D i arket «Nøkkeltall». Et nøkkeltall uten et sammenlikningsgrunnlag er bare et tall.</t>
  </si>
  <si>
    <t xml:space="preserve">Selve divisjonen</t>
  </si>
  <si>
    <t xml:space="preserve">Det er alt. Nøkkeltallene er de samme kronene, satt opp mot hverandre, slik at de kan sammenliknes med i fjor og med andre bedrifter.</t>
  </si>
  <si>
    <t xml:space="preserve">3 · De fire som kan regnes av balansen alene</t>
  </si>
  <si>
    <t xml:space="preserve">Regnes også i arket «Til kapittel 4» i regnearket til kapittel 3 — samme formel, samme svar.</t>
  </si>
  <si>
    <t xml:space="preserve">4 · De tre som også trenger resultatregnskapet</t>
  </si>
  <si>
    <t xml:space="preserve">Trenger driftsresultatet.</t>
  </si>
  <si>
    <t xml:space="preserve">Trenger resultat før skatt, rentekostnadene og fjorårets balanse.</t>
  </si>
  <si>
    <t xml:space="preserve">Trenger resultat før skatt og fjorårets balanse.</t>
  </si>
  <si>
    <t xml:space="preserve">Er de ni tallene formler mot arket «Nordlys»?</t>
  </si>
  <si>
    <t xml:space="preserve">Går balansetallene opp?</t>
  </si>
  <si>
    <t xml:space="preserve">Poenget: en regnskapsanalyse tilfører ingen opplysninger. Den gjør de opplysningene du allerede har, sammenliknbare — med i fjor, med bransjen og med normtall. Derfor er det ingen vei utenom kapittel 3.</t>
  </si>
  <si>
    <t xml:space="preserve">Regnearket til kapittel 3: OK03_Bedriftens_regnskap_Regneark_Resultat_og_balanse.xlsx. Der finner du de samme postene, og arket «Til kapittel 4» viser den samme broen fra den andre siden.</t>
  </si>
  <si>
    <t xml:space="preserve">Din egen bedrift — samme oppstilling</t>
  </si>
  <si>
    <t xml:space="preserve">Skriv tallene fra din egen arbeidsplass over de gule cellene. Formlene følger med.</t>
  </si>
  <si>
    <t xml:space="preserve">Bedrift</t>
  </si>
  <si>
    <t xml:space="preserve">Skriv inn navnet her</t>
  </si>
  <si>
    <t xml:space="preserve">Regnskapsår</t>
  </si>
  <si>
    <t xml:space="preserve">1 · Resultatregnskap</t>
  </si>
  <si>
    <t xml:space="preserve">2 · Balanse</t>
  </si>
  <si>
    <t xml:space="preserve">Bankinnskudd og kontanter</t>
  </si>
  <si>
    <t xml:space="preserve">Langsiktig gjeld</t>
  </si>
  <si>
    <t xml:space="preserve">= Sum gjeld</t>
  </si>
  <si>
    <t xml:space="preserve">Differanse</t>
  </si>
  <si>
    <t xml:space="preserve">Skal være 0. Er den ikke det, har du glemt en post.</t>
  </si>
  <si>
    <t xml:space="preserve">Gjennomsnittlig totalkapital</t>
  </si>
  <si>
    <t xml:space="preserve">Gjennomsnittlig egenkapital</t>
  </si>
  <si>
    <t xml:space="preserve">Gjennomsnittlig gjeld</t>
  </si>
  <si>
    <t xml:space="preserve">3 · Dine sju nøkkeltall</t>
  </si>
  <si>
    <t xml:space="preserve">Din verdi</t>
  </si>
  <si>
    <t xml:space="preserve">Balanserer din balanse?</t>
  </si>
  <si>
    <t xml:space="preserve">Tallene som ligger inne er Nordlys Elektro AS, som eksempel. Skriv over dem, så følger alle sju nøkkeltallene med.</t>
  </si>
  <si>
    <t xml:space="preserve">Får du ikke tak i alle postene, spør regnskapsføreren om «resultat og balanse for i fjor og året før». Det er alt du trenger — og du trenger fjorårets balanse for å regne rentabilitet i det hele tatt.</t>
  </si>
  <si>
    <t xml:space="preserve">To søkere, én kassekreditt</t>
  </si>
  <si>
    <t xml:space="preserve">Her regner du ingenting. Nøkkeltallene er ferdig utregnet — du skal vurdere.</t>
  </si>
  <si>
    <t xml:space="preserve">Situasjonen</t>
  </si>
  <si>
    <t xml:space="preserve">To elektrobedrifter søker banken om utvidet kassekreditt før en stor rammeavtale. Bare én kan få ja.</t>
  </si>
  <si>
    <t xml:space="preserve">Bedrift A er Nordlys Elektro AS. Tallene hentes fra arket «Nøkkeltall».</t>
  </si>
  <si>
    <t xml:space="preserve">Bedrift B er Kystfiber Entreprenør AS. Tallene ligger i de gule cellene og kan endres.</t>
  </si>
  <si>
    <t xml:space="preserve">A: Nordlys Elektro AS</t>
  </si>
  <si>
    <t xml:space="preserve">B: Kystfiber Entreprenør AS</t>
  </si>
  <si>
    <t xml:space="preserve">Hvem har det høyeste tallet?</t>
  </si>
  <si>
    <t xml:space="preserve">Her er høyest dårligst.</t>
  </si>
  <si>
    <t xml:space="preserve">Tell opp</t>
  </si>
  <si>
    <t xml:space="preserve">Antall nøkkeltall der B har det høyeste tallet</t>
  </si>
  <si>
    <t xml:space="preserve">Av dem: antall der høyest faktisk er best</t>
  </si>
  <si>
    <t xml:space="preserve">Gjeldsgraden trekkes fra — der er høyest det dårligste.</t>
  </si>
  <si>
    <t xml:space="preserve">Ser søker B mest lønnsom ut?</t>
  </si>
  <si>
    <t xml:space="preserve">Her SKAL det stå AVVIK med tallene som ligger inne. Det er hele poenget i oppgave A3.</t>
  </si>
  <si>
    <t xml:space="preserve">Klarer søker B den kortsiktige gjelden?</t>
  </si>
  <si>
    <t xml:space="preserve">Stemmer søker Bs gjeldsgrad med egenkapitalandelen?</t>
  </si>
  <si>
    <t xml:space="preserve">Spørsmålene du skal svare på</t>
  </si>
  <si>
    <t xml:space="preserve">1. Hvilken av de to vil banken låne ut til? Gi tre argumenter.</t>
  </si>
  <si>
    <t xml:space="preserve">2. Minst ett av argumentene skal bruke et normtall fra læreboka.</t>
  </si>
  <si>
    <t xml:space="preserve">3. B har nesten dobbelt så høy egenkapitalrentabilitet som A. Forklar hvorfor det ikke gjør B til den tryggeste låntakeren.</t>
  </si>
  <si>
    <t xml:space="preserve">4. Hvilke tre tiltak ville du krevd av den som får nei?</t>
  </si>
  <si>
    <t xml:space="preserve">5. Hva mangler du i denne tabellen for å være helt trygg på vurderingen din?</t>
  </si>
  <si>
    <t xml:space="preserve">Skriv vurderingen din her:</t>
  </si>
  <si>
    <t xml:space="preserve">Hint til spørsmål 3: se på nevneren i egenkapitalrentabiliteten. Jo mindre eierne har inne, jo større blir prosenten av det samme resultatet.</t>
  </si>
  <si>
    <t xml:space="preserve">Hint til spørsmål 5: nøkkeltallene sier ingenting om når kundene betaler, eller om ordrereserven for neste år.</t>
  </si>
  <si>
    <t xml:space="preserve">Kilde: metode og normtall fra Økonomistyring for LØM-emnet, kap. 4.2. Tallene for bedrift B er konstruert for øvingen; bedriftsnavnet er hentet fra casemiljøet rundt Nordlys Elektro AS.</t>
  </si>
  <si>
    <t xml:space="preserve">Tre scenarioer</t>
  </si>
  <si>
    <t xml:space="preserve">Endre de gule cellene og se hva som skjer. Alle tall hentes fra de andre arkene.</t>
  </si>
  <si>
    <t xml:space="preserve">Scenario A · medeieren vil ha utbytte</t>
  </si>
  <si>
    <t xml:space="preserve">Oppgave 4 i øvingsheftet. Utbyttet tar penger ut av både egenkapitalen og bankkontoen.</t>
  </si>
  <si>
    <t xml:space="preserve">Utbytte som foreslås</t>
  </si>
  <si>
    <t xml:space="preserve">Endre denne og se hvor mye som skal til før tallene bryter normene.</t>
  </si>
  <si>
    <t xml:space="preserve">Før utbytte</t>
  </si>
  <si>
    <t xml:space="preserve">Etter utbytte</t>
  </si>
  <si>
    <t xml:space="preserve">Norm</t>
  </si>
  <si>
    <t xml:space="preserve">Hva som skjer</t>
  </si>
  <si>
    <t xml:space="preserve">Egenkapital</t>
  </si>
  <si>
    <t xml:space="preserve">Totalkapital</t>
  </si>
  <si>
    <t xml:space="preserve">Utbyttet betales herfra. Blir tallet negativt, må bedriften trekke på kassekreditten.</t>
  </si>
  <si>
    <t xml:space="preserve">Omløpsmidler</t>
  </si>
  <si>
    <t xml:space="preserve">Faller. Bedriften blir mindre solid.</t>
  </si>
  <si>
    <t xml:space="preserve">Stiger. Samme sak som over, snudd på hodet.</t>
  </si>
  <si>
    <t xml:space="preserve">Faller. Betalingsevnen blir svakere.</t>
  </si>
  <si>
    <t xml:space="preserve">STIGER — og det er hele poenget. Nevneren blir mindre.</t>
  </si>
  <si>
    <t xml:space="preserve">Utbyttet målt mot bankinnskuddet</t>
  </si>
  <si>
    <t xml:space="preserve">Blir bedriften mindre solid av utbyttet?</t>
  </si>
  <si>
    <t xml:space="preserve">Her SKAL det stå AVVIK med tallene som ligger inne.</t>
  </si>
  <si>
    <t xml:space="preserve">Ser egenkapitalrentabiliteten bedre ut etterpå?</t>
  </si>
  <si>
    <t xml:space="preserve">Også dette SKAL vise AVVIK. Det er kapitlets viktigste advarsel, satt i tall.</t>
  </si>
  <si>
    <t xml:space="preserve">Er det penger på konto til utbyttet?</t>
  </si>
  <si>
    <t xml:space="preserve">Scenario B · hva om renta stiger?</t>
  </si>
  <si>
    <t xml:space="preserve">Gjeldsgraden virker begge veier. Her ser du hvor grensen går.</t>
  </si>
  <si>
    <t xml:space="preserve">Rentekostnader i dag</t>
  </si>
  <si>
    <t xml:space="preserve">Gjennomsnittlig gjeldsrente i dag</t>
  </si>
  <si>
    <t xml:space="preserve">Ny gjeldsrente, snitt av all gjeld (15 % på lånene, det dobbelte av i dag)</t>
  </si>
  <si>
    <t xml:space="preserve">Endre denne. Hvor høyt må den før eierne taper på gjelden?</t>
  </si>
  <si>
    <t xml:space="preserve">= Nye rentekostnader</t>
  </si>
  <si>
    <t xml:space="preserve">= Nytt ordinært resultat før skatt</t>
  </si>
  <si>
    <t xml:space="preserve">Uendret — TKR påvirkes ikke av renta. Rentene legges jo tilbake.</t>
  </si>
  <si>
    <t xml:space="preserve">Faller når renta stiger. Her ligger hele risikoen ved gjeldsgraden.</t>
  </si>
  <si>
    <t xml:space="preserve">Margin: TKR minus ny gjeldsrente, i prosentpoeng</t>
  </si>
  <si>
    <t xml:space="preserve">Renta som gir null igjen til eierne</t>
  </si>
  <si>
    <t xml:space="preserve">Ved denne renta spiser rentekostnadene hele driftsresultatet.</t>
  </si>
  <si>
    <t xml:space="preserve">Er totalkapitalrentabiliteten fortsatt høyere enn gjeldsrenta?</t>
  </si>
  <si>
    <t xml:space="preserve">Er totalkapitalrentabiliteten uavhengig av renta?</t>
  </si>
  <si>
    <t xml:space="preserve">Scenario C · to bedrifter til salgs</t>
  </si>
  <si>
    <t xml:space="preserve">Oppgave 5 i øvingsheftet. Begge omsetter for det samme som Nordlys. Her regner du deg fra nøkkeltallene tilbake til kroner.</t>
  </si>
  <si>
    <t xml:space="preserve">Fjellheim Elektro AS</t>
  </si>
  <si>
    <t xml:space="preserve">Sørvest Installasjon AS</t>
  </si>
  <si>
    <t xml:space="preserve">Bransje</t>
  </si>
  <si>
    <t xml:space="preserve">Hva raden betyr</t>
  </si>
  <si>
    <t xml:space="preserve">Omsetning</t>
  </si>
  <si>
    <t xml:space="preserve">Den samme for begge — og den samme som Nordlys.</t>
  </si>
  <si>
    <t xml:space="preserve">Prisantydning for aksjene</t>
  </si>
  <si>
    <t xml:space="preserve">Regn deg tilbake til kroner</t>
  </si>
  <si>
    <t xml:space="preserve">Samme omsetning, svært ulikt resultat.</t>
  </si>
  <si>
    <t xml:space="preserve">= Totalkapital</t>
  </si>
  <si>
    <t xml:space="preserve">Driftsresultat delt på totalkapitalrentabilitet. Forutsetter at renteinntektene er null.</t>
  </si>
  <si>
    <t xml:space="preserve">= Egenkapital</t>
  </si>
  <si>
    <t xml:space="preserve">= Gjeld</t>
  </si>
  <si>
    <t xml:space="preserve">= Rentekostnader</t>
  </si>
  <si>
    <t xml:space="preserve">= Gjennomsnittlig gjeldsrente</t>
  </si>
  <si>
    <t xml:space="preserve">Så mye kan lønnsomheten falle før eierne begynner å tape på gjelden.</t>
  </si>
  <si>
    <t xml:space="preserve">Hva du faktisk betaler</t>
  </si>
  <si>
    <t xml:space="preserve">Pris delt på egenkapital</t>
  </si>
  <si>
    <t xml:space="preserve">Avkastning på kjøpesummen</t>
  </si>
  <si>
    <t xml:space="preserve">Resultat før skatt delt på det du betaler for aksjene.</t>
  </si>
  <si>
    <t xml:space="preserve">= Pris PLUSS gjelden du overtar</t>
  </si>
  <si>
    <t xml:space="preserve">Dette er hva bedriften i praksis koster deg.</t>
  </si>
  <si>
    <t xml:space="preserve">Forskjell mellom de to, i kroner</t>
  </si>
  <si>
    <t xml:space="preserve">Forskjell i prosent</t>
  </si>
  <si>
    <t xml:space="preserve">Koster de to praktisk talt det samme?</t>
  </si>
  <si>
    <t xml:space="preserve">Her SKAL det stå AVVIK med tallene som ligger inne. Det er hele poenget i oppgave 5.</t>
  </si>
  <si>
    <t xml:space="preserve">Er rentekostnadene positive for begge?</t>
  </si>
  <si>
    <t xml:space="preserve">Ligger begge over sin egen gjeldsrente?</t>
  </si>
  <si>
    <t xml:space="preserve">Kilde: Økonomistyring for LØM-emnet, kap. 4.2.1 til 4.2.4. Bransjetall: NHO Elektro, Lønnsomhetsrapport 2025, gjengitt i Elektro 24-7 19.08.2026 (hentet 10.09.2026). De 809 er bedriftene i datagrunnlaget, ikke bransjen. NHO Elektro oppgir ikke svarprosent. De to bedriftene i scenario C er konstruert for øvingen, men utledet: hver av dem er gitt fire nøkkeltall og den samme omsetningen som Nordlys, og alt annet regnes av dem.</t>
  </si>
</sst>
</file>

<file path=xl/styles.xml><?xml version="1.0" encoding="utf-8"?>
<styleSheet xmlns="http://schemas.openxmlformats.org/spreadsheetml/2006/main">
  <numFmts count="7">
    <numFmt numFmtId="164" formatCode="General"/>
    <numFmt numFmtId="165" formatCode="#,##0"/>
    <numFmt numFmtId="166" formatCode="0.0\ %"/>
    <numFmt numFmtId="167" formatCode="0.0"/>
    <numFmt numFmtId="168" formatCode="#,##0&quot; kr&quot;"/>
    <numFmt numFmtId="169" formatCode="0.0%"/>
    <numFmt numFmtId="170" formatCode="#,##0.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5" fontId="7" fillId="4" borderId="0" xfId="0" applyFont="true" applyBorder="false" applyAlignment="true" applyProtection="false">
      <alignment horizontal="general" vertical="bottom" textRotation="0" wrapText="false" indent="0" shrinkToFit="false"/>
      <protection locked="true" hidden="false"/>
    </xf>
    <xf numFmtId="166" fontId="7" fillId="4"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6" fontId="10" fillId="5" borderId="0" xfId="0" applyFont="true" applyBorder="false" applyAlignment="true" applyProtection="false">
      <alignment horizontal="general" vertical="bottom" textRotation="0" wrapText="false" indent="0" shrinkToFit="false"/>
      <protection locked="true" hidden="false"/>
    </xf>
    <xf numFmtId="167" fontId="7" fillId="4"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true" applyProtection="false">
      <alignment horizontal="general" vertical="bottom" textRotation="0" wrapText="false" indent="0" shrinkToFit="false"/>
      <protection locked="true" hidden="false"/>
    </xf>
    <xf numFmtId="168" fontId="7" fillId="6" borderId="1" xfId="0" applyFont="true" applyBorder="true" applyAlignment="true" applyProtection="false">
      <alignment horizontal="general" vertical="bottom" textRotation="0" wrapText="false" indent="0" shrinkToFit="false"/>
      <protection locked="true" hidden="false"/>
    </xf>
    <xf numFmtId="168" fontId="11" fillId="4" borderId="1" xfId="0" applyFont="true" applyBorder="true" applyAlignment="tru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general" vertical="bottom" textRotation="0" wrapText="false" indent="0" shrinkToFit="false"/>
      <protection locked="true" hidden="false"/>
    </xf>
    <xf numFmtId="169" fontId="11" fillId="4" borderId="1" xfId="0" applyFont="true" applyBorder="true" applyAlignment="true" applyProtection="false">
      <alignment horizontal="general" vertical="bottom" textRotation="0" wrapText="false" indent="0" shrinkToFit="false"/>
      <protection locked="true" hidden="false"/>
    </xf>
    <xf numFmtId="169" fontId="8" fillId="3" borderId="1" xfId="0" applyFont="true" applyBorder="true" applyAlignment="true" applyProtection="false">
      <alignment horizontal="general" vertical="bottom" textRotation="0" wrapText="false" indent="0" shrinkToFit="false"/>
      <protection locked="true" hidden="false"/>
    </xf>
    <xf numFmtId="170" fontId="11" fillId="4" borderId="1" xfId="0" applyFont="true" applyBorder="true" applyAlignment="true" applyProtection="false">
      <alignment horizontal="general" vertical="bottom" textRotation="0" wrapText="false" indent="0" shrinkToFit="false"/>
      <protection locked="true" hidden="false"/>
    </xf>
    <xf numFmtId="170" fontId="8" fillId="3" borderId="1" xfId="0" applyFont="true" applyBorder="true" applyAlignment="true" applyProtection="false">
      <alignment horizontal="general" vertical="bottom" textRotation="0" wrapText="false" indent="0" shrinkToFit="false"/>
      <protection locked="true" hidden="false"/>
    </xf>
    <xf numFmtId="169" fontId="11" fillId="6" borderId="1" xfId="0" applyFont="true" applyBorder="true" applyAlignment="true" applyProtection="false">
      <alignment horizontal="general" vertical="bottom" textRotation="0" wrapText="false" indent="0" shrinkToFit="false"/>
      <protection locked="true" hidden="false"/>
    </xf>
    <xf numFmtId="170" fontId="11" fillId="6" borderId="1" xfId="0" applyFont="true" applyBorder="true" applyAlignment="true" applyProtection="false">
      <alignment horizontal="general" vertical="bottom" textRotation="0" wrapText="false" indent="0" shrinkToFit="false"/>
      <protection locked="true" hidden="false"/>
    </xf>
    <xf numFmtId="168" fontId="11" fillId="6"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9" fontId="7" fillId="6" borderId="1" xfId="0" applyFont="true" applyBorder="true" applyAlignment="true" applyProtection="false">
      <alignment horizontal="general" vertical="bottom" textRotation="0" wrapText="false" indent="0" shrinkToFit="false"/>
      <protection locked="true" hidden="false"/>
    </xf>
    <xf numFmtId="170" fontId="7" fillId="6" borderId="1" xfId="0" applyFont="true" applyBorder="true" applyAlignment="tru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70"/>
  </cols>
  <sheetData>
    <row r="1" customFormat="false" ht="17.25" hidden="false" customHeight="true" outlineLevel="0" collapsed="false">
      <c r="A1" s="2" t="s">
        <v>0</v>
      </c>
    </row>
    <row r="2" customFormat="false" ht="30" hidden="false" customHeight="true" outlineLevel="0" collapsed="false">
      <c r="A2" s="3" t="s">
        <v>1</v>
      </c>
      <c r="B2" s="3"/>
      <c r="C2" s="3"/>
    </row>
    <row r="4" customFormat="false" ht="15" hidden="false" customHeight="true" outlineLevel="0" collapsed="false">
      <c r="A4" s="4" t="s">
        <v>2</v>
      </c>
      <c r="B4" s="5"/>
      <c r="C4" s="5"/>
    </row>
    <row r="5" customFormat="false" ht="15" hidden="false" customHeight="true" outlineLevel="0" collapsed="false">
      <c r="A5" s="6" t="s">
        <v>3</v>
      </c>
      <c r="B5" s="7" t="n">
        <v>1167500</v>
      </c>
      <c r="C5" s="8" t="s">
        <v>4</v>
      </c>
    </row>
    <row r="6" customFormat="false" ht="15" hidden="false" customHeight="true" outlineLevel="0" collapsed="false">
      <c r="A6" s="6" t="s">
        <v>5</v>
      </c>
      <c r="B6" s="7" t="n">
        <v>232500</v>
      </c>
      <c r="C6" s="8" t="s">
        <v>6</v>
      </c>
    </row>
    <row ht="27" customHeight="true" r="7" customFormat="false" hidden="false" outlineLevel="0" collapsed="false">
      <c r="A7" s="6" t="s">
        <v>7</v>
      </c>
      <c r="B7" s="7" t="n">
        <v>9791325</v>
      </c>
      <c r="C7" s="8" t="s">
        <v>8</v>
      </c>
    </row>
    <row r="8" customFormat="false" ht="15" hidden="false" customHeight="true" outlineLevel="0" collapsed="false">
      <c r="A8" s="6" t="s">
        <v>9</v>
      </c>
      <c r="B8" s="7" t="n">
        <v>2437325</v>
      </c>
      <c r="C8" s="8" t="s">
        <v>10</v>
      </c>
    </row>
    <row r="9" customFormat="false" ht="15" hidden="false" customHeight="true" outlineLevel="0" collapsed="false"/>
    <row r="10" customFormat="false" ht="15" hidden="false" customHeight="true" outlineLevel="0" collapsed="false">
      <c r="A10" s="4" t="s">
        <v>11</v>
      </c>
      <c r="B10" s="5"/>
      <c r="C10" s="5"/>
    </row>
    <row r="11" customFormat="false" ht="15" hidden="false" customHeight="true" outlineLevel="0" collapsed="false">
      <c r="A11" s="6" t="s">
        <v>12</v>
      </c>
      <c r="B11" s="9" t="n">
        <f aca="false">B5+B6</f>
        <v>1400000</v>
      </c>
      <c r="C11" s="8" t="s">
        <v>13</v>
      </c>
    </row>
    <row r="12" customFormat="false" ht="15" hidden="false" customHeight="true" outlineLevel="0" collapsed="false">
      <c r="A12" s="6" t="s">
        <v>14</v>
      </c>
      <c r="B12" s="10" t="n">
        <f aca="false">B11/B7</f>
        <v>0.142983712623164</v>
      </c>
      <c r="C12" s="8" t="s">
        <v>15</v>
      </c>
    </row>
    <row r="13" customFormat="false" ht="15" hidden="false" customHeight="true" outlineLevel="0" collapsed="false">
      <c r="A13" s="6" t="s">
        <v>16</v>
      </c>
      <c r="B13" s="9" t="n">
        <f aca="false">B7-B8</f>
        <v>7354000</v>
      </c>
      <c r="C13" s="8" t="s">
        <v>17</v>
      </c>
    </row>
    <row r="14" customFormat="false" ht="15" hidden="false" customHeight="true" outlineLevel="0" collapsed="false">
      <c r="A14" s="6" t="s">
        <v>18</v>
      </c>
      <c r="B14" s="10" t="n">
        <f aca="false">B6/B13</f>
        <v>0.0316154473755779</v>
      </c>
      <c r="C14" s="8" t="s">
        <v>19</v>
      </c>
    </row>
    <row r="15" customFormat="false" ht="15" hidden="false" customHeight="true" outlineLevel="0" collapsed="false"/>
    <row r="16" customFormat="false" ht="21" hidden="false" customHeight="true" outlineLevel="0" collapsed="false">
      <c r="A16" s="11" t="s">
        <v>20</v>
      </c>
      <c r="B16" s="12" t="n">
        <f aca="false">B5/B8</f>
        <v>0.479008749346107</v>
      </c>
      <c r="C16" s="8" t="s">
        <v>21</v>
      </c>
    </row>
    <row ht="24.75" customHeight="true" r="17" customFormat="false" hidden="false" outlineLevel="0" collapsed="false">
      <c r="A17" s="6" t="s">
        <v>22</v>
      </c>
      <c r="B17" s="13" t="n">
        <f aca="false">(B12-B14)*100</f>
        <v>11.1368265247586</v>
      </c>
      <c r="C17" s="8" t="s">
        <v>23</v>
      </c>
    </row>
    <row r="18" customFormat="false" ht="15" hidden="false" customHeight="true" outlineLevel="0" collapsed="false"/>
    <row r="19" customFormat="false" ht="15" hidden="false" customHeight="true" outlineLevel="0" collapsed="false">
      <c r="A19" s="4" t="s">
        <v>24</v>
      </c>
      <c r="B19" s="5"/>
      <c r="C19" s="5"/>
    </row>
    <row r="20" customFormat="false" ht="33.75" hidden="false" customHeight="true" outlineLevel="0" collapsed="false">
      <c r="A20" s="14" t="str">
        <f aca="false">"Eierne får "&amp;TEXT(B16,"0.0 %")&amp;" på pengene sine, mens hele kapitalen tjener "&amp;TEXT(B12,"0.0 %")&amp;". Forskjellen kommer av at lånet koster "&amp;TEXT(B14,"0.0 %")&amp;" og egenkapitalen er liten."</f>
        <v>Eierne får 47.9 % på pengene sine, mens hele kapitalen tjener 14.3 %. Forskjellen kommer av at lånet koster 3.2 % og egenkapitalen er liten.</v>
      </c>
      <c r="B20" s="14"/>
      <c r="C20" s="14"/>
    </row>
    <row r="21" customFormat="false" ht="15" hidden="false" customHeight="true" outlineLevel="0" collapsed="false"/>
    <row r="22" customFormat="false" ht="15" hidden="false" customHeight="true" outlineLevel="0" collapsed="false">
      <c r="A22" s="4" t="s">
        <v>25</v>
      </c>
      <c r="B22" s="5"/>
      <c r="C22" s="5"/>
    </row>
    <row r="23" customFormat="false" ht="27" hidden="false" customHeight="true" outlineLevel="0" collapsed="false">
      <c r="A23" s="15" t="s">
        <v>26</v>
      </c>
      <c r="B23" s="15"/>
      <c r="C23" s="15"/>
    </row>
    <row r="24" customFormat="false" ht="27" hidden="false" customHeight="true" outlineLevel="0" collapsed="false">
      <c r="A24" s="15" t="s">
        <v>27</v>
      </c>
      <c r="B24" s="15"/>
      <c r="C24" s="15"/>
    </row>
    <row r="25" customFormat="false" ht="15" hidden="false" customHeight="true" outlineLevel="0" collapsed="false">
      <c r="A25" s="15" t="s">
        <v>28</v>
      </c>
      <c r="B25" s="15"/>
      <c r="C25" s="15"/>
    </row>
    <row r="26" customFormat="false" ht="15" hidden="false" customHeight="true" outlineLevel="0" collapsed="false"/>
    <row r="27" customFormat="false" ht="27" hidden="false" customHeight="true" outlineLevel="0" collapsed="false">
      <c r="A27" s="3" t="s">
        <v>29</v>
      </c>
      <c r="B27" s="3"/>
      <c r="C27" s="3"/>
    </row>
  </sheetData>
  <mergeCells count="6">
    <mergeCell ref="A2:C2"/>
    <mergeCell ref="A20:C20"/>
    <mergeCell ref="A23:C23"/>
    <mergeCell ref="A24:C24"/>
    <mergeCell ref="A25:C25"/>
    <mergeCell ref="A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64"/>
  </cols>
  <sheetData>
    <row r="1" customFormat="false" ht="17.25" hidden="false" customHeight="true" outlineLevel="0" collapsed="false">
      <c r="A1" s="2" t="s">
        <v>30</v>
      </c>
    </row>
    <row r="2" customFormat="false" ht="15" hidden="false" customHeight="true" outlineLevel="0" collapsed="false">
      <c r="A2" s="16" t="s">
        <v>31</v>
      </c>
    </row>
    <row r="3" customFormat="false" ht="15" hidden="false" customHeight="true" outlineLevel="0" collapsed="false">
      <c r="A3" s="17" t="s">
        <v>32</v>
      </c>
    </row>
    <row r="4" customFormat="false" ht="15" hidden="false" customHeight="true" outlineLevel="0" collapsed="false">
      <c r="A4" s="18" t="s">
        <v>33</v>
      </c>
    </row>
    <row r="5" customFormat="false" ht="15" hidden="false" customHeight="true" outlineLevel="0" collapsed="false">
      <c r="A5" s="19" t="s">
        <v>34</v>
      </c>
      <c r="B5" s="20" t="s">
        <v>35</v>
      </c>
    </row>
    <row r="6" customFormat="false" ht="15" hidden="false" customHeight="true" outlineLevel="0" collapsed="false">
      <c r="A6" s="21" t="s">
        <v>36</v>
      </c>
      <c r="B6" s="20" t="s">
        <v>37</v>
      </c>
    </row>
    <row r="7" customFormat="false" ht="15" hidden="false" customHeight="true" outlineLevel="0" collapsed="false">
      <c r="A7" s="21" t="s">
        <v>38</v>
      </c>
      <c r="B7" s="20" t="s">
        <v>39</v>
      </c>
    </row>
    <row r="9" customFormat="false" ht="15" hidden="false" customHeight="true" outlineLevel="0" collapsed="false">
      <c r="A9" s="18" t="s">
        <v>40</v>
      </c>
    </row>
    <row r="10" customFormat="false" ht="15" hidden="false" customHeight="true" outlineLevel="0" collapsed="false">
      <c r="A10" s="22" t="s">
        <v>41</v>
      </c>
      <c r="B10" s="20" t="s">
        <v>42</v>
      </c>
    </row>
    <row r="11" customFormat="false" ht="15" hidden="false" customHeight="true" outlineLevel="0" collapsed="false">
      <c r="A11" s="22" t="s">
        <v>43</v>
      </c>
      <c r="B11" s="20" t="s">
        <v>44</v>
      </c>
    </row>
    <row r="12" customFormat="false" ht="15" hidden="false" customHeight="true" outlineLevel="0" collapsed="false">
      <c r="A12" s="22" t="s">
        <v>45</v>
      </c>
      <c r="B12" s="20" t="s">
        <v>46</v>
      </c>
    </row>
    <row r="13" customFormat="false" ht="15" hidden="false" customHeight="true" outlineLevel="0" collapsed="false">
      <c r="A13" s="22" t="s">
        <v>47</v>
      </c>
      <c r="B13" s="20" t="s">
        <v>48</v>
      </c>
    </row>
    <row r="14" customFormat="false" ht="15" hidden="false" customHeight="true" outlineLevel="0" collapsed="false">
      <c r="A14" s="22" t="s">
        <v>49</v>
      </c>
      <c r="B14" s="20" t="s">
        <v>50</v>
      </c>
    </row>
    <row r="15" customFormat="false" ht="15" hidden="false" customHeight="true" outlineLevel="0" collapsed="false">
      <c r="A15" s="22" t="s">
        <v>51</v>
      </c>
      <c r="B15" s="20" t="s">
        <v>52</v>
      </c>
    </row>
    <row r="16" customFormat="false" ht="15" hidden="false" customHeight="true" outlineLevel="0" collapsed="false">
      <c r="A16" s="22" t="s">
        <v>53</v>
      </c>
      <c r="B16" s="20" t="s">
        <v>54</v>
      </c>
    </row>
    <row r="18" customFormat="false" ht="15" hidden="false" customHeight="true" outlineLevel="0" collapsed="false">
      <c r="A18" s="17" t="s">
        <v>55</v>
      </c>
    </row>
    <row r="19" customFormat="false" ht="15" hidden="false" customHeight="true" outlineLevel="0" collapsed="false">
      <c r="A19" s="17" t="s">
        <v>56</v>
      </c>
    </row>
    <row r="20" customFormat="false" ht="15" hidden="false" customHeight="true" outlineLevel="0" collapsed="false">
      <c r="A20" s="17" t="s">
        <v>57</v>
      </c>
    </row>
    <row r="21" customFormat="false" ht="15" hidden="false" customHeight="true" outlineLevel="0" collapsed="false">
      <c r="A21" s="17" t="s">
        <v>58</v>
      </c>
    </row>
    <row r="22" customFormat="false" ht="15" hidden="false" customHeight="true" outlineLevel="0" collapsed="false">
      <c r="A22" s="17" t="s">
        <v>59</v>
      </c>
    </row>
    <row r="23" customFormat="false" ht="15" hidden="false" customHeight="true" outlineLevel="0" collapsed="false">
      <c r="A23" s="17" t="s">
        <v>60</v>
      </c>
    </row>
    <row r="24" customFormat="false" ht="15" hidden="false" customHeight="true" outlineLevel="0" collapsed="false">
      <c r="A24" s="17" t="s">
        <v>61</v>
      </c>
    </row>
    <row r="26" customFormat="false" ht="15" hidden="false" customHeight="true" outlineLevel="0" collapsed="false">
      <c r="A26" s="17" t="s">
        <v>62</v>
      </c>
    </row>
    <row r="27" customFormat="false" ht="15" hidden="false" customHeight="true" outlineLevel="0" collapsed="false">
      <c r="A27" s="17" t="s">
        <v>63</v>
      </c>
    </row>
    <row r="29" customFormat="false" ht="15" hidden="false" customHeight="true" outlineLevel="0" collapsed="false">
      <c r="A29" s="18" t="s">
        <v>64</v>
      </c>
    </row>
    <row r="30" customFormat="false" ht="15" hidden="false" customHeight="true" outlineLevel="0" collapsed="false">
      <c r="A30" s="20" t="s">
        <v>65</v>
      </c>
      <c r="B30" s="20" t="s">
        <v>66</v>
      </c>
      <c r="C30" s="20" t="s">
        <v>67</v>
      </c>
    </row>
    <row r="32" customFormat="false" ht="15" hidden="false" customHeight="true" outlineLevel="0" collapsed="false">
      <c r="A32" s="18" t="s">
        <v>68</v>
      </c>
    </row>
    <row r="33" customFormat="false" ht="15" hidden="false" customHeight="true" outlineLevel="0" collapsed="false">
      <c s="39" r="A33" t="s">
        <v>69</v>
      </c>
      <c r="B33" s="20" t="s">
        <v>70</v>
      </c>
      <c r="C33" s="20" t="s">
        <v>71</v>
      </c>
    </row>
    <row r="35" customFormat="false" ht="15" hidden="false" customHeight="true" outlineLevel="0" collapsed="false">
      <c r="A35" s="18" t="s">
        <v>72</v>
      </c>
    </row>
    <row r="36" customFormat="false" ht="27.75" hidden="false" customHeight="true" outlineLevel="0" collapsed="false">
      <c r="A36" s="23" t="s">
        <v>73</v>
      </c>
      <c r="B36" s="23" t="s">
        <v>74</v>
      </c>
      <c r="C36" s="23" t="s">
        <v>75</v>
      </c>
    </row>
    <row r="37" customFormat="false" ht="15" hidden="false" customHeight="true" outlineLevel="0" collapsed="false">
      <c r="A37" s="20" t="s">
        <v>76</v>
      </c>
      <c r="B37" s="22" t="s">
        <v>47</v>
      </c>
      <c r="C37" s="20" t="s">
        <v>77</v>
      </c>
    </row>
    <row r="38" customFormat="false" ht="15" hidden="false" customHeight="true" outlineLevel="0" collapsed="false">
      <c r="A38" s="20" t="s">
        <v>78</v>
      </c>
      <c r="B38" s="22" t="s">
        <v>79</v>
      </c>
      <c r="C38" s="20" t="s">
        <v>80</v>
      </c>
    </row>
    <row r="39" customFormat="false" ht="15" hidden="false" customHeight="true" outlineLevel="0" collapsed="false">
      <c r="A39" s="20" t="s">
        <v>81</v>
      </c>
      <c r="B39" s="22" t="s">
        <v>51</v>
      </c>
      <c r="C39" s="20" t="s">
        <v>82</v>
      </c>
    </row>
    <row r="40" customFormat="false" ht="15" hidden="false" customHeight="true" outlineLevel="0" collapsed="false">
      <c r="A40" s="20" t="s">
        <v>83</v>
      </c>
      <c r="B40" s="22" t="s">
        <v>84</v>
      </c>
      <c r="C40" s="20" t="s">
        <v>85</v>
      </c>
    </row>
    <row r="41" customFormat="false" ht="15" hidden="false" customHeight="true" outlineLevel="0" collapsed="false">
      <c r="A41" s="20" t="s">
        <v>86</v>
      </c>
      <c r="B41" s="22" t="s">
        <v>84</v>
      </c>
      <c r="C41" s="20" t="s">
        <v>87</v>
      </c>
    </row>
    <row r="42" customFormat="false" ht="15" hidden="false" customHeight="true" outlineLevel="0" collapsed="false">
      <c r="A42" s="20" t="s">
        <v>88</v>
      </c>
      <c r="B42" s="22" t="s">
        <v>84</v>
      </c>
      <c r="C42" s="20" t="s">
        <v>89</v>
      </c>
    </row>
    <row r="43" customFormat="false" ht="15" hidden="false" customHeight="true" outlineLevel="0" collapsed="false">
      <c r="A43" s="20" t="s">
        <v>90</v>
      </c>
      <c r="B43" s="22" t="s">
        <v>53</v>
      </c>
      <c r="C43" s="20" t="s">
        <v>91</v>
      </c>
    </row>
    <row r="44" customFormat="false" ht="15" hidden="false" customHeight="true" outlineLevel="0" collapsed="false">
      <c r="A44" s="20" t="s">
        <v>92</v>
      </c>
      <c r="B44" s="22" t="s">
        <v>53</v>
      </c>
      <c r="C44" s="20" t="s">
        <v>93</v>
      </c>
    </row>
    <row r="46" customFormat="false" ht="15" hidden="false" customHeight="true" outlineLevel="0" collapsed="false">
      <c r="A46" s="18" t="s">
        <v>94</v>
      </c>
    </row>
    <row r="47" customFormat="false" ht="15" hidden="false" customHeight="true" outlineLevel="0" collapsed="false">
      <c r="A47" s="20" t="s">
        <v>95</v>
      </c>
    </row>
    <row r="48" customFormat="false" ht="15" hidden="false" customHeight="true" outlineLevel="0" collapsed="false">
      <c r="A48" s="20" t="s">
        <v>96</v>
      </c>
    </row>
    <row r="49" customFormat="false" ht="15" hidden="false" customHeight="true" outlineLevel="0" collapsed="false">
      <c r="A49" s="17" t="s">
        <v>97</v>
      </c>
    </row>
    <row r="51" customFormat="false" ht="15" hidden="false" customHeight="true" outlineLevel="0" collapsed="false">
      <c r="A51" s="18" t="s">
        <v>98</v>
      </c>
    </row>
    <row r="52" customFormat="false" ht="15" hidden="false" customHeight="true" outlineLevel="0" collapsed="false">
      <c r="A52" s="20" t="s">
        <v>99</v>
      </c>
    </row>
    <row r="54" customFormat="false" ht="15" hidden="false" customHeight="true" outlineLevel="0" collapsed="false">
      <c r="A54" s="18" t="s">
        <v>100</v>
      </c>
    </row>
    <row r="55" customFormat="false" ht="15" hidden="false" customHeight="true" outlineLevel="0" collapsed="false">
      <c r="A55" s="17" t="s">
        <v>101</v>
      </c>
    </row>
    <row r="56" customFormat="false" ht="15" hidden="false" customHeight="true" outlineLevel="0" collapsed="false">
      <c r="A56" s="17" t="s">
        <v>102</v>
      </c>
    </row>
    <row r="57" customFormat="false" ht="15" hidden="false" customHeight="true" outlineLevel="0" collapsed="false">
      <c r="A57" s="17" t="s">
        <v>103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8"/>
    <col collapsed="false" customWidth="true" hidden="false" outlineLevel="0" max="3" min="3" style="1" width="3"/>
    <col collapsed="false" customWidth="true" hidden="false" outlineLevel="0" max="4" min="4" style="1" width="56"/>
  </cols>
  <sheetData>
    <row r="1" customFormat="false" ht="17.25" hidden="false" customHeight="true" outlineLevel="0" collapsed="false">
      <c r="A1" s="2" t="s">
        <v>104</v>
      </c>
    </row>
    <row r="2" customFormat="false" ht="15" hidden="false" customHeight="true" outlineLevel="0" collapsed="false">
      <c r="A2" s="16" t="s">
        <v>105</v>
      </c>
    </row>
    <row r="4" customFormat="false" ht="15" hidden="false" customHeight="true" outlineLevel="0" collapsed="false">
      <c r="A4" s="18" t="s">
        <v>106</v>
      </c>
    </row>
    <row r="5" customFormat="false" ht="15" hidden="false" customHeight="true" outlineLevel="0" collapsed="false">
      <c r="A5" s="22" t="s">
        <v>107</v>
      </c>
      <c r="B5" s="24" t="n">
        <v>22400000</v>
      </c>
      <c r="D5" s="20" t="s">
        <v>108</v>
      </c>
    </row>
    <row r="6" customFormat="false" ht="15" hidden="false" customHeight="true" outlineLevel="0" collapsed="false">
      <c r="A6" s="20" t="s">
        <v>109</v>
      </c>
      <c r="B6" s="24" t="n">
        <v>7990000</v>
      </c>
    </row>
    <row r="7" customFormat="false" ht="15" hidden="false" customHeight="true" outlineLevel="0" collapsed="false">
      <c r="A7" s="20" t="s">
        <v>110</v>
      </c>
      <c r="B7" s="24" t="n">
        <v>400000</v>
      </c>
    </row>
    <row r="8" customFormat="false" ht="15" hidden="false" customHeight="true" outlineLevel="0" collapsed="false">
      <c r="A8" s="20" t="s">
        <v>111</v>
      </c>
      <c r="B8" s="25" t="n">
        <f aca="false">B6+B7</f>
        <v>8390000</v>
      </c>
      <c r="D8" s="20" t="s">
        <v>112</v>
      </c>
    </row>
    <row r="9" customFormat="false" ht="15" hidden="false" customHeight="true" outlineLevel="0" collapsed="false">
      <c r="A9" s="22" t="s">
        <v>113</v>
      </c>
      <c r="B9" s="26" t="n">
        <f aca="false">B5-B8</f>
        <v>14010000</v>
      </c>
      <c r="D9" s="20" t="s">
        <v>114</v>
      </c>
    </row>
    <row r="10" customFormat="false" ht="15" hidden="false" customHeight="true" outlineLevel="0" collapsed="false">
      <c r="A10" s="20" t="s">
        <v>115</v>
      </c>
      <c r="B10" s="24" t="n">
        <v>10660000</v>
      </c>
    </row>
    <row r="11" customFormat="false" ht="15" hidden="false" customHeight="true" outlineLevel="0" collapsed="false">
      <c r="A11" s="20" t="s">
        <v>116</v>
      </c>
      <c r="B11" s="24" t="n">
        <v>620000</v>
      </c>
    </row>
    <row r="12" customFormat="false" ht="15" hidden="false" customHeight="true" outlineLevel="0" collapsed="false">
      <c r="A12" s="20" t="s">
        <v>117</v>
      </c>
      <c r="B12" s="24" t="n">
        <v>1386000</v>
      </c>
    </row>
    <row r="13" customFormat="false" ht="15" hidden="false" customHeight="true" outlineLevel="0" collapsed="false">
      <c r="A13" s="20" t="s">
        <v>118</v>
      </c>
      <c r="B13" s="25" t="n">
        <f aca="false">B8+B10+B11+B12</f>
        <v>21056000</v>
      </c>
    </row>
    <row r="14" customFormat="false" ht="15" hidden="false" customHeight="true" outlineLevel="0" collapsed="false">
      <c r="A14" s="22" t="s">
        <v>119</v>
      </c>
      <c r="B14" s="26" t="n">
        <f aca="false">B5-B13</f>
        <v>1344000</v>
      </c>
      <c r="D14" s="20" t="s">
        <v>120</v>
      </c>
    </row>
    <row r="15" customFormat="false" ht="15" hidden="false" customHeight="true" outlineLevel="0" collapsed="false">
      <c r="A15" s="20" t="s">
        <v>121</v>
      </c>
      <c r="B15" s="24" t="n">
        <v>56000</v>
      </c>
    </row>
    <row r="16" customFormat="false" ht="15" hidden="false" customHeight="true" outlineLevel="0" collapsed="false">
      <c r="A16" s="20" t="s">
        <v>122</v>
      </c>
      <c r="B16" s="24" t="n">
        <v>232500</v>
      </c>
      <c r="D16" s="20" t="s">
        <v>123</v>
      </c>
    </row>
    <row r="17" customFormat="false" ht="15" hidden="false" customHeight="true" outlineLevel="0" collapsed="false">
      <c r="A17" s="22" t="s">
        <v>124</v>
      </c>
      <c r="B17" s="26" t="n">
        <f aca="false">B14+B15-B16</f>
        <v>1167500</v>
      </c>
      <c r="D17" s="20" t="s">
        <v>125</v>
      </c>
    </row>
    <row r="18" customFormat="false" ht="15" hidden="false" customHeight="true" outlineLevel="0" collapsed="false">
      <c r="A18" s="20" t="s">
        <v>126</v>
      </c>
      <c r="B18" s="24" t="n">
        <v>256850</v>
      </c>
    </row>
    <row r="19" customFormat="false" ht="15" hidden="false" customHeight="true" outlineLevel="0" collapsed="false">
      <c r="A19" s="22" t="s">
        <v>127</v>
      </c>
      <c r="B19" s="26" t="n">
        <f aca="false">B17-B18</f>
        <v>910650</v>
      </c>
      <c r="D19" s="20" t="s">
        <v>128</v>
      </c>
    </row>
    <row r="21" customFormat="false" ht="15" hidden="false" customHeight="true" outlineLevel="0" collapsed="false">
      <c r="A21" s="18" t="s">
        <v>129</v>
      </c>
    </row>
    <row r="22" customFormat="false" ht="15" hidden="false" customHeight="true" outlineLevel="0" collapsed="false">
      <c r="A22" s="20" t="s">
        <v>130</v>
      </c>
      <c r="B22" s="24" t="n">
        <v>1200000</v>
      </c>
    </row>
    <row r="23" customFormat="false" ht="15" hidden="false" customHeight="true" outlineLevel="0" collapsed="false">
      <c r="A23" s="20" t="s">
        <v>131</v>
      </c>
      <c r="B23" s="24" t="n">
        <v>2400000</v>
      </c>
    </row>
    <row r="24" customFormat="false" ht="15" hidden="false" customHeight="true" outlineLevel="0" collapsed="false">
      <c r="A24" s="20" t="s">
        <v>132</v>
      </c>
      <c r="B24" s="25" t="n">
        <f aca="false">B22+B23</f>
        <v>3600000</v>
      </c>
    </row>
    <row r="25" customFormat="false" ht="15" hidden="false" customHeight="true" outlineLevel="0" collapsed="false">
      <c r="A25" s="20" t="s">
        <v>133</v>
      </c>
      <c r="B25" s="24" t="n">
        <v>1400000</v>
      </c>
      <c r="D25" s="20" t="s">
        <v>134</v>
      </c>
    </row>
    <row r="26" customFormat="false" ht="15" hidden="false" customHeight="true" outlineLevel="0" collapsed="false">
      <c r="A26" s="20" t="s">
        <v>135</v>
      </c>
      <c r="B26" s="24" t="n">
        <v>4200000</v>
      </c>
      <c r="D26" s="20" t="s">
        <v>136</v>
      </c>
    </row>
    <row r="27" customFormat="false" ht="15" hidden="false" customHeight="true" outlineLevel="0" collapsed="false">
      <c r="A27" s="20" t="s">
        <v>137</v>
      </c>
      <c r="B27" s="24" t="n">
        <v>982650</v>
      </c>
    </row>
    <row r="28" customFormat="false" ht="15" hidden="false" customHeight="true" outlineLevel="0" collapsed="false">
      <c r="A28" s="22" t="s">
        <v>138</v>
      </c>
      <c r="B28" s="26" t="n">
        <f aca="false">B25+B26+B27</f>
        <v>6582650</v>
      </c>
    </row>
    <row r="29" customFormat="false" ht="15" hidden="false" customHeight="true" outlineLevel="0" collapsed="false">
      <c r="A29" s="22" t="s">
        <v>139</v>
      </c>
      <c r="B29" s="26" t="n">
        <f aca="false">B24+B28</f>
        <v>10182650</v>
      </c>
    </row>
    <row r="31" customFormat="false" ht="15" hidden="false" customHeight="true" outlineLevel="0" collapsed="false">
      <c r="A31" s="18" t="s">
        <v>140</v>
      </c>
    </row>
    <row r="32" customFormat="false" ht="15" hidden="false" customHeight="true" outlineLevel="0" collapsed="false">
      <c r="A32" s="20" t="s">
        <v>141</v>
      </c>
      <c r="B32" s="24" t="n">
        <v>300000</v>
      </c>
    </row>
    <row r="33" customFormat="false" ht="15" hidden="false" customHeight="true" outlineLevel="0" collapsed="false">
      <c r="A33" s="20" t="s">
        <v>142</v>
      </c>
      <c r="B33" s="24" t="n">
        <v>2592650</v>
      </c>
    </row>
    <row r="34" customFormat="false" ht="15" hidden="false" customHeight="true" outlineLevel="0" collapsed="false">
      <c r="A34" s="22" t="s">
        <v>143</v>
      </c>
      <c r="B34" s="26" t="n">
        <f aca="false">B32+B33</f>
        <v>2892650</v>
      </c>
    </row>
    <row r="35" customFormat="false" ht="15" hidden="false" customHeight="true" outlineLevel="0" collapsed="false">
      <c r="A35" s="20" t="s">
        <v>144</v>
      </c>
      <c r="B35" s="24" t="n">
        <v>2800000</v>
      </c>
    </row>
    <row r="36" customFormat="false" ht="15" hidden="false" customHeight="true" outlineLevel="0" collapsed="false">
      <c r="A36" s="20" t="s">
        <v>145</v>
      </c>
      <c r="B36" s="24" t="n">
        <v>2100000</v>
      </c>
    </row>
    <row r="37" customFormat="false" ht="15" hidden="false" customHeight="true" outlineLevel="0" collapsed="false">
      <c r="A37" s="20" t="s">
        <v>146</v>
      </c>
      <c r="B37" s="24" t="n">
        <v>1200000</v>
      </c>
      <c r="D37" s="20" t="s">
        <v>147</v>
      </c>
    </row>
    <row r="38" customFormat="false" ht="15" hidden="false" customHeight="true" outlineLevel="0" collapsed="false">
      <c r="A38" s="20" t="s">
        <v>148</v>
      </c>
      <c r="B38" s="24" t="n">
        <v>890000</v>
      </c>
    </row>
    <row r="39" customFormat="false" ht="15" hidden="false" customHeight="true" outlineLevel="0" collapsed="false">
      <c r="A39" s="20" t="s">
        <v>149</v>
      </c>
      <c r="B39" s="24" t="n">
        <v>300000</v>
      </c>
    </row>
    <row r="40" customFormat="false" ht="15" hidden="false" customHeight="true" outlineLevel="0" collapsed="false">
      <c r="A40" s="22" t="s">
        <v>150</v>
      </c>
      <c r="B40" s="26" t="n">
        <f aca="false">B36+B37+B38+B39</f>
        <v>4490000</v>
      </c>
    </row>
    <row r="41" customFormat="false" ht="15" hidden="false" customHeight="true" outlineLevel="0" collapsed="false">
      <c r="A41" s="20" t="s">
        <v>151</v>
      </c>
      <c r="B41" s="25" t="n">
        <f aca="false">B35+B40</f>
        <v>7290000</v>
      </c>
    </row>
    <row r="42" customFormat="false" ht="15" hidden="false" customHeight="true" outlineLevel="0" collapsed="false">
      <c r="A42" s="22" t="s">
        <v>152</v>
      </c>
      <c r="B42" s="26" t="n">
        <f aca="false">B34+B41</f>
        <v>10182650</v>
      </c>
    </row>
    <row r="43" customFormat="false" ht="15" hidden="false" customHeight="true" outlineLevel="0" collapsed="false">
      <c r="A43" s="20" t="s">
        <v>153</v>
      </c>
      <c r="B43" s="27" t="str">
        <f aca="false">IF(B42=B29,"OK — de to sidene er like store","AVVIK: balansen går ikke opp")</f>
        <v>OK — de to sidene er like store</v>
      </c>
    </row>
    <row r="45" customFormat="false" ht="15" hidden="false" customHeight="true" outlineLevel="0" collapsed="false">
      <c r="A45" s="18" t="s">
        <v>154</v>
      </c>
    </row>
    <row r="46" customFormat="false" ht="15" hidden="false" customHeight="true" outlineLevel="0" collapsed="false">
      <c r="A46" s="20" t="s">
        <v>155</v>
      </c>
      <c r="B46" s="24" t="n">
        <v>9400000</v>
      </c>
      <c r="D46" s="20" t="s">
        <v>156</v>
      </c>
    </row>
    <row r="47" customFormat="false" ht="15" hidden="false" customHeight="true" outlineLevel="0" collapsed="false">
      <c r="A47" s="20" t="s">
        <v>157</v>
      </c>
      <c r="B47" s="25" t="n">
        <f aca="false">B34-B19</f>
        <v>1982000</v>
      </c>
      <c r="D47" s="20" t="s">
        <v>158</v>
      </c>
    </row>
    <row r="48" customFormat="false" ht="15" hidden="false" customHeight="true" outlineLevel="0" collapsed="false">
      <c r="A48" s="20" t="s">
        <v>159</v>
      </c>
      <c r="B48" s="25" t="n">
        <f aca="false">B46-B47</f>
        <v>7418000</v>
      </c>
    </row>
    <row r="49" customFormat="false" ht="15" hidden="false" customHeight="true" outlineLevel="0" collapsed="false">
      <c r="A49" s="22" t="s">
        <v>160</v>
      </c>
      <c r="B49" s="26" t="n">
        <f aca="false">(B46+B29)/2</f>
        <v>9791325</v>
      </c>
      <c r="D49" s="20" t="s">
        <v>161</v>
      </c>
    </row>
    <row r="50" customFormat="false" ht="15" hidden="false" customHeight="true" outlineLevel="0" collapsed="false">
      <c r="A50" s="22" t="s">
        <v>162</v>
      </c>
      <c r="B50" s="26" t="n">
        <f aca="false">(B47+B34)/2</f>
        <v>2437325</v>
      </c>
      <c r="D50" s="20" t="s">
        <v>163</v>
      </c>
    </row>
    <row r="51" customFormat="false" ht="15" hidden="false" customHeight="true" outlineLevel="0" collapsed="false">
      <c r="A51" s="22" t="s">
        <v>164</v>
      </c>
      <c r="B51" s="26" t="n">
        <f aca="false">(B48+B41)/2</f>
        <v>7354000</v>
      </c>
    </row>
    <row r="53" customFormat="false" ht="15" hidden="false" customHeight="true" outlineLevel="0" collapsed="false">
      <c r="A53" s="18" t="s">
        <v>165</v>
      </c>
    </row>
    <row r="54" customFormat="false" ht="15" hidden="false" customHeight="true" outlineLevel="0" collapsed="false">
      <c r="A54" s="20" t="s">
        <v>166</v>
      </c>
      <c r="B54" s="27" t="str">
        <f aca="false">IF(ABS(B50+B51-B49)&lt;1,"OK — gjennomsnittlig egenkapital pluss gjennomsnittlig gjeld er lik gjennomsnittlig totalkapital","AVVIK: snittene henger ikke sammen")</f>
        <v>OK — gjennomsnittlig egenkapital pluss gjennomsnittlig gjeld er lik gjennomsnittlig totalkapital</v>
      </c>
    </row>
    <row r="55" customFormat="false" ht="15" hidden="false" customHeight="true" outlineLevel="0" collapsed="false">
      <c r="A55" s="20" t="s">
        <v>167</v>
      </c>
      <c r="B55" s="27" t="str">
        <f aca="false">IF(B47&gt;0,"OK — bedriften hadde egenkapital også ved inngangen til året","AVVIK: negativ inngående egenkapital gjør egenkapitalrentabiliteten meningsløs")</f>
        <v>OK — bedriften hadde egenkapital også ved inngangen til året</v>
      </c>
    </row>
    <row r="57" customFormat="false" ht="15" hidden="false" customHeight="true" outlineLevel="0" collapsed="false">
      <c r="A57" s="17" t="s">
        <v>168</v>
      </c>
    </row>
  </sheetData>
  <conditionalFormatting sqref="B43">
    <cfRule type="expression" priority="2" aboveAverage="0" equalAverage="0" bottom="0" percent="0" rank="0" text="" dxfId="0">
      <formula>LEFT(B43,5)="AVVIK"</formula>
    </cfRule>
  </conditionalFormatting>
  <conditionalFormatting sqref="B54">
    <cfRule type="expression" priority="3" aboveAverage="0" equalAverage="0" bottom="0" percent="0" rank="0" text="" dxfId="0">
      <formula>LEFT(B54,5)="AVVIK"</formula>
    </cfRule>
  </conditionalFormatting>
  <conditionalFormatting sqref="B55">
    <cfRule type="expression" priority="4" aboveAverage="0" equalAverage="0" bottom="0" percent="0" rank="0" text="" dxfId="0">
      <formula>LEFT(B55,5)="AVVIK"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52"/>
    <col collapsed="false" customWidth="true" hidden="false" outlineLevel="0" max="3" min="3" style="1" width="15"/>
    <col collapsed="false" customWidth="true" hidden="false" outlineLevel="0" max="4" min="4" style="1" width="18"/>
    <col collapsed="false" customWidth="true" hidden="false" outlineLevel="0" max="5" min="5" style="1" width="20"/>
    <col collapsed="false" customWidth="true" hidden="false" outlineLevel="0" max="6" min="6" style="1" width="52"/>
  </cols>
  <sheetData>
    <row r="1" customFormat="false" ht="17.25" hidden="false" customHeight="true" outlineLevel="0" collapsed="false">
      <c r="A1" s="2" t="s">
        <v>169</v>
      </c>
    </row>
    <row r="2" customFormat="false" ht="15" hidden="false" customHeight="true" outlineLevel="0" collapsed="false">
      <c r="A2" s="16" t="s">
        <v>170</v>
      </c>
    </row>
    <row r="4" customFormat="false" ht="15" hidden="false" customHeight="true" outlineLevel="0" collapsed="false">
      <c r="A4" s="18" t="s">
        <v>171</v>
      </c>
    </row>
    <row r="5" customFormat="false" ht="27.75" hidden="false" customHeight="true" outlineLevel="0" collapsed="false">
      <c r="A5" s="23" t="s">
        <v>47</v>
      </c>
      <c r="B5" s="23" t="s">
        <v>172</v>
      </c>
      <c r="C5" s="23" t="s">
        <v>173</v>
      </c>
      <c r="D5" s="23" t="s">
        <v>174</v>
      </c>
      <c r="E5" s="23" t="s">
        <v>175</v>
      </c>
      <c r="F5" s="23" t="s">
        <v>176</v>
      </c>
    </row>
    <row r="6" customFormat="false" ht="15" hidden="false" customHeight="true" outlineLevel="0" collapsed="false">
      <c r="A6" s="20" t="s">
        <v>177</v>
      </c>
      <c r="B6" s="20" t="s">
        <v>178</v>
      </c>
      <c r="C6" s="28" t="n">
        <f aca="false">Nordlys!B14/Nordlys!B5</f>
        <v>0.06</v>
      </c>
      <c r="D6" s="29" t="n">
        <v>0.075</v>
      </c>
      <c r="E6" s="21" t="str">
        <f aca="false">IF(C6&gt;=D6,"Over normen","Under normen")</f>
        <v>Under normen</v>
      </c>
      <c r="F6" s="20" t="s">
        <v>179</v>
      </c>
    </row>
    <row r="7" customFormat="false" ht="15" hidden="false" customHeight="true" outlineLevel="0" collapsed="false">
      <c r="A7" s="20" t="s">
        <v>14</v>
      </c>
      <c r="B7" s="20" t="s">
        <v>180</v>
      </c>
      <c r="C7" s="28" t="n">
        <f aca="false">(Nordlys!B17+Nordlys!B16)/Nordlys!B49</f>
        <v>0.142983712623164</v>
      </c>
      <c r="D7" s="29" t="n">
        <v>0.146</v>
      </c>
      <c r="E7" s="21" t="str">
        <f aca="false">IF(C7&gt;=D7,"Over normen","Under normen")</f>
        <v>Under normen</v>
      </c>
      <c r="F7" s="20" t="s">
        <v>181</v>
      </c>
    </row>
    <row r="8" customFormat="false" ht="15" hidden="false" customHeight="true" outlineLevel="0" collapsed="false">
      <c r="A8" s="20" t="s">
        <v>182</v>
      </c>
      <c r="B8" s="20" t="s">
        <v>183</v>
      </c>
      <c r="C8" s="28" t="n">
        <f aca="false">Nordlys!B17/Nordlys!B50</f>
        <v>0.479008749346107</v>
      </c>
      <c r="D8" s="29" t="n">
        <v>0.2</v>
      </c>
      <c r="E8" s="21" t="str">
        <f aca="false">IF(C8&gt;=D8,"Over normen","Under normen")</f>
        <v>Over normen</v>
      </c>
      <c r="F8" s="20" t="s">
        <v>184</v>
      </c>
    </row>
    <row r="9" customFormat="false" ht="15" hidden="false" customHeight="true" outlineLevel="0" collapsed="false">
      <c r="A9" s="20" t="s">
        <v>185</v>
      </c>
      <c r="B9" s="20" t="s">
        <v>186</v>
      </c>
      <c r="C9" s="28" t="n">
        <f aca="false">Nordlys!B28/Nordlys!B40</f>
        <v>1.46606904231626</v>
      </c>
      <c r="D9" s="29" t="n">
        <v>2</v>
      </c>
      <c r="E9" s="21" t="str">
        <f aca="false">IF(C9&gt;=D9,"Over normen","Under normen")</f>
        <v>Under normen</v>
      </c>
      <c r="F9" s="20" t="s">
        <v>187</v>
      </c>
    </row>
    <row r="10" customFormat="false" ht="15" hidden="false" customHeight="true" outlineLevel="0" collapsed="false">
      <c r="A10" s="20" t="s">
        <v>188</v>
      </c>
      <c r="B10" s="20" t="s">
        <v>189</v>
      </c>
      <c r="C10" s="28" t="n">
        <f aca="false">(Nordlys!B28-Nordlys!B25)/Nordlys!B40</f>
        <v>1.15426503340757</v>
      </c>
      <c r="D10" s="29" t="n">
        <v>1</v>
      </c>
      <c r="E10" s="21" t="str">
        <f aca="false">IF(C10&gt;=D10,"Over normen","Under normen")</f>
        <v>Over normen</v>
      </c>
      <c r="F10" s="20" t="s">
        <v>190</v>
      </c>
    </row>
    <row r="11" customFormat="false" ht="15" hidden="false" customHeight="true" outlineLevel="0" collapsed="false">
      <c r="A11" s="20" t="s">
        <v>191</v>
      </c>
      <c r="B11" s="20" t="s">
        <v>192</v>
      </c>
      <c r="C11" s="28" t="n">
        <f aca="false">Nordlys!B34/Nordlys!B29</f>
        <v>0.284076345548556</v>
      </c>
      <c r="D11" s="29" t="n">
        <v>0.362</v>
      </c>
      <c r="E11" s="21" t="str">
        <f aca="false">IF(C11&gt;=D11,"Over normen","Under normen")</f>
        <v>Under normen</v>
      </c>
      <c r="F11" s="20" t="s">
        <v>193</v>
      </c>
    </row>
    <row r="12" customFormat="false" ht="15" hidden="false" customHeight="true" outlineLevel="0" collapsed="false">
      <c r="A12" s="20" t="s">
        <v>194</v>
      </c>
      <c r="B12" s="20" t="s">
        <v>195</v>
      </c>
      <c r="C12" s="30" t="n">
        <f aca="false">Nordlys!B41/Nordlys!B34</f>
        <v>2.52018045736608</v>
      </c>
      <c r="D12" s="31" t="n">
        <v>5</v>
      </c>
      <c r="E12" s="21" t="str">
        <f aca="false">IF(C12&lt;=D12,"Innenfor","Over grensen")</f>
        <v>Innenfor</v>
      </c>
      <c r="F12" s="20" t="s">
        <v>196</v>
      </c>
    </row>
    <row r="14" customFormat="false" ht="15" hidden="false" customHeight="true" outlineLevel="0" collapsed="false">
      <c r="A14" s="18" t="s">
        <v>197</v>
      </c>
    </row>
    <row r="15" customFormat="false" ht="15" hidden="false" customHeight="true" outlineLevel="0" collapsed="false">
      <c r="A15" s="20" t="s">
        <v>18</v>
      </c>
      <c r="C15" s="32" t="n">
        <f aca="false">Nordlys!B16/Nordlys!B51</f>
        <v>0.0316154473755779</v>
      </c>
      <c r="F15" s="20" t="s">
        <v>198</v>
      </c>
    </row>
    <row r="16" customFormat="false" ht="15" hidden="false" customHeight="true" outlineLevel="0" collapsed="false">
      <c r="A16" s="20" t="s">
        <v>199</v>
      </c>
      <c r="C16" s="33" t="n">
        <f aca="false">(C7-C15)*100</f>
        <v>11.1368265247586</v>
      </c>
      <c r="F16" s="20" t="s">
        <v>200</v>
      </c>
    </row>
    <row r="17" customFormat="false" ht="15" hidden="false" customHeight="true" outlineLevel="0" collapsed="false">
      <c r="A17" s="20" t="s">
        <v>201</v>
      </c>
      <c r="C17" s="33" t="n">
        <f aca="false">C8/C7</f>
        <v>3.35009310192234</v>
      </c>
      <c r="F17" s="20" t="s">
        <v>202</v>
      </c>
    </row>
    <row r="18" customFormat="false" ht="15" hidden="false" customHeight="true" outlineLevel="0" collapsed="false">
      <c r="A18" s="20" t="s">
        <v>203</v>
      </c>
      <c r="C18" s="34" t="n">
        <f aca="false">Nordlys!B28-Nordlys!B40</f>
        <v>2092650</v>
      </c>
      <c r="F18" s="20" t="s">
        <v>204</v>
      </c>
    </row>
    <row r="19" customFormat="false" ht="15" hidden="false" customHeight="true" outlineLevel="0" collapsed="false">
      <c r="A19" s="20" t="s">
        <v>205</v>
      </c>
      <c r="C19" s="32" t="n">
        <f aca="false">Nordlys!B9/Nordlys!B8</f>
        <v>1.66984505363528</v>
      </c>
      <c r="F19" s="20" t="s">
        <v>206</v>
      </c>
    </row>
    <row r="21" customFormat="false" ht="15" hidden="false" customHeight="true" outlineLevel="0" collapsed="false">
      <c r="A21" s="18" t="s">
        <v>207</v>
      </c>
    </row>
    <row r="22" customFormat="false" ht="15" hidden="false" customHeight="true" outlineLevel="0" collapsed="false">
      <c r="A22" s="20" t="s">
        <v>208</v>
      </c>
      <c r="B22" s="29" t="n">
        <v>0.25</v>
      </c>
      <c r="F22" s="20" t="s">
        <v>209</v>
      </c>
    </row>
    <row r="23" customFormat="false" ht="15" hidden="false" customHeight="true" outlineLevel="0" collapsed="false">
      <c r="A23" s="20" t="s">
        <v>210</v>
      </c>
      <c r="C23" s="34" t="n">
        <f aca="false">Nordlys!B5*(1+B22)</f>
        <v>28000000</v>
      </c>
    </row>
    <row r="24" customFormat="false" ht="15" hidden="false" customHeight="true" outlineLevel="0" collapsed="false">
      <c r="A24" s="20" t="s">
        <v>211</v>
      </c>
      <c r="C24" s="34" t="n">
        <f aca="false">Nordlys!B8*(1+B22)</f>
        <v>10487500</v>
      </c>
      <c r="F24" s="20" t="s">
        <v>212</v>
      </c>
    </row>
    <row r="26" customFormat="false" ht="27.75" hidden="false" customHeight="true" outlineLevel="0" collapsed="false">
      <c r="A26" s="23" t="s">
        <v>47</v>
      </c>
      <c r="B26" s="23" t="s">
        <v>172</v>
      </c>
      <c r="C26" s="23" t="s">
        <v>173</v>
      </c>
      <c r="D26" s="23"/>
      <c r="E26" s="23"/>
      <c r="F26" s="23" t="s">
        <v>176</v>
      </c>
    </row>
    <row r="27" customFormat="false" ht="15" hidden="false" customHeight="true" outlineLevel="0" collapsed="false">
      <c r="A27" s="20" t="s">
        <v>213</v>
      </c>
      <c r="B27" s="20" t="s">
        <v>214</v>
      </c>
      <c r="C27" s="30" t="n">
        <f aca="false">Nordlys!B26*360/C23</f>
        <v>54</v>
      </c>
      <c r="F27" s="20" t="s">
        <v>215</v>
      </c>
    </row>
    <row r="28" customFormat="false" ht="15" hidden="false" customHeight="true" outlineLevel="0" collapsed="false">
      <c r="A28" s="20" t="s">
        <v>216</v>
      </c>
      <c r="B28" s="20" t="s">
        <v>217</v>
      </c>
      <c r="C28" s="30" t="n">
        <f aca="false">Nordlys!B36*360/C24</f>
        <v>72.0858164481526</v>
      </c>
      <c r="F28" s="20" t="s">
        <v>218</v>
      </c>
    </row>
    <row r="29" customFormat="false" ht="15" hidden="false" customHeight="true" outlineLevel="0" collapsed="false">
      <c r="A29" s="20" t="s">
        <v>219</v>
      </c>
      <c r="B29" s="20" t="s">
        <v>220</v>
      </c>
      <c r="C29" s="30" t="n">
        <f aca="false">Nordlys!B8/Nordlys!B25</f>
        <v>5.99285714285714</v>
      </c>
      <c r="F29" s="20" t="s">
        <v>221</v>
      </c>
    </row>
    <row r="30" customFormat="false" ht="15" hidden="false" customHeight="true" outlineLevel="0" collapsed="false">
      <c r="A30" s="20" t="s">
        <v>222</v>
      </c>
      <c r="B30" s="20" t="s">
        <v>223</v>
      </c>
      <c r="C30" s="30" t="n">
        <f aca="false">360/C29</f>
        <v>60.0715137067938</v>
      </c>
      <c r="F30" s="20" t="s">
        <v>224</v>
      </c>
    </row>
    <row r="31" customFormat="false" ht="15" hidden="false" customHeight="true" outlineLevel="0" collapsed="false">
      <c r="A31" s="20" t="s">
        <v>225</v>
      </c>
      <c r="B31" s="20" t="s">
        <v>226</v>
      </c>
      <c r="C31" s="30" t="n">
        <f aca="false">Nordlys!B5/Nordlys!B49</f>
        <v>2.28773940197062</v>
      </c>
      <c r="F31" s="20" t="s">
        <v>227</v>
      </c>
    </row>
    <row ht="27" customHeight="true" r="33" customFormat="false" hidden="false" outlineLevel="0" collapsed="false">
      <c s="39" r="A33" t="s">
        <v>228</v>
      </c>
      <c r="B33" s="35" t="n">
        <v>20</v>
      </c>
      <c r="F33" s="20" t="s">
        <v>229</v>
      </c>
    </row>
    <row r="34" customFormat="false" ht="15" hidden="false" customHeight="true" outlineLevel="0" collapsed="false">
      <c r="A34" s="20" t="s">
        <v>230</v>
      </c>
      <c r="C34" s="33" t="n">
        <f aca="false">C27-B33</f>
        <v>34</v>
      </c>
      <c r="F34" s="20" t="s">
        <v>231</v>
      </c>
    </row>
    <row r="35" customFormat="false" ht="15" hidden="false" customHeight="true" outlineLevel="0" collapsed="false">
      <c r="A35" s="20" t="s">
        <v>232</v>
      </c>
      <c r="C35" s="34" t="n">
        <f aca="false">C23*10/360</f>
        <v>777777.777777778</v>
      </c>
      <c r="F35" s="20" t="s">
        <v>233</v>
      </c>
    </row>
    <row r="37" customFormat="false" ht="15" hidden="false" customHeight="true" outlineLevel="0" collapsed="false">
      <c r="A37" s="18" t="s">
        <v>234</v>
      </c>
    </row>
    <row r="38" customFormat="false" ht="15" hidden="false" customHeight="true" outlineLevel="0" collapsed="false">
      <c r="A38" s="20" t="s">
        <v>235</v>
      </c>
      <c r="B38" s="20" t="s">
        <v>236</v>
      </c>
      <c r="C38" s="32" t="n">
        <f aca="false">(Nordlys!B17+Nordlys!B16)/Nordlys!B5</f>
        <v>0.0625</v>
      </c>
      <c r="F38" s="20" t="s">
        <v>237</v>
      </c>
    </row>
    <row r="40" customFormat="false" ht="15" hidden="false" customHeight="true" outlineLevel="0" collapsed="false">
      <c r="A40" s="18" t="s">
        <v>238</v>
      </c>
    </row>
    <row r="41" customFormat="false" ht="15" hidden="false" customHeight="true" outlineLevel="0" collapsed="false">
      <c r="A41" s="20" t="s">
        <v>239</v>
      </c>
      <c r="C41" s="32" t="n">
        <f aca="false">Nordlys!B17/Nordlys!B49</f>
        <v>0.119238203205388</v>
      </c>
      <c r="F41" s="20" t="s">
        <v>240</v>
      </c>
    </row>
    <row r="42" customFormat="false" ht="15" hidden="false" customHeight="true" outlineLevel="0" collapsed="false">
      <c r="A42" s="20" t="s">
        <v>241</v>
      </c>
      <c r="C42" s="32" t="n">
        <f aca="false">Nordlys!B19/Nordlys!B50</f>
        <v>0.373626824489963</v>
      </c>
      <c r="F42" s="20" t="s">
        <v>242</v>
      </c>
    </row>
    <row r="44" customFormat="false" ht="15" hidden="false" customHeight="true" outlineLevel="0" collapsed="false">
      <c r="A44" s="18" t="s">
        <v>165</v>
      </c>
    </row>
    <row ht="27" customHeight="true" r="45" customFormat="false" hidden="false" outlineLevel="0" collapsed="false">
      <c s="39" r="A45" t="s">
        <v>243</v>
      </c>
      <c r="B45" s="27" t="str">
        <f aca="false">IF(C7&gt;C15,"OK — den lånte kapitalen tjener mer enn den koster, og differansen tilfaller eierne","AVVIK: lånene spiser egenkapitalen — da virker gjeldsgraden mot eierne i stedet for for dem")</f>
        <v>OK — den lånte kapitalen tjener mer enn den koster, og differansen tilfaller eierne</v>
      </c>
    </row>
    <row ht="27" customHeight="true" r="46" customFormat="false" hidden="false" outlineLevel="0" collapsed="false">
      <c s="39" r="A46" t="s">
        <v>244</v>
      </c>
      <c r="B46" s="27" t="str">
        <f aca="false">IF(C10&lt;=C9,"OK — grad 2 er alltid lavest, fordi varelageret er trukket ut","AVVIK: varelageret kan ikke være negativt")</f>
        <v>OK — grad 2 er alltid lavest, fordi varelageret er trukket ut</v>
      </c>
    </row>
    <row ht="27" customHeight="true" r="47" customFormat="false" hidden="false" outlineLevel="0" collapsed="false">
      <c s="39" r="A47" t="s">
        <v>245</v>
      </c>
      <c r="B47" s="27" t="str">
        <f aca="false">IF(ABS(C12-(1-C11)/C11)&lt;0.001,"OK — gjeldsgraden og egenkapitalandelen sier det samme to ganger. Den ene er den andre snudd på hodet","AVVIK: de to henger ikke sammen")</f>
        <v>OK — gjeldsgraden og egenkapitalandelen sier det samme to ganger. Den ene er den andre snudd på hodet</v>
      </c>
    </row>
    <row ht="27" customHeight="true" r="48" customFormat="false" hidden="false" outlineLevel="0" collapsed="false">
      <c s="39" r="A48" t="s">
        <v>246</v>
      </c>
      <c r="B48" s="27" t="str">
        <f aca="false">IF(C11&gt;=D11,"OK — egenkapitalandelen er på eller over bransjens nivå","AVVIK: egenkapitalandelen ligger under bransjen. Det er det første banken ser")</f>
        <v>AVVIK: egenkapitalandelen ligger under bransjen. Det er det første banken ser</v>
      </c>
    </row>
    <row r="49" customFormat="false" ht="15" hidden="false" customHeight="true" outlineLevel="0" collapsed="false">
      <c r="A49" s="17" t="s">
        <v>247</v>
      </c>
    </row>
    <row ht="52.5" customHeight="true" r="50" customFormat="false" hidden="false" outlineLevel="0" collapsed="false">
      <c s="39" r="A50" t="s">
        <v>248</v>
      </c>
      <c r="B50" s="27" t="str">
        <f aca="false">IF(C30+C27-C28&gt;0,"OK — og det er nettopp derfor kassekreditten brukes: fra kabelen kjøpes til kunden betaler går det "&amp;TEXT(C30+C27,"0")&amp;" dager, grossisten finansierer "&amp;TEXT(C28,"0")&amp;" av dem, og de siste "&amp;TEXT(C30+C27-C28,"0")&amp;" må Nordlys finansiere selv","AVVIK: da finansierer leverandørene hele driften, og kassekreditten skulle vært unødvendig")</f>
        <v>OK — og det er nettopp derfor kassekreditten brukes: fra kabelen kjøpes til kunden betaler går det 114 dager, grossisten finansierer 72 av dem, og de siste 42 må Nordlys finansiere selv</v>
      </c>
    </row>
    <row r="51" customFormat="false" ht="15" hidden="false" customHeight="true" outlineLevel="0" collapsed="false">
      <c r="A51" s="17" t="s">
        <v>249</v>
      </c>
    </row>
    <row r="54" customFormat="false" ht="15" hidden="false" customHeight="true" outlineLevel="0" collapsed="false">
      <c r="A54" s="22" t="s">
        <v>250</v>
      </c>
    </row>
    <row r="55" customFormat="false" ht="15" hidden="false" customHeight="true" outlineLevel="0" collapsed="false">
      <c r="A55" s="22" t="s">
        <v>251</v>
      </c>
    </row>
    <row r="56" customFormat="false" ht="15" hidden="false" customHeight="true" outlineLevel="0" collapsed="false">
      <c r="A56" s="17" t="s">
        <v>252</v>
      </c>
    </row>
    <row r="59"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sheetData>
  <conditionalFormatting sqref="B45">
    <cfRule type="expression" priority="2" aboveAverage="0" equalAverage="0" bottom="0" percent="0" rank="0" text="" dxfId="0">
      <formula>LEFT(B51,5)="AVVIK"</formula>
    </cfRule>
  </conditionalFormatting>
  <conditionalFormatting sqref="B46">
    <cfRule type="expression" priority="3" aboveAverage="0" equalAverage="0" bottom="0" percent="0" rank="0" text="" dxfId="0">
      <formula>LEFT(B52,5)="AVVIK"</formula>
    </cfRule>
  </conditionalFormatting>
  <conditionalFormatting sqref="B47">
    <cfRule type="expression" priority="4" aboveAverage="0" equalAverage="0" bottom="0" percent="0" rank="0" text="" dxfId="0">
      <formula>LEFT(B53,5)="AVVIK"</formula>
    </cfRule>
  </conditionalFormatting>
  <conditionalFormatting sqref="B48">
    <cfRule type="expression" priority="5" aboveAverage="0" equalAverage="0" bottom="0" percent="0" rank="0" text="" dxfId="0">
      <formula>LEFT(B56,5)="AVVIK"</formula>
    </cfRule>
  </conditionalFormatting>
  <conditionalFormatting sqref="B50">
    <cfRule type="expression" priority="6" aboveAverage="0" equalAverage="0" bottom="0" percent="0" rank="0" text="" dxfId="0">
      <formula>LEFT(B58,5)="AVVIK"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3" min="3" style="1" width="62"/>
  </cols>
  <sheetData>
    <row r="1" customFormat="false" ht="17.25" hidden="false" customHeight="true" outlineLevel="0" collapsed="false">
      <c r="A1" s="2" t="s">
        <v>253</v>
      </c>
    </row>
    <row r="2" customFormat="false" ht="15" hidden="false" customHeight="true" outlineLevel="0" collapsed="false">
      <c r="A2" s="16" t="s">
        <v>254</v>
      </c>
    </row>
    <row r="4" customFormat="false" ht="15" hidden="false" customHeight="true" outlineLevel="0" collapsed="false">
      <c r="A4" s="18" t="s">
        <v>255</v>
      </c>
    </row>
    <row r="5" customFormat="false" ht="27.75" hidden="false" customHeight="true" outlineLevel="0" collapsed="false">
      <c r="A5" s="23" t="s">
        <v>256</v>
      </c>
      <c r="B5" s="23" t="s">
        <v>257</v>
      </c>
      <c r="C5" s="23" t="s">
        <v>258</v>
      </c>
    </row>
    <row r="6" customFormat="false" ht="15" hidden="false" customHeight="true" outlineLevel="0" collapsed="false">
      <c r="A6" s="20" t="s">
        <v>259</v>
      </c>
      <c r="B6" s="26" t="n">
        <f aca="false">Nordlys!B5</f>
        <v>22400000</v>
      </c>
      <c r="C6" s="20" t="s">
        <v>260</v>
      </c>
    </row>
    <row r="7" customFormat="false" ht="15" hidden="false" customHeight="true" outlineLevel="0" collapsed="false">
      <c r="A7" s="20" t="s">
        <v>261</v>
      </c>
      <c r="B7" s="26" t="n">
        <f aca="false">Nordlys!B14</f>
        <v>1344000</v>
      </c>
      <c r="C7" s="20" t="s">
        <v>120</v>
      </c>
    </row>
    <row r="8" customFormat="false" ht="15" hidden="false" customHeight="true" outlineLevel="0" collapsed="false">
      <c r="A8" s="20" t="s">
        <v>262</v>
      </c>
      <c r="B8" s="26" t="n">
        <f aca="false">Nordlys!B17</f>
        <v>1167500</v>
      </c>
      <c r="C8" s="20" t="s">
        <v>263</v>
      </c>
    </row>
    <row r="9" customFormat="false" ht="15" hidden="false" customHeight="true" outlineLevel="0" collapsed="false">
      <c r="A9" s="20" t="s">
        <v>122</v>
      </c>
      <c r="B9" s="26" t="n">
        <f aca="false">Nordlys!B16</f>
        <v>232500</v>
      </c>
      <c r="C9" s="20" t="s">
        <v>264</v>
      </c>
    </row>
    <row r="10" customFormat="false" ht="15" hidden="false" customHeight="true" outlineLevel="0" collapsed="false">
      <c r="A10" s="20" t="s">
        <v>265</v>
      </c>
      <c r="B10" s="26" t="n">
        <f aca="false">Nordlys!B29</f>
        <v>10182650</v>
      </c>
      <c r="C10" s="20" t="s">
        <v>266</v>
      </c>
    </row>
    <row r="11" customFormat="false" ht="15" hidden="false" customHeight="true" outlineLevel="0" collapsed="false">
      <c r="A11" s="20" t="s">
        <v>267</v>
      </c>
      <c r="B11" s="26" t="n">
        <f aca="false">Nordlys!B34</f>
        <v>2892650</v>
      </c>
      <c r="C11" s="20" t="s">
        <v>268</v>
      </c>
    </row>
    <row r="12" customFormat="false" ht="15" hidden="false" customHeight="true" outlineLevel="0" collapsed="false">
      <c r="A12" s="20" t="s">
        <v>269</v>
      </c>
      <c r="B12" s="26" t="n">
        <f aca="false">Nordlys!B28</f>
        <v>6582650</v>
      </c>
      <c r="C12" s="20" t="s">
        <v>270</v>
      </c>
    </row>
    <row r="13" customFormat="false" ht="15" hidden="false" customHeight="true" outlineLevel="0" collapsed="false">
      <c r="A13" s="20" t="s">
        <v>133</v>
      </c>
      <c r="B13" s="26" t="n">
        <f aca="false">Nordlys!B25</f>
        <v>1400000</v>
      </c>
      <c r="C13" s="20" t="s">
        <v>271</v>
      </c>
    </row>
    <row r="14" customFormat="false" ht="15" hidden="false" customHeight="true" outlineLevel="0" collapsed="false">
      <c r="A14" s="20" t="s">
        <v>272</v>
      </c>
      <c r="B14" s="26" t="n">
        <f aca="false">Nordlys!B40</f>
        <v>4490000</v>
      </c>
      <c r="C14" s="20" t="s">
        <v>273</v>
      </c>
    </row>
    <row r="16" customFormat="false" ht="15" hidden="false" customHeight="true" outlineLevel="0" collapsed="false">
      <c r="A16" s="18" t="s">
        <v>274</v>
      </c>
    </row>
    <row r="17" customFormat="false" ht="15" hidden="false" customHeight="true" outlineLevel="0" collapsed="false">
      <c r="A17" s="20" t="s">
        <v>275</v>
      </c>
      <c r="B17" s="34" t="n">
        <f aca="false">Nordlys!B46</f>
        <v>9400000</v>
      </c>
      <c r="C17" s="20" t="s">
        <v>276</v>
      </c>
    </row>
    <row r="18" customFormat="false" ht="15" hidden="false" customHeight="true" outlineLevel="0" collapsed="false">
      <c r="A18" s="20" t="s">
        <v>277</v>
      </c>
      <c r="C18" s="20" t="s">
        <v>278</v>
      </c>
    </row>
    <row r="19" customFormat="false" ht="15" hidden="false" customHeight="true" outlineLevel="0" collapsed="false">
      <c r="A19" s="20" t="s">
        <v>279</v>
      </c>
      <c r="C19" s="20" t="s">
        <v>280</v>
      </c>
    </row>
    <row r="21" customFormat="false" ht="15" hidden="false" customHeight="true" outlineLevel="0" collapsed="false">
      <c r="A21" s="18" t="s">
        <v>281</v>
      </c>
    </row>
    <row r="22" customFormat="false" ht="15" hidden="false" customHeight="true" outlineLevel="0" collapsed="false">
      <c r="A22" s="20" t="s">
        <v>191</v>
      </c>
      <c r="B22" s="32" t="n">
        <f aca="false">Nøkkeltall!C11</f>
        <v>0.284076345548556</v>
      </c>
      <c r="C22" s="20" t="s">
        <v>282</v>
      </c>
    </row>
    <row r="23" customFormat="false" ht="15" hidden="false" customHeight="true" outlineLevel="0" collapsed="false">
      <c r="A23" s="20" t="s">
        <v>194</v>
      </c>
      <c r="B23" s="33" t="n">
        <f aca="false">Nøkkeltall!C12</f>
        <v>2.52018045736608</v>
      </c>
    </row>
    <row r="24" customFormat="false" ht="15" hidden="false" customHeight="true" outlineLevel="0" collapsed="false">
      <c r="A24" s="20" t="s">
        <v>185</v>
      </c>
      <c r="B24" s="32" t="n">
        <f aca="false">Nøkkeltall!C9</f>
        <v>1.46606904231626</v>
      </c>
    </row>
    <row r="25" customFormat="false" ht="15" hidden="false" customHeight="true" outlineLevel="0" collapsed="false">
      <c r="A25" s="20" t="s">
        <v>188</v>
      </c>
      <c r="B25" s="32" t="n">
        <f aca="false">Nøkkeltall!C10</f>
        <v>1.15426503340757</v>
      </c>
    </row>
    <row r="27" customFormat="false" ht="15" hidden="false" customHeight="true" outlineLevel="0" collapsed="false">
      <c r="A27" s="18" t="s">
        <v>283</v>
      </c>
    </row>
    <row r="28" customFormat="false" ht="15" hidden="false" customHeight="true" outlineLevel="0" collapsed="false">
      <c r="A28" s="20" t="s">
        <v>177</v>
      </c>
      <c r="B28" s="32" t="n">
        <f aca="false">Nøkkeltall!C6</f>
        <v>0.06</v>
      </c>
      <c r="C28" s="20" t="s">
        <v>284</v>
      </c>
    </row>
    <row r="29" customFormat="false" ht="15" hidden="false" customHeight="true" outlineLevel="0" collapsed="false">
      <c r="A29" s="20" t="s">
        <v>14</v>
      </c>
      <c r="B29" s="32" t="n">
        <f aca="false">Nøkkeltall!C7</f>
        <v>0.142983712623164</v>
      </c>
      <c r="C29" s="20" t="s">
        <v>285</v>
      </c>
    </row>
    <row r="30" customFormat="false" ht="15" hidden="false" customHeight="true" outlineLevel="0" collapsed="false">
      <c r="A30" s="20" t="s">
        <v>182</v>
      </c>
      <c r="B30" s="32" t="n">
        <f aca="false">Nøkkeltall!C8</f>
        <v>0.479008749346107</v>
      </c>
      <c r="C30" s="20" t="s">
        <v>286</v>
      </c>
    </row>
    <row r="32" customFormat="false" ht="15" hidden="false" customHeight="true" outlineLevel="0" collapsed="false">
      <c r="A32" s="18" t="s">
        <v>165</v>
      </c>
    </row>
    <row r="33" customFormat="false" ht="15" hidden="false" customHeight="true" outlineLevel="0" collapsed="false">
      <c r="A33" s="20" t="s">
        <v>287</v>
      </c>
      <c r="B33" s="27" t="str">
        <f aca="false">IF(AND(B6=Nordlys!B5,B10=Nordlys!B29,B11=Nordlys!B34,B14=Nordlys!B40),"OK — alle er formler. Endrer du en post i arket Nordlys, endrer nøkkeltallet seg overalt","AVVIK: en av koblingene er brutt")</f>
        <v>OK — alle er formler. Endrer du en post i arket Nordlys, endrer nøkkeltallet seg overalt</v>
      </c>
    </row>
    <row r="34" customFormat="false" ht="15" hidden="false" customHeight="true" outlineLevel="0" collapsed="false">
      <c r="A34" s="20" t="s">
        <v>288</v>
      </c>
      <c r="B34" s="27" t="str">
        <f aca="false">IF(ABS(B10-Nordlys!B24-B12)&lt;1,"OK — sum eiendeler er anleggsmidler pluss omløpsmidler","AVVIK: balansetallene henger ikke sammen")</f>
        <v>OK — sum eiendeler er anleggsmidler pluss omløpsmidler</v>
      </c>
    </row>
    <row r="36" customFormat="false" ht="15" hidden="false" customHeight="true" outlineLevel="0" collapsed="false">
      <c r="A36" s="22" t="s">
        <v>289</v>
      </c>
    </row>
    <row r="37" customFormat="false" ht="15" hidden="false" customHeight="true" outlineLevel="0" collapsed="false">
      <c r="A37" s="17" t="s">
        <v>290</v>
      </c>
    </row>
  </sheetData>
  <conditionalFormatting sqref="B33">
    <cfRule type="expression" priority="2" aboveAverage="0" equalAverage="0" bottom="0" percent="0" rank="0" text="" dxfId="0">
      <formula>LEFT(B33,5)="AVVIK"</formula>
    </cfRule>
  </conditionalFormatting>
  <conditionalFormatting sqref="B34">
    <cfRule type="expression" priority="3" aboveAverage="0" equalAverage="0" bottom="0" percent="0" rank="0" text="" dxfId="0">
      <formula>LEFT(B34,5)="AVVIK"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8"/>
    <col collapsed="false" customWidth="true" hidden="false" outlineLevel="0" max="3" min="3" style="1" width="15"/>
    <col collapsed="false" customWidth="true" hidden="false" outlineLevel="0" max="5" min="4" style="1" width="20"/>
    <col collapsed="false" customWidth="true" hidden="false" outlineLevel="0" max="6" min="6" style="1" width="44"/>
  </cols>
  <sheetData>
    <row r="1" customFormat="false" ht="17.25" hidden="false" customHeight="true" outlineLevel="0" collapsed="false">
      <c r="A1" s="2" t="s">
        <v>291</v>
      </c>
    </row>
    <row r="2" customFormat="false" ht="15" hidden="false" customHeight="true" outlineLevel="0" collapsed="false">
      <c r="A2" s="16" t="s">
        <v>292</v>
      </c>
    </row>
    <row r="4" customFormat="false" ht="15" hidden="false" customHeight="true" outlineLevel="0" collapsed="false">
      <c r="A4" s="20" t="s">
        <v>293</v>
      </c>
      <c r="B4" s="19" t="s">
        <v>294</v>
      </c>
      <c r="D4" s="20" t="s">
        <v>295</v>
      </c>
      <c r="E4" s="35" t="n">
        <v>2026</v>
      </c>
    </row>
    <row r="6" customFormat="false" ht="15" hidden="false" customHeight="true" outlineLevel="0" collapsed="false">
      <c r="A6" s="18" t="s">
        <v>296</v>
      </c>
    </row>
    <row r="7" customFormat="false" ht="15" hidden="false" customHeight="true" outlineLevel="0" collapsed="false">
      <c r="A7" s="20" t="s">
        <v>259</v>
      </c>
      <c r="B7" s="24" t="n">
        <v>22400000</v>
      </c>
    </row>
    <row r="8" customFormat="false" ht="15" hidden="false" customHeight="true" outlineLevel="0" collapsed="false">
      <c r="A8" s="20" t="s">
        <v>111</v>
      </c>
      <c r="B8" s="24" t="n">
        <v>8390000</v>
      </c>
    </row>
    <row r="9" customFormat="false" ht="15" hidden="false" customHeight="true" outlineLevel="0" collapsed="false">
      <c r="A9" s="20" t="s">
        <v>115</v>
      </c>
      <c r="B9" s="24" t="n">
        <v>10660000</v>
      </c>
    </row>
    <row r="10" customFormat="false" ht="15" hidden="false" customHeight="true" outlineLevel="0" collapsed="false">
      <c r="A10" s="20" t="s">
        <v>116</v>
      </c>
      <c r="B10" s="24" t="n">
        <v>620000</v>
      </c>
    </row>
    <row r="11" customFormat="false" ht="15" hidden="false" customHeight="true" outlineLevel="0" collapsed="false">
      <c r="A11" s="20" t="s">
        <v>117</v>
      </c>
      <c r="B11" s="24" t="n">
        <v>1386000</v>
      </c>
    </row>
    <row r="12" customFormat="false" ht="15" hidden="false" customHeight="true" outlineLevel="0" collapsed="false">
      <c r="A12" s="20" t="s">
        <v>121</v>
      </c>
      <c r="B12" s="24" t="n">
        <v>56000</v>
      </c>
    </row>
    <row r="13" customFormat="false" ht="15" hidden="false" customHeight="true" outlineLevel="0" collapsed="false">
      <c r="A13" s="20" t="s">
        <v>122</v>
      </c>
      <c r="B13" s="24" t="n">
        <v>232500</v>
      </c>
    </row>
    <row r="14" customFormat="false" ht="15" hidden="false" customHeight="true" outlineLevel="0" collapsed="false">
      <c r="A14" s="20" t="s">
        <v>126</v>
      </c>
      <c r="B14" s="24" t="n">
        <v>256850</v>
      </c>
    </row>
    <row r="15" customFormat="false" ht="15" hidden="false" customHeight="true" outlineLevel="0" collapsed="false">
      <c r="A15" s="22" t="s">
        <v>119</v>
      </c>
      <c r="B15" s="26" t="n">
        <f aca="false">B7-B8-B9-B10-B11</f>
        <v>1344000</v>
      </c>
    </row>
    <row r="16" customFormat="false" ht="15" hidden="false" customHeight="true" outlineLevel="0" collapsed="false">
      <c r="A16" s="22" t="s">
        <v>124</v>
      </c>
      <c r="B16" s="26" t="n">
        <f aca="false">B15+B12-B13</f>
        <v>1167500</v>
      </c>
    </row>
    <row r="17" customFormat="false" ht="15" hidden="false" customHeight="true" outlineLevel="0" collapsed="false">
      <c r="A17" s="22" t="s">
        <v>127</v>
      </c>
      <c r="B17" s="26" t="n">
        <f aca="false">B16-B14</f>
        <v>910650</v>
      </c>
    </row>
    <row r="19" customFormat="false" ht="15" hidden="false" customHeight="true" outlineLevel="0" collapsed="false">
      <c r="A19" s="18" t="s">
        <v>297</v>
      </c>
    </row>
    <row r="20" customFormat="false" ht="15" hidden="false" customHeight="true" outlineLevel="0" collapsed="false">
      <c r="A20" s="20" t="s">
        <v>132</v>
      </c>
      <c r="B20" s="24" t="n">
        <v>3600000</v>
      </c>
    </row>
    <row r="21" customFormat="false" ht="15" hidden="false" customHeight="true" outlineLevel="0" collapsed="false">
      <c r="A21" s="20" t="s">
        <v>133</v>
      </c>
      <c r="B21" s="24" t="n">
        <v>1400000</v>
      </c>
    </row>
    <row r="22" customFormat="false" ht="15" hidden="false" customHeight="true" outlineLevel="0" collapsed="false">
      <c r="A22" s="20" t="s">
        <v>135</v>
      </c>
      <c r="B22" s="24" t="n">
        <v>4200000</v>
      </c>
    </row>
    <row r="23" customFormat="false" ht="15" hidden="false" customHeight="true" outlineLevel="0" collapsed="false">
      <c r="A23" s="20" t="s">
        <v>298</v>
      </c>
      <c r="B23" s="24" t="n">
        <v>982650</v>
      </c>
    </row>
    <row r="24" customFormat="false" ht="15" hidden="false" customHeight="true" outlineLevel="0" collapsed="false">
      <c r="A24" s="20" t="s">
        <v>267</v>
      </c>
      <c r="B24" s="24" t="n">
        <v>2892650</v>
      </c>
    </row>
    <row r="25" customFormat="false" ht="15" hidden="false" customHeight="true" outlineLevel="0" collapsed="false">
      <c r="A25" s="20" t="s">
        <v>299</v>
      </c>
      <c r="B25" s="24" t="n">
        <v>2800000</v>
      </c>
    </row>
    <row r="26" customFormat="false" ht="15" hidden="false" customHeight="true" outlineLevel="0" collapsed="false">
      <c r="A26" s="20" t="s">
        <v>272</v>
      </c>
      <c r="B26" s="24" t="n">
        <v>4490000</v>
      </c>
    </row>
    <row r="27" customFormat="false" ht="15" hidden="false" customHeight="true" outlineLevel="0" collapsed="false">
      <c r="A27" s="20" t="s">
        <v>155</v>
      </c>
      <c r="B27" s="24" t="n">
        <v>9400000</v>
      </c>
    </row>
    <row r="28" customFormat="false" ht="15" hidden="false" customHeight="true" outlineLevel="0" collapsed="false">
      <c r="A28" s="22" t="s">
        <v>138</v>
      </c>
      <c r="B28" s="26" t="n">
        <f aca="false">B21+B22+B23</f>
        <v>6582650</v>
      </c>
    </row>
    <row r="29" customFormat="false" ht="15" hidden="false" customHeight="true" outlineLevel="0" collapsed="false">
      <c r="A29" s="22" t="s">
        <v>139</v>
      </c>
      <c r="B29" s="26" t="n">
        <f aca="false">B20+B28</f>
        <v>10182650</v>
      </c>
    </row>
    <row r="30" customFormat="false" ht="15" hidden="false" customHeight="true" outlineLevel="0" collapsed="false">
      <c r="A30" s="22" t="s">
        <v>300</v>
      </c>
      <c r="B30" s="26" t="n">
        <f aca="false">B25+B26</f>
        <v>7290000</v>
      </c>
    </row>
    <row r="31" customFormat="false" ht="15" hidden="false" customHeight="true" outlineLevel="0" collapsed="false">
      <c r="A31" s="22" t="s">
        <v>152</v>
      </c>
      <c r="B31" s="26" t="n">
        <f aca="false">B24+B30</f>
        <v>10182650</v>
      </c>
    </row>
    <row r="32" customFormat="false" ht="15" hidden="false" customHeight="true" outlineLevel="0" collapsed="false">
      <c r="A32" s="20" t="s">
        <v>301</v>
      </c>
      <c r="B32" s="34" t="n">
        <f aca="false">B29-B31</f>
        <v>0</v>
      </c>
      <c r="F32" s="20" t="s">
        <v>302</v>
      </c>
    </row>
    <row r="33" customFormat="false" ht="15" hidden="false" customHeight="true" outlineLevel="0" collapsed="false">
      <c r="A33" s="20" t="s">
        <v>303</v>
      </c>
      <c r="B33" s="34" t="n">
        <f aca="false">(B27+B29)/2</f>
        <v>9791325</v>
      </c>
    </row>
    <row r="34" customFormat="false" ht="15" hidden="false" customHeight="true" outlineLevel="0" collapsed="false">
      <c r="A34" s="20" t="s">
        <v>157</v>
      </c>
      <c r="B34" s="25" t="n">
        <f aca="false">B24-B17</f>
        <v>1982000</v>
      </c>
    </row>
    <row r="35" customFormat="false" ht="15" hidden="false" customHeight="true" outlineLevel="0" collapsed="false">
      <c r="A35" s="20" t="s">
        <v>304</v>
      </c>
      <c r="B35" s="34" t="n">
        <f aca="false">(B34+B24)/2</f>
        <v>2437325</v>
      </c>
    </row>
    <row r="36" customFormat="false" ht="15" hidden="false" customHeight="true" outlineLevel="0" collapsed="false">
      <c r="A36" s="20" t="s">
        <v>305</v>
      </c>
      <c r="B36" s="34" t="n">
        <f aca="false">((B27-B34)+B30)/2</f>
        <v>7354000</v>
      </c>
    </row>
    <row r="38" customFormat="false" ht="15" hidden="false" customHeight="true" outlineLevel="0" collapsed="false">
      <c r="A38" s="18" t="s">
        <v>306</v>
      </c>
    </row>
    <row r="39" customFormat="false" ht="27.75" hidden="false" customHeight="true" outlineLevel="0" collapsed="false">
      <c r="A39" s="23" t="s">
        <v>47</v>
      </c>
      <c r="B39" s="23" t="s">
        <v>307</v>
      </c>
      <c r="C39" s="23" t="s">
        <v>174</v>
      </c>
      <c r="D39" s="23" t="s">
        <v>175</v>
      </c>
    </row>
    <row r="40" customFormat="false" ht="15" hidden="false" customHeight="true" outlineLevel="0" collapsed="false">
      <c r="A40" s="20" t="s">
        <v>177</v>
      </c>
      <c r="B40" s="28" t="n">
        <f aca="false">IF($B$7=0,"",B15/B7)</f>
        <v>0.06</v>
      </c>
      <c r="C40" s="29" t="n">
        <v>0.075</v>
      </c>
      <c r="D40" s="21" t="str">
        <f aca="false">IF(B40="","",IF(B40&gt;=C40,"Over normen","Under normen"))</f>
        <v>Under normen</v>
      </c>
    </row>
    <row r="41" customFormat="false" ht="15" hidden="false" customHeight="true" outlineLevel="0" collapsed="false">
      <c r="A41" s="20" t="s">
        <v>14</v>
      </c>
      <c r="B41" s="28" t="n">
        <f aca="false">IF(B33=0,"",(B16+B13)/B33)</f>
        <v>0.142983712623164</v>
      </c>
      <c r="C41" s="29" t="n">
        <v>0.146</v>
      </c>
      <c r="D41" s="21" t="str">
        <f aca="false">IF(B41="","",IF(B41&gt;=C41,"Over normen","Under normen"))</f>
        <v>Under normen</v>
      </c>
    </row>
    <row r="42" customFormat="false" ht="15" hidden="false" customHeight="true" outlineLevel="0" collapsed="false">
      <c r="A42" s="20" t="s">
        <v>182</v>
      </c>
      <c r="B42" s="28" t="n">
        <f aca="false">IF(B35=0,"",B16/B35)</f>
        <v>0.479008749346107</v>
      </c>
      <c r="C42" s="29" t="n">
        <v>0.2</v>
      </c>
      <c r="D42" s="21" t="str">
        <f aca="false">IF(B42="","",IF(B42&gt;=C42,"Over normen","Under normen"))</f>
        <v>Over normen</v>
      </c>
    </row>
    <row r="43" customFormat="false" ht="15" hidden="false" customHeight="true" outlineLevel="0" collapsed="false">
      <c r="A43" s="20" t="s">
        <v>185</v>
      </c>
      <c r="B43" s="28" t="n">
        <f aca="false">IF(B26=0,"",B28/B26)</f>
        <v>1.46606904231626</v>
      </c>
      <c r="C43" s="29" t="n">
        <v>2</v>
      </c>
      <c r="D43" s="21" t="str">
        <f aca="false">IF(B43="","",IF(B43&gt;=C43,"Over normen","Under normen"))</f>
        <v>Under normen</v>
      </c>
    </row>
    <row r="44" customFormat="false" ht="15" hidden="false" customHeight="true" outlineLevel="0" collapsed="false">
      <c r="A44" s="20" t="s">
        <v>188</v>
      </c>
      <c r="B44" s="28" t="n">
        <f aca="false">IF(B26=0,"",(B28-B21)/B26)</f>
        <v>1.15426503340757</v>
      </c>
      <c r="C44" s="29" t="n">
        <v>1</v>
      </c>
      <c r="D44" s="21" t="str">
        <f aca="false">IF(B44="","",IF(B44&gt;=C44,"Over normen","Under normen"))</f>
        <v>Over normen</v>
      </c>
    </row>
    <row r="45" customFormat="false" ht="15" hidden="false" customHeight="true" outlineLevel="0" collapsed="false">
      <c r="A45" s="20" t="s">
        <v>191</v>
      </c>
      <c r="B45" s="28" t="n">
        <f aca="false">IF(B29=0,"",B24/B29)</f>
        <v>0.284076345548556</v>
      </c>
      <c r="C45" s="29" t="n">
        <v>0.362</v>
      </c>
      <c r="D45" s="21" t="str">
        <f aca="false">IF(B45="","",IF(B45&gt;=C45,"Over normen","Under normen"))</f>
        <v>Under normen</v>
      </c>
    </row>
    <row r="46" customFormat="false" ht="15" hidden="false" customHeight="true" outlineLevel="0" collapsed="false">
      <c r="A46" s="20" t="s">
        <v>194</v>
      </c>
      <c r="B46" s="30" t="n">
        <f aca="false">IF(B24=0,"",B30/B24)</f>
        <v>2.52018045736608</v>
      </c>
      <c r="C46" s="31" t="n">
        <v>5</v>
      </c>
      <c r="D46" s="21" t="str">
        <f aca="false">IF(B46="","",IF(B46&lt;=C46,"Innenfor","Over grensen"))</f>
        <v>Innenfor</v>
      </c>
    </row>
    <row r="48" customFormat="false" ht="15" hidden="false" customHeight="true" outlineLevel="0" collapsed="false">
      <c r="A48" s="18" t="s">
        <v>165</v>
      </c>
    </row>
    <row r="49" customFormat="false" ht="15" hidden="false" customHeight="true" outlineLevel="0" collapsed="false">
      <c r="A49" s="20" t="s">
        <v>308</v>
      </c>
      <c r="B49" s="27" t="str">
        <f aca="false">IF(B29=0,"Ikke fylt ut ennå",IF(ABS(B32)&lt;1,"OK — de to sidene er like store","AVVIK: differansen står i B32 — du har glemt en post"))</f>
        <v>OK — de to sidene er like store</v>
      </c>
    </row>
    <row ht="27" customHeight="true" r="50" customFormat="false" hidden="false" outlineLevel="0" collapsed="false">
      <c s="39" r="A50" t="s">
        <v>243</v>
      </c>
      <c r="B50" s="27" t="str">
        <f aca="false">IF(OR(B36=0,B33=0),"Ikke fylt ut ennå",IF((B16+B13)/B33&gt;B13/B36,"OK — den lånte kapitalen tjener mer enn den koster","AVVIK: lånene spiser egenkapitalen"))</f>
        <v>OK — den lånte kapitalen tjener mer enn den koster</v>
      </c>
    </row>
    <row r="52" customFormat="false" ht="15" hidden="false" customHeight="true" outlineLevel="0" collapsed="false">
      <c r="A52" s="22" t="s">
        <v>309</v>
      </c>
    </row>
    <row r="53" customFormat="false" ht="15" hidden="false" customHeight="true" outlineLevel="0" collapsed="false">
      <c r="A53" s="20" t="s">
        <v>310</v>
      </c>
    </row>
  </sheetData>
  <conditionalFormatting sqref="B49">
    <cfRule type="expression" priority="2" aboveAverage="0" equalAverage="0" bottom="0" percent="0" rank="0" text="" dxfId="0">
      <formula>LEFT(B49,5)="AVVIK"</formula>
    </cfRule>
  </conditionalFormatting>
  <conditionalFormatting sqref="B50">
    <cfRule type="expression" priority="3" aboveAverage="0" equalAverage="0" bottom="0" percent="0" rank="0" text="" dxfId="0">
      <formula>LEFT(B50,5)="AVVIK"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22"/>
    <col collapsed="false" customWidth="true" hidden="false" outlineLevel="0" max="3" min="3" style="1" width="24"/>
    <col collapsed="false" customWidth="true" hidden="false" outlineLevel="0" max="4" min="4" style="1" width="20"/>
    <col collapsed="false" customWidth="true" hidden="false" outlineLevel="0" max="5" min="5" style="1" width="30"/>
  </cols>
  <sheetData>
    <row r="1" customFormat="false" ht="17.25" hidden="false" customHeight="true" outlineLevel="0" collapsed="false">
      <c r="A1" s="2" t="s">
        <v>311</v>
      </c>
    </row>
    <row r="2" customFormat="false" ht="15" hidden="false" customHeight="true" outlineLevel="0" collapsed="false">
      <c r="A2" s="16" t="s">
        <v>312</v>
      </c>
    </row>
    <row r="4" customFormat="false" ht="15" hidden="false" customHeight="true" outlineLevel="0" collapsed="false">
      <c r="A4" s="18" t="s">
        <v>313</v>
      </c>
    </row>
    <row r="5" customFormat="false" ht="15" hidden="false" customHeight="true" outlineLevel="0" collapsed="false">
      <c r="A5" s="20" t="s">
        <v>314</v>
      </c>
    </row>
    <row r="6" customFormat="false" ht="15" hidden="false" customHeight="true" outlineLevel="0" collapsed="false">
      <c r="A6" s="20" t="s">
        <v>315</v>
      </c>
    </row>
    <row r="7" customFormat="false" ht="15" hidden="false" customHeight="true" outlineLevel="0" collapsed="false">
      <c r="A7" s="20" t="s">
        <v>316</v>
      </c>
    </row>
    <row r="9" customFormat="false" ht="27.75" hidden="false" customHeight="true" outlineLevel="0" collapsed="false">
      <c r="A9" s="23" t="s">
        <v>47</v>
      </c>
      <c r="B9" s="23" t="s">
        <v>317</v>
      </c>
      <c r="C9" s="23" t="s">
        <v>318</v>
      </c>
      <c r="D9" s="23" t="s">
        <v>174</v>
      </c>
      <c r="E9" s="23" t="s">
        <v>319</v>
      </c>
    </row>
    <row r="10" customFormat="false" ht="15" hidden="false" customHeight="true" outlineLevel="0" collapsed="false">
      <c r="A10" s="20" t="s">
        <v>177</v>
      </c>
      <c r="B10" s="32" t="n">
        <f aca="false">Nøkkeltall!C6</f>
        <v>0.06</v>
      </c>
      <c r="C10" s="29" t="n">
        <v>0.095</v>
      </c>
      <c r="D10" s="36" t="n">
        <f aca="false">Nøkkeltall!D6</f>
        <v>0.075</v>
      </c>
      <c r="E10" s="21" t="str">
        <f aca="false">IF(C10&gt;B10,"B","A")</f>
        <v>B</v>
      </c>
    </row>
    <row r="11" customFormat="false" ht="15" hidden="false" customHeight="true" outlineLevel="0" collapsed="false">
      <c r="A11" s="20" t="s">
        <v>14</v>
      </c>
      <c r="B11" s="32" t="n">
        <f aca="false">Nøkkeltall!C7</f>
        <v>0.142983712623164</v>
      </c>
      <c r="C11" s="29" t="n">
        <v>0.19</v>
      </c>
      <c r="D11" s="36" t="n">
        <f aca="false">Nøkkeltall!D7</f>
        <v>0.146</v>
      </c>
      <c r="E11" s="21" t="str">
        <f aca="false">IF(C11&gt;B11,"B","A")</f>
        <v>B</v>
      </c>
    </row>
    <row r="12" customFormat="false" ht="15" hidden="false" customHeight="true" outlineLevel="0" collapsed="false">
      <c r="A12" s="20" t="s">
        <v>182</v>
      </c>
      <c r="B12" s="32" t="n">
        <f aca="false">Nøkkeltall!C8</f>
        <v>0.479008749346107</v>
      </c>
      <c r="C12" s="29" t="n">
        <v>0.95</v>
      </c>
      <c r="D12" s="36" t="n">
        <f aca="false">Nøkkeltall!D8</f>
        <v>0.2</v>
      </c>
      <c r="E12" s="21" t="str">
        <f aca="false">IF(C12&gt;B12,"B","A")</f>
        <v>B</v>
      </c>
    </row>
    <row r="13" customFormat="false" ht="15" hidden="false" customHeight="true" outlineLevel="0" collapsed="false">
      <c r="A13" s="20" t="s">
        <v>185</v>
      </c>
      <c r="B13" s="32" t="n">
        <f aca="false">Nøkkeltall!C9</f>
        <v>1.46606904231626</v>
      </c>
      <c r="C13" s="29" t="n">
        <v>0.92</v>
      </c>
      <c r="D13" s="36" t="n">
        <f aca="false">Nøkkeltall!D9</f>
        <v>2</v>
      </c>
      <c r="E13" s="21" t="str">
        <f aca="false">IF(C13&gt;B13,"B","A")</f>
        <v>A</v>
      </c>
    </row>
    <row r="14" customFormat="false" ht="15" hidden="false" customHeight="true" outlineLevel="0" collapsed="false">
      <c r="A14" s="20" t="s">
        <v>188</v>
      </c>
      <c r="B14" s="32" t="n">
        <f aca="false">Nøkkeltall!C10</f>
        <v>1.15426503340757</v>
      </c>
      <c r="C14" s="29" t="n">
        <v>0.61</v>
      </c>
      <c r="D14" s="36" t="n">
        <f aca="false">Nøkkeltall!D10</f>
        <v>1</v>
      </c>
      <c r="E14" s="21" t="str">
        <f aca="false">IF(C14&gt;B14,"B","A")</f>
        <v>A</v>
      </c>
    </row>
    <row r="15" customFormat="false" ht="15" hidden="false" customHeight="true" outlineLevel="0" collapsed="false">
      <c r="A15" s="20" t="s">
        <v>191</v>
      </c>
      <c r="B15" s="32" t="n">
        <f aca="false">Nøkkeltall!C11</f>
        <v>0.284076345548556</v>
      </c>
      <c r="C15" s="29" t="n">
        <v>0.12</v>
      </c>
      <c r="D15" s="36" t="n">
        <f aca="false">Nøkkeltall!D11</f>
        <v>0.362</v>
      </c>
      <c r="E15" s="21" t="str">
        <f aca="false">IF(C15&gt;B15,"B","A")</f>
        <v>A</v>
      </c>
    </row>
    <row r="16" customFormat="false" ht="15" hidden="false" customHeight="true" outlineLevel="0" collapsed="false">
      <c r="A16" s="20" t="s">
        <v>194</v>
      </c>
      <c r="B16" s="33" t="n">
        <f aca="false">Nøkkeltall!C12</f>
        <v>2.52018045736608</v>
      </c>
      <c r="C16" s="33" t="n">
        <f aca="false">(1-C15)/C15</f>
        <v>7.33333333333333</v>
      </c>
      <c r="D16" s="37" t="n">
        <f aca="false">Nøkkeltall!D12</f>
        <v>5</v>
      </c>
      <c r="E16" s="21" t="str">
        <f aca="false">IF(C16&gt;B16,"B","A")</f>
        <v>B</v>
      </c>
    </row>
    <row r="17" customFormat="false" ht="15" hidden="false" customHeight="true" outlineLevel="0" collapsed="false">
      <c r="E17" s="17" t="s">
        <v>320</v>
      </c>
    </row>
    <row r="19" customFormat="false" ht="15" hidden="false" customHeight="true" outlineLevel="0" collapsed="false">
      <c r="A19" s="18" t="s">
        <v>321</v>
      </c>
    </row>
    <row r="20" customFormat="false" ht="15" hidden="false" customHeight="true" outlineLevel="0" collapsed="false">
      <c r="A20" s="20" t="s">
        <v>322</v>
      </c>
      <c r="C20" s="38" t="n">
        <f aca="false">COUNTIF(E10:E16,"B")</f>
        <v>4</v>
      </c>
    </row>
    <row r="21" customFormat="false" ht="15" hidden="false" customHeight="true" outlineLevel="0" collapsed="false">
      <c r="A21" s="20" t="s">
        <v>323</v>
      </c>
      <c r="C21" s="38" t="n">
        <f aca="false">C20-IF(E16="B",1,0)</f>
        <v>3</v>
      </c>
      <c r="E21" s="20" t="s">
        <v>324</v>
      </c>
    </row>
    <row r="23" customFormat="false" ht="15" hidden="false" customHeight="true" outlineLevel="0" collapsed="false">
      <c r="A23" s="18" t="s">
        <v>165</v>
      </c>
    </row>
    <row r="24" customFormat="false" ht="15" hidden="false" customHeight="true" outlineLevel="0" collapsed="false">
      <c r="A24" s="20" t="s">
        <v>325</v>
      </c>
      <c r="B24" s="27" t="str">
        <f aca="false">IF(AND(E10="B",E11="B",E12="B"),"AVVIK: søker B er best på alle tre lønnsomhetstallene. Nettopp derfor er dette en felle — banken hefter for soliditeten, ikke for lønnsomheten","OK — søker B er ikke best på alle lønnsomhetstallene")</f>
        <v>AVVIK: søker B er best på alle tre lønnsomhetstallene. Nettopp derfor er dette en felle — banken hefter for soliditeten, ikke for lønnsomheten</v>
      </c>
    </row>
    <row r="25" customFormat="false" ht="15" hidden="false" customHeight="true" outlineLevel="0" collapsed="false">
      <c r="A25" s="17" t="s">
        <v>326</v>
      </c>
    </row>
    <row ht="27" customHeight="true" r="26" customFormat="false" hidden="false" outlineLevel="0" collapsed="false">
      <c s="39" r="A26" t="s">
        <v>327</v>
      </c>
      <c r="B26" s="27" t="str">
        <f aca="false">IF(C13&gt;=1,"OK — omløpsmidlene dekker den kortsiktige gjelden","AVVIK: likviditetsgrad 1 er under 100 prosent — omløpsmidlene dekker ikke engang gjelden som forfaller i år")</f>
        <v>AVVIK: likviditetsgrad 1 er under 100 prosent — omløpsmidlene dekker ikke engang gjelden som forfaller i år</v>
      </c>
    </row>
    <row ht="27" customHeight="true" r="27" customFormat="false" hidden="false" outlineLevel="0" collapsed="false">
      <c s="39" r="A27" t="s">
        <v>328</v>
      </c>
      <c r="B27" s="27" t="str">
        <f aca="false">IF(ABS(C16-(1-C15)/C15)&lt;0.001,"OK — de to henger sammen","AVVIK: gjeldsgraden er regnet av noe annet enn egenkapitalandelen")</f>
        <v>OK — de to henger sammen</v>
      </c>
    </row>
    <row r="29" customFormat="false" ht="15" hidden="false" customHeight="true" outlineLevel="0" collapsed="false">
      <c r="A29" s="18" t="s">
        <v>329</v>
      </c>
    </row>
    <row r="30" customFormat="false" ht="15" hidden="false" customHeight="true" outlineLevel="0" collapsed="false">
      <c r="A30" s="20" t="s">
        <v>330</v>
      </c>
    </row>
    <row r="31" customFormat="false" ht="15" hidden="false" customHeight="true" outlineLevel="0" collapsed="false">
      <c r="A31" s="20" t="s">
        <v>331</v>
      </c>
    </row>
    <row r="32" customFormat="false" ht="15" hidden="false" customHeight="true" outlineLevel="0" collapsed="false">
      <c r="A32" s="20" t="s">
        <v>332</v>
      </c>
    </row>
    <row r="33" customFormat="false" ht="15" hidden="false" customHeight="true" outlineLevel="0" collapsed="false">
      <c r="A33" s="20" t="s">
        <v>333</v>
      </c>
    </row>
    <row r="34" customFormat="false" ht="15" hidden="false" customHeight="true" outlineLevel="0" collapsed="false">
      <c r="A34" s="20" t="s">
        <v>334</v>
      </c>
    </row>
    <row r="36" customFormat="false" ht="15" hidden="false" customHeight="true" outlineLevel="0" collapsed="false">
      <c r="A36" s="18" t="s">
        <v>335</v>
      </c>
    </row>
    <row r="37" customFormat="false" ht="15" hidden="false" customHeight="true" outlineLevel="0" collapsed="false">
      <c r="A37" s="19"/>
    </row>
    <row r="38" customFormat="false" ht="15" hidden="false" customHeight="true" outlineLevel="0" collapsed="false">
      <c r="A38" s="19"/>
    </row>
    <row r="39" customFormat="false" ht="15" hidden="false" customHeight="true" outlineLevel="0" collapsed="false">
      <c r="A39" s="19"/>
    </row>
    <row r="40" customFormat="false" ht="15" hidden="false" customHeight="true" outlineLevel="0" collapsed="false">
      <c r="A40" s="19"/>
    </row>
    <row r="42" customFormat="false" ht="15" hidden="false" customHeight="true" outlineLevel="0" collapsed="false">
      <c r="A42" s="17" t="s">
        <v>336</v>
      </c>
    </row>
    <row r="43" customFormat="false" ht="15" hidden="false" customHeight="true" outlineLevel="0" collapsed="false">
      <c r="A43" s="17" t="s">
        <v>337</v>
      </c>
    </row>
    <row r="44" customFormat="false" ht="15" hidden="false" customHeight="true" outlineLevel="0" collapsed="false">
      <c r="A44" s="17" t="s">
        <v>338</v>
      </c>
    </row>
  </sheetData>
  <conditionalFormatting sqref="B24">
    <cfRule type="expression" priority="2" aboveAverage="0" equalAverage="0" bottom="0" percent="0" rank="0" text="" dxfId="0">
      <formula>LEFT(B24,5)="AVVIK"</formula>
    </cfRule>
  </conditionalFormatting>
  <conditionalFormatting sqref="B26">
    <cfRule type="expression" priority="3" aboveAverage="0" equalAverage="0" bottom="0" percent="0" rank="0" text="" dxfId="0">
      <formula>LEFT(B26,5)="AVVIK"</formula>
    </cfRule>
  </conditionalFormatting>
  <conditionalFormatting sqref="B27">
    <cfRule type="expression" priority="4" aboveAverage="0" equalAverage="0" bottom="0" percent="0" rank="0" text="" dxfId="0">
      <formula>LEFT(B27,5)="AVVIK"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3" min="2" style="1" width="20"/>
    <col collapsed="false" customWidth="true" hidden="false" outlineLevel="0" max="4" min="4" style="1" width="18"/>
    <col collapsed="false" customWidth="true" hidden="false" outlineLevel="0" max="5" min="5" style="1" width="54"/>
  </cols>
  <sheetData>
    <row r="1" customFormat="false" ht="17.25" hidden="false" customHeight="true" outlineLevel="0" collapsed="false">
      <c r="A1" s="2" t="s">
        <v>339</v>
      </c>
    </row>
    <row r="2" customFormat="false" ht="15" hidden="false" customHeight="true" outlineLevel="0" collapsed="false">
      <c r="A2" s="16" t="s">
        <v>340</v>
      </c>
    </row>
    <row r="4" customFormat="false" ht="15" hidden="false" customHeight="true" outlineLevel="0" collapsed="false">
      <c r="A4" s="18" t="s">
        <v>341</v>
      </c>
    </row>
    <row r="5" customFormat="false" ht="15" hidden="false" customHeight="true" outlineLevel="0" collapsed="false">
      <c r="A5" s="17" t="s">
        <v>342</v>
      </c>
    </row>
    <row r="7" customFormat="false" ht="15" hidden="false" customHeight="true" outlineLevel="0" collapsed="false">
      <c r="A7" s="20" t="s">
        <v>343</v>
      </c>
      <c r="B7" s="24" t="n">
        <v>600000</v>
      </c>
      <c r="E7" s="20" t="s">
        <v>344</v>
      </c>
    </row>
    <row r="9" customFormat="false" ht="27.75" hidden="false" customHeight="true" outlineLevel="0" collapsed="false">
      <c r="A9" s="23" t="s">
        <v>47</v>
      </c>
      <c r="B9" s="23" t="s">
        <v>345</v>
      </c>
      <c r="C9" s="23" t="s">
        <v>346</v>
      </c>
      <c r="D9" s="23" t="s">
        <v>347</v>
      </c>
      <c r="E9" s="23" t="s">
        <v>348</v>
      </c>
    </row>
    <row r="10" customFormat="false" ht="15" hidden="false" customHeight="true" outlineLevel="0" collapsed="false">
      <c r="A10" s="20" t="s">
        <v>349</v>
      </c>
      <c r="B10" s="25" t="n">
        <f aca="false">Nordlys!B34</f>
        <v>2892650</v>
      </c>
      <c r="C10" s="25" t="n">
        <f aca="false">B10-$B$7</f>
        <v>2292650</v>
      </c>
    </row>
    <row r="11" customFormat="false" ht="15" hidden="false" customHeight="true" outlineLevel="0" collapsed="false">
      <c r="A11" s="20" t="s">
        <v>350</v>
      </c>
      <c r="B11" s="25" t="n">
        <f aca="false">Nordlys!B29</f>
        <v>10182650</v>
      </c>
      <c r="C11" s="25" t="n">
        <f aca="false">B11-$B$7</f>
        <v>9582650</v>
      </c>
    </row>
    <row r="12" customFormat="false" ht="15" hidden="false" customHeight="true" outlineLevel="0" collapsed="false">
      <c r="A12" s="20" t="s">
        <v>137</v>
      </c>
      <c r="B12" s="25" t="n">
        <f aca="false">Nordlys!B27</f>
        <v>982650</v>
      </c>
      <c r="C12" s="25" t="n">
        <f aca="false">B12-$B$7</f>
        <v>382650</v>
      </c>
      <c r="E12" s="20" t="s">
        <v>351</v>
      </c>
    </row>
    <row r="13" customFormat="false" ht="15" hidden="false" customHeight="true" outlineLevel="0" collapsed="false">
      <c r="A13" s="20" t="s">
        <v>352</v>
      </c>
      <c r="B13" s="25" t="n">
        <f aca="false">Nordlys!B28</f>
        <v>6582650</v>
      </c>
      <c r="C13" s="25" t="n">
        <f aca="false">B13-$B$7</f>
        <v>5982650</v>
      </c>
    </row>
    <row r="14" customFormat="false" ht="15" hidden="false" customHeight="true" outlineLevel="0" collapsed="false">
      <c r="A14" s="22" t="s">
        <v>191</v>
      </c>
      <c r="B14" s="28" t="n">
        <f aca="false">B10/B11</f>
        <v>0.284076345548556</v>
      </c>
      <c r="C14" s="28" t="n">
        <f aca="false">C10/C11</f>
        <v>0.239250103050826</v>
      </c>
      <c r="D14" s="36" t="n">
        <f aca="false">Nøkkeltall!D11</f>
        <v>0.362</v>
      </c>
      <c r="E14" s="20" t="s">
        <v>353</v>
      </c>
    </row>
    <row r="15" customFormat="false" ht="15" hidden="false" customHeight="true" outlineLevel="0" collapsed="false">
      <c r="A15" s="22" t="s">
        <v>194</v>
      </c>
      <c r="B15" s="30" t="n">
        <f aca="false">(B11-B10)/B10</f>
        <v>2.52018045736608</v>
      </c>
      <c r="C15" s="30" t="n">
        <f aca="false">(C11-C10)/C10</f>
        <v>3.17972651734892</v>
      </c>
      <c r="D15" s="37" t="n">
        <f aca="false">Nøkkeltall!D12</f>
        <v>5</v>
      </c>
      <c r="E15" s="20" t="s">
        <v>354</v>
      </c>
    </row>
    <row r="16" customFormat="false" ht="15" hidden="false" customHeight="true" outlineLevel="0" collapsed="false">
      <c r="A16" s="22" t="s">
        <v>185</v>
      </c>
      <c r="B16" s="28" t="n">
        <f aca="false">B13/Nordlys!B40</f>
        <v>1.46606904231626</v>
      </c>
      <c r="C16" s="28" t="n">
        <f aca="false">C13/Nordlys!B40</f>
        <v>1.33243875278396</v>
      </c>
      <c r="D16" s="36" t="n">
        <f aca="false">Nøkkeltall!D9</f>
        <v>2</v>
      </c>
    </row>
    <row r="17" customFormat="false" ht="15" hidden="false" customHeight="true" outlineLevel="0" collapsed="false">
      <c r="A17" s="22" t="s">
        <v>188</v>
      </c>
      <c r="B17" s="28" t="n">
        <f aca="false">(B13-Nordlys!B25)/Nordlys!B40</f>
        <v>1.15426503340757</v>
      </c>
      <c r="C17" s="28" t="n">
        <f aca="false">(C13-Nordlys!B25)/Nordlys!B40</f>
        <v>1.02063474387528</v>
      </c>
      <c r="D17" s="36" t="n">
        <f aca="false">Nøkkeltall!D10</f>
        <v>1</v>
      </c>
      <c r="E17" s="20" t="s">
        <v>355</v>
      </c>
    </row>
    <row r="18" customFormat="false" ht="15" hidden="false" customHeight="true" outlineLevel="0" collapsed="false">
      <c r="A18" s="22" t="s">
        <v>182</v>
      </c>
      <c r="B18" s="28" t="n">
        <f aca="false">Nordlys!B17/((Nordlys!B47+B10)/2)</f>
        <v>0.479008749346107</v>
      </c>
      <c r="C18" s="28" t="n">
        <f aca="false">Nordlys!B17/((Nordlys!B47+C10)/2)</f>
        <v>0.546243552103681</v>
      </c>
      <c r="D18" s="36" t="n">
        <f aca="false">Nøkkeltall!D8</f>
        <v>0.2</v>
      </c>
      <c r="E18" s="20" t="s">
        <v>356</v>
      </c>
    </row>
    <row r="19" customFormat="false" ht="15" hidden="false" customHeight="true" outlineLevel="0" collapsed="false">
      <c r="A19" s="20" t="s">
        <v>357</v>
      </c>
      <c r="B19" s="33" t="n">
        <f aca="false">$B$7/B12</f>
        <v>0.610593802472905</v>
      </c>
    </row>
    <row r="21" customFormat="false" ht="15" hidden="false" customHeight="true" outlineLevel="0" collapsed="false">
      <c r="A21" s="18" t="s">
        <v>165</v>
      </c>
    </row>
    <row r="22" customFormat="false" ht="15" hidden="false" customHeight="true" outlineLevel="0" collapsed="false">
      <c r="A22" s="20" t="s">
        <v>358</v>
      </c>
      <c r="B22" s="27" t="str">
        <f aca="false">IF(C14&lt;B14,"AVVIK: egenkapitalandelen faller og gjeldsgraden stiger. Bedriften blir svakere på alt som betyr noe for banken","OK — utbyttet svekker ikke soliditeten")</f>
        <v>AVVIK: egenkapitalandelen faller og gjeldsgraden stiger. Bedriften blir svakere på alt som betyr noe for banken</v>
      </c>
    </row>
    <row r="23" customFormat="false" ht="15" hidden="false" customHeight="true" outlineLevel="0" collapsed="false">
      <c r="A23" s="17" t="s">
        <v>359</v>
      </c>
    </row>
    <row r="24" customFormat="false" ht="15" hidden="false" customHeight="true" outlineLevel="0" collapsed="false">
      <c r="A24" s="20" t="s">
        <v>360</v>
      </c>
      <c r="B24" s="27" t="str">
        <f aca="false">IF(C18&gt;B18,"AVVIK: egenkapitalrentabiliteten STIGER av utbyttet, samtidig som alt annet blir svakere. Et høyt tall kan være et faresignal","OK — egenkapitalrentabiliteten stiger ikke")</f>
        <v>AVVIK: egenkapitalrentabiliteten STIGER av utbyttet, samtidig som alt annet blir svakere. Et høyt tall kan være et faresignal</v>
      </c>
    </row>
    <row r="25" customFormat="false" ht="15" hidden="false" customHeight="true" outlineLevel="0" collapsed="false">
      <c r="A25" s="17" t="s">
        <v>361</v>
      </c>
    </row>
    <row r="26" customFormat="false" ht="15" hidden="false" customHeight="true" outlineLevel="0" collapsed="false">
      <c r="A26" s="20" t="s">
        <v>362</v>
      </c>
      <c r="B26" s="27" t="str">
        <f aca="false">IF(C12&gt;=0,"OK — bankinnskuddet dekker utbyttet, men se hva som blir igjen til lønn og merverdiavgift","AVVIK: bankinnskuddet dekker ikke utbyttet — pengene må hentes fra kassekreditten")</f>
        <v>OK — bankinnskuddet dekker utbyttet, men se hva som blir igjen til lønn og merverdiavgift</v>
      </c>
    </row>
    <row r="29" customFormat="false" ht="15" hidden="false" customHeight="true" outlineLevel="0" collapsed="false">
      <c r="A29" s="18" t="s">
        <v>363</v>
      </c>
    </row>
    <row r="30" customFormat="false" ht="15" hidden="false" customHeight="true" outlineLevel="0" collapsed="false">
      <c r="A30" s="17" t="s">
        <v>364</v>
      </c>
    </row>
    <row r="32" customFormat="false" ht="15" hidden="false" customHeight="true" outlineLevel="0" collapsed="false">
      <c r="A32" s="20" t="s">
        <v>305</v>
      </c>
      <c r="B32" s="25" t="n">
        <f aca="false">Nordlys!B51</f>
        <v>7354000</v>
      </c>
    </row>
    <row r="33" customFormat="false" ht="15" hidden="false" customHeight="true" outlineLevel="0" collapsed="false">
      <c r="A33" s="20" t="s">
        <v>365</v>
      </c>
      <c r="B33" s="25" t="n">
        <f aca="false">Nordlys!B16</f>
        <v>232500</v>
      </c>
    </row>
    <row r="34" customFormat="false" ht="15" hidden="false" customHeight="true" outlineLevel="0" collapsed="false">
      <c r="A34" s="20" t="s">
        <v>366</v>
      </c>
      <c r="B34" s="32" t="n">
        <f aca="false">B33/B32</f>
        <v>0.0316154473755779</v>
      </c>
    </row>
    <row ht="27" customHeight="true" r="35" customFormat="false" hidden="false" outlineLevel="0" collapsed="false">
      <c s="39" r="A35" t="s">
        <v>367</v>
      </c>
      <c r="B35" s="29" t="n">
        <v>0.063</v>
      </c>
      <c r="E35" s="20" t="s">
        <v>368</v>
      </c>
    </row>
    <row r="36" customFormat="false" ht="15" hidden="false" customHeight="true" outlineLevel="0" collapsed="false">
      <c r="A36" s="20" t="s">
        <v>369</v>
      </c>
      <c r="B36" s="26" t="n">
        <f aca="false">B32*B35</f>
        <v>463302</v>
      </c>
    </row>
    <row r="37" customFormat="false" ht="15" hidden="false" customHeight="true" outlineLevel="0" collapsed="false">
      <c r="A37" s="20" t="s">
        <v>370</v>
      </c>
      <c r="B37" s="26" t="n">
        <f aca="false">Nordlys!B14+Nordlys!B15-B36</f>
        <v>936698</v>
      </c>
    </row>
    <row r="38" customFormat="false" ht="15" hidden="false" customHeight="true" outlineLevel="0" collapsed="false">
      <c r="A38" s="22" t="s">
        <v>14</v>
      </c>
      <c r="B38" s="28" t="n">
        <f aca="false">(B37+B36)/Nordlys!B49</f>
        <v>0.142983712623164</v>
      </c>
      <c r="E38" s="20" t="s">
        <v>371</v>
      </c>
    </row>
    <row r="39" customFormat="false" ht="15" hidden="false" customHeight="true" outlineLevel="0" collapsed="false">
      <c r="A39" s="22" t="s">
        <v>182</v>
      </c>
      <c r="B39" s="28" t="n">
        <f aca="false">B37/Nordlys!B50</f>
        <v>0.384313950745182</v>
      </c>
      <c r="E39" s="20" t="s">
        <v>372</v>
      </c>
    </row>
    <row r="40" customFormat="false" ht="15" hidden="false" customHeight="true" outlineLevel="0" collapsed="false">
      <c r="A40" s="20" t="s">
        <v>373</v>
      </c>
      <c r="B40" s="33" t="n">
        <f aca="false">(B38-B35)*100</f>
        <v>7.99837126231639</v>
      </c>
    </row>
    <row r="41" customFormat="false" ht="15" hidden="false" customHeight="true" outlineLevel="0" collapsed="false">
      <c r="A41" s="20" t="s">
        <v>374</v>
      </c>
      <c r="B41" s="28" t="n">
        <f aca="false">(Nordlys!B14+Nordlys!B15)/B32</f>
        <v>0.190372586347566</v>
      </c>
      <c r="E41" s="20" t="s">
        <v>375</v>
      </c>
    </row>
    <row r="43" customFormat="false" ht="15" hidden="false" customHeight="true" outlineLevel="0" collapsed="false">
      <c r="A43" s="18" t="s">
        <v>165</v>
      </c>
    </row>
    <row ht="27" customHeight="true" r="44" customFormat="false" hidden="false" outlineLevel="0" collapsed="false">
      <c s="39" r="A44" t="s">
        <v>376</v>
      </c>
      <c r="B44" s="27" t="str">
        <f aca="false">IF(B38&gt;B35,"OK — den lånte kapitalen tjener fortsatt mer enn den koster","AVVIK: gjeldsrenta har passert totalkapitalrentabiliteten. Nå spiser gjelden egenkapitalen i stedet for å løfte den")</f>
        <v>OK — den lånte kapitalen tjener fortsatt mer enn den koster</v>
      </c>
    </row>
    <row r="45" customFormat="false" ht="15" hidden="false" customHeight="true" outlineLevel="0" collapsed="false">
      <c r="A45" s="20" t="s">
        <v>377</v>
      </c>
      <c r="B45" s="27" t="str">
        <f aca="false">IF(ABS(B38-Nøkkeltall!C7)&lt;0.0001,"OK — totalkapitalrentabiliteten er den samme uansett hva renta er. Det er nettopp derfor rentene legges tilbake i telleren","AVVIK: sjekk formlene — TKR skal ikke endre seg av renta alene")</f>
        <v>OK — totalkapitalrentabiliteten er den samme uansett hva renta er. Det er nettopp derfor rentene legges tilbake i telleren</v>
      </c>
    </row>
    <row r="48" customFormat="false" ht="15" hidden="false" customHeight="true" outlineLevel="0" collapsed="false">
      <c r="A48" s="18" t="s">
        <v>378</v>
      </c>
    </row>
    <row r="49" customFormat="false" ht="15" hidden="false" customHeight="true" outlineLevel="0" collapsed="false">
      <c r="A49" s="17" t="s">
        <v>379</v>
      </c>
    </row>
    <row ht="39.75" customHeight="true" r="51" customFormat="false" hidden="false" outlineLevel="0" collapsed="false">
      <c r="A51" s="23"/>
      <c r="B51" s="23" t="s">
        <v>380</v>
      </c>
      <c r="C51" s="23" t="s">
        <v>381</v>
      </c>
      <c r="D51" s="23" t="s">
        <v>382</v>
      </c>
      <c r="E51" s="23" t="s">
        <v>383</v>
      </c>
    </row>
    <row r="52" customFormat="false" ht="15" hidden="false" customHeight="true" outlineLevel="0" collapsed="false">
      <c r="A52" s="20" t="s">
        <v>384</v>
      </c>
      <c r="B52" s="25" t="n">
        <f aca="false">Nordlys!$B$5</f>
        <v>22400000</v>
      </c>
      <c r="C52" s="25" t="n">
        <f aca="false">Nordlys!$B$5</f>
        <v>22400000</v>
      </c>
      <c r="E52" s="20" t="s">
        <v>385</v>
      </c>
    </row>
    <row r="53" customFormat="false" ht="15" hidden="false" customHeight="true" outlineLevel="0" collapsed="false">
      <c r="A53" s="20" t="s">
        <v>177</v>
      </c>
      <c r="B53" s="29" t="n">
        <v>0.088</v>
      </c>
      <c r="C53" s="29" t="n">
        <v>0.042</v>
      </c>
      <c r="D53" s="36" t="n">
        <f aca="false">Nøkkeltall!D6</f>
        <v>0.075</v>
      </c>
    </row>
    <row r="54" customFormat="false" ht="15" hidden="false" customHeight="true" outlineLevel="0" collapsed="false">
      <c r="A54" s="20" t="s">
        <v>14</v>
      </c>
      <c r="B54" s="29" t="n">
        <v>0.175</v>
      </c>
      <c r="C54" s="29" t="n">
        <v>0.08</v>
      </c>
      <c r="D54" s="36" t="n">
        <f aca="false">Nøkkeltall!D7</f>
        <v>0.146</v>
      </c>
    </row>
    <row r="55" customFormat="false" ht="15" hidden="false" customHeight="true" outlineLevel="0" collapsed="false">
      <c r="A55" s="20" t="s">
        <v>182</v>
      </c>
      <c r="B55" s="29" t="n">
        <v>0.62</v>
      </c>
      <c r="C55" s="29" t="n">
        <v>0.125</v>
      </c>
    </row>
    <row r="56" customFormat="false" ht="15" hidden="false" customHeight="true" outlineLevel="0" collapsed="false">
      <c r="A56" s="20" t="s">
        <v>185</v>
      </c>
      <c r="B56" s="29" t="n">
        <v>1.18</v>
      </c>
      <c r="C56" s="29" t="n">
        <v>2.1</v>
      </c>
      <c r="D56" s="36" t="n">
        <f aca="false">Nøkkeltall!D9</f>
        <v>2</v>
      </c>
    </row>
    <row r="57" customFormat="false" ht="15" hidden="false" customHeight="true" outlineLevel="0" collapsed="false">
      <c r="A57" s="20" t="s">
        <v>188</v>
      </c>
      <c r="B57" s="29" t="n">
        <v>0.78</v>
      </c>
      <c r="C57" s="29" t="n">
        <v>1.55</v>
      </c>
      <c r="D57" s="36" t="n">
        <f aca="false">Nøkkeltall!D10</f>
        <v>1</v>
      </c>
    </row>
    <row r="58" customFormat="false" ht="15" hidden="false" customHeight="true" outlineLevel="0" collapsed="false">
      <c r="A58" s="20" t="s">
        <v>191</v>
      </c>
      <c r="B58" s="29" t="n">
        <v>0.18</v>
      </c>
      <c r="C58" s="29" t="n">
        <v>0.52</v>
      </c>
      <c r="D58" s="36" t="n">
        <f aca="false">Nøkkeltall!D11</f>
        <v>0.362</v>
      </c>
    </row>
    <row r="59" customFormat="false" ht="15" hidden="false" customHeight="true" outlineLevel="0" collapsed="false">
      <c r="A59" s="20" t="s">
        <v>194</v>
      </c>
      <c r="B59" s="33" t="n">
        <f aca="false">(1-B58)/B58</f>
        <v>4.55555555555556</v>
      </c>
      <c r="C59" s="33" t="n">
        <f aca="false">(1-C58)/C58</f>
        <v>0.923076923076923</v>
      </c>
      <c r="D59" s="37" t="n">
        <f aca="false">Nøkkeltall!D12</f>
        <v>5</v>
      </c>
    </row>
    <row r="60" customFormat="false" ht="15" hidden="false" customHeight="true" outlineLevel="0" collapsed="false">
      <c r="A60" s="20" t="s">
        <v>386</v>
      </c>
      <c r="B60" s="24" t="n">
        <v>6000000</v>
      </c>
      <c r="C60" s="24" t="n">
        <v>9500000</v>
      </c>
    </row>
    <row r="62" customFormat="false" ht="15" hidden="false" customHeight="true" outlineLevel="0" collapsed="false">
      <c r="A62" s="18" t="s">
        <v>387</v>
      </c>
    </row>
    <row r="63" customFormat="false" ht="15" hidden="false" customHeight="true" outlineLevel="0" collapsed="false">
      <c r="A63" s="22" t="s">
        <v>119</v>
      </c>
      <c r="B63" s="26" t="n">
        <f aca="false">B52*B53</f>
        <v>1971200</v>
      </c>
      <c r="C63" s="26" t="n">
        <f aca="false">C52*C53</f>
        <v>940800</v>
      </c>
      <c r="E63" s="20" t="s">
        <v>388</v>
      </c>
    </row>
    <row r="64" customFormat="false" ht="15" hidden="false" customHeight="true" outlineLevel="0" collapsed="false">
      <c r="A64" s="20" t="s">
        <v>389</v>
      </c>
      <c r="B64" s="25" t="n">
        <f aca="false">B63/B54</f>
        <v>11264000</v>
      </c>
      <c r="C64" s="25" t="n">
        <f aca="false">C63/C54</f>
        <v>11760000</v>
      </c>
      <c r="E64" s="20" t="s">
        <v>390</v>
      </c>
    </row>
    <row r="65" customFormat="false" ht="15" hidden="false" customHeight="true" outlineLevel="0" collapsed="false">
      <c r="A65" s="22" t="s">
        <v>391</v>
      </c>
      <c r="B65" s="26" t="n">
        <f aca="false">B64*B58</f>
        <v>2027520</v>
      </c>
      <c r="C65" s="26" t="n">
        <f aca="false">C64*C58</f>
        <v>6115200</v>
      </c>
    </row>
    <row r="66" customFormat="false" ht="15" hidden="false" customHeight="true" outlineLevel="0" collapsed="false">
      <c r="A66" s="22" t="s">
        <v>392</v>
      </c>
      <c r="B66" s="26" t="n">
        <f aca="false">B64-B65</f>
        <v>9236480</v>
      </c>
      <c r="C66" s="26" t="n">
        <f aca="false">C64-C65</f>
        <v>5644800</v>
      </c>
    </row>
    <row r="67" customFormat="false" ht="15" hidden="false" customHeight="true" outlineLevel="0" collapsed="false">
      <c r="A67" s="20" t="s">
        <v>124</v>
      </c>
      <c r="B67" s="25" t="n">
        <f aca="false">B55*B65</f>
        <v>1257062.4</v>
      </c>
      <c r="C67" s="25" t="n">
        <f aca="false">C55*C65</f>
        <v>764400</v>
      </c>
    </row>
    <row r="68" customFormat="false" ht="15" hidden="false" customHeight="true" outlineLevel="0" collapsed="false">
      <c r="A68" s="20" t="s">
        <v>393</v>
      </c>
      <c r="B68" s="25" t="n">
        <f aca="false">B63-B67</f>
        <v>714137.6</v>
      </c>
      <c r="C68" s="25" t="n">
        <f aca="false">C63-C67</f>
        <v>176400</v>
      </c>
    </row>
    <row r="69" customFormat="false" ht="15" hidden="false" customHeight="true" outlineLevel="0" collapsed="false">
      <c r="A69" s="20" t="s">
        <v>394</v>
      </c>
      <c r="B69" s="32" t="n">
        <f aca="false">B68/B66</f>
        <v>0.0773170731707317</v>
      </c>
      <c r="C69" s="32" t="n">
        <f aca="false">C68/C66</f>
        <v>0.03125</v>
      </c>
    </row>
    <row r="70" customFormat="false" ht="15" hidden="false" customHeight="true" outlineLevel="0" collapsed="false">
      <c r="A70" s="20" t="s">
        <v>199</v>
      </c>
      <c r="B70" s="33" t="n">
        <f aca="false">(B54-B69)*100</f>
        <v>9.76829268292683</v>
      </c>
      <c r="C70" s="33" t="n">
        <f aca="false">(C54-C69)*100</f>
        <v>4.875</v>
      </c>
      <c r="E70" s="20" t="s">
        <v>395</v>
      </c>
    </row>
    <row r="72" customFormat="false" ht="15" hidden="false" customHeight="true" outlineLevel="0" collapsed="false">
      <c r="A72" s="18" t="s">
        <v>396</v>
      </c>
    </row>
    <row r="73" customFormat="false" ht="15" hidden="false" customHeight="true" outlineLevel="0" collapsed="false">
      <c r="A73" s="20" t="s">
        <v>397</v>
      </c>
      <c r="B73" s="33" t="n">
        <f aca="false">B60/B65</f>
        <v>2.9592803030303</v>
      </c>
      <c r="C73" s="33" t="n">
        <f aca="false">C60/C65</f>
        <v>1.55350601779173</v>
      </c>
    </row>
    <row r="74" customFormat="false" ht="15" hidden="false" customHeight="true" outlineLevel="0" collapsed="false">
      <c r="A74" s="22" t="s">
        <v>398</v>
      </c>
      <c r="B74" s="28" t="n">
        <f aca="false">B67/B60</f>
        <v>0.2095104</v>
      </c>
      <c r="C74" s="28" t="n">
        <f aca="false">C67/C60</f>
        <v>0.0804631578947369</v>
      </c>
      <c r="E74" s="20" t="s">
        <v>399</v>
      </c>
    </row>
    <row r="75" customFormat="false" ht="15" hidden="false" customHeight="true" outlineLevel="0" collapsed="false">
      <c r="A75" s="22" t="s">
        <v>400</v>
      </c>
      <c r="B75" s="26" t="n">
        <f aca="false">B60+B66</f>
        <v>15236480</v>
      </c>
      <c r="C75" s="26" t="n">
        <f aca="false">C60+C66</f>
        <v>15144800</v>
      </c>
      <c r="E75" s="20" t="s">
        <v>401</v>
      </c>
    </row>
    <row r="76" customFormat="false" ht="15" hidden="false" customHeight="true" outlineLevel="0" collapsed="false">
      <c r="A76" s="20" t="s">
        <v>402</v>
      </c>
      <c r="B76" s="34" t="n">
        <f aca="false">ABS(B75-C75)</f>
        <v>91680</v>
      </c>
    </row>
    <row r="77" customFormat="false" ht="15" hidden="false" customHeight="true" outlineLevel="0" collapsed="false">
      <c r="A77" s="20" t="s">
        <v>403</v>
      </c>
      <c r="B77" s="32" t="n">
        <f aca="false">B76/B75</f>
        <v>0.00601713781660856</v>
      </c>
    </row>
    <row r="79" customFormat="false" ht="15" hidden="false" customHeight="true" outlineLevel="0" collapsed="false">
      <c r="A79" s="18" t="s">
        <v>165</v>
      </c>
    </row>
    <row r="80" customFormat="false" ht="15" hidden="false" customHeight="true" outlineLevel="0" collapsed="false">
      <c r="A80" s="20" t="s">
        <v>404</v>
      </c>
      <c r="B80" s="27" t="str">
        <f aca="false">IF(B77&lt;0.05,"AVVIK: de to bedriftene koster praktisk talt det samme når gjelden regnes med. Prisantydningene alene sier deg altså ingenting","OK — de to koster ulikt også når gjelden regnes med")</f>
        <v>AVVIK: de to bedriftene koster praktisk talt det samme når gjelden regnes med. Prisantydningene alene sier deg altså ingenting</v>
      </c>
    </row>
    <row r="81" customFormat="false" ht="15" hidden="false" customHeight="true" outlineLevel="0" collapsed="false">
      <c r="A81" s="17" t="s">
        <v>405</v>
      </c>
    </row>
    <row r="82" customFormat="false" ht="15" hidden="false" customHeight="true" outlineLevel="0" collapsed="false">
      <c r="A82" s="20" t="s">
        <v>406</v>
      </c>
      <c r="B82" s="27" t="str">
        <f aca="false">IF(AND(B68&gt;0,C68&gt;0),"OK — regnestykket henger sammen for begge bedriftene","AVVIK: negative rentekostnader betyr at egenkapitalrentabiliteten er satt for høyt i forhold til driftsmarginen")</f>
        <v>OK — regnestykket henger sammen for begge bedriftene</v>
      </c>
    </row>
    <row r="83" customFormat="false" ht="15" hidden="false" customHeight="true" outlineLevel="0" collapsed="false">
      <c r="A83" s="20" t="s">
        <v>407</v>
      </c>
      <c r="B83" s="27" t="str">
        <f aca="false">IF(AND(B54&gt;B69,C54&gt;C69),"OK — begge tjener mer på kapitalen enn den koster","AVVIK: minst én av bedriftene taper på gjelden sin")</f>
        <v>OK — begge tjener mer på kapitalen enn den koster</v>
      </c>
    </row>
    <row r="85" customFormat="false" ht="15" hidden="false" customHeight="true" outlineLevel="0" collapsed="false">
      <c r="A85" s="17" t="s">
        <v>408</v>
      </c>
    </row>
  </sheetData>
  <conditionalFormatting sqref="B22">
    <cfRule type="expression" priority="2" aboveAverage="0" equalAverage="0" bottom="0" percent="0" rank="0" text="" dxfId="0">
      <formula>LEFT(B22,5)="AVVIK"</formula>
    </cfRule>
  </conditionalFormatting>
  <conditionalFormatting sqref="B24">
    <cfRule type="expression" priority="3" aboveAverage="0" equalAverage="0" bottom="0" percent="0" rank="0" text="" dxfId="0">
      <formula>LEFT(B24,5)="AVVIK"</formula>
    </cfRule>
  </conditionalFormatting>
  <conditionalFormatting sqref="B26">
    <cfRule type="expression" priority="4" aboveAverage="0" equalAverage="0" bottom="0" percent="0" rank="0" text="" dxfId="0">
      <formula>LEFT(B26,5)="AVVIK"</formula>
    </cfRule>
  </conditionalFormatting>
  <conditionalFormatting sqref="B44">
    <cfRule type="expression" priority="5" aboveAverage="0" equalAverage="0" bottom="0" percent="0" rank="0" text="" dxfId="0">
      <formula>LEFT(B44,5)="AVVIK"</formula>
    </cfRule>
  </conditionalFormatting>
  <conditionalFormatting sqref="B45">
    <cfRule type="expression" priority="6" aboveAverage="0" equalAverage="0" bottom="0" percent="0" rank="0" text="" dxfId="0">
      <formula>LEFT(B45,5)="AVVIK"</formula>
    </cfRule>
  </conditionalFormatting>
  <conditionalFormatting sqref="B80">
    <cfRule type="expression" priority="7" aboveAverage="0" equalAverage="0" bottom="0" percent="0" rank="0" text="" dxfId="0">
      <formula>LEFT(B80,5)="AVVIK"</formula>
    </cfRule>
  </conditionalFormatting>
  <conditionalFormatting sqref="B82">
    <cfRule type="expression" priority="8" aboveAverage="0" equalAverage="0" bottom="0" percent="0" rank="0" text="" dxfId="0">
      <formula>LEFT(B82,5)="AVVIK"</formula>
    </cfRule>
  </conditionalFormatting>
  <conditionalFormatting sqref="B83">
    <cfRule type="expression" priority="9" aboveAverage="0" equalAverage="0" bottom="0" percent="0" rank="0" text="" dxfId="0">
      <formula>LEFT(B83,5)="AVVIK"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2026-09-14T08:33:12Z</dcterms:created>
  <dc:creator>openpyxl</dc:creator>
  <dc:description/>
  <dc:language>en-US</dc:language>
  <cp:lastModifiedBy/>
  <dcterms:modified xsi:type="dcterms:W3CDTF">2026-10-08T13:08:21Z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