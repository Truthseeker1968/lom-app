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Fasit"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sz val="10.5"/>
    </font>
    <font>
      <name val="Calibri"/>
      <i val="1"/>
      <color rgb="002F4A6D"/>
      <sz val="10.5"/>
    </font>
    <font>
      <name val="Calibri"/>
      <family val="2"/>
      <b val="1"/>
      <color theme="1"/>
      <sz val="11"/>
      <scheme val="minor"/>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0" fontId="0" fillId="0" borderId="0" applyAlignment="1" pivotButton="0" quotePrefix="0" xfId="0">
      <alignment vertical="top" wrapText="1"/>
    </xf>
    <xf numFmtId="3" fontId="0" fillId="4" borderId="1" applyAlignment="1" pivotButton="0" quotePrefix="0" xfId="0">
      <alignment horizontal="right" vertical="center"/>
    </xf>
    <xf numFmtId="0" fontId="4" fillId="0" borderId="0" pivotButton="0" quotePrefix="0" xfId="0"/>
    <xf numFmtId="0" fontId="6" fillId="0" borderId="0" applyAlignment="1" pivotButton="0" quotePrefix="0" xfId="0">
      <alignment vertical="top" wrapText="1"/>
    </xf>
    <xf numFmtId="164" fontId="0" fillId="4" borderId="1" applyAlignment="1" pivotButton="0" quotePrefix="0" xfId="0">
      <alignment horizontal="right" vertical="center"/>
    </xf>
    <xf numFmtId="0" fontId="0" fillId="4" borderId="1" pivotButton="0" quotePrefix="0" xfId="0"/>
    <xf numFmtId="0" fontId="0" fillId="4" borderId="1" applyAlignment="1" pivotButton="0" quotePrefix="0" xfId="0">
      <alignment vertical="top" wrapText="1"/>
    </xf>
    <xf numFmtId="0" fontId="7" fillId="0" borderId="0" applyAlignment="1" pivotButton="0" quotePrefix="0" xfId="0">
      <alignment vertical="top" wrapText="1"/>
    </xf>
    <xf numFmtId="0" fontId="3" fillId="0" borderId="0" pivotButton="0" quotePrefix="0" xfId="0"/>
    <xf numFmtId="0" fontId="0" fillId="2" borderId="0" applyAlignment="1" pivotButton="0" quotePrefix="0" xfId="0">
      <alignment vertical="top" wrapText="1"/>
    </xf>
    <xf numFmtId="2" fontId="0" fillId="4" borderId="1" applyAlignment="1" pivotButton="0" quotePrefix="0" xfId="0">
      <alignment horizontal="right" vertical="center"/>
    </xf>
    <xf numFmtId="0" fontId="8" fillId="0" borderId="0" applyAlignment="1" pivotButton="0" quotePrefix="0" xfId="0">
      <alignment vertical="top" wrapText="1"/>
    </xf>
    <xf numFmtId="0" fontId="1" fillId="0" borderId="0" pivotButton="0" quotePrefix="0" xfId="0"/>
    <xf numFmtId="0" fontId="5" fillId="3" borderId="1" pivotButton="0" quotePrefix="0" xfId="0"/>
    <xf numFmtId="0" fontId="0" fillId="0" borderId="1" applyAlignment="1" pivotButton="0" quotePrefix="0" xfId="0">
      <alignment vertical="top" wrapText="1"/>
    </xf>
    <xf numFmtId="3" fontId="0" fillId="5" borderId="1" applyAlignment="1" pivotButton="0" quotePrefix="0" xfId="0">
      <alignment horizontal="right" vertical="center"/>
    </xf>
  </cellXfs>
  <cellStyles count="1">
    <cellStyle name="Normal" xfId="0" builtinId="0" hidden="0"/>
  </cellStyles>
  <dxfs count="3">
    <dxf>
      <fill>
        <patternFill patternType="solid">
          <fgColor rgb="00E2EFDA"/>
        </patternFill>
      </fill>
    </dxf>
    <dxf>
      <fill>
        <patternFill patternType="solid">
          <fgColor rgb="00FFE69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18"/>
  <sheetViews>
    <sheetView workbookViewId="0">
      <selection activeCell="A1" sqref="A1"/>
    </sheetView>
  </sheetViews>
  <sheetFormatPr baseColWidth="8" defaultRowHeight="15"/>
  <cols>
    <col width="3" customWidth="1" min="1" max="1"/>
    <col width="110" customWidth="1" min="2" max="2"/>
  </cols>
  <sheetData>
    <row r="2" ht="26" customHeight="1">
      <c r="B2" s="1" t="inlineStr">
        <is>
          <t>Regnskapsanalyse: oppgaver til kapittel 4</t>
        </is>
      </c>
    </row>
    <row r="3" ht="30" customHeight="1">
      <c r="B3" s="2" t="inlineStr">
        <is>
          <t>Økonomistyring for LØM-emnet (Hjertnes og Skorpen), kapittel 4. Versjon 9, november 2026. Nordlys Elektro AS og Fjell Elektro AS er konstruerte casebedrifter; tallene er faktaarkene.</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Nordlys: 47,9 % til eierne. Hva er det som løfter?</t>
        </is>
      </c>
    </row>
    <row r="14" ht="15" customHeight="1">
      <c r="B14" s="2" t="inlineStr">
        <is>
          <t>1B  Nordlys: tåler bedriften 600 000 kr i utbytte?</t>
        </is>
      </c>
    </row>
    <row r="15" ht="15" customHeight="1">
      <c r="B15" s="2" t="inlineStr">
        <is>
          <t>1C  Fjell Elektro etter første år: det banken leser før den sier ja til bilen</t>
        </is>
      </c>
    </row>
    <row r="16" ht="15" customHeight="1">
      <c r="B16" s="2" t="inlineStr">
        <is>
          <t>Fasit  Alle svar med regnestykket skrevet ut</t>
        </is>
      </c>
    </row>
    <row r="18" ht="30" customHeight="1">
      <c r="B18"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40"/>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Driften er bedre enn totalkapitalrentabiliteten viser</t>
        </is>
      </c>
    </row>
    <row r="2" ht="26" customHeight="1">
      <c r="B2" s="1" t="inlineStr">
        <is>
          <t>Oppgave 1A: Nordlys: 47,9 % til eierne. Hva er det som løfter?</t>
        </is>
      </c>
      <c r="Z2" t="inlineStr">
        <is>
          <t>Gjelden koster mindre enn kapitalen tjener, og gevinsten deles på en liten egenkapital</t>
        </is>
      </c>
    </row>
    <row r="3" ht="15" customHeight="1">
      <c r="B3" s="5" t="inlineStr">
        <is>
          <t>Alene, i par eller i gruppe, slik du vil.</t>
        </is>
      </c>
      <c r="Z3" t="inlineStr">
        <is>
          <t>Egenkapitalrentabiliteten regnes etter skatt</t>
        </is>
      </c>
    </row>
    <row r="4" ht="16" customHeight="1">
      <c r="B4" s="3" t="inlineStr">
        <is>
          <t>Situasjonen</t>
        </is>
      </c>
    </row>
    <row r="5" ht="45" customHeight="1">
      <c r="B5" s="2" t="inlineStr">
        <is>
          <t>Kari Nordlund og Tom Berg eier Nordlys Elektro AS. Regnskapsføreren har regnet ut at de fikk 47,9 % avkastning på egenkapitalen før skatt i 2026. Tom vil låne mer for å få tallet enda høyere. Kari vil først vite hva det er som gir de 47,9 prosentene. Du regner nøkkeltallene for lønnsomhet og forklarer henne det.</t>
        </is>
      </c>
    </row>
    <row r="6" ht="16" customHeight="1">
      <c r="B6" s="3" t="inlineStr">
        <is>
          <t>Begrepene du trenger</t>
        </is>
      </c>
    </row>
    <row r="7" ht="75" customHeight="1">
      <c r="B7" s="2" t="inlineStr">
        <is>
          <t>Driftsmargin = driftsresultat × 100 / salgsinntekt: hvor mange kroner av hver hundrelapp som er igjen etter hele driften. Totalkapitalrentabilitet = (resultat før skatt + rentekostnader) × 100 / gjennomsnittlig totalkapital: hva alle pengene i bedriften tjener, både eiernes og bankens. Gjennomsnittlig gjeldsrente = rentekostnader × 100 / gjennomsnittlig gjeld. Egenkapitalrentabilitet = resultat før skatt × 100 / gjennomsnittlig egenkapital: hva eierne får igjen. Gjennomsnitt = (1. januar + 31. desember) / 2.</t>
        </is>
      </c>
    </row>
    <row r="8"/>
    <row r="9" ht="16" customHeight="1">
      <c r="B9" s="3" t="inlineStr">
        <is>
          <t>Tallene, i kroner</t>
        </is>
      </c>
    </row>
    <row r="10" ht="30" customHeight="1">
      <c r="B10" s="2" t="inlineStr">
        <is>
          <t>Resultatregnskapet gjelder hele 2026. Balansetallene står for to datoer, fordi kapitalen har arbeidet hele året og nøkkeltallene bruker gjennomsnittet: (1. januar + 31. desember) / 2.</t>
        </is>
      </c>
    </row>
    <row r="11">
      <c r="B11" s="6" t="inlineStr">
        <is>
          <t>Nordlys Elektro AS</t>
        </is>
      </c>
      <c r="C11" s="7" t="inlineStr">
        <is>
          <t>1. januar 2026</t>
        </is>
      </c>
      <c r="D11" s="7" t="inlineStr">
        <is>
          <t>31. desember 2026</t>
        </is>
      </c>
    </row>
    <row r="12">
      <c r="B12" s="8" t="inlineStr">
        <is>
          <t>Salgsinntekt (året)</t>
        </is>
      </c>
      <c r="C12" s="9" t="inlineStr"/>
      <c r="D12" s="9" t="n">
        <v>22400000</v>
      </c>
    </row>
    <row r="13">
      <c r="B13" s="8" t="inlineStr">
        <is>
          <t>Driftsresultat (året)</t>
        </is>
      </c>
      <c r="C13" s="9" t="inlineStr"/>
      <c r="D13" s="9" t="n">
        <v>1344000</v>
      </c>
    </row>
    <row r="14">
      <c r="B14" s="8" t="inlineStr">
        <is>
          <t>Rentekostnader (året)</t>
        </is>
      </c>
      <c r="C14" s="9" t="inlineStr"/>
      <c r="D14" s="9" t="n">
        <v>232500</v>
      </c>
    </row>
    <row r="15">
      <c r="B15" s="8" t="inlineStr">
        <is>
          <t>Resultat før skatt (året)</t>
        </is>
      </c>
      <c r="C15" s="9" t="inlineStr"/>
      <c r="D15" s="9" t="n">
        <v>1167500</v>
      </c>
    </row>
    <row r="16">
      <c r="B16" s="8" t="inlineStr">
        <is>
          <t>Årsresultat (året, etter skatt)</t>
        </is>
      </c>
      <c r="C16" s="9" t="inlineStr"/>
      <c r="D16" s="9" t="n">
        <v>910650</v>
      </c>
    </row>
    <row r="17">
      <c r="B17" s="8" t="inlineStr">
        <is>
          <t>Totalkapital (sum eiendeler)</t>
        </is>
      </c>
      <c r="C17" s="9" t="n">
        <v>9400000</v>
      </c>
      <c r="D17" s="9" t="n">
        <v>10182650</v>
      </c>
    </row>
    <row r="18">
      <c r="B18" s="8" t="inlineStr">
        <is>
          <t>Egenkapital</t>
        </is>
      </c>
      <c r="C18" s="9" t="n">
        <v>1982000</v>
      </c>
      <c r="D18" s="9" t="n">
        <v>2892650</v>
      </c>
    </row>
    <row r="19">
      <c r="B19" s="8" t="inlineStr">
        <is>
          <t>Sum gjeld</t>
        </is>
      </c>
      <c r="C19" s="9" t="n">
        <v>7418000</v>
      </c>
      <c r="D19" s="9" t="n">
        <v>7290000</v>
      </c>
    </row>
    <row r="20"/>
    <row r="21" ht="16" customHeight="1">
      <c r="B21" s="3" t="inlineStr">
        <is>
          <t>Oppgaven, trinn for trinn</t>
        </is>
      </c>
    </row>
    <row r="22" ht="90" customHeight="1">
      <c r="B22" s="2" t="inlineStr">
        <is>
          <t>1. Regn gjennomsnittlig totalkapital: (9 400 000 + 10 182 650) / 2. Skriv svaret i hele kroner.
2. Regn driftsmarginen: driftsresultat × 100 / salgsinntekt. Svar med én desimal (6,0 betyr 6,0 %).
3. Regn totalkapitalrentabiliteten: (resultat før skatt + rentekostnader) × 100 / gjennomsnittlig totalkapital.
4. Regn gjennomsnittlig gjeldsrente: rentekostnader × 100 / gjennomsnittlig gjeld. Gjennomsnittlig gjeld regner du på samme måte som i trinn 1.
5. Regn egenkapitalrentabiliteten: resultat før skatt × 100 / gjennomsnittlig egenkapital.
6. Velg i f hvorfor egenkapitalrentabiliteten er så mye høyere enn totalkapitalrentabiliteten, og skriv svaret til Tom i g.</t>
        </is>
      </c>
    </row>
    <row r="23"/>
    <row r="24" ht="48" customHeight="1">
      <c r="B24" s="10" t="inlineStr">
        <is>
          <t>a) Gjennomsnittlig totalkapital, hele kroner</t>
        </is>
      </c>
      <c r="C24" s="11" t="n"/>
      <c r="D24" s="12" t="inlineStr">
        <is>
          <t>kr</t>
        </is>
      </c>
      <c r="G24" s="13">
        <f>IF(C24="","Skriv svaret i den gule cellen.",IF(ISTEXT(C24),"Skriv bare tallet, uten mellomrom, enhet eller tekst. Enheten står ved siden av cellen. Du kan også skrive regnestykket med likhetstegn foran, for eksempel =2100000/7300.",IF(ABS(C24-((9400000+10182650)/2))&lt;=1,"Riktig. (9 400 000 + 10 182 650) / 2 = 9 791 325 kr.",IF(ABS(C24-(10182650))&lt;=1,"Du har brukt bare tallet 31. desember. Kapitalen har arbeidet hele året: ta (1. januar + 31. desember) / 2.",IF(ABS(C24-(9400000+10182650))&lt;=1,"Du har lagt sammen de to tallene, men ikke delt på to.",IF(IFERROR(AND(C24&lt;&gt;0,((9400000+10182650)/2)&lt;&gt;0,ROUND(LOG10(ABS(C24/((9400000+10182650)/2))),0)&lt;&gt;0,ABS(LOG10(ABS(C24/((9400000+10182650)/2)))-ROUND(LOG10(ABS(C24/((9400000+10182650)/2))),0))&lt;0.004),FALSE),"Sifrene stemmer, men antall nuller eller plasseringen av kommaet er feil. Sjekk om du har regnet i kroner, tusen kroner eller prosent.",IF(ABS(C24-((9400000+10182650)/2))&lt;=MAX(1,0.01*ABS((9400000+10182650)/2)),"Riktig. (9 400 000 + 10 182 650) / 2 = 9 791 325 kr. Svaret ditt ligger litt fra arkets tall fordi du har rundet av underveis. Det er helt greit.",IF(C24&gt;((9400000+10182650)/2),"Ikke riktig ennå. Svaret ditt er for høyt. Tips: Se på regnestykket øverst på fanen, og sjekk at du har med alle leddene.","Ikke riktig ennå. Svaret ditt er for lavt. Tips: Se på regnestykket øverst på fanen, og sjekk at du har med alle leddene."))))))))</f>
        <v/>
      </c>
    </row>
    <row r="25" ht="48" customHeight="1">
      <c r="B25" s="10" t="inlineStr">
        <is>
          <t>b) Driftsmargin, i prosent med én desimal</t>
        </is>
      </c>
      <c r="C25" s="14" t="n"/>
      <c r="D25" s="12" t="inlineStr">
        <is>
          <t>%</t>
        </is>
      </c>
      <c r="G25" s="13">
        <f>IF(C25="","Skriv svaret i den gule cellen.",IF(ISTEXT(C25),"Skriv bare tallet, uten mellomrom, enhet eller tekst. Enheten står ved siden av cellen. Du kan også skrive regnestykket med likhetstegn foran, for eksempel =2100000/7300.",IF(ABS(C25-(ROUND(1344000/22400000*100,1)))&lt;=0.06,"Riktig. 6,0 %. 1 344 000 × 100 / 22 400 000 = 6,0 %.",IF(ABS(C25-(ROUND(910650/22400000*100,1)))&lt;=0.06,"Du har brukt årsresultatet. Driftsmarginen bruker driftsresultatet, før renter og skatt.",IF(ABS(C25-(ROUND(1167500/22400000*100,1)))&lt;=0.06,"Du har brukt resultat før skatt. Driftsmarginen bruker driftsresultatet, før rentene.",IF(ABS(C25-(ROUND(1344000/22400000,1)))&lt;=0.06,"Du har glemt å gange med 100. Svar i prosent: 6,0.",IF(IFERROR(AND(C25&lt;&gt;0,(ROUND(1344000/22400000*100,1))&lt;&gt;0,ROUND(LOG10(ABS(C25/(ROUND(1344000/22400000*100,1)))),0)&lt;&gt;0,ABS(LOG10(ABS(C25/(ROUND(1344000/22400000*100,1))))-ROUND(LOG10(ABS(C25/(ROUND(1344000/22400000*100,1)))),0))&lt;0.004),FALSE),"Sifrene stemmer, men antall nuller eller plasseringen av kommaet er feil. Sjekk om du har regnet i kroner, tusen kroner eller prosent.",IF(ABS(C25-(ROUND(1344000/22400000*100,1)))&lt;=MAX(0.06,0.01*ABS(ROUND(1344000/22400000*100,1))),"Riktig. 6,0 %. 1 344 000 × 100 / 22 400 000 = 6,0 %. Svaret ditt ligger litt fra arkets tall fordi du har rundet av underveis. Det er helt greit.",IF(C25&gt;(ROUND(1344000/22400000*100,1)),"Ikke riktig ennå. Svaret ditt er for høyt. Tips: Se på regnestykket øverst på fanen, og sjekk at du har med alle leddene.","Ikke riktig ennå. Svaret ditt er for lavt. Tips: Se på regnestykket øverst på fanen, og sjekk at du har med alle leddene.")))))))))</f>
        <v/>
      </c>
    </row>
    <row r="26" ht="48" customHeight="1">
      <c r="B26" s="10" t="inlineStr">
        <is>
          <t>c) Totalkapitalrentabilitet, i prosent med én desimal</t>
        </is>
      </c>
      <c r="C26" s="14" t="n"/>
      <c r="D26" s="12" t="inlineStr">
        <is>
          <t>%</t>
        </is>
      </c>
      <c r="G26" s="13">
        <f>IF(C26="","Skriv svaret i den gule cellen.",IF(ISTEXT(C26),"Skriv bare tallet, uten mellomrom, enhet eller tekst. Enheten står ved siden av cellen. Du kan også skrive regnestykket med likhetstegn foran, for eksempel =2100000/7300.",IF(ABS(C26-(ROUND((1167500+232500)/((9400000+10182650)/2)*100,1)))&lt;=0.06,"Riktig. 14,3 %. (1 167 500 + 232 500) × 100 / 9 791 325 = 14,3 %.",IF(ABS(C26-(ROUND(1167500/((9400000+10182650)/2)*100,1)))&lt;=0.06,"Du har glemt å legge rentekostnadene tilbake i telleren. Rentene er bankens del av det kapitalen tjener.",IF(ABS(C26-(ROUND((1167500+232500)/10182650*100,1)))&lt;=0.06,"Du har delt på totalkapitalen 31. desember alene. Bruk gjennomsnittet fra a.",IF(ABS(C26-(ROUND(910650/((9400000+10182650)/2)*100,1)))&lt;=0.06,"Du har brukt årsresultatet etter skatt. Boka regner før skatt, og legger rentene til.",IF(IFERROR(AND(C26&lt;&gt;0,(ROUND((1167500+232500)/((9400000+10182650)/2)*100,1))&lt;&gt;0,ROUND(LOG10(ABS(C26/(ROUND((1167500+232500)/((9400000+10182650)/2)*100,1)))),0)&lt;&gt;0,ABS(LOG10(ABS(C26/(ROUND((1167500+232500)/((9400000+10182650)/2)*100,1))))-ROUND(LOG10(ABS(C26/(ROUND((1167500+232500)/((9400000+10182650)/2)*100,1)))),0))&lt;0.004),FALSE),"Sifrene stemmer, men antall nuller eller plasseringen av kommaet er feil. Sjekk om du har regnet i kroner, tusen kroner eller prosent.",IF(ABS(C26-(ROUND((1167500+232500)/((9400000+10182650)/2)*100,1)))&lt;=MAX(0.06,0.01*ABS(ROUND((1167500+232500)/((9400000+10182650)/2)*100,1))),"Riktig. 14,3 %. (1 167 500 + 232 500) × 100 / 9 791 325 = 14,3 %. Svaret ditt ligger litt fra arkets tall fordi du har rundet av underveis. Det er helt greit.",IF(C26&gt;(ROUND((1167500+232500)/((9400000+10182650)/2)*100,1)),"Ikke riktig ennå. Svaret ditt er for høyt. Tips: Se på regnestykket øverst på fanen, og sjekk at du har med alle leddene.","Ikke riktig ennå. Svaret ditt er for lavt. Tips: Se på regnestykket øverst på fanen, og sjekk at du har med alle leddene.")))))))))</f>
        <v/>
      </c>
    </row>
    <row r="27" ht="48" customHeight="1">
      <c r="B27" s="10" t="inlineStr">
        <is>
          <t>d) Gjennomsnittlig gjeldsrente, i prosent med én desimal</t>
        </is>
      </c>
      <c r="C27" s="14" t="n"/>
      <c r="D27" s="12" t="inlineStr">
        <is>
          <t>%</t>
        </is>
      </c>
      <c r="G27" s="13">
        <f>IF(C27="","Skriv svaret i den gule cellen.",IF(ISTEXT(C27),"Skriv bare tallet, uten mellomrom, enhet eller tekst. Enheten står ved siden av cellen. Du kan også skrive regnestykket med likhetstegn foran, for eksempel =2100000/7300.",IF(ABS(C27-(ROUND(232500/((7418000+7290000)/2)*100,1)))&lt;=0.06,"Riktig. 3,2 %. 232 500 × 100 / 7 354 000 = 3,2 %. Gjennomsnittlig gjeld: (7 418 000 + 7 290 000) / 2.",IF(ABS(C27-(ROUND(232500/2800000*100,1)))&lt;=0.06,"Du har delt på banklånet alene. Gjeldsrenta i boka regnes av all gjeld, også den rentefrie (grossisten, staten, feriepengene).",IF(ABS(C27-(7.5))&lt;=0.06,"7,5 % er bankens rente på lånet. Gjennomsnittlig gjeldsrente er rentekostnadene delt på all gjeld i snitt.",IF(IFERROR(AND(C27&lt;&gt;0,(ROUND(232500/((7418000+7290000)/2)*100,1))&lt;&gt;0,ROUND(LOG10(ABS(C27/(ROUND(232500/((7418000+7290000)/2)*100,1)))),0)&lt;&gt;0,ABS(LOG10(ABS(C27/(ROUND(232500/((7418000+7290000)/2)*100,1))))-ROUND(LOG10(ABS(C27/(ROUND(232500/((7418000+7290000)/2)*100,1)))),0))&lt;0.004),FALSE),"Sifrene stemmer, men antall nuller eller plasseringen av kommaet er feil. Sjekk om du har regnet i kroner, tusen kroner eller prosent.",IF(ABS(C27-(ROUND(232500/((7418000+7290000)/2)*100,1)))&lt;=MAX(0.06,0.01*ABS(ROUND(232500/((7418000+7290000)/2)*100,1))),"Riktig. 3,2 %. 232 500 × 100 / 7 354 000 = 3,2 %. Gjennomsnittlig gjeld: (7 418 000 + 7 290 000) / 2. Svaret ditt ligger litt fra arkets tall fordi du har rundet av underveis. Det er helt greit.",IF(C27&gt;(ROUND(232500/((7418000+7290000)/2)*100,1)),"Ikke riktig ennå. Svaret ditt er for høyt. Tips: Se på regnestykket øverst på fanen, og sjekk at du har med alle leddene.","Ikke riktig ennå. Svaret ditt er for lavt. Tips: Se på regnestykket øverst på fanen, og sjekk at du har med alle leddene."))))))))</f>
        <v/>
      </c>
    </row>
    <row r="28" ht="48" customHeight="1">
      <c r="B28" s="10" t="inlineStr">
        <is>
          <t>e) Egenkapitalrentabilitet før skatt, i prosent med én desimal</t>
        </is>
      </c>
      <c r="C28" s="14" t="n"/>
      <c r="D28" s="12" t="inlineStr">
        <is>
          <t>%</t>
        </is>
      </c>
      <c r="G28" s="13">
        <f>IF(C28="","Skriv svaret i den gule cellen.",IF(ISTEXT(C28),"Skriv bare tallet, uten mellomrom, enhet eller tekst. Enheten står ved siden av cellen. Du kan også skrive regnestykket med likhetstegn foran, for eksempel =2100000/7300.",IF(ABS(C28-(ROUND(1167500/((1982000+2892650)/2)*100,1)))&lt;=0.06,"Riktig. 47,9 %. 1 167 500 × 100 / 2 437 325 = 47,9 %. Gjennomsnittlig egenkapital: (1 982 000 + 2 892 650) / 2.",IF(ABS(C28-(ROUND(910650/((1982000+2892650)/2)*100,1)))&lt;=0.06,"Du har brukt årsresultatet. Boka regner egenkapitalrentabiliteten av resultat før skatt.",IF(ABS(C28-(ROUND(1167500/2892650*100,1)))&lt;=0.06,"Du har delt på egenkapitalen 31. desember alene. Bruk gjennomsnittet av 1. januar og 31. desember.",IF(ABS(C28-(ROUND((1167500+232500)/((1982000+2892650)/2)*100,1)))&lt;=0.06,"Du har lagt rentene til. Rentene er bankens, ikke eiernes; her er telleren resultat før skatt uten rentene.",IF(IFERROR(AND(C28&lt;&gt;0,(ROUND(1167500/((1982000+2892650)/2)*100,1))&lt;&gt;0,ROUND(LOG10(ABS(C28/(ROUND(1167500/((1982000+2892650)/2)*100,1)))),0)&lt;&gt;0,ABS(LOG10(ABS(C28/(ROUND(1167500/((1982000+2892650)/2)*100,1))))-ROUND(LOG10(ABS(C28/(ROUND(1167500/((1982000+2892650)/2)*100,1)))),0))&lt;0.004),FALSE),"Sifrene stemmer, men antall nuller eller plasseringen av kommaet er feil. Sjekk om du har regnet i kroner, tusen kroner eller prosent.",IF(ABS(C28-(ROUND(1167500/((1982000+2892650)/2)*100,1)))&lt;=MAX(0.06,0.01*ABS(ROUND(1167500/((1982000+2892650)/2)*100,1))),"Riktig. 47,9 %. 1 167 500 × 100 / 2 437 325 = 47,9 %. Gjennomsnittlig egenkapital: (1 982 000 + 2 892 650) / 2. Svaret ditt ligger litt fra arkets tall fordi du har rundet av underveis. Det er helt greit.",IF(C28&gt;(ROUND(1167500/((1982000+2892650)/2)*100,1)),"Ikke riktig ennå. Svaret ditt er for høyt. Tips: Se på regnestykket øverst på fanen, og sjekk at du har med alle leddene.","Ikke riktig ennå. Svaret ditt er for lavt. Tips: Se på regnestykket øverst på fanen, og sjekk at du har med alle leddene.")))))))))</f>
        <v/>
      </c>
    </row>
    <row r="29"/>
    <row r="30" ht="40" customHeight="1">
      <c r="B30" s="10" t="inlineStr">
        <is>
          <t>f) Egenkapitalrentabiliteten er 47,9 %, totalkapitalrentabiliteten 14,3 %. Hva er den viktigste grunnen til forskjellen?</t>
        </is>
      </c>
      <c r="C30" s="15" t="n"/>
      <c r="G30" s="13">
        <f>IF(C30="","Velg i nedtrekksmenyen.",IF(C30="Gjelden koster mindre enn kapitalen tjener, og gevinsten deles på en liten egenkapital","Riktig. Kapitalen tjener 14,3 %, gjelden koster 3,2 % i snitt. Differansen går til eierne, og den deles på en egenkapital som bare er 28,4 % av totalkapitalen. Det er gjelden som løfter, ikke driften. Begge tallene regnes før skatt.","Ikke riktig. Les forklaringen og prøv et annet svar: Kapitalen tjener 14,3 %, gjelden koster 3,2 % i snitt. Differansen går til eierne, og den deles på en egenkapital som bare er 28,4 % av totalkapitalen. Det er gjelden som løfter, ikke driften. Begge tallene regnes før skatt."))</f>
        <v/>
      </c>
    </row>
    <row r="31"/>
    <row r="32" ht="30" customHeight="1">
      <c r="B32" s="2" t="inlineStr">
        <is>
          <t>g) Tom vil låne 2 millioner til, «for da blir egenkapitalrentabiliteten enda høyere». Hva svarer Kari? To setninger: én om risikoen i et dårlig år, og én om hva banken ser på.</t>
        </is>
      </c>
    </row>
    <row r="33" ht="22" customHeight="1">
      <c r="B33" s="16" t="n"/>
    </row>
    <row r="34" ht="22" customHeight="1"/>
    <row r="35" ht="22" customHeight="1"/>
    <row r="36" ht="40" customHeight="1">
      <c r="B36" s="17">
        <f>IF(LEN(B33)&lt;40,"",IF(AND(ISNUMBER(SEARCH("dårlig",B33)),ISNUMBER(SEARCH("egenkapital",B33))),"Bra: du har med både at gjelden tar fra egenkapitalen i et dårlig år, og at banken ser på egenkapitalen før den låner ut mer.",IF(OR(ISNUMBER(SEARCH("dårlig",B33)),ISNUMBER(SEARCH("egenkapital",B33))),"Du er på sporet. Si også hva som skjer i et dårlig år, når kapitalen tjener mindre enn renta koster, og hva banken ser på.","Tips: gjelden virker begge veier. I et dårlig år er rentene de samme, og tapet tas av en egenkapital på bare 28,4 %. Nye lån koster bankens 7,5 %, ikke snittet på 3,2 %, og banken ser egenkapitalandelen falle til 23,7 %.")))</f>
        <v/>
      </c>
    </row>
    <row r="37">
      <c r="B37" s="18" t="inlineStr">
        <is>
          <t>Står du fast? Skriv JA i den gule cellen:</t>
        </is>
      </c>
      <c r="C37" s="15" t="n"/>
    </row>
    <row r="38" ht="60" customHeight="1">
      <c r="B38" s="19">
        <f>IF(C37="JA","Hint: a: (9 400 000 + 10 182 650) / 2 = 9 791 325. b: 1 344 000 × 100 / 22 400 000 = 6,0. c: (1 167 500 + 232 500) × 100 / 9 791 325 = 14,3. d: gjennomsnittlig gjeld (7 418 000 + 7 290 000) / 2 = 7 354 000; 232 500 × 100 / 7 354 000 = 3,2. e: gjennomsnittlig egenkapital (1 982 000 + 2 892 650) / 2 = 2 437 325; 1 167 500 × 100 / 2 437 325 = 47,9.","")</f>
        <v/>
      </c>
    </row>
    <row r="39"/>
    <row r="40" ht="30" customHeight="1">
      <c r="B40" s="5" t="inlineStr">
        <is>
          <t>Gule celler fyller du inn, gjerne som regnestykke: =2100000/7300. Grønne regnes ut av arket. Sjekken til høyre sier om svaret stemmer, og hva du bør se på hvis ikke.</t>
        </is>
      </c>
    </row>
  </sheetData>
  <mergeCells count="15">
    <mergeCell ref="B3:G3"/>
    <mergeCell ref="B2:G2"/>
    <mergeCell ref="B33:G35"/>
    <mergeCell ref="B38:G38"/>
    <mergeCell ref="B10:G10"/>
    <mergeCell ref="B5:G5"/>
    <mergeCell ref="B22:G22"/>
    <mergeCell ref="B36:G36"/>
    <mergeCell ref="B9:G9"/>
    <mergeCell ref="B32:G32"/>
    <mergeCell ref="B4:G4"/>
    <mergeCell ref="B40:G40"/>
    <mergeCell ref="B21:G21"/>
    <mergeCell ref="B7:G7"/>
    <mergeCell ref="B6:G6"/>
  </mergeCells>
  <conditionalFormatting sqref="G24">
    <cfRule type="expression" priority="1" dxfId="0">
      <formula>LEFT(G24,6)="Riktig"</formula>
    </cfRule>
    <cfRule type="expression" priority="2" dxfId="1">
      <formula>LEFT(G24,6)="Nesten"</formula>
    </cfRule>
    <cfRule type="expression" priority="3" dxfId="2">
      <formula>AND(G24&lt;&gt;"",LEFT(G24,6)&lt;&gt;"Riktig",LEFT(G24,6)&lt;&gt;"Nesten",LEFT(G24,5)&lt;&gt;"Skriv")</formula>
    </cfRule>
  </conditionalFormatting>
  <conditionalFormatting sqref="G25">
    <cfRule type="expression" priority="4" dxfId="0">
      <formula>LEFT(G25,6)="Riktig"</formula>
    </cfRule>
    <cfRule type="expression" priority="5" dxfId="1">
      <formula>LEFT(G25,6)="Nesten"</formula>
    </cfRule>
    <cfRule type="expression" priority="6" dxfId="2">
      <formula>AND(G25&lt;&gt;"",LEFT(G25,6)&lt;&gt;"Riktig",LEFT(G25,6)&lt;&gt;"Nesten",LEFT(G25,5)&lt;&gt;"Skriv")</formula>
    </cfRule>
  </conditionalFormatting>
  <conditionalFormatting sqref="G26">
    <cfRule type="expression" priority="7" dxfId="0">
      <formula>LEFT(G26,6)="Riktig"</formula>
    </cfRule>
    <cfRule type="expression" priority="8" dxfId="1">
      <formula>LEFT(G26,6)="Nesten"</formula>
    </cfRule>
    <cfRule type="expression" priority="9" dxfId="2">
      <formula>AND(G26&lt;&gt;"",LEFT(G26,6)&lt;&gt;"Riktig",LEFT(G26,6)&lt;&gt;"Nesten",LEFT(G26,5)&lt;&gt;"Skriv")</formula>
    </cfRule>
  </conditionalFormatting>
  <conditionalFormatting sqref="G27">
    <cfRule type="expression" priority="10" dxfId="0">
      <formula>LEFT(G27,6)="Riktig"</formula>
    </cfRule>
    <cfRule type="expression" priority="11" dxfId="1">
      <formula>LEFT(G27,6)="Nesten"</formula>
    </cfRule>
    <cfRule type="expression" priority="12" dxfId="2">
      <formula>AND(G27&lt;&gt;"",LEFT(G27,6)&lt;&gt;"Riktig",LEFT(G27,6)&lt;&gt;"Nesten",LEFT(G27,5)&lt;&gt;"Skriv")</formula>
    </cfRule>
  </conditionalFormatting>
  <conditionalFormatting sqref="G28">
    <cfRule type="expression" priority="13" dxfId="0">
      <formula>LEFT(G28,6)="Riktig"</formula>
    </cfRule>
    <cfRule type="expression" priority="14" dxfId="1">
      <formula>LEFT(G28,6)="Nesten"</formula>
    </cfRule>
    <cfRule type="expression" priority="15" dxfId="2">
      <formula>AND(G28&lt;&gt;"",LEFT(G28,6)&lt;&gt;"Riktig",LEFT(G28,6)&lt;&gt;"Nesten",LEFT(G28,5)&lt;&gt;"Skriv")</formula>
    </cfRule>
  </conditionalFormatting>
  <conditionalFormatting sqref="G30">
    <cfRule type="expression" priority="16" dxfId="0">
      <formula>LEFT(G30,6)="Riktig"</formula>
    </cfRule>
    <cfRule type="expression" priority="17" dxfId="2">
      <formula>LEFT(G30,4)="Ikke"</formula>
    </cfRule>
  </conditionalFormatting>
  <dataValidations count="2">
    <dataValidation sqref="C30" showDropDown="0" showInputMessage="0" showErrorMessage="0" allowBlank="1" type="list">
      <formula1>$Z$1:$Z$3</formula1>
    </dataValidation>
    <dataValidation sqref="C37"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41"/>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Ingenting: overskuddet står på bankkontoen</t>
        </is>
      </c>
    </row>
    <row r="2" ht="26" customHeight="1">
      <c r="B2" s="1" t="inlineStr">
        <is>
          <t>Oppgave 1B: Nordlys: tåler bedriften 600 000 kr i utbytte?</t>
        </is>
      </c>
      <c r="Z2" t="inlineStr">
        <is>
          <t>Overskuddet er et resultat, ikke en beholdning: pengene står mest i kundefordringer og varelager</t>
        </is>
      </c>
    </row>
    <row r="3" ht="15" customHeight="1">
      <c r="B3" s="5" t="inlineStr">
        <is>
          <t>Alene, i par eller i gruppe, slik du vil.</t>
        </is>
      </c>
      <c r="Z3" t="inlineStr">
        <is>
          <t>Overskuddet er feil regnet, fordi skatten ikke er trukket fra</t>
        </is>
      </c>
    </row>
    <row r="4" ht="16" customHeight="1">
      <c r="B4" s="3" t="inlineStr">
        <is>
          <t>Situasjonen</t>
        </is>
      </c>
    </row>
    <row r="5" ht="60" customHeight="1">
      <c r="B5" s="2" t="inlineStr">
        <is>
          <t>Det er mai 2027. Årsregnskapet for 2026 er fastsatt med et årsresultat på 910 650 kr, og styret skal foreslå utbytte for generalforsamlingen. Tom Berg vil ha 600 000 kr i utbytte: «Pengene finnes, vi hadde jo overskudd.» Utbyttet skal betales fra bankkontoen. Kari Nordlund vil vite hva det gjør med betalingsevnen og soliditeten før hun svarer, for banken skal fornye kassekreditten i juni. Dere regner på balansen per 31.12.2026, slik banken og styret leser den.</t>
        </is>
      </c>
    </row>
    <row r="6" ht="16" customHeight="1">
      <c r="B6" s="3" t="inlineStr">
        <is>
          <t>Begrepene du trenger</t>
        </is>
      </c>
    </row>
    <row r="7" ht="60" customHeight="1">
      <c r="B7" s="2" t="inlineStr">
        <is>
          <t>Likviditetsgrad 1 = omløpsmidler × 100 / kortsiktig gjeld (bokas normtall 200 %; bransjen ligger på 190 %). Likviditetsgrad 2 = (omløpsmidler − varelager) × 100 / kortsiktig gjeld (normtall 100 %; bransjen 160 %). Egenkapitalandel = egenkapital × 100 / totalkapital. Et utbytte som betales ut, tar pengene fra bankinnskuddet og fra egenkapitalen samtidig, og totalkapitalen blir like mye mindre.</t>
        </is>
      </c>
    </row>
    <row r="8"/>
    <row r="9" ht="16" customHeight="1">
      <c r="B9" s="3" t="inlineStr">
        <is>
          <t>Balansen 31. desember 2026, i kroner</t>
        </is>
      </c>
    </row>
    <row r="10" ht="45" customHeight="1">
      <c r="B10" s="2" t="inlineStr">
        <is>
          <t>Omløpsmidlene er det som blir til penger i løpet av året. Den kortsiktige gjelden er det som forfaller i løpet av året: leverandørgjeld 2 100 000, skyldig merverdiavgift, skattetrekk og arbeidsgiveravgift 1 200 000, skyldige feriepenger 890 000 og kassekreditt 300 000.</t>
        </is>
      </c>
    </row>
    <row r="11">
      <c r="B11" s="6" t="inlineStr">
        <is>
          <t>Nordlys Elektro AS</t>
        </is>
      </c>
      <c r="C11" s="7" t="inlineStr">
        <is>
          <t>31. desember</t>
        </is>
      </c>
    </row>
    <row r="12">
      <c r="B12" s="8" t="inlineStr">
        <is>
          <t>Anleggsmidler (verktøy, måleinstrumenter, biler)</t>
        </is>
      </c>
      <c r="C12" s="9" t="n">
        <v>3600000</v>
      </c>
    </row>
    <row r="13">
      <c r="B13" s="8" t="inlineStr">
        <is>
          <t>Varelager</t>
        </is>
      </c>
      <c r="C13" s="9" t="n">
        <v>1400000</v>
      </c>
    </row>
    <row r="14">
      <c r="B14" s="8" t="inlineStr">
        <is>
          <t>Kundefordringer</t>
        </is>
      </c>
      <c r="C14" s="9" t="n">
        <v>4200000</v>
      </c>
    </row>
    <row r="15">
      <c r="B15" s="8" t="inlineStr">
        <is>
          <t>Bankinnskudd</t>
        </is>
      </c>
      <c r="C15" s="9" t="n">
        <v>982650</v>
      </c>
    </row>
    <row r="16">
      <c r="B16" s="8" t="inlineStr">
        <is>
          <t>Sum omløpsmidler</t>
        </is>
      </c>
      <c r="C16" s="9" t="n">
        <v>6582650</v>
      </c>
    </row>
    <row r="17">
      <c r="B17" s="8" t="inlineStr">
        <is>
          <t>Sum eiendeler (totalkapital)</t>
        </is>
      </c>
      <c r="C17" s="9" t="n">
        <v>10182650</v>
      </c>
    </row>
    <row r="18">
      <c r="B18" s="8" t="inlineStr">
        <is>
          <t>Egenkapital</t>
        </is>
      </c>
      <c r="C18" s="9" t="n">
        <v>2892650</v>
      </c>
    </row>
    <row r="19">
      <c r="B19" s="8" t="inlineStr">
        <is>
          <t>Langsiktig gjeld (banklån)</t>
        </is>
      </c>
      <c r="C19" s="9" t="n">
        <v>2800000</v>
      </c>
    </row>
    <row r="20">
      <c r="B20" s="8" t="inlineStr">
        <is>
          <t>Kortsiktig gjeld</t>
        </is>
      </c>
      <c r="C20" s="9" t="n">
        <v>4490000</v>
      </c>
    </row>
    <row r="21"/>
    <row r="22" ht="16" customHeight="1">
      <c r="B22" s="3" t="inlineStr">
        <is>
          <t>Oppgaven, trinn for trinn</t>
        </is>
      </c>
    </row>
    <row r="23" ht="75" customHeight="1">
      <c r="B23" s="2" t="inlineStr">
        <is>
          <t>1. Regn likviditetsgrad 1 i dag: omløpsmidler × 100 / kortsiktig gjeld. Svar med én desimal (146,6 betyr 146,6 %).
2. Regn likviditetsgrad 2 i dag: (omløpsmidler − varelager) × 100 / kortsiktig gjeld.
3. Tom vil ta ut 600 000 kr i utbytte fra bankkontoen. Da synker bankinnskuddet med 600 000, og egenkapitalen synker like mye. Regn likviditetsgrad 1 og 2 etter utbyttet.
4. Regn egenkapitalandelen etter utbyttet: egenkapital × 100 / totalkapital. Husk at totalkapitalen også er 600 000 mindre.
5. Velg i f hva som er feil i Toms resonnement, og skriv Karis svar i g.</t>
        </is>
      </c>
    </row>
    <row r="24"/>
    <row r="25" ht="48" customHeight="1">
      <c r="B25" s="10" t="inlineStr">
        <is>
          <t>a) Likviditetsgrad 1 i dag, i prosent med én desimal</t>
        </is>
      </c>
      <c r="C25" s="14" t="n"/>
      <c r="D25" s="12" t="inlineStr">
        <is>
          <t>%</t>
        </is>
      </c>
      <c r="G25" s="13">
        <f>IF(C25="","Skriv svaret i den gule cellen.",IF(ISTEXT(C25),"Skriv bare tallet, uten mellomrom, enhet eller tekst. Enheten står ved siden av cellen. Du kan også skrive regnestykket med likhetstegn foran, for eksempel =2100000/7300.",IF(ABS(C25-(ROUND(6582650/4490000*100,1)))&lt;=0.06,"Riktig. 146,6 %. 6 582 650 × 100 / 4 490 000 = 146,6 % (normtall 200 %, bransjen 190 %)",IF(ABS(C25-(ROUND(6582650/7290000*100,1)))&lt;=0.06,"Du har delt på all gjeld. Likviditetsgraden bruker bare den kortsiktige gjelden, det som forfaller i år.",IF(ABS(C25-(ROUND((6582650-1400000)/4490000*100,1)))&lt;=0.06,"Du har trukket fra varelageret. Det er likviditetsgrad 2. Grad 1 bruker alle omløpsmidlene.",IF(ABS(C25-(ROUND(10182650/4490000*100,1)))&lt;=0.06,"Du har brukt sum eiendeler. Anleggsmidlene er ikke med: bilene kan ikke betale lønn på fredag.",IF(IFERROR(AND(C25&lt;&gt;0,(ROUND(6582650/4490000*100,1))&lt;&gt;0,ROUND(LOG10(ABS(C25/(ROUND(6582650/4490000*100,1)))),0)&lt;&gt;0,ABS(LOG10(ABS(C25/(ROUND(6582650/4490000*100,1))))-ROUND(LOG10(ABS(C25/(ROUND(6582650/4490000*100,1)))),0))&lt;0.004),FALSE),"Sifrene stemmer, men antall nuller eller plasseringen av kommaet er feil. Sjekk om du har regnet i kroner, tusen kroner eller prosent.",IF(ABS(C25-(ROUND(6582650/4490000*100,1)))&lt;=MAX(0.06,0.01*ABS(ROUND(6582650/4490000*100,1))),"Riktig. 146,6 %. 6 582 650 × 100 / 4 490 000 = 146,6 % (normtall 200 %, bransjen 190 %) Svaret ditt ligger litt fra arkets tall fordi du har rundet av underveis. Det er helt greit.",IF(C25&gt;(ROUND(6582650/4490000*100,1)),"Ikke riktig ennå. Svaret ditt er for høyt. Tips: Se på regnestykket øverst på fanen, og sjekk at du har med alle leddene.","Ikke riktig ennå. Svaret ditt er for lavt. Tips: Se på regnestykket øverst på fanen, og sjekk at du har med alle leddene.")))))))))</f>
        <v/>
      </c>
    </row>
    <row r="26" ht="48" customHeight="1">
      <c r="B26" s="10" t="inlineStr">
        <is>
          <t>b) Likviditetsgrad 2 i dag, i prosent med én desimal</t>
        </is>
      </c>
      <c r="C26" s="14" t="n"/>
      <c r="D26" s="12" t="inlineStr">
        <is>
          <t>%</t>
        </is>
      </c>
      <c r="G26" s="13">
        <f>IF(C26="","Skriv svaret i den gule cellen.",IF(ISTEXT(C26),"Skriv bare tallet, uten mellomrom, enhet eller tekst. Enheten står ved siden av cellen. Du kan også skrive regnestykket med likhetstegn foran, for eksempel =2100000/7300.",IF(ABS(C26-(ROUND((6582650-1400000)/4490000*100,1)))&lt;=0.06,"Riktig. 115,4 %. (6 582 650 − 1 400 000) × 100 / 4 490 000 = 115,4 % (normtall 100 %, bransjen 160 %)",IF(ABS(C26-(ROUND(6582650/4490000*100,1)))&lt;=0.06,"Det er likviditetsgrad 1. I grad 2 trekker du varelageret fra omløpsmidlene.",IF(ABS(C26-(ROUND((6582650-4200000)/4490000*100,1)))&lt;=0.06,"Du har trukket fra kundefordringene. Det er varelageret som holdes utenfor i grad 2, fordi det er det minst likvide.",IF(IFERROR(AND(C26&lt;&gt;0,(ROUND((6582650-1400000)/4490000*100,1))&lt;&gt;0,ROUND(LOG10(ABS(C26/(ROUND((6582650-1400000)/4490000*100,1)))),0)&lt;&gt;0,ABS(LOG10(ABS(C26/(ROUND((6582650-1400000)/4490000*100,1))))-ROUND(LOG10(ABS(C26/(ROUND((6582650-1400000)/4490000*100,1)))),0))&lt;0.004),FALSE),"Sifrene stemmer, men antall nuller eller plasseringen av kommaet er feil. Sjekk om du har regnet i kroner, tusen kroner eller prosent.",IF(ABS(C26-(ROUND((6582650-1400000)/4490000*100,1)))&lt;=MAX(0.06,0.01*ABS(ROUND((6582650-1400000)/4490000*100,1))),"Riktig. 115,4 %. (6 582 650 − 1 400 000) × 100 / 4 490 000 = 115,4 % (normtall 100 %, bransjen 160 %) Svaret ditt ligger litt fra arkets tall fordi du har rundet av underveis. Det er helt greit.",IF(C26&gt;(ROUND((6582650-1400000)/4490000*100,1)),"Ikke riktig ennå. Svaret ditt er for høyt. Tips: Se på regnestykket øverst på fanen, og sjekk at du har med alle leddene.","Ikke riktig ennå. Svaret ditt er for lavt. Tips: Se på regnestykket øverst på fanen, og sjekk at du har med alle leddene."))))))))</f>
        <v/>
      </c>
    </row>
    <row r="27" ht="48" customHeight="1">
      <c r="B27" s="10" t="inlineStr">
        <is>
          <t>c) Likviditetsgrad 1 etter utbytte på 600 000 kr, i prosent med én desimal</t>
        </is>
      </c>
      <c r="C27" s="14" t="n"/>
      <c r="D27" s="12" t="inlineStr">
        <is>
          <t>%</t>
        </is>
      </c>
      <c r="G27" s="13">
        <f>IF(C27="","Skriv svaret i den gule cellen.",IF(ISTEXT(C27),"Skriv bare tallet, uten mellomrom, enhet eller tekst. Enheten står ved siden av cellen. Du kan også skrive regnestykket med likhetstegn foran, for eksempel =2100000/7300.",IF(ABS(C27-(ROUND((6582650-600000)/4490000*100,1)))&lt;=0.06,"Riktig. 133,2 %. (6 582 650 − 600 000) × 100 / 4 490 000 = 133,2 %.",IF(ABS(C27-(ROUND(6582650/4490000*100,1)))&lt;=0.06,"Du har ikke trukket utbyttet fra bankinnskuddet. Omløpsmidlene blir 600 000 mindre.",IF(ABS(C27-(ROUND(6582650/(4490000+600000)*100,1)))&lt;=0.06,"Du har lagt utbyttet til den kortsiktige gjelden. Når det er betalt ut fra banken, er det borte fra omløpsmidlene og fra egenkapitalen.",IF(IFERROR(AND(C27&lt;&gt;0,(ROUND((6582650-600000)/4490000*100,1))&lt;&gt;0,ROUND(LOG10(ABS(C27/(ROUND((6582650-600000)/4490000*100,1)))),0)&lt;&gt;0,ABS(LOG10(ABS(C27/(ROUND((6582650-600000)/4490000*100,1))))-ROUND(LOG10(ABS(C27/(ROUND((6582650-600000)/4490000*100,1)))),0))&lt;0.004),FALSE),"Sifrene stemmer, men antall nuller eller plasseringen av kommaet er feil. Sjekk om du har regnet i kroner, tusen kroner eller prosent.",IF(ABS(C27-(ROUND((6582650-600000)/4490000*100,1)))&lt;=MAX(0.06,0.01*ABS(ROUND((6582650-600000)/4490000*100,1))),"Riktig. 133,2 %. (6 582 650 − 600 000) × 100 / 4 490 000 = 133,2 %. Svaret ditt ligger litt fra arkets tall fordi du har rundet av underveis. Det er helt greit.",IF(C27&gt;(ROUND((6582650-600000)/4490000*100,1)),"Ikke riktig ennå. Svaret ditt er for høyt. Tips: Se på regnestykket øverst på fanen, og sjekk at du har med alle leddene.","Ikke riktig ennå. Svaret ditt er for lavt. Tips: Se på regnestykket øverst på fanen, og sjekk at du har med alle leddene."))))))))</f>
        <v/>
      </c>
    </row>
    <row r="28" ht="48" customHeight="1">
      <c r="B28" s="10" t="inlineStr">
        <is>
          <t>d) Likviditetsgrad 2 etter utbyttet, i prosent med én desimal</t>
        </is>
      </c>
      <c r="C28" s="14" t="n"/>
      <c r="D28" s="12" t="inlineStr">
        <is>
          <t>%</t>
        </is>
      </c>
      <c r="G28" s="13">
        <f>IF(C28="","Skriv svaret i den gule cellen.",IF(ISTEXT(C28),"Skriv bare tallet, uten mellomrom, enhet eller tekst. Enheten står ved siden av cellen. Du kan også skrive regnestykket med likhetstegn foran, for eksempel =2100000/7300.",IF(ABS(C28-(ROUND((6582650-600000-1400000)/4490000*100,1)))&lt;=0.06,"Riktig. 102,1 %. (5 982 650 − 1 400 000) × 100 / 4 490 000 = 102,1 %.",IF(ABS(C28-(ROUND((6582650-1400000)/4490000*100,1)))&lt;=0.06,"Du har ikke trukket utbyttet fra. Bankinnskuddet er 600 000 mindre.",IF(ABS(C28-(ROUND((6582650-600000)/4490000*100,1)))&lt;=0.06,"Det er likviditetsgrad 1 etter utbyttet. Trekk også fra varelageret.",IF(IFERROR(AND(C28&lt;&gt;0,(ROUND((6582650-600000-1400000)/4490000*100,1))&lt;&gt;0,ROUND(LOG10(ABS(C28/(ROUND((6582650-600000-1400000)/4490000*100,1)))),0)&lt;&gt;0,ABS(LOG10(ABS(C28/(ROUND((6582650-600000-1400000)/4490000*100,1))))-ROUND(LOG10(ABS(C28/(ROUND((6582650-600000-1400000)/4490000*100,1)))),0))&lt;0.004),FALSE),"Sifrene stemmer, men antall nuller eller plasseringen av kommaet er feil. Sjekk om du har regnet i kroner, tusen kroner eller prosent.",IF(ABS(C28-(ROUND((6582650-600000-1400000)/4490000*100,1)))&lt;=MAX(0.06,0.01*ABS(ROUND((6582650-600000-1400000)/4490000*100,1))),"Riktig. 102,1 %. (5 982 650 − 1 400 000) × 100 / 4 490 000 = 102,1 %. Svaret ditt ligger litt fra arkets tall fordi du har rundet av underveis. Det er helt greit.",IF(C28&gt;(ROUND((6582650-600000-1400000)/4490000*100,1)),"Ikke riktig ennå. Svaret ditt er for høyt. Tips: Se på regnestykket øverst på fanen, og sjekk at du har med alle leddene.","Ikke riktig ennå. Svaret ditt er for lavt. Tips: Se på regnestykket øverst på fanen, og sjekk at du har med alle leddene."))))))))</f>
        <v/>
      </c>
    </row>
    <row r="29" ht="48" customHeight="1">
      <c r="B29" s="10" t="inlineStr">
        <is>
          <t>e) Egenkapitalandel etter utbyttet, i prosent med én desimal</t>
        </is>
      </c>
      <c r="C29" s="14" t="n"/>
      <c r="D29" s="12" t="inlineStr">
        <is>
          <t>%</t>
        </is>
      </c>
      <c r="G29" s="13">
        <f>IF(C29="","Skriv svaret i den gule cellen.",IF(ISTEXT(C29),"Skriv bare tallet, uten mellomrom, enhet eller tekst. Enheten står ved siden av cellen. Du kan også skrive regnestykket med likhetstegn foran, for eksempel =2100000/7300.",IF(ABS(C29-(ROUND((2892650-600000)/(10182650-600000)*100,1)))&lt;=0.06,"Riktig. 23,9 %. 2 292 650 × 100 / 9 582 650 = 23,9 % (før: 28,4 %)",IF(ABS(C29-(ROUND((2892650-600000)/10182650*100,1)))&lt;=0.06,"Du har trukket utbyttet fra egenkapitalen, men ikke fra totalkapitalen. Pengene gikk ut av banken, så sum eiendeler er også 600 000 mindre.",IF(ABS(C29-(ROUND(2892650/10182650*100,1)))&lt;=0.06,"Det er egenkapitalandelen i dag, før utbyttet. Trekk 600 000 fra både egenkapital og totalkapital.",IF(IFERROR(AND(C29&lt;&gt;0,(ROUND((2892650-600000)/(10182650-600000)*100,1))&lt;&gt;0,ROUND(LOG10(ABS(C29/(ROUND((2892650-600000)/(10182650-600000)*100,1)))),0)&lt;&gt;0,ABS(LOG10(ABS(C29/(ROUND((2892650-600000)/(10182650-600000)*100,1))))-ROUND(LOG10(ABS(C29/(ROUND((2892650-600000)/(10182650-600000)*100,1)))),0))&lt;0.004),FALSE),"Sifrene stemmer, men antall nuller eller plasseringen av kommaet er feil. Sjekk om du har regnet i kroner, tusen kroner eller prosent.",IF(ABS(C29-(ROUND((2892650-600000)/(10182650-600000)*100,1)))&lt;=MAX(0.06,0.01*ABS(ROUND((2892650-600000)/(10182650-600000)*100,1))),"Riktig. 23,9 %. 2 292 650 × 100 / 9 582 650 = 23,9 % (før: 28,4 %) Svaret ditt ligger litt fra arkets tall fordi du har rundet av underveis. Det er helt greit.",IF(C29&gt;(ROUND((2892650-600000)/(10182650-600000)*100,1)),"Ikke riktig ennå. Svaret ditt er for høyt. Tips: Se på regnestykket øverst på fanen, og sjekk at du har med alle leddene.","Ikke riktig ennå. Svaret ditt er for lavt. Tips: Se på regnestykket øverst på fanen, og sjekk at du har med alle leddene."))))))))</f>
        <v/>
      </c>
    </row>
    <row r="30"/>
    <row r="31" ht="40" customHeight="1">
      <c r="B31" s="10" t="inlineStr">
        <is>
          <t>f) Tom sier: «Pengene finnes, vi hadde jo 910 650 kr i overskudd.» Hva er feil?</t>
        </is>
      </c>
      <c r="C31" s="15" t="n"/>
      <c r="G31" s="13">
        <f>IF(C31="","Velg i nedtrekksmenyen.",IF(C31="Overskuddet er et resultat, ikke en beholdning: pengene står mest i kundefordringer og varelager","Riktig. Årsresultatet sier at bedriften har tjent penger, ikke hvor pengene er. Av omløpsmidlene på 6 582 650 står 4 200 000 hos kundene og 1 400 000 på lageret. På konto står 982 650. Skatten er allerede trukket fra i årsresultatet.","Ikke riktig. Les forklaringen og prøv et annet svar: Årsresultatet sier at bedriften har tjent penger, ikke hvor pengene er. Av omløpsmidlene på 6 582 650 står 4 200 000 hos kundene og 1 400 000 på lageret. På konto står 982 650. Skatten er allerede trukket fra i årsresultatet."))</f>
        <v/>
      </c>
    </row>
    <row r="32"/>
    <row r="33" ht="15" customHeight="1">
      <c r="B33" s="2" t="inlineStr">
        <is>
          <t>g) Hva svarer Kari? To setninger: hva utbyttet gjør med betalingsevnen og soliditeten, og hva hun foreslår i stedet.</t>
        </is>
      </c>
    </row>
    <row r="34" ht="22" customHeight="1">
      <c r="B34" s="16" t="n"/>
    </row>
    <row r="35" ht="22" customHeight="1"/>
    <row r="36" ht="22" customHeight="1"/>
    <row r="37" ht="40" customHeight="1">
      <c r="B37" s="17">
        <f>IF(LEN(B34)&lt;40,"",IF(AND(ISNUMBER(SEARCH("likviditet",B34)),ISNUMBER(SEARCH("egenkapital",B34))),"Bra: du har med både likviditeten og egenkapitalen. Sjekk at du også har et forslag: et mindre utbytte, eller la overskuddet stå til kundene har betalt.",IF(OR(ISNUMBER(SEARCH("likviditet",B34)),ISNUMBER(SEARCH("egenkapital",B34))),"Du har med det ene. Si både hva som skjer med likviditetsgraden (102,1 % i grad 2) og med egenkapitalandelen (23,9 %), og hva Kari foreslår i stedet.","Tips: likviditetsgrad 2 faller til 102,1 %, så vidt over normtallet, og bankinnskuddet blir 382 650, mindre enn én månedslønn. Egenkapitalandelen faller fra 28,4 % til 23,9 %. Kari kan foreslå å la overskuddet stå (boka 4.2.4.1), eller et mindre utbytte når kundene har betalt.")))</f>
        <v/>
      </c>
    </row>
    <row r="38">
      <c r="B38" s="18" t="inlineStr">
        <is>
          <t>Står du fast? Skriv JA i den gule cellen:</t>
        </is>
      </c>
      <c r="C38" s="15" t="n"/>
    </row>
    <row r="39" ht="45" customHeight="1">
      <c r="B39" s="19">
        <f>IF(C38="JA","Hint: a: 6 582 650 × 100 / 4 490 000 = 146,6. b: (6 582 650 − 1 400 000) × 100 / 4 490 000 = 115,4. c: (6 582 650 − 600 000) × 100 / 4 490 000 = 133,2. d: (5 982 650 − 1 400 000) × 100 / 4 490 000 = 102,1. e: (2 892 650 − 600 000) × 100 / (10 182 650 − 600 000) = 23,9.","")</f>
        <v/>
      </c>
    </row>
    <row r="40"/>
    <row r="41" ht="30" customHeight="1">
      <c r="B41" s="5" t="inlineStr">
        <is>
          <t>Gule celler fyller du inn, gjerne som regnestykke: =2100000/7300. Grønne regnes ut av arket. Sjekken til høyre sier om svaret stemmer, og hva du bør se på hvis ikke.</t>
        </is>
      </c>
    </row>
  </sheetData>
  <mergeCells count="15">
    <mergeCell ref="B3:G3"/>
    <mergeCell ref="B2:G2"/>
    <mergeCell ref="B10:G10"/>
    <mergeCell ref="B39:G39"/>
    <mergeCell ref="B33:G33"/>
    <mergeCell ref="B5:G5"/>
    <mergeCell ref="B22:G22"/>
    <mergeCell ref="B37:G37"/>
    <mergeCell ref="B23:G23"/>
    <mergeCell ref="B9:G9"/>
    <mergeCell ref="B41:G41"/>
    <mergeCell ref="B4:G4"/>
    <mergeCell ref="B34:G36"/>
    <mergeCell ref="B7:G7"/>
    <mergeCell ref="B6:G6"/>
  </mergeCells>
  <conditionalFormatting sqref="G25">
    <cfRule type="expression" priority="1" dxfId="0">
      <formula>LEFT(G25,6)="Riktig"</formula>
    </cfRule>
    <cfRule type="expression" priority="2" dxfId="1">
      <formula>LEFT(G25,6)="Nesten"</formula>
    </cfRule>
    <cfRule type="expression" priority="3" dxfId="2">
      <formula>AND(G25&lt;&gt;"",LEFT(G25,6)&lt;&gt;"Riktig",LEFT(G25,6)&lt;&gt;"Nesten",LEFT(G25,5)&lt;&gt;"Skriv")</formula>
    </cfRule>
  </conditionalFormatting>
  <conditionalFormatting sqref="G26">
    <cfRule type="expression" priority="4" dxfId="0">
      <formula>LEFT(G26,6)="Riktig"</formula>
    </cfRule>
    <cfRule type="expression" priority="5" dxfId="1">
      <formula>LEFT(G26,6)="Nesten"</formula>
    </cfRule>
    <cfRule type="expression" priority="6" dxfId="2">
      <formula>AND(G26&lt;&gt;"",LEFT(G26,6)&lt;&gt;"Riktig",LEFT(G26,6)&lt;&gt;"Nesten",LEFT(G26,5)&lt;&gt;"Skriv")</formula>
    </cfRule>
  </conditionalFormatting>
  <conditionalFormatting sqref="G27">
    <cfRule type="expression" priority="7" dxfId="0">
      <formula>LEFT(G27,6)="Riktig"</formula>
    </cfRule>
    <cfRule type="expression" priority="8" dxfId="1">
      <formula>LEFT(G27,6)="Nesten"</formula>
    </cfRule>
    <cfRule type="expression" priority="9" dxfId="2">
      <formula>AND(G27&lt;&gt;"",LEFT(G27,6)&lt;&gt;"Riktig",LEFT(G27,6)&lt;&gt;"Nesten",LEFT(G27,5)&lt;&gt;"Skriv")</formula>
    </cfRule>
  </conditionalFormatting>
  <conditionalFormatting sqref="G28">
    <cfRule type="expression" priority="10" dxfId="0">
      <formula>LEFT(G28,6)="Riktig"</formula>
    </cfRule>
    <cfRule type="expression" priority="11" dxfId="1">
      <formula>LEFT(G28,6)="Nesten"</formula>
    </cfRule>
    <cfRule type="expression" priority="12" dxfId="2">
      <formula>AND(G28&lt;&gt;"",LEFT(G28,6)&lt;&gt;"Riktig",LEFT(G28,6)&lt;&gt;"Nesten",LEFT(G28,5)&lt;&gt;"Skriv")</formula>
    </cfRule>
  </conditionalFormatting>
  <conditionalFormatting sqref="G29">
    <cfRule type="expression" priority="13" dxfId="0">
      <formula>LEFT(G29,6)="Riktig"</formula>
    </cfRule>
    <cfRule type="expression" priority="14" dxfId="1">
      <formula>LEFT(G29,6)="Nesten"</formula>
    </cfRule>
    <cfRule type="expression" priority="15" dxfId="2">
      <formula>AND(G29&lt;&gt;"",LEFT(G29,6)&lt;&gt;"Riktig",LEFT(G29,6)&lt;&gt;"Nesten",LEFT(G29,5)&lt;&gt;"Skriv")</formula>
    </cfRule>
  </conditionalFormatting>
  <conditionalFormatting sqref="G31">
    <cfRule type="expression" priority="16" dxfId="0">
      <formula>LEFT(G31,6)="Riktig"</formula>
    </cfRule>
    <cfRule type="expression" priority="17" dxfId="2">
      <formula>LEFT(G31,4)="Ikke"</formula>
    </cfRule>
  </conditionalFormatting>
  <dataValidations count="2">
    <dataValidation sqref="C31" showDropDown="0" showInputMessage="0" showErrorMessage="0" allowBlank="1" type="list">
      <formula1>$Z$1:$Z$3</formula1>
    </dataValidation>
    <dataValidation sqref="C38"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50"/>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Bedrer</t>
        </is>
      </c>
    </row>
    <row r="2" ht="26" customHeight="1">
      <c r="B2" s="1" t="inlineStr">
        <is>
          <t>Oppgave 1C: Fjell Elektro etter første år: det banken leser før den sier ja til bilen</t>
        </is>
      </c>
      <c r="Z2" t="inlineStr">
        <is>
          <t>Svekker</t>
        </is>
      </c>
    </row>
    <row r="3" ht="15" customHeight="1">
      <c r="B3" s="5" t="inlineStr">
        <is>
          <t>Alene, i par eller i gruppe, slik du vil.</t>
        </is>
      </c>
      <c r="Z3" t="inlineStr">
        <is>
          <t>Bedrer</t>
        </is>
      </c>
    </row>
    <row r="4" ht="16" customHeight="1">
      <c r="B4" s="3" t="inlineStr">
        <is>
          <t>Situasjonen</t>
        </is>
      </c>
      <c r="Z4" t="inlineStr">
        <is>
          <t>Svekker</t>
        </is>
      </c>
    </row>
    <row r="5" ht="75" customHeight="1">
      <c r="B5" s="2" t="inlineStr">
        <is>
          <t>Fjell Elektro AS i Oslo har drevet i ett år. Fjell leaser to servicebiler. Eieren vil kjøpe en brukt servicebil til seg selv for 400 000 kr på nytt banklån, i stedet for å lease den tredje, og banken ber om årsregnskapet først. Du er den som skal legge fram tallene: lønnsomhet, likviditet og soliditet, og si hva som er sterkt og hva som er svakt. Sammenlikn med bransjen: elektrobedriftene i NHO Elektros lønnsomhetsrapport 2025 hadde totalkapitalrentabilitet 14,6 %, driftsresultat 7,5 % av omsetningen, likviditetsgrad 1 på 190 %, likviditetsgrad 2 på 160 % og egenkapitalandel 36,4 %.</t>
        </is>
      </c>
      <c r="Z5" t="inlineStr">
        <is>
          <t>Bedrer</t>
        </is>
      </c>
    </row>
    <row r="6" ht="16" customHeight="1">
      <c r="B6" s="3" t="inlineStr">
        <is>
          <t>Begrepene du trenger</t>
        </is>
      </c>
      <c r="Z6" t="inlineStr">
        <is>
          <t>Svekker</t>
        </is>
      </c>
    </row>
    <row r="7" ht="75" customHeight="1">
      <c r="B7" s="2" t="inlineStr">
        <is>
          <t>Driftsmargin = driftsresultat × 100 / salgsinntekt. Totalkapitalrentabilitet = (resultat før skatt + rentekostnader) × 100 / gjennomsnittlig totalkapital. Likviditetsgrad 1 = omløpsmidler × 100 / kortsiktig gjeld. Likviditetsgrad 2 = (omløpsmidler − varelager) × 100 / kortsiktig gjeld. Egenkapitalandel = egenkapital × 100 / totalkapital. Gjeldsgrad = sum gjeld / egenkapital (bør ikke være over 5). Egenkapitalandelen bedres bare ved å la overskudd stå, betale ned gjeld eller skyte inn ny egenkapital.</t>
        </is>
      </c>
      <c r="Z7" t="inlineStr">
        <is>
          <t>Bedrer</t>
        </is>
      </c>
    </row>
    <row r="8">
      <c r="Z8" t="inlineStr">
        <is>
          <t>Svekker</t>
        </is>
      </c>
    </row>
    <row r="9" ht="16" customHeight="1">
      <c r="B9" s="3" t="inlineStr">
        <is>
          <t>Tallene, i kroner</t>
        </is>
      </c>
      <c r="Z9" t="inlineStr">
        <is>
          <t>Bedrer</t>
        </is>
      </c>
    </row>
    <row r="10" ht="60" customHeight="1">
      <c r="B10" s="2" t="inlineStr">
        <is>
          <t>Fjell Elektro AS startet 1. januar med aksjekapital 300 000 og banklån 500 000, altså 800 000 i totalkapital. Regnskapet etter første driftsår står under. Omløpsmidlene er varelager 80 000, kundefordringer 500 000 og bankinnskudd 563 257. Den kortsiktige gjelden på 600 000 er leverandørgjeld 100 000, skyldig merverdiavgift, skattetrekk og arbeidsgiveravgift 258 117, skyldige feriepenger 218 400 og betalbar skatt 23 483.</t>
        </is>
      </c>
      <c r="Z10" t="inlineStr">
        <is>
          <t>Svekker</t>
        </is>
      </c>
    </row>
    <row r="11">
      <c r="B11" s="6" t="inlineStr">
        <is>
          <t>Fjell Elektro AS</t>
        </is>
      </c>
      <c r="C11" s="7" t="inlineStr">
        <is>
          <t>Ved start</t>
        </is>
      </c>
      <c r="D11" s="7" t="inlineStr">
        <is>
          <t>31. desember</t>
        </is>
      </c>
      <c r="Z11" t="inlineStr">
        <is>
          <t>Bedrer</t>
        </is>
      </c>
    </row>
    <row r="12">
      <c r="B12" s="8" t="inlineStr">
        <is>
          <t>Salgsinntekt (året)</t>
        </is>
      </c>
      <c r="C12" s="9" t="inlineStr"/>
      <c r="D12" s="9" t="n">
        <v>4795000</v>
      </c>
      <c r="Z12" t="inlineStr">
        <is>
          <t>Svekker</t>
        </is>
      </c>
    </row>
    <row r="13">
      <c r="B13" s="8" t="inlineStr">
        <is>
          <t>Driftsresultat (året)</t>
        </is>
      </c>
      <c r="C13" s="9" t="inlineStr"/>
      <c r="D13" s="9" t="n">
        <v>144240</v>
      </c>
    </row>
    <row r="14">
      <c r="B14" s="8" t="inlineStr">
        <is>
          <t>Rentekostnader (året)</t>
        </is>
      </c>
      <c r="C14" s="9" t="inlineStr"/>
      <c r="D14" s="9" t="n">
        <v>37500</v>
      </c>
    </row>
    <row r="15">
      <c r="B15" s="8" t="inlineStr">
        <is>
          <t>Resultat før skatt (året)</t>
        </is>
      </c>
      <c r="C15" s="9" t="inlineStr"/>
      <c r="D15" s="9" t="n">
        <v>106740</v>
      </c>
    </row>
    <row r="16">
      <c r="B16" s="8" t="inlineStr">
        <is>
          <t>Anleggsmidler (utstyr og verktøy)</t>
        </is>
      </c>
      <c r="C16" s="9" t="n">
        <v>0</v>
      </c>
      <c r="D16" s="9" t="n">
        <v>240000</v>
      </c>
    </row>
    <row r="17">
      <c r="B17" s="8" t="inlineStr">
        <is>
          <t>Sum omløpsmidler</t>
        </is>
      </c>
      <c r="C17" s="9" t="n">
        <v>800000</v>
      </c>
      <c r="D17" s="9" t="n">
        <v>1143257</v>
      </c>
    </row>
    <row r="18">
      <c r="B18" s="8" t="inlineStr">
        <is>
          <t>Totalkapital (sum eiendeler)</t>
        </is>
      </c>
      <c r="C18" s="9" t="n">
        <v>800000</v>
      </c>
      <c r="D18" s="9" t="n">
        <v>1383257</v>
      </c>
    </row>
    <row r="19">
      <c r="B19" s="8" t="inlineStr">
        <is>
          <t>Egenkapital</t>
        </is>
      </c>
      <c r="C19" s="9" t="n">
        <v>300000</v>
      </c>
      <c r="D19" s="9" t="n">
        <v>383257</v>
      </c>
    </row>
    <row r="20">
      <c r="B20" s="8" t="inlineStr">
        <is>
          <t>Langsiktig gjeld (banklån)</t>
        </is>
      </c>
      <c r="C20" s="9" t="n">
        <v>500000</v>
      </c>
      <c r="D20" s="9" t="n">
        <v>400000</v>
      </c>
    </row>
    <row r="21">
      <c r="B21" s="8" t="inlineStr">
        <is>
          <t>Kortsiktig gjeld</t>
        </is>
      </c>
      <c r="C21" s="9" t="n">
        <v>0</v>
      </c>
      <c r="D21" s="9" t="n">
        <v>600000</v>
      </c>
    </row>
    <row r="22">
      <c r="B22" s="8" t="inlineStr">
        <is>
          <t>Sum gjeld</t>
        </is>
      </c>
      <c r="C22" s="9" t="n">
        <v>500000</v>
      </c>
      <c r="D22" s="9" t="n">
        <v>1000000</v>
      </c>
    </row>
    <row r="23"/>
    <row r="24" ht="16" customHeight="1">
      <c r="B24" s="3" t="inlineStr">
        <is>
          <t>Oppgaven, trinn for trinn</t>
        </is>
      </c>
    </row>
    <row r="25" ht="90" customHeight="1">
      <c r="B25" s="2" t="inlineStr">
        <is>
          <t>1. Lønnsomhet: regn driftsmarginen og totalkapitalrentabiliteten. Gjennomsnittlig totalkapital er (800 000 + 1 383 257) / 2. Svar med én desimal.
2. Likviditet: regn likviditetsgrad 1 og 2 per 31. desember.
3. Soliditet: regn egenkapitalandelen og gjeldsgraden per 31. desember. Gjeldsgraden svarer du med to desimaler, og den er et forholdstall, ikke en prosent.
4. Eieren vil kjøpe en brukt servicebil til seg selv for 400 000 kr på nytt banklån, i stedet for å lease den tredje. Velg for hvert av de seks tiltakene i g om det bedrer eller svekker egenkapitalandelen.
5. Skriv bankens vurdering i h: er Fjell lønnsom nok, klarer den regningene, og tåler den et dårlig år?</t>
        </is>
      </c>
    </row>
    <row r="26"/>
    <row r="27" ht="48" customHeight="1">
      <c r="B27" s="10" t="inlineStr">
        <is>
          <t>a) Driftsmargin, i prosent med én desimal</t>
        </is>
      </c>
      <c r="C27" s="14" t="n"/>
      <c r="D27" s="12" t="inlineStr">
        <is>
          <t>%</t>
        </is>
      </c>
      <c r="G27" s="13">
        <f>IF(C27="","Skriv svaret i den gule cellen.",IF(ISTEXT(C27),"Skriv bare tallet, uten mellomrom, enhet eller tekst. Enheten står ved siden av cellen. Du kan også skrive regnestykket med likhetstegn foran, for eksempel =2100000/7300.",IF(ABS(C27-(ROUND(144240/4795000*100,1)))&lt;=0.06,"Riktig. 3,0 %. 144 240 × 100 / 4 795 000 = 3,0 % (bransjen 7,5 %)",IF(ABS(C27-(ROUND(106740/4795000*100,1)))&lt;=0.06,"Du har brukt resultat før skatt. Driftsmarginen bruker driftsresultatet, før rentene.",IF(ABS(C27-(ROUND(144240/4795000,1)))&lt;=0.06,"Du har glemt å gange med 100.",IF(IFERROR(AND(C27&lt;&gt;0,(ROUND(144240/4795000*100,1))&lt;&gt;0,ROUND(LOG10(ABS(C27/(ROUND(144240/4795000*100,1)))),0)&lt;&gt;0,ABS(LOG10(ABS(C27/(ROUND(144240/4795000*100,1))))-ROUND(LOG10(ABS(C27/(ROUND(144240/4795000*100,1)))),0))&lt;0.004),FALSE),"Sifrene stemmer, men antall nuller eller plasseringen av kommaet er feil. Sjekk om du har regnet i kroner, tusen kroner eller prosent.",IF(ABS(C27-(ROUND(144240/4795000*100,1)))&lt;=MAX(0.06,0.01*ABS(ROUND(144240/4795000*100,1))),"Riktig. 3,0 %. 144 240 × 100 / 4 795 000 = 3,0 % (bransjen 7,5 %) Svaret ditt ligger litt fra arkets tall fordi du har rundet av underveis. Det er helt greit.",IF(C27&gt;(ROUND(144240/4795000*100,1)),"Ikke riktig ennå. Svaret ditt er for høyt. Tips: Se på regnestykket øverst på fanen, og sjekk at du har med alle leddene.","Ikke riktig ennå. Svaret ditt er for lavt. Tips: Se på regnestykket øverst på fanen, og sjekk at du har med alle leddene."))))))))</f>
        <v/>
      </c>
    </row>
    <row r="28" ht="48" customHeight="1">
      <c r="B28" s="10" t="inlineStr">
        <is>
          <t>b) Totalkapitalrentabilitet, i prosent med én desimal</t>
        </is>
      </c>
      <c r="C28" s="14" t="n"/>
      <c r="D28" s="12" t="inlineStr">
        <is>
          <t>%</t>
        </is>
      </c>
      <c r="G28" s="13">
        <f>IF(C28="","Skriv svaret i den gule cellen.",IF(ISTEXT(C28),"Skriv bare tallet, uten mellomrom, enhet eller tekst. Enheten står ved siden av cellen. Du kan også skrive regnestykket med likhetstegn foran, for eksempel =2100000/7300.",IF(ABS(C28-(ROUND((106740+37500)/((800000+1383257)/2)*100,1)))&lt;=0.06,"Riktig. 13,2 %. (106 740 + 37 500) × 100 / ((800 000 + 1 383 257) / 2) = 144 240 × 100 / 1 091 628,5 = 13,2 % (bransjen 14,6 %)",IF(ABS(C28-(ROUND((106740+37500)/1383257*100,1)))&lt;=0.06,"Du har delt på totalkapitalen 31. desember alene. Bruk gjennomsnittet: (800 000 + 1 383 257) / 2.",IF(ABS(C28-(ROUND(106740/((800000+1383257)/2)*100,1)))&lt;=0.06,"Du har glemt å legge rentekostnadene tilbake i telleren.",IF(IFERROR(AND(C28&lt;&gt;0,(ROUND((106740+37500)/((800000+1383257)/2)*100,1))&lt;&gt;0,ROUND(LOG10(ABS(C28/(ROUND((106740+37500)/((800000+1383257)/2)*100,1)))),0)&lt;&gt;0,ABS(LOG10(ABS(C28/(ROUND((106740+37500)/((800000+1383257)/2)*100,1))))-ROUND(LOG10(ABS(C28/(ROUND((106740+37500)/((800000+1383257)/2)*100,1)))),0))&lt;0.004),FALSE),"Sifrene stemmer, men antall nuller eller plasseringen av kommaet er feil. Sjekk om du har regnet i kroner, tusen kroner eller prosent.",IF(ABS(C28-(ROUND((106740+37500)/((800000+1383257)/2)*100,1)))&lt;=MAX(0.06,0.01*ABS(ROUND((106740+37500)/((800000+1383257)/2)*100,1))),"Riktig. 13,2 %. (106 740 + 37 500) × 100 / ((800 000 + 1 383 257) / 2) = 144 240 × 100 / 1 091 628,5 = 13,2 % (bransjen 14,6 %) Svaret ditt ligger litt fra arkets tall fordi du har rundet av underveis. Det er helt greit.",IF(C28&gt;(ROUND((106740+37500)/((800000+1383257)/2)*100,1)),"Ikke riktig ennå. Svaret ditt er for høyt. Tips: Se på regnestykket øverst på fanen, og sjekk at du har med alle leddene.","Ikke riktig ennå. Svaret ditt er for lavt. Tips: Se på regnestykket øverst på fanen, og sjekk at du har med alle leddene."))))))))</f>
        <v/>
      </c>
    </row>
    <row r="29" ht="48" customHeight="1">
      <c r="B29" s="10" t="inlineStr">
        <is>
          <t>c) Likviditetsgrad 1, i prosent med én desimal</t>
        </is>
      </c>
      <c r="C29" s="14" t="n"/>
      <c r="D29" s="12" t="inlineStr">
        <is>
          <t>%</t>
        </is>
      </c>
      <c r="G29" s="13">
        <f>IF(C29="","Skriv svaret i den gule cellen.",IF(ISTEXT(C29),"Skriv bare tallet, uten mellomrom, enhet eller tekst. Enheten står ved siden av cellen. Du kan også skrive regnestykket med likhetstegn foran, for eksempel =2100000/7300.",IF(ABS(C29-(ROUND(1143257/600000*100,1)))&lt;=0.06,"Riktig. 190,5 %. 1 143 257 × 100 / 600 000 = 190,5 % (bransjen 190 %)",IF(ABS(C29-(ROUND(1143257/1000000*100,1)))&lt;=0.06,"Du har delt på all gjeld. Bruk bare den kortsiktige gjelden, 600 000.",IF(ABS(C29-(ROUND(563257/600000*100,1)))&lt;=0.06,"Du har brukt bare bankinnskuddet. Omløpsmidlene er varelager, kundefordringer og bank til sammen.",IF(IFERROR(AND(C29&lt;&gt;0,(ROUND(1143257/600000*100,1))&lt;&gt;0,ROUND(LOG10(ABS(C29/(ROUND(1143257/600000*100,1)))),0)&lt;&gt;0,ABS(LOG10(ABS(C29/(ROUND(1143257/600000*100,1))))-ROUND(LOG10(ABS(C29/(ROUND(1143257/600000*100,1)))),0))&lt;0.004),FALSE),"Sifrene stemmer, men antall nuller eller plasseringen av kommaet er feil. Sjekk om du har regnet i kroner, tusen kroner eller prosent.",IF(ABS(C29-(ROUND(1143257/600000*100,1)))&lt;=MAX(0.06,0.01*ABS(ROUND(1143257/600000*100,1))),"Riktig. 190,5 %. 1 143 257 × 100 / 600 000 = 190,5 % (bransjen 190 %) Svaret ditt ligger litt fra arkets tall fordi du har rundet av underveis. Det er helt greit.",IF(C29&gt;(ROUND(1143257/600000*100,1)),"Ikke riktig ennå. Svaret ditt er for høyt. Tips: Se på regnestykket øverst på fanen, og sjekk at du har med alle leddene.","Ikke riktig ennå. Svaret ditt er for lavt. Tips: Se på regnestykket øverst på fanen, og sjekk at du har med alle leddene."))))))))</f>
        <v/>
      </c>
    </row>
    <row r="30" ht="48" customHeight="1">
      <c r="B30" s="10" t="inlineStr">
        <is>
          <t>d) Likviditetsgrad 2, i prosent med én desimal</t>
        </is>
      </c>
      <c r="C30" s="14" t="n"/>
      <c r="D30" s="12" t="inlineStr">
        <is>
          <t>%</t>
        </is>
      </c>
      <c r="G30" s="13">
        <f>IF(C30="","Skriv svaret i den gule cellen.",IF(ISTEXT(C30),"Skriv bare tallet, uten mellomrom, enhet eller tekst. Enheten står ved siden av cellen. Du kan også skrive regnestykket med likhetstegn foran, for eksempel =2100000/7300.",IF(ABS(C30-(ROUND((1143257-80000)/600000*100,1)))&lt;=0.06,"Riktig. 177,2 %. (1 143 257 − 80 000) × 100 / 600 000 = 177,2 % (bransjen 160 %)",IF(ABS(C30-(ROUND(1143257/600000*100,1)))&lt;=0.06,"Det er likviditetsgrad 1. Trekk varelageret 80 000 fra omløpsmidlene.",IF(ABS(C30-(ROUND((1143257-500000)/600000*100,1)))&lt;=0.06,"Du har trukket fra kundefordringene. Det er varelageret som holdes utenfor.",IF(IFERROR(AND(C30&lt;&gt;0,(ROUND((1143257-80000)/600000*100,1))&lt;&gt;0,ROUND(LOG10(ABS(C30/(ROUND((1143257-80000)/600000*100,1)))),0)&lt;&gt;0,ABS(LOG10(ABS(C30/(ROUND((1143257-80000)/600000*100,1))))-ROUND(LOG10(ABS(C30/(ROUND((1143257-80000)/600000*100,1)))),0))&lt;0.004),FALSE),"Sifrene stemmer, men antall nuller eller plasseringen av kommaet er feil. Sjekk om du har regnet i kroner, tusen kroner eller prosent.",IF(ABS(C30-(ROUND((1143257-80000)/600000*100,1)))&lt;=MAX(0.06,0.01*ABS(ROUND((1143257-80000)/600000*100,1))),"Riktig. 177,2 %. (1 143 257 − 80 000) × 100 / 600 000 = 177,2 % (bransjen 160 %) Svaret ditt ligger litt fra arkets tall fordi du har rundet av underveis. Det er helt greit.",IF(C30&gt;(ROUND((1143257-80000)/600000*100,1)),"Ikke riktig ennå. Svaret ditt er for høyt. Tips: Se på regnestykket øverst på fanen, og sjekk at du har med alle leddene.","Ikke riktig ennå. Svaret ditt er for lavt. Tips: Se på regnestykket øverst på fanen, og sjekk at du har med alle leddene."))))))))</f>
        <v/>
      </c>
    </row>
    <row r="31" ht="48" customHeight="1">
      <c r="B31" s="10" t="inlineStr">
        <is>
          <t>e) Egenkapitalandel 31. desember, i prosent med én desimal</t>
        </is>
      </c>
      <c r="C31" s="14" t="n"/>
      <c r="D31" s="12" t="inlineStr">
        <is>
          <t>%</t>
        </is>
      </c>
      <c r="G31" s="13">
        <f>IF(C31="","Skriv svaret i den gule cellen.",IF(ISTEXT(C31),"Skriv bare tallet, uten mellomrom, enhet eller tekst. Enheten står ved siden av cellen. Du kan også skrive regnestykket med likhetstegn foran, for eksempel =2100000/7300.",IF(ABS(C31-(ROUND(383257/1383257*100,1)))&lt;=0.06,"Riktig. 27,7 %. 383 257 × 100 / 1 383 257 = 27,7 % (bransjen 36,4 %)",IF(ABS(C31-(ROUND(383257/1000000*100,1)))&lt;=0.06,"Du har delt på gjelden. Egenkapitalandelen deles på totalkapitalen, 1 383 257.",IF(ABS(C31-(ROUND(300000/1383257*100,1)))&lt;=0.06,"Du har brukt bare aksjekapitalen. Egenkapitalen er aksjekapital pluss opptjent egenkapital: 383 257.",IF(IFERROR(AND(C31&lt;&gt;0,(ROUND(383257/1383257*100,1))&lt;&gt;0,ROUND(LOG10(ABS(C31/(ROUND(383257/1383257*100,1)))),0)&lt;&gt;0,ABS(LOG10(ABS(C31/(ROUND(383257/1383257*100,1))))-ROUND(LOG10(ABS(C31/(ROUND(383257/1383257*100,1)))),0))&lt;0.004),FALSE),"Sifrene stemmer, men antall nuller eller plasseringen av kommaet er feil. Sjekk om du har regnet i kroner, tusen kroner eller prosent.",IF(ABS(C31-(ROUND(383257/1383257*100,1)))&lt;=MAX(0.06,0.01*ABS(ROUND(383257/1383257*100,1))),"Riktig. 27,7 %. 383 257 × 100 / 1 383 257 = 27,7 % (bransjen 36,4 %) Svaret ditt ligger litt fra arkets tall fordi du har rundet av underveis. Det er helt greit.",IF(C31&gt;(ROUND(383257/1383257*100,1)),"Ikke riktig ennå. Svaret ditt er for høyt. Tips: Se på regnestykket øverst på fanen, og sjekk at du har med alle leddene.","Ikke riktig ennå. Svaret ditt er for lavt. Tips: Se på regnestykket øverst på fanen, og sjekk at du har med alle leddene."))))))))</f>
        <v/>
      </c>
    </row>
    <row r="32" ht="48" customHeight="1">
      <c r="B32" s="10" t="inlineStr">
        <is>
          <t>f) Gjeldsgrad 31. desember, forholdstall med to desimaler</t>
        </is>
      </c>
      <c r="C32" s="20" t="n"/>
      <c r="D32" s="12" t="inlineStr">
        <is>
          <t>ganger</t>
        </is>
      </c>
      <c r="G32" s="13">
        <f>IF(C32="","Skriv svaret i den gule cellen.",IF(ISTEXT(C32),"Skriv bare tallet, uten mellomrom, enhet eller tekst. Enheten står ved siden av cellen. Du kan også skrive regnestykket med likhetstegn foran, for eksempel =2100000/7300.",IF(ABS(C32-(ROUND(1000000/383257,2)))&lt;=0.006,"Riktig. 2,61. 1 000 000 / 383 257 = 2,61.",IF(ABS(C32-(ROUND(383257/1000000,2)))&lt;=0.006,"Du har snudd brøken. Gjeldsgrad er sum gjeld delt på egenkapital.",IF(ABS(C32-(ROUND(400000/383257,2)))&lt;=0.006,"Du har brukt bare banklånet. All gjeld teller: 400 000 + 600 000 = 1 000 000.",IF(ABS(C32-(ROUND(1000000/1383257,2)))&lt;=0.006,"Du har delt på totalkapitalen. Det er gjeldsandelen, ikke gjeldsgraden. Del på egenkapitalen.",IF(IFERROR(AND(C32&lt;&gt;0,(ROUND(1000000/383257,2))&lt;&gt;0,ROUND(LOG10(ABS(C32/(ROUND(1000000/383257,2)))),0)&lt;&gt;0,ABS(LOG10(ABS(C32/(ROUND(1000000/383257,2))))-ROUND(LOG10(ABS(C32/(ROUND(1000000/383257,2)))),0))&lt;0.004),FALSE),"Sifrene stemmer, men antall nuller eller plasseringen av kommaet er feil. Sjekk om du har regnet i kroner, tusen kroner eller prosent.",IF(ABS(C32-(ROUND(1000000/383257,2)))&lt;=MAX(0.006,0.01*ABS(ROUND(1000000/383257,2))),"Riktig. 2,61. 1 000 000 / 383 257 = 2,61. Svaret ditt ligger litt fra arkets tall fordi du har rundet av underveis. Det er helt greit.",IF(C32&gt;(ROUND(1000000/383257,2)),"Ikke riktig ennå. Svaret ditt er for høyt. Tips: Se på regnestykket øverst på fanen, og sjekk at du har med alle leddene.","Ikke riktig ennå. Svaret ditt er for lavt. Tips: Se på regnestykket øverst på fanen, og sjekk at du har med alle leddene.")))))))))</f>
        <v/>
      </c>
    </row>
    <row r="33"/>
    <row r="34" ht="30" customHeight="1">
      <c r="B34" s="21" t="inlineStr">
        <is>
          <t>g) Bedrer eller svekker tiltaket egenkapitalandelen? Spør for hvert: øker egenkapitalen, eller blir totalkapitalen mindre uten at egenkapitalen faller?</t>
        </is>
      </c>
    </row>
    <row r="35" ht="40" customHeight="1">
      <c r="B35" s="10" t="inlineStr">
        <is>
          <t>La årsresultatet 83 257 stå i selskapet</t>
        </is>
      </c>
      <c r="C35" s="15" t="n"/>
      <c r="G35" s="13">
        <f>IF(C35="","Velg i nedtrekksmenyen.",IF(C35="Bedrer","Riktig. Egenkapitalen øker med 83 257 uten at gjelden øker. Bokas første tiltak (4.2.4.1).","Ikke riktig. Les forklaringen og prøv et annet svar: Egenkapitalen øker med 83 257 uten at gjelden øker. Bokas første tiltak (4.2.4.1)."))</f>
        <v/>
      </c>
    </row>
    <row r="36" ht="40" customHeight="1">
      <c r="B36" s="10" t="inlineStr">
        <is>
          <t>Eieren skyter inn 200 000 i ny aksjekapital</t>
        </is>
      </c>
      <c r="C36" s="15" t="n"/>
      <c r="G36" s="13">
        <f>IF(C36="","Velg i nedtrekksmenyen.",IF(C36="Bedrer","Riktig. Ny egenkapital fra eieren (4.2.4.1).","Ikke riktig. Les forklaringen og prøv et annet svar: Ny egenkapital fra eieren (4.2.4.1)."))</f>
        <v/>
      </c>
    </row>
    <row r="37" ht="40" customHeight="1">
      <c r="B37" s="10" t="inlineStr">
        <is>
          <t>Ta opp kassekreditt og trekke 150 000</t>
        </is>
      </c>
      <c r="C37" s="15" t="n"/>
      <c r="G37" s="13">
        <f>IF(C37="","Velg i nedtrekksmenyen.",IF(C37="Svekker","Riktig. Gjelden og totalkapitalen øker, egenkapitalen står stille. Andelen faller.","Ikke riktig. Les forklaringen og prøv et annet svar: Gjelden og totalkapitalen øker, egenkapitalen står stille. Andelen faller."))</f>
        <v/>
      </c>
    </row>
    <row r="38" ht="40" customHeight="1">
      <c r="B38" s="10" t="inlineStr">
        <is>
          <t>Betale ned 100 000 ekstra på banklånet fra bankinnskuddet</t>
        </is>
      </c>
      <c r="C38" s="15" t="n"/>
      <c r="G38" s="13">
        <f>IF(C38="","Velg i nedtrekksmenyen.",IF(C38="Bedrer","Riktig. Totalkapitalen blir 100 000 mindre, egenkapitalen er den samme. 383 257 / 1 283 257 = 29,9 %.","Ikke riktig. Les forklaringen og prøv et annet svar: Totalkapitalen blir 100 000 mindre, egenkapitalen er den samme. 383 257 / 1 283 257 = 29,9 %."))</f>
        <v/>
      </c>
    </row>
    <row r="39" ht="40" customHeight="1">
      <c r="B39" s="10" t="inlineStr">
        <is>
          <t>Ta ut 80 000 i utbytte</t>
        </is>
      </c>
      <c r="C39" s="15" t="n"/>
      <c r="G39" s="13">
        <f>IF(C39="","Velg i nedtrekksmenyen.",IF(C39="Svekker","Riktig. Egenkapitalen faller, og totalkapitalen faller like mye. 303 257 / 1 303 257 = 23,3 %.","Ikke riktig. Les forklaringen og prøv et annet svar: Egenkapitalen faller, og totalkapitalen faller like mye. 303 257 / 1 303 257 = 23,3 %."))</f>
        <v/>
      </c>
    </row>
    <row r="40" ht="40" customHeight="1">
      <c r="B40" s="10" t="inlineStr">
        <is>
          <t>Kjøpe en tredje servicebil for 400 000 på nytt banklån</t>
        </is>
      </c>
      <c r="C40" s="15" t="n"/>
      <c r="G40" s="13">
        <f>IF(C40="","Velg i nedtrekksmenyen.",IF(C40="Svekker","Riktig. Totalkapitalen øker med 400 000, egenkapitalen står stille: 383 257 / 1 783 257 = 21,5 %. Bilen er nyttig, men lånet senker andelen uansett.","Ikke riktig. Les forklaringen og prøv et annet svar: Totalkapitalen øker med 400 000, egenkapitalen står stille: 383 257 / 1 783 257 = 21,5 %. Bilen er nyttig, men lånet senker andelen uansett."))</f>
        <v/>
      </c>
    </row>
    <row r="41"/>
    <row r="42" ht="30" customHeight="1">
      <c r="B42" s="2" t="inlineStr">
        <is>
          <t>h) Bankens vurdering før den sier ja til bilen: er Fjell lønnsom nok, klarer bedriften regningene, og tåler den et dårlig år? Bruk tallene fra a til f og si hva som er sterkt og hva som er svakt.</t>
        </is>
      </c>
    </row>
    <row r="43" ht="22" customHeight="1">
      <c r="B43" s="16" t="n"/>
    </row>
    <row r="44" ht="22" customHeight="1"/>
    <row r="45" ht="22" customHeight="1"/>
    <row r="46" ht="40" customHeight="1">
      <c r="B46" s="17">
        <f>IF(LEN(B43)&lt;40,"",IF(AND(ISNUMBER(SEARCH("lønnsom",B43)),ISNUMBER(SEARCH("egenkapital",B43))),"Bra: du vurderer både lønnsomheten og egenkapitalen. Sjekk at du også sier at likviditeten er god (190,5 %), og at bilen på lån trekker egenkapitalandelen ned til 21,5 %.",IF(OR(ISNUMBER(SEARCH("lønnsom",B43)),ISNUMBER(SEARCH("egenkapital",B43))),"Du har med det ene. Banken ser på alle tre: lønnsomhet (driftsmargin 3,0 %, totalkapitalrentabilitet 13,2 %), likviditet (190,5 % og 177,2 %) og soliditet (27,7 %, gjeldsgrad 2,61).","Tips: kapitalen tjener 13,2 %, godt over bankens 7,5 %, men driftsmarginen på 3,0 % er tynn: tre kroner igjen av hver hundrelapp. Likviditeten er god, 190,5 % og 177,2 %. Egenkapitalandelen 27,7 % er under bransjens 36,4 %, og bilen på lån gir 21,5 %. Banken vil trolig si ja, men be om at overskuddet blir stående.")))</f>
        <v/>
      </c>
    </row>
    <row r="47">
      <c r="B47" s="18" t="inlineStr">
        <is>
          <t>Står du fast? Skriv JA i den gule cellen:</t>
        </is>
      </c>
      <c r="C47" s="15" t="n"/>
    </row>
    <row r="48" ht="45" customHeight="1">
      <c r="B48" s="19">
        <f>IF(C47="JA","Hint: a: 144 240 × 100 / 4 795 000 = 3,0. b: (106 740 + 37 500) × 100 / 1 091 628,5 = 13,2. c: 1 143 257 × 100 / 600 000 = 190,5. d: (1 143 257 − 80 000) × 100 / 600 000 = 177,2. e: 383 257 × 100 / 1 383 257 = 27,7. f: 1 000 000 / 383 257 = 2,61.","")</f>
        <v/>
      </c>
    </row>
    <row r="49"/>
    <row r="50" ht="30" customHeight="1">
      <c r="B50" s="5" t="inlineStr">
        <is>
          <t>Gule celler fyller du inn, gjerne som regnestykke: =2100000/7300. Grønne regnes ut av arket. Sjekken til høyre sier om svaret stemmer, og hva du bør se på hvis ikke.</t>
        </is>
      </c>
    </row>
  </sheetData>
  <mergeCells count="16">
    <mergeCell ref="B3:G3"/>
    <mergeCell ref="B2:G2"/>
    <mergeCell ref="B24:G24"/>
    <mergeCell ref="B34:G34"/>
    <mergeCell ref="B10:G10"/>
    <mergeCell ref="B42:G42"/>
    <mergeCell ref="B46:G46"/>
    <mergeCell ref="B5:G5"/>
    <mergeCell ref="B9:G9"/>
    <mergeCell ref="B4:G4"/>
    <mergeCell ref="B50:G50"/>
    <mergeCell ref="B43:G45"/>
    <mergeCell ref="B48:G48"/>
    <mergeCell ref="B7:G7"/>
    <mergeCell ref="B25:G25"/>
    <mergeCell ref="B6:G6"/>
  </mergeCells>
  <conditionalFormatting sqref="G27">
    <cfRule type="expression" priority="1" dxfId="0">
      <formula>LEFT(G27,6)="Riktig"</formula>
    </cfRule>
    <cfRule type="expression" priority="2" dxfId="1">
      <formula>LEFT(G27,6)="Nesten"</formula>
    </cfRule>
    <cfRule type="expression" priority="3" dxfId="2">
      <formula>AND(G27&lt;&gt;"",LEFT(G27,6)&lt;&gt;"Riktig",LEFT(G27,6)&lt;&gt;"Nesten",LEFT(G27,5)&lt;&gt;"Skriv")</formula>
    </cfRule>
  </conditionalFormatting>
  <conditionalFormatting sqref="G28">
    <cfRule type="expression" priority="4" dxfId="0">
      <formula>LEFT(G28,6)="Riktig"</formula>
    </cfRule>
    <cfRule type="expression" priority="5" dxfId="1">
      <formula>LEFT(G28,6)="Nesten"</formula>
    </cfRule>
    <cfRule type="expression" priority="6" dxfId="2">
      <formula>AND(G28&lt;&gt;"",LEFT(G28,6)&lt;&gt;"Riktig",LEFT(G28,6)&lt;&gt;"Nesten",LEFT(G28,5)&lt;&gt;"Skriv")</formula>
    </cfRule>
  </conditionalFormatting>
  <conditionalFormatting sqref="G29">
    <cfRule type="expression" priority="7" dxfId="0">
      <formula>LEFT(G29,6)="Riktig"</formula>
    </cfRule>
    <cfRule type="expression" priority="8" dxfId="1">
      <formula>LEFT(G29,6)="Nesten"</formula>
    </cfRule>
    <cfRule type="expression" priority="9" dxfId="2">
      <formula>AND(G29&lt;&gt;"",LEFT(G29,6)&lt;&gt;"Riktig",LEFT(G29,6)&lt;&gt;"Nesten",LEFT(G29,5)&lt;&gt;"Skriv")</formula>
    </cfRule>
  </conditionalFormatting>
  <conditionalFormatting sqref="G30">
    <cfRule type="expression" priority="10" dxfId="0">
      <formula>LEFT(G30,6)="Riktig"</formula>
    </cfRule>
    <cfRule type="expression" priority="11" dxfId="1">
      <formula>LEFT(G30,6)="Nesten"</formula>
    </cfRule>
    <cfRule type="expression" priority="12" dxfId="2">
      <formula>AND(G30&lt;&gt;"",LEFT(G30,6)&lt;&gt;"Riktig",LEFT(G30,6)&lt;&gt;"Nesten",LEFT(G30,5)&lt;&gt;"Skriv")</formula>
    </cfRule>
  </conditionalFormatting>
  <conditionalFormatting sqref="G31">
    <cfRule type="expression" priority="13" dxfId="0">
      <formula>LEFT(G31,6)="Riktig"</formula>
    </cfRule>
    <cfRule type="expression" priority="14" dxfId="1">
      <formula>LEFT(G31,6)="Nesten"</formula>
    </cfRule>
    <cfRule type="expression" priority="15" dxfId="2">
      <formula>AND(G31&lt;&gt;"",LEFT(G31,6)&lt;&gt;"Riktig",LEFT(G31,6)&lt;&gt;"Nesten",LEFT(G31,5)&lt;&gt;"Skriv")</formula>
    </cfRule>
  </conditionalFormatting>
  <conditionalFormatting sqref="G32">
    <cfRule type="expression" priority="16" dxfId="0">
      <formula>LEFT(G32,6)="Riktig"</formula>
    </cfRule>
    <cfRule type="expression" priority="17" dxfId="1">
      <formula>LEFT(G32,6)="Nesten"</formula>
    </cfRule>
    <cfRule type="expression" priority="18" dxfId="2">
      <formula>AND(G32&lt;&gt;"",LEFT(G32,6)&lt;&gt;"Riktig",LEFT(G32,6)&lt;&gt;"Nesten",LEFT(G32,5)&lt;&gt;"Skriv")</formula>
    </cfRule>
  </conditionalFormatting>
  <conditionalFormatting sqref="G35">
    <cfRule type="expression" priority="19" dxfId="0">
      <formula>LEFT(G35,6)="Riktig"</formula>
    </cfRule>
    <cfRule type="expression" priority="20" dxfId="2">
      <formula>LEFT(G35,4)="Ikke"</formula>
    </cfRule>
  </conditionalFormatting>
  <conditionalFormatting sqref="G36">
    <cfRule type="expression" priority="21" dxfId="0">
      <formula>LEFT(G36,6)="Riktig"</formula>
    </cfRule>
    <cfRule type="expression" priority="22" dxfId="2">
      <formula>LEFT(G36,4)="Ikke"</formula>
    </cfRule>
  </conditionalFormatting>
  <conditionalFormatting sqref="G37">
    <cfRule type="expression" priority="23" dxfId="0">
      <formula>LEFT(G37,6)="Riktig"</formula>
    </cfRule>
    <cfRule type="expression" priority="24" dxfId="2">
      <formula>LEFT(G37,4)="Ikke"</formula>
    </cfRule>
  </conditionalFormatting>
  <conditionalFormatting sqref="G38">
    <cfRule type="expression" priority="25" dxfId="0">
      <formula>LEFT(G38,6)="Riktig"</formula>
    </cfRule>
    <cfRule type="expression" priority="26" dxfId="2">
      <formula>LEFT(G38,4)="Ikke"</formula>
    </cfRule>
  </conditionalFormatting>
  <conditionalFormatting sqref="G39">
    <cfRule type="expression" priority="27" dxfId="0">
      <formula>LEFT(G39,6)="Riktig"</formula>
    </cfRule>
    <cfRule type="expression" priority="28" dxfId="2">
      <formula>LEFT(G39,4)="Ikke"</formula>
    </cfRule>
  </conditionalFormatting>
  <conditionalFormatting sqref="G40">
    <cfRule type="expression" priority="29" dxfId="0">
      <formula>LEFT(G40,6)="Riktig"</formula>
    </cfRule>
    <cfRule type="expression" priority="30" dxfId="2">
      <formula>LEFT(G40,4)="Ikke"</formula>
    </cfRule>
  </conditionalFormatting>
  <dataValidations count="7">
    <dataValidation sqref="C35" showDropDown="0" showInputMessage="0" showErrorMessage="0" allowBlank="1" type="list">
      <formula1>$Z$1:$Z$2</formula1>
    </dataValidation>
    <dataValidation sqref="C36" showDropDown="0" showInputMessage="0" showErrorMessage="0" allowBlank="1" type="list">
      <formula1>$Z$3:$Z$4</formula1>
    </dataValidation>
    <dataValidation sqref="C37" showDropDown="0" showInputMessage="0" showErrorMessage="0" allowBlank="1" type="list">
      <formula1>$Z$5:$Z$6</formula1>
    </dataValidation>
    <dataValidation sqref="C38" showDropDown="0" showInputMessage="0" showErrorMessage="0" allowBlank="1" type="list">
      <formula1>$Z$7:$Z$8</formula1>
    </dataValidation>
    <dataValidation sqref="C39" showDropDown="0" showInputMessage="0" showErrorMessage="0" allowBlank="1" type="list">
      <formula1>$Z$9:$Z$10</formula1>
    </dataValidation>
    <dataValidation sqref="C40" showDropDown="0" showInputMessage="0" showErrorMessage="0" allowBlank="1" type="list">
      <formula1>$Z$11:$Z$12</formula1>
    </dataValidation>
    <dataValidation sqref="C47"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D27"/>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2" t="inlineStr">
        <is>
          <t>Fasit, kapittel 4</t>
        </is>
      </c>
    </row>
    <row r="3" ht="30" customHeight="1">
      <c r="B3" s="5" t="inlineStr">
        <is>
          <t>Prøv oppgaven selv før du leser her. Regnestykket står ved siden av hvert svar. Tallene hentes fra fasitformlene, så de stemmer alltid med oppgavefanene.</t>
        </is>
      </c>
    </row>
    <row r="5">
      <c r="B5" s="23" t="inlineStr">
        <is>
          <t>Oppgave</t>
        </is>
      </c>
      <c r="C5" s="23" t="inlineStr">
        <is>
          <t>Svar</t>
        </is>
      </c>
      <c r="D5" s="23" t="inlineStr">
        <is>
          <t>Regnestykket</t>
        </is>
      </c>
    </row>
    <row r="6" ht="30" customHeight="1">
      <c r="B6" s="24" t="inlineStr">
        <is>
          <t>1A a) Gjennomsnittlig totalkapital</t>
        </is>
      </c>
      <c r="C6" s="25" t="n">
        <v>9791325</v>
      </c>
      <c r="D6" s="24" t="inlineStr">
        <is>
          <t>(9 400 000 + 10 182 650) / 2 = 9 791 325 kr</t>
        </is>
      </c>
    </row>
    <row r="7" ht="30" customHeight="1">
      <c r="B7" s="24" t="inlineStr">
        <is>
          <t>1A b) Driftsmargin</t>
        </is>
      </c>
      <c r="C7" s="25" t="inlineStr"/>
      <c r="D7" s="24" t="inlineStr">
        <is>
          <t>6,0 %. 1 344 000 × 100 / 22 400 000 = 6,0 %</t>
        </is>
      </c>
    </row>
    <row r="8" ht="30" customHeight="1">
      <c r="B8" s="24" t="inlineStr">
        <is>
          <t>1A c) Totalkapitalrentabilitet</t>
        </is>
      </c>
      <c r="C8" s="25" t="inlineStr"/>
      <c r="D8" s="24" t="inlineStr">
        <is>
          <t>14,3 %. (1 167 500 + 232 500) × 100 / 9 791 325 = 14,3 %</t>
        </is>
      </c>
    </row>
    <row r="9" ht="30" customHeight="1">
      <c r="B9" s="24" t="inlineStr">
        <is>
          <t>1A d) Gjennomsnittlig gjeldsrente</t>
        </is>
      </c>
      <c r="C9" s="25" t="inlineStr"/>
      <c r="D9" s="24" t="inlineStr">
        <is>
          <t>3,2 %. 232 500 × 100 / 7 354 000 = 3,2 %. Gjennomsnittlig gjeld: (7 418 000 + 7 290 000) / 2</t>
        </is>
      </c>
    </row>
    <row r="10" ht="30" customHeight="1">
      <c r="B10" s="24" t="inlineStr">
        <is>
          <t>1A e) Egenkapitalrentabilitet</t>
        </is>
      </c>
      <c r="C10" s="25" t="inlineStr"/>
      <c r="D10" s="24" t="inlineStr">
        <is>
          <t>47,9 %. 1 167 500 × 100 / 2 437 325 = 47,9 %. Gjennomsnittlig egenkapital: (1 982 000 + 2 892 650) / 2</t>
        </is>
      </c>
    </row>
    <row r="11" ht="30" customHeight="1">
      <c r="B11" s="24" t="inlineStr">
        <is>
          <t>1A f) Forskjellen</t>
        </is>
      </c>
      <c r="C11" s="25" t="inlineStr"/>
      <c r="D11" s="24" t="inlineStr">
        <is>
          <t>Gjelden koster 3,2 %, kapitalen tjener 14,3 %. Differansen går til eierne og deles på en liten egenkapital (28,4 % av totalkapitalen)</t>
        </is>
      </c>
    </row>
    <row r="12" ht="30" customHeight="1">
      <c r="B12" s="24" t="inlineStr">
        <is>
          <t>1A g) Svaret til Tom</t>
        </is>
      </c>
      <c r="C12" s="25" t="inlineStr"/>
      <c r="D12" s="24" t="inlineStr">
        <is>
          <t>I et dårlig år er rentene de samme, og tapet tas av egenkapitalen. Nye lån koster 7,5 %, og banken ser egenkapitalandelen falle til 23,7 % med 2 millioner i nytt lån</t>
        </is>
      </c>
    </row>
    <row r="13" ht="30" customHeight="1">
      <c r="B13" s="24" t="inlineStr">
        <is>
          <t>1B a) Likviditetsgrad 1 i dag</t>
        </is>
      </c>
      <c r="C13" s="25" t="inlineStr"/>
      <c r="D13" s="24" t="inlineStr">
        <is>
          <t>146,6 %. 6 582 650 × 100 / 4 490 000 = 146,6 % (normtall 200 %, bransjen 190 %)</t>
        </is>
      </c>
    </row>
    <row r="14" ht="30" customHeight="1">
      <c r="B14" s="24" t="inlineStr">
        <is>
          <t>1B b) Likviditetsgrad 2 i dag</t>
        </is>
      </c>
      <c r="C14" s="25" t="inlineStr"/>
      <c r="D14" s="24" t="inlineStr">
        <is>
          <t>115,4 %. (6 582 650 − 1 400 000) × 100 / 4 490 000 = 115,4 % (normtall 100 %, bransjen 160 %)</t>
        </is>
      </c>
    </row>
    <row r="15" ht="30" customHeight="1">
      <c r="B15" s="24" t="inlineStr">
        <is>
          <t>1B c) Likviditetsgrad 1 etter utbytte</t>
        </is>
      </c>
      <c r="C15" s="25" t="inlineStr"/>
      <c r="D15" s="24" t="inlineStr">
        <is>
          <t>133,2 %. (6 582 650 − 600 000) × 100 / 4 490 000 = 133,2 %</t>
        </is>
      </c>
    </row>
    <row r="16" ht="30" customHeight="1">
      <c r="B16" s="24" t="inlineStr">
        <is>
          <t>1B d) Likviditetsgrad 2 etter utbytte</t>
        </is>
      </c>
      <c r="C16" s="25" t="inlineStr"/>
      <c r="D16" s="24" t="inlineStr">
        <is>
          <t>102,1 %. (5 982 650 − 1 400 000) × 100 / 4 490 000 = 102,1 %</t>
        </is>
      </c>
    </row>
    <row r="17" ht="30" customHeight="1">
      <c r="B17" s="24" t="inlineStr">
        <is>
          <t>1B e) Egenkapitalandel etter utbytte</t>
        </is>
      </c>
      <c r="C17" s="25" t="inlineStr"/>
      <c r="D17" s="24" t="inlineStr">
        <is>
          <t>23,9 %. 2 292 650 × 100 / 9 582 650 = 23,9 % (før: 28,4 %)</t>
        </is>
      </c>
    </row>
    <row r="18" ht="30" customHeight="1">
      <c r="B18" s="24" t="inlineStr">
        <is>
          <t>1B f) Toms feil</t>
        </is>
      </c>
      <c r="C18" s="25" t="inlineStr"/>
      <c r="D18" s="24" t="inlineStr">
        <is>
          <t>Overskuddet er et resultat, ikke penger på konto. 4 200 000 står hos kundene og 1 400 000 på lageret</t>
        </is>
      </c>
    </row>
    <row r="19" ht="45" customHeight="1">
      <c r="B19" s="24" t="inlineStr">
        <is>
          <t>1B g) Karis svar</t>
        </is>
      </c>
      <c r="C19" s="25" t="inlineStr"/>
      <c r="D19" s="24" t="inlineStr">
        <is>
          <t>Likviditetsgrad 2 faller til 102,1 % og bankinnskuddet til 382 650, mindre enn én månedslønn. Egenkapitalandelen faller til 23,9 %. La overskuddet stå, eller ta et mindre utbytte når kundene har betalt</t>
        </is>
      </c>
    </row>
    <row r="20" ht="30" customHeight="1">
      <c r="B20" s="24" t="inlineStr">
        <is>
          <t>1C a) Driftsmargin</t>
        </is>
      </c>
      <c r="C20" s="25" t="inlineStr"/>
      <c r="D20" s="24" t="inlineStr">
        <is>
          <t>3,0 %. 144 240 × 100 / 4 795 000 = 3,0 % (bransjen 7,5 %)</t>
        </is>
      </c>
    </row>
    <row r="21" ht="30" customHeight="1">
      <c r="B21" s="24" t="inlineStr">
        <is>
          <t>1C b) Totalkapitalrentabilitet</t>
        </is>
      </c>
      <c r="C21" s="25" t="inlineStr"/>
      <c r="D21" s="24" t="inlineStr">
        <is>
          <t>13,2 %. (106 740 + 37 500) × 100 / ((800 000 + 1 383 257) / 2) = 144 240 × 100 / 1 091 628,5 = 13,2 % (bransjen 14,6 %)</t>
        </is>
      </c>
    </row>
    <row r="22" ht="30" customHeight="1">
      <c r="B22" s="24" t="inlineStr">
        <is>
          <t>1C c) Likviditetsgrad 1</t>
        </is>
      </c>
      <c r="C22" s="25" t="inlineStr"/>
      <c r="D22" s="24" t="inlineStr">
        <is>
          <t>190,5 %. 1 143 257 × 100 / 600 000 = 190,5 % (bransjen 190 %)</t>
        </is>
      </c>
    </row>
    <row r="23" ht="30" customHeight="1">
      <c r="B23" s="24" t="inlineStr">
        <is>
          <t>1C d) Likviditetsgrad 2</t>
        </is>
      </c>
      <c r="C23" s="25" t="inlineStr"/>
      <c r="D23" s="24" t="inlineStr">
        <is>
          <t>177,2 %. (1 143 257 − 80 000) × 100 / 600 000 = 177,2 % (bransjen 160 %)</t>
        </is>
      </c>
    </row>
    <row r="24" ht="30" customHeight="1">
      <c r="B24" s="24" t="inlineStr">
        <is>
          <t>1C e) Egenkapitalandel</t>
        </is>
      </c>
      <c r="C24" s="25" t="inlineStr"/>
      <c r="D24" s="24" t="inlineStr">
        <is>
          <t>27,7 %. 383 257 × 100 / 1 383 257 = 27,7 % (bransjen 36,4 %)</t>
        </is>
      </c>
    </row>
    <row r="25" ht="30" customHeight="1">
      <c r="B25" s="24" t="inlineStr">
        <is>
          <t>1C f) Gjeldsgrad</t>
        </is>
      </c>
      <c r="C25" s="25" t="inlineStr"/>
      <c r="D25" s="24" t="inlineStr">
        <is>
          <t>2,61. 1 000 000 / 383 257 = 2,61</t>
        </is>
      </c>
    </row>
    <row r="26" ht="30" customHeight="1">
      <c r="B26" s="24" t="inlineStr">
        <is>
          <t>1C g) Tiltakene</t>
        </is>
      </c>
      <c r="C26" s="25" t="inlineStr"/>
      <c r="D26" s="24" t="inlineStr">
        <is>
          <t>Bedrer: la overskuddet stå, ny aksjekapital, betale ned lån. Svekker: kassekreditt, utbytte, bil på nytt lån (21,5 %)</t>
        </is>
      </c>
    </row>
    <row r="27" ht="45" customHeight="1">
      <c r="B27" s="24" t="inlineStr">
        <is>
          <t>1C h) Bankens vurdering</t>
        </is>
      </c>
      <c r="C27" s="25" t="inlineStr"/>
      <c r="D27" s="24" t="inlineStr">
        <is>
          <t>Lønnsom nok på kapitalen (13,2 % mot 7,5 % i rente), men tynn margin (3,0 %). God likviditet (190,5 % og 177,2 %). Soliditeten er svakere enn bransjen (27,7 % mot 36,4 %), og bilen på lån gir 21,5 %. Ja til bilen, hvis overskuddet blir stående</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2026-10-31T05:58:21Z</dcterms:created>
  <dcterms:modified xmlns:dcterms="http://purl.org/dc/terms/" xmlns:xsi="http://www.w3.org/2001/XMLSchema-instance" xsi:type="dcterms:W3CDTF">2026-10-31T05:58:21Z</dcterms:modified>
</cp:coreProperties>
</file>