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<sst xmlns="http://schemas.openxmlformats.org/spreadsheetml/2006/main" count="130" uniqueCount="96">
  <si>
    <t xml:space="preserve">Klasseoppgaver til Økonomistyring kapittel 4: Regnskapsanalyse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</si>
  <si>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</si>
  <si>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</si>
  <si>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</si>
  <si>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</si>
  <si>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</si>
  <si>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</si>
  <si>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</si>
  <si>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</si>
  <si>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47,9 % til eierne. Hva er det som løfter? (Nordlys)</t>
  </si>
  <si>
    <t xml:space="preserve">A2</t>
  </si>
  <si>
    <t xml:space="preserve">Fjell Elektro etter første driftsår: er bedriften lønnsom nok? (Egen el-bedrift)</t>
  </si>
  <si>
    <t xml:space="preserve">B1</t>
  </si>
  <si>
    <t xml:space="preserve">Nordlys: tåler bedriften 600 000 kr i utbytte? (Nordlys)</t>
  </si>
  <si>
    <t xml:space="preserve">B2</t>
  </si>
  <si>
    <t xml:space="preserve">Fjell Elektro etter første år: betalingsevne, finansiering og soliditet (Egen el-bedrift)</t>
  </si>
  <si>
    <t xml:space="preserve">Læreboka</t>
  </si>
  <si>
    <t xml:space="preserve">Hjertnes, J. og Skorpen, K.: Økonomistyring for LØM-emnet, kapittel 4.</t>
  </si>
  <si>
    <t xml:space="preserve">Appen</t>
  </si>
  <si>
    <t xml:space="preserve">Økonomistyring kap. 4 → Øv → Klasseoppgaver gir fasit per deloppgave.</t>
  </si>
  <si>
    <t xml:space="preserve">A1 · Nordlys: 47,9 % til eierne. Hva er det som løfter?</t>
  </si>
  <si>
    <t xml:space="preserve">25 minutter · Helst alene. Sammen med sidemannen eller flere hvis du vil. Ark og blyant, appen (PC eller mobil) eller læreboka.</t>
  </si>
  <si>
    <t xml:space="preserve">Kort oppsummert: Totalkapitalrentabiliteten (TKR) er det alle pengene i bedriften tjener: ordinært resultat før skatt pluss rentekostnader, delt på gjennomsnittlig totalkapital. Kravet i boka er at TKR er høyere enn den gjennomsnittlige gjeldsrenta, som er rentekostnader delt på gjennomsnittlig gjeld. Egenkapitalrentabiliteten (EKR) er resultat før skatt delt på gjennomsnittlig egenkapital. Når kapitalen tjener mer enn gjelden koster, går differansen til eierne, og er egenkapitalen liten, blir EKR stor. Kapitalens omløpshastighet er salgsinntekt delt på gjennomsnittlig totalkapital.</t>
  </si>
  <si>
    <t xml:space="preserve">Casen er lagt til regnskapsåret 2026; regnestykket er det samme uansett når du gjør det. Kari Nordlund og Tom Berg eier Nordlys Elektro AS. Regnskapsføreren har regnet ut at de fikk 47,9 % avkastning på egenkapitalen før skatt. Tom vil låne mer for å få tallet enda høyere. Kari vil først vite hva det er som gir de 47,9 prosentene. Tallene fra resultatregnskapet og balansen står i tabellen. Gå fram slik: regn gjennomsnittene først ((1. januar + 31. desember) / 2), så TKR, så gjennomsnittlig gjeldsrente, så kapitalens omløpshastighet. Sammenlikn TKR med gjeldsrenta.</t>
  </si>
  <si>
    <t xml:space="preserve">Kr</t>
  </si>
  <si>
    <t xml:space="preserve">1. januar</t>
  </si>
  <si>
    <t xml:space="preserve">31. desember</t>
  </si>
  <si>
    <t xml:space="preserve">Salgsinntekt (året)</t>
  </si>
  <si>
    <t xml:space="preserve">Driftsresultat (året)</t>
  </si>
  <si>
    <t xml:space="preserve">Rentekostnader (året)</t>
  </si>
  <si>
    <t xml:space="preserve">Resultat før skatt (året)</t>
  </si>
  <si>
    <t xml:space="preserve">Totalkapital (sum eiendeler)</t>
  </si>
  <si>
    <t xml:space="preserve">Egenkapital</t>
  </si>
  <si>
    <t xml:space="preserve">Sum gjeld</t>
  </si>
  <si>
    <t xml:space="preserve">Gule celler med spørsmålstegn kan du fylle inn selv mens du regner.</t>
  </si>
  <si>
    <t xml:space="preserve">Deloppgave</t>
  </si>
  <si>
    <t xml:space="preserve">Ditt svar</t>
  </si>
  <si>
    <t xml:space="preserve">Sjekk</t>
  </si>
  <si>
    <t xml:space="preserve">a)  Totalkapitalrentabiliteten i prosent med én desimal: (resultat før skatt + rentekostnader) × 100 / gjennomsnittlig totalkapital.</t>
  </si>
  <si>
    <t xml:space="preserve">b)  Gjennomsnittlig gjeldsrente i prosent med én desimal: rentekostnader × 100 / gjennomsnittlig gjeld.</t>
  </si>
  <si>
    <t xml:space="preserve">c)  Kapitalens omløpshastighet med to desimaler: salgsinntekt / gjennomsnittlig totalkapital. Svaret er et antall ganger, ikke en prosent.</t>
  </si>
  <si>
    <t xml:space="preserve">d)  Egenkapitalrentabiliteten er 47,9 %, mens totalkapitalrentabiliteten er 14,3 %. Hva er den viktigste grunnen til forskjellen?   A: Driften er bedre enn TKR viser, så EKR er det sanne tallet   B: Gjelden koster mindre enn kapitalen tjener, og gevinsten deles på en liten egenkapital   C: EKR regnes etter skatt, TKR før skatt   (skriv bokstaven)</t>
  </si>
  <si>
    <t xml:space="preserve">e)  Tom foreslår å låne 2 millioner kroner til, fordi «da blir egenkapitalrentabiliteten enda høyere». Hva svarer Kari? Skriv to setninger: én om risikoen, og én om hva hun heller vil gjøre med lønnsomheten.</t>
  </si>
  <si>
    <t xml:space="preserve">Kilde: Hjertnes, J. og Skorpen, K.: Økonomistyring for LØM-emnet, kap. 4, avsnitt 4.2.1 (TKR, krav til TKR, gjennomsnittlig gjeldsrente, EKR og kapitalens omløpshastighet). Tallene er faktaarkets. Nordlys Elektro AS er en konstruert casebedrift.</t>
  </si>
  <si>
    <t xml:space="preserve">Regnearket er øvingsstøtte. Det kan ikke siteres eller vises til i besvarelser, prosjektoppgaver eller eksamen; der gjelder læreboka og oppgitte primærkilder.</t>
  </si>
  <si>
    <t xml:space="preserve">A2 · Fjell Elektro etter første driftsår: er bedriften lønnsom nok?</t>
  </si>
  <si>
    <t xml:space="preserve">Kort oppsummert: Resultatgraden er resultat før skatt pluss rentekostnader, i prosent av salgsinntekten. TKR er det samme beløpet delt på gjennomsnittlig totalkapital, og EKR er resultat før skatt delt på gjennomsnittlig egenkapital. Gjennomsnitt er (start + slutt) / 2. Boka sier ca. 10 % for resultatgrad og driftsmargin, 8–10 % for TKR og 18–20 % for EKR, men kravene varierer mellom bransjer. Bruttofortjeneste regnes av salgsprisen, avanse av innkjøpsprisen.</t>
  </si>
  <si>
    <t xml:space="preserve">Fjell Elektro AS (samme bedrift som i kapittel 9) har drevet i ett år, og regnskapet er ferdig. Banken vil vite om bedriften er lønnsom nok før den sier ja til en kassekreditt. Bedriften startet med aksjekapital 300 000 og banklån 500 000, altså 800 000 i totalkapital. Ved årets slutt er totalkapitalen 1 383 257. Bruk tallene i tabellen. Regn gjennomsnittene først, så resultatgrad, TKR og EKR, og sammenlikn med kravene i boka.</t>
  </si>
  <si>
    <t xml:space="preserve">Ved start</t>
  </si>
  <si>
    <t xml:space="preserve">Varekostnad (året)</t>
  </si>
  <si>
    <t xml:space="preserve">a)  Resultatgraden i prosent med én desimal: (resultat før skatt + rentekostnader) × 100 / salgsinntekt.</t>
  </si>
  <si>
    <t xml:space="preserve">b)  TKR i prosent med én desimal: (resultat før skatt + rentekostnader) × 100 / gjennomsnittlig totalkapital.</t>
  </si>
  <si>
    <t xml:space="preserve">c)  EKR i prosent med én desimal: resultat før skatt × 100 / gjennomsnittlig egenkapital.</t>
  </si>
  <si>
    <t xml:space="preserve">d)  Fjell kjøper materiell for 1 400 000 og selger det med 20 % påslag (avanse), altså for 1 680 000. Hvor mange prosent av materiellsalget er bruttofortjeneste?   A: 20 %   B: 16,7 %   C: 25 %   (skriv bokstaven)</t>
  </si>
  <si>
    <t xml:space="preserve">e)  Er Fjell Elektro lønnsom nok etter første år? Vurder resultatgraden, TKR og EKR mot kravene i boka, og foreslå ett tiltak på inntektssiden og ett på kostnadssiden.</t>
  </si>
  <si>
    <t xml:space="preserve">Kilde: Hjertnes, J. og Skorpen, K.: Økonomistyring for LØM-emnet, kap. 4, avsnitt 4.2.1 med tiltakslisten i 4.2.1.1 og tabell 4.2. Resultatet er det samme som i OK09 (oppgave A2).</t>
  </si>
  <si>
    <t xml:space="preserve">B1 · Nordlys: tåler bedriften 600 000 kr i utbytte?</t>
  </si>
  <si>
    <t xml:space="preserve">Kort oppsummert: Likviditetsgrad 1 er omløpsmidler delt på kortsiktig gjeld (bokas normtall 200 %). Likviditetsgrad 2 tar varelageret ut av telleren (normtall 100 %). Egenkapitalandelen er egenkapital delt på totalkapital (35 % eller mer er godt, 20–30 % trenger ikke være et problem). Et utbytte som betales ut, tar pengene fra bankinnskuddet og fra egenkapitalen samtidig, og balansesummen blir like mye mindre.</t>
  </si>
  <si>
    <t xml:space="preserve">Det er januar, og årsregnskapet for 2026 er klart med et årsresultat på 910 650 kr. Tom Berg, medeier og driftsleder, vil ta ut 600 000 kr i utbytte: «Pengene finnes, vi hadde jo overskudd.» Utbyttet skal betales fra bankkontoen. Kari Nordlund (daglig leder) vil vite hva det gjør med betalingsevnen og soliditeten før hun svarer. Tabellen viser balansen 31.12. og hvilke poster som endres. Gå fram slik: trekk 600 000 fra bankinnskuddet og fra egenkapitalen, summer på nytt, og regn nøkkeltallene etter utbyttet.</t>
  </si>
  <si>
    <t xml:space="preserve">31.12. i dag</t>
  </si>
  <si>
    <t xml:space="preserve">Etter utbytte</t>
  </si>
  <si>
    <t xml:space="preserve">Anleggsmidler</t>
  </si>
  <si>
    <t xml:space="preserve">Varelager</t>
  </si>
  <si>
    <t xml:space="preserve">Kundefordringer</t>
  </si>
  <si>
    <t xml:space="preserve">Bankinnskudd</t>
  </si>
  <si>
    <t xml:space="preserve">= Sum omløpsmidler</t>
  </si>
  <si>
    <t xml:space="preserve">= Sum eiendeler</t>
  </si>
  <si>
    <t xml:space="preserve">Langsiktig gjeld (banklån)</t>
  </si>
  <si>
    <t xml:space="preserve">Kortsiktig gjeld</t>
  </si>
  <si>
    <t xml:space="preserve">a)  Likviditetsgrad 1 etter utbyttet, i prosent med én desimal: omløpsmidler × 100 / kortsiktig gjeld.</t>
  </si>
  <si>
    <t xml:space="preserve">b)  Likviditetsgrad 2 etter utbyttet, i prosent med én desimal: (omløpsmidler − varelager) × 100 / kortsiktig gjeld.</t>
  </si>
  <si>
    <t xml:space="preserve">c)  Egenkapitalandelen etter utbyttet, i prosent med én desimal: egenkapital × 100 / totalkapital (sum eiendeler).</t>
  </si>
  <si>
    <t xml:space="preserve">d)  Tom sier: «Pengene finnes, vi hadde jo 910 650 kr i overskudd.» Hva er feil med resonnementet?   A: Ingenting: overskuddet står på bankkontoen og kan tas ut   B: Overskuddet er et resultat, ikke en beholdning: pengene står mest i kundefordringer og varelager   C: Overskuddet er feil regnet, fordi skatten ikke er trukket fra   (skriv bokstaven)</t>
  </si>
  <si>
    <t xml:space="preserve">e)  Hva svarer Kari til Tom? Skriv to setninger: hva utbyttet gjør med betalingsevnen og soliditeten, og hva hun foreslår i stedet.</t>
  </si>
  <si>
    <t xml:space="preserve">Kilde: Hjertnes, J. og Skorpen, K.: Økonomistyring for LØM-emnet, kap. 4, avsnitt 4.2.2 (likviditetsgrad 1 og 2) og 4.2.4 (soliditet og tiltak). Utbytte: kap. 3.11 og aksjeloven § 3-4 og § 8-1 (Lovdata). Balansen er faktaarkets. Nordlys Elektro AS er en konstruert casebedrift.</t>
  </si>
  <si>
    <t xml:space="preserve">B2 · Fjell Elektro etter første år: betalingsevne, finansiering og soliditet</t>
  </si>
  <si>
    <t xml:space="preserve">Kort oppsummert: Likviditetsgrad 1 = omløpsmidler × 100 / kortsiktig gjeld (normtall 200 %, i dag aksepteres 100–200 %). Arbeidskapital = omløpsmidler − kortsiktig gjeld, og den må være positiv. Egenkapitalandel = egenkapital × 100 / totalkapital (35 % eller mer er godt). Egenkapitalandelen bedres bare ved å la overskudd stå, betale ned gjeld eller skyte inn ny egenkapital.</t>
  </si>
  <si>
    <t xml:space="preserve">Fjell Elektro AS har drevet i ett år. Eieren vil kjøpe en tredje servicebil for 400 000 kr og finansiere den med et nytt banklån, og banken ber om en vurdering av betalingsevne, finansiering og soliditet først. Balansen 31.12. står i tabellen. Kundefordringene er desembersalget med mva (30 dagers kredittid), og varelageret er materiell kjøpt inn til januarjobbene. Den kortsiktige gjelden på 600 000 er leverandørgjeld 100 000, skyldig mva, skattetrekk og arbeidsgiveravgift 258 117, skyldige feriepenger 218 400 og betalbar skatt 23 483. Regn nøkkeltallene i dag, og vurder hva bilen på lån gjør med dem.</t>
  </si>
  <si>
    <t xml:space="preserve">Balanse 31.12. (kr)</t>
  </si>
  <si>
    <t xml:space="preserve">Beløp</t>
  </si>
  <si>
    <t xml:space="preserve">Utstyr og verktøy (anleggsmidler)</t>
  </si>
  <si>
    <t xml:space="preserve">Banklån (langsiktig gjeld)</t>
  </si>
  <si>
    <t xml:space="preserve">Kortsiktig gjeld (sum)</t>
  </si>
  <si>
    <t xml:space="preserve">= Sum egenkapital og gjeld</t>
  </si>
  <si>
    <t xml:space="preserve">a)  Likviditetsgrad 1 i prosent med én desimal: omløpsmidler × 100 / kortsiktig gjeld.</t>
  </si>
  <si>
    <t xml:space="preserve">b)  Arbeidskapitalen i kroner: omløpsmidler − kortsiktig gjeld. Kontroller med egenkapital + langsiktig gjeld − anleggsmidler.</t>
  </si>
  <si>
    <t xml:space="preserve">c)  Egenkapitalandelen i prosent med én desimal: egenkapital × 100 / totalkapital.</t>
  </si>
  <si>
    <t xml:space="preserve">d)  Hvilke av disse tiltakene bedrer egenkapitalandelen? Spør for hver: øker egenkapitalen, eller blir totalkapitalen mindre uten at egenkapitalen faller?</t>
  </si>
  <si>
    <t xml:space="preserve">      La årsresultatet 83 257 stå i selskapet   (Ja eller Nei)</t>
  </si>
  <si>
    <t xml:space="preserve">      Eieren skyter inn 200 000 i ny aksjekapital   (Ja eller Nei)</t>
  </si>
  <si>
    <t xml:space="preserve">      Ta opp kassekreditt og trekke 150 000   (Ja eller Nei)</t>
  </si>
  <si>
    <t xml:space="preserve">      Betale ned 100 000 ekstra på lånet fra bankinnskuddet   (Ja eller Nei)</t>
  </si>
  <si>
    <t xml:space="preserve">      Ta ut 80 000 i utbytte   (Ja eller Nei)</t>
  </si>
  <si>
    <t xml:space="preserve">      Kjøpe servicebil for 400 000 på nytt lån   (Ja eller Nei)</t>
  </si>
  <si>
    <t xml:space="preserve">e)  Eieren vil kjøpe servicebilen for 400 000 kr på nytt banklån. Hva skjer med egenkapitalandelen og likviditetsgraden, og hva anbefaler du? To setninger.</t>
  </si>
  <si>
    <t xml:space="preserve">Kilde: Hjertnes, J. og Skorpen, K.: Økonomistyring for LØM-emnet, kap. 4, avsnitt 4.2.2–4.2.4 med tiltakslisten i 4.2.4.1, og Appendiks 1 (normtall). Balansen 31.12. er ny for denne oppgaven.</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</si>
</sst>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4F6FA"/>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tru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9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row>
    <row r="8" customFormat="false" ht="15" hidden="false" customHeight="false" outlineLevel="0" collapsed="false">
      <c r="A8" s="10" t="s">
        <v>27</v>
      </c>
      <c r="B8" s="11"/>
      <c r="C8" s="12" t="n">
        <v>22400000</v>
      </c>
    </row>
    <row r="9" customFormat="false" ht="15" hidden="false" customHeight="false" outlineLevel="0" collapsed="false">
      <c r="A9" s="13" t="s">
        <v>28</v>
      </c>
      <c r="B9" s="14"/>
      <c r="C9" s="15" t="n">
        <v>1344000</v>
      </c>
    </row>
    <row r="10" customFormat="false" ht="15" hidden="false" customHeight="false" outlineLevel="0" collapsed="false">
      <c r="A10" s="10" t="s">
        <v>29</v>
      </c>
      <c r="B10" s="11"/>
      <c r="C10" s="12" t="n">
        <v>232500</v>
      </c>
    </row>
    <row r="11" customFormat="false" ht="15" hidden="false" customHeight="false" outlineLevel="0" collapsed="false">
      <c r="A11" s="13" t="s">
        <v>30</v>
      </c>
      <c r="B11" s="14"/>
      <c r="C11" s="15" t="n">
        <v>1167500</v>
      </c>
    </row>
    <row r="12" customFormat="false" ht="15" hidden="false" customHeight="false" outlineLevel="0" collapsed="false">
      <c r="A12" s="10" t="s">
        <v>31</v>
      </c>
      <c r="B12" s="12" t="n">
        <v>9400000</v>
      </c>
      <c r="C12" s="12" t="n">
        <v>10182650</v>
      </c>
    </row>
    <row r="13" customFormat="false" ht="15" hidden="false" customHeight="false" outlineLevel="0" collapsed="false">
      <c r="A13" s="13" t="s">
        <v>32</v>
      </c>
      <c r="B13" s="15" t="n">
        <v>1982000</v>
      </c>
      <c r="C13" s="15" t="n">
        <v>2892650</v>
      </c>
    </row>
    <row r="14" customFormat="false" ht="15" hidden="false" customHeight="false" outlineLevel="0" collapsed="false">
      <c r="A14" s="10" t="s">
        <v>33</v>
      </c>
      <c r="B14" s="12" t="n">
        <v>7418000</v>
      </c>
      <c r="C14" s="12" t="n">
        <v>7290000</v>
      </c>
    </row>
    <row r="15" customFormat="false" ht="15" hidden="false" customHeight="true" outlineLevel="0" collapsed="false">
      <c r="A15" s="6" t="s">
        <v>34</v>
      </c>
      <c r="B15" s="6"/>
      <c r="C15" s="6"/>
      <c r="D15" s="6"/>
      <c r="E15" s="6"/>
      <c r="F15" s="6"/>
      <c r="G15" s="6"/>
    </row>
    <row r="17" customFormat="false" ht="15" hidden="false" customHeight="false" outlineLevel="0" collapsed="false">
      <c r="A17" s="16" t="s">
        <v>35</v>
      </c>
      <c r="B17" s="16"/>
      <c r="C17" s="16"/>
      <c r="D17" s="16"/>
      <c r="E17" s="16"/>
      <c r="F17" s="16" t="s">
        <v>36</v>
      </c>
      <c r="G17" s="16" t="s">
        <v>37</v>
      </c>
    </row>
    <row r="18" customFormat="false" ht="33.75" hidden="false" customHeight="true" outlineLevel="0" collapsed="false">
      <c r="A18" s="7" t="s">
        <v>38</v>
      </c>
      <c r="B18" s="7"/>
      <c r="C18" s="7"/>
      <c r="D18" s="7"/>
      <c r="E18" s="7"/>
      <c r="F18" s="17"/>
      <c r="G18" s="18" t="str">
        <f aca="false">IF(F18="","",IF(ABS(F18-(14.3))&lt;=0.1,"Riktig","Prøv igjen"))</f>
        <v/>
      </c>
    </row>
    <row r="19" customFormat="false" ht="33.75" hidden="false" customHeight="true" outlineLevel="0" collapsed="false">
      <c r="A19" s="7" t="s">
        <v>39</v>
      </c>
      <c r="B19" s="7"/>
      <c r="C19" s="7"/>
      <c r="D19" s="7"/>
      <c r="E19" s="7"/>
      <c r="F19" s="17"/>
      <c r="G19" s="18" t="str">
        <f aca="false">IF(F19="","",IF(ABS(F19-(3.2))&lt;=0.1,"Riktig","Prøv igjen"))</f>
        <v/>
      </c>
    </row>
    <row r="20" customFormat="false" ht="33.75" hidden="false" customHeight="true" outlineLevel="0" collapsed="false">
      <c r="A20" s="7" t="s">
        <v>40</v>
      </c>
      <c r="B20" s="7"/>
      <c r="C20" s="7"/>
      <c r="D20" s="7"/>
      <c r="E20" s="7"/>
      <c r="F20" s="17"/>
      <c r="G20" s="18" t="str">
        <f aca="false">IF(F20="","",IF(ABS(F20-(2.29))&lt;=0.01,"Riktig","Prøv igjen"))</f>
        <v/>
      </c>
    </row>
    <row r="21" customFormat="false" ht="63.75" hidden="false" customHeight="true" outlineLevel="0" collapsed="false">
      <c r="A21" s="7" t="s">
        <v>41</v>
      </c>
      <c r="B21" s="7"/>
      <c r="C21" s="7"/>
      <c r="D21" s="7"/>
      <c r="E21" s="7"/>
      <c r="F21" s="19"/>
      <c r="G21" s="18" t="str">
        <f aca="false">IF(F21="","",IF(UPPER(TRIM(F21))="B","Riktig","Prøv igjen"))</f>
        <v/>
      </c>
    </row>
    <row r="22" customFormat="false" ht="48.75" hidden="false" customHeight="true" outlineLevel="0" collapsed="false">
      <c r="A22" s="7" t="s">
        <v>42</v>
      </c>
      <c r="B22" s="7"/>
      <c r="C22" s="7"/>
      <c r="D22" s="7"/>
      <c r="E22" s="7"/>
    </row>
    <row r="23" customFormat="false" ht="15" hidden="false" customHeight="false" outlineLevel="0" collapsed="false">
      <c r="A23" s="20"/>
      <c r="B23" s="20"/>
      <c r="C23" s="20"/>
      <c r="D23" s="20"/>
      <c r="E23" s="20"/>
      <c r="F23" s="20"/>
      <c r="G23" s="20"/>
    </row>
    <row r="24" customFormat="false" ht="15" hidden="false" customHeight="false" outlineLevel="0" collapsed="false">
      <c r="A24" s="20"/>
      <c r="B24" s="20"/>
      <c r="C24" s="20"/>
      <c r="D24" s="20"/>
      <c r="E24" s="20"/>
      <c r="F24" s="20"/>
      <c r="G24" s="20"/>
    </row>
    <row r="25" customFormat="false" ht="15" hidden="false" customHeight="false" outlineLevel="0" collapsed="false">
      <c r="A25" s="20"/>
      <c r="B25" s="20"/>
      <c r="C25" s="20"/>
      <c r="D25" s="20"/>
      <c r="E25" s="20"/>
      <c r="F25" s="20"/>
      <c r="G25" s="20"/>
    </row>
    <row r="27" customFormat="false" ht="48.75" hidden="false" customHeight="true" outlineLevel="0" collapsed="false">
      <c r="A27" s="6" t="s">
        <v>43</v>
      </c>
      <c r="B27" s="6"/>
      <c r="C27" s="6"/>
      <c r="D27" s="6"/>
      <c r="E27" s="6"/>
      <c r="F27" s="6"/>
      <c r="G27" s="6"/>
    </row>
    <row r="28" customFormat="false" ht="15" hidden="false" customHeight="true" outlineLevel="0" collapsed="false">
      <c r="A28" s="6" t="s">
        <v>44</v>
      </c>
      <c r="B28" s="6"/>
      <c r="C28" s="6"/>
      <c r="D28" s="6"/>
      <c r="E28" s="6"/>
      <c r="F28" s="6"/>
      <c r="G28" s="6"/>
    </row>
  </sheetData>
  <mergeCells count="12">
    <mergeCell ref="A4:G4"/>
    <mergeCell ref="A5:G5"/>
    <mergeCell ref="A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45</v>
      </c>
    </row>
    <row r="2" customFormat="false" ht="15" hidden="false" customHeight="false" outlineLevel="0" collapsed="false">
      <c r="A2" s="2" t="s">
        <v>21</v>
      </c>
    </row>
    <row r="4" customFormat="false" ht="78.75" hidden="false" customHeight="true" outlineLevel="0" collapsed="false">
      <c r="A4" s="6" t="s">
        <v>46</v>
      </c>
      <c r="B4" s="6"/>
      <c r="C4" s="6"/>
      <c r="D4" s="6"/>
      <c r="E4" s="6"/>
      <c r="F4" s="6"/>
      <c r="G4" s="6"/>
    </row>
    <row r="5" customFormat="false" ht="63.75" hidden="false" customHeight="true" outlineLevel="0" collapsed="false">
      <c r="A5" s="7" t="s">
        <v>47</v>
      </c>
      <c r="B5" s="7"/>
      <c r="C5" s="7"/>
      <c r="D5" s="7"/>
      <c r="E5" s="7"/>
      <c r="F5" s="7"/>
      <c r="G5" s="7"/>
    </row>
    <row r="7" customFormat="false" ht="15" hidden="false" customHeight="false" outlineLevel="0" collapsed="false">
      <c r="A7" s="8" t="s">
        <v>24</v>
      </c>
      <c r="B7" s="9" t="s">
        <v>48</v>
      </c>
      <c r="C7" s="9" t="s">
        <v>26</v>
      </c>
    </row>
    <row r="8" customFormat="false" ht="15" hidden="false" customHeight="false" outlineLevel="0" collapsed="false">
      <c r="A8" s="10" t="s">
        <v>27</v>
      </c>
      <c r="B8" s="11"/>
      <c r="C8" s="12" t="n">
        <v>4795000</v>
      </c>
    </row>
    <row r="9" customFormat="false" ht="15" hidden="false" customHeight="false" outlineLevel="0" collapsed="false">
      <c r="A9" s="13" t="s">
        <v>49</v>
      </c>
      <c r="B9" s="14"/>
      <c r="C9" s="15" t="n">
        <v>1400000</v>
      </c>
    </row>
    <row r="10" customFormat="false" ht="15" hidden="false" customHeight="false" outlineLevel="0" collapsed="false">
      <c r="A10" s="10" t="s">
        <v>28</v>
      </c>
      <c r="B10" s="11"/>
      <c r="C10" s="12" t="n">
        <v>144240</v>
      </c>
    </row>
    <row r="11" customFormat="false" ht="15" hidden="false" customHeight="false" outlineLevel="0" collapsed="false">
      <c r="A11" s="13" t="s">
        <v>29</v>
      </c>
      <c r="B11" s="14"/>
      <c r="C11" s="15" t="n">
        <v>37500</v>
      </c>
    </row>
    <row r="12" customFormat="false" ht="15" hidden="false" customHeight="false" outlineLevel="0" collapsed="false">
      <c r="A12" s="10" t="s">
        <v>30</v>
      </c>
      <c r="B12" s="11"/>
      <c r="C12" s="12" t="n">
        <v>106740</v>
      </c>
    </row>
    <row r="13" customFormat="false" ht="15" hidden="false" customHeight="false" outlineLevel="0" collapsed="false">
      <c r="A13" s="13" t="s">
        <v>31</v>
      </c>
      <c r="B13" s="15" t="n">
        <v>800000</v>
      </c>
      <c r="C13" s="15" t="n">
        <v>1383257</v>
      </c>
    </row>
    <row r="14" customFormat="false" ht="15" hidden="false" customHeight="false" outlineLevel="0" collapsed="false">
      <c r="A14" s="10" t="s">
        <v>32</v>
      </c>
      <c r="B14" s="12" t="n">
        <v>300000</v>
      </c>
      <c r="C14" s="12" t="n">
        <v>383257</v>
      </c>
    </row>
    <row r="15" customFormat="false" ht="15" hidden="false" customHeight="false" outlineLevel="0" collapsed="false">
      <c r="A15" s="13" t="s">
        <v>33</v>
      </c>
      <c r="B15" s="15" t="n">
        <v>500000</v>
      </c>
      <c r="C15" s="15" t="n">
        <v>1000000</v>
      </c>
    </row>
    <row r="16" customFormat="false" ht="15" hidden="false" customHeight="true" outlineLevel="0" collapsed="false">
      <c r="A16" s="6" t="s">
        <v>34</v>
      </c>
      <c r="B16" s="6"/>
      <c r="C16" s="6"/>
      <c r="D16" s="6"/>
      <c r="E16" s="6"/>
      <c r="F16" s="6"/>
      <c r="G16" s="6"/>
    </row>
    <row r="18" customFormat="false" ht="15" hidden="false" customHeight="false" outlineLevel="0" collapsed="false">
      <c r="A18" s="16" t="s">
        <v>35</v>
      </c>
      <c r="B18" s="16"/>
      <c r="C18" s="16"/>
      <c r="D18" s="16"/>
      <c r="E18" s="16"/>
      <c r="F18" s="16" t="s">
        <v>36</v>
      </c>
      <c r="G18" s="16" t="s">
        <v>37</v>
      </c>
    </row>
    <row r="19" customFormat="false" ht="33.75" hidden="false" customHeight="true" outlineLevel="0" collapsed="false">
      <c r="A19" s="7" t="s">
        <v>50</v>
      </c>
      <c r="B19" s="7"/>
      <c r="C19" s="7"/>
      <c r="D19" s="7"/>
      <c r="E19" s="7"/>
      <c r="F19" s="17"/>
      <c r="G19" s="18" t="str">
        <f aca="false">IF(F19="","",IF(ABS(F19-(3))&lt;=0.1,"Riktig","Prøv igjen"))</f>
        <v/>
      </c>
    </row>
    <row r="20" customFormat="false" ht="33.75" hidden="false" customHeight="true" outlineLevel="0" collapsed="false">
      <c r="A20" s="7" t="s">
        <v>51</v>
      </c>
      <c r="B20" s="7"/>
      <c r="C20" s="7"/>
      <c r="D20" s="7"/>
      <c r="E20" s="7"/>
      <c r="F20" s="17"/>
      <c r="G20" s="18" t="str">
        <f aca="false">IF(F20="","",IF(ABS(F20-(13.2))&lt;=0.1,"Riktig","Prøv igjen"))</f>
        <v/>
      </c>
    </row>
    <row r="21" customFormat="false" ht="18.75" hidden="false" customHeight="true" outlineLevel="0" collapsed="false">
      <c r="A21" s="7" t="s">
        <v>52</v>
      </c>
      <c r="B21" s="7"/>
      <c r="C21" s="7"/>
      <c r="D21" s="7"/>
      <c r="E21" s="7"/>
      <c r="F21" s="17"/>
      <c r="G21" s="18" t="str">
        <f aca="false">IF(F21="","",IF(ABS(F21-(31.2))&lt;=0.2,"Riktig","Prøv igjen"))</f>
        <v/>
      </c>
    </row>
    <row r="22" customFormat="false" ht="48.75" hidden="false" customHeight="true" outlineLevel="0" collapsed="false">
      <c r="A22" s="7" t="s">
        <v>53</v>
      </c>
      <c r="B22" s="7"/>
      <c r="C22" s="7"/>
      <c r="D22" s="7"/>
      <c r="E22" s="7"/>
      <c r="F22" s="19"/>
      <c r="G22" s="18" t="str">
        <f aca="false">IF(F22="","",IF(UPPER(TRIM(F22))="B","Riktig","Prøv igjen"))</f>
        <v/>
      </c>
    </row>
    <row r="23" customFormat="false" ht="33.75" hidden="false" customHeight="true" outlineLevel="0" collapsed="false">
      <c r="A23" s="7" t="s">
        <v>54</v>
      </c>
      <c r="B23" s="7"/>
      <c r="C23" s="7"/>
      <c r="D23" s="7"/>
      <c r="E23" s="7"/>
    </row>
    <row r="24" customFormat="false" ht="15" hidden="false" customHeight="false" outlineLevel="0" collapsed="false">
      <c r="A24" s="20"/>
      <c r="B24" s="20"/>
      <c r="C24" s="20"/>
      <c r="D24" s="20"/>
      <c r="E24" s="20"/>
      <c r="F24" s="20"/>
      <c r="G24" s="20"/>
    </row>
    <row r="25" customFormat="false" ht="15" hidden="false" customHeight="false" outlineLevel="0" collapsed="false">
      <c r="A25" s="20"/>
      <c r="B25" s="20"/>
      <c r="C25" s="20"/>
      <c r="D25" s="20"/>
      <c r="E25" s="20"/>
      <c r="F25" s="20"/>
      <c r="G25" s="20"/>
    </row>
    <row r="26" customFormat="false" ht="15" hidden="false" customHeight="false" outlineLevel="0" collapsed="false">
      <c r="A26" s="20"/>
      <c r="B26" s="20"/>
      <c r="C26" s="20"/>
      <c r="D26" s="20"/>
      <c r="E26" s="20"/>
      <c r="F26" s="20"/>
      <c r="G26" s="20"/>
    </row>
    <row r="28" customFormat="false" ht="33.75" hidden="false" customHeight="true" outlineLevel="0" collapsed="false">
      <c r="A28" s="6" t="s">
        <v>55</v>
      </c>
      <c r="B28" s="6"/>
      <c r="C28" s="6"/>
      <c r="D28" s="6"/>
      <c r="E28" s="6"/>
      <c r="F28" s="6"/>
      <c r="G28" s="6"/>
    </row>
    <row r="29" customFormat="false" ht="15" hidden="false" customHeight="true" outlineLevel="0" collapsed="false">
      <c r="A29" s="6" t="s">
        <v>44</v>
      </c>
      <c r="B29" s="6"/>
      <c r="C29" s="6"/>
      <c r="D29" s="6"/>
      <c r="E29" s="6"/>
      <c r="F29" s="6"/>
      <c r="G29" s="6"/>
    </row>
  </sheetData>
  <mergeCells count="12">
    <mergeCell ref="A4:G4"/>
    <mergeCell ref="A5:G5"/>
    <mergeCell ref="A16:G16"/>
    <mergeCell ref="A18:E18"/>
    <mergeCell ref="A19:E19"/>
    <mergeCell ref="A20:E20"/>
    <mergeCell ref="A21:E21"/>
    <mergeCell ref="A22:E22"/>
    <mergeCell ref="A23:E23"/>
    <mergeCell ref="A24:G26"/>
    <mergeCell ref="A28:G28"/>
    <mergeCell ref="A29:G2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56</v>
      </c>
    </row>
    <row r="2" customFormat="false" ht="15" hidden="false" customHeight="false" outlineLevel="0" collapsed="false">
      <c r="A2" s="2" t="s">
        <v>21</v>
      </c>
    </row>
    <row r="4" customFormat="false" ht="63.75" hidden="false" customHeight="true" outlineLevel="0" collapsed="false">
      <c r="A4" s="6" t="s">
        <v>57</v>
      </c>
      <c r="B4" s="6"/>
      <c r="C4" s="6"/>
      <c r="D4" s="6"/>
      <c r="E4" s="6"/>
      <c r="F4" s="6"/>
      <c r="G4" s="6"/>
    </row>
    <row r="5" customFormat="false" ht="78.75" hidden="false" customHeight="true" outlineLevel="0" collapsed="false">
      <c r="A5" s="7" t="s">
        <v>58</v>
      </c>
      <c r="B5" s="7"/>
      <c r="C5" s="7"/>
      <c r="D5" s="7"/>
      <c r="E5" s="7"/>
      <c r="F5" s="7"/>
      <c r="G5" s="7"/>
    </row>
    <row r="7" customFormat="false" ht="15" hidden="false" customHeight="false" outlineLevel="0" collapsed="false">
      <c r="A7" s="8" t="s">
        <v>24</v>
      </c>
      <c r="B7" s="9" t="s">
        <v>59</v>
      </c>
      <c r="C7" s="9" t="s">
        <v>60</v>
      </c>
    </row>
    <row r="8" customFormat="false" ht="15" hidden="false" customHeight="false" outlineLevel="0" collapsed="false">
      <c r="A8" s="10" t="s">
        <v>61</v>
      </c>
      <c r="B8" s="12" t="n">
        <v>3600000</v>
      </c>
      <c r="C8" s="12" t="n">
        <v>3600000</v>
      </c>
    </row>
    <row r="9" customFormat="false" ht="15" hidden="false" customHeight="false" outlineLevel="0" collapsed="false">
      <c r="A9" s="13" t="s">
        <v>62</v>
      </c>
      <c r="B9" s="15" t="n">
        <v>1400000</v>
      </c>
      <c r="C9" s="15" t="n">
        <v>1400000</v>
      </c>
    </row>
    <row r="10" customFormat="false" ht="15" hidden="false" customHeight="false" outlineLevel="0" collapsed="false">
      <c r="A10" s="10" t="s">
        <v>63</v>
      </c>
      <c r="B10" s="12" t="n">
        <v>4200000</v>
      </c>
      <c r="C10" s="12" t="n">
        <v>4200000</v>
      </c>
    </row>
    <row r="11" customFormat="false" ht="15" hidden="false" customHeight="false" outlineLevel="0" collapsed="false">
      <c r="A11" s="13" t="s">
        <v>64</v>
      </c>
      <c r="B11" s="15" t="n">
        <v>982650</v>
      </c>
      <c r="C11" s="17"/>
    </row>
    <row r="12" customFormat="false" ht="15" hidden="false" customHeight="false" outlineLevel="0" collapsed="false">
      <c r="A12" s="21" t="s">
        <v>65</v>
      </c>
      <c r="B12" s="22" t="n">
        <v>6582650</v>
      </c>
      <c r="C12" s="17"/>
    </row>
    <row r="13" customFormat="false" ht="15" hidden="false" customHeight="false" outlineLevel="0" collapsed="false">
      <c r="A13" s="23" t="s">
        <v>66</v>
      </c>
      <c r="B13" s="24" t="n">
        <v>10182650</v>
      </c>
      <c r="C13" s="17"/>
    </row>
    <row r="14" customFormat="false" ht="15" hidden="false" customHeight="false" outlineLevel="0" collapsed="false">
      <c r="A14" s="10" t="s">
        <v>32</v>
      </c>
      <c r="B14" s="12" t="n">
        <v>2892650</v>
      </c>
      <c r="C14" s="17"/>
    </row>
    <row r="15" customFormat="false" ht="15" hidden="false" customHeight="false" outlineLevel="0" collapsed="false">
      <c r="A15" s="13" t="s">
        <v>67</v>
      </c>
      <c r="B15" s="15" t="n">
        <v>2800000</v>
      </c>
      <c r="C15" s="15" t="n">
        <v>2800000</v>
      </c>
    </row>
    <row r="16" customFormat="false" ht="15" hidden="false" customHeight="false" outlineLevel="0" collapsed="false">
      <c r="A16" s="10" t="s">
        <v>68</v>
      </c>
      <c r="B16" s="12" t="n">
        <v>4490000</v>
      </c>
      <c r="C16" s="12" t="n">
        <v>4490000</v>
      </c>
    </row>
    <row r="17" customFormat="false" ht="15" hidden="false" customHeight="true" outlineLevel="0" collapsed="false">
      <c r="A17" s="6" t="s">
        <v>34</v>
      </c>
      <c r="B17" s="6"/>
      <c r="C17" s="6"/>
      <c r="D17" s="6"/>
      <c r="E17" s="6"/>
      <c r="F17" s="6"/>
      <c r="G17" s="6"/>
    </row>
    <row r="19" customFormat="false" ht="15" hidden="false" customHeight="false" outlineLevel="0" collapsed="false">
      <c r="A19" s="16" t="s">
        <v>35</v>
      </c>
      <c r="B19" s="16"/>
      <c r="C19" s="16"/>
      <c r="D19" s="16"/>
      <c r="E19" s="16"/>
      <c r="F19" s="16" t="s">
        <v>36</v>
      </c>
      <c r="G19" s="16" t="s">
        <v>37</v>
      </c>
    </row>
    <row r="20" customFormat="false" ht="33.75" hidden="false" customHeight="true" outlineLevel="0" collapsed="false">
      <c r="A20" s="7" t="s">
        <v>69</v>
      </c>
      <c r="B20" s="7"/>
      <c r="C20" s="7"/>
      <c r="D20" s="7"/>
      <c r="E20" s="7"/>
      <c r="F20" s="17"/>
      <c r="G20" s="18" t="str">
        <f aca="false">IF(F20="","",IF(ABS(F20-(133.2))&lt;=0.2,"Riktig","Prøv igjen"))</f>
        <v/>
      </c>
    </row>
    <row r="21" customFormat="false" ht="33.75" hidden="false" customHeight="true" outlineLevel="0" collapsed="false">
      <c r="A21" s="7" t="s">
        <v>70</v>
      </c>
      <c r="B21" s="7"/>
      <c r="C21" s="7"/>
      <c r="D21" s="7"/>
      <c r="E21" s="7"/>
      <c r="F21" s="17"/>
      <c r="G21" s="18" t="str">
        <f aca="false">IF(F21="","",IF(ABS(F21-(102.1))&lt;=0.2,"Riktig","Prøv igjen"))</f>
        <v/>
      </c>
    </row>
    <row r="22" customFormat="false" ht="33.75" hidden="false" customHeight="true" outlineLevel="0" collapsed="false">
      <c r="A22" s="7" t="s">
        <v>71</v>
      </c>
      <c r="B22" s="7"/>
      <c r="C22" s="7"/>
      <c r="D22" s="7"/>
      <c r="E22" s="7"/>
      <c r="F22" s="17"/>
      <c r="G22" s="18" t="str">
        <f aca="false">IF(F22="","",IF(ABS(F22-(23.9))&lt;=0.1,"Riktig","Prøv igjen"))</f>
        <v/>
      </c>
    </row>
    <row r="23" customFormat="false" ht="63.75" hidden="false" customHeight="true" outlineLevel="0" collapsed="false">
      <c r="A23" s="7" t="s">
        <v>72</v>
      </c>
      <c r="B23" s="7"/>
      <c r="C23" s="7"/>
      <c r="D23" s="7"/>
      <c r="E23" s="7"/>
      <c r="F23" s="19"/>
      <c r="G23" s="18" t="str">
        <f aca="false">IF(F23="","",IF(UPPER(TRIM(F23))="B","Riktig","Prøv igjen"))</f>
        <v/>
      </c>
    </row>
    <row r="24" customFormat="false" ht="33.75" hidden="false" customHeight="true" outlineLevel="0" collapsed="false">
      <c r="A24" s="7" t="s">
        <v>73</v>
      </c>
      <c r="B24" s="7"/>
      <c r="C24" s="7"/>
      <c r="D24" s="7"/>
      <c r="E24" s="7"/>
    </row>
    <row r="25" customFormat="false" ht="15" hidden="false" customHeight="false" outlineLevel="0" collapsed="false">
      <c r="A25" s="20"/>
      <c r="B25" s="20"/>
      <c r="C25" s="20"/>
      <c r="D25" s="20"/>
      <c r="E25" s="20"/>
      <c r="F25" s="20"/>
      <c r="G25" s="20"/>
    </row>
    <row r="26" customFormat="false" ht="15" hidden="false" customHeight="false" outlineLevel="0" collapsed="false">
      <c r="A26" s="20"/>
      <c r="B26" s="20"/>
      <c r="C26" s="20"/>
      <c r="D26" s="20"/>
      <c r="E26" s="20"/>
      <c r="F26" s="20"/>
      <c r="G26" s="20"/>
    </row>
    <row r="27" customFormat="false" ht="15" hidden="false" customHeight="false" outlineLevel="0" collapsed="false">
      <c r="A27" s="20"/>
      <c r="B27" s="20"/>
      <c r="C27" s="20"/>
      <c r="D27" s="20"/>
      <c r="E27" s="20"/>
      <c r="F27" s="20"/>
      <c r="G27" s="20"/>
    </row>
    <row r="29" customFormat="false" ht="48.75" hidden="false" customHeight="true" outlineLevel="0" collapsed="false">
      <c r="A29" s="6" t="s">
        <v>74</v>
      </c>
      <c r="B29" s="6"/>
      <c r="C29" s="6"/>
      <c r="D29" s="6"/>
      <c r="E29" s="6"/>
      <c r="F29" s="6"/>
      <c r="G29" s="6"/>
    </row>
    <row r="30" customFormat="false" ht="15" hidden="false" customHeight="true" outlineLevel="0" collapsed="false">
      <c r="A30" s="6" t="s">
        <v>44</v>
      </c>
      <c r="B30" s="6"/>
      <c r="C30" s="6"/>
      <c r="D30" s="6"/>
      <c r="E30" s="6"/>
      <c r="F30" s="6"/>
      <c r="G30" s="6"/>
    </row>
  </sheetData>
  <mergeCells count="12">
    <mergeCell ref="A4:G4"/>
    <mergeCell ref="A5:G5"/>
    <mergeCell ref="A17:G17"/>
    <mergeCell ref="A19:E19"/>
    <mergeCell ref="A20:E20"/>
    <mergeCell ref="A21:E21"/>
    <mergeCell ref="A22:E22"/>
    <mergeCell ref="A23:E23"/>
    <mergeCell ref="A24:E24"/>
    <mergeCell ref="A25:G27"/>
    <mergeCell ref="A29:G29"/>
    <mergeCell ref="A30:G3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75</v>
      </c>
    </row>
    <row r="2" customFormat="false" ht="15" hidden="false" customHeight="false" outlineLevel="0" collapsed="false">
      <c r="A2" s="2" t="s">
        <v>21</v>
      </c>
    </row>
    <row r="4" customFormat="false" ht="63.75" hidden="false" customHeight="true" outlineLevel="0" collapsed="false">
      <c r="A4" s="6" t="s">
        <v>76</v>
      </c>
      <c r="B4" s="6"/>
      <c r="C4" s="6"/>
      <c r="D4" s="6"/>
      <c r="E4" s="6"/>
      <c r="F4" s="6"/>
      <c r="G4" s="6"/>
    </row>
    <row r="5" customFormat="false" ht="93.75" hidden="false" customHeight="true" outlineLevel="0" collapsed="false">
      <c r="A5" s="7" t="s">
        <v>77</v>
      </c>
      <c r="B5" s="7"/>
      <c r="C5" s="7"/>
      <c r="D5" s="7"/>
      <c r="E5" s="7"/>
      <c r="F5" s="7"/>
      <c r="G5" s="7"/>
    </row>
    <row r="7" customFormat="false" ht="15" hidden="false" customHeight="false" outlineLevel="0" collapsed="false">
      <c r="A7" s="8" t="s">
        <v>78</v>
      </c>
      <c r="B7" s="9" t="s">
        <v>79</v>
      </c>
    </row>
    <row r="8" customFormat="false" ht="15" hidden="false" customHeight="false" outlineLevel="0" collapsed="false">
      <c r="A8" s="10" t="s">
        <v>80</v>
      </c>
      <c r="B8" s="12" t="n">
        <v>240000</v>
      </c>
    </row>
    <row r="9" customFormat="false" ht="15" hidden="false" customHeight="false" outlineLevel="0" collapsed="false">
      <c r="A9" s="13" t="s">
        <v>62</v>
      </c>
      <c r="B9" s="15" t="n">
        <v>80000</v>
      </c>
    </row>
    <row r="10" customFormat="false" ht="15" hidden="false" customHeight="false" outlineLevel="0" collapsed="false">
      <c r="A10" s="10" t="s">
        <v>63</v>
      </c>
      <c r="B10" s="12" t="n">
        <v>500000</v>
      </c>
    </row>
    <row r="11" customFormat="false" ht="15" hidden="false" customHeight="false" outlineLevel="0" collapsed="false">
      <c r="A11" s="13" t="s">
        <v>64</v>
      </c>
      <c r="B11" s="15" t="n">
        <v>563257</v>
      </c>
    </row>
    <row r="12" customFormat="false" ht="15" hidden="false" customHeight="false" outlineLevel="0" collapsed="false">
      <c r="A12" s="21" t="s">
        <v>66</v>
      </c>
      <c r="B12" s="22" t="n">
        <v>1383257</v>
      </c>
    </row>
    <row r="13" customFormat="false" ht="15" hidden="false" customHeight="false" outlineLevel="0" collapsed="false">
      <c r="A13" s="13" t="s">
        <v>32</v>
      </c>
      <c r="B13" s="15" t="n">
        <v>383257</v>
      </c>
    </row>
    <row r="14" customFormat="false" ht="15" hidden="false" customHeight="false" outlineLevel="0" collapsed="false">
      <c r="A14" s="10" t="s">
        <v>81</v>
      </c>
      <c r="B14" s="12" t="n">
        <v>400000</v>
      </c>
    </row>
    <row r="15" customFormat="false" ht="15" hidden="false" customHeight="false" outlineLevel="0" collapsed="false">
      <c r="A15" s="13" t="s">
        <v>82</v>
      </c>
      <c r="B15" s="15" t="n">
        <v>600000</v>
      </c>
    </row>
    <row r="16" customFormat="false" ht="15" hidden="false" customHeight="false" outlineLevel="0" collapsed="false">
      <c r="A16" s="21" t="s">
        <v>83</v>
      </c>
      <c r="B16" s="22" t="n">
        <v>1383257</v>
      </c>
    </row>
    <row r="17" customFormat="false" ht="15" hidden="false" customHeight="true" outlineLevel="0" collapsed="false">
      <c r="A17" s="6" t="s">
        <v>34</v>
      </c>
      <c r="B17" s="6"/>
      <c r="C17" s="6"/>
      <c r="D17" s="6"/>
      <c r="E17" s="6"/>
      <c r="F17" s="6"/>
      <c r="G17" s="6"/>
    </row>
    <row r="19" customFormat="false" ht="15" hidden="false" customHeight="false" outlineLevel="0" collapsed="false">
      <c r="A19" s="16" t="s">
        <v>35</v>
      </c>
      <c r="B19" s="16"/>
      <c r="C19" s="16"/>
      <c r="D19" s="16"/>
      <c r="E19" s="16"/>
      <c r="F19" s="16" t="s">
        <v>36</v>
      </c>
      <c r="G19" s="16" t="s">
        <v>37</v>
      </c>
    </row>
    <row r="20" customFormat="false" ht="18.75" hidden="false" customHeight="true" outlineLevel="0" collapsed="false">
      <c r="A20" s="7" t="s">
        <v>84</v>
      </c>
      <c r="B20" s="7"/>
      <c r="C20" s="7"/>
      <c r="D20" s="7"/>
      <c r="E20" s="7"/>
      <c r="F20" s="17"/>
      <c r="G20" s="18" t="str">
        <f aca="false">IF(F20="","",IF(ABS(F20-(190.5))&lt;=0.2,"Riktig","Prøv igjen"))</f>
        <v/>
      </c>
    </row>
    <row r="21" customFormat="false" ht="33.75" hidden="false" customHeight="true" outlineLevel="0" collapsed="false">
      <c r="A21" s="7" t="s">
        <v>85</v>
      </c>
      <c r="B21" s="7"/>
      <c r="C21" s="7"/>
      <c r="D21" s="7"/>
      <c r="E21" s="7"/>
      <c r="F21" s="17"/>
      <c r="G21" s="18" t="str">
        <f aca="false">IF(F21="","",IF(ABS(F21-(543257))&lt;=0.000000001,"Riktig","Prøv igjen"))</f>
        <v/>
      </c>
    </row>
    <row r="22" customFormat="false" ht="18.75" hidden="false" customHeight="true" outlineLevel="0" collapsed="false">
      <c r="A22" s="7" t="s">
        <v>86</v>
      </c>
      <c r="B22" s="7"/>
      <c r="C22" s="7"/>
      <c r="D22" s="7"/>
      <c r="E22" s="7"/>
      <c r="F22" s="17"/>
      <c r="G22" s="18" t="str">
        <f aca="false">IF(F22="","",IF(ABS(F22-(27.7))&lt;=0.1,"Riktig","Prøv igjen"))</f>
        <v/>
      </c>
    </row>
    <row r="23" customFormat="false" ht="33.75" hidden="false" customHeight="true" outlineLevel="0" collapsed="false">
      <c r="A23" s="7" t="s">
        <v>87</v>
      </c>
      <c r="B23" s="7"/>
      <c r="C23" s="7"/>
      <c r="D23" s="7"/>
      <c r="E23" s="7"/>
    </row>
    <row r="24" customFormat="false" ht="15" hidden="false" customHeight="true" outlineLevel="0" collapsed="false">
      <c r="A24" s="7" t="s">
        <v>88</v>
      </c>
      <c r="B24" s="7"/>
      <c r="C24" s="7"/>
      <c r="D24" s="7"/>
      <c r="E24" s="7"/>
      <c r="F24" s="19"/>
      <c r="G24" s="18" t="str">
        <f aca="false">IF(F24="","",IF(UPPER(TRIM(F24))="JA","Riktig","Prøv igjen"))</f>
        <v/>
      </c>
    </row>
    <row r="25" customFormat="false" ht="15" hidden="false" customHeight="true" outlineLevel="0" collapsed="false">
      <c r="A25" s="7" t="s">
        <v>89</v>
      </c>
      <c r="B25" s="7"/>
      <c r="C25" s="7"/>
      <c r="D25" s="7"/>
      <c r="E25" s="7"/>
      <c r="F25" s="19"/>
      <c r="G25" s="18" t="str">
        <f aca="false">IF(F25="","",IF(UPPER(TRIM(F25))="JA","Riktig","Prøv igjen"))</f>
        <v/>
      </c>
    </row>
    <row r="26" customFormat="false" ht="15" hidden="false" customHeight="true" outlineLevel="0" collapsed="false">
      <c r="A26" s="7" t="s">
        <v>90</v>
      </c>
      <c r="B26" s="7"/>
      <c r="C26" s="7"/>
      <c r="D26" s="7"/>
      <c r="E26" s="7"/>
      <c r="F26" s="19"/>
      <c r="G26" s="18" t="str">
        <f aca="false">IF(F26="","",IF(UPPER(TRIM(F26))="NEI","Riktig","Prøv igjen"))</f>
        <v/>
      </c>
    </row>
    <row r="27" customFormat="false" ht="15" hidden="false" customHeight="true" outlineLevel="0" collapsed="false">
      <c r="A27" s="7" t="s">
        <v>91</v>
      </c>
      <c r="B27" s="7"/>
      <c r="C27" s="7"/>
      <c r="D27" s="7"/>
      <c r="E27" s="7"/>
      <c r="F27" s="19"/>
      <c r="G27" s="18" t="str">
        <f aca="false">IF(F27="","",IF(UPPER(TRIM(F27))="JA","Riktig","Prøv igjen"))</f>
        <v/>
      </c>
    </row>
    <row r="28" customFormat="false" ht="15" hidden="false" customHeight="true" outlineLevel="0" collapsed="false">
      <c r="A28" s="7" t="s">
        <v>92</v>
      </c>
      <c r="B28" s="7"/>
      <c r="C28" s="7"/>
      <c r="D28" s="7"/>
      <c r="E28" s="7"/>
      <c r="F28" s="19"/>
      <c r="G28" s="18" t="str">
        <f aca="false">IF(F28="","",IF(UPPER(TRIM(F28))="NEI","Riktig","Prøv igjen"))</f>
        <v/>
      </c>
    </row>
    <row r="29" customFormat="false" ht="15" hidden="false" customHeight="true" outlineLevel="0" collapsed="false">
      <c r="A29" s="7" t="s">
        <v>93</v>
      </c>
      <c r="B29" s="7"/>
      <c r="C29" s="7"/>
      <c r="D29" s="7"/>
      <c r="E29" s="7"/>
      <c r="F29" s="19"/>
      <c r="G29" s="18" t="str">
        <f aca="false">IF(F29="","",IF(UPPER(TRIM(F29))="NEI","Riktig","Prøv igjen"))</f>
        <v/>
      </c>
    </row>
    <row r="30" customFormat="false" ht="33.75" hidden="false" customHeight="true" outlineLevel="0" collapsed="false">
      <c r="A30" s="7" t="s">
        <v>94</v>
      </c>
      <c r="B30" s="7"/>
      <c r="C30" s="7"/>
      <c r="D30" s="7"/>
      <c r="E30" s="7"/>
    </row>
    <row r="31" customFormat="false" ht="15" hidden="false" customHeight="false" outlineLevel="0" collapsed="false">
      <c r="A31" s="20"/>
      <c r="B31" s="20"/>
      <c r="C31" s="20"/>
      <c r="D31" s="20"/>
      <c r="E31" s="20"/>
      <c r="F31" s="20"/>
      <c r="G31" s="20"/>
    </row>
    <row r="32" customFormat="false" ht="15" hidden="false" customHeight="false" outlineLevel="0" collapsed="false">
      <c r="A32" s="20"/>
      <c r="B32" s="20"/>
      <c r="C32" s="20"/>
      <c r="D32" s="20"/>
      <c r="E32" s="20"/>
      <c r="F32" s="20"/>
      <c r="G32" s="20"/>
    </row>
    <row r="33" customFormat="false" ht="15" hidden="false" customHeight="false" outlineLevel="0" collapsed="false">
      <c r="A33" s="20"/>
      <c r="B33" s="20"/>
      <c r="C33" s="20"/>
      <c r="D33" s="20"/>
      <c r="E33" s="20"/>
      <c r="F33" s="20"/>
      <c r="G33" s="20"/>
    </row>
    <row r="35" customFormat="false" ht="33.75" hidden="false" customHeight="true" outlineLevel="0" collapsed="false">
      <c r="A35" s="6" t="s">
        <v>95</v>
      </c>
      <c r="B35" s="6"/>
      <c r="C35" s="6"/>
      <c r="D35" s="6"/>
      <c r="E35" s="6"/>
      <c r="F35" s="6"/>
      <c r="G35" s="6"/>
    </row>
    <row r="36" customFormat="false" ht="15" hidden="false" customHeight="true" outlineLevel="0" collapsed="false">
      <c r="A36" s="6" t="s">
        <v>44</v>
      </c>
      <c r="B36" s="6"/>
      <c r="C36" s="6"/>
      <c r="D36" s="6"/>
      <c r="E36" s="6"/>
      <c r="F36" s="6"/>
      <c r="G36" s="6"/>
    </row>
  </sheetData>
  <mergeCells count="18">
    <mergeCell ref="A4:G4"/>
    <mergeCell ref="A5:G5"/>
    <mergeCell ref="A17:G17"/>
    <mergeCell ref="A19:E19"/>
    <mergeCell ref="A20:E20"/>
    <mergeCell ref="A21:E21"/>
    <mergeCell ref="A22:E22"/>
    <mergeCell ref="A23:E23"/>
    <mergeCell ref="A24:E24"/>
    <mergeCell ref="A25:E25"/>
    <mergeCell ref="A26:E26"/>
    <mergeCell ref="A27:E27"/>
    <mergeCell ref="A28:E28"/>
    <mergeCell ref="A29:E29"/>
    <mergeCell ref="A30:E30"/>
    <mergeCell ref="A31:G33"/>
    <mergeCell ref="A35:G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2026-10-11T08:42:11Z</dcterms:created>
  <dc:creator>openpyxl</dc:creator>
  <dc:description/>
  <dc:language>en-US</dc:language>
  <cp:lastModifiedBy/>
  <dcterms:modified xsi:type="dcterms:W3CDTF">2026-10-11T08:42:11Z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