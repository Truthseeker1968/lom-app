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<sst xmlns="http://schemas.openxmlformats.org/spreadsheetml/2006/main" count="229" uniqueCount="159">
  <si>
    <t xml:space="preserve">Klasseoppgaver til Økonomistyring kapittel 10: Investeringsanalyse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</si>
  <si>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</si>
  <si>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</si>
  <si>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</si>
  <si>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</si>
  <si>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</si>
  <si>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</si>
  <si>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</si>
  <si>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</si>
  <si>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termograferingsutstyret med reservedelslager (Nordlys)</t>
  </si>
  <si>
    <t xml:space="preserve">A2</t>
  </si>
  <si>
    <t xml:space="preserve">Fjell Elektro: lønner en tredje servicebil seg? (Egen el-bedrift)</t>
  </si>
  <si>
    <t xml:space="preserve">B1</t>
  </si>
  <si>
    <t xml:space="preserve">Nordlys: termograferingsutstyret ved 16 % avkastningskrav (Nordlys)</t>
  </si>
  <si>
    <t xml:space="preserve">B2</t>
  </si>
  <si>
    <t xml:space="preserve">Fjell Elektro: ny eller brukt servicebil? (Egen el-bedrift)</t>
  </si>
  <si>
    <t xml:space="preserve">Læreboka</t>
  </si>
  <si>
    <t xml:space="preserve">Hjertnes, J. og Skorpen, K.: Økonomistyring for LØM-emnet, kapittel 10.</t>
  </si>
  <si>
    <t xml:space="preserve">Appen</t>
  </si>
  <si>
    <t xml:space="preserve">Økonomistyring kap. 10 → Øv → Klasseoppgaver gir fasit per deloppgave.</t>
  </si>
  <si>
    <t xml:space="preserve">A1 · Nordlys: termograferingsutstyret med reservedelslager</t>
  </si>
  <si>
    <t xml:space="preserve">25 minutter · Helst alene. Sammen med sidemannen eller flere hvis du vil. Ark og blyant, appen (PC eller mobil) eller læreboka.</t>
  </si>
  <si>
    <t xml:space="preserve">Kort oppsummert: Kontantstrømmen viser hva som går inn og ut av kassa år for år, med investeringsutgiften i år 0. Kapitalbinding i omløpsmidler står med minus i år 0 og pluss når den frigjøres i siste år. Tilbakebetalingstid = investeringsutgift / årlig innbetalingsoverskudd. Nåverdi = summen av hvert års kontantstrøm delt på (1 + k)ⁿ, minus investeringsutgiften i år 0, som ikke diskonteres.</t>
  </si>
  <si>
    <t xml:space="preserve">Nordlys vurderer termograferingsutstyret til 480 000 kr. Det gir 260 000 kr mer inn og 90 000 kr mer ut hvert år i fire år, og er verdiløst etterpå. Ida (kalkulatør og innkjøp) har oppdaget det kalkylen mangler: utstyret krever et reservedelslager (linser, batterier, kalibreringsutstyr) på 30 000 kr fra første dag. Lageret frigjøres når utstyret avvikles etter fire år. Nordlys krever 10 % avkastning og at investeringer skal være tilbakebetalt innen 3 år. Gå fram slik: sett opp kontantstrømmen år 0–4 med riktig fortegn, regn tilbakebetalingstiden av hele investeringsutgiften (kapitalbindingen med), diskonter hvert år med 1,10ⁿ, og trekk fra investeringsutgiften i år 0.</t>
  </si>
  <si>
    <t xml:space="preserve">Kr</t>
  </si>
  <si>
    <t xml:space="preserve">År 0</t>
  </si>
  <si>
    <t xml:space="preserve">År 1</t>
  </si>
  <si>
    <t xml:space="preserve">År 2</t>
  </si>
  <si>
    <t xml:space="preserve">År 3</t>
  </si>
  <si>
    <t xml:space="preserve">År 4</t>
  </si>
  <si>
    <t xml:space="preserve">Investeringsutgift</t>
  </si>
  <si>
    <t xml:space="preserve">Innbetalinger per år</t>
  </si>
  <si>
    <t xml:space="preserve">Utbetalinger per år</t>
  </si>
  <si>
    <t xml:space="preserve">Reservedelslager (kapitalbinding)</t>
  </si>
  <si>
    <t xml:space="preserve">Utrangeringsverdi</t>
  </si>
  <si>
    <t xml:space="preserve">= Kontantstrøm</t>
  </si>
  <si>
    <t xml:space="preserve">Del på 1,10ⁿ</t>
  </si>
  <si>
    <t xml:space="preserve">diskonteres ikke</t>
  </si>
  <si>
    <t xml:space="preserve">Verdt i dag</t>
  </si>
  <si>
    <t xml:space="preserve">Gule celler med spørsmålstegn kan du fylle inn selv mens du regner.</t>
  </si>
  <si>
    <t xml:space="preserve">Forutsetning</t>
  </si>
  <si>
    <t xml:space="preserve">Verdi</t>
  </si>
  <si>
    <t xml:space="preserve">Avkastningskrav</t>
  </si>
  <si>
    <t xml:space="preserve">10 %</t>
  </si>
  <si>
    <t xml:space="preserve">Krav til tilbakebetalingstid</t>
  </si>
  <si>
    <t xml:space="preserve">Innen 3 år</t>
  </si>
  <si>
    <t xml:space="preserve">Levetid</t>
  </si>
  <si>
    <t xml:space="preserve">4 år, ingen utrangeringsverdi</t>
  </si>
  <si>
    <t xml:space="preserve">Deloppgave</t>
  </si>
  <si>
    <t xml:space="preserve">Ditt svar</t>
  </si>
  <si>
    <t xml:space="preserve">Sjekk</t>
  </si>
  <si>
    <t xml:space="preserve">a)  Hva er kontantstrømmen i år 4, i kroner? Husk at reservedelslageret frigjøres når utstyret avvikles.</t>
  </si>
  <si>
    <t xml:space="preserve">Formel og begrep</t>
  </si>
  <si>
    <t xml:space="preserve">Kontantstrøm = innbetalinger − utbetalinger per år; kapitalbinding i omløpsmidler med minus i år 0 og pluss i siste år (Økonomistyring, innledningen til kap. 10 og tabell 10.1).</t>
  </si>
  <si>
    <t xml:space="preserve">b)  Hva blir tilbakebetalingstiden når investeringsutgiften i år 0 regnes med lageret? Bruk investeringsutgift / årlig innbetalingsoverskudd, svar i år med to desimaler.</t>
  </si>
  <si>
    <t xml:space="preserve">Tilbakebetalingstid = investeringsutgift / årlig innbetalingsoverskudd. Regel: gjennomfør investeringen dersom tilbakebetalingstiden er kortere enn kravet (Økonomistyring 10.1 og 10.4).</t>
  </si>
  <si>
    <t xml:space="preserve">c)  Hva er nåverdien ved 10 % avkastningskrav, i kroner? Diskonter hvert år med 1,10ⁿ og trekk fra −510 000 i år 0 udiskontert.</t>
  </si>
  <si>
    <t xml:space="preserve">NV = −I₀ + C₁ / (1 + k) + C₂ / (1 + k)² + … + Cₙ / (1 + k)ⁿ. Regel: gjennomfør investeringen dersom NV &gt; 0 (Økonomistyring 10.2 og 10.4).</t>
  </si>
  <si>
    <t xml:space="preserve">d)  Pengene i lageret kommer jo tilbake i år 4. Hvorfor faller nåverdien likevel fra 58 877 til 49 368 kr?   A: Fordi lageret er en kostnad som skal avskrives over fire år   B: Fordi 30 000 kr om fire år er mindre verdt enn 30 000 kr i dag   C: Fordi tilbakebetalingstiden blir lengre   (skriv bokstaven)</t>
  </si>
  <si>
    <t xml:space="preserve">e)  Tom vil kjøpe, Ida nøler fordi tilbakebetalingstiden nå er akkurat på kravet. Hva sier du til Kari? Skriv to setninger: én om lønnsomheten og én om risikoen.</t>
  </si>
  <si>
    <t xml:space="preserve">Nåverdimetoden avgjør lønnsomheten (10.2); tilbakebetalingsmetoden vurderer strengt tatt ikke lønnsomhet (10.1). Tallene i kontantstrømmen er budsjetterte (10.4).</t>
  </si>
  <si>
    <t xml:space="preserve">Hint, hvis du står fast</t>
  </si>
  <si>
    <t xml:space="preserve">Kontantstrømmen</t>
  </si>
  <si>
    <t xml:space="preserve">Lageret står to ganger: −30 000 i år 0 (sammen med −480 000) og +30 000 i år 4 (sammen med 170 000). Avskrivninger står ikke der. Tilbakebetalingstid: 510 000 / 170 000.</t>
  </si>
  <si>
    <t xml:space="preserve">Nåverdien</t>
  </si>
  <si>
    <t xml:space="preserve">Del år 1–3 på 1,10, 1,21 og 1,331, og år 4 (200 000) på 1,4641. Legg sammen og trekk fra 510 000. År 0 diskonteres ikke.</t>
  </si>
  <si>
    <t xml:space="preserve">Kilde: Hjertnes, J. og Skorpen, K.: Økonomistyring for LØM-emnet, kap. 10, innledningen med tabell 10.1, avsnitt 10.1 og 10.2. Nordlys Elektro AS er en konstruert casebedrift.</t>
  </si>
  <si>
    <t xml:space="preserve">Regnearket er øvingsstøtte. Det kan ikke siteres eller vises til i besvarelser, prosjektoppgaver eller eksamen; der gjelder læreboka og oppgitte primærkilder.</t>
  </si>
  <si>
    <t xml:space="preserve">A2 · Fjell Elektro: lønner en tredje servicebil seg?</t>
  </si>
  <si>
    <t xml:space="preserve">Kort oppsummert: Kontantstrømmen bygger på det som faktisk går inn og ut av kassa: investeringsutgiften i år 0, innbetalingsoverskuddet hvert år (innbetalinger − utbetalinger) og restverdien i siste år. Avskrivninger, mva og renter på lånet står ikke der. Tilbakebetalingstid = investeringsutgift / årlig innbetalingsoverskudd. Nåverdien regner alt om til dagens kroner med avkastningskravet.</t>
  </si>
  <si>
    <t xml:space="preserve">Fjell Elektro AS har to servicebiler på leasing, én per montør. Mona Fjell, eier og faglig ansvarlig, låner bil når hun selv er ute på oppdrag, og taper tid på det. Hun vurderer en tredje servicebil: en ny varebil til 400 000 kr uten mva, finansiert med et nytt banklån. Med egen bil regner hun med å fakturere 180 timer mer i året à 890 kr. Bilen gir 45 200 kr mer ut i året til drivstoff, forsikring, dekk og service. Levetiden er 5 år, og bilen kan selges for 100 000 kr etter fem år. Fjell bruker 12 % avkastningskrav. Mona har en tommelfingerregel om at investeringer skal være tilbakebetalt innen 3 år. Sett opp kontantstrømmen, regn tilbakebetalingstiden og nåverdien.</t>
  </si>
  <si>
    <t xml:space="preserve">År 5</t>
  </si>
  <si>
    <t xml:space="preserve">Innbetalinger (180 t × 890)</t>
  </si>
  <si>
    <t xml:space="preserve">Restverdi</t>
  </si>
  <si>
    <t xml:space="preserve">Del på 1,12ⁿ</t>
  </si>
  <si>
    <t xml:space="preserve">Ny varebil</t>
  </si>
  <si>
    <t xml:space="preserve">400 000 kr uten mva, betales i år 0</t>
  </si>
  <si>
    <t xml:space="preserve">Mer inn per år</t>
  </si>
  <si>
    <t xml:space="preserve">180 fakturerbare timer à 890 kr</t>
  </si>
  <si>
    <t xml:space="preserve">Mer ut per år</t>
  </si>
  <si>
    <t xml:space="preserve">45 200 kr (drivstoff, forsikring, dekk, service)</t>
  </si>
  <si>
    <t xml:space="preserve">Levetid og restverdi</t>
  </si>
  <si>
    <t xml:space="preserve">5 år, selges for 100 000 kr i år 5</t>
  </si>
  <si>
    <t xml:space="preserve">12 %</t>
  </si>
  <si>
    <t xml:space="preserve">Monas krav til tilbakebetalingstid</t>
  </si>
  <si>
    <t xml:space="preserve">Finansiering</t>
  </si>
  <si>
    <t xml:space="preserve">Nytt banklån, 7,5 % rente</t>
  </si>
  <si>
    <t xml:space="preserve">a)  Hva er det årlige innbetalingsoverskuddet, i kroner? Innbetalinger minus utbetalinger per år.</t>
  </si>
  <si>
    <t xml:space="preserve">Innbetalingsoverskudd = innbetalinger − utbetalinger per år (formelsamlingen kap. 10; Økonomistyring 10.4).</t>
  </si>
  <si>
    <t xml:space="preserve">b)  Hva er tilbakebetalingstiden? Investeringsutgift / årlig innbetalingsoverskudd, i år med to desimaler.</t>
  </si>
  <si>
    <t xml:space="preserve">Tilbakebetalingstid = investeringsutgift / årlig innbetalingsoverskudd (Økonomistyring 10.1 og 10.4).</t>
  </si>
  <si>
    <t xml:space="preserve">c)  Hva er nåverdien ved 12 % avkastningskrav, i kroner? Diskonter år 1–5 med 1,12ⁿ (restverdien er med i år 5) og trekk fra 400 000.</t>
  </si>
  <si>
    <t xml:space="preserve">NV = −I₀ + C₁ / (1 + k) + … + Cₙ / (1 + k)ⁿ. Regel: NV &gt; 0 betyr lønnsom (Økonomistyring 10.2 og 10.4).</t>
  </si>
  <si>
    <t xml:space="preserve">d)  Hvilke av disse postene hører hjemme i kontantstrømmen for bilen? Spør for hver post: går det penger inn eller ut av kassa på grunn av investeringen, og er det ikke allerede tatt med på en annen måte?</t>
  </si>
  <si>
    <t xml:space="preserve">      Kjøpesum 400 000 kr i år 0   (Ja eller Nei)</t>
  </si>
  <si>
    <t xml:space="preserve">      Avskrivning 60 000 kr per år   (Ja eller Nei)</t>
  </si>
  <si>
    <t xml:space="preserve">      Mva 100 000 kr på bilen   (Ja eller Nei)</t>
  </si>
  <si>
    <t xml:space="preserve">      Renter 7,5 % på banklånet   (Ja eller Nei)</t>
  </si>
  <si>
    <t xml:space="preserve">      Restverdi 100 000 kr i år 5   (Ja eller Nei)</t>
  </si>
  <si>
    <t xml:space="preserve">e)  Tilbakebetalingsmetoden sier nei (3,48 år mot kravet 3 år), nåverdimetoden sier ja (positiv nåverdi ved 12 %). Hva anbefaler du Mona? To–tre setninger.</t>
  </si>
  <si>
    <t xml:space="preserve">Nåverdimetoden avgjør lønnsomheten (10.2); tilbakebetalingsmetoden vurderer ikke lønnsomhet som sådan (10.1). Tallene er budsjetterte (10.4).</t>
  </si>
  <si>
    <t xml:space="preserve">Overskuddet</t>
  </si>
  <si>
    <t xml:space="preserve">180 × 890 = 160 200 inn, minus 45 200 ut. I år 5 kommer restverdien 100 000 i tillegg. Tilbakebetalingstiden regnes av årsbeløpet, uten restverdien.</t>
  </si>
  <si>
    <t xml:space="preserve">Hva hører hjemme</t>
  </si>
  <si>
    <t xml:space="preserve">Spør: går det penger inn eller ut av kassa? Avskrivning er kostnad, ikke utbetaling. Mva får Fjell tilbake. Renten er allerede med gjennom kravet på 12 %.</t>
  </si>
  <si>
    <t xml:space="preserve">Kilde: Hjertnes, J. og Skorpen, K.: Økonomistyring for LØM-emnet, kap. 10, innledningen med tabell 10.1, avsnitt 10.1–10.2 og 10.4. Avskrivning og utbetaling: kap. 2. Fjell Elektro AS er en konstruert casebedrift.</t>
  </si>
  <si>
    <t xml:space="preserve">B1 · Nordlys: termograferingsutstyret ved 16 % avkastningskrav</t>
  </si>
  <si>
    <t xml:space="preserve">Kort oppsummert: Avkastningskravet (kalkulasjonsrenten) er risikofri avkastning pluss et risikotillegg. Jo høyere krav, jo lavere nåverdi, og jo hardere rammes beløpene som kommer sent. Internrenten er den kalkulasjonsrenten som gjør nåverdien lik null. Er internrenten høyere enn kravet, er nåverdien positiv og investeringen lønnsom.</t>
  </si>
  <si>
    <t xml:space="preserve">Termograferingsutstyret koster 480 000 kr og gir 170 000 kr i innbetalingsoverskudd hvert år i fire år. Ved 10 % er nåverdien 58 877 kr. Et styremedlem mener termografering er en ny og usikker tjeneste for Nordlys: kundene finnes ikke ennå, og konkurrentene har allerede utstyr. Hun vil derfor bruke 16 % avkastningskrav. Tom mener på sin side at kravet bør være bankens utlånsrente, 7,5 %. Regn ut nåverdien ved 16 %, sammenlikn med 10 %, og vurder hvilket krav som er riktig.</t>
  </si>
  <si>
    <t xml:space="preserve">Kontantstrøm</t>
  </si>
  <si>
    <t xml:space="preserve">Verdt i dag ved 10 %</t>
  </si>
  <si>
    <t xml:space="preserve">Del på 1,16ⁿ</t>
  </si>
  <si>
    <t xml:space="preserve">Verdt i dag ved 16 %</t>
  </si>
  <si>
    <t xml:space="preserve">Nåverdi ved 10 %</t>
  </si>
  <si>
    <t xml:space="preserve">58 877 kr</t>
  </si>
  <si>
    <t xml:space="preserve">Bankens utlånsrente</t>
  </si>
  <si>
    <t xml:space="preserve">7,5 %</t>
  </si>
  <si>
    <t xml:space="preserve">Styremedlemmets forslag</t>
  </si>
  <si>
    <t xml:space="preserve">16 %</t>
  </si>
  <si>
    <t xml:space="preserve">a)  Hva er nåverdien ved 16 % avkastningskrav, i kroner? Diskonter hvert år med 1,16ⁿ og trekk fra 480 000.</t>
  </si>
  <si>
    <t xml:space="preserve">NV = −I₀ + Σ Cₙ / (1 + k)ⁿ. NV &lt; 0 ved gitt kalkulasjonsrente betyr at investeringen er ulønnsom (Økonomistyring 10.2).</t>
  </si>
  <si>
    <t xml:space="preserve">b)  Beløpet i år 4 er verdt 116 112 kr i dag ved 10 %. Hvor mye mindre er det verdt ved 16 %, i kroner?</t>
  </si>
  <si>
    <t xml:space="preserve">Jo lenger fram i tid en innbetaling kommer, og jo høyere avkastningskrav, jo lavere verdi på tidspunkt 0 (Økonomistyring 10.2, kalkulasjonsrentens virkning).</t>
  </si>
  <si>
    <t xml:space="preserve">c)  Nåverdien er +58 877 kr ved 10 % og −4 309 kr ved 16 %. Hvor ligger internrenten?   A: Under 10 %   B: Mellom 10 og 16 %, nær 16 %   C: Over 16 %   (skriv bokstaven)</t>
  </si>
  <si>
    <t xml:space="preserve">d)  Tom mener at kravet bør være bankens utlånsrente, 7,5 %, fordi det er det pengene koster. Stemmer det etter boka?   A: Ja, kravet er det pengene koster i banken   B: Nei, kravet er risikofri avkastning pluss et tillegg for risikoen i akkurat denne investeringen   C: Ja, men bare hvis utstyret kjøpes på lån   (skriv bokstaven)</t>
  </si>
  <si>
    <t xml:space="preserve">e)  Skal Nordlys bruke 10 % eller 16 %? Skriv to–tre setninger til styret: hva tallene viser, og hva styret egentlig må ta stilling til.</t>
  </si>
  <si>
    <t xml:space="preserve">k = risikofri avkastning + risikotillegg (10.2). IR &gt; k ⟹ NV &gt; 0 (10.3). Tallene er budsjetterte (10.4).</t>
  </si>
  <si>
    <t xml:space="preserve">Ved 16 %</t>
  </si>
  <si>
    <t xml:space="preserve">Del 170 000 på 1,16, 1,3456, 1,5609 og 1,8106. Legg sammen de fire og trekk fra 480 000. Sammenlikn år for år med raden ved 10 %.</t>
  </si>
  <si>
    <t xml:space="preserve">Internrenten</t>
  </si>
  <si>
    <t xml:space="preserve">Internrenten er kravet som gir nåverdi null. Ved 10 % er nåverdien positiv, ved 16 % negativ. Null ligger mellom, nærmest der nåverdien er nærmest null.</t>
  </si>
  <si>
    <t xml:space="preserve">Kilde: Hjertnes, J. og Skorpen, K.: Økonomistyring for LØM-emnet, kap. 10, avsnitt 10.2 (avkastningskravet og kalkulasjonsrentens virkning) og 10.3 (internrenten). Nordlys Elektro AS er en konstruert casebedrift.</t>
  </si>
  <si>
    <t xml:space="preserve">B2 · Fjell Elektro: ny eller brukt servicebil?</t>
  </si>
  <si>
    <t xml:space="preserve">Kort oppsummert: Når to investeringer er lønnsomme hver for seg og bare én kan velges, skal den med høyest nåverdi velges, ikke den med høyest internrente. Det er pengene investorene lever av, ikke prosentene. Kostnader som allerede er betalt, er sunk cost og skal ikke med i kontantstrømmen.</t>
  </si>
  <si>
    <t xml:space="preserve">Mona Fjell har regnet på den nye varebilen (oppgave A2): 400 000 kr, 115 000 kr i innbetalingsoverskudd per år i fem år og 100 000 kr i restverdi. Nåverdien ved 12 % er 71 292 kr, og internrenten er 18,3 %. Nå har hun funnet et alternativ: en fem år gammel varebil til 150 000 kr. Den er mindre pålitelig, så hun regner med 150 timer mer i året (133 500 kr) og 78 500 kr mer ut i året. Den holder i fem år til og kan selges for 10 000 kr. Internrenten for den brukte bilen er 25,4 % (regnet med kalkulatoren). Mona har allerede betalt 6 000 kr for en tilstandsrapport på den brukte bilen. Fjell kan bare ta én av bilene. Regn på den brukte bilen og velg.</t>
  </si>
  <si>
    <t xml:space="preserve">Brukt bil: kontantstrøm</t>
  </si>
  <si>
    <t xml:space="preserve">Brukt bil: verdt i dag ved 12 %</t>
  </si>
  <si>
    <t xml:space="preserve">Ny bil (A2): kontantstrøm</t>
  </si>
  <si>
    <t xml:space="preserve">Ny bil (A2)</t>
  </si>
  <si>
    <t xml:space="preserve">Nåverdi 71 292 kr, internrente 18,3 %, tilbakebetalingstid 3,48 år</t>
  </si>
  <si>
    <t xml:space="preserve">Brukt bil</t>
  </si>
  <si>
    <t xml:space="preserve">150 000 kr, overskudd 55 000 kr per år, restverdi 10 000 kr i år 5</t>
  </si>
  <si>
    <t xml:space="preserve">Brukt bil, internrente</t>
  </si>
  <si>
    <t xml:space="preserve">25,4 % (kalkulatoren)</t>
  </si>
  <si>
    <t xml:space="preserve">Tilstandsrapport, allerede betalt</t>
  </si>
  <si>
    <t xml:space="preserve">6 000 kr</t>
  </si>
  <si>
    <t xml:space="preserve">a)  Hva er nåverdien for den brukte bilen ved 12 %, i kroner? Diskonter år 1–5 med 1,12ⁿ (restverdien er med i år 5) og trekk fra 150 000.</t>
  </si>
  <si>
    <t xml:space="preserve">NV = −I₀ + Σ Cₙ / (1 + k)ⁿ; NV &gt; 0 betyr lønnsom (Økonomistyring 10.2 og 10.4).</t>
  </si>
  <si>
    <t xml:space="preserve">b)  Hva er tilbakebetalingstiden for den brukte bilen? Investeringsutgift / årlig innbetalingsoverskudd, i år med to desimaler.</t>
  </si>
  <si>
    <t xml:space="preserve">Tilbakebetalingstid = investeringsutgift / årlig innbetalingsoverskudd (Økonomistyring 10.1).</t>
  </si>
  <si>
    <t xml:space="preserve">c)  Begge bilene er lønnsomme ved 12 %. Fjell kan bare ta én. Hvilken bør Mona velge etter boka?   A: Den brukte, fordi den har høyest internrente (25,4 %)   B: Den nye, fordi den har høyest nåverdi (71 292 mot 53 937 kr)   C: Den brukte, fordi den har kortest tilbakebetalingstid   (skriv bokstaven)</t>
  </si>
  <si>
    <t xml:space="preserve">d)  Mona har allerede betalt 6 000 kr for tilstandsrapporten på den brukte bilen. Hvordan skal den behandles i kontantstrømmen?   A: Med −6 000 i år 0 for den brukte bilen   B: Holdes helt utenfor: den er sunk cost   C: Fordeles med 1 200 kr per år over fem år   (skriv bokstaven)</t>
  </si>
  <si>
    <t xml:space="preserve">e)  Hva anbefaler du Mona? Skriv to–tre setninger: valget, begrunnelsen og hva som kan få det til å snu.</t>
  </si>
  <si>
    <t xml:space="preserve">Høyest nåverdi ved valg mellom alternativer (10.3–10.4). Sunk cost holdes utenfor (10.4). Tallene er budsjetterte (10.4).</t>
  </si>
  <si>
    <t xml:space="preserve">Den brukte bilen</t>
  </si>
  <si>
    <t xml:space="preserve">Del 55 000 på 1,12, 1,2544, 1,4049 og 1,5735, og 65 000 (med restverdien) på 1,7623. Trekk fra 150 000. Tilbakebetalingstid: 150 000 / 55 000.</t>
  </si>
  <si>
    <t xml:space="preserve">Velge én</t>
  </si>
  <si>
    <t xml:space="preserve">Begge er lønnsomme. Boka: velg høyest nåverdi, ikke høyest internrente. Tilstandsrapporten er betalt uansett hva Mona velger.</t>
  </si>
  <si>
    <t xml:space="preserve">Kilde: Hjertnes, J. og Skorpen, K.: Økonomistyring for LØM-emnet, kap. 10, avsnitt 10.1–10.4 (valg mellom alternativer og sunk cost i 10.3–10.4). Fjell Elektro AS er en konstruert casebedrift.</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</si>
</sst>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63.75" hidden="false" customHeight="true" outlineLevel="0" collapsed="false">
      <c r="A4" s="6" t="s">
        <v>22</v>
      </c>
      <c r="B4" s="6"/>
      <c r="C4" s="6"/>
      <c r="D4" s="6"/>
      <c r="E4" s="6"/>
      <c r="F4" s="6"/>
      <c r="G4" s="6"/>
    </row>
    <row r="5" customFormat="false" ht="108.75" hidden="false" customHeight="true" outlineLevel="0" collapsed="false">
      <c r="A5" s="7" t="s">
        <v>23</v>
      </c>
      <c r="B5" s="7"/>
      <c r="C5" s="7"/>
      <c r="D5" s="7"/>
      <c r="E5" s="7"/>
      <c r="F5" s="7"/>
      <c r="G5" s="7"/>
    </row>
    <row r="7" customFormat="false" ht="15" hidden="false" customHeight="false" outlineLevel="0" collapsed="false">
      <c r="A7" s="8" t="s">
        <v>24</v>
      </c>
      <c r="B7" s="9" t="s">
        <v>25</v>
      </c>
      <c r="C7" s="9" t="s">
        <v>26</v>
      </c>
      <c r="D7" s="9" t="s">
        <v>27</v>
      </c>
      <c r="E7" s="9" t="s">
        <v>28</v>
      </c>
      <c r="F7" s="9" t="s">
        <v>29</v>
      </c>
    </row>
    <row r="8" customFormat="false" ht="15" hidden="false" customHeight="false" outlineLevel="0" collapsed="false">
      <c r="A8" s="10" t="s">
        <v>30</v>
      </c>
      <c r="B8" s="11" t="n">
        <v>-480000</v>
      </c>
      <c r="C8" s="12"/>
      <c r="D8" s="12"/>
      <c r="E8" s="12"/>
      <c r="F8" s="12"/>
    </row>
    <row r="9" customFormat="false" ht="15" hidden="false" customHeight="false" outlineLevel="0" collapsed="false">
      <c r="A9" s="13" t="s">
        <v>31</v>
      </c>
      <c r="B9" s="14"/>
      <c r="C9" s="15" t="n">
        <v>260000</v>
      </c>
      <c r="D9" s="15" t="n">
        <v>260000</v>
      </c>
      <c r="E9" s="15" t="n">
        <v>260000</v>
      </c>
      <c r="F9" s="15" t="n">
        <v>260000</v>
      </c>
    </row>
    <row r="10" customFormat="false" ht="15" hidden="false" customHeight="false" outlineLevel="0" collapsed="false">
      <c r="A10" s="10" t="s">
        <v>32</v>
      </c>
      <c r="B10" s="12"/>
      <c r="C10" s="11" t="n">
        <v>-90000</v>
      </c>
      <c r="D10" s="11" t="n">
        <v>-90000</v>
      </c>
      <c r="E10" s="11" t="n">
        <v>-90000</v>
      </c>
      <c r="F10" s="11" t="n">
        <v>-90000</v>
      </c>
    </row>
    <row r="11" customFormat="false" ht="15" hidden="false" customHeight="false" outlineLevel="0" collapsed="false">
      <c r="A11" s="13" t="s">
        <v>33</v>
      </c>
      <c r="B11" s="16"/>
      <c r="C11" s="14"/>
      <c r="D11" s="14"/>
      <c r="E11" s="14"/>
      <c r="F11" s="16"/>
    </row>
    <row r="12" customFormat="false" ht="15" hidden="false" customHeight="false" outlineLevel="0" collapsed="false">
      <c r="A12" s="10" t="s">
        <v>34</v>
      </c>
      <c r="B12" s="12"/>
      <c r="C12" s="12"/>
      <c r="D12" s="12"/>
      <c r="E12" s="12"/>
      <c r="F12" s="11" t="n">
        <v>0</v>
      </c>
    </row>
    <row r="13" customFormat="false" ht="15" hidden="false" customHeight="false" outlineLevel="0" collapsed="false">
      <c r="A13" s="17" t="s">
        <v>35</v>
      </c>
      <c r="B13" s="16"/>
      <c r="C13" s="16"/>
      <c r="D13" s="16"/>
      <c r="E13" s="16"/>
      <c r="F13" s="16"/>
    </row>
    <row r="14" customFormat="false" ht="15" hidden="false" customHeight="false" outlineLevel="0" collapsed="false">
      <c r="A14" s="10" t="s">
        <v>36</v>
      </c>
      <c r="B14" s="12" t="s">
        <v>37</v>
      </c>
      <c r="C14" s="11" t="n">
        <v>1.1</v>
      </c>
      <c r="D14" s="11" t="n">
        <v>1.21</v>
      </c>
      <c r="E14" s="11" t="n">
        <v>1.331</v>
      </c>
      <c r="F14" s="11" t="n">
        <v>1.4641</v>
      </c>
    </row>
    <row r="15" customFormat="false" ht="15" hidden="false" customHeight="false" outlineLevel="0" collapsed="false">
      <c r="A15" s="13" t="s">
        <v>38</v>
      </c>
      <c r="B15" s="16"/>
      <c r="C15" s="16"/>
      <c r="D15" s="16"/>
      <c r="E15" s="16"/>
      <c r="F15" s="16"/>
    </row>
    <row r="16" customFormat="false" ht="15" hidden="false" customHeight="true" outlineLevel="0" collapsed="false">
      <c r="A16" s="6" t="s">
        <v>39</v>
      </c>
      <c r="B16" s="6"/>
      <c r="C16" s="6"/>
      <c r="D16" s="6"/>
      <c r="E16" s="6"/>
      <c r="F16" s="6"/>
      <c r="G16" s="6"/>
    </row>
    <row r="18" customFormat="false" ht="15" hidden="false" customHeight="false" outlineLevel="0" collapsed="false">
      <c r="A18" s="18" t="s">
        <v>40</v>
      </c>
      <c r="B18" s="18" t="s">
        <v>41</v>
      </c>
      <c r="C18" s="18"/>
      <c r="D18" s="18"/>
      <c r="E18" s="18"/>
      <c r="F18" s="18"/>
      <c r="G18" s="18"/>
    </row>
    <row r="19" customFormat="false" ht="18.75" hidden="false" customHeight="true" outlineLevel="0" collapsed="false">
      <c r="A19" s="19" t="s">
        <v>42</v>
      </c>
      <c r="B19" s="7" t="s">
        <v>43</v>
      </c>
      <c r="C19" s="7"/>
      <c r="D19" s="7"/>
      <c r="E19" s="7"/>
      <c r="F19" s="7"/>
      <c r="G19" s="7"/>
    </row>
    <row r="20" customFormat="false" ht="18.75" hidden="false" customHeight="true" outlineLevel="0" collapsed="false">
      <c r="A20" s="19" t="s">
        <v>44</v>
      </c>
      <c r="B20" s="7" t="s">
        <v>45</v>
      </c>
      <c r="C20" s="7"/>
      <c r="D20" s="7"/>
      <c r="E20" s="7"/>
      <c r="F20" s="7"/>
      <c r="G20" s="7"/>
    </row>
    <row r="21" customFormat="false" ht="18.75" hidden="false" customHeight="true" outlineLevel="0" collapsed="false">
      <c r="A21" s="19" t="s">
        <v>46</v>
      </c>
      <c r="B21" s="7" t="s">
        <v>47</v>
      </c>
      <c r="C21" s="7"/>
      <c r="D21" s="7"/>
      <c r="E21" s="7"/>
      <c r="F21" s="7"/>
      <c r="G21" s="7"/>
    </row>
    <row r="23" customFormat="false" ht="15" hidden="false" customHeight="false" outlineLevel="0" collapsed="false">
      <c r="A23" s="18" t="s">
        <v>48</v>
      </c>
      <c r="B23" s="18"/>
      <c r="C23" s="18"/>
      <c r="D23" s="18"/>
      <c r="E23" s="18"/>
      <c r="F23" s="18" t="s">
        <v>49</v>
      </c>
      <c r="G23" s="18" t="s">
        <v>50</v>
      </c>
    </row>
    <row r="24" customFormat="false" ht="33.75" hidden="false" customHeight="true" outlineLevel="0" collapsed="false">
      <c r="A24" s="7" t="s">
        <v>51</v>
      </c>
      <c r="B24" s="7"/>
      <c r="C24" s="7"/>
      <c r="D24" s="7"/>
      <c r="E24" s="7"/>
      <c r="F24" s="16"/>
      <c r="G24" s="20" t="str">
        <f aca="false">IF(F24="","",IF(ABS(F24-(200000))&lt;=0.000000001,"Riktig","Prøv igjen"))</f>
        <v/>
      </c>
    </row>
    <row r="25" customFormat="false" ht="30" hidden="false" customHeight="true" outlineLevel="0" collapsed="false">
      <c r="A25" s="21" t="s">
        <v>52</v>
      </c>
      <c r="B25" s="22" t="s">
        <v>53</v>
      </c>
      <c r="C25" s="22"/>
      <c r="D25" s="22"/>
      <c r="E25" s="22"/>
      <c r="F25" s="22"/>
      <c r="G25" s="22"/>
    </row>
    <row r="27" customFormat="false" ht="33.75" hidden="false" customHeight="true" outlineLevel="0" collapsed="false">
      <c r="A27" s="7" t="s">
        <v>54</v>
      </c>
      <c r="B27" s="7"/>
      <c r="C27" s="7"/>
      <c r="D27" s="7"/>
      <c r="E27" s="7"/>
      <c r="F27" s="16"/>
      <c r="G27" s="20" t="str">
        <f aca="false">IF(F27="","",IF(ABS(F27-(3))&lt;=0.01,"Riktig","Prøv igjen"))</f>
        <v/>
      </c>
    </row>
    <row r="28" customFormat="false" ht="30" hidden="false" customHeight="true" outlineLevel="0" collapsed="false">
      <c r="A28" s="21" t="s">
        <v>52</v>
      </c>
      <c r="B28" s="22" t="s">
        <v>55</v>
      </c>
      <c r="C28" s="22"/>
      <c r="D28" s="22"/>
      <c r="E28" s="22"/>
      <c r="F28" s="22"/>
      <c r="G28" s="22"/>
    </row>
    <row r="30" customFormat="false" ht="33.75" hidden="false" customHeight="true" outlineLevel="0" collapsed="false">
      <c r="A30" s="7" t="s">
        <v>56</v>
      </c>
      <c r="B30" s="7"/>
      <c r="C30" s="7"/>
      <c r="D30" s="7"/>
      <c r="E30" s="7"/>
      <c r="F30" s="16"/>
      <c r="G30" s="20" t="str">
        <f aca="false">IF(F30="","",IF(ABS(F30-(49368))&lt;=20,"Riktig","Prøv igjen"))</f>
        <v/>
      </c>
    </row>
    <row r="31" customFormat="false" ht="30" hidden="false" customHeight="true" outlineLevel="0" collapsed="false">
      <c r="A31" s="21" t="s">
        <v>52</v>
      </c>
      <c r="B31" s="22" t="s">
        <v>57</v>
      </c>
      <c r="C31" s="22"/>
      <c r="D31" s="22"/>
      <c r="E31" s="22"/>
      <c r="F31" s="22"/>
      <c r="G31" s="22"/>
    </row>
    <row r="33" customFormat="false" ht="63.75" hidden="false" customHeight="true" outlineLevel="0" collapsed="false">
      <c r="A33" s="7" t="s">
        <v>58</v>
      </c>
      <c r="B33" s="7"/>
      <c r="C33" s="7"/>
      <c r="D33" s="7"/>
      <c r="E33" s="7"/>
      <c r="F33" s="23"/>
      <c r="G33" s="20" t="str">
        <f aca="false">IF(F33="","",IF(UPPER(TRIM(F33))="B","Riktig","Prøv igjen"))</f>
        <v/>
      </c>
    </row>
    <row r="34" customFormat="false" ht="33.75" hidden="false" customHeight="true" outlineLevel="0" collapsed="false">
      <c r="A34" s="7" t="s">
        <v>59</v>
      </c>
      <c r="B34" s="7"/>
      <c r="C34" s="7"/>
      <c r="D34" s="7"/>
      <c r="E34" s="7"/>
    </row>
    <row r="35" customFormat="false" ht="15" hidden="false" customHeight="false" outlineLevel="0" collapsed="false">
      <c r="A35" s="24"/>
      <c r="B35" s="24"/>
      <c r="C35" s="24"/>
      <c r="D35" s="24"/>
      <c r="E35" s="24"/>
      <c r="F35" s="24"/>
      <c r="G35" s="24"/>
    </row>
    <row r="36" customFormat="false" ht="15" hidden="false" customHeight="false" outlineLevel="0" collapsed="false">
      <c r="A36" s="24"/>
      <c r="B36" s="24"/>
      <c r="C36" s="24"/>
      <c r="D36" s="24"/>
      <c r="E36" s="24"/>
      <c r="F36" s="24"/>
      <c r="G36" s="24"/>
    </row>
    <row r="37" customFormat="false" ht="15" hidden="false" customHeight="false" outlineLevel="0" collapsed="false">
      <c r="A37" s="24"/>
      <c r="B37" s="24"/>
      <c r="C37" s="24"/>
      <c r="D37" s="24"/>
      <c r="E37" s="24"/>
      <c r="F37" s="24"/>
      <c r="G37" s="24"/>
    </row>
    <row r="38" customFormat="false" ht="30" hidden="false" customHeight="true" outlineLevel="0" collapsed="false">
      <c r="A38" s="21" t="s">
        <v>52</v>
      </c>
      <c r="B38" s="22" t="s">
        <v>60</v>
      </c>
      <c r="C38" s="22"/>
      <c r="D38" s="22"/>
      <c r="E38" s="22"/>
      <c r="F38" s="22"/>
      <c r="G38" s="22"/>
    </row>
    <row r="41" customFormat="false" ht="15" hidden="false" customHeight="false" outlineLevel="0" collapsed="false">
      <c r="A41" s="25" t="s">
        <v>61</v>
      </c>
      <c r="B41" s="25"/>
      <c r="C41" s="25"/>
      <c r="D41" s="25"/>
      <c r="E41" s="25"/>
      <c r="F41" s="25"/>
      <c r="G41" s="25"/>
    </row>
    <row r="42" customFormat="false" ht="30" hidden="false" customHeight="true" outlineLevel="0" collapsed="false">
      <c r="A42" s="26" t="s">
        <v>62</v>
      </c>
      <c r="B42" s="27" t="s">
        <v>63</v>
      </c>
      <c r="C42" s="27"/>
      <c r="D42" s="27"/>
      <c r="E42" s="27"/>
      <c r="F42" s="27"/>
      <c r="G42" s="27"/>
    </row>
    <row r="43" customFormat="false" ht="30" hidden="false" customHeight="true" outlineLevel="0" collapsed="false">
      <c r="A43" s="26" t="s">
        <v>64</v>
      </c>
      <c r="B43" s="27" t="s">
        <v>65</v>
      </c>
      <c r="C43" s="27"/>
      <c r="D43" s="27"/>
      <c r="E43" s="27"/>
      <c r="F43" s="27"/>
      <c r="G43" s="27"/>
    </row>
    <row r="45" customFormat="false" ht="33.75" hidden="false" customHeight="true" outlineLevel="0" collapsed="false">
      <c r="A45" s="6" t="s">
        <v>66</v>
      </c>
      <c r="B45" s="6"/>
      <c r="C45" s="6"/>
      <c r="D45" s="6"/>
      <c r="E45" s="6"/>
      <c r="F45" s="6"/>
      <c r="G45" s="6"/>
    </row>
    <row r="46" customFormat="false" ht="15" hidden="false" customHeight="true" outlineLevel="0" collapsed="false">
      <c r="A46" s="6" t="s">
        <v>67</v>
      </c>
      <c r="B46" s="6"/>
      <c r="C46" s="6"/>
      <c r="D46" s="6"/>
      <c r="E46" s="6"/>
      <c r="F46" s="6"/>
      <c r="G46" s="6"/>
    </row>
  </sheetData>
  <mergeCells count="23">
    <mergeCell ref="A4:G4"/>
    <mergeCell ref="A5:G5"/>
    <mergeCell ref="A16:G16"/>
    <mergeCell ref="B18:G18"/>
    <mergeCell ref="B19:G19"/>
    <mergeCell ref="B20:G20"/>
    <mergeCell ref="B21:G21"/>
    <mergeCell ref="A23:E23"/>
    <mergeCell ref="A24:E24"/>
    <mergeCell ref="B25:G25"/>
    <mergeCell ref="A27:E27"/>
    <mergeCell ref="B28:G28"/>
    <mergeCell ref="A30:E30"/>
    <mergeCell ref="B31:G31"/>
    <mergeCell ref="A33:E33"/>
    <mergeCell ref="A34:E34"/>
    <mergeCell ref="A35:G37"/>
    <mergeCell ref="B38:G38"/>
    <mergeCell ref="A41:G41"/>
    <mergeCell ref="B42:G42"/>
    <mergeCell ref="B43:G43"/>
    <mergeCell ref="A45:G45"/>
    <mergeCell ref="A46:G4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68</v>
      </c>
    </row>
    <row r="2" customFormat="false" ht="15" hidden="false" customHeight="false" outlineLevel="0" collapsed="false">
      <c r="A2" s="2" t="s">
        <v>21</v>
      </c>
    </row>
    <row r="4" customFormat="false" ht="63.75" hidden="false" customHeight="true" outlineLevel="0" collapsed="false">
      <c r="A4" s="6" t="s">
        <v>69</v>
      </c>
      <c r="B4" s="6"/>
      <c r="C4" s="6"/>
      <c r="D4" s="6"/>
      <c r="E4" s="6"/>
      <c r="F4" s="6"/>
      <c r="G4" s="6"/>
    </row>
    <row r="5" customFormat="false" ht="108.75" hidden="false" customHeight="true" outlineLevel="0" collapsed="false">
      <c r="A5" s="7" t="s">
        <v>70</v>
      </c>
      <c r="B5" s="7"/>
      <c r="C5" s="7"/>
      <c r="D5" s="7"/>
      <c r="E5" s="7"/>
      <c r="F5" s="7"/>
      <c r="G5" s="7"/>
    </row>
    <row r="7" customFormat="false" ht="15" hidden="false" customHeight="false" outlineLevel="0" collapsed="false">
      <c r="A7" s="8" t="s">
        <v>24</v>
      </c>
      <c r="B7" s="9" t="s">
        <v>25</v>
      </c>
      <c r="C7" s="9" t="s">
        <v>26</v>
      </c>
      <c r="D7" s="9" t="s">
        <v>27</v>
      </c>
      <c r="E7" s="9" t="s">
        <v>28</v>
      </c>
      <c r="F7" s="9" t="s">
        <v>29</v>
      </c>
      <c r="G7" s="9" t="s">
        <v>71</v>
      </c>
    </row>
    <row r="8" customFormat="false" ht="15" hidden="false" customHeight="false" outlineLevel="0" collapsed="false">
      <c r="A8" s="10" t="s">
        <v>30</v>
      </c>
      <c r="B8" s="11" t="n">
        <v>-400000</v>
      </c>
      <c r="C8" s="12"/>
      <c r="D8" s="12"/>
      <c r="E8" s="12"/>
      <c r="F8" s="12"/>
      <c r="G8" s="12"/>
    </row>
    <row r="9" customFormat="false" ht="15" hidden="false" customHeight="false" outlineLevel="0" collapsed="false">
      <c r="A9" s="13" t="s">
        <v>72</v>
      </c>
      <c r="B9" s="14"/>
      <c r="C9" s="16"/>
      <c r="D9" s="16"/>
      <c r="E9" s="16"/>
      <c r="F9" s="16"/>
      <c r="G9" s="16"/>
    </row>
    <row r="10" customFormat="false" ht="15" hidden="false" customHeight="false" outlineLevel="0" collapsed="false">
      <c r="A10" s="10" t="s">
        <v>32</v>
      </c>
      <c r="B10" s="12"/>
      <c r="C10" s="11" t="n">
        <v>-45200</v>
      </c>
      <c r="D10" s="11" t="n">
        <v>-45200</v>
      </c>
      <c r="E10" s="11" t="n">
        <v>-45200</v>
      </c>
      <c r="F10" s="11" t="n">
        <v>-45200</v>
      </c>
      <c r="G10" s="11" t="n">
        <v>-45200</v>
      </c>
    </row>
    <row r="11" customFormat="false" ht="15" hidden="false" customHeight="false" outlineLevel="0" collapsed="false">
      <c r="A11" s="13" t="s">
        <v>73</v>
      </c>
      <c r="B11" s="14"/>
      <c r="C11" s="14"/>
      <c r="D11" s="14"/>
      <c r="E11" s="14"/>
      <c r="F11" s="14"/>
      <c r="G11" s="15" t="n">
        <v>100000</v>
      </c>
    </row>
    <row r="12" customFormat="false" ht="15" hidden="false" customHeight="false" outlineLevel="0" collapsed="false">
      <c r="A12" s="28" t="s">
        <v>35</v>
      </c>
      <c r="B12" s="29" t="n">
        <v>-400000</v>
      </c>
      <c r="C12" s="16"/>
      <c r="D12" s="16"/>
      <c r="E12" s="16"/>
      <c r="F12" s="16"/>
      <c r="G12" s="16"/>
    </row>
    <row r="13" customFormat="false" ht="15" hidden="false" customHeight="false" outlineLevel="0" collapsed="false">
      <c r="A13" s="13" t="s">
        <v>74</v>
      </c>
      <c r="B13" s="14" t="s">
        <v>37</v>
      </c>
      <c r="C13" s="15" t="n">
        <v>1.12</v>
      </c>
      <c r="D13" s="15" t="n">
        <v>1.2544</v>
      </c>
      <c r="E13" s="15" t="n">
        <v>1.4049</v>
      </c>
      <c r="F13" s="15" t="n">
        <v>1.5735</v>
      </c>
      <c r="G13" s="15" t="n">
        <v>1.7623</v>
      </c>
    </row>
    <row r="14" customFormat="false" ht="15" hidden="false" customHeight="true" outlineLevel="0" collapsed="false">
      <c r="A14" s="6" t="s">
        <v>39</v>
      </c>
      <c r="B14" s="6"/>
      <c r="C14" s="6"/>
      <c r="D14" s="6"/>
      <c r="E14" s="6"/>
      <c r="F14" s="6"/>
      <c r="G14" s="6"/>
    </row>
    <row r="16" customFormat="false" ht="15" hidden="false" customHeight="false" outlineLevel="0" collapsed="false">
      <c r="A16" s="18" t="s">
        <v>40</v>
      </c>
      <c r="B16" s="18" t="s">
        <v>41</v>
      </c>
      <c r="C16" s="18"/>
      <c r="D16" s="18"/>
      <c r="E16" s="18"/>
      <c r="F16" s="18"/>
      <c r="G16" s="18"/>
    </row>
    <row r="17" customFormat="false" ht="18.75" hidden="false" customHeight="true" outlineLevel="0" collapsed="false">
      <c r="A17" s="19" t="s">
        <v>75</v>
      </c>
      <c r="B17" s="7" t="s">
        <v>76</v>
      </c>
      <c r="C17" s="7"/>
      <c r="D17" s="7"/>
      <c r="E17" s="7"/>
      <c r="F17" s="7"/>
      <c r="G17" s="7"/>
    </row>
    <row r="18" customFormat="false" ht="18.75" hidden="false" customHeight="true" outlineLevel="0" collapsed="false">
      <c r="A18" s="19" t="s">
        <v>77</v>
      </c>
      <c r="B18" s="7" t="s">
        <v>78</v>
      </c>
      <c r="C18" s="7"/>
      <c r="D18" s="7"/>
      <c r="E18" s="7"/>
      <c r="F18" s="7"/>
      <c r="G18" s="7"/>
    </row>
    <row r="19" customFormat="false" ht="18.75" hidden="false" customHeight="true" outlineLevel="0" collapsed="false">
      <c r="A19" s="19" t="s">
        <v>79</v>
      </c>
      <c r="B19" s="7" t="s">
        <v>80</v>
      </c>
      <c r="C19" s="7"/>
      <c r="D19" s="7"/>
      <c r="E19" s="7"/>
      <c r="F19" s="7"/>
      <c r="G19" s="7"/>
    </row>
    <row r="20" customFormat="false" ht="18.75" hidden="false" customHeight="true" outlineLevel="0" collapsed="false">
      <c r="A20" s="19" t="s">
        <v>81</v>
      </c>
      <c r="B20" s="7" t="s">
        <v>82</v>
      </c>
      <c r="C20" s="7"/>
      <c r="D20" s="7"/>
      <c r="E20" s="7"/>
      <c r="F20" s="7"/>
      <c r="G20" s="7"/>
    </row>
    <row r="21" customFormat="false" ht="18.75" hidden="false" customHeight="true" outlineLevel="0" collapsed="false">
      <c r="A21" s="19" t="s">
        <v>42</v>
      </c>
      <c r="B21" s="7" t="s">
        <v>83</v>
      </c>
      <c r="C21" s="7"/>
      <c r="D21" s="7"/>
      <c r="E21" s="7"/>
      <c r="F21" s="7"/>
      <c r="G21" s="7"/>
    </row>
    <row r="22" customFormat="false" ht="18.75" hidden="false" customHeight="true" outlineLevel="0" collapsed="false">
      <c r="A22" s="19" t="s">
        <v>84</v>
      </c>
      <c r="B22" s="7" t="s">
        <v>45</v>
      </c>
      <c r="C22" s="7"/>
      <c r="D22" s="7"/>
      <c r="E22" s="7"/>
      <c r="F22" s="7"/>
      <c r="G22" s="7"/>
    </row>
    <row r="23" customFormat="false" ht="18.75" hidden="false" customHeight="true" outlineLevel="0" collapsed="false">
      <c r="A23" s="19" t="s">
        <v>85</v>
      </c>
      <c r="B23" s="7" t="s">
        <v>86</v>
      </c>
      <c r="C23" s="7"/>
      <c r="D23" s="7"/>
      <c r="E23" s="7"/>
      <c r="F23" s="7"/>
      <c r="G23" s="7"/>
    </row>
    <row r="25" customFormat="false" ht="15" hidden="false" customHeight="false" outlineLevel="0" collapsed="false">
      <c r="A25" s="18" t="s">
        <v>48</v>
      </c>
      <c r="B25" s="18"/>
      <c r="C25" s="18"/>
      <c r="D25" s="18"/>
      <c r="E25" s="18"/>
      <c r="F25" s="18" t="s">
        <v>49</v>
      </c>
      <c r="G25" s="18" t="s">
        <v>50</v>
      </c>
    </row>
    <row r="26" customFormat="false" ht="33.75" hidden="false" customHeight="true" outlineLevel="0" collapsed="false">
      <c r="A26" s="7" t="s">
        <v>87</v>
      </c>
      <c r="B26" s="7"/>
      <c r="C26" s="7"/>
      <c r="D26" s="7"/>
      <c r="E26" s="7"/>
      <c r="F26" s="16"/>
      <c r="G26" s="20" t="str">
        <f aca="false">IF(F26="","",IF(ABS(F26-(115000))&lt;=0.000000001,"Riktig","Prøv igjen"))</f>
        <v/>
      </c>
    </row>
    <row r="27" customFormat="false" ht="30" hidden="false" customHeight="true" outlineLevel="0" collapsed="false">
      <c r="A27" s="21" t="s">
        <v>52</v>
      </c>
      <c r="B27" s="22" t="s">
        <v>88</v>
      </c>
      <c r="C27" s="22"/>
      <c r="D27" s="22"/>
      <c r="E27" s="22"/>
      <c r="F27" s="22"/>
      <c r="G27" s="22"/>
    </row>
    <row r="29" customFormat="false" ht="33.75" hidden="false" customHeight="true" outlineLevel="0" collapsed="false">
      <c r="A29" s="7" t="s">
        <v>89</v>
      </c>
      <c r="B29" s="7"/>
      <c r="C29" s="7"/>
      <c r="D29" s="7"/>
      <c r="E29" s="7"/>
      <c r="F29" s="16"/>
      <c r="G29" s="20" t="str">
        <f aca="false">IF(F29="","",IF(ABS(F29-(3.48))&lt;=0.01,"Riktig","Prøv igjen"))</f>
        <v/>
      </c>
    </row>
    <row r="30" customFormat="false" ht="30" hidden="false" customHeight="true" outlineLevel="0" collapsed="false">
      <c r="A30" s="21" t="s">
        <v>52</v>
      </c>
      <c r="B30" s="22" t="s">
        <v>90</v>
      </c>
      <c r="C30" s="22"/>
      <c r="D30" s="22"/>
      <c r="E30" s="22"/>
      <c r="F30" s="22"/>
      <c r="G30" s="22"/>
    </row>
    <row r="32" customFormat="false" ht="33.75" hidden="false" customHeight="true" outlineLevel="0" collapsed="false">
      <c r="A32" s="7" t="s">
        <v>91</v>
      </c>
      <c r="B32" s="7"/>
      <c r="C32" s="7"/>
      <c r="D32" s="7"/>
      <c r="E32" s="7"/>
      <c r="F32" s="16"/>
      <c r="G32" s="20" t="str">
        <f aca="false">IF(F32="","",IF(ABS(F32-(71292))&lt;=50,"Riktig","Prøv igjen"))</f>
        <v/>
      </c>
    </row>
    <row r="33" customFormat="false" ht="30" hidden="false" customHeight="true" outlineLevel="0" collapsed="false">
      <c r="A33" s="21" t="s">
        <v>52</v>
      </c>
      <c r="B33" s="22" t="s">
        <v>92</v>
      </c>
      <c r="C33" s="22"/>
      <c r="D33" s="22"/>
      <c r="E33" s="22"/>
      <c r="F33" s="22"/>
      <c r="G33" s="22"/>
    </row>
    <row r="35" customFormat="false" ht="48.75" hidden="false" customHeight="true" outlineLevel="0" collapsed="false">
      <c r="A35" s="7" t="s">
        <v>93</v>
      </c>
      <c r="B35" s="7"/>
      <c r="C35" s="7"/>
      <c r="D35" s="7"/>
      <c r="E35" s="7"/>
    </row>
    <row r="36" customFormat="false" ht="15" hidden="false" customHeight="true" outlineLevel="0" collapsed="false">
      <c r="A36" s="7" t="s">
        <v>94</v>
      </c>
      <c r="B36" s="7"/>
      <c r="C36" s="7"/>
      <c r="D36" s="7"/>
      <c r="E36" s="7"/>
      <c r="F36" s="23"/>
      <c r="G36" s="20" t="str">
        <f aca="false">IF(F36="","",IF(UPPER(TRIM(F36))="JA","Riktig","Prøv igjen"))</f>
        <v/>
      </c>
    </row>
    <row r="37" customFormat="false" ht="15" hidden="false" customHeight="true" outlineLevel="0" collapsed="false">
      <c r="A37" s="7" t="s">
        <v>95</v>
      </c>
      <c r="B37" s="7"/>
      <c r="C37" s="7"/>
      <c r="D37" s="7"/>
      <c r="E37" s="7"/>
      <c r="F37" s="23"/>
      <c r="G37" s="20" t="str">
        <f aca="false">IF(F37="","",IF(UPPER(TRIM(F37))="NEI","Riktig","Prøv igjen"))</f>
        <v/>
      </c>
    </row>
    <row r="38" customFormat="false" ht="15" hidden="false" customHeight="true" outlineLevel="0" collapsed="false">
      <c r="A38" s="7" t="s">
        <v>96</v>
      </c>
      <c r="B38" s="7"/>
      <c r="C38" s="7"/>
      <c r="D38" s="7"/>
      <c r="E38" s="7"/>
      <c r="F38" s="23"/>
      <c r="G38" s="20" t="str">
        <f aca="false">IF(F38="","",IF(UPPER(TRIM(F38))="NEI","Riktig","Prøv igjen"))</f>
        <v/>
      </c>
    </row>
    <row r="39" customFormat="false" ht="15" hidden="false" customHeight="true" outlineLevel="0" collapsed="false">
      <c r="A39" s="7" t="s">
        <v>97</v>
      </c>
      <c r="B39" s="7"/>
      <c r="C39" s="7"/>
      <c r="D39" s="7"/>
      <c r="E39" s="7"/>
      <c r="F39" s="23"/>
      <c r="G39" s="20" t="str">
        <f aca="false">IF(F39="","",IF(UPPER(TRIM(F39))="NEI","Riktig","Prøv igjen"))</f>
        <v/>
      </c>
    </row>
    <row r="40" customFormat="false" ht="15" hidden="false" customHeight="true" outlineLevel="0" collapsed="false">
      <c r="A40" s="7" t="s">
        <v>98</v>
      </c>
      <c r="B40" s="7"/>
      <c r="C40" s="7"/>
      <c r="D40" s="7"/>
      <c r="E40" s="7"/>
      <c r="F40" s="23"/>
      <c r="G40" s="20" t="str">
        <f aca="false">IF(F40="","",IF(UPPER(TRIM(F40))="JA","Riktig","Prøv igjen"))</f>
        <v/>
      </c>
    </row>
    <row r="41" customFormat="false" ht="33.75" hidden="false" customHeight="true" outlineLevel="0" collapsed="false">
      <c r="A41" s="7" t="s">
        <v>99</v>
      </c>
      <c r="B41" s="7"/>
      <c r="C41" s="7"/>
      <c r="D41" s="7"/>
      <c r="E41" s="7"/>
    </row>
    <row r="42" customFormat="false" ht="15" hidden="false" customHeight="false" outlineLevel="0" collapsed="false">
      <c r="A42" s="24"/>
      <c r="B42" s="24"/>
      <c r="C42" s="24"/>
      <c r="D42" s="24"/>
      <c r="E42" s="24"/>
      <c r="F42" s="24"/>
      <c r="G42" s="24"/>
    </row>
    <row r="43" customFormat="false" ht="15" hidden="false" customHeight="false" outlineLevel="0" collapsed="false">
      <c r="A43" s="24"/>
      <c r="B43" s="24"/>
      <c r="C43" s="24"/>
      <c r="D43" s="24"/>
      <c r="E43" s="24"/>
      <c r="F43" s="24"/>
      <c r="G43" s="24"/>
    </row>
    <row r="44" customFormat="false" ht="15" hidden="false" customHeight="false" outlineLevel="0" collapsed="false">
      <c r="A44" s="24"/>
      <c r="B44" s="24"/>
      <c r="C44" s="24"/>
      <c r="D44" s="24"/>
      <c r="E44" s="24"/>
      <c r="F44" s="24"/>
      <c r="G44" s="24"/>
    </row>
    <row r="45" customFormat="false" ht="30" hidden="false" customHeight="true" outlineLevel="0" collapsed="false">
      <c r="A45" s="21" t="s">
        <v>52</v>
      </c>
      <c r="B45" s="22" t="s">
        <v>100</v>
      </c>
      <c r="C45" s="22"/>
      <c r="D45" s="22"/>
      <c r="E45" s="22"/>
      <c r="F45" s="22"/>
      <c r="G45" s="22"/>
    </row>
    <row r="48" customFormat="false" ht="15" hidden="false" customHeight="false" outlineLevel="0" collapsed="false">
      <c r="A48" s="25" t="s">
        <v>61</v>
      </c>
      <c r="B48" s="25"/>
      <c r="C48" s="25"/>
      <c r="D48" s="25"/>
      <c r="E48" s="25"/>
      <c r="F48" s="25"/>
      <c r="G48" s="25"/>
    </row>
    <row r="49" customFormat="false" ht="30" hidden="false" customHeight="true" outlineLevel="0" collapsed="false">
      <c r="A49" s="26" t="s">
        <v>101</v>
      </c>
      <c r="B49" s="27" t="s">
        <v>102</v>
      </c>
      <c r="C49" s="27"/>
      <c r="D49" s="27"/>
      <c r="E49" s="27"/>
      <c r="F49" s="27"/>
      <c r="G49" s="27"/>
    </row>
    <row r="50" customFormat="false" ht="30" hidden="false" customHeight="true" outlineLevel="0" collapsed="false">
      <c r="A50" s="26" t="s">
        <v>103</v>
      </c>
      <c r="B50" s="27" t="s">
        <v>104</v>
      </c>
      <c r="C50" s="27"/>
      <c r="D50" s="27"/>
      <c r="E50" s="27"/>
      <c r="F50" s="27"/>
      <c r="G50" s="27"/>
    </row>
    <row r="52" customFormat="false" ht="33.75" hidden="false" customHeight="true" outlineLevel="0" collapsed="false">
      <c r="A52" s="6" t="s">
        <v>105</v>
      </c>
      <c r="B52" s="6"/>
      <c r="C52" s="6"/>
      <c r="D52" s="6"/>
      <c r="E52" s="6"/>
      <c r="F52" s="6"/>
      <c r="G52" s="6"/>
    </row>
    <row r="53" customFormat="false" ht="15" hidden="false" customHeight="true" outlineLevel="0" collapsed="false">
      <c r="A53" s="6" t="s">
        <v>67</v>
      </c>
      <c r="B53" s="6"/>
      <c r="C53" s="6"/>
      <c r="D53" s="6"/>
      <c r="E53" s="6"/>
      <c r="F53" s="6"/>
      <c r="G53" s="6"/>
    </row>
  </sheetData>
  <mergeCells count="32">
    <mergeCell ref="A4:G4"/>
    <mergeCell ref="A5:G5"/>
    <mergeCell ref="A14:G14"/>
    <mergeCell ref="B16:G16"/>
    <mergeCell ref="B17:G17"/>
    <mergeCell ref="B18:G18"/>
    <mergeCell ref="B19:G19"/>
    <mergeCell ref="B20:G20"/>
    <mergeCell ref="B21:G21"/>
    <mergeCell ref="B22:G22"/>
    <mergeCell ref="B23:G23"/>
    <mergeCell ref="A25:E25"/>
    <mergeCell ref="A26:E26"/>
    <mergeCell ref="B27:G27"/>
    <mergeCell ref="A29:E29"/>
    <mergeCell ref="B30:G30"/>
    <mergeCell ref="A32:E32"/>
    <mergeCell ref="B33:G33"/>
    <mergeCell ref="A35:E35"/>
    <mergeCell ref="A36:E36"/>
    <mergeCell ref="A37:E37"/>
    <mergeCell ref="A38:E38"/>
    <mergeCell ref="A39:E39"/>
    <mergeCell ref="A40:E40"/>
    <mergeCell ref="A41:E41"/>
    <mergeCell ref="A42:G44"/>
    <mergeCell ref="B45:G45"/>
    <mergeCell ref="A48:G48"/>
    <mergeCell ref="B49:G49"/>
    <mergeCell ref="B50:G50"/>
    <mergeCell ref="A52:G52"/>
    <mergeCell ref="A53:G5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106</v>
      </c>
    </row>
    <row r="2" customFormat="false" ht="15" hidden="false" customHeight="false" outlineLevel="0" collapsed="false">
      <c r="A2" s="2" t="s">
        <v>21</v>
      </c>
    </row>
    <row r="4" customFormat="false" ht="48.75" hidden="false" customHeight="true" outlineLevel="0" collapsed="false">
      <c r="A4" s="6" t="s">
        <v>107</v>
      </c>
      <c r="B4" s="6"/>
      <c r="C4" s="6"/>
      <c r="D4" s="6"/>
      <c r="E4" s="6"/>
      <c r="F4" s="6"/>
      <c r="G4" s="6"/>
    </row>
    <row r="5" customFormat="false" ht="78.75" hidden="false" customHeight="true" outlineLevel="0" collapsed="false">
      <c r="A5" s="7" t="s">
        <v>108</v>
      </c>
      <c r="B5" s="7"/>
      <c r="C5" s="7"/>
      <c r="D5" s="7"/>
      <c r="E5" s="7"/>
      <c r="F5" s="7"/>
      <c r="G5" s="7"/>
    </row>
    <row r="7" customFormat="false" ht="15" hidden="false" customHeight="false" outlineLevel="0" collapsed="false">
      <c r="A7" s="8" t="s">
        <v>24</v>
      </c>
      <c r="B7" s="9" t="s">
        <v>25</v>
      </c>
      <c r="C7" s="9" t="s">
        <v>26</v>
      </c>
      <c r="D7" s="9" t="s">
        <v>27</v>
      </c>
      <c r="E7" s="9" t="s">
        <v>28</v>
      </c>
      <c r="F7" s="9" t="s">
        <v>29</v>
      </c>
    </row>
    <row r="8" customFormat="false" ht="15" hidden="false" customHeight="false" outlineLevel="0" collapsed="false">
      <c r="A8" s="10" t="s">
        <v>109</v>
      </c>
      <c r="B8" s="11" t="n">
        <v>-480000</v>
      </c>
      <c r="C8" s="11" t="n">
        <v>170000</v>
      </c>
      <c r="D8" s="11" t="n">
        <v>170000</v>
      </c>
      <c r="E8" s="11" t="n">
        <v>170000</v>
      </c>
      <c r="F8" s="11" t="n">
        <v>170000</v>
      </c>
    </row>
    <row r="9" customFormat="false" ht="15" hidden="false" customHeight="false" outlineLevel="0" collapsed="false">
      <c r="A9" s="13" t="s">
        <v>110</v>
      </c>
      <c r="B9" s="15" t="n">
        <v>-480000</v>
      </c>
      <c r="C9" s="15" t="n">
        <v>154545</v>
      </c>
      <c r="D9" s="15" t="n">
        <v>140496</v>
      </c>
      <c r="E9" s="15" t="n">
        <v>127724</v>
      </c>
      <c r="F9" s="15" t="n">
        <v>116112</v>
      </c>
    </row>
    <row r="10" customFormat="false" ht="15" hidden="false" customHeight="false" outlineLevel="0" collapsed="false">
      <c r="A10" s="10" t="s">
        <v>111</v>
      </c>
      <c r="B10" s="12" t="s">
        <v>37</v>
      </c>
      <c r="C10" s="11" t="n">
        <v>1.16</v>
      </c>
      <c r="D10" s="11" t="n">
        <v>1.3456</v>
      </c>
      <c r="E10" s="11" t="n">
        <v>1.5609</v>
      </c>
      <c r="F10" s="11" t="n">
        <v>1.8106</v>
      </c>
    </row>
    <row r="11" customFormat="false" ht="15" hidden="false" customHeight="false" outlineLevel="0" collapsed="false">
      <c r="A11" s="13" t="s">
        <v>112</v>
      </c>
      <c r="B11" s="15" t="n">
        <v>-480000</v>
      </c>
      <c r="C11" s="16"/>
      <c r="D11" s="16"/>
      <c r="E11" s="16"/>
      <c r="F11" s="16"/>
    </row>
    <row r="12" customFormat="false" ht="15" hidden="false" customHeight="true" outlineLevel="0" collapsed="false">
      <c r="A12" s="6" t="s">
        <v>39</v>
      </c>
      <c r="B12" s="6"/>
      <c r="C12" s="6"/>
      <c r="D12" s="6"/>
      <c r="E12" s="6"/>
      <c r="F12" s="6"/>
      <c r="G12" s="6"/>
    </row>
    <row r="14" customFormat="false" ht="15" hidden="false" customHeight="false" outlineLevel="0" collapsed="false">
      <c r="A14" s="18" t="s">
        <v>40</v>
      </c>
      <c r="B14" s="18" t="s">
        <v>41</v>
      </c>
      <c r="C14" s="18"/>
      <c r="D14" s="18"/>
      <c r="E14" s="18"/>
      <c r="F14" s="18"/>
      <c r="G14" s="18"/>
    </row>
    <row r="15" customFormat="false" ht="18.75" hidden="false" customHeight="true" outlineLevel="0" collapsed="false">
      <c r="A15" s="19" t="s">
        <v>113</v>
      </c>
      <c r="B15" s="7" t="s">
        <v>114</v>
      </c>
      <c r="C15" s="7"/>
      <c r="D15" s="7"/>
      <c r="E15" s="7"/>
      <c r="F15" s="7"/>
      <c r="G15" s="7"/>
    </row>
    <row r="16" customFormat="false" ht="18.75" hidden="false" customHeight="true" outlineLevel="0" collapsed="false">
      <c r="A16" s="19" t="s">
        <v>115</v>
      </c>
      <c r="B16" s="7" t="s">
        <v>116</v>
      </c>
      <c r="C16" s="7"/>
      <c r="D16" s="7"/>
      <c r="E16" s="7"/>
      <c r="F16" s="7"/>
      <c r="G16" s="7"/>
    </row>
    <row r="17" customFormat="false" ht="18.75" hidden="false" customHeight="true" outlineLevel="0" collapsed="false">
      <c r="A17" s="19" t="s">
        <v>117</v>
      </c>
      <c r="B17" s="7" t="s">
        <v>118</v>
      </c>
      <c r="C17" s="7"/>
      <c r="D17" s="7"/>
      <c r="E17" s="7"/>
      <c r="F17" s="7"/>
      <c r="G17" s="7"/>
    </row>
    <row r="19" customFormat="false" ht="15" hidden="false" customHeight="false" outlineLevel="0" collapsed="false">
      <c r="A19" s="18" t="s">
        <v>48</v>
      </c>
      <c r="B19" s="18"/>
      <c r="C19" s="18"/>
      <c r="D19" s="18"/>
      <c r="E19" s="18"/>
      <c r="F19" s="18" t="s">
        <v>49</v>
      </c>
      <c r="G19" s="18" t="s">
        <v>50</v>
      </c>
    </row>
    <row r="20" customFormat="false" ht="33.75" hidden="false" customHeight="true" outlineLevel="0" collapsed="false">
      <c r="A20" s="7" t="s">
        <v>119</v>
      </c>
      <c r="B20" s="7"/>
      <c r="C20" s="7"/>
      <c r="D20" s="7"/>
      <c r="E20" s="7"/>
      <c r="F20" s="16"/>
      <c r="G20" s="20" t="str">
        <f aca="false">IF(F20="","",IF(ABS(F20-(-4309))&lt;=20,"Riktig","Prøv igjen"))</f>
        <v/>
      </c>
    </row>
    <row r="21" customFormat="false" ht="30" hidden="false" customHeight="true" outlineLevel="0" collapsed="false">
      <c r="A21" s="21" t="s">
        <v>52</v>
      </c>
      <c r="B21" s="22" t="s">
        <v>120</v>
      </c>
      <c r="C21" s="22"/>
      <c r="D21" s="22"/>
      <c r="E21" s="22"/>
      <c r="F21" s="22"/>
      <c r="G21" s="22"/>
    </row>
    <row r="23" customFormat="false" ht="33.75" hidden="false" customHeight="true" outlineLevel="0" collapsed="false">
      <c r="A23" s="7" t="s">
        <v>121</v>
      </c>
      <c r="B23" s="7"/>
      <c r="C23" s="7"/>
      <c r="D23" s="7"/>
      <c r="E23" s="7"/>
      <c r="F23" s="16"/>
      <c r="G23" s="20" t="str">
        <f aca="false">IF(F23="","",IF(ABS(F23-(22223))&lt;=5,"Riktig","Prøv igjen"))</f>
        <v/>
      </c>
    </row>
    <row r="24" customFormat="false" ht="30" hidden="false" customHeight="true" outlineLevel="0" collapsed="false">
      <c r="A24" s="21" t="s">
        <v>52</v>
      </c>
      <c r="B24" s="22" t="s">
        <v>122</v>
      </c>
      <c r="C24" s="22"/>
      <c r="D24" s="22"/>
      <c r="E24" s="22"/>
      <c r="F24" s="22"/>
      <c r="G24" s="22"/>
    </row>
    <row r="26" customFormat="false" ht="33.75" hidden="false" customHeight="true" outlineLevel="0" collapsed="false">
      <c r="A26" s="7" t="s">
        <v>123</v>
      </c>
      <c r="B26" s="7"/>
      <c r="C26" s="7"/>
      <c r="D26" s="7"/>
      <c r="E26" s="7"/>
      <c r="F26" s="23"/>
      <c r="G26" s="20" t="str">
        <f aca="false">IF(F26="","",IF(UPPER(TRIM(F26))="B","Riktig","Prøv igjen"))</f>
        <v/>
      </c>
    </row>
    <row r="27" customFormat="false" ht="63.75" hidden="false" customHeight="true" outlineLevel="0" collapsed="false">
      <c r="A27" s="7" t="s">
        <v>124</v>
      </c>
      <c r="B27" s="7"/>
      <c r="C27" s="7"/>
      <c r="D27" s="7"/>
      <c r="E27" s="7"/>
      <c r="F27" s="23"/>
      <c r="G27" s="20" t="str">
        <f aca="false">IF(F27="","",IF(UPPER(TRIM(F27))="B","Riktig","Prøv igjen"))</f>
        <v/>
      </c>
    </row>
    <row r="28" customFormat="false" ht="33.75" hidden="false" customHeight="true" outlineLevel="0" collapsed="false">
      <c r="A28" s="7" t="s">
        <v>125</v>
      </c>
      <c r="B28" s="7"/>
      <c r="C28" s="7"/>
      <c r="D28" s="7"/>
      <c r="E28" s="7"/>
    </row>
    <row r="29" customFormat="false" ht="15" hidden="false" customHeight="false" outlineLevel="0" collapsed="false">
      <c r="A29" s="24"/>
      <c r="B29" s="24"/>
      <c r="C29" s="24"/>
      <c r="D29" s="24"/>
      <c r="E29" s="24"/>
      <c r="F29" s="24"/>
      <c r="G29" s="24"/>
    </row>
    <row r="30" customFormat="false" ht="15" hidden="false" customHeight="false" outlineLevel="0" collapsed="false">
      <c r="A30" s="24"/>
      <c r="B30" s="24"/>
      <c r="C30" s="24"/>
      <c r="D30" s="24"/>
      <c r="E30" s="24"/>
      <c r="F30" s="24"/>
      <c r="G30" s="24"/>
    </row>
    <row r="31" customFormat="false" ht="15" hidden="false" customHeight="false" outlineLevel="0" collapsed="false">
      <c r="A31" s="24"/>
      <c r="B31" s="24"/>
      <c r="C31" s="24"/>
      <c r="D31" s="24"/>
      <c r="E31" s="24"/>
      <c r="F31" s="24"/>
      <c r="G31" s="24"/>
    </row>
    <row r="32" customFormat="false" ht="30" hidden="false" customHeight="true" outlineLevel="0" collapsed="false">
      <c r="A32" s="21" t="s">
        <v>52</v>
      </c>
      <c r="B32" s="22" t="s">
        <v>126</v>
      </c>
      <c r="C32" s="22"/>
      <c r="D32" s="22"/>
      <c r="E32" s="22"/>
      <c r="F32" s="22"/>
      <c r="G32" s="22"/>
    </row>
    <row r="35" customFormat="false" ht="15" hidden="false" customHeight="false" outlineLevel="0" collapsed="false">
      <c r="A35" s="25" t="s">
        <v>61</v>
      </c>
      <c r="B35" s="25"/>
      <c r="C35" s="25"/>
      <c r="D35" s="25"/>
      <c r="E35" s="25"/>
      <c r="F35" s="25"/>
      <c r="G35" s="25"/>
    </row>
    <row r="36" customFormat="false" ht="30" hidden="false" customHeight="true" outlineLevel="0" collapsed="false">
      <c r="A36" s="26" t="s">
        <v>127</v>
      </c>
      <c r="B36" s="27" t="s">
        <v>128</v>
      </c>
      <c r="C36" s="27"/>
      <c r="D36" s="27"/>
      <c r="E36" s="27"/>
      <c r="F36" s="27"/>
      <c r="G36" s="27"/>
    </row>
    <row r="37" customFormat="false" ht="30" hidden="false" customHeight="true" outlineLevel="0" collapsed="false">
      <c r="A37" s="26" t="s">
        <v>129</v>
      </c>
      <c r="B37" s="27" t="s">
        <v>130</v>
      </c>
      <c r="C37" s="27"/>
      <c r="D37" s="27"/>
      <c r="E37" s="27"/>
      <c r="F37" s="27"/>
      <c r="G37" s="27"/>
    </row>
    <row r="39" customFormat="false" ht="33.75" hidden="false" customHeight="true" outlineLevel="0" collapsed="false">
      <c r="A39" s="6" t="s">
        <v>131</v>
      </c>
      <c r="B39" s="6"/>
      <c r="C39" s="6"/>
      <c r="D39" s="6"/>
      <c r="E39" s="6"/>
      <c r="F39" s="6"/>
      <c r="G39" s="6"/>
    </row>
    <row r="40" customFormat="false" ht="15" hidden="false" customHeight="true" outlineLevel="0" collapsed="false">
      <c r="A40" s="6" t="s">
        <v>67</v>
      </c>
      <c r="B40" s="6"/>
      <c r="C40" s="6"/>
      <c r="D40" s="6"/>
      <c r="E40" s="6"/>
      <c r="F40" s="6"/>
      <c r="G40" s="6"/>
    </row>
  </sheetData>
  <mergeCells count="22">
    <mergeCell ref="A4:G4"/>
    <mergeCell ref="A5:G5"/>
    <mergeCell ref="A12:G12"/>
    <mergeCell ref="B14:G14"/>
    <mergeCell ref="B15:G15"/>
    <mergeCell ref="B16:G16"/>
    <mergeCell ref="B17:G17"/>
    <mergeCell ref="A19:E19"/>
    <mergeCell ref="A20:E20"/>
    <mergeCell ref="B21:G21"/>
    <mergeCell ref="A23:E23"/>
    <mergeCell ref="B24:G24"/>
    <mergeCell ref="A26:E26"/>
    <mergeCell ref="A27:E27"/>
    <mergeCell ref="A28:E28"/>
    <mergeCell ref="A29:G31"/>
    <mergeCell ref="B32:G32"/>
    <mergeCell ref="A35:G35"/>
    <mergeCell ref="B36:G36"/>
    <mergeCell ref="B37:G37"/>
    <mergeCell ref="A39:G39"/>
    <mergeCell ref="A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132</v>
      </c>
    </row>
    <row r="2" customFormat="false" ht="15" hidden="false" customHeight="false" outlineLevel="0" collapsed="false">
      <c r="A2" s="2" t="s">
        <v>21</v>
      </c>
    </row>
    <row r="4" customFormat="false" ht="48.75" hidden="false" customHeight="true" outlineLevel="0" collapsed="false">
      <c r="A4" s="6" t="s">
        <v>133</v>
      </c>
      <c r="B4" s="6"/>
      <c r="C4" s="6"/>
      <c r="D4" s="6"/>
      <c r="E4" s="6"/>
      <c r="F4" s="6"/>
      <c r="G4" s="6"/>
    </row>
    <row r="5" customFormat="false" ht="93.75" hidden="false" customHeight="true" outlineLevel="0" collapsed="false">
      <c r="A5" s="7" t="s">
        <v>134</v>
      </c>
      <c r="B5" s="7"/>
      <c r="C5" s="7"/>
      <c r="D5" s="7"/>
      <c r="E5" s="7"/>
      <c r="F5" s="7"/>
      <c r="G5" s="7"/>
    </row>
    <row r="7" customFormat="false" ht="15" hidden="false" customHeight="false" outlineLevel="0" collapsed="false">
      <c r="A7" s="8" t="s">
        <v>24</v>
      </c>
      <c r="B7" s="9" t="s">
        <v>25</v>
      </c>
      <c r="C7" s="9" t="s">
        <v>26</v>
      </c>
      <c r="D7" s="9" t="s">
        <v>27</v>
      </c>
      <c r="E7" s="9" t="s">
        <v>28</v>
      </c>
      <c r="F7" s="9" t="s">
        <v>29</v>
      </c>
      <c r="G7" s="9" t="s">
        <v>71</v>
      </c>
    </row>
    <row r="8" customFormat="false" ht="15" hidden="false" customHeight="false" outlineLevel="0" collapsed="false">
      <c r="A8" s="10" t="s">
        <v>135</v>
      </c>
      <c r="B8" s="11" t="n">
        <v>-150000</v>
      </c>
      <c r="C8" s="11" t="n">
        <v>55000</v>
      </c>
      <c r="D8" s="11" t="n">
        <v>55000</v>
      </c>
      <c r="E8" s="11" t="n">
        <v>55000</v>
      </c>
      <c r="F8" s="11" t="n">
        <v>55000</v>
      </c>
      <c r="G8" s="11" t="n">
        <v>65000</v>
      </c>
    </row>
    <row r="9" customFormat="false" ht="15" hidden="false" customHeight="false" outlineLevel="0" collapsed="false">
      <c r="A9" s="13" t="s">
        <v>74</v>
      </c>
      <c r="B9" s="14" t="s">
        <v>37</v>
      </c>
      <c r="C9" s="15" t="n">
        <v>1.12</v>
      </c>
      <c r="D9" s="15" t="n">
        <v>1.2544</v>
      </c>
      <c r="E9" s="15" t="n">
        <v>1.4049</v>
      </c>
      <c r="F9" s="15" t="n">
        <v>1.5735</v>
      </c>
      <c r="G9" s="15" t="n">
        <v>1.7623</v>
      </c>
    </row>
    <row r="10" customFormat="false" ht="15" hidden="false" customHeight="false" outlineLevel="0" collapsed="false">
      <c r="A10" s="10" t="s">
        <v>136</v>
      </c>
      <c r="B10" s="11" t="n">
        <v>-150000</v>
      </c>
      <c r="C10" s="16"/>
      <c r="D10" s="16"/>
      <c r="E10" s="16"/>
      <c r="F10" s="16"/>
      <c r="G10" s="16"/>
    </row>
    <row r="11" customFormat="false" ht="15" hidden="false" customHeight="false" outlineLevel="0" collapsed="false">
      <c r="A11" s="13" t="s">
        <v>137</v>
      </c>
      <c r="B11" s="15" t="n">
        <v>-400000</v>
      </c>
      <c r="C11" s="15" t="n">
        <v>115000</v>
      </c>
      <c r="D11" s="15" t="n">
        <v>115000</v>
      </c>
      <c r="E11" s="15" t="n">
        <v>115000</v>
      </c>
      <c r="F11" s="15" t="n">
        <v>115000</v>
      </c>
      <c r="G11" s="15" t="n">
        <v>215000</v>
      </c>
    </row>
    <row r="12" customFormat="false" ht="15" hidden="false" customHeight="true" outlineLevel="0" collapsed="false">
      <c r="A12" s="6" t="s">
        <v>39</v>
      </c>
      <c r="B12" s="6"/>
      <c r="C12" s="6"/>
      <c r="D12" s="6"/>
      <c r="E12" s="6"/>
      <c r="F12" s="6"/>
      <c r="G12" s="6"/>
    </row>
    <row r="14" customFormat="false" ht="15" hidden="false" customHeight="false" outlineLevel="0" collapsed="false">
      <c r="A14" s="18" t="s">
        <v>40</v>
      </c>
      <c r="B14" s="18" t="s">
        <v>41</v>
      </c>
      <c r="C14" s="18"/>
      <c r="D14" s="18"/>
      <c r="E14" s="18"/>
      <c r="F14" s="18"/>
      <c r="G14" s="18"/>
    </row>
    <row r="15" customFormat="false" ht="18.75" hidden="false" customHeight="true" outlineLevel="0" collapsed="false">
      <c r="A15" s="19" t="s">
        <v>138</v>
      </c>
      <c r="B15" s="7" t="s">
        <v>139</v>
      </c>
      <c r="C15" s="7"/>
      <c r="D15" s="7"/>
      <c r="E15" s="7"/>
      <c r="F15" s="7"/>
      <c r="G15" s="7"/>
    </row>
    <row r="16" customFormat="false" ht="18.75" hidden="false" customHeight="true" outlineLevel="0" collapsed="false">
      <c r="A16" s="19" t="s">
        <v>140</v>
      </c>
      <c r="B16" s="7" t="s">
        <v>141</v>
      </c>
      <c r="C16" s="7"/>
      <c r="D16" s="7"/>
      <c r="E16" s="7"/>
      <c r="F16" s="7"/>
      <c r="G16" s="7"/>
    </row>
    <row r="17" customFormat="false" ht="18.75" hidden="false" customHeight="true" outlineLevel="0" collapsed="false">
      <c r="A17" s="19" t="s">
        <v>142</v>
      </c>
      <c r="B17" s="7" t="s">
        <v>143</v>
      </c>
      <c r="C17" s="7"/>
      <c r="D17" s="7"/>
      <c r="E17" s="7"/>
      <c r="F17" s="7"/>
      <c r="G17" s="7"/>
    </row>
    <row r="18" customFormat="false" ht="18.75" hidden="false" customHeight="true" outlineLevel="0" collapsed="false">
      <c r="A18" s="19" t="s">
        <v>144</v>
      </c>
      <c r="B18" s="7" t="s">
        <v>145</v>
      </c>
      <c r="C18" s="7"/>
      <c r="D18" s="7"/>
      <c r="E18" s="7"/>
      <c r="F18" s="7"/>
      <c r="G18" s="7"/>
    </row>
    <row r="19" customFormat="false" ht="18.75" hidden="false" customHeight="true" outlineLevel="0" collapsed="false">
      <c r="A19" s="19" t="s">
        <v>42</v>
      </c>
      <c r="B19" s="7" t="s">
        <v>83</v>
      </c>
      <c r="C19" s="7"/>
      <c r="D19" s="7"/>
      <c r="E19" s="7"/>
      <c r="F19" s="7"/>
      <c r="G19" s="7"/>
    </row>
    <row r="21" customFormat="false" ht="15" hidden="false" customHeight="false" outlineLevel="0" collapsed="false">
      <c r="A21" s="18" t="s">
        <v>48</v>
      </c>
      <c r="B21" s="18"/>
      <c r="C21" s="18"/>
      <c r="D21" s="18"/>
      <c r="E21" s="18"/>
      <c r="F21" s="18" t="s">
        <v>49</v>
      </c>
      <c r="G21" s="18" t="s">
        <v>50</v>
      </c>
    </row>
    <row r="22" customFormat="false" ht="33.75" hidden="false" customHeight="true" outlineLevel="0" collapsed="false">
      <c r="A22" s="7" t="s">
        <v>146</v>
      </c>
      <c r="B22" s="7"/>
      <c r="C22" s="7"/>
      <c r="D22" s="7"/>
      <c r="E22" s="7"/>
      <c r="F22" s="16"/>
      <c r="G22" s="20" t="str">
        <f aca="false">IF(F22="","",IF(ABS(F22-(53937))&lt;=50,"Riktig","Prøv igjen"))</f>
        <v/>
      </c>
    </row>
    <row r="23" customFormat="false" ht="16.5" hidden="false" customHeight="true" outlineLevel="0" collapsed="false">
      <c r="A23" s="21" t="s">
        <v>52</v>
      </c>
      <c r="B23" s="22" t="s">
        <v>147</v>
      </c>
      <c r="C23" s="22"/>
      <c r="D23" s="22"/>
      <c r="E23" s="22"/>
      <c r="F23" s="22"/>
      <c r="G23" s="22"/>
    </row>
    <row r="25" customFormat="false" ht="33.75" hidden="false" customHeight="true" outlineLevel="0" collapsed="false">
      <c r="A25" s="7" t="s">
        <v>148</v>
      </c>
      <c r="B25" s="7"/>
      <c r="C25" s="7"/>
      <c r="D25" s="7"/>
      <c r="E25" s="7"/>
      <c r="F25" s="16"/>
      <c r="G25" s="20" t="str">
        <f aca="false">IF(F25="","",IF(ABS(F25-(2.73))&lt;=0.01,"Riktig","Prøv igjen"))</f>
        <v/>
      </c>
    </row>
    <row r="26" customFormat="false" ht="16.5" hidden="false" customHeight="true" outlineLevel="0" collapsed="false">
      <c r="A26" s="21" t="s">
        <v>52</v>
      </c>
      <c r="B26" s="22" t="s">
        <v>149</v>
      </c>
      <c r="C26" s="22"/>
      <c r="D26" s="22"/>
      <c r="E26" s="22"/>
      <c r="F26" s="22"/>
      <c r="G26" s="22"/>
    </row>
    <row r="28" customFormat="false" ht="63.75" hidden="false" customHeight="true" outlineLevel="0" collapsed="false">
      <c r="A28" s="7" t="s">
        <v>150</v>
      </c>
      <c r="B28" s="7"/>
      <c r="C28" s="7"/>
      <c r="D28" s="7"/>
      <c r="E28" s="7"/>
      <c r="F28" s="23"/>
      <c r="G28" s="20" t="str">
        <f aca="false">IF(F28="","",IF(UPPER(TRIM(F28))="B","Riktig","Prøv igjen"))</f>
        <v/>
      </c>
    </row>
    <row r="29" customFormat="false" ht="48.75" hidden="false" customHeight="true" outlineLevel="0" collapsed="false">
      <c r="A29" s="7" t="s">
        <v>151</v>
      </c>
      <c r="B29" s="7"/>
      <c r="C29" s="7"/>
      <c r="D29" s="7"/>
      <c r="E29" s="7"/>
      <c r="F29" s="23"/>
      <c r="G29" s="20" t="str">
        <f aca="false">IF(F29="","",IF(UPPER(TRIM(F29))="B","Riktig","Prøv igjen"))</f>
        <v/>
      </c>
    </row>
    <row r="30" customFormat="false" ht="33.75" hidden="false" customHeight="true" outlineLevel="0" collapsed="false">
      <c r="A30" s="7" t="s">
        <v>152</v>
      </c>
      <c r="B30" s="7"/>
      <c r="C30" s="7"/>
      <c r="D30" s="7"/>
      <c r="E30" s="7"/>
    </row>
    <row r="31" customFormat="false" ht="15" hidden="false" customHeight="false" outlineLevel="0" collapsed="false">
      <c r="A31" s="24"/>
      <c r="B31" s="24"/>
      <c r="C31" s="24"/>
      <c r="D31" s="24"/>
      <c r="E31" s="24"/>
      <c r="F31" s="24"/>
      <c r="G31" s="24"/>
    </row>
    <row r="32" customFormat="false" ht="15" hidden="false" customHeight="false" outlineLevel="0" collapsed="false">
      <c r="A32" s="24"/>
      <c r="B32" s="24"/>
      <c r="C32" s="24"/>
      <c r="D32" s="24"/>
      <c r="E32" s="24"/>
      <c r="F32" s="24"/>
      <c r="G32" s="24"/>
    </row>
    <row r="33" customFormat="false" ht="15" hidden="false" customHeight="false" outlineLevel="0" collapsed="false">
      <c r="A33" s="24"/>
      <c r="B33" s="24"/>
      <c r="C33" s="24"/>
      <c r="D33" s="24"/>
      <c r="E33" s="24"/>
      <c r="F33" s="24"/>
      <c r="G33" s="24"/>
    </row>
    <row r="34" customFormat="false" ht="30" hidden="false" customHeight="true" outlineLevel="0" collapsed="false">
      <c r="A34" s="21" t="s">
        <v>52</v>
      </c>
      <c r="B34" s="22" t="s">
        <v>153</v>
      </c>
      <c r="C34" s="22"/>
      <c r="D34" s="22"/>
      <c r="E34" s="22"/>
      <c r="F34" s="22"/>
      <c r="G34" s="22"/>
    </row>
    <row r="37" customFormat="false" ht="15" hidden="false" customHeight="false" outlineLevel="0" collapsed="false">
      <c r="A37" s="25" t="s">
        <v>61</v>
      </c>
      <c r="B37" s="25"/>
      <c r="C37" s="25"/>
      <c r="D37" s="25"/>
      <c r="E37" s="25"/>
      <c r="F37" s="25"/>
      <c r="G37" s="25"/>
    </row>
    <row r="38" customFormat="false" ht="30" hidden="false" customHeight="true" outlineLevel="0" collapsed="false">
      <c r="A38" s="26" t="s">
        <v>154</v>
      </c>
      <c r="B38" s="27" t="s">
        <v>155</v>
      </c>
      <c r="C38" s="27"/>
      <c r="D38" s="27"/>
      <c r="E38" s="27"/>
      <c r="F38" s="27"/>
      <c r="G38" s="27"/>
    </row>
    <row r="39" customFormat="false" ht="30" hidden="false" customHeight="true" outlineLevel="0" collapsed="false">
      <c r="A39" s="26" t="s">
        <v>156</v>
      </c>
      <c r="B39" s="27" t="s">
        <v>157</v>
      </c>
      <c r="C39" s="27"/>
      <c r="D39" s="27"/>
      <c r="E39" s="27"/>
      <c r="F39" s="27"/>
      <c r="G39" s="27"/>
    </row>
    <row r="41" customFormat="false" ht="33.75" hidden="false" customHeight="true" outlineLevel="0" collapsed="false">
      <c r="A41" s="6" t="s">
        <v>158</v>
      </c>
      <c r="B41" s="6"/>
      <c r="C41" s="6"/>
      <c r="D41" s="6"/>
      <c r="E41" s="6"/>
      <c r="F41" s="6"/>
      <c r="G41" s="6"/>
    </row>
    <row r="42" customFormat="false" ht="15" hidden="false" customHeight="true" outlineLevel="0" collapsed="false">
      <c r="A42" s="6" t="s">
        <v>67</v>
      </c>
      <c r="B42" s="6"/>
      <c r="C42" s="6"/>
      <c r="D42" s="6"/>
      <c r="E42" s="6"/>
      <c r="F42" s="6"/>
      <c r="G42" s="6"/>
    </row>
  </sheetData>
  <mergeCells count="24">
    <mergeCell ref="A4:G4"/>
    <mergeCell ref="A5:G5"/>
    <mergeCell ref="A12:G12"/>
    <mergeCell ref="B14:G14"/>
    <mergeCell ref="B15:G15"/>
    <mergeCell ref="B16:G16"/>
    <mergeCell ref="B17:G17"/>
    <mergeCell ref="B18:G18"/>
    <mergeCell ref="B19:G19"/>
    <mergeCell ref="A21:E21"/>
    <mergeCell ref="A22:E22"/>
    <mergeCell ref="B23:G23"/>
    <mergeCell ref="A25:E25"/>
    <mergeCell ref="B26:G26"/>
    <mergeCell ref="A28:E28"/>
    <mergeCell ref="A29:E29"/>
    <mergeCell ref="A30:E30"/>
    <mergeCell ref="A31:G33"/>
    <mergeCell ref="B34:G34"/>
    <mergeCell ref="A37:G37"/>
    <mergeCell ref="B38:G38"/>
    <mergeCell ref="B39:G39"/>
    <mergeCell ref="A41:G41"/>
    <mergeCell ref="A42:G4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2026-10-11T10:00:07Z</dcterms:created>
  <dc:creator>openpyxl</dc:creator>
  <dc:description/>
  <dc:language>en-US</dc:language>
  <cp:lastModifiedBy/>
  <dcterms:modified xsi:type="dcterms:W3CDTF">2026-10-11T10:00:07Z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