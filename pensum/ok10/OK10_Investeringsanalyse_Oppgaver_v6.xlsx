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 sheetId="1" state="visible" r:id="rId3"/>
    <sheet name="1A" sheetId="2" state="visible" r:id="rId4"/>
    <sheet name="1B" sheetId="3" state="visible" r:id="rId5"/>
    <sheet name="1C" sheetId="4" state="visible" r:id="rId6"/>
    <sheet name="Fasit"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<sst xmlns="http://schemas.openxmlformats.org/spreadsheetml/2006/main" count="152" uniqueCount="124">
  <si>
    <t xml:space="preserve">Investeringsanalyse: oppgaver til kapittel 10</t>
  </si>
  <si>
    <t xml:space="preserve">Økonomistyring for LØM-emnet (Hjertnes og Skorpen), kapittel 10. Versjon 6, oktober 2026. Nordlys Elektro AS er en konstruert casebedrift; tallene er faktaarkets.</t>
  </si>
  <si>
    <t xml:space="preserve">Slik bruker du arbeidsboka</t>
  </si>
  <si>
    <t xml:space="preserve">Hver fane er én oppgave. Øverst på fanen står situasjonen, så begrepene og tallene du trenger, så oppgaven trinn for trinn, og til slutt svarfeltene. Alt du trenger for å løse oppgaven, står på fanen. Du kan jobbe alene, i par eller i gruppe; det velger du selv.</t>
  </si>
  <si>
    <t xml:space="preserve">Fargene forteller hva du skal gjøre. Gule celler fyller du inn selv. Hvite celler er tall som er gitt. Grønne celler regner arket ut for deg, og dem skal du ikke endre.</t>
  </si>
  <si>
    <t xml:space="preserve">Ved siden av hvert svarfelt står en sjekk. Den sier «Riktig» når svaret stemmer. Er svaret feil, sier den hva som sannsynligvis gikk galt, slik at du vet hva du skal se på en gang til. Sjekken gir ikke svaret.</t>
  </si>
  <si>
    <t xml:space="preserve">Står du helt fast, skriver du JA i cellen «Står du fast?» på fanen. Da kommer regnestykket fram med ord. Fasiten med alle tall og utregninger ligger på den siste fanen, «Fasit». Prøv oppgaven selv før du ser der.</t>
  </si>
  <si>
    <t xml:space="preserve">Fanene</t>
  </si>
  <si>
    <t xml:space="preserve">1A  Termograferingsutstyret: kontantstrømmen og tilbakebetalingstiden</t>
  </si>
  <si>
    <t xml:space="preserve">1B  Termograferingsutstyret: nåverdien ved 10 % og 16 %</t>
  </si>
  <si>
    <t xml:space="preserve">1C  Termograferingsutstyret med reservedelslager, og Toms 7,5 %</t>
  </si>
  <si>
    <t xml:space="preserve">Fasit  Alle svar med regnestykket skrevet ut</t>
  </si>
  <si>
    <t xml:space="preserve">Dette er øvingsmateriell til repetisjons- og øvingsstøtte. I besvarelser, caser, prosjektoppgaver og eksamen gjelder lærebøkene og oppgitte primærkilder.</t>
  </si>
  <si>
    <t xml:space="preserve">Oppgave 1A: Termograferingsutstyret: kontantstrømmen og tilbakebetalingstiden</t>
  </si>
  <si>
    <t xml:space="preserve">Alene, i par eller i gruppe, slik du vil.</t>
  </si>
  <si>
    <t xml:space="preserve">Situasjonen</t>
  </si>
  <si>
    <t xml:space="preserve">Nordlys Elektro AS leier i dag inn termografering hver gang en kunde vil ha varmesøk på en tavle. Kari (daglig leder) har fått pris på eget utstyr: 480 000 kr uten merverdiavgift. Med eget utstyr regner hun med 260 000 kr mer inn og 90 000 kr mer ut hvert år i fire år (strøm, kalibrering, forsikring). Etterpå er utstyret verdiløst. Ledelsen krever at en investering er tilbakebetalt innen 3 år. Tom (driftsleder) sier: fire ganger 170 000 er 680 000, så vi tjener 200 000. Du setter opp kontantstrømmen.</t>
  </si>
  <si>
    <t xml:space="preserve">Begrepene du trenger</t>
  </si>
  <si>
    <t xml:space="preserve">Kontantstrøm: pengene som går inn og ut av kassa på grunn av investeringen, år for år. År 0 er kjøpsdagen; der står investeringen med minus. Innbetalingsoverskudd per år = innbetalinger − utbetalinger. Akkumulert kontantstrøm: summen fra år 0 og fram til og med året. Tilbakebetalingstid = investeringsutgift / årlig innbetalingsoverskudd. Regel: gjennomfør hvis tiden er innenfor kravet ledelsen har satt.</t>
  </si>
  <si>
    <t xml:space="preserve">Tallene, i kroner</t>
  </si>
  <si>
    <t xml:space="preserve">Tabellen under er kontantstrømmen slik boka setter den opp (tabell 10.1), men snudd: hvert år er en rad. År 0 er kjøpsdagen. Investeringen står som utbetaling i år 0. Innbetalingene og utbetalingene fra driften legges til slutten av hvert år.</t>
  </si>
  <si>
    <t xml:space="preserve">År</t>
  </si>
  <si>
    <t xml:space="preserve">Innbetalinger</t>
  </si>
  <si>
    <t xml:space="preserve">Utbetalinger (investeringen i år 0)</t>
  </si>
  <si>
    <t xml:space="preserve">Kontantstrøm (inn − ut)</t>
  </si>
  <si>
    <t xml:space="preserve">Akkumulert kontantstrøm</t>
  </si>
  <si>
    <t xml:space="preserve">År 0 (kjøpsdagen)</t>
  </si>
  <si>
    <t xml:space="preserve">År 1</t>
  </si>
  <si>
    <t xml:space="preserve">År 2</t>
  </si>
  <si>
    <t xml:space="preserve">År 3</t>
  </si>
  <si>
    <t xml:space="preserve">År 4</t>
  </si>
  <si>
    <t xml:space="preserve">Oppgaven, trinn for trinn</t>
  </si>
  <si>
    <t xml:space="preserve">1. Fyll inn kontantstrømmen i år 0 (gul celle). Pengene går ut av kassa, så fortegnet er minus. År 2 til 4 henter arket fra år 1 (grønne celler).
2. Fyll inn kontantstrømmen i år 1: innbetalinger minus utbetalinger.
3. Fyll inn akkumulert kontantstrøm år for år: forrige års akkumulerte pluss årets kontantstrøm. År 0 henter arket selv.
4. Regn tilbakebetalingstiden i den gule cellen under, med to desimaler.
5. Svar Ja eller Nei for hver av de fem postene nederst: hører posten hjemme i kontantstrømmen?</t>
  </si>
  <si>
    <t xml:space="preserve">Sjekk av tabellen</t>
  </si>
  <si>
    <t xml:space="preserve">Kontantstrøm år 0:</t>
  </si>
  <si>
    <t xml:space="preserve">Kontantstrøm år 1:</t>
  </si>
  <si>
    <t xml:space="preserve">Akkumulert etter år 1:</t>
  </si>
  <si>
    <t xml:space="preserve">Akkumulert etter år 2:</t>
  </si>
  <si>
    <t xml:space="preserve">Akkumulert etter år 3:</t>
  </si>
  <si>
    <t xml:space="preserve">Akkumulert etter år 4:</t>
  </si>
  <si>
    <t xml:space="preserve">Tilbakebetalingstid i år, to desimaler: investeringsutgift delt på årlig innbetalingsoverskudd</t>
  </si>
  <si>
    <t xml:space="preserve">år</t>
  </si>
  <si>
    <t xml:space="preserve">Hører posten hjemme i kontantstrømmen? Velg Ja eller Nei.</t>
  </si>
  <si>
    <t xml:space="preserve">Kjøpesummen 480 000 kr</t>
  </si>
  <si>
    <t xml:space="preserve">De 260 000 kr mer inn per år</t>
  </si>
  <si>
    <t xml:space="preserve">De 90 000 kr mer ut per år (strøm, kalibrering, forsikring)</t>
  </si>
  <si>
    <t xml:space="preserve">Avskrivningen på 120 000 kr i året</t>
  </si>
  <si>
    <t xml:space="preserve">Demonstrasjonen av kameraet, 5 000 kr, som Nordlys alt har betalt</t>
  </si>
  <si>
    <t xml:space="preserve">Står du fast? Skriv JA i den gule cellen:</t>
  </si>
  <si>
    <t xml:space="preserve">Gule celler fyller du inn. Grønne regnes ut av arket. Sjekken til høyre forteller om svaret stemmer, og hva du bør se på hvis ikke.</t>
  </si>
  <si>
    <t xml:space="preserve">Oppgave 1B: Termograferingsutstyret: nåverdien ved 10 % og 16 %</t>
  </si>
  <si>
    <t xml:space="preserve">Ida (kalkulatør) sier at Toms 200 000 kr er bokas naive beregning: han legger sammen kroner fra fem ulike år. 170 000 kr om fire år er ikke like mye verdt som 170 000 kr i dag, for pengene kunne vært satt i arbeid i mellomtiden. Nordlys krever 10 % avkastning på pengene sine. Ida mener kravet egentlig burde være 16 %, fordi termografering er nytt for Nordlys og konkurrentene allerede har utstyr. Du regner nåverdien begge veier.</t>
  </si>
  <si>
    <t xml:space="preserve">Pengenes tidsverdi: en krone i dag er mer verdt enn en krone i morgen. Verdi i dag = beløp / (1 + avkastningskrav) opphøyd i antall år. Nåverdi = summen av alle beløp regnet om til kjøpsdagen, minus investeringen. Regel: nåverdi over 0 betyr lønnsom; under 0 betyr ulønnsom. Avkastningskravet (kalkulasjonsrenten) = risikofri avkastning + risikotillegg. Jo høyere krav, jo lavere nåverdi.</t>
  </si>
  <si>
    <t xml:space="preserve">Tallene</t>
  </si>
  <si>
    <t xml:space="preserve">Kontantstrømmen fra 1A: −480 000 kr i år 0 og 170 000 kr i hvert av årene 1 til 4. Nordlys krever 10 % avkastning på pengene. Beløp som kommer senere, regnes om til dagens kroner ved å dele på 1,10 opphøyd i antall år. Arket regner ut hva du skal dele på (grønne celler).</t>
  </si>
  <si>
    <t xml:space="preserve">Innbetalingen i</t>
  </si>
  <si>
    <t xml:space="preserve">Beløp</t>
  </si>
  <si>
    <t xml:space="preserve">Del på: 1,10 opphøyd i år</t>
  </si>
  <si>
    <t xml:space="preserve">Verdt i dag ved 10 %</t>
  </si>
  <si>
    <t xml:space="preserve">Sum, verdt i dag</t>
  </si>
  <si>
    <t xml:space="preserve">Minus investeringen i år 0</t>
  </si>
  <si>
    <t xml:space="preserve">Nåverdi ved 10 %</t>
  </si>
  <si>
    <t xml:space="preserve">1. Regn hvert av de fire beløpene om til dagens kroner: 170 000 delt på tallet i kolonnen ved siden av. Hele kroner.
2. Arket summerer. Trekk fra investeringen og skriv nåverdien i den gule cellen.
3. Regn så nåverdien på nytt med 16 % krav i den gule cellen under (del på 1,16 opphøyd i år). Det er det Ida mener kravet burde være, fordi termografering er nytt for Nordlys.
4. Skriv til Kari: hva betyr de to nåverdiene, og hva anbefaler du?</t>
  </si>
  <si>
    <t xml:space="preserve">Verdt i dag, år 1:</t>
  </si>
  <si>
    <t xml:space="preserve">Verdt i dag, år 2:</t>
  </si>
  <si>
    <t xml:space="preserve">Verdt i dag, år 3:</t>
  </si>
  <si>
    <t xml:space="preserve">Verdt i dag, år 4:</t>
  </si>
  <si>
    <t xml:space="preserve">Nåverdi ved 10 %:</t>
  </si>
  <si>
    <t xml:space="preserve">Nåverdi ved 16 % krav, hele kroner</t>
  </si>
  <si>
    <t xml:space="preserve">kr</t>
  </si>
  <si>
    <t xml:space="preserve">Til Kari: nåverdien er positiv ved 10 % og negativ ved 16 %. Hva betyr det, og hva anbefaler du? Bruk ordene nåverdi og krav. (To–tre setninger.)</t>
  </si>
  <si>
    <t xml:space="preserve">Oppgave 1C: Termograferingsutstyret med reservedelslager, og Toms 7,5 %</t>
  </si>
  <si>
    <t xml:space="preserve">Ronny (formann) har snakket med leverandøren: utstyret trenger et reservedelslager på 30 000 kr fra første dag, og pengene i lageret kommer tilbake når utstyret avvikles etter fire år. Tom mener dessuten at kravet bør være bankens rente på lånene, 7,5 % (kapittel 6), ikke 10 %. Ida nøler: med lageret er tilbakebetalingstiden akkurat på kravet. Kari skal legge saken fram for styret og spør deg.</t>
  </si>
  <si>
    <t xml:space="preserve">Kapitalbinding i omløpsmidler: penger som bindes i lager eller kundefordringer fordi investeringen gjennomføres. Står med minus i år 0 og pluss i siste år, fordi pengene frigjøres når levetiden er slutt. Restverdi virker likt: pluss i siste år. Sunk cost: penger som alt er brukt; de skal aldri med. Avkastningskravet er ikke lånerenten, men risikofri avkastning pluss risikotillegg. Alle tall i kontantstrømmen er budsjetterte anslag.</t>
  </si>
  <si>
    <t xml:space="preserve">Samme utstyr som i 1A og 1B, men Ronny sier at utstyret trenger et reservedelslager på 30 000 kr fra første dag. Pengene i lageret kommer tilbake når utstyret avvikles etter fire år. Boka kaller det kapitalbinding i omløpsmidler: minus i år 0, pluss i siste år (innledningen og tabell 10.1). Nordlys krever 10 %. Tom vil heller bruke bankens rente på lånene, 7,5 % (kapittel 6).</t>
  </si>
  <si>
    <t xml:space="preserve">Utstyret</t>
  </si>
  <si>
    <t xml:space="preserve">Lageret</t>
  </si>
  <si>
    <t xml:space="preserve">Inn − ut fra driften</t>
  </si>
  <si>
    <t xml:space="preserve">Kontantstrøm</t>
  </si>
  <si>
    <t xml:space="preserve">År 4 (lageret frigjøres)</t>
  </si>
  <si>
    <t xml:space="preserve">1. Fyll inn kontantstrømmen i år 0 og år 4 (gule celler). År 1 til 3 henter arket.
2. Regn tilbakebetalingstiden i a: hele investeringsutgiften i år 0 delt på det driften gir per år.
3. Regn nåverdien ved 10 % i b: del hvert års kontantstrøm på 1,10 opphøyd i år, legg sammen, og trekk fra beløpet i år 0.
4. Regn nåverdien én gang til i c, med Toms 7,5 %.
5. Svar på d, og skriv anbefalingen til Kari i e.</t>
  </si>
  <si>
    <t xml:space="preserve">Kontantstrøm år 4:</t>
  </si>
  <si>
    <t xml:space="preserve">a) Tilbakebetalingstid i år, to desimaler: hele investeringsutgiften i år 0 delt på årlig innbetalingsoverskudd</t>
  </si>
  <si>
    <t xml:space="preserve">b) Nåverdi ved 10 %, hele kroner</t>
  </si>
  <si>
    <t xml:space="preserve">c) Nåverdi ved Toms 7,5 %, hele kroner</t>
  </si>
  <si>
    <t xml:space="preserve">d) Tom sier: «Banken tar 7,5 %, så kravet bør være 7,5 %.» Stemmer det etter boka?</t>
  </si>
  <si>
    <t xml:space="preserve">e) Tom vil kjøpe, Ida nøler fordi tilbakebetalingstiden nå er akkurat på kravet. Hva sier du til Kari? Én setning om lønnsomheten (nåverdien) og én om risikoen.</t>
  </si>
  <si>
    <t xml:space="preserve">Fasit, kapittel 10</t>
  </si>
  <si>
    <t xml:space="preserve">Prøv oppgaven selv før du leser her. Regnestykket står ved siden av hvert svar. Tallene hentes fra fasitformlene, så de stemmer alltid med oppgavefanene.</t>
  </si>
  <si>
    <t xml:space="preserve">Oppgave</t>
  </si>
  <si>
    <t xml:space="preserve">Svar</t>
  </si>
  <si>
    <t xml:space="preserve">Regnestykket</t>
  </si>
  <si>
    <t xml:space="preserve">1A Kontantstrøm år 0</t>
  </si>
  <si>
    <t xml:space="preserve">Investeringen, 480 000 kr ut av kassa: −480 000 kr</t>
  </si>
  <si>
    <t xml:space="preserve">1A Kontantstrøm år 1 til 4</t>
  </si>
  <si>
    <t xml:space="preserve">260 000 − 90 000 = 170 000 kr per år</t>
  </si>
  <si>
    <t xml:space="preserve">1A Akkumulert etter år 1 til 4</t>
  </si>
  <si>
    <t xml:space="preserve">−310 000, −140 000, +30 000, +200 000 kr. Pengene er tilbake i løpet av år 3</t>
  </si>
  <si>
    <t xml:space="preserve">1A Tilbakebetalingstid</t>
  </si>
  <si>
    <t xml:space="preserve">480 000 / 170 000 = 2,82 år. Innenfor kravet på 3 år</t>
  </si>
  <si>
    <t xml:space="preserve">1A Postene</t>
  </si>
  <si>
    <t xml:space="preserve">Ja: kjøpesummen, innbetalingene, utbetalingene. Nei: avskrivningen (kostnad, ikke utbetaling) og demonstrasjonen (sunk cost)</t>
  </si>
  <si>
    <t xml:space="preserve">1B Verdt i dag, år 1 til 4</t>
  </si>
  <si>
    <t xml:space="preserve">154 545, 140 496, 127 724 og 116 112 kr. Sum 538 877 kr</t>
  </si>
  <si>
    <t xml:space="preserve">1B Nåverdi ved 10 %</t>
  </si>
  <si>
    <t xml:space="preserve">538 877 − 480 000 = 58 877 kr. Positiv: lønnsom ved 10 % krav</t>
  </si>
  <si>
    <t xml:space="preserve">1B Nåverdi ved 16 %</t>
  </si>
  <si>
    <t xml:space="preserve">146 552 + 126 338 + 108 912 + 93 889 = 475 691. Minus 480 000 = −4 309 kr. Negativ: ikke lønnsom ved 16 %</t>
  </si>
  <si>
    <t xml:space="preserve">1B Til Kari</t>
  </si>
  <si>
    <t xml:space="preserve">Ved 10 % gir utstyret 58 877 kr mer enn kravet, i dagens kroner. Ved 16 % mangler det 4 309 kr. Utstyret gir 15,55 % selv (internrenten), så svaret avgjøres av hvilket krav styret setter</t>
  </si>
  <si>
    <t xml:space="preserve">1C Kontantstrøm år 0</t>
  </si>
  <si>
    <t xml:space="preserve">−480 000 − 30 000 = −510 000 kr</t>
  </si>
  <si>
    <t xml:space="preserve">1C Kontantstrøm år 4</t>
  </si>
  <si>
    <t xml:space="preserve">170 000 + 30 000 = 200 000 kr</t>
  </si>
  <si>
    <t xml:space="preserve">1C a) Tilbakebetalingstid</t>
  </si>
  <si>
    <t xml:space="preserve">510 000 / 170 000 = 3,00 år. Akkurat på kravet</t>
  </si>
  <si>
    <t xml:space="preserve">1C b) Nåverdi ved 10 %</t>
  </si>
  <si>
    <t xml:space="preserve">−510 000 + 154 545 + 140 496 + 127 724 + 136 602 = 49 368 kr. Lageret koster 30 000 − 20 490 = 9 510 kr i nåverdi</t>
  </si>
  <si>
    <t xml:space="preserve">1C c) Nåverdi ved 7,5 %</t>
  </si>
  <si>
    <t xml:space="preserve">−510 000 + 158 140 + 147 107 + 136 843 + 149 760 = 81 849 kr</t>
  </si>
  <si>
    <t xml:space="preserve">1C d) Toms 7,5 %</t>
  </si>
  <si>
    <t xml:space="preserve">Nei. Kravet er risikofri avkastning pluss risikotillegg, ikke lånerenten (10.2)</t>
  </si>
  <si>
    <t xml:space="preserve">1C e) Til Kari</t>
  </si>
  <si>
    <t xml:space="preserve">Lønnsomt: nåverdi 49 368 kr ved 10 %. Risiko: tilbakebetalingstiden er akkurat 3 år, og alle tall er anslag. Sjekk anslaget på 260 000 kr inn mot dagens innleie</t>
  </si>
</sst>
</file>

<file path=xl/styles.xml><?xml version="1.0" encoding="utf-8"?>
<styleSheet xmlns="http://schemas.openxmlformats.org/spreadsheetml/2006/main">
  <numFmts count="4">
    <numFmt numFmtId="164" formatCode="General"/>
    <numFmt numFmtId="165" formatCode="#,##0"/>
    <numFmt numFmtId="166" formatCode="0.00"/>
    <numFmt numFmtId="167" formatCode="0.0000"/>
  </numFmts>
  <fonts count="11">
    <font>
      <sz val="11"/>
      <color theme="1"/>
      <name val="Calibri"/>
      <family val="2"/>
      <charset val="1"/>
    </font>
    <font>
      <sz val="10"/>
      <name val="Arial"/>
      <family val="0"/>
    </font>
    <font>
      <sz val="10"/>
      <name val="Arial"/>
      <family val="0"/>
    </font>
    <font>
      <sz val="10"/>
      <name val="Arial"/>
      <family val="0"/>
    </font>
    <font>
      <b val="true"/>
      <sz val="16"/>
      <color rgb="FF2F4A6D"/>
      <name val="Cambria"/>
      <family val="0"/>
      <charset val="1"/>
    </font>
    <font>
      <sz val="11"/>
      <name val="Calibri"/>
      <family val="0"/>
      <charset val="1"/>
    </font>
    <font>
      <b val="true"/>
      <sz val="11"/>
      <name val="Calibri"/>
      <family val="0"/>
      <charset val="1"/>
    </font>
    <font>
      <i val="true"/>
      <sz val="10"/>
      <color rgb="FF595959"/>
      <name val="Calibri"/>
      <family val="0"/>
      <charset val="1"/>
    </font>
    <font>
      <b val="true"/>
      <sz val="11"/>
      <color rgb="FFFFFFFF"/>
      <name val="Calibri"/>
      <family val="0"/>
      <charset val="1"/>
    </font>
    <font>
      <sz val="10.5"/>
      <name val="Calibri"/>
      <family val="0"/>
      <charset val="1"/>
    </font>
    <font>
      <i val="true"/>
      <sz val="10.5"/>
      <color rgb="FF2F4A6D"/>
      <name val="Calibri"/>
      <family val="0"/>
      <charset val="1"/>
    </font>
  </fonts>
  <fills count="6">
    <fill>
      <patternFill patternType="none"/>
    </fill>
    <fill>
      <patternFill patternType="gray125"/>
    </fill>
    <fill>
      <patternFill patternType="solid">
        <fgColor rgb="FF2F4A6D"/>
        <bgColor rgb="FF333333"/>
      </patternFill>
    </fill>
    <fill>
      <patternFill patternType="solid">
        <fgColor rgb="FFFFF2CC"/>
        <bgColor rgb="FFE2EFDA"/>
      </patternFill>
    </fill>
    <fill>
      <patternFill patternType="solid">
        <fgColor rgb="FFE2EFDA"/>
        <bgColor rgb="FFDDEBF7"/>
      </patternFill>
    </fill>
    <fill>
      <patternFill patternType="solid">
        <fgColor rgb="FFDDEBF7"/>
        <bgColor rgb="FFE2EFDA"/>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left" vertical="center" textRotation="0" wrapText="false" indent="0" shrinkToFit="false"/>
      <protection locked="true" hidden="false"/>
    </xf>
    <xf numFmtId="164" fontId="8" fillId="2" borderId="1" xfId="0" applyFont="true" applyBorder="true" applyAlignment="true" applyProtection="false">
      <alignment horizontal="right" vertical="center"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right" vertical="center" textRotation="0" wrapText="false" indent="0" shrinkToFit="false"/>
      <protection locked="true" hidden="false"/>
    </xf>
    <xf numFmtId="165" fontId="0" fillId="3" borderId="1" xfId="0" applyFont="false" applyBorder="true" applyAlignment="true" applyProtection="false">
      <alignment horizontal="right" vertical="center" textRotation="0" wrapText="false" indent="0" shrinkToFit="false"/>
      <protection locked="true" hidden="false"/>
    </xf>
    <xf numFmtId="165" fontId="0" fillId="4" borderId="1" xfId="0" applyFont="false" applyBorder="true" applyAlignment="true" applyProtection="false">
      <alignment horizontal="right" vertical="center"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6" fontId="0" fillId="3" borderId="1" xfId="0" applyFont="false" applyBorder="true" applyAlignment="true" applyProtection="false">
      <alignment horizontal="right" vertical="center"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5" borderId="0" xfId="0" applyFont="false" applyBorder="true" applyAlignment="true" applyProtection="false">
      <alignment horizontal="general" vertical="top" textRotation="0" wrapText="true" indent="0" shrinkToFit="false"/>
      <protection locked="true" hidden="false"/>
    </xf>
    <xf numFmtId="167" fontId="0" fillId="4" borderId="1" xfId="0" applyFont="false" applyBorder="true" applyAlignment="true" applyProtection="false">
      <alignment horizontal="right" vertical="center" textRotation="0" wrapText="false" indent="0" shrinkToFit="false"/>
      <protection locked="true" hidden="false"/>
    </xf>
    <xf numFmtId="165" fontId="0" fillId="4" borderId="0" xfId="0" applyFont="false" applyBorder="false" applyAlignment="true" applyProtection="false">
      <alignment horizontal="right" vertical="bottom" textRotation="0" wrapText="false" indent="0" shrinkToFit="false"/>
      <protection locked="true" hidden="false"/>
    </xf>
    <xf numFmtId="165" fontId="0" fillId="0" borderId="0" xfId="0" applyFont="false" applyBorder="false" applyAlignment="true" applyProtection="false">
      <alignment horizontal="right" vertical="bottom" textRotation="0" wrapText="false" indent="0" shrinkToFit="false"/>
      <protection locked="true" hidden="false"/>
    </xf>
    <xf numFmtId="165" fontId="0" fillId="3" borderId="0" xfId="0" applyFont="false" applyBorder="false" applyAlignment="true" applyProtection="false">
      <alignment horizontal="right" vertical="bottom" textRotation="0" wrapText="false" indent="0" shrinkToFit="false"/>
      <protection locked="true" hidden="false"/>
    </xf>
    <xf numFmtId="164" fontId="0" fillId="3" borderId="2" xfId="0" applyFont="false" applyBorder="true" applyAlignment="true" applyProtection="false">
      <alignment horizontal="general" vertical="top" textRotation="0" wrapText="tru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E2EFDA"/>
        </patternFill>
      </fill>
    </dxf>
    <dxf>
      <fill>
        <patternFill>
          <bgColor rgb="FFF8CBA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8CBAD"/>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2F4A6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B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10"/>
  </cols>
  <sheetData>
    <row r="2" customFormat="false" ht="25.5" hidden="false" customHeight="true" outlineLevel="0" collapsed="false">
      <c r="B2" s="1" t="s">
        <v>0</v>
      </c>
    </row>
    <row r="3" customFormat="false" ht="30" hidden="false" customHeight="true" outlineLevel="0" collapsed="false">
      <c r="B3" s="2" t="s">
        <v>1</v>
      </c>
    </row>
    <row r="5" customFormat="false" ht="15" hidden="false" customHeight="true" outlineLevel="0" collapsed="false">
      <c r="B5" s="3" t="s">
        <v>2</v>
      </c>
    </row>
    <row r="6" customFormat="false" ht="45" hidden="false" customHeight="true" outlineLevel="0" collapsed="false">
      <c r="B6" s="2" t="s">
        <v>3</v>
      </c>
    </row>
    <row r="7" customFormat="false" ht="30" hidden="false" customHeight="true" outlineLevel="0" collapsed="false">
      <c r="B7" s="2" t="s">
        <v>4</v>
      </c>
    </row>
    <row r="8" customFormat="false" ht="30" hidden="false" customHeight="true" outlineLevel="0" collapsed="false">
      <c r="B8" s="2" t="s">
        <v>5</v>
      </c>
    </row>
    <row r="9" customFormat="false" ht="30" hidden="false" customHeight="true" outlineLevel="0" collapsed="false">
      <c r="B9" s="2" t="s">
        <v>6</v>
      </c>
    </row>
    <row r="11" customFormat="false" ht="15" hidden="false" customHeight="true" outlineLevel="0" collapsed="false">
      <c r="B11" s="3" t="s">
        <v>7</v>
      </c>
    </row>
    <row r="12" customFormat="false" ht="15" hidden="false" customHeight="true" outlineLevel="0" collapsed="false">
      <c r="B12" s="2" t="s">
        <v>8</v>
      </c>
    </row>
    <row r="13" customFormat="false" ht="15" hidden="false" customHeight="true" outlineLevel="0" collapsed="false">
      <c r="B13" s="2" t="s">
        <v>9</v>
      </c>
    </row>
    <row r="14" customFormat="false" ht="15" hidden="false" customHeight="true" outlineLevel="0" collapsed="false">
      <c r="B14" s="2" t="s">
        <v>10</v>
      </c>
    </row>
    <row r="15" customFormat="false" ht="15" hidden="false" customHeight="true" outlineLevel="0" collapsed="false">
      <c r="B15" s="2" t="s">
        <v>11</v>
      </c>
    </row>
    <row r="17" customFormat="false" ht="30" hidden="false" customHeight="true" outlineLevel="0" collapsed="false">
      <c r="B17" s="4" t="s">
        <v>12</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G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6" min="3" style="0" width="16"/>
    <col collapsed="false" customWidth="true" hidden="false" outlineLevel="0" max="7" min="7" style="0" width="56"/>
  </cols>
  <sheetData>
    <row r="2" customFormat="false" ht="25.5" hidden="false" customHeight="true" outlineLevel="0" collapsed="false">
      <c r="B2" s="5" t="s">
        <v>13</v>
      </c>
      <c r="C2" s="5"/>
      <c r="D2" s="5"/>
      <c r="E2" s="5"/>
      <c r="F2" s="5"/>
      <c r="G2" s="5"/>
    </row>
    <row r="3" customFormat="false" ht="15" hidden="false" customHeight="true" outlineLevel="0" collapsed="false">
      <c r="B3" s="6" t="s">
        <v>14</v>
      </c>
      <c r="C3" s="6"/>
      <c r="D3" s="6"/>
      <c r="E3" s="6"/>
      <c r="F3" s="6"/>
      <c r="G3" s="6"/>
    </row>
    <row r="4" customFormat="false" ht="15.75" hidden="false" customHeight="true" outlineLevel="0" collapsed="false">
      <c r="B4" s="7" t="s">
        <v>15</v>
      </c>
      <c r="C4" s="7"/>
      <c r="D4" s="7"/>
      <c r="E4" s="7"/>
      <c r="F4" s="7"/>
      <c r="G4" s="7"/>
    </row>
    <row r="5" customFormat="false" ht="75" hidden="false" customHeight="true" outlineLevel="0" collapsed="false">
      <c r="B5" s="8" t="s">
        <v>16</v>
      </c>
      <c r="C5" s="8"/>
      <c r="D5" s="8"/>
      <c r="E5" s="8"/>
      <c r="F5" s="8"/>
      <c r="G5" s="8"/>
    </row>
    <row r="6" customFormat="false" ht="15.75" hidden="false" customHeight="true" outlineLevel="0" collapsed="false">
      <c r="B6" s="7" t="s">
        <v>17</v>
      </c>
      <c r="C6" s="7"/>
      <c r="D6" s="7"/>
      <c r="E6" s="7"/>
      <c r="F6" s="7"/>
      <c r="G6" s="7"/>
    </row>
    <row r="7" customFormat="false" ht="60" hidden="false" customHeight="true" outlineLevel="0" collapsed="false">
      <c r="B7" s="8" t="s">
        <v>18</v>
      </c>
      <c r="C7" s="8"/>
      <c r="D7" s="8"/>
      <c r="E7" s="8"/>
      <c r="F7" s="8"/>
      <c r="G7" s="8"/>
    </row>
    <row r="9" customFormat="false" ht="15.75" hidden="false" customHeight="true" outlineLevel="0" collapsed="false">
      <c r="B9" s="7" t="s">
        <v>19</v>
      </c>
      <c r="C9" s="7"/>
      <c r="D9" s="7"/>
      <c r="E9" s="7"/>
      <c r="F9" s="7"/>
      <c r="G9" s="7"/>
    </row>
    <row r="10" customFormat="false" ht="45" hidden="false" customHeight="true" outlineLevel="0" collapsed="false">
      <c r="B10" s="8" t="s">
        <v>20</v>
      </c>
      <c r="C10" s="8"/>
      <c r="D10" s="8"/>
      <c r="E10" s="8"/>
      <c r="F10" s="8"/>
      <c r="G10" s="8"/>
    </row>
    <row r="11" customFormat="false" ht="15" hidden="false" customHeight="false" outlineLevel="0" collapsed="false">
      <c r="B11" s="9" t="s">
        <v>21</v>
      </c>
      <c r="C11" s="10" t="s">
        <v>22</v>
      </c>
      <c r="D11" s="10" t="s">
        <v>23</v>
      </c>
      <c r="E11" s="10" t="s">
        <v>24</v>
      </c>
      <c r="F11" s="10" t="s">
        <v>25</v>
      </c>
    </row>
    <row r="12" customFormat="false" ht="15" hidden="false" customHeight="false" outlineLevel="0" collapsed="false">
      <c r="B12" s="11" t="s">
        <v>26</v>
      </c>
      <c r="C12" s="12" t="n">
        <v>0</v>
      </c>
      <c r="D12" s="12" t="n">
        <v>480000</v>
      </c>
      <c r="E12" s="13"/>
      <c r="F12" s="14" t="n">
        <f aca="false">E12</f>
        <v>0</v>
      </c>
    </row>
    <row r="13" customFormat="false" ht="15" hidden="false" customHeight="false" outlineLevel="0" collapsed="false">
      <c r="B13" s="11" t="s">
        <v>27</v>
      </c>
      <c r="C13" s="12" t="n">
        <v>260000</v>
      </c>
      <c r="D13" s="12" t="n">
        <v>90000</v>
      </c>
      <c r="E13" s="13"/>
      <c r="F13" s="13"/>
    </row>
    <row r="14" customFormat="false" ht="15" hidden="false" customHeight="false" outlineLevel="0" collapsed="false">
      <c r="B14" s="11" t="s">
        <v>28</v>
      </c>
      <c r="C14" s="12" t="n">
        <v>260000</v>
      </c>
      <c r="D14" s="12" t="n">
        <v>90000</v>
      </c>
      <c r="E14" s="14" t="n">
        <f aca="false">E13</f>
        <v>0</v>
      </c>
      <c r="F14" s="13"/>
    </row>
    <row r="15" customFormat="false" ht="15" hidden="false" customHeight="false" outlineLevel="0" collapsed="false">
      <c r="B15" s="11" t="s">
        <v>29</v>
      </c>
      <c r="C15" s="12" t="n">
        <v>260000</v>
      </c>
      <c r="D15" s="12" t="n">
        <v>90000</v>
      </c>
      <c r="E15" s="14" t="n">
        <f aca="false">E13</f>
        <v>0</v>
      </c>
      <c r="F15" s="13"/>
    </row>
    <row r="16" customFormat="false" ht="15" hidden="false" customHeight="false" outlineLevel="0" collapsed="false">
      <c r="B16" s="11" t="s">
        <v>30</v>
      </c>
      <c r="C16" s="12" t="n">
        <v>260000</v>
      </c>
      <c r="D16" s="12" t="n">
        <v>90000</v>
      </c>
      <c r="E16" s="14" t="n">
        <f aca="false">E13</f>
        <v>0</v>
      </c>
      <c r="F16" s="13"/>
    </row>
    <row r="18" customFormat="false" ht="15.75" hidden="false" customHeight="true" outlineLevel="0" collapsed="false">
      <c r="B18" s="7" t="s">
        <v>31</v>
      </c>
      <c r="C18" s="7"/>
      <c r="D18" s="7"/>
      <c r="E18" s="7"/>
      <c r="F18" s="7"/>
      <c r="G18" s="7"/>
    </row>
    <row r="19" customFormat="false" ht="75" hidden="false" customHeight="true" outlineLevel="0" collapsed="false">
      <c r="B19" s="8" t="s">
        <v>32</v>
      </c>
      <c r="C19" s="8"/>
      <c r="D19" s="8"/>
      <c r="E19" s="8"/>
      <c r="F19" s="8"/>
      <c r="G19" s="8"/>
    </row>
    <row r="21" customFormat="false" ht="15" hidden="false" customHeight="false" outlineLevel="0" collapsed="false">
      <c r="B21" s="15" t="s">
        <v>33</v>
      </c>
    </row>
    <row r="22" customFormat="false" ht="36" hidden="false" customHeight="true" outlineLevel="0" collapsed="false">
      <c r="B22" s="0" t="s">
        <v>34</v>
      </c>
      <c r="C22" s="16" t="str">
        <f aca="false">IF(E12="","Skriv svaret i cellen E12.",IF(E12=(-480000),"Riktig.",IF(E12=(480000),"Investeringen er penger ut av kassa. Fortegnet skal være minus.",IF(E12=(-600000),"Du har tatt med merverdiavgiften. Den får Nordlys tilbake i avgiftsoppgjøret; i lønnsomhetsanalysen brukes 480 000 uten merverdiavgift.",IF(E12=(-310000),"Du har lagt inn akkumulert etter år 1. I år 0 står bare investeringen, med minus.","Ikke riktig ennå. I år 0 står investeringsutgiften alene, med minus.")))))</f>
        <v>Skriv svaret i cellen E12.</v>
      </c>
      <c r="D22" s="16"/>
      <c r="E22" s="16"/>
      <c r="F22" s="16"/>
      <c r="G22" s="16"/>
    </row>
    <row r="23" customFormat="false" ht="36" hidden="false" customHeight="true" outlineLevel="0" collapsed="false">
      <c r="B23" s="0" t="s">
        <v>35</v>
      </c>
      <c r="C23" s="16" t="str">
        <f aca="false">IF(E13="","Skriv svaret i cellen E13.",IF(E13=(170000),"Riktig.",IF(E13=(260000),"Du har bare innbetalingene. Trekk fra utbetalingene på 90 000.",IF(E13=(50000),"Du har trukket fra avskrivningen på 120 000 også. Avskrivning er en kostnad, ikke en utbetaling; pengene gikk ut i år 0.",IF(E13=(-170000),"Fortegnet er feil. Det kommer mer inn enn ut, så kontantstrømmen er positiv.",IF(E13=(90000),"Du har svart utbetalingene. Kontantstrøm er innbetalinger minus utbetalinger.","Ikke riktig ennå. Innbetalinger 260 000 minus utbetalinger 90 000."))))))</f>
        <v>Skriv svaret i cellen E13.</v>
      </c>
      <c r="D23" s="16"/>
      <c r="E23" s="16"/>
      <c r="F23" s="16"/>
      <c r="G23" s="16"/>
    </row>
    <row r="24" customFormat="false" ht="36" hidden="false" customHeight="true" outlineLevel="0" collapsed="false">
      <c r="B24" s="0" t="s">
        <v>36</v>
      </c>
      <c r="C24" s="16" t="str">
        <f aca="false">IF(F13="","Skriv svaret i cellen F13.",IF(F13=(-310000),"Riktig.",IF(F13=(170000),"Det er summen av årenes innbetalingsoverskudd alene. Akkumulert starter med −480 000 i år 0; trekk fra investeringen.",IF(F13=(-650000),"Du har trukket fra i stedet for å legge til. Kontantstrømmen i år 1 er positiv.","Ikke riktig ennå. Forrige års akkumulerte (-480 000) pluss årets kontantstrøm."))))</f>
        <v>Skriv svaret i cellen F13.</v>
      </c>
      <c r="D24" s="16"/>
      <c r="E24" s="16"/>
      <c r="F24" s="16"/>
      <c r="G24" s="16"/>
    </row>
    <row r="25" customFormat="false" ht="36" hidden="false" customHeight="true" outlineLevel="0" collapsed="false">
      <c r="B25" s="0" t="s">
        <v>37</v>
      </c>
      <c r="C25" s="16" t="str">
        <f aca="false">IF(F14="","Skriv svaret i cellen F14.",IF(F14=(-140000),"Riktig.",IF(F14=(340000),"Det er summen av årenes innbetalingsoverskudd alene. Akkumulert starter med −480 000 i år 0; trekk fra investeringen.","Ikke riktig ennå. Forrige års akkumulerte (-310 000) pluss årets kontantstrøm.")))</f>
        <v>Skriv svaret i cellen F14.</v>
      </c>
      <c r="D25" s="16"/>
      <c r="E25" s="16"/>
      <c r="F25" s="16"/>
      <c r="G25" s="16"/>
    </row>
    <row r="26" customFormat="false" ht="36" hidden="false" customHeight="true" outlineLevel="0" collapsed="false">
      <c r="B26" s="0" t="s">
        <v>38</v>
      </c>
      <c r="C26" s="16" t="str">
        <f aca="false">IF(F15="","Skriv svaret i cellen F15.",IF(F15=(30000),"Riktig.",IF(F15=(510000),"Det er summen av årenes innbetalingsoverskudd alene. Akkumulert starter med −480 000 i år 0; trekk fra investeringen.","Ikke riktig ennå. Forrige års akkumulerte (-140 000) pluss årets kontantstrøm.")))</f>
        <v>Skriv svaret i cellen F15.</v>
      </c>
      <c r="D26" s="16"/>
      <c r="E26" s="16"/>
      <c r="F26" s="16"/>
      <c r="G26" s="16"/>
    </row>
    <row r="27" customFormat="false" ht="36" hidden="false" customHeight="true" outlineLevel="0" collapsed="false">
      <c r="B27" s="0" t="s">
        <v>39</v>
      </c>
      <c r="C27" s="16" t="str">
        <f aca="false">IF(F16="","Skriv svaret i cellen F16.",IF(F16=(200000),"Riktig.",IF(F16=(680000),"Det er summen av årenes innbetalingsoverskudd alene. Akkumulert starter med −480 000 i år 0; trekk fra investeringen.","Ikke riktig ennå. Forrige års akkumulerte (30 000) pluss årets kontantstrøm.")))</f>
        <v>Skriv svaret i cellen F16.</v>
      </c>
      <c r="D27" s="16"/>
      <c r="E27" s="16"/>
      <c r="F27" s="16"/>
      <c r="G27" s="16"/>
    </row>
    <row r="29" customFormat="false" ht="43.5" hidden="false" customHeight="true" outlineLevel="0" collapsed="false">
      <c r="B29" s="17" t="s">
        <v>40</v>
      </c>
      <c r="C29" s="18"/>
      <c r="D29" s="19" t="s">
        <v>41</v>
      </c>
      <c r="G29" s="20" t="str">
        <f aca="false">IF(C29="","Skriv svaret i den gule cellen.",IF(ABS(C29-(480000/170000))&lt;=0.01,"Riktig.",IF(ABS(C29-(170000/480000))&lt;=0.01,"Du har delt motsatt vei. Det er investeringen som skal deles på det den gir per år.",IF(ABS(C29-(3))&lt;=0.01,"Du har rundet opp til hele år. Svar med to desimaler.",IF(ABS(C29-(480000/260000))&lt;=0.01,"Du har delt på innbetalingene alene. Del på innbetalingsoverskuddet: 260 000 − 90 000.",IF(ABS(C29-(600000/170000))&lt;=0.01,"Du har brukt 600 000 med merverdiavgift. Bruk 480 000.","Ikke riktig ennå. Investeringsutgiften delt på det investeringen gir hvert år."))))))</f>
        <v>Skriv svaret i den gule cellen.</v>
      </c>
    </row>
    <row r="31" customFormat="false" ht="15" hidden="false" customHeight="true" outlineLevel="0" collapsed="false">
      <c r="B31" s="7" t="s">
        <v>42</v>
      </c>
      <c r="C31" s="7"/>
      <c r="D31" s="7"/>
      <c r="E31" s="7"/>
      <c r="F31" s="7"/>
      <c r="G31" s="7"/>
    </row>
    <row r="32" customFormat="false" ht="39.75" hidden="false" customHeight="true" outlineLevel="0" collapsed="false">
      <c r="B32" s="17" t="s">
        <v>43</v>
      </c>
      <c r="C32" s="21"/>
      <c r="G32" s="20" t="str">
        <f aca="false">IF(C32="","Velg i nedtrekksmenyen.",IF(C32="Ja","Riktig. Investeringsutgiften står i år 0, med minus.","Ikke riktig. Investeringsutgiften står i år 0, med minus."))</f>
        <v>Velg i nedtrekksmenyen.</v>
      </c>
    </row>
    <row r="33" customFormat="false" ht="39.75" hidden="false" customHeight="true" outlineLevel="0" collapsed="false">
      <c r="B33" s="17" t="s">
        <v>44</v>
      </c>
      <c r="C33" s="21"/>
      <c r="G33" s="20" t="str">
        <f aca="false">IF(C33="","Velg i nedtrekksmenyen.",IF(C33="Ja","Riktig. Innbetalinger som kommer fordi Nordlys investerer, hører hjemme i år 1 til 4.","Ikke riktig. Innbetalinger som kommer fordi Nordlys investerer, hører hjemme i år 1 til 4."))</f>
        <v>Velg i nedtrekksmenyen.</v>
      </c>
    </row>
    <row r="34" customFormat="false" ht="39.75" hidden="false" customHeight="true" outlineLevel="0" collapsed="false">
      <c r="B34" s="17" t="s">
        <v>45</v>
      </c>
      <c r="C34" s="21"/>
      <c r="G34" s="20" t="str">
        <f aca="false">IF(C34="","Velg i nedtrekksmenyen.",IF(C34="Ja","Riktig. Utbetalinger som kommer fordi Nordlys investerer, trekkes fra hvert år.","Ikke riktig. Utbetalinger som kommer fordi Nordlys investerer, trekkes fra hvert år."))</f>
        <v>Velg i nedtrekksmenyen.</v>
      </c>
    </row>
    <row r="35" customFormat="false" ht="39.75" hidden="false" customHeight="true" outlineLevel="0" collapsed="false">
      <c r="B35" s="17" t="s">
        <v>46</v>
      </c>
      <c r="C35" s="21"/>
      <c r="G35" s="20" t="str">
        <f aca="false">IF(C35="","Velg i nedtrekksmenyen.",IF(C35="Nei","Riktig. Avskrivning er en kostnad i regnskapet, ikke en utbetaling. Pengene gikk ut i år 0. Tar du den med, teller du kjøpet to ganger (kapittel 2).","Ikke riktig. Avskrivning er en kostnad i regnskapet, ikke en utbetaling. Pengene gikk ut i år 0. Tar du den med, teller du kjøpet to ganger (kapittel 2)."))</f>
        <v>Velg i nedtrekksmenyen.</v>
      </c>
    </row>
    <row r="36" customFormat="false" ht="39.75" hidden="false" customHeight="true" outlineLevel="0" collapsed="false">
      <c r="B36" s="17" t="s">
        <v>47</v>
      </c>
      <c r="C36" s="21"/>
      <c r="G36" s="20" t="str">
        <f aca="false">IF(C36="","Velg i nedtrekksmenyen.",IF(C36="Nei","Riktig. Pengene er brukt uansett hva Nordlys bestemmer. Boka kaller det sunk cost: beslutningsirrelevant (avsnitt 10.4).","Ikke riktig. Pengene er brukt uansett hva Nordlys bestemmer. Boka kaller det sunk cost: beslutningsirrelevant (avsnitt 10.4)."))</f>
        <v>Velg i nedtrekksmenyen.</v>
      </c>
    </row>
    <row r="37" customFormat="false" ht="15" hidden="false" customHeight="false" outlineLevel="0" collapsed="false">
      <c r="B37" s="15" t="s">
        <v>48</v>
      </c>
      <c r="C37" s="21"/>
    </row>
    <row r="38" customFormat="false" ht="31.5" hidden="false" customHeight="true" outlineLevel="0" collapsed="false">
      <c r="B38" s="22" t="str">
        <f aca="false">IF(C37="JA","Hint: Kontantstrøm per år = 260 000 − 90 000 = 170 000. År 0 er −480 000. Akkumulert: −480 000, −310 000, −140 000, +30 000, +200 000. Tilbakebetalingstid = 480 000 / 170 000 = 2,82 år.","")</f>
        <v/>
      </c>
      <c r="C38" s="22"/>
      <c r="D38" s="22"/>
      <c r="E38" s="22"/>
      <c r="F38" s="22"/>
      <c r="G38" s="22"/>
    </row>
    <row r="40" customFormat="false" ht="30" hidden="false" customHeight="true" outlineLevel="0" collapsed="false">
      <c r="B40" s="6" t="s">
        <v>49</v>
      </c>
      <c r="C40" s="6"/>
      <c r="D40" s="6"/>
      <c r="E40" s="6"/>
      <c r="F40" s="6"/>
      <c r="G40" s="6"/>
    </row>
  </sheetData>
  <mergeCells count="19">
    <mergeCell ref="B2:G2"/>
    <mergeCell ref="B3:G3"/>
    <mergeCell ref="B4:G4"/>
    <mergeCell ref="B5:G5"/>
    <mergeCell ref="B6:G6"/>
    <mergeCell ref="B7:G7"/>
    <mergeCell ref="B9:G9"/>
    <mergeCell ref="B10:G10"/>
    <mergeCell ref="B18:G18"/>
    <mergeCell ref="B19:G19"/>
    <mergeCell ref="C22:G22"/>
    <mergeCell ref="C23:G23"/>
    <mergeCell ref="C24:G24"/>
    <mergeCell ref="C25:G25"/>
    <mergeCell ref="C26:G26"/>
    <mergeCell ref="C27:G27"/>
    <mergeCell ref="B31:G31"/>
    <mergeCell ref="B38:G38"/>
    <mergeCell ref="B40:G40"/>
  </mergeCells>
  <conditionalFormatting sqref="C22">
    <cfRule type="expression" priority="2" aboveAverage="0" equalAverage="0" bottom="0" percent="0" rank="0" text="" dxfId="0">
      <formula>LEFT(C22,6)="Riktig"</formula>
    </cfRule>
    <cfRule type="expression" priority="3" aboveAverage="0" equalAverage="0" bottom="0" percent="0" rank="0" text="" dxfId="1">
      <formula>AND(C22&lt;&gt;"",LEFT(C22,6)&lt;&gt;"Riktig",LEFT(C22,5)&lt;&gt;"Skriv")</formula>
    </cfRule>
  </conditionalFormatting>
  <conditionalFormatting sqref="C23">
    <cfRule type="expression" priority="4" aboveAverage="0" equalAverage="0" bottom="0" percent="0" rank="0" text="" dxfId="0">
      <formula>LEFT(C23,6)="Riktig"</formula>
    </cfRule>
    <cfRule type="expression" priority="5" aboveAverage="0" equalAverage="0" bottom="0" percent="0" rank="0" text="" dxfId="1">
      <formula>AND(C23&lt;&gt;"",LEFT(C23,6)&lt;&gt;"Riktig",LEFT(C23,5)&lt;&gt;"Skriv")</formula>
    </cfRule>
  </conditionalFormatting>
  <conditionalFormatting sqref="C24">
    <cfRule type="expression" priority="6" aboveAverage="0" equalAverage="0" bottom="0" percent="0" rank="0" text="" dxfId="0">
      <formula>LEFT(C24,6)="Riktig"</formula>
    </cfRule>
    <cfRule type="expression" priority="7" aboveAverage="0" equalAverage="0" bottom="0" percent="0" rank="0" text="" dxfId="1">
      <formula>AND(C24&lt;&gt;"",LEFT(C24,6)&lt;&gt;"Riktig",LEFT(C24,5)&lt;&gt;"Skriv")</formula>
    </cfRule>
  </conditionalFormatting>
  <conditionalFormatting sqref="C25">
    <cfRule type="expression" priority="8" aboveAverage="0" equalAverage="0" bottom="0" percent="0" rank="0" text="" dxfId="0">
      <formula>LEFT(C25,6)="Riktig"</formula>
    </cfRule>
    <cfRule type="expression" priority="9" aboveAverage="0" equalAverage="0" bottom="0" percent="0" rank="0" text="" dxfId="1">
      <formula>AND(C25&lt;&gt;"",LEFT(C25,6)&lt;&gt;"Riktig",LEFT(C25,5)&lt;&gt;"Skriv")</formula>
    </cfRule>
  </conditionalFormatting>
  <conditionalFormatting sqref="C26">
    <cfRule type="expression" priority="10" aboveAverage="0" equalAverage="0" bottom="0" percent="0" rank="0" text="" dxfId="0">
      <formula>LEFT(C26,6)="Riktig"</formula>
    </cfRule>
    <cfRule type="expression" priority="11" aboveAverage="0" equalAverage="0" bottom="0" percent="0" rank="0" text="" dxfId="1">
      <formula>AND(C26&lt;&gt;"",LEFT(C26,6)&lt;&gt;"Riktig",LEFT(C26,5)&lt;&gt;"Skriv")</formula>
    </cfRule>
  </conditionalFormatting>
  <conditionalFormatting sqref="C27">
    <cfRule type="expression" priority="12" aboveAverage="0" equalAverage="0" bottom="0" percent="0" rank="0" text="" dxfId="0">
      <formula>LEFT(C27,6)="Riktig"</formula>
    </cfRule>
    <cfRule type="expression" priority="13" aboveAverage="0" equalAverage="0" bottom="0" percent="0" rank="0" text="" dxfId="1">
      <formula>AND(C27&lt;&gt;"",LEFT(C27,6)&lt;&gt;"Riktig",LEFT(C27,5)&lt;&gt;"Skriv")</formula>
    </cfRule>
  </conditionalFormatting>
  <conditionalFormatting sqref="G29">
    <cfRule type="expression" priority="14" aboveAverage="0" equalAverage="0" bottom="0" percent="0" rank="0" text="" dxfId="0">
      <formula>LEFT(G29,6)="Riktig"</formula>
    </cfRule>
    <cfRule type="expression" priority="15" aboveAverage="0" equalAverage="0" bottom="0" percent="0" rank="0" text="" dxfId="1">
      <formula>AND(G29&lt;&gt;"",LEFT(G29,6)&lt;&gt;"Riktig",LEFT(G29,5)&lt;&gt;"Skriv")</formula>
    </cfRule>
  </conditionalFormatting>
  <conditionalFormatting sqref="G32">
    <cfRule type="expression" priority="16" aboveAverage="0" equalAverage="0" bottom="0" percent="0" rank="0" text="" dxfId="0">
      <formula>LEFT(G32,6)="Riktig"</formula>
    </cfRule>
    <cfRule type="expression" priority="17" aboveAverage="0" equalAverage="0" bottom="0" percent="0" rank="0" text="" dxfId="1">
      <formula>LEFT(G32,4)="Ikke"</formula>
    </cfRule>
  </conditionalFormatting>
  <conditionalFormatting sqref="G33">
    <cfRule type="expression" priority="18" aboveAverage="0" equalAverage="0" bottom="0" percent="0" rank="0" text="" dxfId="0">
      <formula>LEFT(G33,6)="Riktig"</formula>
    </cfRule>
    <cfRule type="expression" priority="19" aboveAverage="0" equalAverage="0" bottom="0" percent="0" rank="0" text="" dxfId="1">
      <formula>LEFT(G33,4)="Ikke"</formula>
    </cfRule>
  </conditionalFormatting>
  <conditionalFormatting sqref="G34">
    <cfRule type="expression" priority="20" aboveAverage="0" equalAverage="0" bottom="0" percent="0" rank="0" text="" dxfId="0">
      <formula>LEFT(G34,6)="Riktig"</formula>
    </cfRule>
    <cfRule type="expression" priority="21" aboveAverage="0" equalAverage="0" bottom="0" percent="0" rank="0" text="" dxfId="1">
      <formula>LEFT(G34,4)="Ikke"</formula>
    </cfRule>
  </conditionalFormatting>
  <conditionalFormatting sqref="G35">
    <cfRule type="expression" priority="22" aboveAverage="0" equalAverage="0" bottom="0" percent="0" rank="0" text="" dxfId="0">
      <formula>LEFT(G35,6)="Riktig"</formula>
    </cfRule>
    <cfRule type="expression" priority="23" aboveAverage="0" equalAverage="0" bottom="0" percent="0" rank="0" text="" dxfId="1">
      <formula>LEFT(G35,4)="Ikke"</formula>
    </cfRule>
  </conditionalFormatting>
  <conditionalFormatting sqref="G36">
    <cfRule type="expression" priority="24" aboveAverage="0" equalAverage="0" bottom="0" percent="0" rank="0" text="" dxfId="0">
      <formula>LEFT(G36,6)="Riktig"</formula>
    </cfRule>
    <cfRule type="expression" priority="25" aboveAverage="0" equalAverage="0" bottom="0" percent="0" rank="0" text="" dxfId="1">
      <formula>LEFT(G36,4)="Ikke"</formula>
    </cfRule>
  </conditionalFormatting>
  <dataValidations count="6">
    <dataValidation allowBlank="true" errorStyle="stop" operator="between" showDropDown="false" showErrorMessage="false" showInputMessage="false" sqref="C32" type="list">
      <formula1>"Ja,Nei"</formula1>
      <formula2>0</formula2>
    </dataValidation>
    <dataValidation allowBlank="true" errorStyle="stop" operator="between" showDropDown="false" showErrorMessage="false" showInputMessage="false" sqref="C33" type="list">
      <formula1>"Ja,Nei"</formula1>
      <formula2>0</formula2>
    </dataValidation>
    <dataValidation allowBlank="true" errorStyle="stop" operator="between" showDropDown="false" showErrorMessage="false" showInputMessage="false" sqref="C34" type="list">
      <formula1>"Ja,Nei"</formula1>
      <formula2>0</formula2>
    </dataValidation>
    <dataValidation allowBlank="true" errorStyle="stop" operator="between" showDropDown="false" showErrorMessage="false" showInputMessage="false" sqref="C35" type="list">
      <formula1>"Ja,Nei"</formula1>
      <formula2>0</formula2>
    </dataValidation>
    <dataValidation allowBlank="true" errorStyle="stop" operator="between" showDropDown="false" showErrorMessage="false" showInputMessage="false" sqref="C36" type="list">
      <formula1>"Ja,Nei"</formula1>
      <formula2>0</formula2>
    </dataValidation>
    <dataValidation allowBlank="true" errorStyle="stop" operator="between" showDropDown="false" showErrorMessage="false" showInputMessage="false" sqref="C37" type="list">
      <formula1>"JA,NEI"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G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5" min="3" style="0" width="16"/>
    <col collapsed="false" customWidth="true" hidden="false" outlineLevel="0" max="6" min="6" style="0" width="3"/>
    <col collapsed="false" customWidth="true" hidden="false" outlineLevel="0" max="7" min="7" style="0" width="56"/>
  </cols>
  <sheetData>
    <row r="2" customFormat="false" ht="25.5" hidden="false" customHeight="true" outlineLevel="0" collapsed="false">
      <c r="B2" s="5" t="s">
        <v>50</v>
      </c>
      <c r="C2" s="5"/>
      <c r="D2" s="5"/>
      <c r="E2" s="5"/>
      <c r="F2" s="5"/>
      <c r="G2" s="5"/>
    </row>
    <row r="3" customFormat="false" ht="15" hidden="false" customHeight="true" outlineLevel="0" collapsed="false">
      <c r="B3" s="6" t="s">
        <v>14</v>
      </c>
      <c r="C3" s="6"/>
      <c r="D3" s="6"/>
      <c r="E3" s="6"/>
      <c r="F3" s="6"/>
      <c r="G3" s="6"/>
    </row>
    <row r="4" customFormat="false" ht="15.75" hidden="false" customHeight="true" outlineLevel="0" collapsed="false">
      <c r="B4" s="7" t="s">
        <v>15</v>
      </c>
      <c r="C4" s="7"/>
      <c r="D4" s="7"/>
      <c r="E4" s="7"/>
      <c r="F4" s="7"/>
      <c r="G4" s="7"/>
    </row>
    <row r="5" customFormat="false" ht="60" hidden="false" customHeight="true" outlineLevel="0" collapsed="false">
      <c r="B5" s="8" t="s">
        <v>51</v>
      </c>
      <c r="C5" s="8"/>
      <c r="D5" s="8"/>
      <c r="E5" s="8"/>
      <c r="F5" s="8"/>
      <c r="G5" s="8"/>
    </row>
    <row r="6" customFormat="false" ht="15.75" hidden="false" customHeight="true" outlineLevel="0" collapsed="false">
      <c r="B6" s="7" t="s">
        <v>17</v>
      </c>
      <c r="C6" s="7"/>
      <c r="D6" s="7"/>
      <c r="E6" s="7"/>
      <c r="F6" s="7"/>
      <c r="G6" s="7"/>
    </row>
    <row r="7" customFormat="false" ht="60" hidden="false" customHeight="true" outlineLevel="0" collapsed="false">
      <c r="B7" s="8" t="s">
        <v>52</v>
      </c>
      <c r="C7" s="8"/>
      <c r="D7" s="8"/>
      <c r="E7" s="8"/>
      <c r="F7" s="8"/>
      <c r="G7" s="8"/>
    </row>
    <row r="9" customFormat="false" ht="15.75" hidden="false" customHeight="true" outlineLevel="0" collapsed="false">
      <c r="B9" s="7" t="s">
        <v>53</v>
      </c>
      <c r="C9" s="7"/>
      <c r="D9" s="7"/>
      <c r="E9" s="7"/>
      <c r="F9" s="7"/>
      <c r="G9" s="7"/>
    </row>
    <row r="10" customFormat="false" ht="45" hidden="false" customHeight="true" outlineLevel="0" collapsed="false">
      <c r="B10" s="8" t="s">
        <v>54</v>
      </c>
      <c r="C10" s="8"/>
      <c r="D10" s="8"/>
      <c r="E10" s="8"/>
      <c r="F10" s="8"/>
      <c r="G10" s="8"/>
    </row>
    <row r="11" customFormat="false" ht="15" hidden="false" customHeight="false" outlineLevel="0" collapsed="false">
      <c r="B11" s="9" t="s">
        <v>55</v>
      </c>
      <c r="C11" s="10" t="s">
        <v>56</v>
      </c>
      <c r="D11" s="10" t="s">
        <v>57</v>
      </c>
      <c r="E11" s="10" t="s">
        <v>58</v>
      </c>
    </row>
    <row r="12" customFormat="false" ht="15" hidden="false" customHeight="false" outlineLevel="0" collapsed="false">
      <c r="B12" s="11" t="s">
        <v>27</v>
      </c>
      <c r="C12" s="12" t="n">
        <v>170000</v>
      </c>
      <c r="D12" s="23" t="n">
        <f aca="false">1.1^1</f>
        <v>1.1</v>
      </c>
      <c r="E12" s="13"/>
    </row>
    <row r="13" customFormat="false" ht="15" hidden="false" customHeight="false" outlineLevel="0" collapsed="false">
      <c r="B13" s="11" t="s">
        <v>28</v>
      </c>
      <c r="C13" s="12" t="n">
        <v>170000</v>
      </c>
      <c r="D13" s="23" t="n">
        <f aca="false">1.1^2</f>
        <v>1.21</v>
      </c>
      <c r="E13" s="13"/>
    </row>
    <row r="14" customFormat="false" ht="15" hidden="false" customHeight="false" outlineLevel="0" collapsed="false">
      <c r="B14" s="11" t="s">
        <v>29</v>
      </c>
      <c r="C14" s="12" t="n">
        <v>170000</v>
      </c>
      <c r="D14" s="23" t="n">
        <f aca="false">1.1^3</f>
        <v>1.331</v>
      </c>
      <c r="E14" s="13"/>
    </row>
    <row r="15" customFormat="false" ht="15" hidden="false" customHeight="false" outlineLevel="0" collapsed="false">
      <c r="B15" s="11" t="s">
        <v>30</v>
      </c>
      <c r="C15" s="12" t="n">
        <v>170000</v>
      </c>
      <c r="D15" s="23" t="n">
        <f aca="false">1.1^4</f>
        <v>1.4641</v>
      </c>
      <c r="E15" s="13"/>
    </row>
    <row r="16" customFormat="false" ht="15" hidden="false" customHeight="false" outlineLevel="0" collapsed="false">
      <c r="B16" s="0" t="s">
        <v>59</v>
      </c>
      <c r="E16" s="24" t="n">
        <f aca="false">SUM(E12:E15)</f>
        <v>0</v>
      </c>
    </row>
    <row r="17" customFormat="false" ht="15" hidden="false" customHeight="false" outlineLevel="0" collapsed="false">
      <c r="B17" s="0" t="s">
        <v>60</v>
      </c>
      <c r="E17" s="25" t="n">
        <v>480000</v>
      </c>
    </row>
    <row r="18" customFormat="false" ht="15" hidden="false" customHeight="false" outlineLevel="0" collapsed="false">
      <c r="B18" s="15" t="s">
        <v>61</v>
      </c>
      <c r="E18" s="26"/>
    </row>
    <row r="20" customFormat="false" ht="15.75" hidden="false" customHeight="true" outlineLevel="0" collapsed="false">
      <c r="B20" s="7" t="s">
        <v>31</v>
      </c>
      <c r="C20" s="7"/>
      <c r="D20" s="7"/>
      <c r="E20" s="7"/>
      <c r="F20" s="7"/>
      <c r="G20" s="7"/>
    </row>
    <row r="21" customFormat="false" ht="60" hidden="false" customHeight="true" outlineLevel="0" collapsed="false">
      <c r="B21" s="8" t="s">
        <v>62</v>
      </c>
      <c r="C21" s="8"/>
      <c r="D21" s="8"/>
      <c r="E21" s="8"/>
      <c r="F21" s="8"/>
      <c r="G21" s="8"/>
    </row>
    <row r="23" customFormat="false" ht="15" hidden="false" customHeight="false" outlineLevel="0" collapsed="false">
      <c r="B23" s="15" t="s">
        <v>33</v>
      </c>
    </row>
    <row r="24" customFormat="false" ht="36" hidden="false" customHeight="true" outlineLevel="0" collapsed="false">
      <c r="B24" s="0" t="s">
        <v>63</v>
      </c>
      <c r="C24" s="16" t="str">
        <f aca="false">IF(E12="","Skriv svaret i cellen E12.",IF(ABS(E12-(154545))&lt;=2,"Riktig.",IF(ABS(E12-(170000))&lt;=2,"Du har ikke delt. 170 000 kr om ett år er mindre verdt i dag.",IF(ABS(E12-(187000))&lt;=2,"Du har ganget i stedet for å dele. Beløp som kommer senere, skal bli mindre, ikke større.",IF(ABS(E12-(154545))&lt;=2,"Du har delt på 1 + 0,10 × år. Det skal være 1,10 opphøyd i år (rente på rente).","Ikke riktig ennå. 170 000 delt på 1,10 opphøyd i 1.")))))</f>
        <v>Skriv svaret i cellen E12.</v>
      </c>
      <c r="D24" s="16"/>
      <c r="E24" s="16"/>
      <c r="F24" s="16"/>
      <c r="G24" s="16"/>
    </row>
    <row r="25" customFormat="false" ht="36" hidden="false" customHeight="true" outlineLevel="0" collapsed="false">
      <c r="B25" s="0" t="s">
        <v>64</v>
      </c>
      <c r="C25" s="16" t="str">
        <f aca="false">IF(E13="","Skriv svaret i cellen E13.",IF(ABS(E13-(140496))&lt;=2,"Riktig.",IF(ABS(E13-(170000))&lt;=2,"Du har ikke delt. 170 000 kr om 2 år er mindre verdt i dag.",IF(ABS(E13-(205700))&lt;=2,"Du har ganget i stedet for å dele. Beløp som kommer senere, skal bli mindre, ikke større.",IF(ABS(E13-(141667))&lt;=2,"Du har delt på 1 + 0,10 × år. Det skal være 1,10 opphøyd i år (rente på rente).","Ikke riktig ennå. 170 000 delt på 1,10 opphøyd i 2.")))))</f>
        <v>Skriv svaret i cellen E13.</v>
      </c>
      <c r="D25" s="16"/>
      <c r="E25" s="16"/>
      <c r="F25" s="16"/>
      <c r="G25" s="16"/>
    </row>
    <row r="26" customFormat="false" ht="36" hidden="false" customHeight="true" outlineLevel="0" collapsed="false">
      <c r="B26" s="0" t="s">
        <v>65</v>
      </c>
      <c r="C26" s="16" t="str">
        <f aca="false">IF(E14="","Skriv svaret i cellen E14.",IF(ABS(E14-(127724))&lt;=2,"Riktig.",IF(ABS(E14-(170000))&lt;=2,"Du har ikke delt. 170 000 kr om 3 år er mindre verdt i dag.",IF(ABS(E14-(226270))&lt;=2,"Du har ganget i stedet for å dele. Beløp som kommer senere, skal bli mindre, ikke større.",IF(ABS(E14-(130769))&lt;=2,"Du har delt på 1 + 0,10 × år. Det skal være 1,10 opphøyd i år (rente på rente).","Ikke riktig ennå. 170 000 delt på 1,10 opphøyd i 3.")))))</f>
        <v>Skriv svaret i cellen E14.</v>
      </c>
      <c r="D26" s="16"/>
      <c r="E26" s="16"/>
      <c r="F26" s="16"/>
      <c r="G26" s="16"/>
    </row>
    <row r="27" customFormat="false" ht="36" hidden="false" customHeight="true" outlineLevel="0" collapsed="false">
      <c r="B27" s="0" t="s">
        <v>66</v>
      </c>
      <c r="C27" s="16" t="str">
        <f aca="false">IF(E15="","Skriv svaret i cellen E15.",IF(ABS(E15-(116112))&lt;=2,"Riktig.",IF(ABS(E15-(170000))&lt;=2,"Du har ikke delt. 170 000 kr om 4 år er mindre verdt i dag.",IF(ABS(E15-(248897))&lt;=2,"Du har ganget i stedet for å dele. Beløp som kommer senere, skal bli mindre, ikke større.",IF(ABS(E15-(121429))&lt;=2,"Du har delt på 1 + 0,10 × år. Det skal være 1,10 opphøyd i år (rente på rente).","Ikke riktig ennå. 170 000 delt på 1,10 opphøyd i 4.")))))</f>
        <v>Skriv svaret i cellen E15.</v>
      </c>
      <c r="D27" s="16"/>
      <c r="E27" s="16"/>
      <c r="F27" s="16"/>
      <c r="G27" s="16"/>
    </row>
    <row r="28" customFormat="false" ht="36" hidden="false" customHeight="true" outlineLevel="0" collapsed="false">
      <c r="B28" s="0" t="s">
        <v>67</v>
      </c>
      <c r="C28" s="16" t="str">
        <f aca="false">IF(E18="","Skriv svaret i cellen E18.",IF(ABS(E18-(58877))&lt;=10,"Riktig.",IF(ABS(E18-(538877))&lt;=10,"Du har glemt å trekke fra investeringen på 480 000.",IF(ABS(E18-(200000))&lt;=10,"Du har lagt sammen 4 × 170 000 uten å regne om til dagens kroner. Det er bokas naive beregning.",IF(ABS(E18-(-58877))&lt;=10,"Fortegnet er feil. Summen i dag er større enn investeringen, så nåverdien er positiv.",IF(ABS(E18-(211031))&lt;=10,"Du har diskontert investeringen i år 0 også. Den er allerede i dagens kroner.","Ikke riktig ennå. Summen av beløpene verdt i dag, minus 480 000."))))))</f>
        <v>Skriv svaret i cellen E18.</v>
      </c>
      <c r="D28" s="16"/>
      <c r="E28" s="16"/>
      <c r="F28" s="16"/>
      <c r="G28" s="16"/>
    </row>
    <row r="30" customFormat="false" ht="43.5" hidden="false" customHeight="true" outlineLevel="0" collapsed="false">
      <c r="B30" s="17" t="s">
        <v>68</v>
      </c>
      <c r="C30" s="13"/>
      <c r="D30" s="19" t="s">
        <v>69</v>
      </c>
      <c r="G30" s="20" t="str">
        <f aca="false">IF(C30="","Skriv svaret i den gule cellen.",IF(ABS(C30-(ROUND(170000/1.16+170000/1.16^2+170000/1.16^3+170000/1.16^4-480000,0)))&lt;=20,"Riktig.",IF(ABS(C30-(ROUND(170000/1.16+170000/1.16^2+170000/1.16^3+170000/1.16^4,0)))&lt;=20,"Du har glemt å trekke fra investeringen på 480 000.",IF(ABS(C30-(58877))&lt;=20,"Det er nåverdien ved 10 %. Nå skal du dele på 1,16 opphøyd i år.",IF(ABS(C30-(4309))&lt;=20,"Fortegnet er feil. Ved 16 % er summen i dag mindre enn investeringen, så nåverdien er negativ.",IF(ABS(C30-(ROUND(170000/1.16+170000/1.16^2+170000/1.16^3+170000/1.16^4-480000/1.16^4,0)))&lt;=20,"Du har diskontert investeringen også. År 0 er i dag; det deles ikke.","Ikke riktig ennå. Del 170 000 på 1,16, 1,3456, 1,5609 og 1,8106, legg sammen og trekk fra 480 000."))))))</f>
        <v>Skriv svaret i den gule cellen.</v>
      </c>
    </row>
    <row r="32" customFormat="false" ht="30" hidden="false" customHeight="true" outlineLevel="0" collapsed="false">
      <c r="B32" s="8" t="s">
        <v>70</v>
      </c>
      <c r="C32" s="8"/>
      <c r="D32" s="8"/>
      <c r="E32" s="8"/>
      <c r="F32" s="8"/>
      <c r="G32" s="8"/>
    </row>
    <row r="33" customFormat="false" ht="21.75" hidden="false" customHeight="true" outlineLevel="0" collapsed="false">
      <c r="B33" s="27"/>
      <c r="C33" s="27"/>
      <c r="D33" s="27"/>
      <c r="E33" s="27"/>
      <c r="F33" s="27"/>
      <c r="G33" s="27"/>
    </row>
    <row r="34" customFormat="false" ht="21.75" hidden="false" customHeight="true" outlineLevel="0" collapsed="false">
      <c r="B34" s="27"/>
      <c r="C34" s="27"/>
      <c r="D34" s="27"/>
      <c r="E34" s="27"/>
      <c r="F34" s="27"/>
      <c r="G34" s="27"/>
    </row>
    <row r="35" customFormat="false" ht="21.75" hidden="false" customHeight="true" outlineLevel="0" collapsed="false">
      <c r="B35" s="27"/>
      <c r="C35" s="27"/>
      <c r="D35" s="27"/>
      <c r="E35" s="27"/>
      <c r="F35" s="27"/>
      <c r="G35" s="27"/>
    </row>
    <row r="36" customFormat="false" ht="39.75" hidden="false" customHeight="true" outlineLevel="0" collapsed="false">
      <c r="B36" s="28" t="str">
        <f aca="false">IF(LEN(B33)&lt;40,"",IF(AND(ISNUMBER(SEARCH("nåverdi",B33)),ISNUMBER(SEARCH("krav",B33))),"Bra: du bruker nåverdi og krav. Sjekk at du også sier at det er kravet styret setter som avgjør svaret, og at utstyret gir 15,55 % selv.",IF(OR(ISNUMBER(SEARCH("nåverdi",B33)),ISNUMBER(SEARCH("krav",B33))),"Du er på sporet. Si hva nåverdien betyr (kroner over eller under kravet, i dagens penger), og at det er kravet som avgjør.","Tips: positiv nåverdi betyr at utstyret gir mer enn 10 %, regnet i dagens kroner. Negativ ved 16 % betyr at det gir mindre enn 16 %. Kari må få styret til å ta stilling til kravet; det er der svaret avgjøres.")))</f>
        <v/>
      </c>
      <c r="C36" s="28"/>
      <c r="D36" s="28"/>
      <c r="E36" s="28"/>
      <c r="F36" s="28"/>
      <c r="G36" s="28"/>
    </row>
    <row r="37" customFormat="false" ht="15" hidden="false" customHeight="false" outlineLevel="0" collapsed="false">
      <c r="B37" s="15" t="s">
        <v>48</v>
      </c>
      <c r="C37" s="21"/>
    </row>
    <row r="38" customFormat="false" ht="45" hidden="false" customHeight="true" outlineLevel="0" collapsed="false">
      <c r="B38" s="22" t="str">
        <f aca="false">IF(C37="JA","Hint: 170 000 / 1,10 = 154 545. 170 000 / 1,21 = 140 496. 170 000 / 1,331 = 127 724. 170 000 / 1,4641 = 116 112. Sum 538 877. Minus 480 000 = 58 877. Ved 16 %: 146 552 + 126 338 + 108 912 + 93 889 = 475 691, minus 480 000 = −4 309.","")</f>
        <v/>
      </c>
      <c r="C38" s="22"/>
      <c r="D38" s="22"/>
      <c r="E38" s="22"/>
      <c r="F38" s="22"/>
      <c r="G38" s="22"/>
    </row>
    <row r="40" customFormat="false" ht="30" hidden="false" customHeight="true" outlineLevel="0" collapsed="false">
      <c r="B40" s="6" t="s">
        <v>49</v>
      </c>
      <c r="C40" s="6"/>
      <c r="D40" s="6"/>
      <c r="E40" s="6"/>
      <c r="F40" s="6"/>
      <c r="G40" s="6"/>
    </row>
  </sheetData>
  <mergeCells count="20">
    <mergeCell ref="B2:G2"/>
    <mergeCell ref="B3:G3"/>
    <mergeCell ref="B4:G4"/>
    <mergeCell ref="B5:G5"/>
    <mergeCell ref="B6:G6"/>
    <mergeCell ref="B7:G7"/>
    <mergeCell ref="B9:G9"/>
    <mergeCell ref="B10:G10"/>
    <mergeCell ref="B20:G20"/>
    <mergeCell ref="B21:G21"/>
    <mergeCell ref="C24:G24"/>
    <mergeCell ref="C25:G25"/>
    <mergeCell ref="C26:G26"/>
    <mergeCell ref="C27:G27"/>
    <mergeCell ref="C28:G28"/>
    <mergeCell ref="B32:G32"/>
    <mergeCell ref="B33:G35"/>
    <mergeCell ref="B36:G36"/>
    <mergeCell ref="B38:G38"/>
    <mergeCell ref="B40:G40"/>
  </mergeCells>
  <conditionalFormatting sqref="C24">
    <cfRule type="expression" priority="2" aboveAverage="0" equalAverage="0" bottom="0" percent="0" rank="0" text="" dxfId="0">
      <formula>LEFT(C24,6)="Riktig"</formula>
    </cfRule>
    <cfRule type="expression" priority="3" aboveAverage="0" equalAverage="0" bottom="0" percent="0" rank="0" text="" dxfId="1">
      <formula>AND(C24&lt;&gt;"",LEFT(C24,6)&lt;&gt;"Riktig",LEFT(C24,5)&lt;&gt;"Skriv")</formula>
    </cfRule>
  </conditionalFormatting>
  <conditionalFormatting sqref="C25">
    <cfRule type="expression" priority="4" aboveAverage="0" equalAverage="0" bottom="0" percent="0" rank="0" text="" dxfId="0">
      <formula>LEFT(C25,6)="Riktig"</formula>
    </cfRule>
    <cfRule type="expression" priority="5" aboveAverage="0" equalAverage="0" bottom="0" percent="0" rank="0" text="" dxfId="1">
      <formula>AND(C25&lt;&gt;"",LEFT(C25,6)&lt;&gt;"Riktig",LEFT(C25,5)&lt;&gt;"Skriv")</formula>
    </cfRule>
  </conditionalFormatting>
  <conditionalFormatting sqref="C26">
    <cfRule type="expression" priority="6" aboveAverage="0" equalAverage="0" bottom="0" percent="0" rank="0" text="" dxfId="0">
      <formula>LEFT(C26,6)="Riktig"</formula>
    </cfRule>
    <cfRule type="expression" priority="7" aboveAverage="0" equalAverage="0" bottom="0" percent="0" rank="0" text="" dxfId="1">
      <formula>AND(C26&lt;&gt;"",LEFT(C26,6)&lt;&gt;"Riktig",LEFT(C26,5)&lt;&gt;"Skriv")</formula>
    </cfRule>
  </conditionalFormatting>
  <conditionalFormatting sqref="C27">
    <cfRule type="expression" priority="8" aboveAverage="0" equalAverage="0" bottom="0" percent="0" rank="0" text="" dxfId="0">
      <formula>LEFT(C27,6)="Riktig"</formula>
    </cfRule>
    <cfRule type="expression" priority="9" aboveAverage="0" equalAverage="0" bottom="0" percent="0" rank="0" text="" dxfId="1">
      <formula>AND(C27&lt;&gt;"",LEFT(C27,6)&lt;&gt;"Riktig",LEFT(C27,5)&lt;&gt;"Skriv")</formula>
    </cfRule>
  </conditionalFormatting>
  <conditionalFormatting sqref="C28">
    <cfRule type="expression" priority="10" aboveAverage="0" equalAverage="0" bottom="0" percent="0" rank="0" text="" dxfId="0">
      <formula>LEFT(C28,6)="Riktig"</formula>
    </cfRule>
    <cfRule type="expression" priority="11" aboveAverage="0" equalAverage="0" bottom="0" percent="0" rank="0" text="" dxfId="1">
      <formula>AND(C28&lt;&gt;"",LEFT(C28,6)&lt;&gt;"Riktig",LEFT(C28,5)&lt;&gt;"Skriv")</formula>
    </cfRule>
  </conditionalFormatting>
  <conditionalFormatting sqref="G30">
    <cfRule type="expression" priority="12" aboveAverage="0" equalAverage="0" bottom="0" percent="0" rank="0" text="" dxfId="0">
      <formula>LEFT(G30,6)="Riktig"</formula>
    </cfRule>
    <cfRule type="expression" priority="13" aboveAverage="0" equalAverage="0" bottom="0" percent="0" rank="0" text="" dxfId="1">
      <formula>AND(G30&lt;&gt;"",LEFT(G30,6)&lt;&gt;"Riktig",LEFT(G30,5)&lt;&gt;"Skriv")</formula>
    </cfRule>
  </conditionalFormatting>
  <dataValidations count="1">
    <dataValidation allowBlank="true" errorStyle="stop" operator="between" showDropDown="false" showErrorMessage="false" showInputMessage="false" sqref="C37" type="list">
      <formula1>"JA,NEI"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G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6" min="3" style="0" width="16"/>
    <col collapsed="false" customWidth="true" hidden="false" outlineLevel="0" max="7" min="7" style="0" width="56"/>
  </cols>
  <sheetData>
    <row r="2" customFormat="false" ht="25.5" hidden="false" customHeight="true" outlineLevel="0" collapsed="false">
      <c r="B2" s="5" t="s">
        <v>71</v>
      </c>
      <c r="C2" s="5"/>
      <c r="D2" s="5"/>
      <c r="E2" s="5"/>
      <c r="F2" s="5"/>
      <c r="G2" s="5"/>
    </row>
    <row r="3" customFormat="false" ht="15" hidden="false" customHeight="true" outlineLevel="0" collapsed="false">
      <c r="B3" s="6" t="s">
        <v>14</v>
      </c>
      <c r="C3" s="6"/>
      <c r="D3" s="6"/>
      <c r="E3" s="6"/>
      <c r="F3" s="6"/>
      <c r="G3" s="6"/>
    </row>
    <row r="4" customFormat="false" ht="15.75" hidden="false" customHeight="true" outlineLevel="0" collapsed="false">
      <c r="B4" s="7" t="s">
        <v>15</v>
      </c>
      <c r="C4" s="7"/>
      <c r="D4" s="7"/>
      <c r="E4" s="7"/>
      <c r="F4" s="7"/>
      <c r="G4" s="7"/>
    </row>
    <row r="5" customFormat="false" ht="60" hidden="false" customHeight="true" outlineLevel="0" collapsed="false">
      <c r="B5" s="8" t="s">
        <v>72</v>
      </c>
      <c r="C5" s="8"/>
      <c r="D5" s="8"/>
      <c r="E5" s="8"/>
      <c r="F5" s="8"/>
      <c r="G5" s="8"/>
    </row>
    <row r="6" customFormat="false" ht="15.75" hidden="false" customHeight="true" outlineLevel="0" collapsed="false">
      <c r="B6" s="7" t="s">
        <v>17</v>
      </c>
      <c r="C6" s="7"/>
      <c r="D6" s="7"/>
      <c r="E6" s="7"/>
      <c r="F6" s="7"/>
      <c r="G6" s="7"/>
    </row>
    <row r="7" customFormat="false" ht="60" hidden="false" customHeight="true" outlineLevel="0" collapsed="false">
      <c r="B7" s="8" t="s">
        <v>73</v>
      </c>
      <c r="C7" s="8"/>
      <c r="D7" s="8"/>
      <c r="E7" s="8"/>
      <c r="F7" s="8"/>
      <c r="G7" s="8"/>
    </row>
    <row r="9" customFormat="false" ht="15.75" hidden="false" customHeight="true" outlineLevel="0" collapsed="false">
      <c r="B9" s="7" t="s">
        <v>19</v>
      </c>
      <c r="C9" s="7"/>
      <c r="D9" s="7"/>
      <c r="E9" s="7"/>
      <c r="F9" s="7"/>
      <c r="G9" s="7"/>
    </row>
    <row r="10" customFormat="false" ht="60" hidden="false" customHeight="true" outlineLevel="0" collapsed="false">
      <c r="B10" s="8" t="s">
        <v>74</v>
      </c>
      <c r="C10" s="8"/>
      <c r="D10" s="8"/>
      <c r="E10" s="8"/>
      <c r="F10" s="8"/>
      <c r="G10" s="8"/>
    </row>
    <row r="11" customFormat="false" ht="15" hidden="false" customHeight="false" outlineLevel="0" collapsed="false">
      <c r="B11" s="9" t="s">
        <v>21</v>
      </c>
      <c r="C11" s="10" t="s">
        <v>75</v>
      </c>
      <c r="D11" s="10" t="s">
        <v>76</v>
      </c>
      <c r="E11" s="10" t="s">
        <v>77</v>
      </c>
      <c r="F11" s="10" t="s">
        <v>78</v>
      </c>
    </row>
    <row r="12" customFormat="false" ht="15" hidden="false" customHeight="false" outlineLevel="0" collapsed="false">
      <c r="B12" s="11" t="s">
        <v>26</v>
      </c>
      <c r="C12" s="12" t="n">
        <v>-480000</v>
      </c>
      <c r="D12" s="12" t="n">
        <v>-30000</v>
      </c>
      <c r="E12" s="12" t="n">
        <v>0</v>
      </c>
      <c r="F12" s="13"/>
    </row>
    <row r="13" customFormat="false" ht="15" hidden="false" customHeight="false" outlineLevel="0" collapsed="false">
      <c r="B13" s="11" t="s">
        <v>27</v>
      </c>
      <c r="C13" s="12" t="n">
        <v>0</v>
      </c>
      <c r="D13" s="12" t="n">
        <v>0</v>
      </c>
      <c r="E13" s="12" t="n">
        <v>170000</v>
      </c>
      <c r="F13" s="14" t="n">
        <f aca="false">E13</f>
        <v>170000</v>
      </c>
    </row>
    <row r="14" customFormat="false" ht="15" hidden="false" customHeight="false" outlineLevel="0" collapsed="false">
      <c r="B14" s="11" t="s">
        <v>28</v>
      </c>
      <c r="C14" s="12" t="n">
        <v>0</v>
      </c>
      <c r="D14" s="12" t="n">
        <v>0</v>
      </c>
      <c r="E14" s="12" t="n">
        <v>170000</v>
      </c>
      <c r="F14" s="14" t="n">
        <f aca="false">E14</f>
        <v>170000</v>
      </c>
    </row>
    <row r="15" customFormat="false" ht="15" hidden="false" customHeight="false" outlineLevel="0" collapsed="false">
      <c r="B15" s="11" t="s">
        <v>29</v>
      </c>
      <c r="C15" s="12" t="n">
        <v>0</v>
      </c>
      <c r="D15" s="12" t="n">
        <v>0</v>
      </c>
      <c r="E15" s="12" t="n">
        <v>170000</v>
      </c>
      <c r="F15" s="14" t="n">
        <f aca="false">E15</f>
        <v>170000</v>
      </c>
    </row>
    <row r="16" customFormat="false" ht="15" hidden="false" customHeight="false" outlineLevel="0" collapsed="false">
      <c r="B16" s="11" t="s">
        <v>79</v>
      </c>
      <c r="C16" s="12" t="n">
        <v>0</v>
      </c>
      <c r="D16" s="12" t="n">
        <v>30000</v>
      </c>
      <c r="E16" s="12" t="n">
        <v>170000</v>
      </c>
      <c r="F16" s="13"/>
    </row>
    <row r="18" customFormat="false" ht="15.75" hidden="false" customHeight="true" outlineLevel="0" collapsed="false">
      <c r="B18" s="7" t="s">
        <v>31</v>
      </c>
      <c r="C18" s="7"/>
      <c r="D18" s="7"/>
      <c r="E18" s="7"/>
      <c r="F18" s="7"/>
      <c r="G18" s="7"/>
    </row>
    <row r="19" customFormat="false" ht="60" hidden="false" customHeight="true" outlineLevel="0" collapsed="false">
      <c r="B19" s="8" t="s">
        <v>80</v>
      </c>
      <c r="C19" s="8"/>
      <c r="D19" s="8"/>
      <c r="E19" s="8"/>
      <c r="F19" s="8"/>
      <c r="G19" s="8"/>
    </row>
    <row r="21" customFormat="false" ht="15" hidden="false" customHeight="false" outlineLevel="0" collapsed="false">
      <c r="B21" s="15" t="s">
        <v>33</v>
      </c>
    </row>
    <row r="22" customFormat="false" ht="36" hidden="false" customHeight="true" outlineLevel="0" collapsed="false">
      <c r="B22" s="0" t="s">
        <v>34</v>
      </c>
      <c r="C22" s="16" t="str">
        <f aca="false">IF(F12="","Skriv svaret i cellen F12.",IF(F12=(-510000),"Riktig.",IF(F12=(-480000),"Du har glemt lageret. De 30 000 kr går ut av kassa på kjøpsdagen, sammen med utstyret.",IF(F12=(-450000),"Lageret har fått pluss. I år 0 bindes pengene; de kommer først tilbake i år 4.",IF(F12=(510000),"Fortegnet er feil. I år 0 går pengene ut.","Ikke riktig ennå. Utstyret og lageret, begge ut av kassa i år 0.")))))</f>
        <v>Skriv svaret i cellen F12.</v>
      </c>
      <c r="D22" s="16"/>
      <c r="E22" s="16"/>
      <c r="F22" s="16"/>
      <c r="G22" s="16"/>
    </row>
    <row r="23" customFormat="false" ht="36" hidden="false" customHeight="true" outlineLevel="0" collapsed="false">
      <c r="B23" s="0" t="s">
        <v>81</v>
      </c>
      <c r="C23" s="16" t="str">
        <f aca="false">IF(F16="","Skriv svaret i cellen F16.",IF(F16=(200000),"Riktig.",IF(F16=(170000),"Du har glemt at lageret frigjøres i år 4. De 30 000 kr kommer tilbake.",IF(F16=(140000),"Lageret har fått minus i år 4. Når utstyret avvikles, kommer pengene tilbake: pluss.",IF(F16=(230000),"Du har lagt til lageret to ganger. Det er 170 000 fra driften pluss 30 000 fra lageret.","Ikke riktig ennå. Driften gir 170 000, og lageret på 30 000 kommer tilbake.")))))</f>
        <v>Skriv svaret i cellen F16.</v>
      </c>
      <c r="D23" s="16"/>
      <c r="E23" s="16"/>
      <c r="F23" s="16"/>
      <c r="G23" s="16"/>
    </row>
    <row r="25" customFormat="false" ht="43.5" hidden="false" customHeight="true" outlineLevel="0" collapsed="false">
      <c r="B25" s="17" t="s">
        <v>82</v>
      </c>
      <c r="C25" s="18"/>
      <c r="D25" s="19" t="s">
        <v>41</v>
      </c>
      <c r="G25" s="20" t="str">
        <f aca="false">IF(C25="","Skriv svaret i den gule cellen.",IF(ABS(C25-(510000/170000))&lt;=0.01,"Riktig.",IF(ABS(C25-(480000/170000))&lt;=0.01,"Du har brukt 480 000. Lageret binder også penger fra dag én; bruk 510 000.",IF(ABS(C25-(510000/200000))&lt;=0.01,"Du har delt på år 4-beløpet. Driften gir 170 000 per år; lageret kommer én gang, til slutt.",IF(ABS(C25-(170000/510000))&lt;=0.01,"Du har delt motsatt vei.","Ikke riktig ennå. Hele beløpet som går ut i år 0, delt på det driften gir per år.")))))</f>
        <v>Skriv svaret i den gule cellen.</v>
      </c>
    </row>
    <row r="26" customFormat="false" ht="43.5" hidden="false" customHeight="true" outlineLevel="0" collapsed="false">
      <c r="B26" s="17" t="s">
        <v>83</v>
      </c>
      <c r="C26" s="13"/>
      <c r="D26" s="19" t="s">
        <v>69</v>
      </c>
      <c r="G26" s="20" t="str">
        <f aca="false">IF(C26="","Skriv svaret i den gule cellen.",IF(ABS(C26-(ROUND(-510000+170000/1.1+170000/1.1^2+170000/1.1^3+200000/1.1^4,0)))&lt;=20,"Riktig.",IF(ABS(C26-(58877))&lt;=20,"Det er nåverdien uten lageret (1B). Lageret står med −30 000 i år 0 og +30 000 i år 4.",IF(ABS(C26-(28877))&lt;=20,"Du har trukket fra lageret i år 0, men glemt at det kommer tilbake i år 4.",IF(ABS(C26-(ROUND(-480000+170000/1.1+170000/1.1^2+170000/1.1^3+200000/1.1^4,0)))&lt;=20,"Du har lagt lageret til i år 4, men glemt å trekke det fra i år 0.",IF(ABS(C26-(ROUND(-510000+170000/1.1+170000/1.1^2+170000/1.1^3+170000/1.1^4+30000,0)))&lt;=20,"Du har lagt til de 30 000 udiskontert. De kommer i år 4 og skal deles på 1,4641.","Ikke riktig ennå. −510 000 + 170 000/1,10 + 170 000/1,21 + 170 000/1,331 + 200 000/1,4641."))))))</f>
        <v>Skriv svaret i den gule cellen.</v>
      </c>
    </row>
    <row r="27" customFormat="false" ht="43.5" hidden="false" customHeight="true" outlineLevel="0" collapsed="false">
      <c r="B27" s="17" t="s">
        <v>84</v>
      </c>
      <c r="C27" s="13"/>
      <c r="D27" s="19" t="s">
        <v>69</v>
      </c>
      <c r="G27" s="20" t="str">
        <f aca="false">IF(C27="","Skriv svaret i den gule cellen.",IF(ABS(C27-(ROUND(-510000+170000/1.075+170000/1.075^2+170000/1.075^3+200000/1.075^4,0)))&lt;=20,"Riktig.",IF(ABS(C27-(ROUND(-510000+170000/1.1+170000/1.1^2+170000/1.1^3+200000/1.1^4,0)))&lt;=20,"Det er svaret i b, ved 10 %. Nå skal du dele på 1,075 opphøyd i år.",IF(ABS(C27-(ROUND(-480000+170000/1.075+170000/1.075^2+170000/1.075^3+170000/1.075^4,0)))&lt;=20,"Du har regnet uten lageret. Ta med −30 000 i år 0 og +30 000 i år 4.","Ikke riktig ennå. Samme regnestykke som i b, men del på 1,075, 1,1556, 1,2423 og 1,3355."))))</f>
        <v>Skriv svaret i den gule cellen.</v>
      </c>
    </row>
    <row r="29" customFormat="false" ht="39.75" hidden="false" customHeight="true" outlineLevel="0" collapsed="false">
      <c r="B29" s="17" t="s">
        <v>85</v>
      </c>
      <c r="C29" s="21"/>
      <c r="G29" s="20" t="str">
        <f aca="false">IF(C29="","Velg i nedtrekksmenyen.",IF(C29="Nei. Kravet er risikofri avkastning pluss et tillegg for risikoen i denne investeringen, ikke lånerenten","Riktig. Boka: med rente menes ikke bankenes utlånsrente, men bedriftens krav til inntjening, risikofri avkastning pluss risikotillegg (avsnitt 10.2). Lånerenten fra kapittel 6 er prisen på pengene, og kravet må ligge over den.","Ikke riktig. Boka: med rente menes ikke bankenes utlånsrente, men bedriftens krav til inntjening, risikofri avkastning pluss risikotillegg (avsnitt 10.2). Lånerenten fra kapittel 6 er prisen på pengene, og kravet må ligge over den."))</f>
        <v>Velg i nedtrekksmenyen.</v>
      </c>
    </row>
    <row r="31" customFormat="false" ht="30" hidden="false" customHeight="true" outlineLevel="0" collapsed="false">
      <c r="B31" s="8" t="s">
        <v>86</v>
      </c>
      <c r="C31" s="8"/>
      <c r="D31" s="8"/>
      <c r="E31" s="8"/>
      <c r="F31" s="8"/>
      <c r="G31" s="8"/>
    </row>
    <row r="32" customFormat="false" ht="21.75" hidden="false" customHeight="true" outlineLevel="0" collapsed="false">
      <c r="B32" s="27"/>
      <c r="C32" s="27"/>
      <c r="D32" s="27"/>
      <c r="E32" s="27"/>
      <c r="F32" s="27"/>
      <c r="G32" s="27"/>
    </row>
    <row r="33" customFormat="false" ht="21.75" hidden="false" customHeight="true" outlineLevel="0" collapsed="false">
      <c r="B33" s="27"/>
      <c r="C33" s="27"/>
      <c r="D33" s="27"/>
      <c r="E33" s="27"/>
      <c r="F33" s="27"/>
      <c r="G33" s="27"/>
    </row>
    <row r="34" customFormat="false" ht="21.75" hidden="false" customHeight="true" outlineLevel="0" collapsed="false">
      <c r="B34" s="27"/>
      <c r="C34" s="27"/>
      <c r="D34" s="27"/>
      <c r="E34" s="27"/>
      <c r="F34" s="27"/>
      <c r="G34" s="27"/>
    </row>
    <row r="35" customFormat="false" ht="39.75" hidden="false" customHeight="true" outlineLevel="0" collapsed="false">
      <c r="B35" s="28" t="str">
        <f aca="false">IF(LEN(B32)&lt;40,"",IF(AND(ISNUMBER(SEARCH("nåverdi",B32)),ISNUMBER(SEARCH("risiko",B32))),"Bra: du har med både nåverdien og risikoen. Si gjerne også hva som må slå til for at anslaget på 260 000 kr inn skal holde.",IF(OR(ISNUMBER(SEARCH("nåverdi",B32)),ISNUMBER(SEARCH("risiko",B32))),"Du har med det ene. Ta med både at nåverdien er positiv ved 10 % (lønnsomt), og at tilbakebetalingstiden på 3,00 år ligger på grensen, så det er lite rom for at inntektene svikter (risiko).","Tips: nåverdien er 49 368 kr ved 10 %, så utstyret er lønnsomt med lageret. Men tilbakebetalingstiden er akkurat 3 år, og alle tall er anslag. Svikter 260 000 kr inn, snur svaret. Kari bør sjekke anslaget mot det Nordlys leier inn termografering for i dag.")))</f>
        <v/>
      </c>
      <c r="C35" s="28"/>
      <c r="D35" s="28"/>
      <c r="E35" s="28"/>
      <c r="F35" s="28"/>
      <c r="G35" s="28"/>
    </row>
    <row r="36" customFormat="false" ht="15" hidden="false" customHeight="false" outlineLevel="0" collapsed="false">
      <c r="B36" s="15" t="s">
        <v>48</v>
      </c>
      <c r="C36" s="21"/>
    </row>
    <row r="37" customFormat="false" ht="45" hidden="false" customHeight="true" outlineLevel="0" collapsed="false">
      <c r="B37" s="22" t="str">
        <f aca="false">IF(C36="JA","Hint: År 0: −480 000 − 30 000 = −510 000. År 4: 170 000 + 30 000 = 200 000. a: 510 000 / 170 000 = 3,00. b: −510 000 + 154 545 + 140 496 + 127 724 + 136 602 = 49 368. c: −510 000 + 158 140 + 147 107 + 136 843 + 149 760 = 81 849.","")</f>
        <v/>
      </c>
      <c r="C37" s="22"/>
      <c r="D37" s="22"/>
      <c r="E37" s="22"/>
      <c r="F37" s="22"/>
      <c r="G37" s="22"/>
    </row>
    <row r="39" customFormat="false" ht="30" hidden="false" customHeight="true" outlineLevel="0" collapsed="false">
      <c r="B39" s="6" t="s">
        <v>49</v>
      </c>
      <c r="C39" s="6"/>
      <c r="D39" s="6"/>
      <c r="E39" s="6"/>
      <c r="F39" s="6"/>
      <c r="G39" s="6"/>
    </row>
  </sheetData>
  <mergeCells count="17">
    <mergeCell ref="B2:G2"/>
    <mergeCell ref="B3:G3"/>
    <mergeCell ref="B4:G4"/>
    <mergeCell ref="B5:G5"/>
    <mergeCell ref="B6:G6"/>
    <mergeCell ref="B7:G7"/>
    <mergeCell ref="B9:G9"/>
    <mergeCell ref="B10:G10"/>
    <mergeCell ref="B18:G18"/>
    <mergeCell ref="B19:G19"/>
    <mergeCell ref="C22:G22"/>
    <mergeCell ref="C23:G23"/>
    <mergeCell ref="B31:G31"/>
    <mergeCell ref="B32:G34"/>
    <mergeCell ref="B35:G35"/>
    <mergeCell ref="B37:G37"/>
    <mergeCell ref="B39:G39"/>
  </mergeCells>
  <conditionalFormatting sqref="C22">
    <cfRule type="expression" priority="2" aboveAverage="0" equalAverage="0" bottom="0" percent="0" rank="0" text="" dxfId="0">
      <formula>LEFT(C22,6)="Riktig"</formula>
    </cfRule>
    <cfRule type="expression" priority="3" aboveAverage="0" equalAverage="0" bottom="0" percent="0" rank="0" text="" dxfId="1">
      <formula>AND(C22&lt;&gt;"",LEFT(C22,6)&lt;&gt;"Riktig",LEFT(C22,5)&lt;&gt;"Skriv")</formula>
    </cfRule>
  </conditionalFormatting>
  <conditionalFormatting sqref="C23">
    <cfRule type="expression" priority="4" aboveAverage="0" equalAverage="0" bottom="0" percent="0" rank="0" text="" dxfId="0">
      <formula>LEFT(C23,6)="Riktig"</formula>
    </cfRule>
    <cfRule type="expression" priority="5" aboveAverage="0" equalAverage="0" bottom="0" percent="0" rank="0" text="" dxfId="1">
      <formula>AND(C23&lt;&gt;"",LEFT(C23,6)&lt;&gt;"Riktig",LEFT(C23,5)&lt;&gt;"Skriv")</formula>
    </cfRule>
  </conditionalFormatting>
  <conditionalFormatting sqref="G25">
    <cfRule type="expression" priority="6" aboveAverage="0" equalAverage="0" bottom="0" percent="0" rank="0" text="" dxfId="0">
      <formula>LEFT(G25,6)="Riktig"</formula>
    </cfRule>
    <cfRule type="expression" priority="7" aboveAverage="0" equalAverage="0" bottom="0" percent="0" rank="0" text="" dxfId="1">
      <formula>AND(G25&lt;&gt;"",LEFT(G25,6)&lt;&gt;"Riktig",LEFT(G25,5)&lt;&gt;"Skriv")</formula>
    </cfRule>
  </conditionalFormatting>
  <conditionalFormatting sqref="G26">
    <cfRule type="expression" priority="8" aboveAverage="0" equalAverage="0" bottom="0" percent="0" rank="0" text="" dxfId="0">
      <formula>LEFT(G26,6)="Riktig"</formula>
    </cfRule>
    <cfRule type="expression" priority="9" aboveAverage="0" equalAverage="0" bottom="0" percent="0" rank="0" text="" dxfId="1">
      <formula>AND(G26&lt;&gt;"",LEFT(G26,6)&lt;&gt;"Riktig",LEFT(G26,5)&lt;&gt;"Skriv")</formula>
    </cfRule>
  </conditionalFormatting>
  <conditionalFormatting sqref="G27">
    <cfRule type="expression" priority="10" aboveAverage="0" equalAverage="0" bottom="0" percent="0" rank="0" text="" dxfId="0">
      <formula>LEFT(G27,6)="Riktig"</formula>
    </cfRule>
    <cfRule type="expression" priority="11" aboveAverage="0" equalAverage="0" bottom="0" percent="0" rank="0" text="" dxfId="1">
      <formula>AND(G27&lt;&gt;"",LEFT(G27,6)&lt;&gt;"Riktig",LEFT(G27,5)&lt;&gt;"Skriv")</formula>
    </cfRule>
  </conditionalFormatting>
  <conditionalFormatting sqref="G29">
    <cfRule type="expression" priority="12" aboveAverage="0" equalAverage="0" bottom="0" percent="0" rank="0" text="" dxfId="0">
      <formula>LEFT(G29,6)="Riktig"</formula>
    </cfRule>
    <cfRule type="expression" priority="13" aboveAverage="0" equalAverage="0" bottom="0" percent="0" rank="0" text="" dxfId="1">
      <formula>LEFT(G29,4)="Ikke"</formula>
    </cfRule>
  </conditionalFormatting>
  <dataValidations count="2">
    <dataValidation allowBlank="true" errorStyle="stop" operator="between" showDropDown="false" showErrorMessage="false" showInputMessage="false" sqref="C29" type="list">
      <formula1>"Nei. Kravet er risikofri avkastning pluss et tillegg for risikoen i denne investeringen,ikke lånerenten,Ja. Kravet er det pengene koster i banken,Nei. Kravet er alltid 10 %"</formula1>
      <formula2>0</formula2>
    </dataValidation>
    <dataValidation allowBlank="true" errorStyle="stop" operator="between" showDropDown="false" showErrorMessage="false" showInputMessage="false" sqref="C36" type="list">
      <formula1>"JA,NEI"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D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0"/>
    <col collapsed="false" customWidth="true" hidden="false" outlineLevel="0" max="3" min="3" style="0" width="16"/>
    <col collapsed="false" customWidth="true" hidden="false" outlineLevel="0" max="4" min="4" style="0" width="78"/>
  </cols>
  <sheetData>
    <row r="2" customFormat="false" ht="19.7" hidden="false" customHeight="false" outlineLevel="0" collapsed="false">
      <c r="B2" s="29" t="s">
        <v>87</v>
      </c>
    </row>
    <row r="3" customFormat="false" ht="30" hidden="false" customHeight="true" outlineLevel="0" collapsed="false">
      <c r="B3" s="6" t="s">
        <v>88</v>
      </c>
      <c r="C3" s="6"/>
      <c r="D3" s="6"/>
    </row>
    <row r="5" customFormat="false" ht="15" hidden="false" customHeight="false" outlineLevel="0" collapsed="false">
      <c r="B5" s="30" t="s">
        <v>89</v>
      </c>
      <c r="C5" s="30" t="s">
        <v>90</v>
      </c>
      <c r="D5" s="30" t="s">
        <v>91</v>
      </c>
    </row>
    <row r="6" customFormat="false" ht="30" hidden="false" customHeight="true" outlineLevel="0" collapsed="false">
      <c r="B6" s="31" t="s">
        <v>92</v>
      </c>
      <c r="C6" s="14" t="n">
        <v>-480000</v>
      </c>
      <c r="D6" s="31" t="s">
        <v>93</v>
      </c>
    </row>
    <row r="7" customFormat="false" ht="30" hidden="false" customHeight="true" outlineLevel="0" collapsed="false">
      <c r="B7" s="31" t="s">
        <v>94</v>
      </c>
      <c r="C7" s="14" t="n">
        <v>170000</v>
      </c>
      <c r="D7" s="31" t="s">
        <v>95</v>
      </c>
    </row>
    <row r="8" customFormat="false" ht="30" hidden="false" customHeight="true" outlineLevel="0" collapsed="false">
      <c r="B8" s="31" t="s">
        <v>96</v>
      </c>
      <c r="C8" s="14"/>
      <c r="D8" s="31" t="s">
        <v>97</v>
      </c>
    </row>
    <row r="9" customFormat="false" ht="30" hidden="false" customHeight="true" outlineLevel="0" collapsed="false">
      <c r="B9" s="31" t="s">
        <v>98</v>
      </c>
      <c r="C9" s="14"/>
      <c r="D9" s="31" t="s">
        <v>99</v>
      </c>
    </row>
    <row r="10" customFormat="false" ht="30" hidden="false" customHeight="true" outlineLevel="0" collapsed="false">
      <c r="B10" s="31" t="s">
        <v>100</v>
      </c>
      <c r="C10" s="14"/>
      <c r="D10" s="31" t="s">
        <v>101</v>
      </c>
    </row>
    <row r="11" customFormat="false" ht="30" hidden="false" customHeight="true" outlineLevel="0" collapsed="false">
      <c r="B11" s="31" t="s">
        <v>102</v>
      </c>
      <c r="C11" s="14"/>
      <c r="D11" s="31" t="s">
        <v>103</v>
      </c>
    </row>
    <row r="12" customFormat="false" ht="30" hidden="false" customHeight="true" outlineLevel="0" collapsed="false">
      <c r="B12" s="31" t="s">
        <v>104</v>
      </c>
      <c r="C12" s="14" t="n">
        <v>58877</v>
      </c>
      <c r="D12" s="31" t="s">
        <v>105</v>
      </c>
    </row>
    <row r="13" customFormat="false" ht="30" hidden="false" customHeight="true" outlineLevel="0" collapsed="false">
      <c r="B13" s="31" t="s">
        <v>106</v>
      </c>
      <c r="C13" s="14" t="n">
        <v>-4309</v>
      </c>
      <c r="D13" s="31" t="s">
        <v>107</v>
      </c>
    </row>
    <row r="14" customFormat="false" ht="45" hidden="false" customHeight="true" outlineLevel="0" collapsed="false">
      <c r="B14" s="31" t="s">
        <v>108</v>
      </c>
      <c r="C14" s="14"/>
      <c r="D14" s="31" t="s">
        <v>109</v>
      </c>
    </row>
    <row r="15" customFormat="false" ht="30" hidden="false" customHeight="true" outlineLevel="0" collapsed="false">
      <c r="B15" s="31" t="s">
        <v>110</v>
      </c>
      <c r="C15" s="14" t="n">
        <v>-510000</v>
      </c>
      <c r="D15" s="31" t="s">
        <v>111</v>
      </c>
    </row>
    <row r="16" customFormat="false" ht="30" hidden="false" customHeight="true" outlineLevel="0" collapsed="false">
      <c r="B16" s="31" t="s">
        <v>112</v>
      </c>
      <c r="C16" s="14" t="n">
        <v>200000</v>
      </c>
      <c r="D16" s="31" t="s">
        <v>113</v>
      </c>
    </row>
    <row r="17" customFormat="false" ht="30" hidden="false" customHeight="true" outlineLevel="0" collapsed="false">
      <c r="B17" s="31" t="s">
        <v>114</v>
      </c>
      <c r="C17" s="14"/>
      <c r="D17" s="31" t="s">
        <v>115</v>
      </c>
    </row>
    <row r="18" customFormat="false" ht="30" hidden="false" customHeight="true" outlineLevel="0" collapsed="false">
      <c r="B18" s="31" t="s">
        <v>116</v>
      </c>
      <c r="C18" s="14" t="n">
        <v>49368</v>
      </c>
      <c r="D18" s="31" t="s">
        <v>117</v>
      </c>
    </row>
    <row r="19" customFormat="false" ht="30" hidden="false" customHeight="true" outlineLevel="0" collapsed="false">
      <c r="B19" s="31" t="s">
        <v>118</v>
      </c>
      <c r="C19" s="14" t="n">
        <v>81849</v>
      </c>
      <c r="D19" s="31" t="s">
        <v>119</v>
      </c>
    </row>
    <row r="20" customFormat="false" ht="30" hidden="false" customHeight="true" outlineLevel="0" collapsed="false">
      <c r="B20" s="31" t="s">
        <v>120</v>
      </c>
      <c r="C20" s="14"/>
      <c r="D20" s="31" t="s">
        <v>121</v>
      </c>
    </row>
    <row r="21" customFormat="false" ht="30" hidden="false" customHeight="true" outlineLevel="0" collapsed="false">
      <c r="B21" s="31" t="s">
        <v>122</v>
      </c>
      <c r="C21" s="14"/>
      <c r="D21" s="31" t="s">
        <v>123</v>
      </c>
    </row>
  </sheetData>
  <sheetProtection sheet="true"/>
  <mergeCells count="1">
    <mergeCell ref="B3:D3"/>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2026-10-14T08:14:01Z</dcterms:created>
  <dc:creator>openpyxl</dc:creator>
  <dc:description/>
  <dc:language>en-US</dc:language>
  <cp:lastModifiedBy/>
  <dcterms:modified xsi:type="dcterms:W3CDTF">2026-10-14T08:14:01Z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