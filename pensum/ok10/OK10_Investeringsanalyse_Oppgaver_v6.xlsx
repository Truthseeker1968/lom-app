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<sst xmlns="http://schemas.openxmlformats.org/spreadsheetml/2006/main" count="165" uniqueCount="131">
  <si>
    <t xml:space="preserve">Investeringsanalyse: oppgaver til kapittel 10</t>
  </si>
  <si>
    <t xml:space="preserve">Økonomistyring for LØM-emnet (Hjertnes og Skorpen), kapittel 10. Versjon 6, oktober 2026. Nordlys Elektro AS er en konstruert casebedrift; tallene er faktaarkets.</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</si>
  <si>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</si>
  <si>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</si>
  <si>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</si>
  <si>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</si>
  <si>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</si>
  <si>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</si>
  <si>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Termograferingsutstyret: kontantstrømmen og tilbakebetalingstiden</t>
  </si>
  <si>
    <t xml:space="preserve">1B  Termograferingsutstyret: nåverdien ved 10 % og 16 %</t>
  </si>
  <si>
    <t xml:space="preserve">1C  Termograferingsutstyret med kundefordringer, og Toms 7,5 %</t>
  </si>
  <si>
    <t xml:space="preserve">Fasit  Alle svar med regnestykket skrevet ut</t>
  </si>
  <si>
    <t xml:space="preserve">Dette er øvingsmateriell til repetisjons- og øvingsstøtte. I besvarelser, caser, prosjektoppgaver og eksamen gjelder lærebøkene og oppgitte primærkilder.</t>
  </si>
  <si>
    <t xml:space="preserve">Ja</t>
  </si>
  <si>
    <t xml:space="preserve">Oppgave 1A: Termograferingsutstyret: kontantstrømmen og tilbakebetalingstiden</t>
  </si>
  <si>
    <t xml:space="preserve">Nei</t>
  </si>
  <si>
    <t xml:space="preserve">Økt 1 av 3, kontantstrømmen og tilbakebetalingstiden. Alene, i par eller i gruppe, slik du vil.</t>
  </si>
  <si>
    <t xml:space="preserve">Situasjonen</t>
  </si>
  <si>
    <t xml:space="preserve">Nordlys Elektro AS leier i dag inn termografering hver gang en kunde vil ha varmesøk på en tavle. Kari (daglig leder) har fått pris på eget utstyr: 480 000 kr uten merverdiavgift. Med eget utstyr regner hun med 260 000 kr mer inn (mest sparte innleiekostnader, pluss nye oppdrag) og 90 000 kr mer ut hvert år i fire år (strøm, kalibrering, forsikring). Etterpå er utstyret verdiløst. Ledelsen krever at en investering er tilbakebetalt innen 3 år. Tom (driftsleder) sier: fire ganger 170 000 er 680 000, så vi tjener 200 000. Du setter opp kontantstrømmen.</t>
  </si>
  <si>
    <t xml:space="preserve">Begrepene du trenger</t>
  </si>
  <si>
    <t xml:space="preserve">Kontantstrøm: pengene som går inn og ut av kassa på grunn av investeringen, år for år. År 0 er kjøpsdagen; der står investeringen med minus. Innbetalingsoverskudd per år = innbetalinger − utbetalinger. Akkumulert kontantstrøm: summen fra år 0 og fram til og med året. Tilbakebetalingstid = investeringsutgift / årlig innbetalingsoverskudd. Regel: gjennomfør hvis tiden er innenfor kravet ledelsen har satt.</t>
  </si>
  <si>
    <t xml:space="preserve">Tallene, i kroner</t>
  </si>
  <si>
    <t xml:space="preserve">Tabellen under er kontantstrømmen slik boka setter den opp (tabell 10.1), men snudd: hvert år er en rad. År 0 er kjøpsdagen. Investeringen står som utbetaling i år 0. Innbetalingene og utbetalingene fra driften legges til slutten av hvert år.</t>
  </si>
  <si>
    <t xml:space="preserve">År</t>
  </si>
  <si>
    <t xml:space="preserve">Innbetalinger</t>
  </si>
  <si>
    <t xml:space="preserve">Utbetalinger (investeringen i år 0)</t>
  </si>
  <si>
    <t xml:space="preserve">Kontantstrøm (inn − ut)</t>
  </si>
  <si>
    <t xml:space="preserve">Akkumulert kontantstrøm</t>
  </si>
  <si>
    <t xml:space="preserve">År 0 (kjøpsdagen)</t>
  </si>
  <si>
    <t xml:space="preserve">År 1</t>
  </si>
  <si>
    <t xml:space="preserve">År 2</t>
  </si>
  <si>
    <t xml:space="preserve">År 3</t>
  </si>
  <si>
    <t xml:space="preserve">År 4</t>
  </si>
  <si>
    <t xml:space="preserve">Oppgaven, trinn for trinn</t>
  </si>
  <si>
    <t xml:space="preserve">1. Fyll inn kontantstrømmen i år 0 (gul celle). Pengene går ut av kassa, så fortegnet er minus. År 2 til 4 henter arket fra år 1 (grønne celler).
2. Fyll inn kontantstrømmen i år 1: innbetalinger minus utbetalinger.
3. Fyll inn akkumulert kontantstrøm år for år: forrige års akkumulerte pluss årets kontantstrøm. År 0 henter arket selv.
4. Regn tilbakebetalingstiden i den gule cellen under, med to desimaler.
5. Svar Ja eller Nei for hver av de fem postene nederst: hører posten hjemme i kontantstrømmen?</t>
  </si>
  <si>
    <t xml:space="preserve">Sjekk av tabellen</t>
  </si>
  <si>
    <t xml:space="preserve">Kontantstrøm år 0:</t>
  </si>
  <si>
    <t xml:space="preserve">Kontantstrøm år 1:</t>
  </si>
  <si>
    <t xml:space="preserve">Akkumulert etter år 1:</t>
  </si>
  <si>
    <t xml:space="preserve">Akkumulert etter år 2:</t>
  </si>
  <si>
    <t xml:space="preserve">Akkumulert etter år 3:</t>
  </si>
  <si>
    <t xml:space="preserve">Akkumulert etter år 4:</t>
  </si>
  <si>
    <t xml:space="preserve">Tilbakebetalingstid i år, to desimaler: investeringsutgift delt på årlig innbetalingsoverskudd</t>
  </si>
  <si>
    <t xml:space="preserve">år</t>
  </si>
  <si>
    <t xml:space="preserve">Hører posten hjemme i kontantstrømmen? Velg Ja eller Nei.</t>
  </si>
  <si>
    <t xml:space="preserve">Kjøpesummen 480 000 kr</t>
  </si>
  <si>
    <t xml:space="preserve">De 260 000 kr mer inn per år</t>
  </si>
  <si>
    <t xml:space="preserve">De 90 000 kr mer ut per år (strøm, kalibrering, forsikring)</t>
  </si>
  <si>
    <t xml:space="preserve">Avskrivningen på 120 000 kr i året</t>
  </si>
  <si>
    <t xml:space="preserve">Demonstrasjonen av kameraet, 5 000 kr, som Nordlys alt har betalt</t>
  </si>
  <si>
    <t xml:space="preserve">Står du fast? Skriv JA i den gule cellen:</t>
  </si>
  <si>
    <t xml:space="preserve">Gule celler fyller du inn. Grønne regnes ut av arket. Sjekken til høyre forteller om svaret stemmer, og hva du bør se på hvis ikke.</t>
  </si>
  <si>
    <t xml:space="preserve">Oppgave 1B: Termograferingsutstyret: nåverdien ved 10 % og 16 %</t>
  </si>
  <si>
    <t xml:space="preserve">Økt 2 av 3, pengenes tidsverdi og nåverdien. Alene, i par eller i gruppe, slik du vil.</t>
  </si>
  <si>
    <t xml:space="preserve">Ida (kalkulatør) sier at Toms 200 000 kr er bokas naive beregning: han legger sammen kroner fra fem ulike år. 170 000 kr om fire år er ikke like mye verdt som 170 000 kr i dag, for pengene kunne vært satt i arbeid i mellomtiden. Nordlys krever 10 % avkastning på pengene sine. Ida mener kravet egentlig burde være 16 %, fordi termografering er nytt for Nordlys og konkurrentene allerede har utstyr. Du regner nåverdien begge veier.</t>
  </si>
  <si>
    <t xml:space="preserve">Pengenes tidsverdi: en krone i dag er mer verdt enn en krone i morgen. Verdi i dag = beløp / (1 + avkastningskrav) opphøyd i antall år. Nåverdi = summen av alle beløp regnet om til kjøpsdagen, minus investeringen. Regel: nåverdi over 0 betyr lønnsom; under 0 betyr ulønnsom. Avkastningskravet (kalkulasjonsrenten) = risikofri avkastning + risikotillegg. Jo høyere krav, jo lavere nåverdi.</t>
  </si>
  <si>
    <t xml:space="preserve">Tallene</t>
  </si>
  <si>
    <t xml:space="preserve">Kontantstrømmen fra 1A: −480 000 kr i år 0 og 170 000 kr i hvert av årene 1 til 4. Nordlys krever 10 % avkastning på pengene. Beløp som kommer senere, regnes om til dagens kroner ved å dele på 1,10 opphøyd i antall år. Arket regner ut hva du skal dele på (grønne celler).</t>
  </si>
  <si>
    <t xml:space="preserve">Innbetalingen i</t>
  </si>
  <si>
    <t xml:space="preserve">Beløp</t>
  </si>
  <si>
    <t xml:space="preserve">Del på: 1,10 opphøyd i år</t>
  </si>
  <si>
    <t xml:space="preserve">Verdt i dag ved 10 %</t>
  </si>
  <si>
    <t xml:space="preserve">Sum, verdt i dag</t>
  </si>
  <si>
    <t xml:space="preserve">Minus investeringen i år 0</t>
  </si>
  <si>
    <t xml:space="preserve">Nåverdi ved 10 %</t>
  </si>
  <si>
    <t xml:space="preserve">1. Regn hvert av de fire beløpene om til dagens kroner: 170 000 delt på tallet i kolonnen ved siden av. Hele kroner.
2. Arket summerer. Trekk fra investeringen og skriv nåverdien i den gule cellen.
3. Regn så nåverdien på nytt med 16 % krav i den gule cellen under (del på 1,16 opphøyd i år). Det er det Ida mener kravet burde være, fordi termografering er nytt for Nordlys.
4. Skriv til Kari: hva betyr de to nåverdiene, og hva anbefaler du?</t>
  </si>
  <si>
    <t xml:space="preserve">Verdt i dag, år 1:</t>
  </si>
  <si>
    <t xml:space="preserve">Verdt i dag, år 2:</t>
  </si>
  <si>
    <t xml:space="preserve">Verdt i dag, år 3:</t>
  </si>
  <si>
    <t xml:space="preserve">Verdt i dag, år 4:</t>
  </si>
  <si>
    <t xml:space="preserve">Nåverdi ved 10 %:</t>
  </si>
  <si>
    <t xml:space="preserve">Nåverdi ved 16 % krav, hele kroner</t>
  </si>
  <si>
    <t xml:space="preserve">kr</t>
  </si>
  <si>
    <t xml:space="preserve">Til Kari: nåverdien er positiv ved 10 % og negativ ved 16 %. Hva betyr det, og hva anbefaler du? Bruk ordene nåverdi og krav. (To–tre setninger.)</t>
  </si>
  <si>
    <t xml:space="preserve">Nei. Kravet er risikofri avkastning pluss et tillegg for risikoen i denne investeringen, ikke lånerenten</t>
  </si>
  <si>
    <t xml:space="preserve">Oppgave 1C: Termograferingsutstyret med kundefordringer, og Toms 7,5 %</t>
  </si>
  <si>
    <t xml:space="preserve">Ja. Kravet er det pengene koster i banken</t>
  </si>
  <si>
    <t xml:space="preserve">Økt 3 av 3, internrenten og beslutningen. Alene, i par eller i gruppe, slik du vil.</t>
  </si>
  <si>
    <t xml:space="preserve">Nei. Kravet er alltid 10 %</t>
  </si>
  <si>
    <t xml:space="preserve">Tom (driftsleder service) har sett det kalkylen mangler: forsikringskundene betaler etter 30 dager, så om lag 30 000 kr står ute i kundefordringer fra første år, og pengene kommer inn når utstyret avvikles etter fire år. Tom mener dessuten at kravet bør være bankens rente på lånene, 7,5 % (kapittel 6), ikke 10 %. Ida nøler: med kundefordringene er tilbakebetalingstiden akkurat på kravet. Kari skal legge saken fram for styret og spør deg.</t>
  </si>
  <si>
    <t xml:space="preserve">Kapitalbinding i omløpsmidler: penger som bindes i lager eller kundefordringer fordi investeringen gjennomføres. Står med minus i år 0 og pluss i siste år, fordi pengene frigjøres når levetiden er slutt. Restverdi virker likt: pluss i siste år. Sunk cost: penger som alt er brukt; de skal aldri med. Avkastningskravet er ikke lånerenten, men risikofri avkastning pluss risikotillegg. Alle tall i kontantstrømmen er budsjetterte anslag.</t>
  </si>
  <si>
    <t xml:space="preserve">Samme utstyr som i 1A og 1B, men Tom regner med at forsikringskundene betaler etter 30 dager, så om lag 30 000 kr står ute i kundefordringer fra første år. Pengene kommer inn når utstyret avvikles etter fire år. Boka kaller det kapitalbinding i omløpsmidler: minus i år 0, pluss i siste år (innledningen og tabell 10.1). Nordlys krever 10 %. Tom vil heller bruke bankens rente på lånene, 7,5 % (kapittel 6).</t>
  </si>
  <si>
    <t xml:space="preserve">Utstyret</t>
  </si>
  <si>
    <t xml:space="preserve">Kundefordringene</t>
  </si>
  <si>
    <t xml:space="preserve">Inn − ut fra driften</t>
  </si>
  <si>
    <t xml:space="preserve">Kontantstrøm</t>
  </si>
  <si>
    <t xml:space="preserve">År 4 (kundefordringene frigjøres)</t>
  </si>
  <si>
    <t xml:space="preserve">1. Fyll inn kontantstrømmen i år 0 og år 4 (gule celler). År 1 til 3 henter arket.
2. Regn tilbakebetalingstiden i a: hele investeringsutgiften i år 0 delt på det driften gir per år.
3. Regn nåverdien ved 10 % i b: del hvert års kontantstrøm på 1,10 opphøyd i år, legg sammen, og trekk fra beløpet i år 0.
4. Regn nåverdien én gang til i c, med Toms 7,5 %.
5. Svar på d, og skriv anbefalingen til Kari i e.</t>
  </si>
  <si>
    <t xml:space="preserve">Kontantstrøm år 4:</t>
  </si>
  <si>
    <t xml:space="preserve">a) Tilbakebetalingstid i år, to desimaler: hele investeringsutgiften i år 0 delt på årlig innbetalingsoverskudd</t>
  </si>
  <si>
    <t xml:space="preserve">b) Nåverdi ved 10 %, hele kroner</t>
  </si>
  <si>
    <t xml:space="preserve">c) Nåverdi ved Toms 7,5 %, hele kroner</t>
  </si>
  <si>
    <t xml:space="preserve">d) Tom sier: «Banken tar 7,5 %, så kravet bør være 7,5 %.» Stemmer det etter boka?</t>
  </si>
  <si>
    <t xml:space="preserve">e) Tom vil kjøpe, Ida nøler fordi tilbakebetalingstiden nå er akkurat på kravet. Hva sier du til Kari? Én setning om lønnsomheten (nåverdien) og én om risikoen.</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</si>
  <si>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</si>
  <si>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</si>
  <si>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</si>
  <si>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</si>
  <si>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</si>
  <si>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Kontantstrøm år 0</t>
  </si>
  <si>
    <t xml:space="preserve">Investeringen, 480 000 kr ut av kassa: −480 000 kr</t>
  </si>
  <si>
    <t xml:space="preserve">1A Kontantstrøm år 1 til 4</t>
  </si>
  <si>
    <t xml:space="preserve">260 000 − 90 000 = 170 000 kr per år</t>
  </si>
  <si>
    <t xml:space="preserve">1A Akkumulert etter år 1 til 4</t>
  </si>
  <si>
    <t xml:space="preserve">−310 000, −140 000, +30 000, +200 000 kr. Pengene er tilbake i løpet av år 3</t>
  </si>
  <si>
    <t xml:space="preserve">1A Tilbakebetalingstid</t>
  </si>
  <si>
    <t xml:space="preserve">480 000 / 170 000 = 2,82 år. Innenfor kravet på 3 år</t>
  </si>
  <si>
    <t xml:space="preserve">1A Postene</t>
  </si>
  <si>
    <t xml:space="preserve">Ja: kjøpesummen, innbetalingene, utbetalingene. Nei: avskrivningen (kostnad, ikke utbetaling) og demonstrasjonen (sunk cost)</t>
  </si>
  <si>
    <t xml:space="preserve">1B Verdt i dag, år 1 til 4</t>
  </si>
  <si>
    <t xml:space="preserve">154 545, 140 496, 127 724 og 116 112 kr. Sum 538 877 kr</t>
  </si>
  <si>
    <t xml:space="preserve">1B Nåverdi ved 10 %</t>
  </si>
  <si>
    <t xml:space="preserve">538 877 − 480 000 = 58 877 kr. Positiv: lønnsom ved 10 % krav</t>
  </si>
  <si>
    <t xml:space="preserve">1B Nåverdi ved 16 %</t>
  </si>
  <si>
    <t xml:space="preserve">146 552 + 126 338 + 108 912 + 93 889 = 475 691. Minus 480 000 = −4 309 kr. Negativ: ikke lønnsom ved 16 %</t>
  </si>
  <si>
    <t xml:space="preserve">1B Til Kari</t>
  </si>
  <si>
    <t xml:space="preserve">Ved 10 % gir utstyret 58 877 kr mer enn kravet, i dagens kroner. Ved 16 % mangler det 4 309 kr. Utstyret gir 15,55 % selv (internrenten), så svaret avgjøres av hvilket krav styret setter</t>
  </si>
  <si>
    <t xml:space="preserve">1C Kontantstrøm år 0</t>
  </si>
  <si>
    <t xml:space="preserve">−480 000 − 30 000 = −510 000 kr</t>
  </si>
  <si>
    <t xml:space="preserve">1C Kontantstrøm år 4</t>
  </si>
  <si>
    <t xml:space="preserve">170 000 + 30 000 = 200 000 kr</t>
  </si>
  <si>
    <t xml:space="preserve">1C a) Tilbakebetalingstid</t>
  </si>
  <si>
    <t xml:space="preserve">510 000 / 170 000 = 3,00 år. Akkurat på kravet</t>
  </si>
  <si>
    <t xml:space="preserve">1C b) Nåverdi ved 10 %</t>
  </si>
  <si>
    <t xml:space="preserve">−510 000 + 154 545 + 140 496 + 127 724 + 136 602 = 49 368 kr. Kundefordringene koster 30 000 − 20 490 = 9 510 kr i nåverdi</t>
  </si>
  <si>
    <t xml:space="preserve">1C c) Nåverdi ved 7,5 %</t>
  </si>
  <si>
    <t xml:space="preserve">−510 000 + 158 140 + 147 107 + 136 843 + 149 760 = 81 849 kr</t>
  </si>
  <si>
    <t xml:space="preserve">1C d) Toms 7,5 %</t>
  </si>
  <si>
    <t xml:space="preserve">Nei. Kravet er risikofri avkastning pluss risikotillegg, ikke lånerenten (10.2)</t>
  </si>
  <si>
    <t xml:space="preserve">1C e) Til Kari</t>
  </si>
  <si>
    <t xml:space="preserve">Lønnsomt: nåverdi 49 368 kr ved 10 %. Risiko: tilbakebetalingstiden er akkurat 3 år, og alle tall er anslag. Sjekk anslaget på 260 000 kr inn mot dagens innleie</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</si>
</sst>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5" fontId="0" fillId="4" borderId="0" xfId="0" applyFont="fals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5" fontId="0" fillId="3" borderId="0" xfId="0" applyFont="false" applyBorder="false" applyAlignment="true" applyProtection="false">
      <alignment horizontal="right"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wrapText="true" horizontal="right" vertical="center"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7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ht="46.5" customHeight="true" r="11" customFormat="false" hidden="false" outlineLevel="0" collapsed="false">
      <c r="B11" s="10" t="s">
        <v>23</v>
      </c>
      <c r="C11" s="11" t="s">
        <v>24</v>
      </c>
      <c s="33" r="D11" t="s">
        <v>25</v>
      </c>
      <c s="33" r="E11" t="s">
        <v>26</v>
      </c>
      <c r="F11" s="11" t="s">
        <v>27</v>
      </c>
    </row>
    <row r="12" customFormat="false" ht="15" hidden="false" customHeight="false" outlineLevel="0" collapsed="false">
      <c r="B12" s="12" t="s">
        <v>28</v>
      </c>
      <c r="C12" s="13" t="n">
        <v>0</v>
      </c>
      <c r="D12" s="13" t="n">
        <v>480000</v>
      </c>
      <c r="E12" s="14"/>
      <c r="F12" s="15" t="n">
        <f aca="false">E12</f>
        <v>0</v>
      </c>
    </row>
    <row r="13" customFormat="false" ht="15" hidden="false" customHeight="false" outlineLevel="0" collapsed="false">
      <c r="B13" s="12" t="s">
        <v>29</v>
      </c>
      <c r="C13" s="13" t="n">
        <v>260000</v>
      </c>
      <c r="D13" s="13" t="n">
        <v>90000</v>
      </c>
      <c r="E13" s="14"/>
      <c r="F13" s="14"/>
    </row>
    <row r="14" customFormat="false" ht="15" hidden="false" customHeight="false" outlineLevel="0" collapsed="false">
      <c r="B14" s="12" t="s">
        <v>30</v>
      </c>
      <c r="C14" s="13" t="n">
        <v>260000</v>
      </c>
      <c r="D14" s="13" t="n">
        <v>90000</v>
      </c>
      <c r="E14" s="15" t="n">
        <f aca="false">E13</f>
        <v>0</v>
      </c>
      <c r="F14" s="14"/>
    </row>
    <row r="15" customFormat="false" ht="15" hidden="false" customHeight="false" outlineLevel="0" collapsed="false">
      <c r="B15" s="12" t="s">
        <v>31</v>
      </c>
      <c r="C15" s="13" t="n">
        <v>260000</v>
      </c>
      <c r="D15" s="13" t="n">
        <v>90000</v>
      </c>
      <c r="E15" s="15" t="n">
        <f aca="false">E13</f>
        <v>0</v>
      </c>
      <c r="F15" s="14"/>
    </row>
    <row r="16" customFormat="false" ht="15" hidden="false" customHeight="false" outlineLevel="0" collapsed="false">
      <c r="B16" s="12" t="s">
        <v>32</v>
      </c>
      <c r="C16" s="13" t="n">
        <v>260000</v>
      </c>
      <c r="D16" s="13" t="n">
        <v>90000</v>
      </c>
      <c r="E16" s="15" t="n">
        <f aca="false">E13</f>
        <v>0</v>
      </c>
      <c r="F16" s="14"/>
    </row>
    <row r="18" customFormat="false" ht="15.75" hidden="false" customHeight="true" outlineLevel="0" collapsed="false">
      <c r="B18" s="8" t="s">
        <v>33</v>
      </c>
      <c r="C18" s="8"/>
      <c r="D18" s="8"/>
      <c r="E18" s="8"/>
      <c r="F18" s="8"/>
      <c r="G18" s="8"/>
    </row>
    <row r="19" customFormat="false" ht="75" hidden="false" customHeight="true" outlineLevel="0" collapsed="false">
      <c r="B19" s="9" t="s">
        <v>34</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IF(E12="","Skriv svaret i cellen E12.",IF(E12=(-480000),"Riktig.",IF(E12=(480000),"Investeringen er penger ut av kassa. Fortegnet skal være minus.",IF(E12=(-600000),"Du har tatt med merverdiavgiften. Den får Nordlys tilbake i avgiftsoppgjøret; i lønnsomhetsanalysen brukes 480 000 uten merverdiavgift.",IF(E12=(-310000),"Du har lagt inn akkumulert etter år 1. I år 0 står bare investeringen, med minus.","Ikke riktig ennå. I år 0 står investeringsutgiften alene, med minus.")))))</f>
        <v>Skriv svaret i cellen E12.</v>
      </c>
      <c r="D22" s="17"/>
      <c r="E22" s="17"/>
      <c r="F22" s="17"/>
      <c r="G22" s="17"/>
    </row>
    <row r="23" customFormat="false" ht="36" hidden="false" customHeight="true" outlineLevel="0" collapsed="false">
      <c r="B23" s="0" t="s">
        <v>37</v>
      </c>
      <c r="C23" s="17" t="str">
        <f aca="false">IF(E13="","Skriv svaret i cellen E13.",IF(E13=(170000),"Riktig.",IF(E13=(260000),"Du har bare innbetalingene. Trekk fra utbetalingene på 90 000.",IF(E13=(50000),"Du har trukket fra avskrivningen på 120 000 også. Avskrivning er en kostnad, ikke en utbetaling; pengene gikk ut i år 0.",IF(E13=(-170000),"Fortegnet er feil. Det kommer mer inn enn ut, så kontantstrømmen er positiv.",IF(E13=(90000),"Du har svart utbetalingene. Kontantstrøm er innbetalinger minus utbetalinger.","Ikke riktig ennå. Innbetalinger 260 000 minus utbetalinger 90 000."))))))</f>
        <v>Skriv svaret i cellen E13.</v>
      </c>
      <c r="D23" s="17"/>
      <c r="E23" s="17"/>
      <c r="F23" s="17"/>
      <c r="G23" s="17"/>
    </row>
    <row r="24" customFormat="false" ht="36" hidden="false" customHeight="true" outlineLevel="0" collapsed="false">
      <c r="B24" s="0" t="s">
        <v>38</v>
      </c>
      <c r="C24" s="17" t="str">
        <f aca="false">IF(F13="","Skriv svaret i cellen F13.",IF(F13=(-310000),"Riktig.",IF(F13=(170000),"Det er summen av årenes innbetalingsoverskudd alene. Akkumulert starter med −480 000 i år 0; trekk fra investeringen.",IF(F13=(-650000),"Du har trukket fra i stedet for å legge til. Kontantstrømmen i år 1 er positiv.","Ikke riktig ennå. Forrige års akkumulerte (-480 000) pluss årets kontantstrøm."))))</f>
        <v>Skriv svaret i cellen F13.</v>
      </c>
      <c r="D24" s="17"/>
      <c r="E24" s="17"/>
      <c r="F24" s="17"/>
      <c r="G24" s="17"/>
    </row>
    <row r="25" customFormat="false" ht="36" hidden="false" customHeight="true" outlineLevel="0" collapsed="false">
      <c r="B25" s="0" t="s">
        <v>39</v>
      </c>
      <c r="C25" s="17" t="str">
        <f aca="false">IF(F14="","Skriv svaret i cellen F14.",IF(F14=(-140000),"Riktig.",IF(F14=(340000),"Det er summen av årenes innbetalingsoverskudd alene. Akkumulert starter med −480 000 i år 0; trekk fra investeringen.","Ikke riktig ennå. Forrige års akkumulerte (-310 000) pluss årets kontantstrøm.")))</f>
        <v>Skriv svaret i cellen F14.</v>
      </c>
      <c r="D25" s="17"/>
      <c r="E25" s="17"/>
      <c r="F25" s="17"/>
      <c r="G25" s="17"/>
    </row>
    <row r="26" customFormat="false" ht="36" hidden="false" customHeight="true" outlineLevel="0" collapsed="false">
      <c r="B26" s="0" t="s">
        <v>40</v>
      </c>
      <c r="C26" s="17" t="str">
        <f aca="false">IF(F15="","Skriv svaret i cellen F15.",IF(F15=(30000),"Riktig.",IF(F15=(510000),"Det er summen av årenes innbetalingsoverskudd alene. Akkumulert starter med −480 000 i år 0; trekk fra investeringen.","Ikke riktig ennå. Forrige års akkumulerte (-140 000) pluss årets kontantstrøm.")))</f>
        <v>Skriv svaret i cellen F15.</v>
      </c>
      <c r="D26" s="17"/>
      <c r="E26" s="17"/>
      <c r="F26" s="17"/>
      <c r="G26" s="17"/>
    </row>
    <row r="27" customFormat="false" ht="36" hidden="false" customHeight="true" outlineLevel="0" collapsed="false">
      <c r="B27" s="0" t="s">
        <v>41</v>
      </c>
      <c r="C27" s="17" t="str">
        <f aca="false">IF(F16="","Skriv svaret i cellen F16.",IF(F16=(200000),"Riktig.",IF(F16=(680000),"Det er summen av årenes innbetalingsoverskudd alene. Akkumulert starter med −480 000 i år 0; trekk fra investeringen.","Ikke riktig ennå. Forrige års akkumulerte (30 000) pluss årets kontantstrøm.")))</f>
        <v>Skriv svaret i cellen F16.</v>
      </c>
      <c r="D27" s="17"/>
      <c r="E27" s="17"/>
      <c r="F27" s="17"/>
      <c r="G27" s="17"/>
    </row>
    <row ht="46.5" customHeight="true" r="29" customFormat="false" hidden="false" outlineLevel="0" collapsed="false">
      <c r="B29" s="18" t="s">
        <v>42</v>
      </c>
      <c r="C29" s="19"/>
      <c r="D29" s="20" t="s">
        <v>43</v>
      </c>
      <c r="G29" s="21" t="str">
        <f aca="false">IF(C29="","Skriv svaret i den gule cellen.",IF(ABS(C29-(480000/170000))&lt;=0.01,"Riktig.",IF(ABS(C29-(170000/480000))&lt;=0.01,"Du har delt motsatt vei. Det er investeringen som skal deles på det den gir per år.",IF(ABS(C29-(3))&lt;=0.01,"Du har rundet opp til hele år. Svar med to desimaler.",IF(ABS(C29-(480000/260000))&lt;=0.01,"Du har delt på innbetalingene alene. Del på innbetalingsoverskuddet: 260 000 − 90 000.",IF(ABS(C29-(600000/170000))&lt;=0.01,"Du har brukt 600 000 med merverdiavgift. Bruk 480 000.","Ikke riktig ennå. Investeringsutgiften delt på det investeringen gir hvert år."))))))</f>
        <v>Skriv svaret i den gule cellen.</v>
      </c>
    </row>
    <row ht="17.25" customHeight="true" r="31" customFormat="false" hidden="false" outlineLevel="0" collapsed="false">
      <c r="B31" s="8" t="s">
        <v>44</v>
      </c>
      <c r="C31" s="8"/>
      <c r="D31" s="8"/>
      <c r="E31" s="8"/>
      <c r="F31" s="8"/>
      <c r="G31" s="8"/>
    </row>
    <row r="32" customFormat="false" ht="39.75" hidden="false" customHeight="true" outlineLevel="0" collapsed="false">
      <c r="B32" s="18" t="s">
        <v>45</v>
      </c>
      <c r="C32" s="22"/>
      <c r="G32" s="21" t="str">
        <f aca="false">IF(C32="","Velg i nedtrekksmenyen.",IF(C32="Ja","Riktig. Investeringsutgiften står i år 0, med minus.","Ikke riktig. Investeringsutgiften står i år 0, med minus."))</f>
        <v>Velg i nedtrekksmenyen.</v>
      </c>
    </row>
    <row r="33" customFormat="false" ht="39.75" hidden="false" customHeight="true" outlineLevel="0" collapsed="false">
      <c r="B33" s="18" t="s">
        <v>46</v>
      </c>
      <c r="C33" s="22"/>
      <c r="G33" s="21" t="str">
        <f aca="false">IF(C33="","Velg i nedtrekksmenyen.",IF(C33="Ja","Riktig. Innbetalinger som kommer fordi Nordlys investerer, hører hjemme i år 1 til 4.","Ikke riktig. Innbetalinger som kommer fordi Nordlys investerer, hører hjemme i år 1 til 4."))</f>
        <v>Velg i nedtrekksmenyen.</v>
      </c>
    </row>
    <row r="34" customFormat="false" ht="39.75" hidden="false" customHeight="true" outlineLevel="0" collapsed="false">
      <c r="B34" s="18" t="s">
        <v>47</v>
      </c>
      <c r="C34" s="22"/>
      <c r="G34" s="21" t="str">
        <f aca="false">IF(C34="","Velg i nedtrekksmenyen.",IF(C34="Ja","Riktig. Utbetalinger som kommer fordi Nordlys investerer, trekkes fra hvert år.","Ikke riktig. Utbetalinger som kommer fordi Nordlys investerer, trekkes fra hvert år."))</f>
        <v>Velg i nedtrekksmenyen.</v>
      </c>
    </row>
    <row r="35" customFormat="false" ht="39.75" hidden="false" customHeight="true" outlineLevel="0" collapsed="false">
      <c r="B35" s="18" t="s">
        <v>48</v>
      </c>
      <c r="C35" s="22"/>
      <c r="G35" s="21" t="str">
        <f aca="false">IF(C35="","Velg i nedtrekksmenyen.",IF(C35="Nei","Riktig. Avskrivning er en kostnad i regnskapet, ikke en utbetaling. Pengene gikk ut i år 0. Tar du den med, teller du kjøpet to ganger (kapittel 2).","Ikke riktig. Avskrivning er en kostnad i regnskapet, ikke en utbetaling. Pengene gikk ut i år 0. Tar du den med, teller du kjøpet to ganger (kapittel 2)."))</f>
        <v>Velg i nedtrekksmenyen.</v>
      </c>
    </row>
    <row r="36" customFormat="false" ht="39.75" hidden="false" customHeight="true" outlineLevel="0" collapsed="false">
      <c r="B36" s="18" t="s">
        <v>49</v>
      </c>
      <c r="C36" s="22"/>
      <c r="G36" s="21" t="str">
        <f aca="false">IF(C36="","Velg i nedtrekksmenyen.",IF(C36="Nei","Riktig. Pengene er brukt uansett hva Nordlys bestemmer. Boka kaller det sunk cost: beslutningsirrelevant (avsnitt 10.4).","Ikke riktig. Pengene er brukt uansett hva Nordlys bestemmer. Boka kaller det sunk cost: beslutningsirrelevant (avsnitt 10.4)."))</f>
        <v>Velg i nedtrekksmenyen.</v>
      </c>
    </row>
    <row r="37" customFormat="false" ht="15" hidden="false" customHeight="false" outlineLevel="0" collapsed="false">
      <c r="B37" s="16" t="s">
        <v>50</v>
      </c>
      <c r="C37" s="22"/>
    </row>
    <row r="38" customFormat="false" ht="31.5" hidden="false" customHeight="true" outlineLevel="0" collapsed="false">
      <c r="B38" s="23" t="str">
        <f aca="false">IF(C37="JA","Hint: Kontantstrøm per år = 260 000 − 90 000 = 170 000. År 0 er −480 000. Akkumulert: −480 000, −310 000, −140 000, +30 000, +200 000. Tilbakebetalingstid = 480 000 / 170 000 = 2,82 år.","")</f>
        <v/>
      </c>
      <c r="C38" s="23"/>
      <c r="D38" s="23"/>
      <c r="E38" s="23"/>
      <c r="F38" s="23"/>
      <c r="G38" s="23"/>
    </row>
    <row r="40" customFormat="false" ht="30" hidden="false" customHeight="true" outlineLevel="0" collapsed="false">
      <c r="B40" s="7" t="s">
        <v>51</v>
      </c>
      <c r="C40" s="7"/>
      <c r="D40" s="7"/>
      <c r="E40" s="7"/>
      <c r="F40" s="7"/>
      <c r="G40"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C25:G25"/>
    <mergeCell ref="C26:G26"/>
    <mergeCell ref="C27:G27"/>
    <mergeCell ref="B31:G31"/>
    <mergeCell ref="B38:G38"/>
    <mergeCell ref="B40:G40"/>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C25">
    <cfRule type="expression" priority="8" aboveAverage="0" equalAverage="0" bottom="0" percent="0" rank="0" text="" dxfId="0">
      <formula>LEFT(C25,6)="Riktig"</formula>
    </cfRule>
    <cfRule type="expression" priority="9" aboveAverage="0" equalAverage="0" bottom="0" percent="0" rank="0" text="" dxfId="1">
      <formula>AND(C25&lt;&gt;"",LEFT(C25,6)&lt;&gt;"Riktig",LEFT(C25,5)&lt;&gt;"Skriv")</formula>
    </cfRule>
  </conditionalFormatting>
  <conditionalFormatting sqref="C26">
    <cfRule type="expression" priority="10" aboveAverage="0" equalAverage="0" bottom="0" percent="0" rank="0" text="" dxfId="0">
      <formula>LEFT(C26,6)="Riktig"</formula>
    </cfRule>
    <cfRule type="expression" priority="11" aboveAverage="0" equalAverage="0" bottom="0" percent="0" rank="0" text="" dxfId="1">
      <formula>AND(C26&lt;&gt;"",LEFT(C26,6)&lt;&gt;"Riktig",LEFT(C26,5)&lt;&gt;"Skriv")</formula>
    </cfRule>
  </conditionalFormatting>
  <conditionalFormatting sqref="C27">
    <cfRule type="expression" priority="12" aboveAverage="0" equalAverage="0" bottom="0" percent="0" rank="0" text="" dxfId="0">
      <formula>LEFT(C27,6)="Riktig"</formula>
    </cfRule>
    <cfRule type="expression" priority="13" aboveAverage="0" equalAverage="0" bottom="0" percent="0" rank="0" text="" dxfId="1">
      <formula>AND(C27&lt;&gt;"",LEFT(C27,6)&lt;&gt;"Riktig",LEFT(C27,5)&lt;&gt;"Skriv")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LEFT(G35,4)="Ikke"</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6">
    <dataValidation allowBlank="true" errorStyle="stop" operator="between" showDropDown="false" showErrorMessage="false" showInputMessage="false" sqref="C32" type="list">
      <formula1>$Z$1:$Z$2</formula1>
      <formula2>0</formula2>
    </dataValidation>
    <dataValidation allowBlank="true" errorStyle="stop" operator="between" showDropDown="false" showErrorMessage="false" showInputMessage="false" sqref="C33" type="list">
      <formula1>$Z$3:$Z$4</formula1>
      <formula2>0</formula2>
    </dataValidation>
    <dataValidation allowBlank="true" errorStyle="stop" operator="between" showDropDown="false" showErrorMessage="false" showInputMessage="false" sqref="C34" type="list">
      <formula1>$Z$5:$Z$6</formula1>
      <formula2>0</formula2>
    </dataValidation>
    <dataValidation allowBlank="true" errorStyle="stop" operator="between" showDropDown="false" showErrorMessage="false" showInputMessage="false" sqref="C35" type="list">
      <formula1>$Z$7:$Z$8</formula1>
      <formula2>0</formula2>
    </dataValidation>
    <dataValidation allowBlank="true" errorStyle="stop" operator="between" showDropDown="false" showErrorMessage="false" showInputMessage="false" sqref="C36" type="list">
      <formula1>$Z$9:$Z$10</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52</v>
      </c>
      <c r="C2" s="5"/>
      <c r="D2" s="5"/>
      <c r="E2" s="5"/>
      <c r="F2" s="5"/>
      <c r="G2" s="5"/>
    </row>
    <row r="3" customFormat="false" ht="15" hidden="false" customHeight="true" outlineLevel="0" collapsed="false">
      <c r="B3" s="7" t="s">
        <v>53</v>
      </c>
      <c r="C3" s="7"/>
      <c r="D3" s="7"/>
      <c r="E3" s="7"/>
      <c r="F3" s="7"/>
      <c r="G3" s="7"/>
    </row>
    <row r="4" customFormat="false" ht="15.75" hidden="false" customHeight="true" outlineLevel="0" collapsed="false">
      <c r="B4" s="8" t="s">
        <v>17</v>
      </c>
      <c r="C4" s="8"/>
      <c r="D4" s="8"/>
      <c r="E4" s="8"/>
      <c r="F4" s="8"/>
      <c r="G4" s="8"/>
    </row>
    <row r="5" customFormat="false" ht="60" hidden="false" customHeight="true" outlineLevel="0" collapsed="false">
      <c r="B5" s="9" t="s">
        <v>54</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55</v>
      </c>
      <c r="C7" s="9"/>
      <c r="D7" s="9"/>
      <c r="E7" s="9"/>
      <c r="F7" s="9"/>
      <c r="G7" s="9"/>
    </row>
    <row r="9" customFormat="false" ht="15.75" hidden="false" customHeight="true" outlineLevel="0" collapsed="false">
      <c r="B9" s="8" t="s">
        <v>56</v>
      </c>
      <c r="C9" s="8"/>
      <c r="D9" s="8"/>
      <c r="E9" s="8"/>
      <c r="F9" s="8"/>
      <c r="G9" s="8"/>
    </row>
    <row r="10" customFormat="false" ht="45" hidden="false" customHeight="true" outlineLevel="0" collapsed="false">
      <c r="B10" s="9" t="s">
        <v>57</v>
      </c>
      <c r="C10" s="9"/>
      <c r="D10" s="9"/>
      <c r="E10" s="9"/>
      <c r="F10" s="9"/>
      <c r="G10" s="9"/>
    </row>
    <row ht="31.5" customHeight="true" r="11" customFormat="false" hidden="false" outlineLevel="0" collapsed="false">
      <c r="B11" s="10" t="s">
        <v>58</v>
      </c>
      <c r="C11" s="11" t="s">
        <v>59</v>
      </c>
      <c s="33" r="D11" t="s">
        <v>60</v>
      </c>
      <c r="E11" s="11" t="s">
        <v>61</v>
      </c>
    </row>
    <row r="12" customFormat="false" ht="15" hidden="false" customHeight="false" outlineLevel="0" collapsed="false">
      <c r="B12" s="12" t="s">
        <v>29</v>
      </c>
      <c r="C12" s="13" t="n">
        <v>170000</v>
      </c>
      <c r="D12" s="24" t="n">
        <f aca="false">1.1^1</f>
        <v>1.1</v>
      </c>
      <c r="E12" s="14"/>
    </row>
    <row r="13" customFormat="false" ht="15" hidden="false" customHeight="false" outlineLevel="0" collapsed="false">
      <c r="B13" s="12" t="s">
        <v>30</v>
      </c>
      <c r="C13" s="13" t="n">
        <v>170000</v>
      </c>
      <c r="D13" s="24" t="n">
        <f aca="false">1.1^2</f>
        <v>1.21</v>
      </c>
      <c r="E13" s="14"/>
    </row>
    <row r="14" customFormat="false" ht="15" hidden="false" customHeight="false" outlineLevel="0" collapsed="false">
      <c r="B14" s="12" t="s">
        <v>31</v>
      </c>
      <c r="C14" s="13" t="n">
        <v>170000</v>
      </c>
      <c r="D14" s="24" t="n">
        <f aca="false">1.1^3</f>
        <v>1.331</v>
      </c>
      <c r="E14" s="14"/>
    </row>
    <row r="15" customFormat="false" ht="15" hidden="false" customHeight="false" outlineLevel="0" collapsed="false">
      <c r="B15" s="12" t="s">
        <v>32</v>
      </c>
      <c r="C15" s="13" t="n">
        <v>170000</v>
      </c>
      <c r="D15" s="24" t="n">
        <f aca="false">1.1^4</f>
        <v>1.4641</v>
      </c>
      <c r="E15" s="14"/>
    </row>
    <row r="16" customFormat="false" ht="15" hidden="false" customHeight="false" outlineLevel="0" collapsed="false">
      <c r="B16" s="0" t="s">
        <v>62</v>
      </c>
      <c r="E16" s="25" t="n">
        <f aca="false">SUM(E12:E15)</f>
        <v>0</v>
      </c>
    </row>
    <row r="17" customFormat="false" ht="15" hidden="false" customHeight="false" outlineLevel="0" collapsed="false">
      <c r="B17" s="0" t="s">
        <v>63</v>
      </c>
      <c r="E17" s="26" t="n">
        <v>480000</v>
      </c>
    </row>
    <row r="18" customFormat="false" ht="15" hidden="false" customHeight="false" outlineLevel="0" collapsed="false">
      <c r="B18" s="16" t="s">
        <v>64</v>
      </c>
      <c r="E18" s="27"/>
    </row>
    <row r="20" customFormat="false" ht="15.75" hidden="false" customHeight="true" outlineLevel="0" collapsed="false">
      <c r="B20" s="8" t="s">
        <v>33</v>
      </c>
      <c r="C20" s="8"/>
      <c r="D20" s="8"/>
      <c r="E20" s="8"/>
      <c r="F20" s="8"/>
      <c r="G20" s="8"/>
    </row>
    <row ht="75.75" customHeight="true" r="21" customFormat="false" hidden="false" outlineLevel="0" collapsed="false">
      <c r="B21" s="9" t="s">
        <v>65</v>
      </c>
      <c r="C21" s="9"/>
      <c r="D21" s="9"/>
      <c r="E21" s="9"/>
      <c r="F21" s="9"/>
      <c r="G21" s="9"/>
    </row>
    <row r="23" customFormat="false" ht="15" hidden="false" customHeight="false" outlineLevel="0" collapsed="false">
      <c r="B23" s="16" t="s">
        <v>35</v>
      </c>
    </row>
    <row r="24" customFormat="false" ht="36" hidden="false" customHeight="true" outlineLevel="0" collapsed="false">
      <c r="B24" s="0" t="s">
        <v>66</v>
      </c>
      <c r="C24" s="17" t="str">
        <f aca="false">IF(E12="","Skriv svaret i cellen E12.",IF(ABS(E12-(154545))&lt;=2,"Riktig.",IF(ABS(E12-(170000))&lt;=2,"Du har ikke delt. 170 000 kr om ett år er mindre verdt i dag.",IF(ABS(E12-(187000))&lt;=2,"Du har ganget i stedet for å dele. Beløp som kommer senere, skal bli mindre, ikke større.",IF(ABS(E12-(154545))&lt;=2,"Du har delt på 1 + 0,10 × år. Det skal være 1,10 opphøyd i år (rente på rente).","Ikke riktig ennå. 170 000 delt på 1,10 opphøyd i 1.")))))</f>
        <v>Skriv svaret i cellen E12.</v>
      </c>
      <c r="D24" s="17"/>
      <c r="E24" s="17"/>
      <c r="F24" s="17"/>
      <c r="G24" s="17"/>
    </row>
    <row r="25" customFormat="false" ht="36" hidden="false" customHeight="true" outlineLevel="0" collapsed="false">
      <c r="B25" s="0" t="s">
        <v>67</v>
      </c>
      <c r="C25" s="17" t="str">
        <f aca="false">IF(E13="","Skriv svaret i cellen E13.",IF(ABS(E13-(140496))&lt;=2,"Riktig.",IF(ABS(E13-(170000))&lt;=2,"Du har ikke delt. 170 000 kr om 2 år er mindre verdt i dag.",IF(ABS(E13-(205700))&lt;=2,"Du har ganget i stedet for å dele. Beløp som kommer senere, skal bli mindre, ikke større.",IF(ABS(E13-(141667))&lt;=2,"Du har delt på 1 + 0,10 × år. Det skal være 1,10 opphøyd i år (rente på rente).","Ikke riktig ennå. 170 000 delt på 1,10 opphøyd i 2.")))))</f>
        <v>Skriv svaret i cellen E13.</v>
      </c>
      <c r="D25" s="17"/>
      <c r="E25" s="17"/>
      <c r="F25" s="17"/>
      <c r="G25" s="17"/>
    </row>
    <row r="26" customFormat="false" ht="36" hidden="false" customHeight="true" outlineLevel="0" collapsed="false">
      <c r="B26" s="0" t="s">
        <v>68</v>
      </c>
      <c r="C26" s="17" t="str">
        <f aca="false">IF(E14="","Skriv svaret i cellen E14.",IF(ABS(E14-(127724))&lt;=2,"Riktig.",IF(ABS(E14-(170000))&lt;=2,"Du har ikke delt. 170 000 kr om 3 år er mindre verdt i dag.",IF(ABS(E14-(226270))&lt;=2,"Du har ganget i stedet for å dele. Beløp som kommer senere, skal bli mindre, ikke større.",IF(ABS(E14-(130769))&lt;=2,"Du har delt på 1 + 0,10 × år. Det skal være 1,10 opphøyd i år (rente på rente).","Ikke riktig ennå. 170 000 delt på 1,10 opphøyd i 3.")))))</f>
        <v>Skriv svaret i cellen E14.</v>
      </c>
      <c r="D26" s="17"/>
      <c r="E26" s="17"/>
      <c r="F26" s="17"/>
      <c r="G26" s="17"/>
    </row>
    <row r="27" customFormat="false" ht="36" hidden="false" customHeight="true" outlineLevel="0" collapsed="false">
      <c r="B27" s="0" t="s">
        <v>69</v>
      </c>
      <c r="C27" s="17" t="str">
        <f aca="false">IF(E15="","Skriv svaret i cellen E15.",IF(ABS(E15-(116112))&lt;=2,"Riktig.",IF(ABS(E15-(170000))&lt;=2,"Du har ikke delt. 170 000 kr om 4 år er mindre verdt i dag.",IF(ABS(E15-(248897))&lt;=2,"Du har ganget i stedet for å dele. Beløp som kommer senere, skal bli mindre, ikke større.",IF(ABS(E15-(121429))&lt;=2,"Du har delt på 1 + 0,10 × år. Det skal være 1,10 opphøyd i år (rente på rente).","Ikke riktig ennå. 170 000 delt på 1,10 opphøyd i 4.")))))</f>
        <v>Skriv svaret i cellen E15.</v>
      </c>
      <c r="D27" s="17"/>
      <c r="E27" s="17"/>
      <c r="F27" s="17"/>
      <c r="G27" s="17"/>
    </row>
    <row r="28" customFormat="false" ht="36" hidden="false" customHeight="true" outlineLevel="0" collapsed="false">
      <c r="B28" s="0" t="s">
        <v>70</v>
      </c>
      <c r="C28" s="17" t="str">
        <f aca="false">IF(E18="","Skriv svaret i cellen E18.",IF(ABS(E18-(58877))&lt;=10,"Riktig.",IF(ABS(E18-(538877))&lt;=10,"Du har glemt å trekke fra investeringen på 480 000.",IF(ABS(E18-(200000))&lt;=10,"Du har lagt sammen 4 × 170 000 uten å regne om til dagens kroner. Det er bokas naive beregning.",IF(ABS(E18-(-58877))&lt;=10,"Fortegnet er feil. Summen i dag er større enn investeringen, så nåverdien er positiv.",IF(ABS(E18-(211031))&lt;=10,"Du har diskontert investeringen i år 0 også. Den er allerede i dagens kroner.","Ikke riktig ennå. Summen av beløpene verdt i dag, minus 480 000."))))))</f>
        <v>Skriv svaret i cellen E18.</v>
      </c>
      <c r="D28" s="17"/>
      <c r="E28" s="17"/>
      <c r="F28" s="17"/>
      <c r="G28" s="17"/>
    </row>
    <row r="30" customFormat="false" ht="43.5" hidden="false" customHeight="true" outlineLevel="0" collapsed="false">
      <c r="B30" s="18" t="s">
        <v>71</v>
      </c>
      <c r="C30" s="14"/>
      <c r="D30" s="20" t="s">
        <v>72</v>
      </c>
      <c r="G30" s="21" t="str">
        <f aca="false">IF(C30="","Skriv svaret i den gule cellen.",IF(ABS(C30-(ROUND(170000/1.16+170000/1.16^2+170000/1.16^3+170000/1.16^4-480000,0)))&lt;=20,"Riktig.",IF(ABS(C30-(ROUND(170000/1.16+170000/1.16^2+170000/1.16^3+170000/1.16^4,0)))&lt;=20,"Du har glemt å trekke fra investeringen på 480 000.",IF(ABS(C30-(58877))&lt;=20,"Det er nåverdien ved 10 %. Nå skal du dele på 1,16 opphøyd i år.",IF(ABS(C30-(4309))&lt;=20,"Fortegnet er feil. Ved 16 % er summen i dag mindre enn investeringen, så nåverdien er negativ.",IF(ABS(C30-(ROUND(170000/1.16+170000/1.16^2+170000/1.16^3+170000/1.16^4-480000/1.16^4,0)))&lt;=20,"Du har diskontert investeringen også. År 0 er i dag; det deles ikke.","Ikke riktig ennå. Del 170 000 på 1,16, 1,3456, 1,5609 og 1,8106, legg sammen og trekk fra 480 000."))))))</f>
        <v>Skriv svaret i den gule cellen.</v>
      </c>
    </row>
    <row r="32" customFormat="false" ht="30" hidden="false" customHeight="true" outlineLevel="0" collapsed="false">
      <c r="B32" s="9" t="s">
        <v>73</v>
      </c>
      <c r="C32" s="9"/>
      <c r="D32" s="9"/>
      <c r="E32" s="9"/>
      <c r="F32" s="9"/>
      <c r="G32" s="9"/>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21.75" hidden="false" customHeight="true" outlineLevel="0" collapsed="false">
      <c r="B35" s="28"/>
      <c r="C35" s="28"/>
      <c r="D35" s="28"/>
      <c r="E35" s="28"/>
      <c r="F35" s="28"/>
      <c r="G35" s="28"/>
    </row>
    <row r="36" customFormat="false" ht="39.75" hidden="false" customHeight="true" outlineLevel="0" collapsed="false">
      <c r="B36" s="29" t="str">
        <f aca="false">IF(LEN(B33)&lt;40,"",IF(AND(ISNUMBER(SEARCH("nåverdi",B33)),ISNUMBER(SEARCH("krav",B33))),"Bra: du bruker nåverdi og krav. Sjekk at du også sier at det er kravet styret setter som avgjør svaret, og at utstyret gir 15,55 % selv.",IF(OR(ISNUMBER(SEARCH("nåverdi",B33)),ISNUMBER(SEARCH("krav",B33))),"Du er på sporet. Si hva nåverdien betyr (kroner over eller under kravet, i dagens penger), og at det er kravet som avgjør.","Tips: positiv nåverdi betyr at utstyret gir mer enn 10 %, regnet i dagens kroner. Negativ ved 16 % betyr at det gir mindre enn 16 %. Kari må få styret til å ta stilling til kravet; det er der svaret avgjøres.")))</f>
        <v/>
      </c>
      <c r="C36" s="29"/>
      <c r="D36" s="29"/>
      <c r="E36" s="29"/>
      <c r="F36" s="29"/>
      <c r="G36" s="29"/>
    </row>
    <row r="37" customFormat="false" ht="15" hidden="false" customHeight="false" outlineLevel="0" collapsed="false">
      <c r="B37" s="16" t="s">
        <v>50</v>
      </c>
      <c r="C37" s="22"/>
    </row>
    <row r="38" customFormat="false" ht="45" hidden="false" customHeight="true" outlineLevel="0" collapsed="false">
      <c r="B38" s="23" t="str">
        <f aca="false">IF(C37="JA","Hint: 170 000 / 1,10 = 154 545. 170 000 / 1,21 = 140 496. 170 000 / 1,331 = 127 724. 170 000 / 1,4641 = 116 112. Sum 538 877. Minus 480 000 = 58 877. Ved 16 %: 146 552 + 126 338 + 108 912 + 93 889 = 475 691, minus 480 000 = −4 309.","")</f>
        <v/>
      </c>
      <c r="C38" s="23"/>
      <c r="D38" s="23"/>
      <c r="E38" s="23"/>
      <c r="F38" s="23"/>
      <c r="G38" s="23"/>
    </row>
    <row r="40" customFormat="false" ht="30" hidden="false" customHeight="true" outlineLevel="0" collapsed="false">
      <c r="B40" s="7" t="s">
        <v>51</v>
      </c>
      <c r="C40" s="7"/>
      <c r="D40" s="7"/>
      <c r="E40" s="7"/>
      <c r="F40" s="7"/>
      <c r="G40" s="7"/>
    </row>
  </sheetData>
  <mergeCells count="20">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B32:G32"/>
    <mergeCell ref="B33:G35"/>
    <mergeCell ref="B36:G36"/>
    <mergeCell ref="B38:G38"/>
    <mergeCell ref="B40:G4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77</v>
      </c>
      <c r="C3" s="7"/>
      <c r="D3" s="7"/>
      <c r="E3" s="7"/>
      <c r="F3" s="7"/>
      <c r="G3" s="7"/>
      <c r="Z3" s="6" t="s">
        <v>78</v>
      </c>
    </row>
    <row r="4" customFormat="false" ht="15.75" hidden="false" customHeight="true" outlineLevel="0" collapsed="false">
      <c r="B4" s="8" t="s">
        <v>17</v>
      </c>
      <c r="C4" s="8"/>
      <c r="D4" s="8"/>
      <c r="E4" s="8"/>
      <c r="F4" s="8"/>
      <c r="G4" s="8"/>
    </row>
    <row r="5" customFormat="false" ht="60" hidden="false" customHeight="true" outlineLevel="0" collapsed="false">
      <c r="B5" s="9" t="s">
        <v>79</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80</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81</v>
      </c>
      <c r="C10" s="9"/>
      <c r="D10" s="9"/>
      <c r="E10" s="9"/>
      <c r="F10" s="9"/>
      <c r="G10" s="9"/>
    </row>
    <row ht="31.5" customHeight="true" r="11" customFormat="false" hidden="false" outlineLevel="0" collapsed="false">
      <c r="B11" s="10" t="s">
        <v>23</v>
      </c>
      <c r="C11" s="11" t="s">
        <v>82</v>
      </c>
      <c s="33" r="D11" t="s">
        <v>83</v>
      </c>
      <c s="33" r="E11" t="s">
        <v>84</v>
      </c>
      <c r="F11" s="11" t="s">
        <v>85</v>
      </c>
    </row>
    <row r="12" customFormat="false" ht="15" hidden="false" customHeight="false" outlineLevel="0" collapsed="false">
      <c r="B12" s="12" t="s">
        <v>28</v>
      </c>
      <c r="C12" s="13" t="n">
        <v>-480000</v>
      </c>
      <c r="D12" s="13" t="n">
        <v>-30000</v>
      </c>
      <c r="E12" s="13" t="n">
        <v>0</v>
      </c>
      <c r="F12" s="14"/>
    </row>
    <row r="13" customFormat="false" ht="15" hidden="false" customHeight="false" outlineLevel="0" collapsed="false">
      <c r="B13" s="12" t="s">
        <v>29</v>
      </c>
      <c r="C13" s="13" t="n">
        <v>0</v>
      </c>
      <c r="D13" s="13" t="n">
        <v>0</v>
      </c>
      <c r="E13" s="13" t="n">
        <v>170000</v>
      </c>
      <c r="F13" s="15" t="n">
        <f aca="false">E13</f>
        <v>170000</v>
      </c>
    </row>
    <row r="14" customFormat="false" ht="15" hidden="false" customHeight="false" outlineLevel="0" collapsed="false">
      <c r="B14" s="12" t="s">
        <v>30</v>
      </c>
      <c r="C14" s="13" t="n">
        <v>0</v>
      </c>
      <c r="D14" s="13" t="n">
        <v>0</v>
      </c>
      <c r="E14" s="13" t="n">
        <v>170000</v>
      </c>
      <c r="F14" s="15" t="n">
        <f aca="false">E14</f>
        <v>170000</v>
      </c>
    </row>
    <row r="15" customFormat="false" ht="15" hidden="false" customHeight="false" outlineLevel="0" collapsed="false">
      <c r="B15" s="12" t="s">
        <v>31</v>
      </c>
      <c r="C15" s="13" t="n">
        <v>0</v>
      </c>
      <c r="D15" s="13" t="n">
        <v>0</v>
      </c>
      <c r="E15" s="13" t="n">
        <v>170000</v>
      </c>
      <c r="F15" s="15" t="n">
        <f aca="false">E15</f>
        <v>170000</v>
      </c>
    </row>
    <row r="16" customFormat="false" ht="15" hidden="false" customHeight="false" outlineLevel="0" collapsed="false">
      <c r="B16" s="12" t="s">
        <v>86</v>
      </c>
      <c r="C16" s="13" t="n">
        <v>0</v>
      </c>
      <c r="D16" s="13" t="n">
        <v>30000</v>
      </c>
      <c r="E16" s="13" t="n">
        <v>170000</v>
      </c>
      <c r="F16" s="14"/>
    </row>
    <row r="18" customFormat="false" ht="15.75" hidden="false" customHeight="true" outlineLevel="0" collapsed="false">
      <c r="B18" s="8" t="s">
        <v>33</v>
      </c>
      <c r="C18" s="8"/>
      <c r="D18" s="8"/>
      <c r="E18" s="8"/>
      <c r="F18" s="8"/>
      <c r="G18" s="8"/>
    </row>
    <row ht="75.75" customHeight="true" r="19" customFormat="false" hidden="false" outlineLevel="0" collapsed="false">
      <c r="B19" s="9" t="s">
        <v>87</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IF(F12="","Skriv svaret i cellen F12.",IF(F12=(-510000),"Riktig.",IF(F12=(-480000),"Du har glemt kundefordringene. De 30 000 kr går ut av kassa på kjøpsdagen, sammen med utstyret.",IF(F12=(-450000),"Kundefordringene har fått pluss. I år 0 bindes pengene; de kommer først tilbake i år 4.",IF(F12=(510000),"Fortegnet er feil. I år 0 går pengene ut.","Ikke riktig ennå. Utstyret og kundefordringene, begge ut av kassa i år 0.")))))</f>
        <v>Skriv svaret i cellen F12.</v>
      </c>
      <c r="D22" s="17"/>
      <c r="E22" s="17"/>
      <c r="F22" s="17"/>
      <c r="G22" s="17"/>
    </row>
    <row r="23" customFormat="false" ht="36" hidden="false" customHeight="true" outlineLevel="0" collapsed="false">
      <c r="B23" s="0" t="s">
        <v>88</v>
      </c>
      <c r="C23" s="17" t="str">
        <f aca="false">IF(F16="","Skriv svaret i cellen F16.",IF(F16=(200000),"Riktig.",IF(F16=(170000),"Du har glemt at kundefordringene frigjøres i år 4. De 30 000 kr kommer tilbake.",IF(F16=(140000),"Kundefordringene har fått minus i år 4. Når utstyret avvikles, kommer pengene tilbake: pluss.",IF(F16=(230000),"Du har lagt til kundefordringene to ganger. Det er 170 000 fra driften pluss 30 000 fra kundefordringene.","Ikke riktig ennå. Driften gir 170 000, og kundefordringene på 30 000 kommer tilbake.")))))</f>
        <v>Skriv svaret i cellen F16.</v>
      </c>
      <c r="D23" s="17"/>
      <c r="E23" s="17"/>
      <c r="F23" s="17"/>
      <c r="G23" s="17"/>
    </row>
    <row ht="46.5" customHeight="true" r="25" customFormat="false" hidden="false" outlineLevel="0" collapsed="false">
      <c r="B25" s="18" t="s">
        <v>89</v>
      </c>
      <c r="C25" s="19"/>
      <c r="D25" s="20" t="s">
        <v>43</v>
      </c>
      <c r="G25" s="21" t="str">
        <f aca="false">IF(C25="","Skriv svaret i den gule cellen.",IF(ABS(C25-(510000/170000))&lt;=0.01,"Riktig.",IF(ABS(C25-(480000/170000))&lt;=0.01,"Du har brukt 480 000. Kundefordringene binder også penger fra dag én; bruk 510 000.",IF(ABS(C25-(510000/200000))&lt;=0.01,"Du har delt på år 4-beløpet. Driften gir 170 000 per år; kundefordringene kommer én gang, til slutt.",IF(ABS(C25-(170000/510000))&lt;=0.01,"Du har delt motsatt vei.","Ikke riktig ennå. Hele beløpet som går ut i år 0, delt på det driften gir per år.")))))</f>
        <v>Skriv svaret i den gule cellen.</v>
      </c>
    </row>
    <row r="26" customFormat="false" ht="43.5" hidden="false" customHeight="true" outlineLevel="0" collapsed="false">
      <c r="B26" s="18" t="s">
        <v>90</v>
      </c>
      <c r="C26" s="14"/>
      <c r="D26" s="20" t="s">
        <v>72</v>
      </c>
      <c r="G26" s="21" t="str">
        <f aca="false">IF(C26="","Skriv svaret i den gule cellen.",IF(ABS(C26-(ROUND(-510000+170000/1.1+170000/1.1^2+170000/1.1^3+200000/1.1^4,0)))&lt;=20,"Riktig.",IF(ABS(C26-(58877))&lt;=20,"Det er nåverdien uten kundefordringene (1B). Kundefordringene står med −30 000 i år 0 og +30 000 i år 4.",IF(ABS(C26-(28877))&lt;=20,"Du har trukket fra kundefordringene i år 0, men glemt at det kommer tilbake i år 4.",IF(ABS(C26-(ROUND(-480000+170000/1.1+170000/1.1^2+170000/1.1^3+200000/1.1^4,0)))&lt;=20,"Du har lagt kundefordringene til i år 4, men glemt å trekke det fra i år 0.",IF(ABS(C26-(ROUND(-510000+170000/1.1+170000/1.1^2+170000/1.1^3+170000/1.1^4+30000,0)))&lt;=20,"Du har lagt til de 30 000 udiskontert. De kommer i år 4 og skal deles på 1,4641.","Ikke riktig ennå. −510 000 + 170 000/1,10 + 170 000/1,21 + 170 000/1,331 + 200 000/1,4641."))))))</f>
        <v>Skriv svaret i den gule cellen.</v>
      </c>
    </row>
    <row r="27" customFormat="false" ht="43.5" hidden="false" customHeight="true" outlineLevel="0" collapsed="false">
      <c r="B27" s="18" t="s">
        <v>91</v>
      </c>
      <c r="C27" s="14"/>
      <c r="D27" s="20" t="s">
        <v>72</v>
      </c>
      <c r="G27" s="21" t="str">
        <f aca="false">IF(C27="","Skriv svaret i den gule cellen.",IF(ABS(C27-(ROUND(-510000+170000/1.075+170000/1.075^2+170000/1.075^3+200000/1.075^4,0)))&lt;=20,"Riktig.",IF(ABS(C27-(ROUND(-510000+170000/1.1+170000/1.1^2+170000/1.1^3+200000/1.1^4,0)))&lt;=20,"Det er svaret i b, ved 10 %. Nå skal du dele på 1,075 opphøyd i år.",IF(ABS(C27-(ROUND(-480000+170000/1.075+170000/1.075^2+170000/1.075^3+170000/1.075^4,0)))&lt;=20,"Du har regnet uten kundefordringene. Ta med −30 000 i år 0 og +30 000 i år 4.","Ikke riktig ennå. Samme regnestykke som i b, men del på 1,075, 1,1556, 1,2423 og 1,3355."))))</f>
        <v>Skriv svaret i den gule cellen.</v>
      </c>
    </row>
    <row r="29" customFormat="false" ht="39.75" hidden="false" customHeight="true" outlineLevel="0" collapsed="false">
      <c r="B29" s="18" t="s">
        <v>92</v>
      </c>
      <c r="C29" s="22"/>
      <c r="G29" s="21" t="str">
        <f aca="false">IF(C29="","Velg i nedtrekksmenyen.",IF(C29="Nei. Kravet er risikofri avkastning pluss et tillegg for risikoen i denne investeringen, ikke lånerenten","Riktig. Boka: med rente menes ikke bankenes utlånsrente, men bedriftens krav til inntjening, risikofri avkastning pluss risikotillegg (avsnitt 10.2). Lånerenten fra kapittel 6 er prisen på pengene, og kravet må ligge over den.","Ikke riktig. Boka: med rente menes ikke bankenes utlånsrente, men bedriftens krav til inntjening, risikofri avkastning pluss risikotillegg (avsnitt 10.2). Lånerenten fra kapittel 6 er prisen på pengene, og kravet må ligge over den."))</f>
        <v>Velg i nedtrekksmenyen.</v>
      </c>
    </row>
    <row r="31" customFormat="false" ht="30" hidden="false" customHeight="true" outlineLevel="0" collapsed="false">
      <c r="B31" s="9" t="s">
        <v>93</v>
      </c>
      <c r="C31" s="9"/>
      <c r="D31" s="9"/>
      <c r="E31" s="9"/>
      <c r="F31" s="9"/>
      <c r="G31" s="9"/>
    </row>
    <row r="32" customFormat="false" ht="21.75" hidden="false" customHeight="true" outlineLevel="0" collapsed="false">
      <c r="B32" s="28"/>
      <c r="C32" s="28"/>
      <c r="D32" s="28"/>
      <c r="E32" s="28"/>
      <c r="F32" s="28"/>
      <c r="G32" s="28"/>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39.75" hidden="false" customHeight="true" outlineLevel="0" collapsed="false">
      <c r="B35" s="29" t="str">
        <f aca="false">IF(LEN(B32)&lt;40,"",IF(AND(ISNUMBER(SEARCH("nåverdi",B32)),ISNUMBER(SEARCH("risiko",B32))),"Bra: du har med både nåverdien og risikoen. Si gjerne også hva som må slå til for at anslaget på 260 000 kr inn skal holde.",IF(OR(ISNUMBER(SEARCH("nåverdi",B32)),ISNUMBER(SEARCH("risiko",B32))),"Du har med det ene. Ta med både at nåverdien er positiv ved 10 % (lønnsomt), og at tilbakebetalingstiden på 3,00 år ligger på grensen, så det er lite rom for at inntektene svikter (risiko).","Tips: nåverdien er 49 368 kr ved 10 %, så utstyret er lønnsomt med kundefordringene. Men tilbakebetalingstiden er akkurat 3 år, og alle tall er anslag. Svikter 260 000 kr inn, snur svaret. Kari bør sjekke anslaget mot det Nordlys leier inn termografering for i dag.")))</f>
        <v/>
      </c>
      <c r="C35" s="29"/>
      <c r="D35" s="29"/>
      <c r="E35" s="29"/>
      <c r="F35" s="29"/>
      <c r="G35" s="29"/>
    </row>
    <row r="36" customFormat="false" ht="15" hidden="false" customHeight="false" outlineLevel="0" collapsed="false">
      <c r="B36" s="16" t="s">
        <v>50</v>
      </c>
      <c r="C36" s="22"/>
    </row>
    <row r="37" customFormat="false" ht="45" hidden="false" customHeight="true" outlineLevel="0" collapsed="false">
      <c r="B37" s="23" t="str">
        <f aca="false">IF(C36="JA","Hint: År 0: −480 000 − 30 000 = −510 000. År 4: 170 000 + 30 000 = 200 000. a: 510 000 / 170 000 = 3,00. b: −510 000 + 154 545 + 140 496 + 127 724 + 136 602 = 49 368. c: −510 000 + 158 140 + 147 107 + 136 843 + 149 760 = 81 849.","")</f>
        <v/>
      </c>
      <c r="C37" s="23"/>
      <c r="D37" s="23"/>
      <c r="E37" s="23"/>
      <c r="F37" s="23"/>
      <c r="G37" s="23"/>
    </row>
    <row r="39" customFormat="false" ht="30" hidden="false" customHeight="true" outlineLevel="0" collapsed="false">
      <c r="B39" s="7" t="s">
        <v>51</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2:G22"/>
    <mergeCell ref="C23:G23"/>
    <mergeCell ref="B31:G31"/>
    <mergeCell ref="B32:G34"/>
    <mergeCell ref="B35:G35"/>
    <mergeCell ref="B37:G37"/>
    <mergeCell ref="B39:G39"/>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94</v>
      </c>
    </row>
    <row r="3" customFormat="false" ht="30" hidden="false" customHeight="true" outlineLevel="0" collapsed="false">
      <c r="B3" s="7" t="s">
        <v>95</v>
      </c>
      <c r="C3" s="7"/>
      <c r="D3" s="7"/>
    </row>
    <row r="5" customFormat="false" ht="15" hidden="false" customHeight="false" outlineLevel="0" collapsed="false">
      <c r="B5" s="31" t="s">
        <v>96</v>
      </c>
      <c r="C5" s="31" t="s">
        <v>97</v>
      </c>
      <c r="D5" s="31" t="s">
        <v>98</v>
      </c>
    </row>
    <row r="6" customFormat="false" ht="30" hidden="false" customHeight="true" outlineLevel="0" collapsed="false">
      <c r="B6" s="32" t="s">
        <v>99</v>
      </c>
      <c r="C6" s="15" t="n">
        <v>-480000</v>
      </c>
      <c r="D6" s="32" t="s">
        <v>100</v>
      </c>
    </row>
    <row r="7" customFormat="false" ht="30" hidden="false" customHeight="true" outlineLevel="0" collapsed="false">
      <c r="B7" s="32" t="s">
        <v>101</v>
      </c>
      <c r="C7" s="15" t="n">
        <v>170000</v>
      </c>
      <c r="D7" s="32" t="s">
        <v>102</v>
      </c>
    </row>
    <row r="8" customFormat="false" ht="30" hidden="false" customHeight="true" outlineLevel="0" collapsed="false">
      <c r="B8" s="32" t="s">
        <v>103</v>
      </c>
      <c r="C8" s="15"/>
      <c r="D8" s="32" t="s">
        <v>104</v>
      </c>
    </row>
    <row r="9" customFormat="false" ht="30" hidden="false" customHeight="true" outlineLevel="0" collapsed="false">
      <c r="B9" s="32" t="s">
        <v>105</v>
      </c>
      <c r="C9" s="15"/>
      <c r="D9" s="32" t="s">
        <v>106</v>
      </c>
    </row>
    <row r="10" customFormat="false" ht="30" hidden="false" customHeight="true" outlineLevel="0" collapsed="false">
      <c r="B10" s="32" t="s">
        <v>107</v>
      </c>
      <c r="C10" s="15"/>
      <c r="D10" s="32" t="s">
        <v>108</v>
      </c>
    </row>
    <row r="11" customFormat="false" ht="30" hidden="false" customHeight="true" outlineLevel="0" collapsed="false">
      <c r="B11" s="32" t="s">
        <v>109</v>
      </c>
      <c r="C11" s="15"/>
      <c r="D11" s="32" t="s">
        <v>110</v>
      </c>
    </row>
    <row r="12" customFormat="false" ht="30" hidden="false" customHeight="true" outlineLevel="0" collapsed="false">
      <c r="B12" s="32" t="s">
        <v>111</v>
      </c>
      <c r="C12" s="15" t="n">
        <v>58877</v>
      </c>
      <c r="D12" s="32" t="s">
        <v>112</v>
      </c>
    </row>
    <row r="13" customFormat="false" ht="30" hidden="false" customHeight="true" outlineLevel="0" collapsed="false">
      <c r="B13" s="32" t="s">
        <v>113</v>
      </c>
      <c r="C13" s="15" t="n">
        <v>-4309</v>
      </c>
      <c r="D13" s="32" t="s">
        <v>114</v>
      </c>
    </row>
    <row r="14" customFormat="false" ht="45" hidden="false" customHeight="true" outlineLevel="0" collapsed="false">
      <c r="B14" s="32" t="s">
        <v>115</v>
      </c>
      <c r="C14" s="15"/>
      <c r="D14" s="32" t="s">
        <v>116</v>
      </c>
    </row>
    <row r="15" customFormat="false" ht="30" hidden="false" customHeight="true" outlineLevel="0" collapsed="false">
      <c r="B15" s="32" t="s">
        <v>117</v>
      </c>
      <c r="C15" s="15" t="n">
        <v>-510000</v>
      </c>
      <c r="D15" s="32" t="s">
        <v>118</v>
      </c>
    </row>
    <row r="16" customFormat="false" ht="30" hidden="false" customHeight="true" outlineLevel="0" collapsed="false">
      <c r="B16" s="32" t="s">
        <v>119</v>
      </c>
      <c r="C16" s="15" t="n">
        <v>200000</v>
      </c>
      <c r="D16" s="32" t="s">
        <v>120</v>
      </c>
    </row>
    <row r="17" customFormat="false" ht="30" hidden="false" customHeight="true" outlineLevel="0" collapsed="false">
      <c r="B17" s="32" t="s">
        <v>121</v>
      </c>
      <c r="C17" s="15"/>
      <c r="D17" s="32" t="s">
        <v>122</v>
      </c>
    </row>
    <row r="18" customFormat="false" ht="30" hidden="false" customHeight="true" outlineLevel="0" collapsed="false">
      <c r="B18" s="32" t="s">
        <v>123</v>
      </c>
      <c r="C18" s="15" t="n">
        <v>49368</v>
      </c>
      <c r="D18" s="32" t="s">
        <v>124</v>
      </c>
    </row>
    <row r="19" customFormat="false" ht="30" hidden="false" customHeight="true" outlineLevel="0" collapsed="false">
      <c r="B19" s="32" t="s">
        <v>125</v>
      </c>
      <c r="C19" s="15" t="n">
        <v>81849</v>
      </c>
      <c r="D19" s="32" t="s">
        <v>126</v>
      </c>
    </row>
    <row r="20" customFormat="false" ht="30" hidden="false" customHeight="true" outlineLevel="0" collapsed="false">
      <c r="B20" s="32" t="s">
        <v>127</v>
      </c>
      <c r="C20" s="15"/>
      <c r="D20" s="32" t="s">
        <v>128</v>
      </c>
    </row>
    <row r="21" customFormat="false" ht="30" hidden="false" customHeight="true" outlineLevel="0" collapsed="false">
      <c r="B21" s="32" t="s">
        <v>129</v>
      </c>
      <c r="C21" s="15"/>
      <c r="D21" s="32" t="s">
        <v>130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2026-10-22T17:00:32Z</dcterms:created>
  <dc:creator>openpyxl</dc:creator>
  <dc:description/>
  <dc:language>en-US</dc:language>
  <cp:lastModifiedBy/>
  <dcterms:modified xsi:type="dcterms:W3CDTF">2026-10-22T17:00:32Z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