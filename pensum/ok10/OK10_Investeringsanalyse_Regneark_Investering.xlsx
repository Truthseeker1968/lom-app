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Investering" sheetId="3" state="visible" r:id="rId5"/>
    <sheet name="Nåverdiprofil" sheetId="4" state="visible" r:id="rId6"/>
    <sheet name="To alternativer" sheetId="5" state="visible" r:id="rId7"/>
    <sheet name="Kabling" sheetId="6" state="visible" r:id="rId8"/>
    <sheet name="Din invester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<sst xmlns="http://schemas.openxmlformats.org/spreadsheetml/2006/main" count="328" uniqueCount="267">
  <si>
    <t xml:space="preserve">Lønner utstyret seg? Den enkle versjonen</t>
  </si>
  <si>
    <t xml:space="preserve">Fyll inn de fire gule cellene. Svaret står i den grønne. Arket regner med fire års levetid og ingen restverdi. Vil du gå dypere, ligger hele modellen i arkene bak.</t>
  </si>
  <si>
    <t xml:space="preserve">Det du vet</t>
  </si>
  <si>
    <t xml:space="preserve">Hva koster utstyret i dag?</t>
  </si>
  <si>
    <t xml:space="preserve">Kjøpesummen uten mva. Den betales i år 0 og skal ikke diskonteres.</t>
  </si>
  <si>
    <t xml:space="preserve">Hvor mye mer kommer inn hvert år med utstyret?</t>
  </si>
  <si>
    <t xml:space="preserve">Ekstra penger inn hvert år fordi dere har eget utstyr.</t>
  </si>
  <si>
    <t xml:space="preserve">Hvor mye mer går ut hvert år til drift av utstyret?</t>
  </si>
  <si>
    <t xml:space="preserve">Ikke avskrivninger. Bare penger som faktisk går ut.</t>
  </si>
  <si>
    <t xml:space="preserve">Hvor mye vil bedriften minst tjene på pengene?</t>
  </si>
  <si>
    <t xml:space="preserve">Avkastningskravet. Det er ikke lånerenta, men det du kunne fått uten risiko pluss et påslag for risikoen.</t>
  </si>
  <si>
    <t xml:space="preserve">Regnestykket</t>
  </si>
  <si>
    <t xml:space="preserve">Netto inn hvert år</t>
  </si>
  <si>
    <t xml:space="preserve">Innbetalingsoverskuddet. Det er dette tallet som står i kontantstrømmen.</t>
  </si>
  <si>
    <t xml:space="preserve">År 1 verdt i dag</t>
  </si>
  <si>
    <t xml:space="preserve">Delt på 1 pluss kravet.</t>
  </si>
  <si>
    <t xml:space="preserve">År 2 verdt i dag</t>
  </si>
  <si>
    <t xml:space="preserve">Delt på 1 pluss kravet, opphøyd i andre.</t>
  </si>
  <si>
    <t xml:space="preserve">År 3 verdt i dag</t>
  </si>
  <si>
    <t xml:space="preserve">Opphøyd i tredje.</t>
  </si>
  <si>
    <t xml:space="preserve">År 4 verdt i dag</t>
  </si>
  <si>
    <t xml:space="preserve">Opphøyd i fjerde. Jo lenger fram, jo mindre verdt.</t>
  </si>
  <si>
    <t xml:space="preserve">Alle fire årene verdt i dag</t>
  </si>
  <si>
    <t xml:space="preserve">Det investeringen gir, regnet om til kjøpsdagen.</t>
  </si>
  <si>
    <t xml:space="preserve">NÅVERDI</t>
  </si>
  <si>
    <t xml:space="preserve">Positiv betyr lønnsom. Negativ betyr at investeringen gir mindre enn kravet.</t>
  </si>
  <si>
    <t xml:space="preserve">Tilbakebetalingstid, år</t>
  </si>
  <si>
    <t xml:space="preserve">Hvor fort pengene er tilbake. Sier ikke om investeringen lønner seg.</t>
  </si>
  <si>
    <t xml:space="preserve">Pluss på papiret, uten å regne om</t>
  </si>
  <si>
    <t xml:space="preserve">Kroner fra ulike år lagt sammen. Ser bra ut, men betyr ingenting.</t>
  </si>
  <si>
    <t xml:space="preserve">Hva svaret betyr</t>
  </si>
  <si>
    <t xml:space="preserve">Prøv selv</t>
  </si>
  <si>
    <t xml:space="preserve">1. Sett avkastningskravet (B8) til 16 prosent. Hva skjer med nåverdien?</t>
  </si>
  <si>
    <t xml:space="preserve">2. Hvor høyt kan kravet (B8) bli før nåverdien blir negativ?</t>
  </si>
  <si>
    <t xml:space="preserve">3. Hvorfor er tallet i B20 så mye større enn nåverdien?</t>
  </si>
  <si>
    <t xml:space="preserve">Tallene er termograferingsutstyret Nordlys Elektro AS vurderer i 2027 (sammendraget og faktaarket). Kilde: Økonomistyring for LØM-emnet, kap. 10.1 og 10.2. Nordlys Elektro AS er en konstruert casebedrift.</t>
  </si>
  <si>
    <t xml:space="preserve">Investeringsanalyse</t>
  </si>
  <si>
    <t xml:space="preserve">LØM Økonomistyring kap. 10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</si>
  <si>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</si>
  <si>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</si>
  <si>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</si>
  <si>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</si>
  <si>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</si>
  <si>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</si>
  <si>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</si>
  <si>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</si>
  <si>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</si>
  <si>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</si>
  <si>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Nåverdien regnet år for år på den enkleste måten.</t>
  </si>
  <si>
    <t xml:space="preserve">Investering</t>
  </si>
  <si>
    <t xml:space="preserve">Kalkulatoren. Kontantstrøm år for år, diskontering år for år, og de tre svarene: tilbakebetalingstid, nåverdi og internrente.</t>
  </si>
  <si>
    <t xml:space="preserve">Nåverdiprofil</t>
  </si>
  <si>
    <t xml:space="preserve">Nåverdien ved avkastningskrav fra 6 til 20 prosent. Der tabellen krysser null, ligger internrenten.</t>
  </si>
  <si>
    <t xml:space="preserve">To alternativer</t>
  </si>
  <si>
    <t xml:space="preserve">To investeringer til samme pris, med ulik tilbakebetalingstid og motsatt rangering etter nåverdi.</t>
  </si>
  <si>
    <t xml:space="preserve">Kabling</t>
  </si>
  <si>
    <t xml:space="preserve">Klasseoppgaven: et kabelanlegg med 35 års levetid, målt mot et krav om tilbakebetaling på fire år.</t>
  </si>
  <si>
    <t xml:space="preserve">Din investering</t>
  </si>
  <si>
    <t xml:space="preserve">Samme kalkulator, tomt. Legg inn dine egne tall.</t>
  </si>
  <si>
    <t xml:space="preserve">Tallene som ligger inne er investeringen Nordlys Elektro AS vurderer i 2027 — den samme som betales i mars i likviditetsbudsjettet i kapittel 9.</t>
  </si>
  <si>
    <t xml:space="preserve">Kontantstrøm er ikke resultat. Avskrivninger hører ikke hjemme i en investeringsanalyse: pengene gikk ut den dagen utstyret ble betalt, og de står i år 0.</t>
  </si>
  <si>
    <t xml:space="preserve">Investeringsutgiften i år 0 skal ALDRI diskonteres. Den er allerede i dagens kroner.</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</si>
  <si>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</si>
  <si>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</si>
  <si>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</si>
  <si>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Investering!B12</t>
  </si>
  <si>
    <t xml:space="preserve">Avkastningskravet</t>
  </si>
  <si>
    <t xml:space="preserve">Endrer konklusjonen uten at ett eneste tall om utstyret er rørt. Prøv 10 % og 16 %.</t>
  </si>
  <si>
    <t xml:space="preserve">Investering!B11</t>
  </si>
  <si>
    <t xml:space="preserve">Kapitalbindingen</t>
  </si>
  <si>
    <t xml:space="preserve">Står på null i utgangspunktet. Sett den til 30 000 i oppgave 3 og se både nåverdien og tilbakebetalingstiden stramme seg.</t>
  </si>
  <si>
    <t xml:space="preserve">Hvilken oppgave bruker hvilket ark</t>
  </si>
  <si>
    <t xml:space="preserve">Oppgave i øvingsheftet</t>
  </si>
  <si>
    <t xml:space="preserve">Ark</t>
  </si>
  <si>
    <t xml:space="preserve">Celler du endrer og leser av</t>
  </si>
  <si>
    <t xml:space="preserve">A1 · Lønner utstyret seg?</t>
  </si>
  <si>
    <t xml:space="preserve">Les av B28, B29 og B32. Sett B12 til 16 % og se dommen i N33 snu.</t>
  </si>
  <si>
    <t xml:space="preserve">A2 · Klasseoppgave: linja som skal i kabel</t>
  </si>
  <si>
    <t xml:space="preserve">Les av B11, B17, B19, B20 og B21. Rad 25 og 26 viser hva kravet ikke ser.</t>
  </si>
  <si>
    <t xml:space="preserve">1 · Kontantstrømmen og tilbakebetalingstiden</t>
  </si>
  <si>
    <t xml:space="preserve">Endre B5, B6, B7 og B9. Les av kontantstrømmen i rad 21, den kumulerte i rad 22 og tilbakebetalingstiden i B31.</t>
  </si>
  <si>
    <t xml:space="preserve">2 · Nåverdi ved to ulike avkastningskrav</t>
  </si>
  <si>
    <t xml:space="preserve">Sett B12 til 10 % og deretter 16 %. Les av diskonteringsfaktorene i rad 23, nåverdien per år i rad 24 og summen i B29. Internrenten står i B32, og hele bildet i arket Nåverdiprofil.</t>
  </si>
  <si>
    <t xml:space="preserve">3 · Kapitalbindingen ingen husker</t>
  </si>
  <si>
    <t xml:space="preserve">Sett kapitalbindingen i B11. Les av kontantstrømmen i rad 21 på nytt, nåverdien i B29 og tilbakebetalingstiden i B31.</t>
  </si>
  <si>
    <t xml:space="preserve">4 · Kablingen der metodene gir motsatt svar</t>
  </si>
  <si>
    <t xml:space="preserve">Endre B7 til B14. Les av B17, B18, B19, B20, B21, B22, B25 og B26.</t>
  </si>
  <si>
    <t xml:space="preserve">5 · Eksamensnær: to investeringer til samme pris</t>
  </si>
  <si>
    <t xml:space="preserve">Endre B6 til C8 og kravet i B10. Les av rad 15 til 19, sammenlikningen i rad 22 til 26 og gjentakelsesregningen i rad 30 til 33.</t>
  </si>
  <si>
    <t xml:space="preserve">Kontrollradene</t>
  </si>
  <si>
    <t xml:space="preserve">Hvert regneark har en kontrollblokk. Står det OK, henger tallene sammen. Står det AVVIK, farges cellen rød, og teksten sier hva som ikke går opp.</t>
  </si>
  <si>
    <t xml:space="preserve">Ett unntak: arket «Din investering» står på AVVIK til du har fylt inn dine egne tall.</t>
  </si>
  <si>
    <t xml:space="preserve">Kontroller i arbeidsboka: Investering B38, Investering B39, Investering B40, Investering B41, Nåverdiprofil B31, Nåverdiprofil B32, Nåverdiprofil B33, To alternativer B36, To alternativer B37, To alternativer B38, To alternativer B39, Kabling B29, Kabling B30, Kabling B31, Din investering B29, Din investering B31</t>
  </si>
  <si>
    <t xml:space="preserve">Slik henger kapitlene sammen</t>
  </si>
  <si>
    <t xml:space="preserve">Investeringen her er den samme som betales i mars i likviditetsbudsjettet i kapittel 9 — og som klasseoppgaven der foreslår å utsette til september. Kapitalbindingen er den samme typen kapitalbinding som i kapittel 6. Avkastningskravet er det samme kravet eierne stiller til egenkapitalen sin, og som du regner egenkapitalrentabiliteten av i kapittel 4. Og innbetalingsoverskuddet er dekningsbidrag, slik det defineres i kapittel 2.</t>
  </si>
  <si>
    <t xml:space="preserve">Kilder</t>
  </si>
  <si>
    <t xml:space="preserve">Hjertnes, J. og Skorpen, K.: Økonomistyring for LØM-emnet (ISBN 978-82-450-5544-3), kapittel 10 «Investeringsanalyse», avsnitt 10.1 til 10.3. Formler for nåverdi, tilbakebetalingstid og internrente: formelsamlingen til LØM-emnet.</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</si>
  <si>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</si>
  <si>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</si>
  <si>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Lønner investeringen seg?</t>
  </si>
  <si>
    <t xml:space="preserve">Endre de gule cellene. Kontantstrømmen settes opp år for år, og diskonteres år for år.</t>
  </si>
  <si>
    <t xml:space="preserve">1 · Investeringen</t>
  </si>
  <si>
    <t xml:space="preserve">Kjøpesum, betalt i dag</t>
  </si>
  <si>
    <t xml:space="preserve">Hele beløpet står i år 0 og skal IKKE diskonteres.</t>
  </si>
  <si>
    <t xml:space="preserve">Årlige innbetalinger</t>
  </si>
  <si>
    <t xml:space="preserve">Årlige utbetalinger</t>
  </si>
  <si>
    <t xml:space="preserve">= Årlig innbetalingsoverskudd</t>
  </si>
  <si>
    <t xml:space="preserve">Kontantstrøm, ikke resultat. Avskrivninger hører ikke hjemme her.</t>
  </si>
  <si>
    <t xml:space="preserve">Levetid, år</t>
  </si>
  <si>
    <t xml:space="preserve">Høyst 10 år i dette arket.</t>
  </si>
  <si>
    <t xml:space="preserve">Utrangeringsverdi i siste år</t>
  </si>
  <si>
    <t xml:space="preserve">Kapitalbinding i omløpsmidler</t>
  </si>
  <si>
    <t xml:space="preserve">Ut i år 0, inn igjen i siste år. Sett den til 30 000 i oppgave 3.</t>
  </si>
  <si>
    <t xml:space="preserve">Avkastningskrav</t>
  </si>
  <si>
    <t xml:space="preserve">DETTE er cellen. Endre den til 16 % og se konklusjonen snu.</t>
  </si>
  <si>
    <t xml:space="preserve">Krav til tilbakebetalingstid, år</t>
  </si>
  <si>
    <t xml:space="preserve">2 · Kontantstrømmen år for år</t>
  </si>
  <si>
    <t xml:space="preserve">Post</t>
  </si>
  <si>
    <t xml:space="preserve">År 0</t>
  </si>
  <si>
    <t xml:space="preserve">År 1</t>
  </si>
  <si>
    <t xml:space="preserve">År 2</t>
  </si>
  <si>
    <t xml:space="preserve">År 3</t>
  </si>
  <si>
    <t xml:space="preserve">År 4</t>
  </si>
  <si>
    <t xml:space="preserve">År 5</t>
  </si>
  <si>
    <t xml:space="preserve">År 6</t>
  </si>
  <si>
    <t xml:space="preserve">År 7</t>
  </si>
  <si>
    <t xml:space="preserve">År 8</t>
  </si>
  <si>
    <t xml:space="preserve">År 9</t>
  </si>
  <si>
    <t xml:space="preserve">År 10</t>
  </si>
  <si>
    <t xml:space="preserve">Kommentar</t>
  </si>
  <si>
    <t xml:space="preserve">Årstall</t>
  </si>
  <si>
    <t xml:space="preserve">Investering og kapitalbinding</t>
  </si>
  <si>
    <t xml:space="preserve">Innbetalingsoverskudd</t>
  </si>
  <si>
    <t xml:space="preserve">Utrangeringsverdi og frigjort kapitalbinding</t>
  </si>
  <si>
    <t xml:space="preserve">= Kontantstrøm</t>
  </si>
  <si>
    <t xml:space="preserve">Kumulert kontantstrøm</t>
  </si>
  <si>
    <t xml:space="preserve">Året denne snur fra minus til pluss, er året investeringen er tilbakebetalt.</t>
  </si>
  <si>
    <t xml:space="preserve">Diskonteringsfaktor</t>
  </si>
  <si>
    <t xml:space="preserve">Hvor mye én krone i det året er verdt i dag.</t>
  </si>
  <si>
    <t xml:space="preserve">Nåverdi av årets kontantstrøm</t>
  </si>
  <si>
    <t xml:space="preserve">Kumulert nåverdi</t>
  </si>
  <si>
    <t xml:space="preserve">3 · De tre svarene</t>
  </si>
  <si>
    <t xml:space="preserve">Sum kontantstrøm, udiskontert</t>
  </si>
  <si>
    <t xml:space="preserve">Dette tallet ser bra ut og betyr ingenting: det legger sammen kroner fra ulike år som om de var like mye verdt.</t>
  </si>
  <si>
    <t xml:space="preserve">= NÅVERDI</t>
  </si>
  <si>
    <t xml:space="preserve">Nåverdi kontrollregnet med NPV-funksjonen</t>
  </si>
  <si>
    <t xml:space="preserve">Merk at NPV-funksjonen diskonterer FRA år 1. År 0 legges til utenfor.</t>
  </si>
  <si>
    <t xml:space="preserve">= Tilbakebetalingstid, år</t>
  </si>
  <si>
    <t xml:space="preserve">= Internrente</t>
  </si>
  <si>
    <t xml:space="preserve">Den renten som gjør nåverdien null. Investeringen gjennomføres hvis den er høyere enn kravet.</t>
  </si>
  <si>
    <t xml:space="preserve">Dom etter nåverdimetoden</t>
  </si>
  <si>
    <t xml:space="preserve">Dom etter tilbakebetalingsmetoden</t>
  </si>
  <si>
    <t xml:space="preserve">Er de to metodene enige?</t>
  </si>
  <si>
    <t xml:space="preserve">Kontroll</t>
  </si>
  <si>
    <t xml:space="preserve">Gir de to nåverdiregningene samme svar?</t>
  </si>
  <si>
    <t xml:space="preserve">Henger internrenten sammen med nåverdien?</t>
  </si>
  <si>
    <t xml:space="preserve">Er levetiden innenfor arket?</t>
  </si>
  <si>
    <t xml:space="preserve">Er kapitalbindingen behandlet med begge fortegn?</t>
  </si>
  <si>
    <t xml:space="preserve">4 · Hva de tre metodene svarer på</t>
  </si>
  <si>
    <t xml:space="preserve">Tilbakebetalingsmetoden</t>
  </si>
  <si>
    <t xml:space="preserve">Hvor lenge er pengene bundet?</t>
  </si>
  <si>
    <t xml:space="preserve">Ser ingenting av det som skjer etter tilbakebetalingsdagen, og tar ikke hensyn til pengenes tidsverdi.</t>
  </si>
  <si>
    <t xml:space="preserve">Nåverdimetoden</t>
  </si>
  <si>
    <t xml:space="preserve">Hvor mye er investeringen verdt i dag?</t>
  </si>
  <si>
    <t xml:space="preserve">Svarer i kroner. Krever at du har et avkastningskrav.</t>
  </si>
  <si>
    <t xml:space="preserve">Internrentemetoden</t>
  </si>
  <si>
    <t xml:space="preserve">Hvilken avkastning gir investeringen selv?</t>
  </si>
  <si>
    <t xml:space="preserve">Svarer i prosent. Lett å sammenlikne, men rangerer feil når prosjektene er ulikt store eller lever ulikt lenge.</t>
  </si>
  <si>
    <t xml:space="preserve">Prøv dette: sett avkastningskravet i B12 til 16 %. Nåverdien snur, uten at ett eneste tall om utstyret er rørt. Det er hele beslutningsregelen i én celle.</t>
  </si>
  <si>
    <t xml:space="preserve">Kilde: Økonomistyring for LØM-emnet kap. 10.1 til 10.3. Tallene er investeringen Nordlys Elektro AS vurderer i 2027.</t>
  </si>
  <si>
    <t xml:space="preserve">Nåverdien ved ulike avkastningskrav</t>
  </si>
  <si>
    <t xml:space="preserve">Samme investering, samme kontantstrøm. Bare kravet endrer seg.</t>
  </si>
  <si>
    <t xml:space="preserve">Hentes fra arket Investering</t>
  </si>
  <si>
    <t xml:space="preserve">Kravet du bruker nå</t>
  </si>
  <si>
    <t xml:space="preserve">Internrente</t>
  </si>
  <si>
    <t xml:space="preserve">Der linja under krysser null.</t>
  </si>
  <si>
    <t xml:space="preserve">Nåverdi</t>
  </si>
  <si>
    <t xml:space="preserve">Endring fra raden over</t>
  </si>
  <si>
    <t xml:space="preserve">Dom</t>
  </si>
  <si>
    <t xml:space="preserve">Hva raden betyr</t>
  </si>
  <si>
    <t xml:space="preserve">Lavt krav — for eksempel et tiltak banken finansierer billig.</t>
  </si>
  <si>
    <t xml:space="preserve">Nordlys' vanlige krav.</t>
  </si>
  <si>
    <t xml:space="preserve">Her er marginen nesten borte.</t>
  </si>
  <si>
    <t xml:space="preserve">Eierens krav. Nå er nåverdien negativ.</t>
  </si>
  <si>
    <t xml:space="preserve">Krav som stilles til risikable prosjekter.</t>
  </si>
  <si>
    <t xml:space="preserve">Les tabellen slik</t>
  </si>
  <si>
    <t xml:space="preserve">Nåverdien faller hele veien nedover, og den faller fordi hver framtidig krone blir mindre verdt når du krever mer avkastning.</t>
  </si>
  <si>
    <t xml:space="preserve">Der kolonne D skifter fra «Lønnsom» til «Ulønnsom», ligger internrenten. Det er ikke en tilfeldighet — det er definisjonen.</t>
  </si>
  <si>
    <t xml:space="preserve">Legg merke til kolonne C: fallet blir mindre for hvert prosentpoeng. Diskontering er ikke lineær.</t>
  </si>
  <si>
    <t xml:space="preserve">Faller nåverdien når kravet stiger?</t>
  </si>
  <si>
    <t xml:space="preserve">Krysser tabellen null ved internrenten?</t>
  </si>
  <si>
    <t xml:space="preserve">Stemmer raden for dagens krav med kalkulatoren?</t>
  </si>
  <si>
    <t xml:space="preserve">Kilde: Økonomistyring for LØM-emnet kap. 10.2 og 10.3.</t>
  </si>
  <si>
    <t xml:space="preserve">To investeringer til samme pris</t>
  </si>
  <si>
    <t xml:space="preserve">Oppgave 5 i øvingsheftet. Ulik tilbakebetalingstid, motsatt rangering.</t>
  </si>
  <si>
    <t xml:space="preserve">1 · De to alternativene</t>
  </si>
  <si>
    <t xml:space="preserve">A · Kabelmaskin med grøftefres</t>
  </si>
  <si>
    <t xml:space="preserve">B · Solcelleanlegg på verksted og lager</t>
  </si>
  <si>
    <t xml:space="preserve">Kjøpesum</t>
  </si>
  <si>
    <t xml:space="preserve">Like dyre. Det er bare profilen som skiller dem.</t>
  </si>
  <si>
    <t xml:space="preserve">Årlig innbetalingsoverskudd</t>
  </si>
  <si>
    <t xml:space="preserve">Hentes fra arket Investering. Endre det der.</t>
  </si>
  <si>
    <t xml:space="preserve">2 · Svarene</t>
  </si>
  <si>
    <t xml:space="preserve">Sum innbetalt, udiskontert</t>
  </si>
  <si>
    <t xml:space="preserve">Netto udiskontert</t>
  </si>
  <si>
    <t xml:space="preserve">Her stryker det ene alternativet — og det er det som er verdt mest.</t>
  </si>
  <si>
    <t xml:space="preserve">= Nåverdi</t>
  </si>
  <si>
    <t xml:space="preserve">Annuitetsformelen: like store beløp hvert år kan diskonteres i én operasjon.</t>
  </si>
  <si>
    <t xml:space="preserve">3 · Sammenlikningen</t>
  </si>
  <si>
    <t xml:space="preserve">B er verdt mer enn A med</t>
  </si>
  <si>
    <t xml:space="preserve">så mange ganger så høy nåverdi</t>
  </si>
  <si>
    <t xml:space="preserve">Tilbakebetalingskravet måtte vært minst</t>
  </si>
  <si>
    <t xml:space="preserve">for at B skulle passere. Kravet i B10 er strengere enn det.</t>
  </si>
  <si>
    <t xml:space="preserve">A slutter å være lønnsom ved et krav på</t>
  </si>
  <si>
    <t xml:space="preserve">B slutter å være lønnsom ved et krav på</t>
  </si>
  <si>
    <t xml:space="preserve">B tåler et langt høyere krav før den blir ulønnsom. Det er robusthet.</t>
  </si>
  <si>
    <t xml:space="preserve">4 · Er sammenlikningen rettferdig?</t>
  </si>
  <si>
    <t xml:space="preserve">A har kortere levetid. Kjøpes den på nytt når den er utslitt, blir horisonten den samme.</t>
  </si>
  <si>
    <t xml:space="preserve">Antall ganger A kjøpes i løpet av B sin levetid</t>
  </si>
  <si>
    <t xml:space="preserve">Nåverdi av A kjøpt om igjen, over hele horisonten</t>
  </si>
  <si>
    <t xml:space="preserve">Hver ny runde er den samme nåverdien, diskontert til det året den starter.</t>
  </si>
  <si>
    <t xml:space="preserve">B er fortsatt bedre med</t>
  </si>
  <si>
    <t xml:space="preserve">Koster de to alternativene det samme?</t>
  </si>
  <si>
    <t xml:space="preserve">Gir de to metodene motsatt svar?</t>
  </si>
  <si>
    <t xml:space="preserve">Er begge alternativene lønnsomme i det hele tatt?</t>
  </si>
  <si>
    <t xml:space="preserve">Stemmer internrenten med nåverdien?</t>
  </si>
  <si>
    <t xml:space="preserve">Prøv dette: skru avkastningskravet i Investering!B12 oppover. Ved hvilket krav slutter A å være lønnsom, og ved hvilket krav slutter B? Forskjellen mellom de to tallene er hvor mye mer B tåler før den ryker.</t>
  </si>
  <si>
    <t xml:space="preserve">Kilde: Økonomistyring for LØM-emnet kap. 10.1 til 10.3, og avsnittet om hva tilbakebetalingsmetoden ikke ser. Prisen er den samme som utstyret i kapitlets hovedeksempel.</t>
  </si>
  <si>
    <t xml:space="preserve">Linja som skal i kabel</t>
  </si>
  <si>
    <t xml:space="preserve">Klasseoppgaven. Et anlegg som skal stå i en generasjon, målt med en metode som ser fire år.</t>
  </si>
  <si>
    <t xml:space="preserve">1 · Tiltaket</t>
  </si>
  <si>
    <t xml:space="preserve">Selskap</t>
  </si>
  <si>
    <t xml:space="preserve">Fjellkraft Nett AS</t>
  </si>
  <si>
    <t xml:space="preserve">Lengde luftlinje, km</t>
  </si>
  <si>
    <t xml:space="preserve">Spart vedlikehold per år</t>
  </si>
  <si>
    <t xml:space="preserve">Spart KILE-kostnad per år</t>
  </si>
  <si>
    <t xml:space="preserve">KILE: kvalitetsjusterte inntektsrammer ved ikke levert energi. Nettselskapet betaler for avbrudd hos kundene.</t>
  </si>
  <si>
    <t xml:space="preserve">Spart nettap per år</t>
  </si>
  <si>
    <t xml:space="preserve">2 · De to metodene gir motsatt svar</t>
  </si>
  <si>
    <t xml:space="preserve">Årlig overskudd som måtte til for å passere</t>
  </si>
  <si>
    <t xml:space="preserve">Så mye måtte spares hvert år for at tiltaket skulle klare kravet.</t>
  </si>
  <si>
    <t xml:space="preserve">Nåverdi over hele levetiden</t>
  </si>
  <si>
    <t xml:space="preserve">Nåverdi regnet over bare kravets fire år</t>
  </si>
  <si>
    <t xml:space="preserve">Dette er alt tilbakebetalingsmetoden ser. Resten av levetiden er usynlig for den.</t>
  </si>
  <si>
    <t xml:space="preserve">Hvor mange års levetid som skal til for nåverdi lik null</t>
  </si>
  <si>
    <t xml:space="preserve">Under dette antallet år er tiltaket ulønnsomt. Sammenlikn med levetiden i B12.</t>
  </si>
  <si>
    <t xml:space="preserve">3 · Hva et krav på fire år gjør</t>
  </si>
  <si>
    <t xml:space="preserve">Andel av levetiden kravet ser</t>
  </si>
  <si>
    <t xml:space="preserve">Et tilbakebetalingskrav på fire år er et rimelig krav på et instrument som blir utdatert, og et urimelig krav på en kabel i bakken.</t>
  </si>
  <si>
    <t xml:space="preserve">Verdi som ligger etter kravets fjerde år</t>
  </si>
  <si>
    <t xml:space="preserve">Alt dette er verdi metoden kaster.</t>
  </si>
  <si>
    <t xml:space="preserve">Er nåverdien over fire år negativ?</t>
  </si>
  <si>
    <t xml:space="preserve">Er levetiden lengre enn nullpunktet i år?</t>
  </si>
  <si>
    <t xml:space="preserve">Kilde: Økonomistyring for LØM-emnet kap. 10.1 og 10.2. Fjellkraft Nett AS er nettselskapet Nordlys Elektro AS har rammeavtale med. Tallene er didaktiske forutsetninger, oppgitt i oppgaven slik eksamensoppgaver gjør det.</t>
  </si>
  <si>
    <t xml:space="preserve">Din egen investering</t>
  </si>
  <si>
    <t xml:space="preserve">Samme kalkulator, ingen tall. Ta den med på jobb.</t>
  </si>
  <si>
    <t xml:space="preserve">Alt som må ut før anlegget virker.</t>
  </si>
  <si>
    <t xml:space="preserve">Økt inntekt, eller spart utbetaling.</t>
  </si>
  <si>
    <t xml:space="preserve">Drift, vedlikehold, forsikring.</t>
  </si>
  <si>
    <t xml:space="preserve">Det du får for utstyret når du er ferdig.</t>
  </si>
  <si>
    <t xml:space="preserve">Reservedeler og lager. Ut i år 0, inn igjen til slutt.</t>
  </si>
  <si>
    <t xml:space="preserve">2 · Kontantstrømmen</t>
  </si>
  <si>
    <t xml:space="preserve">Kumulert</t>
  </si>
  <si>
    <t xml:space="preserve">3 · Svarene</t>
  </si>
  <si>
    <t xml:space="preserve">Er arket fylt ut?</t>
  </si>
  <si>
    <t xml:space="preserve">Dette arket starter tomt, så kontrollen står på AVVIK til du har fylt inn tallene.</t>
  </si>
  <si>
    <t xml:space="preserve">Tre spørsmål å ta med: hva er avkastningskravet vårt, hvor lenge lever anlegget, og hva er alternativet til å bruke pengene her?</t>
  </si>
</sst>
</file>

<file path=xl/styles.xml><?xml version="1.0" encoding="utf-8"?>
<styleSheet xmlns="http://schemas.openxmlformats.org/spreadsheetml/2006/main">
  <numFmts count="7">
    <numFmt numFmtId="164" formatCode="General"/>
    <numFmt numFmtId="165" formatCode="#,##0"/>
    <numFmt numFmtId="166" formatCode="0.0\ %"/>
    <numFmt numFmtId="167" formatCode="#,##0.00"/>
    <numFmt numFmtId="168" formatCode="#,##0&quot; kr&quot;"/>
    <numFmt numFmtId="169" formatCode="0.0%"/>
    <numFmt numFmtId="170" formatCode="0.0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xf numFmtId="164" fontId="11"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480000</v>
      </c>
      <c r="C5" s="7" t="s">
        <v>4</v>
      </c>
    </row>
    <row r="6" customFormat="false" ht="15" hidden="false" customHeight="true" outlineLevel="0" collapsed="false">
      <c r="A6" s="5" t="s">
        <v>5</v>
      </c>
      <c r="B6" s="6" t="n">
        <v>260000</v>
      </c>
      <c r="C6" s="7" t="s">
        <v>6</v>
      </c>
    </row>
    <row r="7" customFormat="false" ht="15" hidden="false" customHeight="true" outlineLevel="0" collapsed="false">
      <c r="A7" s="5" t="s">
        <v>7</v>
      </c>
      <c r="B7" s="6" t="n">
        <v>90000</v>
      </c>
      <c r="C7" s="7" t="s">
        <v>8</v>
      </c>
    </row>
    <row ht="24.75" customHeight="true" r="8" customFormat="false" hidden="false" outlineLevel="0" collapsed="false">
      <c r="A8" s="5" t="s">
        <v>9</v>
      </c>
      <c r="B8" s="8" t="n">
        <v>0.1</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9" t="n">
        <f aca="false">B6-B7</f>
        <v>170000</v>
      </c>
      <c r="C11" s="7" t="s">
        <v>13</v>
      </c>
    </row>
    <row r="12" customFormat="false" ht="15" hidden="false" customHeight="true" outlineLevel="0" collapsed="false">
      <c r="A12" s="5" t="s">
        <v>14</v>
      </c>
      <c r="B12" s="9" t="n">
        <f aca="false">B11/(1+B8)</f>
        <v>154545.454545455</v>
      </c>
      <c r="C12" s="7" t="s">
        <v>15</v>
      </c>
    </row>
    <row r="13" customFormat="false" ht="15" hidden="false" customHeight="true" outlineLevel="0" collapsed="false">
      <c r="A13" s="5" t="s">
        <v>16</v>
      </c>
      <c r="B13" s="9" t="n">
        <f aca="false">B11/(1+B8)^2</f>
        <v>140495.867768595</v>
      </c>
      <c r="C13" s="7" t="s">
        <v>17</v>
      </c>
    </row>
    <row r="14" customFormat="false" ht="15" hidden="false" customHeight="true" outlineLevel="0" collapsed="false">
      <c r="A14" s="5" t="s">
        <v>18</v>
      </c>
      <c r="B14" s="9" t="n">
        <f aca="false">B11/(1+B8)^3</f>
        <v>127723.516153268</v>
      </c>
      <c r="C14" s="7" t="s">
        <v>19</v>
      </c>
    </row>
    <row r="15" customFormat="false" ht="15" hidden="false" customHeight="true" outlineLevel="0" collapsed="false">
      <c r="A15" s="5" t="s">
        <v>20</v>
      </c>
      <c r="B15" s="9" t="n">
        <f aca="false">B11/(1+B8)^4</f>
        <v>116112.287412062</v>
      </c>
      <c r="C15" s="7" t="s">
        <v>21</v>
      </c>
    </row>
    <row r="16" customFormat="false" ht="15" hidden="false" customHeight="true" outlineLevel="0" collapsed="false">
      <c r="A16" s="5" t="s">
        <v>22</v>
      </c>
      <c r="B16" s="9" t="n">
        <f aca="false">B12+B13+B14+B15</f>
        <v>538877.12587938</v>
      </c>
      <c r="C16" s="7" t="s">
        <v>23</v>
      </c>
    </row>
    <row r="17" customFormat="false" ht="15" hidden="false" customHeight="true" outlineLevel="0" collapsed="false"/>
    <row r="18" customFormat="false" ht="21" hidden="false" customHeight="true" outlineLevel="0" collapsed="false">
      <c r="A18" s="10" t="s">
        <v>24</v>
      </c>
      <c r="B18" s="11" t="n">
        <f aca="false">B16-B5</f>
        <v>58877.1258793797</v>
      </c>
      <c r="C18" s="7" t="s">
        <v>25</v>
      </c>
    </row>
    <row r="19" customFormat="false" ht="15" hidden="false" customHeight="true" outlineLevel="0" collapsed="false">
      <c r="A19" s="5" t="s">
        <v>26</v>
      </c>
      <c r="B19" s="12" t="n">
        <f aca="false">B5/B11</f>
        <v>2.82352941176471</v>
      </c>
      <c r="C19" s="7" t="s">
        <v>27</v>
      </c>
    </row>
    <row r="20" customFormat="false" ht="15" hidden="false" customHeight="true" outlineLevel="0" collapsed="false">
      <c r="A20" s="5" t="s">
        <v>28</v>
      </c>
      <c r="B20" s="9" t="n">
        <f aca="false">4*B11-B5</f>
        <v>200000</v>
      </c>
      <c r="C20" s="7" t="s">
        <v>29</v>
      </c>
    </row>
    <row r="21" customFormat="false" ht="15" hidden="false" customHeight="true" outlineLevel="0" collapsed="false"/>
    <row r="22" customFormat="false" ht="15" hidden="false" customHeight="true" outlineLevel="0" collapsed="false">
      <c r="A22" s="3" t="s">
        <v>30</v>
      </c>
      <c r="B22" s="4"/>
      <c r="C22" s="4"/>
    </row>
    <row r="23" customFormat="false" ht="33.75" hidden="false" customHeight="true" outlineLevel="0" collapsed="false">
      <c r="A23" s="13" t="str">
        <f aca="false">"Nåverdien er "&amp;TEXT(ROUND(B18,0),"#,##0")&amp;" kroner. Positiv nåverdi betyr at utstyret lønner seg ved dette kravet. Negativ betyr at det ikke gjør det."</f>
        <v>Nåverdien er 58,877 kroner. Positiv nåverdi betyr at utstyret lønner seg ved dette kravet. Negativ betyr at det ikke gjør det.</v>
      </c>
      <c r="B23" s="13"/>
      <c r="C23" s="13"/>
    </row>
    <row r="24" customFormat="false" ht="15" hidden="false" customHeight="true" outlineLevel="0" collapsed="false"/>
    <row r="25" customFormat="false" ht="15" hidden="false" customHeight="true" outlineLevel="0" collapsed="false">
      <c r="A25" s="3" t="s">
        <v>31</v>
      </c>
      <c r="B25" s="4"/>
      <c r="C25" s="4"/>
    </row>
    <row r="26" customFormat="false" ht="15" hidden="false" customHeight="true" outlineLevel="0" collapsed="false">
      <c r="A26" s="14" t="s">
        <v>32</v>
      </c>
      <c r="B26" s="14"/>
      <c r="C26" s="14"/>
    </row>
    <row r="27" customFormat="false" ht="15" hidden="false" customHeight="true" outlineLevel="0" collapsed="false">
      <c r="A27" s="14" t="s">
        <v>33</v>
      </c>
      <c r="B27" s="14"/>
      <c r="C27" s="14"/>
    </row>
    <row r="28" customFormat="false" ht="15" hidden="false" customHeight="true" outlineLevel="0" collapsed="false">
      <c r="A28" s="14" t="s">
        <v>34</v>
      </c>
      <c r="B28" s="14"/>
      <c r="C28" s="14"/>
    </row>
    <row r="29" customFormat="false" ht="15" hidden="false" customHeight="true" outlineLevel="0" collapsed="false"/>
    <row r="30" customFormat="false" ht="27" hidden="false" customHeight="true" outlineLevel="0" collapsed="false">
      <c r="A30" s="2" t="s">
        <v>35</v>
      </c>
      <c r="B30" s="2"/>
      <c r="C30" s="2"/>
    </row>
  </sheetData>
  <mergeCells count="6">
    <mergeCell ref="A2:C2"/>
    <mergeCell ref="A23:C23"/>
    <mergeCell ref="A26:C26"/>
    <mergeCell ref="A27:C27"/>
    <mergeCell ref="A28:C28"/>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36</v>
      </c>
    </row>
    <row r="2" customFormat="false" ht="15" hidden="false" customHeight="false" outlineLevel="0" collapsed="false">
      <c r="A2" s="15" t="s">
        <v>37</v>
      </c>
    </row>
    <row r="3" customFormat="false" ht="15" hidden="false" customHeight="false" outlineLevel="0" collapsed="false">
      <c r="A3" s="16" t="s">
        <v>38</v>
      </c>
    </row>
    <row r="4" customFormat="false" ht="15" hidden="false" customHeight="false" outlineLevel="0" collapsed="false">
      <c r="A4" s="17" t="s">
        <v>39</v>
      </c>
    </row>
    <row r="5" customFormat="false" ht="15" hidden="false" customHeight="false" outlineLevel="0" collapsed="false">
      <c r="A5" s="18" t="s">
        <v>40</v>
      </c>
      <c r="B5" s="19" t="s">
        <v>41</v>
      </c>
    </row>
    <row r="6" customFormat="false" ht="15" hidden="false" customHeight="false" outlineLevel="0" collapsed="false">
      <c r="A6" s="20" t="s">
        <v>42</v>
      </c>
      <c r="B6" s="19" t="s">
        <v>43</v>
      </c>
    </row>
    <row r="7" customFormat="false" ht="15" hidden="false" customHeight="false" outlineLevel="0" collapsed="false">
      <c r="A7" s="20" t="s">
        <v>44</v>
      </c>
      <c r="B7" s="19" t="s">
        <v>45</v>
      </c>
    </row>
    <row r="9" customFormat="false" ht="15" hidden="false" customHeight="false" outlineLevel="0" collapsed="false">
      <c r="A9" s="17" t="s">
        <v>46</v>
      </c>
    </row>
    <row r="10" customFormat="false" ht="15" hidden="false" customHeight="false" outlineLevel="0" collapsed="false">
      <c r="A10" s="21" t="s">
        <v>47</v>
      </c>
      <c r="B10" s="19" t="s">
        <v>48</v>
      </c>
    </row>
    <row r="11" customFormat="false" ht="15" hidden="false" customHeight="false" outlineLevel="0" collapsed="false">
      <c r="A11" s="21" t="s">
        <v>49</v>
      </c>
      <c r="B11" s="19" t="s">
        <v>50</v>
      </c>
    </row>
    <row r="12" customFormat="false" ht="15" hidden="false" customHeight="false" outlineLevel="0" collapsed="false">
      <c r="A12" s="21" t="s">
        <v>51</v>
      </c>
      <c r="B12" s="19" t="s">
        <v>52</v>
      </c>
    </row>
    <row r="13" customFormat="false" ht="15" hidden="false" customHeight="false" outlineLevel="0" collapsed="false">
      <c r="A13" s="21" t="s">
        <v>53</v>
      </c>
      <c r="B13" s="19" t="s">
        <v>54</v>
      </c>
    </row>
    <row r="14" customFormat="false" ht="15" hidden="false" customHeight="false" outlineLevel="0" collapsed="false">
      <c r="A14" s="21" t="s">
        <v>55</v>
      </c>
      <c r="B14" s="19" t="s">
        <v>56</v>
      </c>
    </row>
    <row r="15" customFormat="false" ht="15" hidden="false" customHeight="false" outlineLevel="0" collapsed="false">
      <c r="A15" s="21" t="s">
        <v>57</v>
      </c>
      <c r="B15" s="19" t="s">
        <v>58</v>
      </c>
    </row>
    <row r="17" customFormat="false" ht="15" hidden="false" customHeight="false" outlineLevel="0" collapsed="false">
      <c r="A17" s="16" t="s">
        <v>59</v>
      </c>
    </row>
    <row r="18" customFormat="false" ht="15" hidden="false" customHeight="false" outlineLevel="0" collapsed="false">
      <c r="A18" s="16" t="s">
        <v>60</v>
      </c>
    </row>
    <row r="19" customFormat="false" ht="15" hidden="false" customHeight="false" outlineLevel="0" collapsed="false">
      <c r="A19" s="16" t="s">
        <v>61</v>
      </c>
    </row>
    <row r="21" customFormat="false" ht="15" hidden="false" customHeight="false" outlineLevel="0" collapsed="false">
      <c r="A21" s="16" t="s">
        <v>62</v>
      </c>
    </row>
    <row r="22" customFormat="false" ht="15" hidden="false" customHeight="false" outlineLevel="0" collapsed="false">
      <c r="A22" s="16" t="s">
        <v>63</v>
      </c>
    </row>
    <row r="24" customFormat="false" ht="15" hidden="false" customHeight="false" outlineLevel="0" collapsed="false">
      <c r="A24" s="17" t="s">
        <v>64</v>
      </c>
    </row>
    <row r="25" customFormat="false" ht="15" hidden="false" customHeight="false" outlineLevel="0" collapsed="false">
      <c r="A25" s="19" t="s">
        <v>65</v>
      </c>
      <c r="B25" s="19" t="s">
        <v>66</v>
      </c>
      <c r="C25" s="19" t="s">
        <v>67</v>
      </c>
    </row>
    <row r="26" customFormat="false" ht="15" hidden="false" customHeight="false" outlineLevel="0" collapsed="false">
      <c r="A26" s="19" t="s">
        <v>68</v>
      </c>
      <c r="B26" s="19" t="s">
        <v>69</v>
      </c>
      <c r="C26" s="19" t="s">
        <v>70</v>
      </c>
    </row>
    <row r="28" customFormat="false" ht="15" hidden="false" customHeight="false" outlineLevel="0" collapsed="false">
      <c r="A28" s="17" t="s">
        <v>71</v>
      </c>
    </row>
    <row r="29" customFormat="false" ht="27.75" hidden="false" customHeight="true" outlineLevel="0" collapsed="false">
      <c r="A29" s="22" t="s">
        <v>72</v>
      </c>
      <c r="B29" s="22" t="s">
        <v>73</v>
      </c>
      <c r="C29" s="22" t="s">
        <v>74</v>
      </c>
    </row>
    <row r="30" customFormat="false" ht="15" hidden="false" customHeight="false" outlineLevel="0" collapsed="false">
      <c r="A30" s="19" t="s">
        <v>75</v>
      </c>
      <c r="B30" s="21" t="s">
        <v>49</v>
      </c>
      <c r="C30" s="19" t="s">
        <v>76</v>
      </c>
    </row>
    <row r="31" customFormat="false" ht="15" hidden="false" customHeight="false" outlineLevel="0" collapsed="false">
      <c r="A31" s="19" t="s">
        <v>77</v>
      </c>
      <c r="B31" s="21" t="s">
        <v>55</v>
      </c>
      <c r="C31" s="19" t="s">
        <v>78</v>
      </c>
    </row>
    <row r="32" customFormat="false" ht="15" hidden="false" customHeight="false" outlineLevel="0" collapsed="false">
      <c r="A32" s="19" t="s">
        <v>79</v>
      </c>
      <c r="B32" s="21" t="s">
        <v>49</v>
      </c>
      <c r="C32" s="19" t="s">
        <v>80</v>
      </c>
    </row>
    <row r="33" customFormat="false" ht="15" hidden="false" customHeight="false" outlineLevel="0" collapsed="false">
      <c r="A33" s="19" t="s">
        <v>81</v>
      </c>
      <c r="B33" s="21" t="s">
        <v>49</v>
      </c>
      <c r="C33" s="19" t="s">
        <v>82</v>
      </c>
    </row>
    <row r="34" customFormat="false" ht="15" hidden="false" customHeight="false" outlineLevel="0" collapsed="false">
      <c r="A34" s="19" t="s">
        <v>83</v>
      </c>
      <c r="B34" s="21" t="s">
        <v>49</v>
      </c>
      <c r="C34" s="19" t="s">
        <v>84</v>
      </c>
    </row>
    <row r="35" customFormat="false" ht="15" hidden="false" customHeight="false" outlineLevel="0" collapsed="false">
      <c r="A35" s="19" t="s">
        <v>85</v>
      </c>
      <c r="B35" s="21" t="s">
        <v>55</v>
      </c>
      <c r="C35" s="19" t="s">
        <v>86</v>
      </c>
    </row>
    <row ht="27" customHeight="true" r="36" customFormat="false" hidden="false" outlineLevel="0" collapsed="false">
      <c s="37" r="A36" t="s">
        <v>87</v>
      </c>
      <c r="B36" s="21" t="s">
        <v>53</v>
      </c>
      <c r="C36" s="19" t="s">
        <v>88</v>
      </c>
    </row>
    <row r="38" customFormat="false" ht="15" hidden="false" customHeight="false" outlineLevel="0" collapsed="false">
      <c r="A38" s="17" t="s">
        <v>89</v>
      </c>
    </row>
    <row r="39" customFormat="false" ht="15" hidden="false" customHeight="false" outlineLevel="0" collapsed="false">
      <c r="A39" s="19" t="s">
        <v>90</v>
      </c>
    </row>
    <row r="40" customFormat="false" ht="15" hidden="false" customHeight="false" outlineLevel="0" collapsed="false">
      <c r="A40" s="19" t="s">
        <v>91</v>
      </c>
    </row>
    <row r="41" customFormat="false" ht="15" hidden="false" customHeight="false" outlineLevel="0" collapsed="false">
      <c r="A41" s="16" t="s">
        <v>92</v>
      </c>
    </row>
    <row r="43" customFormat="false" ht="15" hidden="false" customHeight="false" outlineLevel="0" collapsed="false">
      <c r="A43" s="17" t="s">
        <v>93</v>
      </c>
    </row>
    <row r="44" customFormat="false" ht="15" hidden="false" customHeight="false" outlineLevel="0" collapsed="false">
      <c r="A44" s="19" t="s">
        <v>94</v>
      </c>
    </row>
    <row r="46" customFormat="false" ht="15" hidden="false" customHeight="false" outlineLevel="0" collapsed="false">
      <c r="A46" s="17" t="s">
        <v>95</v>
      </c>
    </row>
    <row r="47" customFormat="false" ht="15" hidden="false" customHeight="false" outlineLevel="0" collapsed="false">
      <c r="A47" s="16" t="s">
        <v>96</v>
      </c>
    </row>
    <row r="48" customFormat="false" ht="15" hidden="false" customHeight="false" outlineLevel="0" collapsed="false">
      <c r="A48" s="16" t="s">
        <v>97</v>
      </c>
    </row>
    <row r="49" customFormat="false" ht="15" hidden="false" customHeight="false" outlineLevel="0" collapsed="false">
      <c r="A49" s="16" t="s">
        <v>98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13" min="3" style="0" width="13"/>
    <col collapsed="false" customWidth="true" hidden="false" outlineLevel="0" max="14" min="14" style="0" width="50"/>
  </cols>
  <sheetData>
    <row r="1" customFormat="false" ht="17.35" hidden="false" customHeight="false" outlineLevel="0" collapsed="false">
      <c r="A1" s="1" t="s">
        <v>99</v>
      </c>
    </row>
    <row r="2" customFormat="false" ht="15" hidden="false" customHeight="false" outlineLevel="0" collapsed="false">
      <c r="A2" s="15" t="s">
        <v>100</v>
      </c>
    </row>
    <row r="4" customFormat="false" ht="15" hidden="false" customHeight="false" outlineLevel="0" collapsed="false">
      <c r="A4" s="17" t="s">
        <v>101</v>
      </c>
    </row>
    <row r="5" customFormat="false" ht="15" hidden="false" customHeight="false" outlineLevel="0" collapsed="false">
      <c r="A5" s="19" t="s">
        <v>102</v>
      </c>
      <c r="B5" s="23" t="n">
        <v>480000</v>
      </c>
      <c r="N5" s="19" t="s">
        <v>103</v>
      </c>
    </row>
    <row r="6" customFormat="false" ht="15" hidden="false" customHeight="false" outlineLevel="0" collapsed="false">
      <c r="A6" s="19" t="s">
        <v>104</v>
      </c>
      <c r="B6" s="23" t="n">
        <v>260000</v>
      </c>
    </row>
    <row r="7" customFormat="false" ht="15" hidden="false" customHeight="false" outlineLevel="0" collapsed="false">
      <c r="A7" s="19" t="s">
        <v>105</v>
      </c>
      <c r="B7" s="23" t="n">
        <v>90000</v>
      </c>
    </row>
    <row r="8" customFormat="false" ht="15" hidden="false" customHeight="false" outlineLevel="0" collapsed="false">
      <c r="A8" s="21" t="s">
        <v>106</v>
      </c>
      <c r="B8" s="24" t="n">
        <f aca="false">B6-B7</f>
        <v>170000</v>
      </c>
      <c r="N8" s="19" t="s">
        <v>107</v>
      </c>
    </row>
    <row r="9" customFormat="false" ht="15" hidden="false" customHeight="false" outlineLevel="0" collapsed="false">
      <c r="A9" s="19" t="s">
        <v>108</v>
      </c>
      <c r="B9" s="25" t="n">
        <v>4</v>
      </c>
      <c r="N9" s="19" t="s">
        <v>109</v>
      </c>
    </row>
    <row r="10" customFormat="false" ht="15" hidden="false" customHeight="false" outlineLevel="0" collapsed="false">
      <c r="A10" s="19" t="s">
        <v>110</v>
      </c>
      <c r="B10" s="23" t="n">
        <v>0</v>
      </c>
    </row>
    <row r="11" customFormat="false" ht="15" hidden="false" customHeight="false" outlineLevel="0" collapsed="false">
      <c r="A11" s="19" t="s">
        <v>111</v>
      </c>
      <c r="B11" s="23" t="n">
        <v>0</v>
      </c>
      <c r="N11" s="19" t="s">
        <v>112</v>
      </c>
    </row>
    <row r="12" customFormat="false" ht="15" hidden="false" customHeight="false" outlineLevel="0" collapsed="false">
      <c r="A12" s="21" t="s">
        <v>113</v>
      </c>
      <c r="B12" s="26" t="n">
        <v>0.1</v>
      </c>
      <c r="N12" s="19" t="s">
        <v>114</v>
      </c>
    </row>
    <row r="13" customFormat="false" ht="15" hidden="false" customHeight="false" outlineLevel="0" collapsed="false">
      <c r="A13" s="19" t="s">
        <v>115</v>
      </c>
      <c r="B13" s="25" t="n">
        <v>3</v>
      </c>
    </row>
    <row r="15" customFormat="false" ht="15" hidden="false" customHeight="false" outlineLevel="0" collapsed="false">
      <c r="A15" s="17" t="s">
        <v>116</v>
      </c>
    </row>
    <row r="16" customFormat="false" ht="27.75" hidden="false" customHeight="true" outlineLevel="0" collapsed="false">
      <c r="A16" s="22" t="s">
        <v>117</v>
      </c>
      <c r="B16" s="22"/>
      <c r="C16" s="22" t="s">
        <v>118</v>
      </c>
      <c r="D16" s="22" t="s">
        <v>119</v>
      </c>
      <c r="E16" s="22" t="s">
        <v>120</v>
      </c>
      <c r="F16" s="22" t="s">
        <v>121</v>
      </c>
      <c r="G16" s="22" t="s">
        <v>122</v>
      </c>
      <c r="H16" s="22" t="s">
        <v>123</v>
      </c>
      <c r="I16" s="22" t="s">
        <v>124</v>
      </c>
      <c r="J16" s="22" t="s">
        <v>125</v>
      </c>
      <c r="K16" s="22" t="s">
        <v>126</v>
      </c>
      <c r="L16" s="22" t="s">
        <v>127</v>
      </c>
      <c r="M16" s="22" t="s">
        <v>128</v>
      </c>
      <c r="N16" s="22" t="s">
        <v>129</v>
      </c>
    </row>
    <row r="17" customFormat="false" ht="15" hidden="false" customHeight="false" outlineLevel="0" collapsed="false">
      <c r="A17" s="19" t="s">
        <v>130</v>
      </c>
      <c r="C17" s="27" t="n">
        <f aca="false">0</f>
        <v>0</v>
      </c>
      <c r="D17" s="27" t="n">
        <f aca="false">1</f>
        <v>1</v>
      </c>
      <c r="E17" s="27" t="n">
        <f aca="false">2</f>
        <v>2</v>
      </c>
      <c r="F17" s="27" t="n">
        <f aca="false">3</f>
        <v>3</v>
      </c>
      <c r="G17" s="27" t="n">
        <f aca="false">4</f>
        <v>4</v>
      </c>
      <c r="H17" s="27" t="n">
        <f aca="false">5</f>
        <v>5</v>
      </c>
      <c r="I17" s="27" t="n">
        <f aca="false">6</f>
        <v>6</v>
      </c>
      <c r="J17" s="27" t="n">
        <f aca="false">7</f>
        <v>7</v>
      </c>
      <c r="K17" s="27" t="n">
        <f aca="false">8</f>
        <v>8</v>
      </c>
      <c r="L17" s="27" t="n">
        <f aca="false">9</f>
        <v>9</v>
      </c>
      <c r="M17" s="27" t="n">
        <f aca="false">10</f>
        <v>10</v>
      </c>
    </row>
    <row r="18" customFormat="false" ht="15" hidden="false" customHeight="false" outlineLevel="0" collapsed="false">
      <c r="A18" s="19" t="s">
        <v>131</v>
      </c>
      <c r="C18" s="28" t="n">
        <f aca="false">-($B$5+$B$11)</f>
        <v>-480000</v>
      </c>
      <c r="D18" s="28" t="n">
        <f aca="false">0</f>
        <v>0</v>
      </c>
      <c r="E18" s="28" t="n">
        <f aca="false">0</f>
        <v>0</v>
      </c>
      <c r="F18" s="28" t="n">
        <f aca="false">0</f>
        <v>0</v>
      </c>
      <c r="G18" s="28" t="n">
        <f aca="false">0</f>
        <v>0</v>
      </c>
      <c r="H18" s="28" t="n">
        <f aca="false">0</f>
        <v>0</v>
      </c>
      <c r="I18" s="28" t="n">
        <f aca="false">0</f>
        <v>0</v>
      </c>
      <c r="J18" s="28" t="n">
        <f aca="false">0</f>
        <v>0</v>
      </c>
      <c r="K18" s="28" t="n">
        <f aca="false">0</f>
        <v>0</v>
      </c>
      <c r="L18" s="28" t="n">
        <f aca="false">0</f>
        <v>0</v>
      </c>
      <c r="M18" s="28" t="n">
        <f aca="false">0</f>
        <v>0</v>
      </c>
    </row>
    <row r="19" customFormat="false" ht="15" hidden="false" customHeight="false" outlineLevel="0" collapsed="false">
      <c r="A19" s="19" t="s">
        <v>132</v>
      </c>
      <c r="C19" s="28" t="n">
        <f aca="false">0</f>
        <v>0</v>
      </c>
      <c r="D19" s="28" t="n">
        <f aca="false">IF(D17&lt;=$B$9,$B$8,0)</f>
        <v>170000</v>
      </c>
      <c r="E19" s="28" t="n">
        <f aca="false">IF(E17&lt;=$B$9,$B$8,0)</f>
        <v>170000</v>
      </c>
      <c r="F19" s="28" t="n">
        <f aca="false">IF(F17&lt;=$B$9,$B$8,0)</f>
        <v>170000</v>
      </c>
      <c r="G19" s="28" t="n">
        <f aca="false">IF(G17&lt;=$B$9,$B$8,0)</f>
        <v>170000</v>
      </c>
      <c r="H19" s="28" t="n">
        <f aca="false">IF(H17&lt;=$B$9,$B$8,0)</f>
        <v>0</v>
      </c>
      <c r="I19" s="28" t="n">
        <f aca="false">IF(I17&lt;=$B$9,$B$8,0)</f>
        <v>0</v>
      </c>
      <c r="J19" s="28" t="n">
        <f aca="false">IF(J17&lt;=$B$9,$B$8,0)</f>
        <v>0</v>
      </c>
      <c r="K19" s="28" t="n">
        <f aca="false">IF(K17&lt;=$B$9,$B$8,0)</f>
        <v>0</v>
      </c>
      <c r="L19" s="28" t="n">
        <f aca="false">IF(L17&lt;=$B$9,$B$8,0)</f>
        <v>0</v>
      </c>
      <c r="M19" s="28" t="n">
        <f aca="false">IF(M17&lt;=$B$9,$B$8,0)</f>
        <v>0</v>
      </c>
    </row>
    <row r="20" customFormat="false" ht="15" hidden="false" customHeight="false" outlineLevel="0" collapsed="false">
      <c r="A20" s="19" t="s">
        <v>133</v>
      </c>
      <c r="C20" s="28" t="n">
        <f aca="false">0</f>
        <v>0</v>
      </c>
      <c r="D20" s="28" t="n">
        <f aca="false">IF(D17=$B$9,$B$10+$B$11,0)</f>
        <v>0</v>
      </c>
      <c r="E20" s="28" t="n">
        <f aca="false">IF(E17=$B$9,$B$10+$B$11,0)</f>
        <v>0</v>
      </c>
      <c r="F20" s="28" t="n">
        <f aca="false">IF(F17=$B$9,$B$10+$B$11,0)</f>
        <v>0</v>
      </c>
      <c r="G20" s="28" t="n">
        <f aca="false">IF(G17=$B$9,$B$10+$B$11,0)</f>
        <v>0</v>
      </c>
      <c r="H20" s="28" t="n">
        <f aca="false">IF(H17=$B$9,$B$10+$B$11,0)</f>
        <v>0</v>
      </c>
      <c r="I20" s="28" t="n">
        <f aca="false">IF(I17=$B$9,$B$10+$B$11,0)</f>
        <v>0</v>
      </c>
      <c r="J20" s="28" t="n">
        <f aca="false">IF(J17=$B$9,$B$10+$B$11,0)</f>
        <v>0</v>
      </c>
      <c r="K20" s="28" t="n">
        <f aca="false">IF(K17=$B$9,$B$10+$B$11,0)</f>
        <v>0</v>
      </c>
      <c r="L20" s="28" t="n">
        <f aca="false">IF(L17=$B$9,$B$10+$B$11,0)</f>
        <v>0</v>
      </c>
      <c r="M20" s="28" t="n">
        <f aca="false">IF(M17=$B$9,$B$10+$B$11,0)</f>
        <v>0</v>
      </c>
    </row>
    <row r="21" customFormat="false" ht="15" hidden="false" customHeight="false" outlineLevel="0" collapsed="false">
      <c r="A21" s="21" t="s">
        <v>134</v>
      </c>
      <c r="C21" s="24" t="n">
        <f aca="false">SUM(C18:C20)</f>
        <v>-480000</v>
      </c>
      <c r="D21" s="24" t="n">
        <f aca="false">SUM(D18:D20)</f>
        <v>170000</v>
      </c>
      <c r="E21" s="24" t="n">
        <f aca="false">SUM(E18:E20)</f>
        <v>170000</v>
      </c>
      <c r="F21" s="24" t="n">
        <f aca="false">SUM(F18:F20)</f>
        <v>170000</v>
      </c>
      <c r="G21" s="24" t="n">
        <f aca="false">SUM(G18:G20)</f>
        <v>170000</v>
      </c>
      <c r="H21" s="24" t="n">
        <f aca="false">SUM(H18:H20)</f>
        <v>0</v>
      </c>
      <c r="I21" s="24" t="n">
        <f aca="false">SUM(I18:I20)</f>
        <v>0</v>
      </c>
      <c r="J21" s="24" t="n">
        <f aca="false">SUM(J18:J20)</f>
        <v>0</v>
      </c>
      <c r="K21" s="24" t="n">
        <f aca="false">SUM(K18:K20)</f>
        <v>0</v>
      </c>
      <c r="L21" s="24" t="n">
        <f aca="false">SUM(L18:L20)</f>
        <v>0</v>
      </c>
      <c r="M21" s="24" t="n">
        <f aca="false">SUM(M18:M20)</f>
        <v>0</v>
      </c>
    </row>
    <row r="22" customFormat="false" ht="15" hidden="false" customHeight="false" outlineLevel="0" collapsed="false">
      <c r="A22" s="19" t="s">
        <v>135</v>
      </c>
      <c r="C22" s="28" t="n">
        <f aca="false">C21</f>
        <v>-480000</v>
      </c>
      <c r="D22" s="28" t="n">
        <f aca="false">C22+D21</f>
        <v>-310000</v>
      </c>
      <c r="E22" s="28" t="n">
        <f aca="false">D22+E21</f>
        <v>-140000</v>
      </c>
      <c r="F22" s="28" t="n">
        <f aca="false">E22+F21</f>
        <v>30000</v>
      </c>
      <c r="G22" s="28" t="n">
        <f aca="false">F22+G21</f>
        <v>200000</v>
      </c>
      <c r="H22" s="28" t="n">
        <f aca="false">G22+H21</f>
        <v>200000</v>
      </c>
      <c r="I22" s="28" t="n">
        <f aca="false">H22+I21</f>
        <v>200000</v>
      </c>
      <c r="J22" s="28" t="n">
        <f aca="false">I22+J21</f>
        <v>200000</v>
      </c>
      <c r="K22" s="28" t="n">
        <f aca="false">J22+K21</f>
        <v>200000</v>
      </c>
      <c r="L22" s="28" t="n">
        <f aca="false">K22+L21</f>
        <v>200000</v>
      </c>
      <c r="M22" s="28" t="n">
        <f aca="false">L22+M21</f>
        <v>200000</v>
      </c>
      <c r="N22" s="19" t="s">
        <v>136</v>
      </c>
    </row>
    <row r="23" customFormat="false" ht="15" hidden="false" customHeight="false" outlineLevel="0" collapsed="false">
      <c r="A23" s="19" t="s">
        <v>137</v>
      </c>
      <c r="C23" s="29" t="n">
        <f aca="false">1/(1+$B$12)^C17</f>
        <v>1</v>
      </c>
      <c r="D23" s="29" t="n">
        <f aca="false">1/(1+$B$12)^D17</f>
        <v>0.909090909090909</v>
      </c>
      <c r="E23" s="29" t="n">
        <f aca="false">1/(1+$B$12)^E17</f>
        <v>0.826446280991735</v>
      </c>
      <c r="F23" s="29" t="n">
        <f aca="false">1/(1+$B$12)^F17</f>
        <v>0.751314800901578</v>
      </c>
      <c r="G23" s="29" t="n">
        <f aca="false">1/(1+$B$12)^G17</f>
        <v>0.683013455365071</v>
      </c>
      <c r="H23" s="29" t="n">
        <f aca="false">1/(1+$B$12)^H17</f>
        <v>0.620921323059155</v>
      </c>
      <c r="I23" s="29" t="n">
        <f aca="false">1/(1+$B$12)^I17</f>
        <v>0.564473930053777</v>
      </c>
      <c r="J23" s="29" t="n">
        <f aca="false">1/(1+$B$12)^J17</f>
        <v>0.513158118230707</v>
      </c>
      <c r="K23" s="29" t="n">
        <f aca="false">1/(1+$B$12)^K17</f>
        <v>0.466507380209733</v>
      </c>
      <c r="L23" s="29" t="n">
        <f aca="false">1/(1+$B$12)^L17</f>
        <v>0.424097618372485</v>
      </c>
      <c r="M23" s="29" t="n">
        <f aca="false">1/(1+$B$12)^M17</f>
        <v>0.385543289429531</v>
      </c>
      <c r="N23" s="19" t="s">
        <v>138</v>
      </c>
    </row>
    <row r="24" customFormat="false" ht="15" hidden="false" customHeight="false" outlineLevel="0" collapsed="false">
      <c r="A24" s="19" t="s">
        <v>139</v>
      </c>
      <c r="C24" s="28" t="n">
        <f aca="false">C21*C23</f>
        <v>-480000</v>
      </c>
      <c r="D24" s="28" t="n">
        <f aca="false">D21*D23</f>
        <v>154545.454545455</v>
      </c>
      <c r="E24" s="28" t="n">
        <f aca="false">E21*E23</f>
        <v>140495.867768595</v>
      </c>
      <c r="F24" s="28" t="n">
        <f aca="false">F21*F23</f>
        <v>127723.516153268</v>
      </c>
      <c r="G24" s="28" t="n">
        <f aca="false">G21*G23</f>
        <v>116112.287412062</v>
      </c>
      <c r="H24" s="28" t="n">
        <f aca="false">H21*H23</f>
        <v>0</v>
      </c>
      <c r="I24" s="28" t="n">
        <f aca="false">I21*I23</f>
        <v>0</v>
      </c>
      <c r="J24" s="28" t="n">
        <f aca="false">J21*J23</f>
        <v>0</v>
      </c>
      <c r="K24" s="28" t="n">
        <f aca="false">K21*K23</f>
        <v>0</v>
      </c>
      <c r="L24" s="28" t="n">
        <f aca="false">L21*L23</f>
        <v>0</v>
      </c>
      <c r="M24" s="28" t="n">
        <f aca="false">M21*M23</f>
        <v>0</v>
      </c>
    </row>
    <row r="25" customFormat="false" ht="15" hidden="false" customHeight="false" outlineLevel="0" collapsed="false">
      <c r="A25" s="19" t="s">
        <v>140</v>
      </c>
      <c r="C25" s="28" t="n">
        <f aca="false">C24</f>
        <v>-480000</v>
      </c>
      <c r="D25" s="28" t="n">
        <f aca="false">C25+D24</f>
        <v>-325454.545454545</v>
      </c>
      <c r="E25" s="28" t="n">
        <f aca="false">D25+E24</f>
        <v>-184958.67768595</v>
      </c>
      <c r="F25" s="28" t="n">
        <f aca="false">E25+F24</f>
        <v>-57235.1615326823</v>
      </c>
      <c r="G25" s="28" t="n">
        <f aca="false">F25+G24</f>
        <v>58877.1258793797</v>
      </c>
      <c r="H25" s="28" t="n">
        <f aca="false">G25+H24</f>
        <v>58877.1258793797</v>
      </c>
      <c r="I25" s="28" t="n">
        <f aca="false">H25+I24</f>
        <v>58877.1258793797</v>
      </c>
      <c r="J25" s="28" t="n">
        <f aca="false">I25+J24</f>
        <v>58877.1258793797</v>
      </c>
      <c r="K25" s="28" t="n">
        <f aca="false">J25+K24</f>
        <v>58877.1258793797</v>
      </c>
      <c r="L25" s="28" t="n">
        <f aca="false">K25+L24</f>
        <v>58877.1258793797</v>
      </c>
      <c r="M25" s="28" t="n">
        <f aca="false">L25+M24</f>
        <v>58877.1258793797</v>
      </c>
    </row>
    <row r="27" customFormat="false" ht="15" hidden="false" customHeight="false" outlineLevel="0" collapsed="false">
      <c r="A27" s="17" t="s">
        <v>141</v>
      </c>
    </row>
    <row r="28" customFormat="false" ht="15" hidden="false" customHeight="false" outlineLevel="0" collapsed="false">
      <c r="A28" s="19" t="s">
        <v>142</v>
      </c>
      <c r="B28" s="28" t="n">
        <f aca="false">SUM(C21:M21)</f>
        <v>200000</v>
      </c>
      <c r="N28" s="19" t="s">
        <v>143</v>
      </c>
    </row>
    <row r="29" customFormat="false" ht="15" hidden="false" customHeight="false" outlineLevel="0" collapsed="false">
      <c r="A29" s="21" t="s">
        <v>144</v>
      </c>
      <c r="B29" s="24" t="n">
        <f aca="false">SUM(C24:M24)</f>
        <v>58877.1258793797</v>
      </c>
    </row>
    <row r="30" customFormat="false" ht="15" hidden="false" customHeight="false" outlineLevel="0" collapsed="false">
      <c r="A30" s="19" t="s">
        <v>145</v>
      </c>
      <c r="B30" s="28" t="n">
        <f aca="false">C21+NPV(B12,D21:M21)</f>
        <v>58877.1258793797</v>
      </c>
      <c r="N30" s="19" t="s">
        <v>146</v>
      </c>
    </row>
    <row r="31" customFormat="false" ht="15" hidden="false" customHeight="false" outlineLevel="0" collapsed="false">
      <c r="A31" s="21" t="s">
        <v>147</v>
      </c>
      <c r="B31" s="30" t="n">
        <f aca="false">(B5+B11)/B8</f>
        <v>2.82352941176471</v>
      </c>
    </row>
    <row r="32" customFormat="false" ht="15" hidden="false" customHeight="false" outlineLevel="0" collapsed="false">
      <c r="A32" s="21" t="s">
        <v>148</v>
      </c>
      <c r="B32" s="31" t="n">
        <f aca="false">IRR(C21:M21)</f>
        <v>0.155495781374152</v>
      </c>
      <c r="N32" s="19" t="s">
        <v>149</v>
      </c>
    </row>
    <row r="33" customFormat="false" ht="15" hidden="false" customHeight="false" outlineLevel="0" collapsed="false">
      <c r="A33" s="19" t="s">
        <v>150</v>
      </c>
      <c r="N33" s="32" t="str">
        <f aca="false">IF(B29&gt;0,"Lønnsom — nåverdien er positiv, altså gir investeringen mer enn kravet","Ulønnsom — nåverdien er negativ, altså gir investeringen mindre enn kravet")</f>
        <v>Lønnsom — nåverdien er positiv, altså gir investeringen mer enn kravet</v>
      </c>
    </row>
    <row r="34" customFormat="false" ht="15" hidden="false" customHeight="false" outlineLevel="0" collapsed="false">
      <c r="A34" s="19" t="s">
        <v>151</v>
      </c>
      <c r="N34" s="32" t="str">
        <f aca="false">IF(B31&lt;=B13,"Passerer kravet","Stryker på kravet")</f>
        <v>Passerer kravet</v>
      </c>
    </row>
    <row r="35" customFormat="false" ht="15" hidden="false" customHeight="false" outlineLevel="0" collapsed="false">
      <c r="A35" s="19" t="s">
        <v>152</v>
      </c>
      <c r="N35" s="32" t="str">
        <f aca="false">IF((B29&gt;0)=(B31&lt;=B13),"Ja — begge metodene peker samme vei","Nei — metodene gir motsatt svar. Da må du velge, og begrunne valget")</f>
        <v>Ja — begge metodene peker samme vei</v>
      </c>
    </row>
    <row r="37" customFormat="false" ht="15" hidden="false" customHeight="false" outlineLevel="0" collapsed="false">
      <c r="A37" s="17" t="s">
        <v>153</v>
      </c>
    </row>
    <row r="38" customFormat="false" ht="15" hidden="false" customHeight="false" outlineLevel="0" collapsed="false">
      <c r="A38" s="19" t="s">
        <v>154</v>
      </c>
      <c r="B38" s="33" t="str">
        <f aca="false">IF(ABS(B29-B30)&lt;1,"OK — den håndregnede nåverdien stemmer med NPV-funksjonen","AVVIK: de to måtene å regne nåverdi på gir ulikt svar")</f>
        <v>OK — den håndregnede nåverdien stemmer med NPV-funksjonen</v>
      </c>
    </row>
    <row r="39" customFormat="false" ht="15" hidden="false" customHeight="false" outlineLevel="0" collapsed="false">
      <c r="A39" s="19" t="s">
        <v>155</v>
      </c>
      <c r="B39" s="33" t="str">
        <f aca="false">IF(OR(AND(B32&gt;B12,B29&gt;0),AND(B32&lt;B12,B29&lt;0),ABS(B29)&lt;1),"OK — positiv nåverdi og internrente over kravet hører sammen","AVVIK: internrenten og nåverdien peker hver sin vei — det er umulig")</f>
        <v>OK — positiv nåverdi og internrente over kravet hører sammen</v>
      </c>
    </row>
    <row r="40" customFormat="false" ht="15" hidden="false" customHeight="false" outlineLevel="0" collapsed="false">
      <c r="A40" s="19" t="s">
        <v>156</v>
      </c>
      <c r="B40" s="33" t="str">
        <f aca="false">IF(AND($B$9&gt;=1,$B$9&lt;=10),"OK — levetiden får plass i tabellen","AVVIK: arket har plass til høyst 10 år. Lengre levetid regner du med annuitetsformelen, slik arket Kabling gjør")</f>
        <v>OK — levetiden får plass i tabellen</v>
      </c>
    </row>
    <row ht="27" customHeight="true" r="41" customFormat="false" hidden="false" outlineLevel="0" collapsed="false">
      <c s="37" r="A41" t="s">
        <v>157</v>
      </c>
      <c r="B41" s="33" t="str">
        <f aca="false">IF(OR($B$11=0,ABS(SUMIF($C$17:$M$17,$B$9,$C$20:$M$20)-($B$10+$B$11))&lt;1),"OK — kapitalbindingen står med minus i år 0 og pluss i siste år","AVVIK: kapitalbindingen kommer ikke tilbake i siste år")</f>
        <v>OK — kapitalbindingen står med minus i år 0 og pluss i siste år</v>
      </c>
    </row>
    <row r="43" customFormat="false" ht="15" hidden="false" customHeight="false" outlineLevel="0" collapsed="false">
      <c r="A43" s="17" t="s">
        <v>158</v>
      </c>
    </row>
    <row r="44" customFormat="false" ht="15" hidden="false" customHeight="false" outlineLevel="0" collapsed="false">
      <c r="A44" s="19" t="s">
        <v>159</v>
      </c>
      <c r="B44" s="19" t="s">
        <v>160</v>
      </c>
      <c r="N44" s="19" t="s">
        <v>161</v>
      </c>
    </row>
    <row r="45" customFormat="false" ht="15" hidden="false" customHeight="false" outlineLevel="0" collapsed="false">
      <c r="A45" s="19" t="s">
        <v>162</v>
      </c>
      <c r="B45" s="19" t="s">
        <v>163</v>
      </c>
      <c r="N45" s="19" t="s">
        <v>164</v>
      </c>
    </row>
    <row r="46" customFormat="false" ht="15" hidden="false" customHeight="false" outlineLevel="0" collapsed="false">
      <c r="A46" s="19" t="s">
        <v>165</v>
      </c>
      <c r="B46" s="19" t="s">
        <v>166</v>
      </c>
      <c r="N46" s="19" t="s">
        <v>167</v>
      </c>
    </row>
    <row r="48" customFormat="false" ht="15" hidden="false" customHeight="false" outlineLevel="0" collapsed="false">
      <c r="A48" s="21" t="s">
        <v>168</v>
      </c>
    </row>
    <row r="49" customFormat="false" ht="15" hidden="false" customHeight="false" outlineLevel="0" collapsed="false">
      <c r="A49" s="16" t="s">
        <v>169</v>
      </c>
    </row>
  </sheetData>
  <conditionalFormatting sqref="B38">
    <cfRule type="expression" priority="2" aboveAverage="0" equalAverage="0" bottom="0" percent="0" rank="0" text="" dxfId="0">
      <formula>LEFT(B38,5)="AVVIK"</formula>
    </cfRule>
  </conditionalFormatting>
  <conditionalFormatting sqref="B39">
    <cfRule type="expression" priority="3" aboveAverage="0" equalAverage="0" bottom="0" percent="0" rank="0" text="" dxfId="0">
      <formula>LEFT(B39,5)="AVVIK"</formula>
    </cfRule>
  </conditionalFormatting>
  <conditionalFormatting sqref="B40">
    <cfRule type="expression" priority="4" aboveAverage="0" equalAverage="0" bottom="0" percent="0" rank="0" text="" dxfId="0">
      <formula>LEFT(B40,5)="AVVIK"</formula>
    </cfRule>
  </conditionalFormatting>
  <conditionalFormatting sqref="B41">
    <cfRule type="expression" priority="5" aboveAverage="0" equalAverage="0" bottom="0" percent="0" rank="0" text="" dxfId="0">
      <formula>LEFT(B41,5)="AVVIK"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20"/>
    <col collapsed="false" customWidth="true" hidden="false" outlineLevel="0" max="4" min="4" style="0" width="16"/>
    <col collapsed="false" customWidth="true" hidden="false" outlineLevel="0" max="5" min="5" style="0" width="54"/>
  </cols>
  <sheetData>
    <row r="1" customFormat="false" ht="17.35" hidden="false" customHeight="false" outlineLevel="0" collapsed="false">
      <c r="A1" s="1" t="s">
        <v>170</v>
      </c>
    </row>
    <row r="2" customFormat="false" ht="15" hidden="false" customHeight="false" outlineLevel="0" collapsed="false">
      <c r="A2" s="15" t="s">
        <v>171</v>
      </c>
    </row>
    <row r="4" customFormat="false" ht="15" hidden="false" customHeight="false" outlineLevel="0" collapsed="false">
      <c r="A4" s="17" t="s">
        <v>172</v>
      </c>
    </row>
    <row r="5" customFormat="false" ht="15" hidden="false" customHeight="false" outlineLevel="0" collapsed="false">
      <c r="A5" s="19" t="s">
        <v>173</v>
      </c>
      <c r="B5" s="31" t="n">
        <f aca="false">Investering!B12</f>
        <v>0.1</v>
      </c>
    </row>
    <row r="6" customFormat="false" ht="15" hidden="false" customHeight="false" outlineLevel="0" collapsed="false">
      <c r="A6" s="19" t="s">
        <v>174</v>
      </c>
      <c r="B6" s="31" t="n">
        <f aca="false">Investering!B32</f>
        <v>0.155495781374152</v>
      </c>
      <c r="E6" s="19" t="s">
        <v>175</v>
      </c>
    </row>
    <row r="8" customFormat="false" ht="27.75" hidden="false" customHeight="true" outlineLevel="0" collapsed="false">
      <c r="A8" s="22" t="s">
        <v>113</v>
      </c>
      <c r="B8" s="22" t="s">
        <v>176</v>
      </c>
      <c r="C8" s="22" t="s">
        <v>177</v>
      </c>
      <c r="D8" s="22" t="s">
        <v>178</v>
      </c>
      <c r="E8" s="22" t="s">
        <v>179</v>
      </c>
    </row>
    <row r="9" customFormat="false" ht="15" hidden="false" customHeight="false" outlineLevel="0" collapsed="false">
      <c r="A9" s="26" t="n">
        <v>0.06</v>
      </c>
      <c r="B9" s="28" t="n">
        <f aca="false">Investering!$C$21+NPV(A9,Investering!$D$21:$M$21)</f>
        <v>109067.954158942</v>
      </c>
      <c r="D9" s="20" t="str">
        <f aca="false">IF(B9&gt;0,"Lønnsom","Ulønnsom")</f>
        <v>Lønnsom</v>
      </c>
      <c r="E9" s="19" t="s">
        <v>180</v>
      </c>
    </row>
    <row r="10" customFormat="false" ht="15" hidden="false" customHeight="false" outlineLevel="0" collapsed="false">
      <c r="A10" s="26" t="n">
        <v>0.07</v>
      </c>
      <c r="B10" s="28" t="n">
        <f aca="false">Investering!$C$21+NPV(A10,Investering!$D$21:$M$21)</f>
        <v>95825.9135988673</v>
      </c>
      <c r="C10" s="28" t="n">
        <f aca="false">B10-B9</f>
        <v>-13242.0405600743</v>
      </c>
      <c r="D10" s="20" t="str">
        <f aca="false">IF(B10&gt;0,"Lønnsom","Ulønnsom")</f>
        <v>Lønnsom</v>
      </c>
      <c r="E10" s="19"/>
    </row>
    <row r="11" customFormat="false" ht="15" hidden="false" customHeight="false" outlineLevel="0" collapsed="false">
      <c r="A11" s="26" t="n">
        <v>0.08</v>
      </c>
      <c r="B11" s="28" t="n">
        <f aca="false">Investering!$C$21+NPV(A11,Investering!$D$21:$M$21)</f>
        <v>83061.5628075365</v>
      </c>
      <c r="C11" s="28" t="n">
        <f aca="false">B11-B10</f>
        <v>-12764.3507913308</v>
      </c>
      <c r="D11" s="20" t="str">
        <f aca="false">IF(B11&gt;0,"Lønnsom","Ulønnsom")</f>
        <v>Lønnsom</v>
      </c>
      <c r="E11" s="19"/>
    </row>
    <row r="12" customFormat="false" ht="15" hidden="false" customHeight="false" outlineLevel="0" collapsed="false">
      <c r="A12" s="26" t="n">
        <v>0.09</v>
      </c>
      <c r="B12" s="28" t="n">
        <f aca="false">Investering!$C$21+NPV(A12,Investering!$D$21:$M$21)</f>
        <v>70752.379099073</v>
      </c>
      <c r="C12" s="28" t="n">
        <f aca="false">B12-B11</f>
        <v>-12309.1837084634</v>
      </c>
      <c r="D12" s="20" t="str">
        <f aca="false">IF(B12&gt;0,"Lønnsom","Ulønnsom")</f>
        <v>Lønnsom</v>
      </c>
      <c r="E12" s="19"/>
    </row>
    <row r="13" customFormat="false" ht="15" hidden="false" customHeight="false" outlineLevel="0" collapsed="false">
      <c r="A13" s="26" t="n">
        <v>0.1</v>
      </c>
      <c r="B13" s="24" t="n">
        <f aca="false">Investering!$C$21+NPV(A13,Investering!$D$21:$M$21)</f>
        <v>58877.1258793797</v>
      </c>
      <c r="C13" s="28" t="n">
        <f aca="false">B13-B12</f>
        <v>-11875.2532196933</v>
      </c>
      <c r="D13" s="20" t="str">
        <f aca="false">IF(B13&gt;0,"Lønnsom","Ulønnsom")</f>
        <v>Lønnsom</v>
      </c>
      <c r="E13" s="19" t="s">
        <v>181</v>
      </c>
    </row>
    <row r="14" customFormat="false" ht="15" hidden="false" customHeight="false" outlineLevel="0" collapsed="false">
      <c r="A14" s="26" t="n">
        <v>0.11</v>
      </c>
      <c r="B14" s="28" t="n">
        <f aca="false">Investering!$C$21+NPV(A14,Investering!$D$21:$M$21)</f>
        <v>47415.767230454</v>
      </c>
      <c r="C14" s="28" t="n">
        <f aca="false">B14-B13</f>
        <v>-11461.3586489257</v>
      </c>
      <c r="D14" s="20" t="str">
        <f aca="false">IF(B14&gt;0,"Lønnsom","Ulønnsom")</f>
        <v>Lønnsom</v>
      </c>
      <c r="E14" s="19"/>
    </row>
    <row r="15" customFormat="false" ht="15" hidden="false" customHeight="false" outlineLevel="0" collapsed="false">
      <c r="A15" s="26" t="n">
        <v>0.12</v>
      </c>
      <c r="B15" s="28" t="n">
        <f aca="false">Investering!$C$21+NPV(A15,Investering!$D$21:$M$21)</f>
        <v>36349.3889264889</v>
      </c>
      <c r="C15" s="28" t="n">
        <f aca="false">B15-B14</f>
        <v>-11066.3783039651</v>
      </c>
      <c r="D15" s="20" t="str">
        <f aca="false">IF(B15&gt;0,"Lønnsom","Ulønnsom")</f>
        <v>Lønnsom</v>
      </c>
      <c r="E15" s="19"/>
    </row>
    <row r="16" customFormat="false" ht="15" hidden="false" customHeight="false" outlineLevel="0" collapsed="false">
      <c r="A16" s="26" t="n">
        <v>0.13</v>
      </c>
      <c r="B16" s="28" t="n">
        <f aca="false">Investering!$C$21+NPV(A16,Investering!$D$21:$M$21)</f>
        <v>25660.1253423538</v>
      </c>
      <c r="C16" s="28" t="n">
        <f aca="false">B16-B15</f>
        <v>-10689.263584135</v>
      </c>
      <c r="D16" s="20" t="str">
        <f aca="false">IF(B16&gt;0,"Lønnsom","Ulønnsom")</f>
        <v>Lønnsom</v>
      </c>
      <c r="E16" s="19"/>
    </row>
    <row r="17" customFormat="false" ht="15" hidden="false" customHeight="false" outlineLevel="0" collapsed="false">
      <c r="A17" s="26" t="n">
        <v>0.14</v>
      </c>
      <c r="B17" s="28" t="n">
        <f aca="false">Investering!$C$21+NPV(A17,Investering!$D$21:$M$21)</f>
        <v>15331.0917647695</v>
      </c>
      <c r="C17" s="28" t="n">
        <f aca="false">B17-B16</f>
        <v>-10329.0335775843</v>
      </c>
      <c r="D17" s="20" t="str">
        <f aca="false">IF(B17&gt;0,"Lønnsom","Ulønnsom")</f>
        <v>Lønnsom</v>
      </c>
      <c r="E17" s="19"/>
    </row>
    <row r="18" customFormat="false" ht="15" hidden="false" customHeight="false" outlineLevel="0" collapsed="false">
      <c r="A18" s="26" t="n">
        <v>0.15</v>
      </c>
      <c r="B18" s="28" t="n">
        <f aca="false">Investering!$C$21+NPV(A18,Investering!$D$21:$M$21)</f>
        <v>5346.32166122913</v>
      </c>
      <c r="C18" s="28" t="n">
        <f aca="false">B18-B17</f>
        <v>-9984.77010354039</v>
      </c>
      <c r="D18" s="20" t="str">
        <f aca="false">IF(B18&gt;0,"Lønnsom","Ulønnsom")</f>
        <v>Lønnsom</v>
      </c>
      <c r="E18" s="19" t="s">
        <v>182</v>
      </c>
    </row>
    <row r="19" customFormat="false" ht="15" hidden="false" customHeight="false" outlineLevel="0" collapsed="false">
      <c r="A19" s="26" t="n">
        <v>0.16</v>
      </c>
      <c r="B19" s="28" t="n">
        <f aca="false">Investering!$C$21+NPV(A19,Investering!$D$21:$M$21)</f>
        <v>-4309.29149800423</v>
      </c>
      <c r="C19" s="28" t="n">
        <f aca="false">B19-B18</f>
        <v>-9655.61315923336</v>
      </c>
      <c r="D19" s="20" t="str">
        <f aca="false">IF(B19&gt;0,"Lønnsom","Ulønnsom")</f>
        <v>Ulønnsom</v>
      </c>
      <c r="E19" s="19" t="s">
        <v>183</v>
      </c>
    </row>
    <row r="20" customFormat="false" ht="15" hidden="false" customHeight="false" outlineLevel="0" collapsed="false">
      <c r="A20" s="26" t="n">
        <v>0.17</v>
      </c>
      <c r="B20" s="28" t="n">
        <f aca="false">Investering!$C$21+NPV(A20,Investering!$D$21:$M$21)</f>
        <v>-13650.0482331591</v>
      </c>
      <c r="C20" s="28" t="n">
        <f aca="false">B20-B19</f>
        <v>-9340.75673515484</v>
      </c>
      <c r="D20" s="20" t="str">
        <f aca="false">IF(B20&gt;0,"Lønnsom","Ulønnsom")</f>
        <v>Ulønnsom</v>
      </c>
      <c r="E20" s="19"/>
    </row>
    <row r="21" customFormat="false" ht="15" hidden="false" customHeight="false" outlineLevel="0" collapsed="false">
      <c r="A21" s="26" t="n">
        <v>0.18</v>
      </c>
      <c r="B21" s="28" t="n">
        <f aca="false">Investering!$C$21+NPV(A21,Investering!$D$21:$M$21)</f>
        <v>-22689.4931990554</v>
      </c>
      <c r="C21" s="28" t="n">
        <f aca="false">B21-B20</f>
        <v>-9039.44496589637</v>
      </c>
      <c r="D21" s="20" t="str">
        <f aca="false">IF(B21&gt;0,"Lønnsom","Ulønnsom")</f>
        <v>Ulønnsom</v>
      </c>
      <c r="E21" s="19"/>
    </row>
    <row r="22" customFormat="false" ht="15" hidden="false" customHeight="false" outlineLevel="0" collapsed="false">
      <c r="A22" s="26" t="n">
        <v>0.19</v>
      </c>
      <c r="B22" s="28" t="n">
        <f aca="false">Investering!$C$21+NPV(A22,Investering!$D$21:$M$21)</f>
        <v>-31440.4617860137</v>
      </c>
      <c r="C22" s="28" t="n">
        <f aca="false">B22-B21</f>
        <v>-8750.96858695825</v>
      </c>
      <c r="D22" s="20" t="str">
        <f aca="false">IF(B22&gt;0,"Lønnsom","Ulønnsom")</f>
        <v>Ulønnsom</v>
      </c>
      <c r="E22" s="19"/>
    </row>
    <row r="23" customFormat="false" ht="15" hidden="false" customHeight="false" outlineLevel="0" collapsed="false">
      <c r="A23" s="26" t="n">
        <v>0.2</v>
      </c>
      <c r="B23" s="28" t="n">
        <f aca="false">Investering!$C$21+NPV(A23,Investering!$D$21:$M$21)</f>
        <v>-39915.1234567901</v>
      </c>
      <c r="C23" s="28" t="n">
        <f aca="false">B23-B22</f>
        <v>-8474.66167077638</v>
      </c>
      <c r="D23" s="20" t="str">
        <f aca="false">IF(B23&gt;0,"Lønnsom","Ulønnsom")</f>
        <v>Ulønnsom</v>
      </c>
      <c r="E23" s="19" t="s">
        <v>184</v>
      </c>
    </row>
    <row r="25" customFormat="false" ht="15" hidden="false" customHeight="false" outlineLevel="0" collapsed="false">
      <c r="A25" s="17" t="s">
        <v>185</v>
      </c>
    </row>
    <row r="26" customFormat="false" ht="15" hidden="false" customHeight="false" outlineLevel="0" collapsed="false">
      <c r="A26" s="19" t="s">
        <v>186</v>
      </c>
    </row>
    <row r="27" customFormat="false" ht="15" hidden="false" customHeight="false" outlineLevel="0" collapsed="false">
      <c r="A27" s="21" t="s">
        <v>187</v>
      </c>
    </row>
    <row r="28" customFormat="false" ht="15" hidden="false" customHeight="false" outlineLevel="0" collapsed="false">
      <c r="A28" s="19" t="s">
        <v>188</v>
      </c>
    </row>
    <row r="30" customFormat="false" ht="15" hidden="false" customHeight="false" outlineLevel="0" collapsed="false">
      <c r="A30" s="17" t="s">
        <v>153</v>
      </c>
    </row>
    <row ht="27" customHeight="true" r="31" customFormat="false" hidden="false" outlineLevel="0" collapsed="false">
      <c s="37" r="A31" t="s">
        <v>189</v>
      </c>
      <c r="B31" s="33" t="str">
        <f aca="false">IF(AND(B9&gt;B10,B22&gt;B23),"OK — høyere krav gir lavere nåverdi, hele tabellen igjennom","AVVIK: tabellen skal falle nedover")</f>
        <v>OK — høyere krav gir lavere nåverdi, hele tabellen igjennom</v>
      </c>
    </row>
    <row ht="27" customHeight="true" r="32" customFormat="false" hidden="false" outlineLevel="0" collapsed="false">
      <c s="37" r="A32" t="s">
        <v>190</v>
      </c>
      <c r="B32" s="33" t="str">
        <f aca="false">IF(AND(MIN(B9:B23)&lt;0,MAX(B9:B23)&gt;0),"OK — nåverdien skifter fortegn inne i tabellen, og der ligger internrenten","AVVIK: internrenten ligger utenfor tabellen — utvid kravene i kolonne A")</f>
        <v>OK — nåverdien skifter fortegn inne i tabellen, og der ligger internrenten</v>
      </c>
    </row>
    <row ht="39.75" customHeight="true" r="33" customFormat="false" hidden="false" outlineLevel="0" collapsed="false">
      <c s="37" r="A33" t="s">
        <v>191</v>
      </c>
      <c r="B33" s="33" t="str">
        <f aca="false">IF(ABS(INDEX($B$9:$B$23,MATCH($B$5,$A$9:$A$23,0))-Investering!B29)&lt;1,"OK — raden for kravet du bruker, gir samme nåverdi som arket Investering","AVVIK: kravet i Investering!B12 finnes ikke i tabellen, eller tallene stemmer ikke")</f>
        <v>OK — raden for kravet du bruker, gir samme nåverdi som arket Investering</v>
      </c>
    </row>
    <row r="35" customFormat="false" ht="15" hidden="false" customHeight="false" outlineLevel="0" collapsed="false">
      <c r="A35" s="16" t="s">
        <v>192</v>
      </c>
    </row>
  </sheetData>
  <conditionalFormatting sqref="B31">
    <cfRule type="expression" priority="2" aboveAverage="0" equalAverage="0" bottom="0" percent="0" rank="0" text="" dxfId="0">
      <formula>LEFT(B31,5)="AVVIK"</formula>
    </cfRule>
  </conditionalFormatting>
  <conditionalFormatting sqref="B32">
    <cfRule type="expression" priority="3" aboveAverage="0" equalAverage="0" bottom="0" percent="0" rank="0" text="" dxfId="0">
      <formula>LEFT(B32,5)="AVVIK"</formula>
    </cfRule>
  </conditionalFormatting>
  <conditionalFormatting sqref="B33">
    <cfRule type="expression" priority="4" aboveAverage="0" equalAverage="0" bottom="0" percent="0" rank="0" text="" dxfId="0">
      <formula>LEFT(B33,5)="AVVIK"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8"/>
    <col collapsed="false" customWidth="true" hidden="false" outlineLevel="0" max="9" min="4" style="0" width="12"/>
    <col collapsed="false" customWidth="true" hidden="false" outlineLevel="0" max="10" min="10" style="0" width="50"/>
  </cols>
  <sheetData>
    <row r="1" customFormat="false" ht="17.35" hidden="false" customHeight="false" outlineLevel="0" collapsed="false">
      <c r="A1" s="1" t="s">
        <v>193</v>
      </c>
    </row>
    <row r="2" customFormat="false" ht="15" hidden="false" customHeight="false" outlineLevel="0" collapsed="false">
      <c r="A2" s="15" t="s">
        <v>194</v>
      </c>
    </row>
    <row r="4" customFormat="false" ht="15" hidden="false" customHeight="false" outlineLevel="0" collapsed="false">
      <c r="A4" s="17" t="s">
        <v>195</v>
      </c>
    </row>
    <row ht="52.5" customHeight="true" r="5" customFormat="false" hidden="false" outlineLevel="0" collapsed="false">
      <c r="A5" s="22"/>
      <c r="B5" s="22" t="s">
        <v>196</v>
      </c>
      <c r="C5" s="22" t="s">
        <v>197</v>
      </c>
      <c r="D5" s="22"/>
      <c r="E5" s="22"/>
      <c r="F5" s="22"/>
      <c r="G5" s="22"/>
      <c r="H5" s="22"/>
      <c r="I5" s="22"/>
      <c r="J5" s="22" t="s">
        <v>179</v>
      </c>
    </row>
    <row r="6" customFormat="false" ht="15" hidden="false" customHeight="false" outlineLevel="0" collapsed="false">
      <c r="A6" s="19" t="s">
        <v>198</v>
      </c>
      <c r="B6" s="23" t="n">
        <v>480000</v>
      </c>
      <c r="C6" s="23" t="n">
        <v>480000</v>
      </c>
      <c r="J6" s="19" t="s">
        <v>199</v>
      </c>
    </row>
    <row r="7" customFormat="false" ht="15" hidden="false" customHeight="false" outlineLevel="0" collapsed="false">
      <c r="A7" s="19" t="s">
        <v>200</v>
      </c>
      <c r="B7" s="23" t="n">
        <v>200000</v>
      </c>
      <c r="C7" s="23" t="n">
        <v>140000</v>
      </c>
    </row>
    <row r="8" customFormat="false" ht="15" hidden="false" customHeight="false" outlineLevel="0" collapsed="false">
      <c r="A8" s="19" t="s">
        <v>108</v>
      </c>
      <c r="B8" s="25" t="n">
        <v>3</v>
      </c>
      <c r="C8" s="25" t="n">
        <v>6</v>
      </c>
    </row>
    <row r="9" customFormat="false" ht="15" hidden="false" customHeight="false" outlineLevel="0" collapsed="false">
      <c r="A9" s="19" t="s">
        <v>113</v>
      </c>
      <c r="B9" s="34" t="n">
        <f aca="false">Investering!$B$12</f>
        <v>0.1</v>
      </c>
      <c r="C9" s="34" t="n">
        <f aca="false">Investering!$B$12</f>
        <v>0.1</v>
      </c>
      <c r="J9" s="19" t="s">
        <v>201</v>
      </c>
    </row>
    <row r="10" customFormat="false" ht="15" hidden="false" customHeight="false" outlineLevel="0" collapsed="false">
      <c r="A10" s="19" t="s">
        <v>115</v>
      </c>
      <c r="B10" s="25" t="n">
        <v>3</v>
      </c>
      <c r="C10" s="27" t="n">
        <f aca="false">B10</f>
        <v>3</v>
      </c>
    </row>
    <row r="12" customFormat="false" ht="15" hidden="false" customHeight="false" outlineLevel="0" collapsed="false">
      <c r="A12" s="17" t="s">
        <v>202</v>
      </c>
    </row>
    <row r="13" customFormat="false" ht="15" hidden="false" customHeight="false" outlineLevel="0" collapsed="false">
      <c r="A13" s="19" t="s">
        <v>203</v>
      </c>
      <c r="B13" s="28" t="n">
        <f aca="false">B7*B8</f>
        <v>600000</v>
      </c>
      <c r="C13" s="28" t="n">
        <f aca="false">C7*C8</f>
        <v>840000</v>
      </c>
    </row>
    <row r="14" customFormat="false" ht="15" hidden="false" customHeight="false" outlineLevel="0" collapsed="false">
      <c r="A14" s="19" t="s">
        <v>204</v>
      </c>
      <c r="B14" s="28" t="n">
        <f aca="false">B13-B6</f>
        <v>120000</v>
      </c>
      <c r="C14" s="28" t="n">
        <f aca="false">C13-C6</f>
        <v>360000</v>
      </c>
    </row>
    <row r="15" customFormat="false" ht="15" hidden="false" customHeight="false" outlineLevel="0" collapsed="false">
      <c r="A15" s="21" t="s">
        <v>147</v>
      </c>
      <c r="B15" s="30" t="n">
        <f aca="false">B6/B7</f>
        <v>2.4</v>
      </c>
      <c r="C15" s="30" t="n">
        <f aca="false">C6/C7</f>
        <v>3.42857142857143</v>
      </c>
    </row>
    <row r="16" customFormat="false" ht="15" hidden="false" customHeight="false" outlineLevel="0" collapsed="false">
      <c r="A16" s="19" t="s">
        <v>151</v>
      </c>
      <c r="B16" s="32" t="str">
        <f aca="false">IF(B15&lt;=B10,"Passerer","Stryker")</f>
        <v>Passerer</v>
      </c>
      <c r="C16" s="32" t="str">
        <f aca="false">IF(C15&lt;=C10,"Passerer","Stryker")</f>
        <v>Stryker</v>
      </c>
      <c r="J16" s="19" t="s">
        <v>205</v>
      </c>
    </row>
    <row r="17" customFormat="false" ht="15" hidden="false" customHeight="false" outlineLevel="0" collapsed="false">
      <c r="A17" s="21" t="s">
        <v>206</v>
      </c>
      <c r="B17" s="24" t="n">
        <f aca="false">-B6+B7*(1-(1+B9)^-B8)/B9</f>
        <v>17370.3981968449</v>
      </c>
      <c r="C17" s="24" t="n">
        <f aca="false">-C6+C7*(1-(1+C9)^-C8)/C9</f>
        <v>129736.497924712</v>
      </c>
      <c r="J17" s="19" t="s">
        <v>207</v>
      </c>
    </row>
    <row r="18" customFormat="false" ht="15" hidden="false" customHeight="false" outlineLevel="0" collapsed="false">
      <c r="A18" s="19" t="s">
        <v>150</v>
      </c>
      <c r="B18" s="32" t="str">
        <f aca="false">IF(B17&gt;0,"Lønnsom","Ulønnsom")</f>
        <v>Lønnsom</v>
      </c>
      <c r="C18" s="32" t="str">
        <f aca="false">IF(C17&gt;0,"Lønnsom","Ulønnsom")</f>
        <v>Lønnsom</v>
      </c>
    </row>
    <row r="19" customFormat="false" ht="15" hidden="false" customHeight="false" outlineLevel="0" collapsed="false">
      <c r="A19" s="21" t="s">
        <v>148</v>
      </c>
      <c r="B19" s="31" t="n">
        <f aca="false">RATE(B8,B7,-B6)</f>
        <v>0.120443982976966</v>
      </c>
      <c r="C19" s="31" t="n">
        <f aca="false">RATE(C8,C7,-C6)</f>
        <v>0.187824809474944</v>
      </c>
    </row>
    <row r="21" customFormat="false" ht="15" hidden="false" customHeight="false" outlineLevel="0" collapsed="false">
      <c r="A21" s="17" t="s">
        <v>208</v>
      </c>
    </row>
    <row r="22" customFormat="false" ht="15" hidden="false" customHeight="false" outlineLevel="0" collapsed="false">
      <c r="A22" s="21" t="s">
        <v>209</v>
      </c>
      <c r="B22" s="24" t="n">
        <f aca="false">C17-B17</f>
        <v>112366.099727867</v>
      </c>
    </row>
    <row r="23" customFormat="false" ht="15" hidden="false" customHeight="false" outlineLevel="0" collapsed="false">
      <c r="A23" s="19" t="s">
        <v>210</v>
      </c>
      <c r="B23" s="35" t="n">
        <f aca="false">C17/B17</f>
        <v>7.46882693502541</v>
      </c>
    </row>
    <row r="24" customFormat="false" ht="15" hidden="false" customHeight="false" outlineLevel="0" collapsed="false">
      <c r="A24" s="19" t="s">
        <v>211</v>
      </c>
      <c r="B24" s="35" t="n">
        <f aca="false">C15</f>
        <v>3.42857142857143</v>
      </c>
      <c r="J24" s="19" t="s">
        <v>212</v>
      </c>
    </row>
    <row r="25" customFormat="false" ht="15" hidden="false" customHeight="false" outlineLevel="0" collapsed="false">
      <c r="A25" s="19" t="s">
        <v>213</v>
      </c>
      <c r="B25" s="34" t="n">
        <f aca="false">B19</f>
        <v>0.120443982976966</v>
      </c>
    </row>
    <row r="26" customFormat="false" ht="15" hidden="false" customHeight="false" outlineLevel="0" collapsed="false">
      <c r="A26" s="19" t="s">
        <v>214</v>
      </c>
      <c r="B26" s="34" t="n">
        <f aca="false">C19</f>
        <v>0.187824809474944</v>
      </c>
      <c r="J26" s="19" t="s">
        <v>215</v>
      </c>
    </row>
    <row r="28" customFormat="false" ht="15" hidden="false" customHeight="false" outlineLevel="0" collapsed="false">
      <c r="A28" s="17" t="s">
        <v>216</v>
      </c>
    </row>
    <row r="29" customFormat="false" ht="15" hidden="false" customHeight="false" outlineLevel="0" collapsed="false">
      <c r="A29" s="16" t="s">
        <v>217</v>
      </c>
    </row>
    <row r="30" customFormat="false" ht="15" hidden="false" customHeight="false" outlineLevel="0" collapsed="false">
      <c r="A30" s="19" t="s">
        <v>218</v>
      </c>
      <c r="B30" s="27" t="n">
        <f aca="false">INT(C8/B8)</f>
        <v>2</v>
      </c>
    </row>
    <row ht="27" customHeight="true" r="31" customFormat="false" hidden="false" outlineLevel="0" collapsed="false">
      <c s="38" r="A31" t="s">
        <v>219</v>
      </c>
      <c r="B31" s="24" t="n">
        <f aca="false">B17+B17/(1+B9)^B8*(B30-1)</f>
        <v>30421.0354596886</v>
      </c>
      <c r="J31" s="19" t="s">
        <v>220</v>
      </c>
    </row>
    <row r="32" customFormat="false" ht="15" hidden="false" customHeight="false" outlineLevel="0" collapsed="false">
      <c r="A32" s="19" t="s">
        <v>221</v>
      </c>
      <c r="B32" s="24" t="n">
        <f aca="false">C17-B31</f>
        <v>99315.4624650235</v>
      </c>
    </row>
    <row r="33" customFormat="false" ht="15" hidden="false" customHeight="false" outlineLevel="0" collapsed="false">
      <c r="A33" s="19" t="s">
        <v>178</v>
      </c>
      <c r="J33" s="32" t="str">
        <f aca="false">IF(C17&gt;B31,"B er best også når A kjøpes om igjen over samme horisont","A blir best når den kjøpes om igjen — da snur konklusjonen")</f>
        <v>B er best også når A kjøpes om igjen over samme horisont</v>
      </c>
    </row>
    <row r="35" customFormat="false" ht="15" hidden="false" customHeight="false" outlineLevel="0" collapsed="false">
      <c r="A35" s="17" t="s">
        <v>153</v>
      </c>
    </row>
    <row r="36" customFormat="false" ht="15" hidden="false" customHeight="false" outlineLevel="0" collapsed="false">
      <c r="A36" s="19" t="s">
        <v>222</v>
      </c>
      <c r="B36" s="33" t="str">
        <f aca="false">IF(B6=C6,"OK — samme pris, så bare profilen skiller dem","AVVIK: ulik pris gjør sammenlikningen vanskeligere — da må du også se på nåverdi per investert krone")</f>
        <v>OK — samme pris, så bare profilen skiller dem</v>
      </c>
    </row>
    <row r="37" customFormat="false" ht="15" hidden="false" customHeight="false" outlineLevel="0" collapsed="false">
      <c r="A37" s="19" t="s">
        <v>223</v>
      </c>
      <c r="B37" s="33" t="str">
        <f aca="false">IF(AND(B15&lt;C15,C17&gt;B17),"OK — A har kortest tilbakebetalingstid, og B har høyest nåverdi. Metodene rangerer motsatt, og det er hele oppgaven","AVVIK: her er metodene enige — da finnes det ingen sak å drøfte")</f>
        <v>OK — A har kortest tilbakebetalingstid, og B har høyest nåverdi. Metodene rangerer motsatt, og det er hele oppgaven</v>
      </c>
    </row>
    <row r="38" customFormat="false" ht="15" hidden="false" customHeight="false" outlineLevel="0" collapsed="false">
      <c r="A38" s="19" t="s">
        <v>224</v>
      </c>
      <c r="B38" s="33" t="str">
        <f aca="false">IF(AND(B17&gt;0,C17&gt;0),"OK — begge gir positiv nåverdi. Valget står mellom to gode alternativer","AVVIK: et alternativ med negativ nåverdi skal ikke rangeres, det skal droppes")</f>
        <v>OK — begge gir positiv nåverdi. Valget står mellom to gode alternativer</v>
      </c>
    </row>
    <row r="39" customFormat="false" ht="15" hidden="false" customHeight="false" outlineLevel="0" collapsed="false">
      <c r="A39" s="19" t="s">
        <v>225</v>
      </c>
      <c r="B39" s="33" t="str">
        <f aca="false">IF(AND(B19&gt;B9,C19&gt;C9),"OK — begge internrentene ligger over kravet, som de skal når nåverdien er positiv","AVVIK: internrente og nåverdi peker hver sin vei")</f>
        <v>OK — begge internrentene ligger over kravet, som de skal når nåverdien er positiv</v>
      </c>
    </row>
    <row r="41" customFormat="false" ht="15" hidden="false" customHeight="false" outlineLevel="0" collapsed="false">
      <c r="A41" s="21" t="s">
        <v>226</v>
      </c>
    </row>
    <row r="42" customFormat="false" ht="15" hidden="false" customHeight="false" outlineLevel="0" collapsed="false">
      <c r="A42" s="16" t="s">
        <v>227</v>
      </c>
    </row>
  </sheetData>
  <conditionalFormatting sqref="B36">
    <cfRule type="expression" priority="2" aboveAverage="0" equalAverage="0" bottom="0" percent="0" rank="0" text="" dxfId="0">
      <formula>LEFT(B36,5)="AVVIK"</formula>
    </cfRule>
  </conditionalFormatting>
  <conditionalFormatting sqref="B37">
    <cfRule type="expression" priority="3" aboveAverage="0" equalAverage="0" bottom="0" percent="0" rank="0" text="" dxfId="0">
      <formula>LEFT(B37,5)="AVVIK"</formula>
    </cfRule>
  </conditionalFormatting>
  <conditionalFormatting sqref="B38">
    <cfRule type="expression" priority="4" aboveAverage="0" equalAverage="0" bottom="0" percent="0" rank="0" text="" dxfId="0">
      <formula>LEFT(B38,5)="AVVIK"</formula>
    </cfRule>
  </conditionalFormatting>
  <conditionalFormatting sqref="B39">
    <cfRule type="expression" priority="5" aboveAverage="0" equalAverage="0" bottom="0" percent="0" rank="0" text="" dxfId="0">
      <formula>LEFT(B39,5)="AVVIK"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8"/>
    <col collapsed="false" customWidth="true" hidden="false" outlineLevel="0" max="4" min="4" style="0" width="14"/>
    <col collapsed="false" customWidth="true" hidden="false" outlineLevel="0" max="5" min="5" style="0" width="54"/>
  </cols>
  <sheetData>
    <row r="1" customFormat="false" ht="17.35" hidden="false" customHeight="false" outlineLevel="0" collapsed="false">
      <c r="A1" s="1" t="s">
        <v>228</v>
      </c>
    </row>
    <row r="2" customFormat="false" ht="15" hidden="false" customHeight="false" outlineLevel="0" collapsed="false">
      <c r="A2" s="15" t="s">
        <v>229</v>
      </c>
    </row>
    <row r="4" customFormat="false" ht="15" hidden="false" customHeight="false" outlineLevel="0" collapsed="false">
      <c r="A4" s="17" t="s">
        <v>230</v>
      </c>
    </row>
    <row r="5" customFormat="false" ht="15" hidden="false" customHeight="false" outlineLevel="0" collapsed="false">
      <c r="A5" s="19" t="s">
        <v>231</v>
      </c>
      <c r="B5" s="19" t="s">
        <v>232</v>
      </c>
    </row>
    <row r="6" customFormat="false" ht="15" hidden="false" customHeight="false" outlineLevel="0" collapsed="false">
      <c r="A6" s="19" t="s">
        <v>233</v>
      </c>
      <c r="B6" s="36" t="n">
        <v>3.5</v>
      </c>
    </row>
    <row r="7" customFormat="false" ht="15" hidden="false" customHeight="false" outlineLevel="0" collapsed="false">
      <c r="A7" s="19" t="s">
        <v>49</v>
      </c>
      <c r="B7" s="23" t="n">
        <v>3450000</v>
      </c>
    </row>
    <row r="8" customFormat="false" ht="15" hidden="false" customHeight="false" outlineLevel="0" collapsed="false">
      <c r="A8" s="19" t="s">
        <v>234</v>
      </c>
      <c r="B8" s="23" t="n">
        <v>260000</v>
      </c>
    </row>
    <row r="9" customFormat="false" ht="15" hidden="false" customHeight="false" outlineLevel="0" collapsed="false">
      <c r="A9" s="19" t="s">
        <v>235</v>
      </c>
      <c r="B9" s="23" t="n">
        <v>340000</v>
      </c>
      <c r="E9" s="19" t="s">
        <v>236</v>
      </c>
    </row>
    <row r="10" customFormat="false" ht="15" hidden="false" customHeight="false" outlineLevel="0" collapsed="false">
      <c r="A10" s="19" t="s">
        <v>237</v>
      </c>
      <c r="B10" s="23" t="n">
        <v>90000</v>
      </c>
    </row>
    <row r="11" customFormat="false" ht="15" hidden="false" customHeight="false" outlineLevel="0" collapsed="false">
      <c r="A11" s="21" t="s">
        <v>106</v>
      </c>
      <c r="B11" s="24" t="n">
        <f aca="false">SUM(B8:B10)</f>
        <v>690000</v>
      </c>
    </row>
    <row r="12" customFormat="false" ht="15" hidden="false" customHeight="false" outlineLevel="0" collapsed="false">
      <c r="A12" s="19" t="s">
        <v>108</v>
      </c>
      <c r="B12" s="25" t="n">
        <v>35</v>
      </c>
    </row>
    <row r="13" customFormat="false" ht="15" hidden="false" customHeight="false" outlineLevel="0" collapsed="false">
      <c r="A13" s="19" t="s">
        <v>113</v>
      </c>
      <c r="B13" s="26" t="n">
        <v>0.06</v>
      </c>
    </row>
    <row r="14" customFormat="false" ht="15" hidden="false" customHeight="false" outlineLevel="0" collapsed="false">
      <c r="A14" s="19" t="s">
        <v>115</v>
      </c>
      <c r="B14" s="25" t="n">
        <v>4</v>
      </c>
    </row>
    <row r="16" customFormat="false" ht="15" hidden="false" customHeight="false" outlineLevel="0" collapsed="false">
      <c r="A16" s="17" t="s">
        <v>238</v>
      </c>
    </row>
    <row r="17" customFormat="false" ht="15" hidden="false" customHeight="false" outlineLevel="0" collapsed="false">
      <c r="A17" s="21" t="s">
        <v>26</v>
      </c>
      <c r="B17" s="30" t="n">
        <f aca="false">B7/B11</f>
        <v>5</v>
      </c>
      <c r="C17" s="32" t="str">
        <f aca="false">IF(B17&lt;=B14,"Passerer","Stryker")</f>
        <v>Stryker</v>
      </c>
    </row>
    <row r="18" customFormat="false" ht="15" hidden="false" customHeight="false" outlineLevel="0" collapsed="false">
      <c r="A18" s="19" t="s">
        <v>239</v>
      </c>
      <c r="B18" s="28" t="n">
        <f aca="false">B7/B14</f>
        <v>862500</v>
      </c>
      <c r="E18" s="19" t="s">
        <v>240</v>
      </c>
    </row>
    <row r="19" customFormat="false" ht="15" hidden="false" customHeight="false" outlineLevel="0" collapsed="false">
      <c r="A19" s="21" t="s">
        <v>241</v>
      </c>
      <c r="B19" s="24" t="n">
        <f aca="false">-B7+B11*(1-(1+B13)^-B12)/B13</f>
        <v>6553789.98952987</v>
      </c>
      <c r="C19" s="32" t="str">
        <f aca="false">IF(B19&gt;0,"Lønnsom","Ulønnsom")</f>
        <v>Lønnsom</v>
      </c>
    </row>
    <row r="20" customFormat="false" ht="15" hidden="false" customHeight="false" outlineLevel="0" collapsed="false">
      <c r="A20" s="21" t="s">
        <v>242</v>
      </c>
      <c r="B20" s="24" t="n">
        <f aca="false">-B7+B11*(1-(1+B13)^-B14)/B13</f>
        <v>-1059077.12723724</v>
      </c>
      <c r="C20" s="20" t="str">
        <f aca="false">IF(B20&gt;0,"Lønnsom","Ulønnsom")</f>
        <v>Ulønnsom</v>
      </c>
      <c r="E20" s="19" t="s">
        <v>243</v>
      </c>
    </row>
    <row r="21" customFormat="false" ht="15" hidden="false" customHeight="false" outlineLevel="0" collapsed="false">
      <c r="A21" s="19" t="s">
        <v>174</v>
      </c>
      <c r="B21" s="31" t="n">
        <f aca="false">RATE(B12,B11,-B7)</f>
        <v>0.199658005581577</v>
      </c>
    </row>
    <row r="22" customFormat="false" ht="15" hidden="false" customHeight="false" outlineLevel="0" collapsed="false">
      <c r="A22" s="19" t="s">
        <v>244</v>
      </c>
      <c r="B22" s="35" t="n">
        <f aca="false">-LN(1-B7*B13/B11)/LN(1+B13)</f>
        <v>6.12118804731767</v>
      </c>
      <c r="E22" s="19" t="s">
        <v>245</v>
      </c>
    </row>
    <row r="24" customFormat="false" ht="15" hidden="false" customHeight="false" outlineLevel="0" collapsed="false">
      <c r="A24" s="17" t="s">
        <v>246</v>
      </c>
    </row>
    <row r="25" customFormat="false" ht="15" hidden="false" customHeight="false" outlineLevel="0" collapsed="false">
      <c r="A25" s="19" t="s">
        <v>247</v>
      </c>
      <c r="B25" s="31" t="n">
        <f aca="false">B14/B12</f>
        <v>0.114285714285714</v>
      </c>
      <c r="E25" s="19" t="s">
        <v>248</v>
      </c>
    </row>
    <row r="26" customFormat="false" ht="15" hidden="false" customHeight="false" outlineLevel="0" collapsed="false">
      <c r="A26" s="19" t="s">
        <v>249</v>
      </c>
      <c r="B26" s="28" t="n">
        <f aca="false">B19-B20</f>
        <v>7612867.1167671</v>
      </c>
      <c r="E26" s="19" t="s">
        <v>250</v>
      </c>
    </row>
    <row r="28" customFormat="false" ht="15" hidden="false" customHeight="false" outlineLevel="0" collapsed="false">
      <c r="A28" s="17" t="s">
        <v>153</v>
      </c>
    </row>
    <row r="29" customFormat="false" ht="15" hidden="false" customHeight="false" outlineLevel="0" collapsed="false">
      <c r="A29" s="19" t="s">
        <v>223</v>
      </c>
      <c r="B29" s="33" t="str">
        <f aca="false">IF(AND(B17&gt;B14,B19&gt;0),"OK — tiltaket stryker på tilbakebetalingstid og består på nåverdi. Det er hele poenget i oppgaven","AVVIK: her er metodene enige — da er saken enkel, og oppgaven mister sin spenning")</f>
        <v>OK — tiltaket stryker på tilbakebetalingstid og består på nåverdi. Det er hele poenget i oppgaven</v>
      </c>
    </row>
    <row r="30" customFormat="false" ht="15" hidden="false" customHeight="false" outlineLevel="0" collapsed="false">
      <c r="A30" s="19" t="s">
        <v>251</v>
      </c>
      <c r="B30" s="33" t="str">
        <f aca="false">IF(B20&lt;0,"OK — regnet bare over kravets år er tiltaket ulønnsomt. Metoden er ikke gal, den ser bare for kort","AVVIK: da passerer tiltaket begge metodene")</f>
        <v>OK — regnet bare over kravets år er tiltaket ulønnsomt. Metoden er ikke gal, den ser bare for kort</v>
      </c>
    </row>
    <row r="31" customFormat="false" ht="15" hidden="false" customHeight="false" outlineLevel="0" collapsed="false">
      <c r="A31" s="19" t="s">
        <v>252</v>
      </c>
      <c r="B31" s="33" t="str">
        <f aca="false">IF(B12&gt;B22,"OK — anlegget lever lenger enn det må for å forsvare seg","AVVIK: levetiden er for kort til at tiltaket bærer seg")</f>
        <v>OK — anlegget lever lenger enn det må for å forsvare seg</v>
      </c>
    </row>
    <row r="33" customFormat="false" ht="15" hidden="false" customHeight="false" outlineLevel="0" collapsed="false">
      <c r="A33" s="16" t="s">
        <v>253</v>
      </c>
    </row>
  </sheetData>
  <conditionalFormatting sqref="B29">
    <cfRule type="expression" priority="2" aboveAverage="0" equalAverage="0" bottom="0" percent="0" rank="0" text="" dxfId="0">
      <formula>LEFT(B29,5)="AVVIK"</formula>
    </cfRule>
  </conditionalFormatting>
  <conditionalFormatting sqref="B30">
    <cfRule type="expression" priority="3" aboveAverage="0" equalAverage="0" bottom="0" percent="0" rank="0" text="" dxfId="0">
      <formula>LEFT(B30,5)="AVVIK"</formula>
    </cfRule>
  </conditionalFormatting>
  <conditionalFormatting sqref="B31">
    <cfRule type="expression" priority="4"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13" min="3" style="0" width="13"/>
    <col collapsed="false" customWidth="true" hidden="false" outlineLevel="0" max="14" min="14" style="0" width="50"/>
  </cols>
  <sheetData>
    <row r="1" customFormat="false" ht="17.35" hidden="false" customHeight="false" outlineLevel="0" collapsed="false">
      <c r="A1" s="1" t="s">
        <v>254</v>
      </c>
    </row>
    <row r="2" customFormat="false" ht="15" hidden="false" customHeight="false" outlineLevel="0" collapsed="false">
      <c r="A2" s="15" t="s">
        <v>255</v>
      </c>
    </row>
    <row r="4" customFormat="false" ht="15" hidden="false" customHeight="false" outlineLevel="0" collapsed="false">
      <c r="A4" s="17" t="s">
        <v>101</v>
      </c>
    </row>
    <row r="5" customFormat="false" ht="15" hidden="false" customHeight="false" outlineLevel="0" collapsed="false">
      <c r="A5" s="19" t="s">
        <v>102</v>
      </c>
      <c r="B5" s="23" t="n">
        <v>0</v>
      </c>
      <c r="N5" s="19" t="s">
        <v>256</v>
      </c>
    </row>
    <row r="6" customFormat="false" ht="15" hidden="false" customHeight="false" outlineLevel="0" collapsed="false">
      <c r="A6" s="19" t="s">
        <v>104</v>
      </c>
      <c r="B6" s="23" t="n">
        <v>0</v>
      </c>
      <c r="N6" s="19" t="s">
        <v>257</v>
      </c>
    </row>
    <row r="7" customFormat="false" ht="15" hidden="false" customHeight="false" outlineLevel="0" collapsed="false">
      <c r="A7" s="19" t="s">
        <v>105</v>
      </c>
      <c r="B7" s="23" t="n">
        <v>0</v>
      </c>
      <c r="N7" s="19" t="s">
        <v>258</v>
      </c>
    </row>
    <row r="8" customFormat="false" ht="15" hidden="false" customHeight="false" outlineLevel="0" collapsed="false">
      <c r="A8" s="21" t="s">
        <v>106</v>
      </c>
      <c r="B8" s="24" t="n">
        <f aca="false">B6-B7</f>
        <v>0</v>
      </c>
    </row>
    <row r="9" customFormat="false" ht="15" hidden="false" customHeight="false" outlineLevel="0" collapsed="false">
      <c r="A9" s="19" t="s">
        <v>108</v>
      </c>
      <c r="B9" s="25" t="n">
        <v>0</v>
      </c>
      <c r="N9" s="19" t="s">
        <v>109</v>
      </c>
    </row>
    <row r="10" customFormat="false" ht="15" hidden="false" customHeight="false" outlineLevel="0" collapsed="false">
      <c r="A10" s="19" t="s">
        <v>110</v>
      </c>
      <c r="B10" s="23" t="n">
        <v>0</v>
      </c>
      <c r="N10" s="19" t="s">
        <v>259</v>
      </c>
    </row>
    <row r="11" customFormat="false" ht="15" hidden="false" customHeight="false" outlineLevel="0" collapsed="false">
      <c r="A11" s="19" t="s">
        <v>111</v>
      </c>
      <c r="B11" s="23" t="n">
        <v>0</v>
      </c>
      <c r="N11" s="19" t="s">
        <v>260</v>
      </c>
    </row>
    <row r="12" customFormat="false" ht="15" hidden="false" customHeight="false" outlineLevel="0" collapsed="false">
      <c r="A12" s="19" t="s">
        <v>113</v>
      </c>
      <c r="B12" s="26" t="n">
        <v>0.1</v>
      </c>
    </row>
    <row r="13" customFormat="false" ht="15" hidden="false" customHeight="false" outlineLevel="0" collapsed="false">
      <c r="A13" s="19" t="s">
        <v>115</v>
      </c>
      <c r="B13" s="25" t="n">
        <v>3</v>
      </c>
    </row>
    <row r="15" customFormat="false" ht="15" hidden="false" customHeight="false" outlineLevel="0" collapsed="false">
      <c r="A15" s="17" t="s">
        <v>261</v>
      </c>
    </row>
    <row r="16" customFormat="false" ht="27.75" hidden="false" customHeight="true" outlineLevel="0" collapsed="false">
      <c r="A16" s="22" t="s">
        <v>117</v>
      </c>
      <c r="B16" s="22"/>
      <c r="C16" s="22" t="s">
        <v>118</v>
      </c>
      <c r="D16" s="22" t="s">
        <v>119</v>
      </c>
      <c r="E16" s="22" t="s">
        <v>120</v>
      </c>
      <c r="F16" s="22" t="s">
        <v>121</v>
      </c>
      <c r="G16" s="22" t="s">
        <v>122</v>
      </c>
      <c r="H16" s="22" t="s">
        <v>123</v>
      </c>
      <c r="I16" s="22" t="s">
        <v>124</v>
      </c>
      <c r="J16" s="22" t="s">
        <v>125</v>
      </c>
      <c r="K16" s="22" t="s">
        <v>126</v>
      </c>
      <c r="L16" s="22" t="s">
        <v>127</v>
      </c>
      <c r="M16" s="22" t="s">
        <v>128</v>
      </c>
      <c r="N16" s="22" t="s">
        <v>129</v>
      </c>
    </row>
    <row r="17" customFormat="false" ht="15" hidden="false" customHeight="false" outlineLevel="0" collapsed="false">
      <c r="A17" s="19" t="s">
        <v>130</v>
      </c>
      <c r="C17" s="27" t="n">
        <f aca="false">0</f>
        <v>0</v>
      </c>
      <c r="D17" s="27" t="n">
        <f aca="false">1</f>
        <v>1</v>
      </c>
      <c r="E17" s="27" t="n">
        <f aca="false">2</f>
        <v>2</v>
      </c>
      <c r="F17" s="27" t="n">
        <f aca="false">3</f>
        <v>3</v>
      </c>
      <c r="G17" s="27" t="n">
        <f aca="false">4</f>
        <v>4</v>
      </c>
      <c r="H17" s="27" t="n">
        <f aca="false">5</f>
        <v>5</v>
      </c>
      <c r="I17" s="27" t="n">
        <f aca="false">6</f>
        <v>6</v>
      </c>
      <c r="J17" s="27" t="n">
        <f aca="false">7</f>
        <v>7</v>
      </c>
      <c r="K17" s="27" t="n">
        <f aca="false">8</f>
        <v>8</v>
      </c>
      <c r="L17" s="27" t="n">
        <f aca="false">9</f>
        <v>9</v>
      </c>
      <c r="M17" s="27" t="n">
        <f aca="false">10</f>
        <v>10</v>
      </c>
    </row>
    <row r="18" customFormat="false" ht="15" hidden="false" customHeight="false" outlineLevel="0" collapsed="false">
      <c r="A18" s="21" t="s">
        <v>134</v>
      </c>
      <c r="C18" s="24" t="n">
        <f aca="false">-($B$5+$B$11)</f>
        <v>-0</v>
      </c>
      <c r="D18" s="24" t="n">
        <f aca="false">IF(D17&lt;=$B$9,$B$8,0)+IF(D17=$B$9,$B$10+$B$11,0)</f>
        <v>0</v>
      </c>
      <c r="E18" s="24" t="n">
        <f aca="false">IF(E17&lt;=$B$9,$B$8,0)+IF(E17=$B$9,$B$10+$B$11,0)</f>
        <v>0</v>
      </c>
      <c r="F18" s="24" t="n">
        <f aca="false">IF(F17&lt;=$B$9,$B$8,0)+IF(F17=$B$9,$B$10+$B$11,0)</f>
        <v>0</v>
      </c>
      <c r="G18" s="24" t="n">
        <f aca="false">IF(G17&lt;=$B$9,$B$8,0)+IF(G17=$B$9,$B$10+$B$11,0)</f>
        <v>0</v>
      </c>
      <c r="H18" s="24" t="n">
        <f aca="false">IF(H17&lt;=$B$9,$B$8,0)+IF(H17=$B$9,$B$10+$B$11,0)</f>
        <v>0</v>
      </c>
      <c r="I18" s="24" t="n">
        <f aca="false">IF(I17&lt;=$B$9,$B$8,0)+IF(I17=$B$9,$B$10+$B$11,0)</f>
        <v>0</v>
      </c>
      <c r="J18" s="24" t="n">
        <f aca="false">IF(J17&lt;=$B$9,$B$8,0)+IF(J17=$B$9,$B$10+$B$11,0)</f>
        <v>0</v>
      </c>
      <c r="K18" s="24" t="n">
        <f aca="false">IF(K17&lt;=$B$9,$B$8,0)+IF(K17=$B$9,$B$10+$B$11,0)</f>
        <v>0</v>
      </c>
      <c r="L18" s="24" t="n">
        <f aca="false">IF(L17&lt;=$B$9,$B$8,0)+IF(L17=$B$9,$B$10+$B$11,0)</f>
        <v>0</v>
      </c>
      <c r="M18" s="24" t="n">
        <f aca="false">IF(M17&lt;=$B$9,$B$8,0)+IF(M17=$B$9,$B$10+$B$11,0)</f>
        <v>0</v>
      </c>
    </row>
    <row r="19" customFormat="false" ht="15" hidden="false" customHeight="false" outlineLevel="0" collapsed="false">
      <c r="A19" s="19" t="s">
        <v>262</v>
      </c>
      <c r="C19" s="28" t="n">
        <f aca="false">C18</f>
        <v>-0</v>
      </c>
      <c r="D19" s="28" t="n">
        <f aca="false">C19+D18</f>
        <v>0</v>
      </c>
      <c r="E19" s="28" t="n">
        <f aca="false">D19+E18</f>
        <v>0</v>
      </c>
      <c r="F19" s="28" t="n">
        <f aca="false">E19+F18</f>
        <v>0</v>
      </c>
      <c r="G19" s="28" t="n">
        <f aca="false">F19+G18</f>
        <v>0</v>
      </c>
      <c r="H19" s="28" t="n">
        <f aca="false">G19+H18</f>
        <v>0</v>
      </c>
      <c r="I19" s="28" t="n">
        <f aca="false">H19+I18</f>
        <v>0</v>
      </c>
      <c r="J19" s="28" t="n">
        <f aca="false">I19+J18</f>
        <v>0</v>
      </c>
      <c r="K19" s="28" t="n">
        <f aca="false">J19+K18</f>
        <v>0</v>
      </c>
      <c r="L19" s="28" t="n">
        <f aca="false">K19+L18</f>
        <v>0</v>
      </c>
      <c r="M19" s="28" t="n">
        <f aca="false">L19+M18</f>
        <v>0</v>
      </c>
    </row>
    <row r="20" customFormat="false" ht="15" hidden="false" customHeight="false" outlineLevel="0" collapsed="false">
      <c r="A20" s="19" t="s">
        <v>139</v>
      </c>
      <c r="C20" s="28" t="n">
        <f aca="false">C18/(1+$B$12)^C17</f>
        <v>-0</v>
      </c>
      <c r="D20" s="28" t="n">
        <f aca="false">D18/(1+$B$12)^D17</f>
        <v>0</v>
      </c>
      <c r="E20" s="28" t="n">
        <f aca="false">E18/(1+$B$12)^E17</f>
        <v>0</v>
      </c>
      <c r="F20" s="28" t="n">
        <f aca="false">F18/(1+$B$12)^F17</f>
        <v>0</v>
      </c>
      <c r="G20" s="28" t="n">
        <f aca="false">G18/(1+$B$12)^G17</f>
        <v>0</v>
      </c>
      <c r="H20" s="28" t="n">
        <f aca="false">H18/(1+$B$12)^H17</f>
        <v>0</v>
      </c>
      <c r="I20" s="28" t="n">
        <f aca="false">I18/(1+$B$12)^I17</f>
        <v>0</v>
      </c>
      <c r="J20" s="28" t="n">
        <f aca="false">J18/(1+$B$12)^J17</f>
        <v>0</v>
      </c>
      <c r="K20" s="28" t="n">
        <f aca="false">K18/(1+$B$12)^K17</f>
        <v>0</v>
      </c>
      <c r="L20" s="28" t="n">
        <f aca="false">L18/(1+$B$12)^L17</f>
        <v>0</v>
      </c>
      <c r="M20" s="28" t="n">
        <f aca="false">M18/(1+$B$12)^M17</f>
        <v>0</v>
      </c>
    </row>
    <row r="22" customFormat="false" ht="15" hidden="false" customHeight="false" outlineLevel="0" collapsed="false">
      <c r="A22" s="17" t="s">
        <v>263</v>
      </c>
    </row>
    <row r="23" customFormat="false" ht="15" hidden="false" customHeight="false" outlineLevel="0" collapsed="false">
      <c r="A23" s="21" t="s">
        <v>206</v>
      </c>
      <c r="B23" s="24" t="n">
        <f aca="false">SUM(C20:M20)</f>
        <v>0</v>
      </c>
    </row>
    <row r="24" customFormat="false" ht="15" hidden="false" customHeight="false" outlineLevel="0" collapsed="false">
      <c r="A24" s="21" t="s">
        <v>147</v>
      </c>
      <c r="B24" s="30" t="str">
        <f aca="false">IF(B8&lt;=0,"",(B5+B11)/B8)</f>
        <v/>
      </c>
    </row>
    <row r="25" customFormat="false" ht="15" hidden="false" customHeight="false" outlineLevel="0" collapsed="false">
      <c r="A25" s="21" t="s">
        <v>148</v>
      </c>
      <c r="B25" s="31" t="str">
        <f aca="false">IF(B8&lt;=0,"",IRR(C18:M18))</f>
        <v/>
      </c>
    </row>
    <row r="26" customFormat="false" ht="15" hidden="false" customHeight="false" outlineLevel="0" collapsed="false">
      <c r="A26" s="19" t="s">
        <v>178</v>
      </c>
      <c r="N26" s="32" t="str">
        <f aca="false">IF(B5=0,"Fyll inn kjøpesummen i B5",IF(B23&gt;0,"Lønnsom ved kravet i B12","Ulønnsom ved kravet i B12"))</f>
        <v>Fyll inn kjøpesummen i B5</v>
      </c>
    </row>
    <row r="28" customFormat="false" ht="15" hidden="false" customHeight="false" outlineLevel="0" collapsed="false">
      <c r="A28" s="17" t="s">
        <v>153</v>
      </c>
    </row>
    <row r="29" customFormat="false" ht="15" hidden="false" customHeight="false" outlineLevel="0" collapsed="false">
      <c r="A29" s="19" t="s">
        <v>264</v>
      </c>
      <c r="B29" s="33" t="str">
        <f aca="false">IF(B5=0,"AVVIK: fyll inn kjøpesummen i B5 og levetiden i B9",IF(B9&lt;1,"AVVIK: levetiden må være minst ett år","OK — arket regner på din egen investering"))</f>
        <v>AVVIK: fyll inn kjøpesummen i B5 og levetiden i B9</v>
      </c>
    </row>
    <row r="30" customFormat="false" ht="15" hidden="false" customHeight="false" outlineLevel="0" collapsed="false">
      <c r="A30" s="16" t="s">
        <v>265</v>
      </c>
    </row>
    <row r="31" customFormat="false" ht="15" hidden="false" customHeight="false" outlineLevel="0" collapsed="false">
      <c r="A31" s="19" t="s">
        <v>156</v>
      </c>
      <c r="B31" s="33" t="str">
        <f aca="false">IF(B9&lt;=10,"OK — levetiden får plass i tabellen","AVVIK: arket har plass til høyst 10 år")</f>
        <v>OK — levetiden får plass i tabellen</v>
      </c>
    </row>
    <row r="33" customFormat="false" ht="15" hidden="false" customHeight="false" outlineLevel="0" collapsed="false">
      <c r="A33" s="16" t="s">
        <v>266</v>
      </c>
    </row>
  </sheetData>
  <conditionalFormatting sqref="B29">
    <cfRule type="expression" priority="2" aboveAverage="0" equalAverage="0" bottom="0" percent="0" rank="0" text="" dxfId="0">
      <formula>LEFT(B29,5)="AVVIK"</formula>
    </cfRule>
  </conditionalFormatting>
  <conditionalFormatting sqref="B31">
    <cfRule type="expression" priority="3"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2026-09-11T09:29:52Z</dcterms:created>
  <dc:creator>openpyxl</dc:creator>
  <dc:description/>
  <dc:language>en-US</dc:language>
  <cp:lastModifiedBy/>
  <dcterms:modified xsi:type="dcterms:W3CDTF">2026-10-07T06:04:19Z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