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<sst xmlns="http://schemas.openxmlformats.org/spreadsheetml/2006/main" count="239" uniqueCount="161">
  <si>
    <t xml:space="preserve">Klassiske organisasjonsteorier: oppgaver til kapittel 14</t>
  </si>
  <si>
    <t xml:space="preserve">Markedsføring, organisasjon og ledelse for LØM-emnet (Hjertnes), kapittel 14. Versjon 6, oktober 2026. Nordlys Elektro AS og Fjell Elektro AS er konstruerte casebedrifter; timetallene er faktaarkenes, normtiden og organisasjonsplanene er casefakta for kapittel 14.</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</si>
  <si>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</si>
  <si>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</si>
  <si>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</si>
  <si>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</si>
  <si>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</si>
  <si>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</si>
  <si>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og akkorden: hva er de sparte timene verdt, og hva måles ikke?</t>
  </si>
  <si>
    <t xml:space="preserve">1B  Fjell Elektro vokser: én sjef for åtte, eller to lag med formann?</t>
  </si>
  <si>
    <t xml:space="preserve">1C  «Bare byråkrati», sier montøren hos Fjell. Hva svarer Mona?</t>
  </si>
  <si>
    <t xml:space="preserve">Fasit  Alle svar med regnestykket skrevet ut</t>
  </si>
  <si>
    <t xml:space="preserve">Dette er øvingsmateriell til repetisjons- og øvingsstøtte. I besvarelser, caser, prosjektoppgaver og eksamen gjelder lærebøkene og oppgitte primærkilder.</t>
  </si>
  <si>
    <t xml:space="preserve">2 670 kr per skap (3 timer × 890 kr)</t>
  </si>
  <si>
    <t xml:space="preserve">Oppgave 1A: Nordlys og akkorden: hva er de sparte timene verdt, og hva måles ikke?</t>
  </si>
  <si>
    <t xml:space="preserve">Ingenting ennå: gevinsten blir ekte først når timene selges til en annen kunde</t>
  </si>
  <si>
    <t xml:space="preserve">Alene, i par eller i gruppe, slik du vil.</t>
  </si>
  <si>
    <t xml:space="preserve">Mer enn 2 670 kr per skap, fordi montørene tjente mer</t>
  </si>
  <si>
    <t xml:space="preserve">Situasjonen</t>
  </si>
  <si>
    <t xml:space="preserve">Vertikal arbeidsdeling</t>
  </si>
  <si>
    <t xml:space="preserve">I kalkylen til Nordlys Elektro står det at et sikringsskapbytte i enebolig tar 14 montørtimer. Ida Haugen, kalkulatør, satte tallet og bruker det i hvert tilbud. Nordlys bytter om lag 120 skap i året, og timeprisen er 890 kr uten merverdiavgift. Prosjekt og nybygg jobber på akkord, og akkordlagene gjør ofte skapet på 11 timer. Service har fastlønn og gjør mest feilsøking og småjobber. Et styremedlem vil innføre akkord også i service.</t>
  </si>
  <si>
    <t xml:space="preserve">Horisontal arbeidsdeling</t>
  </si>
  <si>
    <t xml:space="preserve">Begrepene du trenger</t>
  </si>
  <si>
    <t xml:space="preserve">Vitenskapelig rekruttering</t>
  </si>
  <si>
    <t xml:space="preserve">Taylors vitenskapelige ledelse (14.1): metodestudier finner den beste framgangsmåten, tidsstudier setter et normtall for tiden, og lønna knyttes til prestasjonen som prestasjonslønn eller akkord. Vertikal arbeidsdeling er mellom nivåer, horisontal mellom personer eller avdelinger på samme nivå, og vitenskapelig rekruttering er rett person på rett plass. Normtid i kroner = antall jobber × timer × timepris.</t>
  </si>
  <si>
    <t xml:space="preserve">Metodestudier</t>
  </si>
  <si>
    <t xml:space="preserve">Tidsstudier</t>
  </si>
  <si>
    <t xml:space="preserve">Tallene</t>
  </si>
  <si>
    <t xml:space="preserve">Normtid for et sikringsskapbytte: 14 montørtimer. Nordlys bytter om lag 120 skap i året. Timepris ut til kunde: 890 kr uten merverdiavgift. Akkordlagene gjør ofte skapet på 11 timer. Ida anslår at en halv time per skap går til samsvarserklæring, opplæring av lærlingen og rydding, arbeid som ikke har noe normtall.</t>
  </si>
  <si>
    <t xml:space="preserve">Post</t>
  </si>
  <si>
    <t xml:space="preserve">Verdi</t>
  </si>
  <si>
    <t xml:space="preserve">Normtid per skap, timer</t>
  </si>
  <si>
    <t xml:space="preserve">Skap i året</t>
  </si>
  <si>
    <t xml:space="preserve">Timepris uten merverdiavgift, kr</t>
  </si>
  <si>
    <t xml:space="preserve">Akkordlagets tid per skap, timer</t>
  </si>
  <si>
    <t xml:space="preserve">Arbeid uten normtall per skap, timer</t>
  </si>
  <si>
    <t xml:space="preserve">Én time feil i normtiden, kr i året: 120 × 1 × 890</t>
  </si>
  <si>
    <t xml:space="preserve">Oppgaven, trinn for trinn</t>
  </si>
  <si>
    <t xml:space="preserve">1. Regn i a hva de frigjorte timene er verdt i året hvis akkordlaget bruker 11 timer i stedet for 14, og timene selges til andre kunder: skap × sparte timer × timepris.
2. Regn i b hva det umålte arbeidet er verdt i året: skap × 0,5 time × timepris.
3. Velg i c hva Nordlys tjente i mars, da laget sparte timene, men ingen nye oppdrag kom.
4. Sorter i d fem ting fra hverdagen hos Nordlys på Taylors fem prinsipper.
5. Skriv i e hva du svarer styremedlemmet som vil innføre akkord også i service. Hele kroner i a og b.</t>
  </si>
  <si>
    <t xml:space="preserve">a) Frigjorte timer i året, i kroner, hvis de selges (120 skap × (14 − 11) timer × 890 kr)</t>
  </si>
  <si>
    <t xml:space="preserve">kr</t>
  </si>
  <si>
    <t xml:space="preserve">b) Arbeid uten normtall i året, i kroner (120 skap × 0,5 time × 890 kr)</t>
  </si>
  <si>
    <t xml:space="preserve">c) Akkordlaget gjorde alle skapene på 11 timer i mars, men det kom ingen nye oppdrag å sette dem på. Hva tjente Nordlys på de sparte timene?</t>
  </si>
  <si>
    <t xml:space="preserve">d) Fem ting fra hverdagen hos Nordlys: hvilket av Taylors fem prinsipper er det? (velg i nedtrekksmenyen)</t>
  </si>
  <si>
    <t xml:space="preserve">1 Ida regner jobben, Ronny fordeler den, montøren utfører den</t>
  </si>
  <si>
    <t xml:space="preserve">2 Service, prosjekt og nybygg, og solcelle og lading gjør ulike ting</t>
  </si>
  <si>
    <t xml:space="preserve">3 Ida har laget en sjekkliste for skapbytte: samme rekkefølge hver gang</t>
  </si>
  <si>
    <t xml:space="preserve">4 Normtiden 14 timer brukes i hver kalkyle</t>
  </si>
  <si>
    <t xml:space="preserve">5 Tom setter den beste feilsøkeren på feilsøkingsjobbene</t>
  </si>
  <si>
    <t xml:space="preserve">e) Et styremedlem vil innføre akkord også i service, «siden det virker i prosjekt». Hva svarer du? Bruk Taylor, ordet feilsøking og ordet normtid. To–tre setninger.</t>
  </si>
  <si>
    <t xml:space="preserve">Står du fast? Skriv JA i den gule cellen:</t>
  </si>
  <si>
    <t xml:space="preserve">Gule celler fyller du inn. Grønne regnes ut av arket. Sjekken til høyre forteller om svaret stemmer, og hva du bør se på hvis ikke.</t>
  </si>
  <si>
    <t xml:space="preserve">Kontrollspennet</t>
  </si>
  <si>
    <t xml:space="preserve">Oppgave 1B: Fjell Elektro vokser: én sjef for åtte, eller to lag med formann?</t>
  </si>
  <si>
    <t xml:space="preserve">Enhetlig ledelse: hver underordnet skal bare ha én direkte overordnet</t>
  </si>
  <si>
    <t xml:space="preserve">Stabsfunksjonen</t>
  </si>
  <si>
    <t xml:space="preserve">Planlegging</t>
  </si>
  <si>
    <t xml:space="preserve">Fjell Elektro AS vokser. I planen for det tredje driftsåret har Fjell 6 montører og 2 lærlinger. Mona Fjell er eier, daglig leder og faglig ansvarlig, tar kundemøtene og skriver tilbudene selv. Hun vurderer to modeller. I modell 1 rapporterer alle 8 direkte til henne. I modell 2 deles de i to lag med hver sin formann, ett for boligkunder og ett for bedrifter og borettslag; formannen er selv montør og leder 2 montører og 1 lærling. Mona vil også gi hvert lag bonus etter lagets egne fakturerte timer. Samme uke spør rørleggerfirmaet Fjell samarbeider med, om de kan ringe montørene direkte og bestille jobber.</t>
  </si>
  <si>
    <t xml:space="preserve">Organisering</t>
  </si>
  <si>
    <t xml:space="preserve">Ordregiving</t>
  </si>
  <si>
    <t xml:space="preserve">Fayols administrasjonslære (14.2): fem oppgaver enhver leder må utføre, planlegging, organisering, ordregiving, samordning, og kontroll og oppfølging. Enhetlig ledelse: hver underordnet skal bare ha én direkte overordnet. Kontrollspenn: antall personer en leder har direkte under seg; seks til ti anses optimalt. Antall nivåer bør være så lavt som mulig. Belønninger skal være rettferdige og fremme både trivsel og produktivitet.</t>
  </si>
  <si>
    <t xml:space="preserve">Samordning</t>
  </si>
  <si>
    <t xml:space="preserve">Kontroll og oppfølging</t>
  </si>
  <si>
    <t xml:space="preserve">Tredje driftsår: 6 montører og 2 lærlinger. Modell 1: alle 8 rapporterer direkte til Mona. Modell 2: to lag med hver sin formann, ett for boligkunder og ett for bedrifter og borettslag. Formannen er selv montør og leder 2 montører og 1 lærling. Mona er daglig leder og faglig ansvarlig, tar kundemøtene og skriver tilbudene. Regnskapet føres av et eksternt regnskapsbyrå.</t>
  </si>
  <si>
    <t xml:space="preserve">Modell 1</t>
  </si>
  <si>
    <t xml:space="preserve">Modell 2</t>
  </si>
  <si>
    <t xml:space="preserve">Montører</t>
  </si>
  <si>
    <t xml:space="preserve">Lærlinger</t>
  </si>
  <si>
    <t xml:space="preserve">Formenn (selv montører)</t>
  </si>
  <si>
    <t xml:space="preserve">Rapporterer direkte til Mona</t>
  </si>
  <si>
    <t xml:space="preserve">Alle 8</t>
  </si>
  <si>
    <t xml:space="preserve">De 2 formennene</t>
  </si>
  <si>
    <t xml:space="preserve">1. Tell Monas kontrollspenn i modell 1 (a) og modell 2 (b). Kontrollspenn er antall personer lederen har direkte under seg; lærlingene teller med, lederen selv teller ikke.
2. Tell hver formanns kontrollspenn i modell 2 (c) og antall nivåer i modell 2 (d). Nivåer er alle trinn fra Mona til montøren, montørene medregnet.
3. Velg i e hvilket av Fayols prinsipper rørleggerfirmaet setter på prøve.
4. Sorter i f fem ting Mona gjør på Fayols fem lederoppgaver.
5. Velg i g hva faren er med bonus per lag, og anbefal en modell i h.</t>
  </si>
  <si>
    <t xml:space="preserve">a) Monas kontrollspenn i modell 1</t>
  </si>
  <si>
    <t xml:space="preserve">personer</t>
  </si>
  <si>
    <t xml:space="preserve">b) Monas kontrollspenn i modell 2</t>
  </si>
  <si>
    <t xml:space="preserve">c) Hver formanns kontrollspenn i modell 2</t>
  </si>
  <si>
    <t xml:space="preserve">d) Antall nivåer i modell 2, montørene medregnet</t>
  </si>
  <si>
    <t xml:space="preserve">nivåer</t>
  </si>
  <si>
    <t xml:space="preserve">e) Rørleggerfirmaet Fjell samarbeider med, vil ringe montørene direkte og bestille jobber. Hvilket av Fayols prinsipper settes på prøve?</t>
  </si>
  <si>
    <t xml:space="preserve">f) Fem ting Mona gjør i uka: hvilken av Fayols fem lederoppgaver er det? (velg i nedtrekksmenyen)</t>
  </si>
  <si>
    <t xml:space="preserve">1 Mona setter opp ukeplanen for hvilke jobber som skal gjøres</t>
  </si>
  <si>
    <t xml:space="preserve">2 Mona bestemmer hvem som tar borettslaget og hvem som tar eneboligen</t>
  </si>
  <si>
    <t xml:space="preserve">Ingen fare: det er Taylors prestasjonslønn, og den virker</t>
  </si>
  <si>
    <t xml:space="preserve">3 Mona sier til montøren: start med skapet, så kursene</t>
  </si>
  <si>
    <t xml:space="preserve">Hvert lag optimaliserer egne timer på bekostning av Fjell, for eksempel ved å ikke låne ut folk når det andre laget har det travelt</t>
  </si>
  <si>
    <t xml:space="preserve">4 Mona sørger for at rørleggeren er ferdig før montøren kommer</t>
  </si>
  <si>
    <t xml:space="preserve">Formennene får mer myndighet enn Mona</t>
  </si>
  <si>
    <t xml:space="preserve">5 Mona går gjennom timelistene og samsvarserklæringene hver fredag</t>
  </si>
  <si>
    <t xml:space="preserve">g) Mona vil gi hvert lag bonus etter lagets egne fakturerte timer. Hva er faren?</t>
  </si>
  <si>
    <t xml:space="preserve">h) Hvilken modell anbefaler du Mona, og hva koster den? Bruk ordet kontrollspenn og ordet nivå, og si minst én fordel og én ulempe. To–tre setninger.</t>
  </si>
  <si>
    <t xml:space="preserve">Weber</t>
  </si>
  <si>
    <t xml:space="preserve">Oppgave 1C: «Bare byråkrati», sier montøren hos Fjell. Hva svarer Mona?</t>
  </si>
  <si>
    <t xml:space="preserve">Taylor</t>
  </si>
  <si>
    <t xml:space="preserve">Fayol</t>
  </si>
  <si>
    <t xml:space="preserve">Bryter med Weber</t>
  </si>
  <si>
    <t xml:space="preserve">Fjell Elektro AS har vært i drift i ett år. Mona er faglig ansvarlig etter installatørprøven og jobber halve tiden ute sammen med de to montørene. På et møte sier en av montørene: «Internkontrollen og samsvarserklæringene er bare byråkrati. Kunden betaler for strøm i veggen, ikke for papir.» Mona svarer først med et tall: 77,8 % av montørenes timer blir fakturert, «så vi er effektive». Så tenker hun seg om, og henter Weber.</t>
  </si>
  <si>
    <t xml:space="preserve">Webers byråkratiteori (14.3): fast arbeidsdeling, hierarki, autoritet knyttet til posisjon og ikke person, strenge krav til habilitet, rekruttering etter formell kompetanse og ansiennitet, og organisasjonen som livslang karrierevei. Weber mente idealtypen var den mest effektive formen med hensyn til tempo, presisjon, klarhet, regelmessighet og pålitelighet. Indre effektivitet er å gjøre tingene riktig; ytre effektivitet er å gjøre de riktige tingene. Bedriften er først effektiv når den scorer høyt på begge.</t>
  </si>
  <si>
    <t xml:space="preserve">Hver montør hos Fjell har 1 400 fakturerbare og 400 ikke-fakturerbare timer i året, altså 1 800 betalte timer (faktaarket). Faktureringsgrad = fakturerte timer / betalte timer × 100.</t>
  </si>
  <si>
    <t xml:space="preserve">Per montør</t>
  </si>
  <si>
    <t xml:space="preserve">To montører</t>
  </si>
  <si>
    <t xml:space="preserve">Fakturerbare timer</t>
  </si>
  <si>
    <t xml:space="preserve">Ikke-fakturerbare timer (kjøring, henting, opplæring, dokumentasjon)</t>
  </si>
  <si>
    <t xml:space="preserve">Betalte timer i alt</t>
  </si>
  <si>
    <t xml:space="preserve">1. Seks ting fra hverdagen hos Fjell: velg i a hvem som står bak, Weber, Taylor eller Fayol, eller om det bryter med Weber.
2. Regn faktureringsgraden for de to montørene i b. Skriv svaret i prosent med én desimal: 77,8 betyr 77,8 %.
3. Regn i c hvor mange timer Fjell betaler de to montørene for uten å få faktura.
4. Velg i d hva læreboka sier om Monas påstand.
5. Skriv i e hva Mona svarer montøren.</t>
  </si>
  <si>
    <t xml:space="preserve">a) Seks ting fra hverdagen hos Fjell: hvem står bak? (velg i nedtrekksmenyen)</t>
  </si>
  <si>
    <t xml:space="preserve">1 Samsvarserklæringen gjelder fordi foretaket har signert, ikke fordi montøren er flink</t>
  </si>
  <si>
    <t xml:space="preserve">2 Mona kan være faglig ansvarlig fordi hun har bestått installatørprøven</t>
  </si>
  <si>
    <t xml:space="preserve">3 En montør skal ikke sluttkontrollere anlegget han har lagt i brorens hus</t>
  </si>
  <si>
    <t xml:space="preserve">4 Normtiden på en jobb settes ut fra tidsstudier</t>
  </si>
  <si>
    <t xml:space="preserve">5 Hver montør har bare én å få ordre fra: Mona</t>
  </si>
  <si>
    <t xml:space="preserve">6 Mona ansetter nevøen sin fordi han er familie</t>
  </si>
  <si>
    <t xml:space="preserve">Riktig: høy faktureringsgrad betyr at bedriften er effektiv</t>
  </si>
  <si>
    <t xml:space="preserve">Tallet måler indre effektivitet. Bedriften er først effektiv når den også gjør det markedet vil ha (ytre effektivitet)</t>
  </si>
  <si>
    <t xml:space="preserve">b) Faktureringsgrad for de to montørene, i prosent med én desimal (2 × 1 400 / (2 × 1 800) × 100)</t>
  </si>
  <si>
    <t xml:space="preserve">prosent</t>
  </si>
  <si>
    <t xml:space="preserve">Tallet måler ytre effektivitet, fordi kundene betaler for timene</t>
  </si>
  <si>
    <t xml:space="preserve">c) Timer Fjell betaler de to montørene for uten å få faktura</t>
  </si>
  <si>
    <t xml:space="preserve">timer</t>
  </si>
  <si>
    <t xml:space="preserve">d) Mona sier: «77,8 % av timene blir fakturert. Da er vi en effektiv bedrift.» Hva sier læreboka?</t>
  </si>
  <si>
    <t xml:space="preserve">e) En montør sier: «Internkontrollen og samsvarserklæringene er bare byråkrati. Kunden betaler for strøm i veggen, ikke for papir.» Hva svarer Mona? Bruk Weber, og ordet pålitelighet. Gi montøren rett i én ting. To–tre setninger.</t>
  </si>
  <si>
    <t xml:space="preserve">Fasit, kapittel 14</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</si>
  <si>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</si>
  <si>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</si>
  <si>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</si>
  <si>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</si>
  <si>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Frigjorte timer, hvis de selges</t>
  </si>
  <si>
    <t xml:space="preserve">120 skap × (14 − 11) timer × 890 kr = 320 400 kr (360 timer)</t>
  </si>
  <si>
    <t xml:space="preserve">1A b) Arbeid uten normtall</t>
  </si>
  <si>
    <t xml:space="preserve">120 × 0,5 × 890 = 53 400 kr (60 timer)</t>
  </si>
  <si>
    <t xml:space="preserve">1A c) Mars uten nye oppdrag</t>
  </si>
  <si>
    <t xml:space="preserve">Ingenting ennå. Gevinsten blir ekte først når de sparte timene selges til en annen kunde</t>
  </si>
  <si>
    <t xml:space="preserve">1A d) Taylors prinsipper</t>
  </si>
  <si>
    <t xml:space="preserve">1 vertikal arbeidsdeling, 2 horisontal arbeidsdeling, 3 metodestudier, 4 tidsstudier, 5 vitenskapelig rekruttering</t>
  </si>
  <si>
    <t xml:space="preserve">1A e) Til styremedlemmet</t>
  </si>
  <si>
    <t xml:space="preserve">Akkord forutsetter arbeid som kan brytes ned og tidsstuderes, som skapbytte. Feilsøking kan ikke det: den som bruker lengst tid, kan ha funnet den vanskeligste feilen. Arbeid uten normtid (53 400 kr i året) blir gjort sist</t>
  </si>
  <si>
    <t xml:space="preserve">1B a) Mona, modell 1</t>
  </si>
  <si>
    <t xml:space="preserve">6 montører + 2 lærlinger = 8</t>
  </si>
  <si>
    <t xml:space="preserve">1B b) Mona, modell 2</t>
  </si>
  <si>
    <t xml:space="preserve">1B c) Hver formann</t>
  </si>
  <si>
    <t xml:space="preserve">2 montører + 1 lærling = 3</t>
  </si>
  <si>
    <t xml:space="preserve">1B d) Nivåer i modell 2</t>
  </si>
  <si>
    <t xml:space="preserve">Mona, formann, montør (modell 1 har 2)</t>
  </si>
  <si>
    <t xml:space="preserve">1B e) Rørleggeren</t>
  </si>
  <si>
    <t xml:space="preserve">Enhetlig ledelse: montøren skal bare ha én direkte overordnet. Bestillingene går gjennom Mona</t>
  </si>
  <si>
    <t xml:space="preserve">1B f) Fayols oppgaver</t>
  </si>
  <si>
    <t xml:space="preserve">1 planlegging, 2 organisering, 3 ordregiving, 4 samordning, 5 kontroll og oppfølging</t>
  </si>
  <si>
    <t xml:space="preserve">1B g) Bonus per lag</t>
  </si>
  <si>
    <t xml:space="preserve">Laget optimaliserer egne timer på bekostning av Fjell: suboptimalisering. Lagbonus trenger et felles mål</t>
  </si>
  <si>
    <t xml:space="preserve">1B h) Anbefaling</t>
  </si>
  <si>
    <t xml:space="preserve">Modell 2: Mona får kontrollspenn 2 og beholder pris, tilbud og faglig ansvar; formennene fordeler dagen. Prisen er ett nivå til og to formannstillegg. Modell 1 gir 8, innenfor seks til ti på papiret, men Mona blir flaskehals</t>
  </si>
  <si>
    <t xml:space="preserve">1C a) Hvem står bak</t>
  </si>
  <si>
    <t xml:space="preserve">1 Weber (posisjon), 2 Weber (formell kompetanse), 3 Weber (habilitet), 4 Taylor (tidsstudier), 5 Fayol (enhetlig ledelse), 6 bryter med Weber</t>
  </si>
  <si>
    <t xml:space="preserve">1C b) Faktureringsgrad</t>
  </si>
  <si>
    <t xml:space="preserve">2 × 1 400 / (2 × 1 800) × 100 = 2 800 / 3 600 × 100 = 77,8 %</t>
  </si>
  <si>
    <t xml:space="preserve">1C c) Betalt, ikke fakturert</t>
  </si>
  <si>
    <t xml:space="preserve">2 × 400 = 800 timer</t>
  </si>
  <si>
    <t xml:space="preserve">1C d) Monas påstand</t>
  </si>
  <si>
    <t xml:space="preserve">Tallet måler indre effektivitet. Fjell er først effektiv når den også gjør det markedet vil ha</t>
  </si>
  <si>
    <t xml:space="preserve">1C e) Til montøren</t>
  </si>
  <si>
    <t xml:space="preserve">Weber: reglene gir tempo, presisjon, klarhet, regelmessighet og pålitelighet; anlegget er like trygt uansett hvem som la det, og neste elektriker kan overta. Dokumentasjonen er et krav, ikke et valg. Montøren har rett i at regler kan hemme skjønn: gjør skjemaene enkle, legg tiden inn i normtiden</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</si>
</sst>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b val="true"/>
      <sz val="11"/>
      <color theme="1"/>
      <name val="Calibri"/>
      <family val="2"/>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right" vertical="center" textRotation="0" wrapText="false" indent="0" shrinkToFit="false"/>
      <protection locked="true" hidden="false"/>
    </xf>
    <xf numFmtId="167" fontId="0" fillId="4" borderId="1" xfId="0" applyFont="false" applyBorder="true" applyAlignment="true" applyProtection="false">
      <alignment horizontal="right" vertical="center" textRotation="0" wrapText="fals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8" fontId="0" fillId="4"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60"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23</v>
      </c>
    </row>
    <row r="7" customFormat="false" ht="60" hidden="false" customHeight="true" outlineLevel="0" collapsed="false">
      <c r="B7" s="9" t="s">
        <v>24</v>
      </c>
      <c r="C7" s="9"/>
      <c r="D7" s="9"/>
      <c r="E7" s="9"/>
      <c r="F7" s="9"/>
      <c r="G7" s="9"/>
      <c r="Z7" s="6" t="s">
        <v>25</v>
      </c>
    </row>
    <row r="8" customFormat="false" ht="15" hidden="false" customHeight="false" outlineLevel="0" collapsed="false">
      <c r="Z8" s="0" t="s">
        <v>26</v>
      </c>
    </row>
    <row r="9" customFormat="false" ht="15.75" hidden="false" customHeight="true" outlineLevel="0" collapsed="false">
      <c r="B9" s="8" t="s">
        <v>27</v>
      </c>
      <c r="C9" s="8"/>
      <c r="D9" s="8"/>
      <c r="E9" s="8"/>
      <c r="F9" s="8"/>
      <c r="G9" s="8"/>
      <c r="Z9" s="6" t="s">
        <v>19</v>
      </c>
    </row>
    <row r="10" customFormat="false" ht="45" hidden="false" customHeight="true" outlineLevel="0" collapsed="false">
      <c r="B10" s="9" t="s">
        <v>28</v>
      </c>
      <c r="C10" s="9"/>
      <c r="D10" s="9"/>
      <c r="E10" s="9"/>
      <c r="F10" s="9"/>
      <c r="G10" s="9"/>
      <c r="Z10" s="6" t="s">
        <v>21</v>
      </c>
    </row>
    <row r="11" customFormat="false" ht="15" hidden="false" customHeight="false" outlineLevel="0" collapsed="false">
      <c r="B11" s="10" t="s">
        <v>29</v>
      </c>
      <c r="C11" s="11" t="s">
        <v>30</v>
      </c>
      <c r="Z11" s="6" t="s">
        <v>23</v>
      </c>
    </row>
    <row r="12" customFormat="false" ht="15" hidden="false" customHeight="false" outlineLevel="0" collapsed="false">
      <c r="B12" s="12" t="s">
        <v>31</v>
      </c>
      <c r="C12" s="13" t="n">
        <v>14</v>
      </c>
      <c r="Z12" s="6" t="s">
        <v>25</v>
      </c>
    </row>
    <row r="13" customFormat="false" ht="15" hidden="false" customHeight="false" outlineLevel="0" collapsed="false">
      <c r="B13" s="12" t="s">
        <v>32</v>
      </c>
      <c r="C13" s="13" t="n">
        <v>120</v>
      </c>
      <c r="Z13" s="6" t="s">
        <v>26</v>
      </c>
    </row>
    <row r="14" customFormat="false" ht="15" hidden="false" customHeight="false" outlineLevel="0" collapsed="false">
      <c r="B14" s="12" t="s">
        <v>33</v>
      </c>
      <c r="C14" s="13" t="n">
        <v>890</v>
      </c>
      <c r="Z14" s="6" t="s">
        <v>19</v>
      </c>
    </row>
    <row r="15" customFormat="false" ht="15" hidden="false" customHeight="false" outlineLevel="0" collapsed="false">
      <c r="B15" s="12" t="s">
        <v>34</v>
      </c>
      <c r="C15" s="13" t="n">
        <v>11</v>
      </c>
      <c r="Z15" s="6" t="s">
        <v>21</v>
      </c>
    </row>
    <row r="16" customFormat="false" ht="15" hidden="false" customHeight="false" outlineLevel="0" collapsed="false">
      <c r="B16" s="12" t="s">
        <v>35</v>
      </c>
      <c r="C16" s="13" t="n">
        <v>0.5</v>
      </c>
      <c r="Z16" s="6" t="s">
        <v>23</v>
      </c>
    </row>
    <row r="17" customFormat="false" ht="15" hidden="false" customHeight="false" outlineLevel="0" collapsed="false">
      <c r="B17" s="12" t="s">
        <v>36</v>
      </c>
      <c r="C17" s="14" t="n">
        <f aca="false">C13*1*C14</f>
        <v>106800</v>
      </c>
      <c r="Z17" s="6" t="s">
        <v>25</v>
      </c>
    </row>
    <row r="18" customFormat="false" ht="15" hidden="false" customHeight="false" outlineLevel="0" collapsed="false">
      <c r="Z18" s="0" t="s">
        <v>26</v>
      </c>
    </row>
    <row r="19" customFormat="false" ht="15.75" hidden="false" customHeight="true" outlineLevel="0" collapsed="false">
      <c r="B19" s="8" t="s">
        <v>37</v>
      </c>
      <c r="C19" s="8"/>
      <c r="D19" s="8"/>
      <c r="E19" s="8"/>
      <c r="F19" s="8"/>
      <c r="G19" s="8"/>
      <c r="Z19" s="6" t="s">
        <v>19</v>
      </c>
    </row>
    <row r="20" customFormat="false" ht="75" hidden="false" customHeight="true" outlineLevel="0" collapsed="false">
      <c r="B20" s="9" t="s">
        <v>38</v>
      </c>
      <c r="C20" s="9"/>
      <c r="D20" s="9"/>
      <c r="E20" s="9"/>
      <c r="F20" s="9"/>
      <c r="G20" s="9"/>
      <c r="Z20" s="6" t="s">
        <v>21</v>
      </c>
    </row>
    <row r="21" customFormat="false" ht="15" hidden="false" customHeight="false" outlineLevel="0" collapsed="false">
      <c r="Z21" s="0" t="s">
        <v>23</v>
      </c>
    </row>
    <row r="22" customFormat="false" ht="43.5" hidden="false" customHeight="true" outlineLevel="0" collapsed="false">
      <c r="B22" s="15" t="s">
        <v>39</v>
      </c>
      <c r="C22" s="16"/>
      <c r="D22" s="17" t="s">
        <v>40</v>
      </c>
      <c r="G22" s="18" t="str">
        <f aca="false">IF(C22="","Skriv svaret i den gule cellen.",IF(C22=(120*(14-11)*890),"Riktig.",IF(ABS(C22-(120*(14-11)))&lt;=0,"Du har svart i timer: 360 timer. Spørsmålet er kroner, så gang med timeprisen 890.",IF(ABS(C22-((14-11)*890))&lt;=0,"Du har regnet per skap: 2 670 kr. Gang med 120 skap for å få året.",IF(ABS(C22-(120*11*890))&lt;=0,"Du har brukt 11 timer. Det er de sparte timene som frigjøres: 14 − 11 = 3 per skap.",IF(ABS(C22-(120*14*890))&lt;=0,"Du har brukt hele normtiden, 14 timer. De frigjorte timene er forskjellen: 14 − 11 = 3 per skap.","Ikke riktig ennå. Skap × sparte timer × timepris. Sparte timer per skap er 14 − 11."))))))</f>
        <v>Skriv svaret i den gule cellen.</v>
      </c>
      <c r="Z22" s="6" t="s">
        <v>25</v>
      </c>
    </row>
    <row r="23" customFormat="false" ht="43.5" hidden="false" customHeight="true" outlineLevel="0" collapsed="false">
      <c r="B23" s="15" t="s">
        <v>41</v>
      </c>
      <c r="C23" s="16"/>
      <c r="D23" s="17" t="s">
        <v>40</v>
      </c>
      <c r="G23" s="18" t="str">
        <f aca="false">IF(C23="","Skriv svaret i den gule cellen.",IF(C23=(120*0.5*890),"Riktig.",IF(ABS(C23-(120*0.5))&lt;=0,"Du har svart i timer: 60 timer. Gang med timeprisen 890 for å få kroner.",IF(ABS(C23-(0.5*890))&lt;=0,"Du har regnet per skap: 445 kr. Gang med 120 skap.",IF(ABS(C23-(120*1*890))&lt;=0,"Du har brukt én time per skap. Det umålte arbeidet er anslått til en halv time, 0,5.","Ikke riktig ennå. Skap × 0,5 time × timepris.")))))</f>
        <v>Skriv svaret i den gule cellen.</v>
      </c>
      <c r="Z23" s="6" t="s">
        <v>26</v>
      </c>
    </row>
    <row r="24" customFormat="false" ht="15" hidden="false" customHeight="false" outlineLevel="0" collapsed="false">
      <c r="Z24" s="0" t="s">
        <v>19</v>
      </c>
    </row>
    <row r="25" customFormat="false" ht="39.75" hidden="false" customHeight="true" outlineLevel="0" collapsed="false">
      <c r="B25" s="15" t="s">
        <v>42</v>
      </c>
      <c r="C25" s="19"/>
      <c r="G25" s="18" t="str">
        <f aca="false">IF(C25="","Velg i nedtrekksmenyen.",IF(C25="Ingenting ennå: gevinsten blir ekte først når timene selges til en annen kunde","Riktig. Montørene kostet det samme i mars, og ingen kunde betalte for de sparte timene. En spart time er bare verdt noe når den selges. Det er derfor 320 400 kr i a forutsetter at timene selges.","Ikke riktig. Montørene kostet det samme i mars, og ingen kunde betalte for de sparte timene. En spart time er bare verdt noe når den selges. Det er derfor 320 400 kr i a forutsetter at timene selges."))</f>
        <v>Velg i nedtrekksmenyen.</v>
      </c>
      <c r="Z25" s="6" t="s">
        <v>21</v>
      </c>
    </row>
    <row r="26" customFormat="false" ht="15" hidden="false" customHeight="false" outlineLevel="0" collapsed="false">
      <c r="Z26" s="0" t="s">
        <v>23</v>
      </c>
    </row>
    <row r="27" customFormat="false" ht="15" hidden="false" customHeight="true" outlineLevel="0" collapsed="false">
      <c r="B27" s="20" t="s">
        <v>43</v>
      </c>
      <c r="C27" s="20"/>
      <c r="D27" s="20"/>
      <c r="E27" s="20"/>
      <c r="F27" s="20"/>
      <c r="G27" s="20"/>
      <c r="Z27" s="6" t="s">
        <v>25</v>
      </c>
    </row>
    <row r="28" customFormat="false" ht="39.75" hidden="false" customHeight="true" outlineLevel="0" collapsed="false">
      <c r="B28" s="15" t="s">
        <v>44</v>
      </c>
      <c r="C28" s="19"/>
      <c r="G28" s="18" t="str">
        <f aca="false">IF(C28="","Velg i nedtrekksmenyen.",IF(C28="Vertikal arbeidsdeling","Riktig. Skillet mellom dem som planlegger og dem som utfører, «håndens og åndens arbeid», er vertikal arbeidsdeling: mellom nivåer (14.1).","Ikke riktig. Skillet mellom dem som planlegger og dem som utfører, «håndens og åndens arbeid», er vertikal arbeidsdeling: mellom nivåer (14.1)."))</f>
        <v>Velg i nedtrekksmenyen.</v>
      </c>
      <c r="Z28" s="6" t="s">
        <v>26</v>
      </c>
    </row>
    <row r="29" customFormat="false" ht="39.75" hidden="false" customHeight="true" outlineLevel="0" collapsed="false">
      <c r="B29" s="15" t="s">
        <v>45</v>
      </c>
      <c r="C29" s="19"/>
      <c r="G29" s="18" t="str">
        <f aca="false">IF(C29="","Velg i nedtrekksmenyen.",IF(C29="Horisontal arbeidsdeling","Riktig. Spesialisering mellom avdelinger på samme nivå er horisontal arbeidsdeling (14.1).","Ikke riktig. Spesialisering mellom avdelinger på samme nivå er horisontal arbeidsdeling (14.1)."))</f>
        <v>Velg i nedtrekksmenyen.</v>
      </c>
    </row>
    <row r="30" customFormat="false" ht="39.75" hidden="false" customHeight="true" outlineLevel="0" collapsed="false">
      <c r="B30" s="15" t="s">
        <v>46</v>
      </c>
      <c r="C30" s="19"/>
      <c r="G30" s="18" t="str">
        <f aca="false">IF(C30="","Velg i nedtrekksmenyen.",IF(C30="Metodestudier","Riktig. Å finne framgangsmåten som bruker minst tid og ressurser, er en metodestudie (14.1). Normtallet for tiden er tidsstudien.","Ikke riktig. Å finne framgangsmåten som bruker minst tid og ressurser, er en metodestudie (14.1). Normtallet for tiden er tidsstudien."))</f>
        <v>Velg i nedtrekksmenyen.</v>
      </c>
    </row>
    <row r="31" customFormat="false" ht="39.75" hidden="false" customHeight="true" outlineLevel="0" collapsed="false">
      <c r="B31" s="15" t="s">
        <v>47</v>
      </c>
      <c r="C31" s="19"/>
      <c r="G31" s="18" t="str">
        <f aca="false">IF(C31="","Velg i nedtrekksmenyen.",IF(C31="Tidsstudier","Riktig. Et normtall for hvor lang tid oppgaven skal ta, er en tidsstudie (14.1). Sjekklista er metodestudien.","Ikke riktig. Et normtall for hvor lang tid oppgaven skal ta, er en tidsstudie (14.1). Sjekklista er metodestudien."))</f>
        <v>Velg i nedtrekksmenyen.</v>
      </c>
    </row>
    <row r="32" customFormat="false" ht="39.75" hidden="false" customHeight="true" outlineLevel="0" collapsed="false">
      <c r="B32" s="15" t="s">
        <v>48</v>
      </c>
      <c r="C32" s="19"/>
      <c r="G32" s="18" t="str">
        <f aca="false">IF(C32="","Velg i nedtrekksmenyen.",IF(C32="Vitenskapelig rekruttering","Riktig. Rett person på rett plass, etter hva hver er god til, er vitenskapelig rekruttering (14.1).","Ikke riktig. Rett person på rett plass, etter hva hver er god til, er vitenskapelig rekruttering (14.1)."))</f>
        <v>Velg i nedtrekksmenyen.</v>
      </c>
    </row>
    <row r="34" customFormat="false" ht="30" hidden="false" customHeight="true" outlineLevel="0" collapsed="false">
      <c r="B34" s="9" t="s">
        <v>49</v>
      </c>
      <c r="C34" s="9"/>
      <c r="D34" s="9"/>
      <c r="E34" s="9"/>
      <c r="F34" s="9"/>
      <c r="G34" s="9"/>
    </row>
    <row r="35" customFormat="false" ht="21.75" hidden="false" customHeight="true" outlineLevel="0" collapsed="false">
      <c r="B35" s="21"/>
      <c r="C35" s="21"/>
      <c r="D35" s="21"/>
      <c r="E35" s="21"/>
      <c r="F35" s="21"/>
      <c r="G35" s="21"/>
    </row>
    <row r="36" customFormat="false" ht="21.75" hidden="false" customHeight="true" outlineLevel="0" collapsed="false">
      <c r="B36" s="21"/>
      <c r="C36" s="21"/>
      <c r="D36" s="21"/>
      <c r="E36" s="21"/>
      <c r="F36" s="21"/>
      <c r="G36" s="21"/>
    </row>
    <row r="37" customFormat="false" ht="21.75" hidden="false" customHeight="true" outlineLevel="0" collapsed="false">
      <c r="B37" s="21"/>
      <c r="C37" s="21"/>
      <c r="D37" s="21"/>
      <c r="E37" s="21"/>
      <c r="F37" s="21"/>
      <c r="G37" s="21"/>
    </row>
    <row r="38" customFormat="false" ht="39.75" hidden="false" customHeight="true" outlineLevel="0" collapsed="false">
      <c r="B38" s="22" t="str">
        <f aca="false">IF(LEN(B35)&lt;40,"",IF(AND(ISNUMBER(SEARCH("feilsøking",B35)),ISNUMBER(SEARCH("normtid",B35))),"Bra: du bruker både feilsøking og normtid. Sjekk at du sier hvorfor: Taylors metode forutsetter arbeid som kan brytes ned og tidsstuderes, og feilsøking kan ikke det.",IF(OR(ISNUMBER(SEARCH("feilsøking",B35)),ISNUMBER(SEARCH("normtid",B35))),"Du er på sporet. Si både at service er mest feilsøking, som ikke kan tidsstuderes, og at det som ikke har normtid, blir gjort sist.","Tips: Taylors metode forutsetter arbeid som kan brytes ned, metodestuderes og tidsstuderes, som skapbytte. Feilsøking kan ikke det: den som bruker lengst tid, kan ha funnet den vanskeligste feilen. Og arbeid uten normtid, 53 400 kr i året, blir gjort sist.")))</f>
        <v/>
      </c>
      <c r="C38" s="22"/>
      <c r="D38" s="22"/>
      <c r="E38" s="22"/>
      <c r="F38" s="22"/>
      <c r="G38" s="22"/>
    </row>
    <row r="39" customFormat="false" ht="15" hidden="false" customHeight="false" outlineLevel="0" collapsed="false">
      <c r="B39" s="23" t="s">
        <v>50</v>
      </c>
      <c r="C39" s="19"/>
    </row>
    <row r="40" customFormat="false" ht="45" hidden="false" customHeight="true" outlineLevel="0" collapsed="false">
      <c r="B40" s="24" t="str">
        <f aca="false">IF(C39="JA","Hint: a: 120 skap × 3 sparte timer × 890 kr = 320 400 kr. b: 120 × 0,5 × 890 = 53 400 kr. c: ingenting før timene selges. d: Ida–Ronny–montør er vertikal, avdelingene horisontal, sjekklista metodestudie, normtiden tidsstudie, beste feilsøker på feilsøking er vitenskapelig rekruttering.","")</f>
        <v/>
      </c>
      <c r="C40" s="24"/>
      <c r="D40" s="24"/>
      <c r="E40" s="24"/>
      <c r="F40" s="24"/>
      <c r="G40" s="24"/>
    </row>
    <row r="42" customFormat="false" ht="30" hidden="false" customHeight="true" outlineLevel="0" collapsed="false">
      <c r="B42" s="7" t="s">
        <v>51</v>
      </c>
      <c r="C42" s="7"/>
      <c r="D42" s="7"/>
      <c r="E42" s="7"/>
      <c r="F42" s="7"/>
      <c r="G42" s="7"/>
    </row>
  </sheetData>
  <mergeCells count="16">
    <mergeCell ref="B2:G2"/>
    <mergeCell ref="B3:G3"/>
    <mergeCell ref="B4:G4"/>
    <mergeCell ref="B5:G5"/>
    <mergeCell ref="B6:G6"/>
    <mergeCell ref="B7:G7"/>
    <mergeCell ref="B9:G9"/>
    <mergeCell ref="B10:G10"/>
    <mergeCell ref="B19:G19"/>
    <mergeCell ref="B20:G20"/>
    <mergeCell ref="B27:G27"/>
    <mergeCell ref="B34:G34"/>
    <mergeCell ref="B35:G37"/>
    <mergeCell ref="B38:G38"/>
    <mergeCell ref="B40:G40"/>
    <mergeCell ref="B42:G42"/>
  </mergeCells>
  <conditionalFormatting sqref="G22">
    <cfRule type="expression" priority="2" aboveAverage="0" equalAverage="0" bottom="0" percent="0" rank="0" text="" dxfId="0">
      <formula>LEFT(G22,6)="Riktig"</formula>
    </cfRule>
    <cfRule type="expression" priority="3" aboveAverage="0" equalAverage="0" bottom="0" percent="0" rank="0" text="" dxfId="1">
      <formula>AND(G22&lt;&gt;"",LEFT(G22,6)&lt;&gt;"Riktig",LEFT(G22,5)&lt;&gt;"Skriv")</formula>
    </cfRule>
  </conditionalFormatting>
  <conditionalFormatting sqref="G23">
    <cfRule type="expression" priority="4" aboveAverage="0" equalAverage="0" bottom="0" percent="0" rank="0" text="" dxfId="0">
      <formula>LEFT(G23,6)="Riktig"</formula>
    </cfRule>
    <cfRule type="expression" priority="5" aboveAverage="0" equalAverage="0" bottom="0" percent="0" rank="0" text="" dxfId="1">
      <formula>AND(G23&lt;&gt;"",LEFT(G23,6)&lt;&gt;"Riktig",LEFT(G23,5)&lt;&gt;"Skriv")</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LEFT(G25,4)="Ikke"</formula>
    </cfRule>
  </conditionalFormatting>
  <conditionalFormatting sqref="G28">
    <cfRule type="expression" priority="8" aboveAverage="0" equalAverage="0" bottom="0" percent="0" rank="0" text="" dxfId="0">
      <formula>LEFT(G28,6)="Riktig"</formula>
    </cfRule>
    <cfRule type="expression" priority="9" aboveAverage="0" equalAverage="0" bottom="0" percent="0" rank="0" text="" dxfId="1">
      <formula>LEFT(G28,4)="Ikke"</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LEFT(G29,4)="Ikke"</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LEFT(G30,4)="Ikke"</formula>
    </cfRule>
  </conditionalFormatting>
  <conditionalFormatting sqref="G31">
    <cfRule type="expression" priority="14" aboveAverage="0" equalAverage="0" bottom="0" percent="0" rank="0" text="" dxfId="0">
      <formula>LEFT(G31,6)="Riktig"</formula>
    </cfRule>
    <cfRule type="expression" priority="15" aboveAverage="0" equalAverage="0" bottom="0" percent="0" rank="0" text="" dxfId="1">
      <formula>LEFT(G31,4)="Ikke"</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LEFT(G32,4)="Ikke"</formula>
    </cfRule>
  </conditionalFormatting>
  <dataValidations count="7">
    <dataValidation allowBlank="true" errorStyle="stop" operator="between" showDropDown="false" showErrorMessage="false" showInputMessage="false" sqref="C25" type="list">
      <formula1>$Z$1:$Z$3</formula1>
      <formula2>0</formula2>
    </dataValidation>
    <dataValidation allowBlank="true" errorStyle="stop" operator="between" showDropDown="false" showErrorMessage="false" showInputMessage="false" sqref="C28" type="list">
      <formula1>$Z$4:$Z$8</formula1>
      <formula2>0</formula2>
    </dataValidation>
    <dataValidation allowBlank="true" errorStyle="stop" operator="between" showDropDown="false" showErrorMessage="false" showInputMessage="false" sqref="C29" type="list">
      <formula1>$Z$9:$Z$13</formula1>
      <formula2>0</formula2>
    </dataValidation>
    <dataValidation allowBlank="true" errorStyle="stop" operator="between" showDropDown="false" showErrorMessage="false" showInputMessage="false" sqref="C30" type="list">
      <formula1>$Z$14:$Z$18</formula1>
      <formula2>0</formula2>
    </dataValidation>
    <dataValidation allowBlank="true" errorStyle="stop" operator="between" showDropDown="false" showErrorMessage="false" showInputMessage="false" sqref="C31" type="list">
      <formula1>$Z$19:$Z$23</formula1>
      <formula2>0</formula2>
    </dataValidation>
    <dataValidation allowBlank="true" errorStyle="stop" operator="between" showDropDown="false" showErrorMessage="false" showInputMessage="false" sqref="C32" type="list">
      <formula1>$Z$24:$Z$28</formula1>
      <formula2>0</formula2>
    </dataValidation>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52</v>
      </c>
    </row>
    <row r="2" customFormat="false" ht="25.5" hidden="false" customHeight="true" outlineLevel="0" collapsed="false">
      <c r="B2" s="5" t="s">
        <v>53</v>
      </c>
      <c r="C2" s="5"/>
      <c r="D2" s="5"/>
      <c r="E2" s="5"/>
      <c r="F2" s="5"/>
      <c r="G2" s="5"/>
      <c r="Z2" s="6" t="s">
        <v>54</v>
      </c>
    </row>
    <row r="3" customFormat="false" ht="15" hidden="false" customHeight="true" outlineLevel="0" collapsed="false">
      <c r="B3" s="7" t="s">
        <v>16</v>
      </c>
      <c r="C3" s="7"/>
      <c r="D3" s="7"/>
      <c r="E3" s="7"/>
      <c r="F3" s="7"/>
      <c r="G3" s="7"/>
      <c r="Z3" s="6" t="s">
        <v>55</v>
      </c>
    </row>
    <row r="4" customFormat="false" ht="15.75" hidden="false" customHeight="true" outlineLevel="0" collapsed="false">
      <c r="B4" s="8" t="s">
        <v>18</v>
      </c>
      <c r="C4" s="8"/>
      <c r="D4" s="8"/>
      <c r="E4" s="8"/>
      <c r="F4" s="8"/>
      <c r="G4" s="8"/>
      <c r="Z4" s="6" t="s">
        <v>56</v>
      </c>
    </row>
    <row r="5" customFormat="false" ht="90" hidden="false" customHeight="true" outlineLevel="0" collapsed="false">
      <c r="B5" s="9" t="s">
        <v>57</v>
      </c>
      <c r="C5" s="9"/>
      <c r="D5" s="9"/>
      <c r="E5" s="9"/>
      <c r="F5" s="9"/>
      <c r="G5" s="9"/>
      <c r="Z5" s="6" t="s">
        <v>58</v>
      </c>
    </row>
    <row r="6" customFormat="false" ht="15.75" hidden="false" customHeight="true" outlineLevel="0" collapsed="false">
      <c r="B6" s="8" t="s">
        <v>22</v>
      </c>
      <c r="C6" s="8"/>
      <c r="D6" s="8"/>
      <c r="E6" s="8"/>
      <c r="F6" s="8"/>
      <c r="G6" s="8"/>
      <c r="Z6" s="6" t="s">
        <v>59</v>
      </c>
    </row>
    <row r="7" customFormat="false" ht="60" hidden="false" customHeight="true" outlineLevel="0" collapsed="false">
      <c r="B7" s="9" t="s">
        <v>60</v>
      </c>
      <c r="C7" s="9"/>
      <c r="D7" s="9"/>
      <c r="E7" s="9"/>
      <c r="F7" s="9"/>
      <c r="G7" s="9"/>
      <c r="Z7" s="6" t="s">
        <v>61</v>
      </c>
    </row>
    <row r="8" customFormat="false" ht="15" hidden="false" customHeight="false" outlineLevel="0" collapsed="false">
      <c r="Z8" s="0" t="s">
        <v>62</v>
      </c>
    </row>
    <row r="9" customFormat="false" ht="15.75" hidden="false" customHeight="true" outlineLevel="0" collapsed="false">
      <c r="B9" s="8" t="s">
        <v>27</v>
      </c>
      <c r="C9" s="8"/>
      <c r="D9" s="8"/>
      <c r="E9" s="8"/>
      <c r="F9" s="8"/>
      <c r="G9" s="8"/>
      <c r="Z9" s="6" t="s">
        <v>56</v>
      </c>
    </row>
    <row r="10" customFormat="false" ht="60" hidden="false" customHeight="true" outlineLevel="0" collapsed="false">
      <c r="B10" s="9" t="s">
        <v>63</v>
      </c>
      <c r="C10" s="9"/>
      <c r="D10" s="9"/>
      <c r="E10" s="9"/>
      <c r="F10" s="9"/>
      <c r="G10" s="9"/>
      <c r="Z10" s="6" t="s">
        <v>58</v>
      </c>
    </row>
    <row r="11" customFormat="false" ht="15" hidden="false" customHeight="false" outlineLevel="0" collapsed="false">
      <c r="B11" s="10"/>
      <c r="C11" s="11" t="s">
        <v>64</v>
      </c>
      <c r="D11" s="11" t="s">
        <v>65</v>
      </c>
      <c r="Z11" s="6" t="s">
        <v>59</v>
      </c>
    </row>
    <row r="12" customFormat="false" ht="15" hidden="false" customHeight="false" outlineLevel="0" collapsed="false">
      <c r="B12" s="12" t="s">
        <v>66</v>
      </c>
      <c r="C12" s="25" t="n">
        <v>6</v>
      </c>
      <c r="D12" s="25" t="n">
        <v>6</v>
      </c>
      <c r="Z12" s="6" t="s">
        <v>61</v>
      </c>
    </row>
    <row r="13" customFormat="false" ht="15" hidden="false" customHeight="false" outlineLevel="0" collapsed="false">
      <c r="B13" s="12" t="s">
        <v>67</v>
      </c>
      <c r="C13" s="25" t="n">
        <v>2</v>
      </c>
      <c r="D13" s="25" t="n">
        <v>2</v>
      </c>
      <c r="Z13" s="6" t="s">
        <v>62</v>
      </c>
    </row>
    <row r="14" customFormat="false" ht="15" hidden="false" customHeight="false" outlineLevel="0" collapsed="false">
      <c r="B14" s="12" t="s">
        <v>68</v>
      </c>
      <c r="C14" s="25" t="n">
        <v>0</v>
      </c>
      <c r="D14" s="25" t="n">
        <v>2</v>
      </c>
      <c r="Z14" s="6" t="s">
        <v>56</v>
      </c>
    </row>
    <row r="15" customFormat="false" ht="15" hidden="false" customHeight="false" outlineLevel="0" collapsed="false">
      <c r="B15" s="12" t="s">
        <v>69</v>
      </c>
      <c r="C15" s="25" t="s">
        <v>70</v>
      </c>
      <c r="D15" s="25" t="s">
        <v>71</v>
      </c>
      <c r="Z15" s="6" t="s">
        <v>58</v>
      </c>
    </row>
    <row r="16" customFormat="false" ht="15" hidden="false" customHeight="false" outlineLevel="0" collapsed="false">
      <c r="Z16" s="0" t="s">
        <v>59</v>
      </c>
    </row>
    <row r="17" customFormat="false" ht="15.75" hidden="false" customHeight="true" outlineLevel="0" collapsed="false">
      <c r="B17" s="8" t="s">
        <v>37</v>
      </c>
      <c r="C17" s="8"/>
      <c r="D17" s="8"/>
      <c r="E17" s="8"/>
      <c r="F17" s="8"/>
      <c r="G17" s="8"/>
      <c r="Z17" s="6" t="s">
        <v>61</v>
      </c>
    </row>
    <row r="18" customFormat="false" ht="75" hidden="false" customHeight="true" outlineLevel="0" collapsed="false">
      <c r="B18" s="9" t="s">
        <v>72</v>
      </c>
      <c r="C18" s="9"/>
      <c r="D18" s="9"/>
      <c r="E18" s="9"/>
      <c r="F18" s="9"/>
      <c r="G18" s="9"/>
      <c r="Z18" s="6" t="s">
        <v>62</v>
      </c>
    </row>
    <row r="19" customFormat="false" ht="15" hidden="false" customHeight="false" outlineLevel="0" collapsed="false">
      <c r="Z19" s="0" t="s">
        <v>56</v>
      </c>
    </row>
    <row r="20" customFormat="false" ht="43.5" hidden="false" customHeight="true" outlineLevel="0" collapsed="false">
      <c r="B20" s="15" t="s">
        <v>73</v>
      </c>
      <c r="C20" s="26"/>
      <c r="D20" s="17" t="s">
        <v>74</v>
      </c>
      <c r="G20" s="18" t="str">
        <f aca="false">IF(C20="","Skriv svaret i den gule cellen.",IF(C20=(6+2),"Riktig.",IF(ABS(C20-(6))&lt;=0,"Du har telt montørene, men glemt de 2 lærlingene. De rapporterer også til Mona.",IF(ABS(C20-(9))&lt;=0,"Du har telt Mona selv. Kontrollspenn er bare dem hun har under seg.","Ikke riktig ennå. Se på regnestykket øverst på fanen, og sjekk at du har med alle leddene."))))</f>
        <v>Skriv svaret i den gule cellen.</v>
      </c>
      <c r="Z20" s="6" t="s">
        <v>58</v>
      </c>
    </row>
    <row r="21" customFormat="false" ht="43.5" hidden="false" customHeight="true" outlineLevel="0" collapsed="false">
      <c r="B21" s="15" t="s">
        <v>75</v>
      </c>
      <c r="C21" s="26"/>
      <c r="D21" s="17" t="s">
        <v>74</v>
      </c>
      <c r="G21" s="18" t="str">
        <f aca="false">IF(C21="","Skriv svaret i den gule cellen.",IF(C21=(2),"Riktig.",IF(ABS(C21-(8))&lt;=0,"Det er modell 1. I modell 2 rapporterer bare de 2 formennene direkte til Mona.",IF(ABS(C21-(6))&lt;=0,"Du har telt montørene. Mona har bare formennene direkte under seg; montørene har formannen som leder.",IF(ABS(C21-(3))&lt;=0,"Det er formannens kontrollspenn. Mona har de 2 formennene.","Ikke riktig ennå. Se på regnestykket øverst på fanen, og sjekk at du har med alle leddene.")))))</f>
        <v>Skriv svaret i den gule cellen.</v>
      </c>
      <c r="Z21" s="6" t="s">
        <v>59</v>
      </c>
    </row>
    <row r="22" customFormat="false" ht="43.5" hidden="false" customHeight="true" outlineLevel="0" collapsed="false">
      <c r="B22" s="15" t="s">
        <v>76</v>
      </c>
      <c r="C22" s="26"/>
      <c r="D22" s="17" t="s">
        <v>74</v>
      </c>
      <c r="G22" s="18" t="str">
        <f aca="false">IF(C22="","Skriv svaret i den gule cellen.",IF(C22=(2+1),"Riktig.",IF(ABS(C22-(4))&lt;=0,"Du har telt formannen selv. Han leder 2 montører og 1 lærling.",IF(ABS(C22-(2))&lt;=0,"Du har glemt lærlingen. Hvert lag har 2 montører og 1 lærling under formannen.","Ikke riktig ennå. Se på regnestykket øverst på fanen, og sjekk at du har med alle leddene."))))</f>
        <v>Skriv svaret i den gule cellen.</v>
      </c>
      <c r="Z22" s="6" t="s">
        <v>61</v>
      </c>
    </row>
    <row r="23" customFormat="false" ht="43.5" hidden="false" customHeight="true" outlineLevel="0" collapsed="false">
      <c r="B23" s="15" t="s">
        <v>77</v>
      </c>
      <c r="C23" s="26"/>
      <c r="D23" s="17" t="s">
        <v>78</v>
      </c>
      <c r="G23" s="18" t="str">
        <f aca="false">IF(C23="","Skriv svaret i den gule cellen.",IF(C23=(3),"Riktig.",IF(ABS(C23-(2))&lt;=0,"Det er modell 1: Mona og montørene. I modell 2 kommer formennene imellom: Mona, formann, montør.",IF(ABS(C23-(4))&lt;=0,"Du har telt ett nivå for mye. Montører og lærlinger står på samme nivå under formannen.","Ikke riktig ennå. Se på regnestykket øverst på fanen, og sjekk at du har med alle leddene."))))</f>
        <v>Skriv svaret i den gule cellen.</v>
      </c>
      <c r="Z23" s="6" t="s">
        <v>62</v>
      </c>
    </row>
    <row r="24" customFormat="false" ht="15" hidden="false" customHeight="false" outlineLevel="0" collapsed="false">
      <c r="Z24" s="0" t="s">
        <v>56</v>
      </c>
    </row>
    <row r="25" customFormat="false" ht="39.75" hidden="false" customHeight="true" outlineLevel="0" collapsed="false">
      <c r="B25" s="15" t="s">
        <v>79</v>
      </c>
      <c r="C25" s="19"/>
      <c r="G25" s="18" t="str">
        <f aca="false">IF(C25="","Velg i nedtrekksmenyen.",IF(C25="Enhetlig ledelse: hver underordnet skal bare ha én direkte overordnet","Riktig. Får montøren bestillinger fra rørleggeren og fra Mona, har han to som kan gi ordre om det samme arbeidet (14.2). Bestillingene skal gå gjennom Mona, som så gir ordren.","Ikke riktig. Får montøren bestillinger fra rørleggeren og fra Mona, har han to som kan gi ordre om det samme arbeidet (14.2). Bestillingene skal gå gjennom Mona, som så gir ordren."))</f>
        <v>Velg i nedtrekksmenyen.</v>
      </c>
      <c r="Z25" s="6" t="s">
        <v>58</v>
      </c>
    </row>
    <row r="26" customFormat="false" ht="15" hidden="false" customHeight="false" outlineLevel="0" collapsed="false">
      <c r="Z26" s="0" t="s">
        <v>59</v>
      </c>
    </row>
    <row r="27" customFormat="false" ht="15" hidden="false" customHeight="true" outlineLevel="0" collapsed="false">
      <c r="B27" s="20" t="s">
        <v>80</v>
      </c>
      <c r="C27" s="20"/>
      <c r="D27" s="20"/>
      <c r="E27" s="20"/>
      <c r="F27" s="20"/>
      <c r="G27" s="20"/>
      <c r="Z27" s="6" t="s">
        <v>61</v>
      </c>
    </row>
    <row r="28" customFormat="false" ht="39.75" hidden="false" customHeight="true" outlineLevel="0" collapsed="false">
      <c r="B28" s="15" t="s">
        <v>81</v>
      </c>
      <c r="C28" s="19"/>
      <c r="G28" s="18" t="str">
        <f aca="false">IF(C28="","Velg i nedtrekksmenyen.",IF(C28="Planlegging","Riktig. Å legge planen for hva som skal gjøres, er planlegging (14.2: budsjettering, lagerstyring, produksjonsplanlegging).","Ikke riktig. Å legge planen for hva som skal gjøres, er planlegging (14.2: budsjettering, lagerstyring, produksjonsplanlegging)."))</f>
        <v>Velg i nedtrekksmenyen.</v>
      </c>
      <c r="Z28" s="6" t="s">
        <v>62</v>
      </c>
    </row>
    <row r="29" customFormat="false" ht="39.75" hidden="false" customHeight="true" outlineLevel="0" collapsed="false">
      <c r="B29" s="15" t="s">
        <v>82</v>
      </c>
      <c r="C29" s="19"/>
      <c r="G29" s="18" t="str">
        <f aca="false">IF(C29="","Velg i nedtrekksmenyen.",IF(C29="Organisering","Riktig. Hvem gjør hva når, er organisering (14.2).","Ikke riktig. Hvem gjør hva når, er organisering (14.2)."))</f>
        <v>Velg i nedtrekksmenyen.</v>
      </c>
      <c r="Z29" s="6" t="s">
        <v>83</v>
      </c>
    </row>
    <row r="30" customFormat="false" ht="39.75" hidden="false" customHeight="true" outlineLevel="0" collapsed="false">
      <c r="B30" s="15" t="s">
        <v>84</v>
      </c>
      <c r="C30" s="19"/>
      <c r="G30" s="18" t="str">
        <f aca="false">IF(C30="","Velg i nedtrekksmenyen.",IF(C30="Ordregiving","Riktig. En konkret ordre om hvordan arbeidet utføres, er ordregiving (14.2).","Ikke riktig. En konkret ordre om hvordan arbeidet utføres, er ordregiving (14.2)."))</f>
        <v>Velg i nedtrekksmenyen.</v>
      </c>
      <c r="Z30" s="6" t="s">
        <v>85</v>
      </c>
    </row>
    <row r="31" customFormat="false" ht="39.75" hidden="false" customHeight="true" outlineLevel="0" collapsed="false">
      <c r="B31" s="15" t="s">
        <v>86</v>
      </c>
      <c r="C31" s="19"/>
      <c r="G31" s="18" t="str">
        <f aca="false">IF(C31="","Velg i nedtrekksmenyen.",IF(C31="Samordning","Riktig. Å knytte enkeltoppgavene sammen til en helhet, også med andre fag, er samordning (14.2).","Ikke riktig. Å knytte enkeltoppgavene sammen til en helhet, også med andre fag, er samordning (14.2)."))</f>
        <v>Velg i nedtrekksmenyen.</v>
      </c>
      <c r="Z31" s="6" t="s">
        <v>87</v>
      </c>
    </row>
    <row r="32" customFormat="false" ht="39.75" hidden="false" customHeight="true" outlineLevel="0" collapsed="false">
      <c r="B32" s="15" t="s">
        <v>88</v>
      </c>
      <c r="C32" s="19"/>
      <c r="G32" s="18" t="str">
        <f aca="false">IF(C32="","Velg i nedtrekksmenyen.",IF(C32="Kontroll og oppfølging","Riktig. Å se at det ble gjort som planlagt, er kontroll og oppfølging (14.2).","Ikke riktig. Å se at det ble gjort som planlagt, er kontroll og oppfølging (14.2)."))</f>
        <v>Velg i nedtrekksmenyen.</v>
      </c>
    </row>
    <row r="34" customFormat="false" ht="39.75" hidden="false" customHeight="true" outlineLevel="0" collapsed="false">
      <c r="B34" s="15" t="s">
        <v>89</v>
      </c>
      <c r="C34" s="19"/>
      <c r="G34" s="18" t="str">
        <f aca="false">IF(C34="","Velg i nedtrekksmenyen.",IF(C34="Hvert lag optimaliserer egne timer på bekostning av Fjell, for eksempel ved å ikke låne ut folk når det andre laget har det travelt","Riktig. Boka kaller det suboptimalisering: en avdeling blir så opptatt av sitt eget at det går på bekostning av helheten (14.4 og 14.5). Fayol: belønninger skal være rettferdige og fremme både trivsel og produktivitet (14.2). En lagbonus trenger et felles mål for hele Fjell.","Ikke riktig. Boka kaller det suboptimalisering: en avdeling blir så opptatt av sitt eget at det går på bekostning av helheten (14.4 og 14.5). Fayol: belønninger skal være rettferdige og fremme både trivsel og produktivitet (14.2). En lagbonus trenger et felles mål for hele Fjell."))</f>
        <v>Velg i nedtrekksmenyen.</v>
      </c>
    </row>
    <row r="36" customFormat="false" ht="30" hidden="false" customHeight="true" outlineLevel="0" collapsed="false">
      <c r="B36" s="9" t="s">
        <v>90</v>
      </c>
      <c r="C36" s="9"/>
      <c r="D36" s="9"/>
      <c r="E36" s="9"/>
      <c r="F36" s="9"/>
      <c r="G36" s="9"/>
    </row>
    <row r="37" customFormat="false" ht="21.75" hidden="false" customHeight="true" outlineLevel="0" collapsed="false">
      <c r="B37" s="21"/>
      <c r="C37" s="21"/>
      <c r="D37" s="21"/>
      <c r="E37" s="21"/>
      <c r="F37" s="21"/>
      <c r="G37" s="21"/>
    </row>
    <row r="38" customFormat="false" ht="21.75" hidden="false" customHeight="true" outlineLevel="0" collapsed="false">
      <c r="B38" s="21"/>
      <c r="C38" s="21"/>
      <c r="D38" s="21"/>
      <c r="E38" s="21"/>
      <c r="F38" s="21"/>
      <c r="G38" s="21"/>
    </row>
    <row r="39" customFormat="false" ht="21.75" hidden="false" customHeight="true" outlineLevel="0" collapsed="false">
      <c r="B39" s="21"/>
      <c r="C39" s="21"/>
      <c r="D39" s="21"/>
      <c r="E39" s="21"/>
      <c r="F39" s="21"/>
      <c r="G39" s="21"/>
    </row>
    <row r="40" customFormat="false" ht="39.75" hidden="false" customHeight="true" outlineLevel="0" collapsed="false">
      <c r="B40" s="22" t="str">
        <f aca="false">IF(LEN(B37)&lt;40,"",IF(AND(ISNUMBER(SEARCH("kontrollspenn",B37)),ISNUMBER(SEARCH("nivå",B37))),"Bra: du bruker både kontrollspenn og nivå. Sjekk at du har med at Mona også er faglig ansvarlig og skriver tilbudene, og hva modell 2 koster: et nivå til og formannstillegg.",IF(OR(ISNUMBER(SEARCH("kontrollspenn",B37)),ISNUMBER(SEARCH("nivå",B37))),"Du er på sporet. Bruk begge ordene: 8 er innenfor seks til ti på papiret, men Mona har flere roller; modell 2 gir henne 2, men koster et nivå til.","Tips: modell 1 gir kontrollspenn 8, innenfor Fayols seks til ti, men Mona er også faglig ansvarlig, tar kundemøtene og skriver tilbudene, og blir en flaskehals. Modell 2 gir henne 2 og lar formennene fordele dagen. Prisen er ett nivå til (tre nivåer) og to formannstillegg, og formennene er selv montører med lite tid til å lede.")))</f>
        <v/>
      </c>
      <c r="C40" s="22"/>
      <c r="D40" s="22"/>
      <c r="E40" s="22"/>
      <c r="F40" s="22"/>
      <c r="G40" s="22"/>
    </row>
    <row r="41" customFormat="false" ht="15" hidden="false" customHeight="false" outlineLevel="0" collapsed="false">
      <c r="B41" s="23" t="s">
        <v>50</v>
      </c>
      <c r="C41" s="19"/>
    </row>
    <row r="42" customFormat="false" ht="45" hidden="false" customHeight="true" outlineLevel="0" collapsed="false">
      <c r="B42" s="24" t="str">
        <f aca="false">IF(C41="JA","Hint: a: 6 + 2 = 8. b: de 2 formennene. c: 2 + 1 = 3. d: Mona, formann, montør = 3. e: enhetlig ledelse. f: ukeplanen er planlegging, fordelingen organisering, «start med skapet» ordregiving, rørleggeren først samordning, timelistene kontroll og oppfølging. g: suboptimalisering.","")</f>
        <v/>
      </c>
      <c r="C42" s="24"/>
      <c r="D42" s="24"/>
      <c r="E42" s="24"/>
      <c r="F42" s="24"/>
      <c r="G42" s="24"/>
    </row>
    <row r="44" customFormat="false" ht="30" hidden="false" customHeight="true" outlineLevel="0" collapsed="false">
      <c r="B44" s="7" t="s">
        <v>51</v>
      </c>
      <c r="C44" s="7"/>
      <c r="D44" s="7"/>
      <c r="E44" s="7"/>
      <c r="F44" s="7"/>
      <c r="G44" s="7"/>
    </row>
  </sheetData>
  <mergeCells count="16">
    <mergeCell ref="B2:G2"/>
    <mergeCell ref="B3:G3"/>
    <mergeCell ref="B4:G4"/>
    <mergeCell ref="B5:G5"/>
    <mergeCell ref="B6:G6"/>
    <mergeCell ref="B7:G7"/>
    <mergeCell ref="B9:G9"/>
    <mergeCell ref="B10:G10"/>
    <mergeCell ref="B17:G17"/>
    <mergeCell ref="B18:G18"/>
    <mergeCell ref="B27:G27"/>
    <mergeCell ref="B36:G36"/>
    <mergeCell ref="B37:G39"/>
    <mergeCell ref="B40:G40"/>
    <mergeCell ref="B42:G42"/>
    <mergeCell ref="B44:G44"/>
  </mergeCells>
  <conditionalFormatting sqref="G20">
    <cfRule type="expression" priority="2" aboveAverage="0" equalAverage="0" bottom="0" percent="0" rank="0" text="" dxfId="0">
      <formula>LEFT(G20,6)="Riktig"</formula>
    </cfRule>
    <cfRule type="expression" priority="3" aboveAverage="0" equalAverage="0" bottom="0" percent="0" rank="0" text="" dxfId="1">
      <formula>AND(G20&lt;&gt;"",LEFT(G20,6)&lt;&gt;"Riktig",LEFT(G20,5)&lt;&gt;"Skriv")</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AND(G21&lt;&gt;"",LEFT(G21,6)&lt;&gt;"Riktig",LEFT(G21,5)&lt;&gt;"Skriv")</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AND(G22&lt;&gt;"",LEFT(G22,6)&lt;&gt;"Riktig",LEFT(G22,5)&lt;&gt;"Skriv")</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AND(G23&lt;&gt;"",LEFT(G23,6)&lt;&gt;"Riktig",LEFT(G23,5)&lt;&gt;"Skriv")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LEFT(G25,4)="Ikke"</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LEFT(G28,4)="Ikke"</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LEFT(G29,4)="Ikke"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conditionalFormatting sqref="G31">
    <cfRule type="expression" priority="18" aboveAverage="0" equalAverage="0" bottom="0" percent="0" rank="0" text="" dxfId="0">
      <formula>LEFT(G31,6)="Riktig"</formula>
    </cfRule>
    <cfRule type="expression" priority="19" aboveAverage="0" equalAverage="0" bottom="0" percent="0" rank="0" text="" dxfId="1">
      <formula>LEFT(G31,4)="Ikke"</formula>
    </cfRule>
  </conditionalFormatting>
  <conditionalFormatting sqref="G32">
    <cfRule type="expression" priority="20" aboveAverage="0" equalAverage="0" bottom="0" percent="0" rank="0" text="" dxfId="0">
      <formula>LEFT(G32,6)="Riktig"</formula>
    </cfRule>
    <cfRule type="expression" priority="21" aboveAverage="0" equalAverage="0" bottom="0" percent="0" rank="0" text="" dxfId="1">
      <formula>LEFT(G32,4)="Ikke"</formula>
    </cfRule>
  </conditionalFormatting>
  <conditionalFormatting sqref="G34">
    <cfRule type="expression" priority="22" aboveAverage="0" equalAverage="0" bottom="0" percent="0" rank="0" text="" dxfId="0">
      <formula>LEFT(G34,6)="Riktig"</formula>
    </cfRule>
    <cfRule type="expression" priority="23" aboveAverage="0" equalAverage="0" bottom="0" percent="0" rank="0" text="" dxfId="1">
      <formula>LEFT(G34,4)="Ikke"</formula>
    </cfRule>
  </conditionalFormatting>
  <dataValidations count="8">
    <dataValidation allowBlank="true" errorStyle="stop" operator="between" showDropDown="false" showErrorMessage="false" showInputMessage="false" sqref="C25" type="list">
      <formula1>$Z$1:$Z$3</formula1>
      <formula2>0</formula2>
    </dataValidation>
    <dataValidation allowBlank="true" errorStyle="stop" operator="between" showDropDown="false" showErrorMessage="false" showInputMessage="false" sqref="C28" type="list">
      <formula1>$Z$4:$Z$8</formula1>
      <formula2>0</formula2>
    </dataValidation>
    <dataValidation allowBlank="true" errorStyle="stop" operator="between" showDropDown="false" showErrorMessage="false" showInputMessage="false" sqref="C29" type="list">
      <formula1>$Z$9:$Z$13</formula1>
      <formula2>0</formula2>
    </dataValidation>
    <dataValidation allowBlank="true" errorStyle="stop" operator="between" showDropDown="false" showErrorMessage="false" showInputMessage="false" sqref="C30" type="list">
      <formula1>$Z$14:$Z$18</formula1>
      <formula2>0</formula2>
    </dataValidation>
    <dataValidation allowBlank="true" errorStyle="stop" operator="between" showDropDown="false" showErrorMessage="false" showInputMessage="false" sqref="C31" type="list">
      <formula1>$Z$19:$Z$23</formula1>
      <formula2>0</formula2>
    </dataValidation>
    <dataValidation allowBlank="true" errorStyle="stop" operator="between" showDropDown="false" showErrorMessage="false" showInputMessage="false" sqref="C32" type="list">
      <formula1>$Z$24:$Z$28</formula1>
      <formula2>0</formula2>
    </dataValidation>
    <dataValidation allowBlank="true" errorStyle="stop" operator="between" showDropDown="false" showErrorMessage="false" showInputMessage="false" sqref="C34" type="list">
      <formula1>$Z$29:$Z$31</formula1>
      <formula2>0</formula2>
    </dataValidation>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91</v>
      </c>
    </row>
    <row r="2" customFormat="false" ht="25.5" hidden="false" customHeight="true" outlineLevel="0" collapsed="false">
      <c r="B2" s="5" t="s">
        <v>92</v>
      </c>
      <c r="C2" s="5"/>
      <c r="D2" s="5"/>
      <c r="E2" s="5"/>
      <c r="F2" s="5"/>
      <c r="G2" s="5"/>
      <c r="Z2" s="6" t="s">
        <v>93</v>
      </c>
    </row>
    <row r="3" customFormat="false" ht="15" hidden="false" customHeight="true" outlineLevel="0" collapsed="false">
      <c r="B3" s="7" t="s">
        <v>16</v>
      </c>
      <c r="C3" s="7"/>
      <c r="D3" s="7"/>
      <c r="E3" s="7"/>
      <c r="F3" s="7"/>
      <c r="G3" s="7"/>
      <c r="Z3" s="6" t="s">
        <v>94</v>
      </c>
    </row>
    <row r="4" customFormat="false" ht="15.75" hidden="false" customHeight="true" outlineLevel="0" collapsed="false">
      <c r="B4" s="8" t="s">
        <v>18</v>
      </c>
      <c r="C4" s="8"/>
      <c r="D4" s="8"/>
      <c r="E4" s="8"/>
      <c r="F4" s="8"/>
      <c r="G4" s="8"/>
      <c r="Z4" s="6" t="s">
        <v>95</v>
      </c>
    </row>
    <row r="5" customFormat="false" ht="60" hidden="false" customHeight="true" outlineLevel="0" collapsed="false">
      <c r="B5" s="9" t="s">
        <v>96</v>
      </c>
      <c r="C5" s="9"/>
      <c r="D5" s="9"/>
      <c r="E5" s="9"/>
      <c r="F5" s="9"/>
      <c r="G5" s="9"/>
      <c r="Z5" s="6" t="s">
        <v>91</v>
      </c>
    </row>
    <row r="6" customFormat="false" ht="15.75" hidden="false" customHeight="true" outlineLevel="0" collapsed="false">
      <c r="B6" s="8" t="s">
        <v>22</v>
      </c>
      <c r="C6" s="8"/>
      <c r="D6" s="8"/>
      <c r="E6" s="8"/>
      <c r="F6" s="8"/>
      <c r="G6" s="8"/>
      <c r="Z6" s="6" t="s">
        <v>93</v>
      </c>
    </row>
    <row r="7" customFormat="false" ht="75" hidden="false" customHeight="true" outlineLevel="0" collapsed="false">
      <c r="B7" s="9" t="s">
        <v>97</v>
      </c>
      <c r="C7" s="9"/>
      <c r="D7" s="9"/>
      <c r="E7" s="9"/>
      <c r="F7" s="9"/>
      <c r="G7" s="9"/>
      <c r="Z7" s="6" t="s">
        <v>94</v>
      </c>
    </row>
    <row r="8" customFormat="false" ht="15" hidden="false" customHeight="false" outlineLevel="0" collapsed="false">
      <c r="Z8" s="0" t="s">
        <v>95</v>
      </c>
    </row>
    <row r="9" customFormat="false" ht="15.75" hidden="false" customHeight="true" outlineLevel="0" collapsed="false">
      <c r="B9" s="8" t="s">
        <v>27</v>
      </c>
      <c r="C9" s="8"/>
      <c r="D9" s="8"/>
      <c r="E9" s="8"/>
      <c r="F9" s="8"/>
      <c r="G9" s="8"/>
      <c r="Z9" s="6" t="s">
        <v>91</v>
      </c>
    </row>
    <row r="10" customFormat="false" ht="30" hidden="false" customHeight="true" outlineLevel="0" collapsed="false">
      <c r="B10" s="9" t="s">
        <v>98</v>
      </c>
      <c r="C10" s="9"/>
      <c r="D10" s="9"/>
      <c r="E10" s="9"/>
      <c r="F10" s="9"/>
      <c r="G10" s="9"/>
      <c r="Z10" s="6" t="s">
        <v>93</v>
      </c>
    </row>
    <row r="11" customFormat="false" ht="15" hidden="false" customHeight="false" outlineLevel="0" collapsed="false">
      <c r="B11" s="10"/>
      <c r="C11" s="11" t="s">
        <v>99</v>
      </c>
      <c r="D11" s="11" t="s">
        <v>100</v>
      </c>
      <c r="Z11" s="6" t="s">
        <v>94</v>
      </c>
    </row>
    <row r="12" customFormat="false" ht="15" hidden="false" customHeight="false" outlineLevel="0" collapsed="false">
      <c r="B12" s="12" t="s">
        <v>101</v>
      </c>
      <c r="C12" s="27" t="n">
        <v>1400</v>
      </c>
      <c r="D12" s="28" t="n">
        <f aca="false">C12*2</f>
        <v>2800</v>
      </c>
      <c r="Z12" s="6" t="s">
        <v>95</v>
      </c>
    </row>
    <row r="13" customFormat="false" ht="15" hidden="false" customHeight="false" outlineLevel="0" collapsed="false">
      <c r="B13" s="12" t="s">
        <v>102</v>
      </c>
      <c r="C13" s="27" t="n">
        <v>400</v>
      </c>
      <c r="D13" s="28" t="n">
        <f aca="false">C13*2</f>
        <v>800</v>
      </c>
      <c r="Z13" s="6" t="s">
        <v>91</v>
      </c>
    </row>
    <row r="14" customFormat="false" ht="15" hidden="false" customHeight="false" outlineLevel="0" collapsed="false">
      <c r="B14" s="12" t="s">
        <v>103</v>
      </c>
      <c r="C14" s="28" t="n">
        <f aca="false">C12+C13</f>
        <v>1800</v>
      </c>
      <c r="D14" s="28" t="n">
        <f aca="false">D12+D13</f>
        <v>3600</v>
      </c>
      <c r="Z14" s="6" t="s">
        <v>93</v>
      </c>
    </row>
    <row r="15" customFormat="false" ht="15" hidden="false" customHeight="false" outlineLevel="0" collapsed="false">
      <c r="Z15" s="0" t="s">
        <v>94</v>
      </c>
    </row>
    <row r="16" customFormat="false" ht="15.75" hidden="false" customHeight="true" outlineLevel="0" collapsed="false">
      <c r="B16" s="8" t="s">
        <v>37</v>
      </c>
      <c r="C16" s="8"/>
      <c r="D16" s="8"/>
      <c r="E16" s="8"/>
      <c r="F16" s="8"/>
      <c r="G16" s="8"/>
      <c r="Z16" s="6" t="s">
        <v>95</v>
      </c>
    </row>
    <row r="17" customFormat="false" ht="60" hidden="false" customHeight="true" outlineLevel="0" collapsed="false">
      <c r="B17" s="9" t="s">
        <v>104</v>
      </c>
      <c r="C17" s="9"/>
      <c r="D17" s="9"/>
      <c r="E17" s="9"/>
      <c r="F17" s="9"/>
      <c r="G17" s="9"/>
      <c r="Z17" s="6" t="s">
        <v>91</v>
      </c>
    </row>
    <row r="18" customFormat="false" ht="15" hidden="false" customHeight="false" outlineLevel="0" collapsed="false">
      <c r="Z18" s="0" t="s">
        <v>93</v>
      </c>
    </row>
    <row r="19" customFormat="false" ht="15" hidden="false" customHeight="true" outlineLevel="0" collapsed="false">
      <c r="B19" s="20" t="s">
        <v>105</v>
      </c>
      <c r="C19" s="20"/>
      <c r="D19" s="20"/>
      <c r="E19" s="20"/>
      <c r="F19" s="20"/>
      <c r="G19" s="20"/>
      <c r="Z19" s="6" t="s">
        <v>94</v>
      </c>
    </row>
    <row r="20" customFormat="false" ht="39.75" hidden="false" customHeight="true" outlineLevel="0" collapsed="false">
      <c r="B20" s="15" t="s">
        <v>106</v>
      </c>
      <c r="C20" s="19"/>
      <c r="G20" s="18" t="str">
        <f aca="false">IF(C20="","Velg i nedtrekksmenyen.",IF(C20="Weber","Riktig. Autoritet knyttet til posisjon, ikke person (14.3).","Ikke riktig. Autoritet knyttet til posisjon, ikke person (14.3)."))</f>
        <v>Velg i nedtrekksmenyen.</v>
      </c>
      <c r="Z20" s="6" t="s">
        <v>95</v>
      </c>
    </row>
    <row r="21" customFormat="false" ht="39.75" hidden="false" customHeight="true" outlineLevel="0" collapsed="false">
      <c r="B21" s="15" t="s">
        <v>107</v>
      </c>
      <c r="C21" s="19"/>
      <c r="G21" s="18" t="str">
        <f aca="false">IF(C21="","Velg i nedtrekksmenyen.",IF(C21="Weber","Riktig. Rekruttering på bakgrunn av formell kompetanse (14.3). Kravet står i forskrift om elektroforetak og kvalifikasjonskrav (FEK) § 7.","Ikke riktig. Rekruttering på bakgrunn av formell kompetanse (14.3). Kravet står i forskrift om elektroforetak og kvalifikasjonskrav (FEK) § 7."))</f>
        <v>Velg i nedtrekksmenyen.</v>
      </c>
      <c r="Z21" s="6" t="s">
        <v>91</v>
      </c>
    </row>
    <row r="22" customFormat="false" ht="39.75" hidden="false" customHeight="true" outlineLevel="0" collapsed="false">
      <c r="B22" s="15" t="s">
        <v>108</v>
      </c>
      <c r="C22" s="19"/>
      <c r="G22" s="18" t="str">
        <f aca="false">IF(C22="","Velg i nedtrekksmenyen.",IF(C22="Weber","Riktig. Strenge krav til habilitet: klart skille mellom yrkesmessige og private forhold (14.3).","Ikke riktig. Strenge krav til habilitet: klart skille mellom yrkesmessige og private forhold (14.3)."))</f>
        <v>Velg i nedtrekksmenyen.</v>
      </c>
      <c r="Z22" s="6" t="s">
        <v>93</v>
      </c>
    </row>
    <row r="23" customFormat="false" ht="39.75" hidden="false" customHeight="true" outlineLevel="0" collapsed="false">
      <c r="B23" s="15" t="s">
        <v>109</v>
      </c>
      <c r="C23" s="19"/>
      <c r="G23" s="18" t="str">
        <f aca="false">IF(C23="","Velg i nedtrekksmenyen.",IF(C23="Taylor","Riktig. Tidsstudier og normtall er Taylors vitenskapelige ledelse (14.1). At normtiden er en fast regel, gjør den ikke til Weber.","Ikke riktig. Tidsstudier og normtall er Taylors vitenskapelige ledelse (14.1). At normtiden er en fast regel, gjør den ikke til Weber."))</f>
        <v>Velg i nedtrekksmenyen.</v>
      </c>
      <c r="Z23" s="6" t="s">
        <v>94</v>
      </c>
    </row>
    <row r="24" customFormat="false" ht="39.75" hidden="false" customHeight="true" outlineLevel="0" collapsed="false">
      <c r="B24" s="15" t="s">
        <v>110</v>
      </c>
      <c r="C24" s="19"/>
      <c r="G24" s="18" t="str">
        <f aca="false">IF(C24="","Velg i nedtrekksmenyen.",IF(C24="Fayol","Riktig. Enhetlig ledelse er Fayols prinsipp (14.2).","Ikke riktig. Enhetlig ledelse er Fayols prinsipp (14.2)."))</f>
        <v>Velg i nedtrekksmenyen.</v>
      </c>
      <c r="Z24" s="6" t="s">
        <v>95</v>
      </c>
    </row>
    <row r="25" customFormat="false" ht="39.75" hidden="false" customHeight="true" outlineLevel="0" collapsed="false">
      <c r="B25" s="15" t="s">
        <v>111</v>
      </c>
      <c r="C25" s="19"/>
      <c r="G25" s="18" t="str">
        <f aca="false">IF(C25="","Velg i nedtrekksmenyen.",IF(C25="Bryter med Weber","Riktig. Det motsatte av Weber, som krever rekruttering etter formell kompetanse og ansiennitet og klart skille mellom jobb og privat (14.3).","Ikke riktig. Det motsatte av Weber, som krever rekruttering etter formell kompetanse og ansiennitet og klart skille mellom jobb og privat (14.3)."))</f>
        <v>Velg i nedtrekksmenyen.</v>
      </c>
      <c r="Z25" s="6" t="s">
        <v>112</v>
      </c>
    </row>
    <row r="26" customFormat="false" ht="15" hidden="false" customHeight="false" outlineLevel="0" collapsed="false">
      <c r="Z26" s="0" t="s">
        <v>113</v>
      </c>
    </row>
    <row r="27" customFormat="false" ht="43.5" hidden="false" customHeight="true" outlineLevel="0" collapsed="false">
      <c r="B27" s="15" t="s">
        <v>114</v>
      </c>
      <c r="C27" s="29"/>
      <c r="D27" s="17" t="s">
        <v>115</v>
      </c>
      <c r="G27" s="18" t="str">
        <f aca="false">IF(C27="","Skriv svaret i den gule cellen.",IF(ABS(C27-(ROUND(2800/3600*100,1)))&lt;=0.05,"Riktig.",IF(ABS(C27-(ROUND(2800/3600,1)))&lt;=0.05,"Du har svart brøken 0,8. Skriv svaret i prosent: gang med 100.",IF(ABS(C27-(ROUND(800/3600*100,1)))&lt;=0.05,"Du har regnet andelen som ikke faktureres, 22,2 %. Spørsmålet er andelen som faktureres.",IF(ABS(C27-(ROUND(1400/400*100,1)))&lt;=0.05,"Du har delt fakturerbare på ikke-fakturerbare. Del på alle betalte timer, 1 800 per montør.",IF(ABS(C27-(ROUND(400/1400*100,1)))&lt;=0.05,"Du har delt de ikke-fakturerbare på de fakturerbare. Faktureringsgrad er fakturerte delt på betalte.","Ikke riktig ennå. Fakturerte timer delt på betalte timer, ganger 100. 2 800 / 3 600 × 100."))))))</f>
        <v>Skriv svaret i den gule cellen.</v>
      </c>
      <c r="Z27" s="6" t="s">
        <v>116</v>
      </c>
    </row>
    <row r="28" customFormat="false" ht="43.5" hidden="false" customHeight="true" outlineLevel="0" collapsed="false">
      <c r="B28" s="15" t="s">
        <v>117</v>
      </c>
      <c r="C28" s="26"/>
      <c r="D28" s="17" t="s">
        <v>118</v>
      </c>
      <c r="G28" s="18" t="str">
        <f aca="false">IF(C28="","Skriv svaret i den gule cellen.",IF(C28=(2*400),"Riktig.",IF(ABS(C28-(400))&lt;=0,"Det er per montør. Fjell har to.",IF(ABS(C28-(2800))&lt;=0,"Det er de fakturerbare timene. Spørsmålet er de ikke-fakturerbare: 400 per montør.",IF(ABS(C28-(3600))&lt;=0,"Det er alle betalte timer. Trekk fra de fakturerbare.","Ikke riktig ennå. Se på regnestykket øverst på fanen, og sjekk at du har med alle leddene.")))))</f>
        <v>Skriv svaret i den gule cellen.</v>
      </c>
    </row>
    <row r="30" customFormat="false" ht="39.75" hidden="false" customHeight="true" outlineLevel="0" collapsed="false">
      <c r="B30" s="15" t="s">
        <v>119</v>
      </c>
      <c r="C30" s="19"/>
      <c r="G30" s="18" t="str">
        <f aca="false">IF(C30="","Velg i nedtrekksmenyen.",IF(C30="Tallet måler indre effektivitet. Bedriften er først effektiv når den også gjør det markedet vil ha (ytre effektivitet)","Riktig. Indre effektivitet er å gjøre tingene riktig, med lavest mulig ressursforbruk. Ytre effektivitet er å gjøre de riktige tingene. Først når bedriften scorer høyt på begge, er den effektiv (avsnittet om effektivitet etter 14.3).","Ikke riktig. Indre effektivitet er å gjøre tingene riktig, med lavest mulig ressursforbruk. Ytre effektivitet er å gjøre de riktige tingene. Først når bedriften scorer høyt på begge, er den effektiv (avsnittet om effektivitet etter 14.3)."))</f>
        <v>Velg i nedtrekksmenyen.</v>
      </c>
    </row>
    <row r="32" customFormat="false" ht="30" hidden="false" customHeight="true" outlineLevel="0" collapsed="false">
      <c r="B32" s="9" t="s">
        <v>120</v>
      </c>
      <c r="C32" s="9"/>
      <c r="D32" s="9"/>
      <c r="E32" s="9"/>
      <c r="F32" s="9"/>
      <c r="G32" s="9"/>
    </row>
    <row r="33" customFormat="false" ht="21.75" hidden="false" customHeight="true" outlineLevel="0" collapsed="false">
      <c r="B33" s="21"/>
      <c r="C33" s="21"/>
      <c r="D33" s="21"/>
      <c r="E33" s="21"/>
      <c r="F33" s="21"/>
      <c r="G33" s="21"/>
    </row>
    <row r="34" customFormat="false" ht="21.75" hidden="false" customHeight="true" outlineLevel="0" collapsed="false">
      <c r="B34" s="21"/>
      <c r="C34" s="21"/>
      <c r="D34" s="21"/>
      <c r="E34" s="21"/>
      <c r="F34" s="21"/>
      <c r="G34" s="21"/>
    </row>
    <row r="35" customFormat="false" ht="21.75" hidden="false" customHeight="true" outlineLevel="0" collapsed="false">
      <c r="B35" s="21"/>
      <c r="C35" s="21"/>
      <c r="D35" s="21"/>
      <c r="E35" s="21"/>
      <c r="F35" s="21"/>
      <c r="G35" s="21"/>
    </row>
    <row r="36" customFormat="false" ht="39.75" hidden="false" customHeight="true" outlineLevel="0" collapsed="false">
      <c r="B36" s="22" t="str">
        <f aca="false">IF(LEN(B33)&lt;40,"",IF(AND(ISNUMBER(SEARCH("Weber",B33)),ISNUMBER(SEARCH("pålitelig",B33))),"Bra: du bruker Weber og pålitelighet. Sjekk at du også gir montøren rett i noe: regler kan hemme skjønn, så skjemaene bør være enkle og tiden legges inn i normtiden.",IF(OR(ISNUMBER(SEARCH("Weber",B33)),ISNUMBER(SEARCH("pålitelig",B33))),"Du er på sporet. Bruk Webers ord: idealtypen gir tempo, presisjon, klarhet, regelmessighet og pålitelighet, og anlegget er like trygt uansett hvem som la det.","Tips: Weber mente byråkratiet var den mest effektive formen, med tempo, presisjon, klarhet, regelmessighet og pålitelighet. Samsvarserklæringen gjør at kunden kan dokumentere anlegget og neste elektriker kan overta, og dokumentasjonen er et krav, ikke et valg. Montøren har rett i at regler kan hemme skjønn: gjør skjemaene enkle, og legg tiden inn i normtiden.")))</f>
        <v/>
      </c>
      <c r="C36" s="22"/>
      <c r="D36" s="22"/>
      <c r="E36" s="22"/>
      <c r="F36" s="22"/>
      <c r="G36" s="22"/>
    </row>
    <row r="37" customFormat="false" ht="15" hidden="false" customHeight="false" outlineLevel="0" collapsed="false">
      <c r="B37" s="23" t="s">
        <v>50</v>
      </c>
      <c r="C37" s="19"/>
    </row>
    <row r="38" customFormat="false" ht="45" hidden="false" customHeight="true" outlineLevel="0" collapsed="false">
      <c r="B38" s="24" t="str">
        <f aca="false">IF(C37="JA","Hint: a: signaturen, installatørprøven og habiliteten er Weber; normtiden er Taylor; én sjef er Fayol; nevøen bryter med Weber. b: 2 × 1 400 = 2 800 fakturerte av 2 × 1 800 = 3 600 betalte timer: 2 800 / 3 600 × 100 = 77,8 %. c: 2 × 400 = 800 timer. d: indre effektivitet.","")</f>
        <v/>
      </c>
      <c r="C38" s="24"/>
      <c r="D38" s="24"/>
      <c r="E38" s="24"/>
      <c r="F38" s="24"/>
      <c r="G38" s="24"/>
    </row>
    <row r="40" customFormat="false" ht="30" hidden="false" customHeight="true" outlineLevel="0" collapsed="false">
      <c r="B40" s="7" t="s">
        <v>51</v>
      </c>
      <c r="C40" s="7"/>
      <c r="D40" s="7"/>
      <c r="E40" s="7"/>
      <c r="F40" s="7"/>
      <c r="G40" s="7"/>
    </row>
  </sheetData>
  <mergeCells count="16">
    <mergeCell ref="B2:G2"/>
    <mergeCell ref="B3:G3"/>
    <mergeCell ref="B4:G4"/>
    <mergeCell ref="B5:G5"/>
    <mergeCell ref="B6:G6"/>
    <mergeCell ref="B7:G7"/>
    <mergeCell ref="B9:G9"/>
    <mergeCell ref="B10:G10"/>
    <mergeCell ref="B16:G16"/>
    <mergeCell ref="B17:G17"/>
    <mergeCell ref="B19:G19"/>
    <mergeCell ref="B32:G32"/>
    <mergeCell ref="B33:G35"/>
    <mergeCell ref="B36:G36"/>
    <mergeCell ref="B38:G38"/>
    <mergeCell ref="B40:G40"/>
  </mergeCells>
  <conditionalFormatting sqref="G20">
    <cfRule type="expression" priority="2" aboveAverage="0" equalAverage="0" bottom="0" percent="0" rank="0" text="" dxfId="0">
      <formula>LEFT(G20,6)="Riktig"</formula>
    </cfRule>
    <cfRule type="expression" priority="3" aboveAverage="0" equalAverage="0" bottom="0" percent="0" rank="0" text="" dxfId="1">
      <formula>LEFT(G20,4)="Ikke"</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LEFT(G21,4)="Ikke"</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LEFT(G22,4)="Ikke"</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LEFT(G23,4)="Ikke"</formula>
    </cfRule>
  </conditionalFormatting>
  <conditionalFormatting sqref="G24">
    <cfRule type="expression" priority="10" aboveAverage="0" equalAverage="0" bottom="0" percent="0" rank="0" text="" dxfId="0">
      <formula>LEFT(G24,6)="Riktig"</formula>
    </cfRule>
    <cfRule type="expression" priority="11" aboveAverage="0" equalAverage="0" bottom="0" percent="0" rank="0" text="" dxfId="1">
      <formula>LEFT(G24,4)="Ikke"</formula>
    </cfRule>
  </conditionalFormatting>
  <conditionalFormatting sqref="G25">
    <cfRule type="expression" priority="12" aboveAverage="0" equalAverage="0" bottom="0" percent="0" rank="0" text="" dxfId="0">
      <formula>LEFT(G25,6)="Riktig"</formula>
    </cfRule>
    <cfRule type="expression" priority="13" aboveAverage="0" equalAverage="0" bottom="0" percent="0" rank="0" text="" dxfId="1">
      <formula>LEFT(G25,4)="Ikke"</formula>
    </cfRule>
  </conditionalFormatting>
  <conditionalFormatting sqref="G27">
    <cfRule type="expression" priority="14" aboveAverage="0" equalAverage="0" bottom="0" percent="0" rank="0" text="" dxfId="0">
      <formula>LEFT(G27,6)="Riktig"</formula>
    </cfRule>
    <cfRule type="expression" priority="15" aboveAverage="0" equalAverage="0" bottom="0" percent="0" rank="0" text="" dxfId="1">
      <formula>AND(G27&lt;&gt;"",LEFT(G27,6)&lt;&gt;"Riktig",LEFT(G27,5)&lt;&gt;"Skriv")</formula>
    </cfRule>
  </conditionalFormatting>
  <conditionalFormatting sqref="G28">
    <cfRule type="expression" priority="16" aboveAverage="0" equalAverage="0" bottom="0" percent="0" rank="0" text="" dxfId="0">
      <formula>LEFT(G28,6)="Riktig"</formula>
    </cfRule>
    <cfRule type="expression" priority="17" aboveAverage="0" equalAverage="0" bottom="0" percent="0" rank="0" text="" dxfId="1">
      <formula>AND(G28&lt;&gt;"",LEFT(G28,6)&lt;&gt;"Riktig",LEFT(G28,5)&lt;&gt;"Skriv")</formula>
    </cfRule>
  </conditionalFormatting>
  <conditionalFormatting sqref="G30">
    <cfRule type="expression" priority="18" aboveAverage="0" equalAverage="0" bottom="0" percent="0" rank="0" text="" dxfId="0">
      <formula>LEFT(G30,6)="Riktig"</formula>
    </cfRule>
    <cfRule type="expression" priority="19" aboveAverage="0" equalAverage="0" bottom="0" percent="0" rank="0" text="" dxfId="1">
      <formula>LEFT(G30,4)="Ikke"</formula>
    </cfRule>
  </conditionalFormatting>
  <dataValidations count="8">
    <dataValidation allowBlank="true" errorStyle="stop" operator="between" showDropDown="false" showErrorMessage="false" showInputMessage="false" sqref="C20" type="list">
      <formula1>$Z$1:$Z$4</formula1>
      <formula2>0</formula2>
    </dataValidation>
    <dataValidation allowBlank="true" errorStyle="stop" operator="between" showDropDown="false" showErrorMessage="false" showInputMessage="false" sqref="C21" type="list">
      <formula1>$Z$5:$Z$8</formula1>
      <formula2>0</formula2>
    </dataValidation>
    <dataValidation allowBlank="true" errorStyle="stop" operator="between" showDropDown="false" showErrorMessage="false" showInputMessage="false" sqref="C22" type="list">
      <formula1>$Z$9:$Z$12</formula1>
      <formula2>0</formula2>
    </dataValidation>
    <dataValidation allowBlank="true" errorStyle="stop" operator="between" showDropDown="false" showErrorMessage="false" showInputMessage="false" sqref="C23" type="list">
      <formula1>$Z$13:$Z$16</formula1>
      <formula2>0</formula2>
    </dataValidation>
    <dataValidation allowBlank="true" errorStyle="stop" operator="between" showDropDown="false" showErrorMessage="false" showInputMessage="false" sqref="C24" type="list">
      <formula1>$Z$17:$Z$20</formula1>
      <formula2>0</formula2>
    </dataValidation>
    <dataValidation allowBlank="true" errorStyle="stop" operator="between" showDropDown="false" showErrorMessage="false" showInputMessage="false" sqref="C25" type="list">
      <formula1>$Z$21:$Z$24</formula1>
      <formula2>0</formula2>
    </dataValidation>
    <dataValidation allowBlank="true" errorStyle="stop" operator="between" showDropDown="false" showErrorMessage="false" showInputMessage="false" sqref="C30" type="list">
      <formula1>$Z$25:$Z$27</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30" t="s">
        <v>121</v>
      </c>
    </row>
    <row r="3" customFormat="false" ht="30" hidden="false" customHeight="true" outlineLevel="0" collapsed="false">
      <c r="B3" s="7" t="s">
        <v>122</v>
      </c>
      <c r="C3" s="7"/>
      <c r="D3" s="7"/>
    </row>
    <row r="5" customFormat="false" ht="15" hidden="false" customHeight="false" outlineLevel="0" collapsed="false">
      <c r="B5" s="31" t="s">
        <v>123</v>
      </c>
      <c r="C5" s="31" t="s">
        <v>124</v>
      </c>
      <c r="D5" s="31" t="s">
        <v>125</v>
      </c>
    </row>
    <row r="6" customFormat="false" ht="30" hidden="false" customHeight="true" outlineLevel="0" collapsed="false">
      <c r="B6" s="32" t="s">
        <v>126</v>
      </c>
      <c r="C6" s="28" t="n">
        <v>320400</v>
      </c>
      <c r="D6" s="32" t="s">
        <v>127</v>
      </c>
    </row>
    <row r="7" customFormat="false" ht="30" hidden="false" customHeight="true" outlineLevel="0" collapsed="false">
      <c r="B7" s="32" t="s">
        <v>128</v>
      </c>
      <c r="C7" s="28" t="n">
        <v>53400</v>
      </c>
      <c r="D7" s="32" t="s">
        <v>129</v>
      </c>
    </row>
    <row r="8" customFormat="false" ht="30" hidden="false" customHeight="true" outlineLevel="0" collapsed="false">
      <c r="B8" s="32" t="s">
        <v>130</v>
      </c>
      <c r="C8" s="28"/>
      <c r="D8" s="32" t="s">
        <v>131</v>
      </c>
    </row>
    <row r="9" customFormat="false" ht="30" hidden="false" customHeight="true" outlineLevel="0" collapsed="false">
      <c r="B9" s="32" t="s">
        <v>132</v>
      </c>
      <c r="C9" s="28"/>
      <c r="D9" s="32" t="s">
        <v>133</v>
      </c>
    </row>
    <row r="10" customFormat="false" ht="45" hidden="false" customHeight="true" outlineLevel="0" collapsed="false">
      <c r="B10" s="32" t="s">
        <v>134</v>
      </c>
      <c r="C10" s="28"/>
      <c r="D10" s="32" t="s">
        <v>135</v>
      </c>
    </row>
    <row r="11" customFormat="false" ht="30" hidden="false" customHeight="true" outlineLevel="0" collapsed="false">
      <c r="B11" s="32" t="s">
        <v>136</v>
      </c>
      <c r="C11" s="28" t="n">
        <v>8</v>
      </c>
      <c r="D11" s="32" t="s">
        <v>137</v>
      </c>
    </row>
    <row r="12" customFormat="false" ht="30" hidden="false" customHeight="true" outlineLevel="0" collapsed="false">
      <c r="B12" s="32" t="s">
        <v>138</v>
      </c>
      <c r="C12" s="28" t="n">
        <v>2</v>
      </c>
      <c r="D12" s="32" t="s">
        <v>71</v>
      </c>
    </row>
    <row r="13" customFormat="false" ht="30" hidden="false" customHeight="true" outlineLevel="0" collapsed="false">
      <c r="B13" s="32" t="s">
        <v>139</v>
      </c>
      <c r="C13" s="28" t="n">
        <v>3</v>
      </c>
      <c r="D13" s="32" t="s">
        <v>140</v>
      </c>
    </row>
    <row r="14" customFormat="false" ht="30" hidden="false" customHeight="true" outlineLevel="0" collapsed="false">
      <c r="B14" s="32" t="s">
        <v>141</v>
      </c>
      <c r="C14" s="28" t="n">
        <v>3</v>
      </c>
      <c r="D14" s="32" t="s">
        <v>142</v>
      </c>
    </row>
    <row r="15" customFormat="false" ht="30" hidden="false" customHeight="true" outlineLevel="0" collapsed="false">
      <c r="B15" s="32" t="s">
        <v>143</v>
      </c>
      <c r="C15" s="28"/>
      <c r="D15" s="32" t="s">
        <v>144</v>
      </c>
    </row>
    <row r="16" customFormat="false" ht="30" hidden="false" customHeight="true" outlineLevel="0" collapsed="false">
      <c r="B16" s="32" t="s">
        <v>145</v>
      </c>
      <c r="C16" s="28"/>
      <c r="D16" s="32" t="s">
        <v>146</v>
      </c>
    </row>
    <row r="17" customFormat="false" ht="30" hidden="false" customHeight="true" outlineLevel="0" collapsed="false">
      <c r="B17" s="32" t="s">
        <v>147</v>
      </c>
      <c r="C17" s="28"/>
      <c r="D17" s="32" t="s">
        <v>148</v>
      </c>
    </row>
    <row r="18" customFormat="false" ht="45" hidden="false" customHeight="true" outlineLevel="0" collapsed="false">
      <c r="B18" s="32" t="s">
        <v>149</v>
      </c>
      <c r="C18" s="28"/>
      <c r="D18" s="32" t="s">
        <v>150</v>
      </c>
    </row>
    <row r="19" customFormat="false" ht="30" hidden="false" customHeight="true" outlineLevel="0" collapsed="false">
      <c r="B19" s="32" t="s">
        <v>151</v>
      </c>
      <c r="C19" s="28"/>
      <c r="D19" s="32" t="s">
        <v>152</v>
      </c>
    </row>
    <row r="20" customFormat="false" ht="30" hidden="false" customHeight="true" outlineLevel="0" collapsed="false">
      <c r="B20" s="32" t="s">
        <v>153</v>
      </c>
      <c r="C20" s="28" t="n">
        <v>77.8</v>
      </c>
      <c r="D20" s="32" t="s">
        <v>154</v>
      </c>
    </row>
    <row r="21" customFormat="false" ht="30" hidden="false" customHeight="true" outlineLevel="0" collapsed="false">
      <c r="B21" s="32" t="s">
        <v>155</v>
      </c>
      <c r="C21" s="28" t="n">
        <v>800</v>
      </c>
      <c r="D21" s="32" t="s">
        <v>156</v>
      </c>
    </row>
    <row r="22" customFormat="false" ht="30" hidden="false" customHeight="true" outlineLevel="0" collapsed="false">
      <c r="B22" s="32" t="s">
        <v>157</v>
      </c>
      <c r="C22" s="28"/>
      <c r="D22" s="32" t="s">
        <v>158</v>
      </c>
    </row>
    <row r="23" customFormat="false" ht="60" hidden="false" customHeight="true" outlineLevel="0" collapsed="false">
      <c r="B23" s="32" t="s">
        <v>159</v>
      </c>
      <c r="C23" s="28"/>
      <c r="D23" s="32" t="s">
        <v>160</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2026-10-14T17:45:45Z</dcterms:created>
  <dc:creator>openpyxl</dc:creator>
  <dc:description/>
  <dc:language>en-US</dc:language>
  <cp:lastModifiedBy/>
  <dcterms:modified xsi:type="dcterms:W3CDTF">2026-10-14T17:45:45Z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