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<sst xmlns="http://schemas.openxmlformats.org/spreadsheetml/2006/main" count="298" uniqueCount="179">
  <si>
    <t xml:space="preserve">Markedssegmentering: oppgaver til kapittel 5</t>
  </si>
  <si>
    <t xml:space="preserve">Markedsføring, organisasjon og ledelse for LØM-emnet (Hjertnes), kapittel 5. Versjon 6, oktober 2026. Nordlys Elektro AS og Fjell Elektro AS er konstruerte casebedrifter; tallene er faktaarkene og casetallene fra kapittel 1.</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</si>
  <si>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</si>
  <si>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</si>
  <si>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</si>
  <si>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</si>
  <si>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</si>
  <si>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</si>
  <si>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Ni kriterier på Idas liste: hvilken type, og hvilke er brukbare?</t>
  </si>
  <si>
    <t xml:space="preserve">1B  Regn segmentet borettslag, og test det mot de fire kravene</t>
  </si>
  <si>
    <t xml:space="preserve">1C  Kari skal velge Nordlys' målgrupper og strategi. Hva anbefaler du?</t>
  </si>
  <si>
    <t xml:space="preserve">Fasit  Alle svar med regnestykket skrevet ut</t>
  </si>
  <si>
    <t xml:space="preserve">Dette er øvingsmateriell til repetisjons- og øvingsstøtte. I besvarelser, caser, prosjektoppgaver og eksamen gjelder lærebøkene og oppgitte primærkilder.</t>
  </si>
  <si>
    <t xml:space="preserve">Demografisk</t>
  </si>
  <si>
    <t xml:space="preserve">Oppgave 1A: Ni kriterier på Idas liste: hvilken type, og hvilke er brukbare?</t>
  </si>
  <si>
    <t xml:space="preserve">Psykografisk</t>
  </si>
  <si>
    <t xml:space="preserve">Alene, i par eller i gruppe, slik du vil.</t>
  </si>
  <si>
    <t xml:space="preserve">Størrelse</t>
  </si>
  <si>
    <t xml:space="preserve">Situasjonen</t>
  </si>
  <si>
    <t xml:space="preserve">Bransje</t>
  </si>
  <si>
    <t xml:space="preserve">Ida er kalkulatør hos Nordlys Elektro. Etter tre tapte anbud til borettslag vil hun dele kundene i segmenter, og har skrevet ni kjennetegn hun kan dele etter. Kari spør: hvilke av dem forteller noe om hva kunden trenger, og hvilke er bare lette å måle?</t>
  </si>
  <si>
    <t xml:space="preserve">Beliggenhet</t>
  </si>
  <si>
    <t xml:space="preserve">Begrepene du trenger</t>
  </si>
  <si>
    <t xml:space="preserve">Viktighet</t>
  </si>
  <si>
    <t xml:space="preserve">Segmenteringskriterium: et kjennetegn ved kjøperne som gir pålitelig indikasjon om felles ønsker og behov. Demografisk: kjennetegn ved mennesker som kan telles (kjønn, alder, sivilstand, utdanning og yrke, inntekt, bosted). Psykografisk: personlighet, livsstil og verdier (Ipsos Norsk Monitor). Bedriftsmarkedet: størrelse, bransje, beliggenhet, viktighet for bedriften.</t>
  </si>
  <si>
    <t xml:space="preserve">Testen for et kriterium</t>
  </si>
  <si>
    <t xml:space="preserve">Boka krever at et segmenteringskriterium skiller kundegrupper med ulike behov fra hverandre. Demografiske kriterier er kjennetegn ved mennesker som kan telles (kjønn, alder, sivilstand, utdanning og yrke, inntekt, bosted). Psykografiske kriterier er personlighet, livsstil og verdier, og er vanskelige å fastslå. På bedriftsmarkedet bruker boka fire kriterier: størrelse, bransje, beliggenhet og viktighet for bedriften.</t>
  </si>
  <si>
    <t xml:space="preserve">Oppgaven, trinn for trinn</t>
  </si>
  <si>
    <t xml:space="preserve">1. Velg type for hvert av de ni kjennetegnene på Idas liste (nedtrekksmenyen). Sjekken forklarer hvorfor.
2. Svar ja eller nei for seks kjennetegn ved husstandene: skiller det kunder med ulike behov for elektrikerarbeid?
3. Skriv to setninger om Idas forslag om «miljøbevisste huseiere» som eneste kriterium for solcellekunder.</t>
  </si>
  <si>
    <t xml:space="preserve">Del 1: Hvilken type kriterium er dette? (velg i nedtrekksmenyen)</t>
  </si>
  <si>
    <t xml:space="preserve">Boligens byggeår (før eller etter 1980)</t>
  </si>
  <si>
    <t xml:space="preserve">Huseierens inntekt</t>
  </si>
  <si>
    <t xml:space="preserve">Huseieren «vil slippe å tenke på strømselskapet»</t>
  </si>
  <si>
    <t xml:space="preserve">Prosjektets størrelse i montørtimer (kontorbygg mot seks rekkehus)</t>
  </si>
  <si>
    <t xml:space="preserve">Kunden er kommune, privat bedrift eller forening</t>
  </si>
  <si>
    <t xml:space="preserve">Avstand fra Nordlys' verksted til kunden</t>
  </si>
  <si>
    <t xml:space="preserve">Huseierens alder</t>
  </si>
  <si>
    <t xml:space="preserve">Kundens andel av Nordlys' omsetning</t>
  </si>
  <si>
    <t xml:space="preserve">Tradisjonell eller moderne (Ipsos Norsk Monitor)</t>
  </si>
  <si>
    <t xml:space="preserve">Del 2: Skiller kjennetegnet husstander med ulike behov for elektrikerarbeid? (ja eller nei)</t>
  </si>
  <si>
    <t xml:space="preserve">Boligens byggeår</t>
  </si>
  <si>
    <t xml:space="preserve">Huseierens kjønn</t>
  </si>
  <si>
    <t xml:space="preserve">Elbil og egen parkeringsplass</t>
  </si>
  <si>
    <t xml:space="preserve">Postnummer innenfor nedslagsfeltet</t>
  </si>
  <si>
    <t xml:space="preserve">Boligtype: enebolig, rekkehus eller blokk</t>
  </si>
  <si>
    <t xml:space="preserve">Huseierens sivilstand</t>
  </si>
  <si>
    <t xml:space="preserve">Del 3: Ida vil bruke «miljøbevisste huseiere» som eneste kriterium for å finne solcellekunder. Hva er problemet, ifølge boka, og hva bør hun kombinere med? To setninger. Bruk ordene psykografisk og demografisk.</t>
  </si>
  <si>
    <t xml:space="preserve">Står du fast? Skriv JA i den gule cellen:</t>
  </si>
  <si>
    <t xml:space="preserve">Gule celler fyller du inn. Grønne regnes ut av arket. Sjekken til høyre forteller om svaret stemmer, og hva du bør se på hvis ikke.</t>
  </si>
  <si>
    <t xml:space="preserve">Ja</t>
  </si>
  <si>
    <t xml:space="preserve">Nei</t>
  </si>
  <si>
    <t xml:space="preserve">Oppfylt</t>
  </si>
  <si>
    <t xml:space="preserve">Oppgave 1B: Regn segmentet borettslag, og test det mot de fire kravene</t>
  </si>
  <si>
    <t xml:space="preserve">Ikke oppfylt</t>
  </si>
  <si>
    <t xml:space="preserve">Kari vil sende tilbud til alle 22 borettslagene. Ida vil først vite hvor mye segmentet er verdt, og om det består bokas fire krav til en målgruppe. Hun teller det som kan telles, og antar resten, slik boka sier. Mona i Fjell Elektro gjør det samme for eneboliger bygd før 1980 i Oslo øst.</t>
  </si>
  <si>
    <t xml:space="preserve">Segmentets størrelse i kroner = antall i markedet × andel som har behovet × pris per kjøp. Per år = størrelsen delt på årene det tar før alle har kjøpt. De fire kravene til en målgruppe: identifiserbart og målbart, tilgjengelig, stort nok, tilpasset bedriftens kapasitet. Boka: det største segmentet er ikke alltid det mest lønnsomme.</t>
  </si>
  <si>
    <t xml:space="preserve">Forutsetningene, slik Ida satte dem opp</t>
  </si>
  <si>
    <t xml:space="preserve">Boka sier segmentet skal måles med offentlig statistikk supplert med rimelige antagelser (5.7). Tallene under er Idas. Telt: 22 borettslag og sameier med felles parkering i nedslagsfeltet. Antatt: 60 parkeringsplasser i snitt, 40 % av plassene mangler ladepunkt, 12 000 kr per ladepunkt installert (midt i prisguidens 8 000–20 000 kr), fire år før styrene har bygd ut. Et ladepunkt tar 2 montørtimer. Nordlys har 22 400 000 kr i salgsinntekt og 14 400 fakturerbare timer. Fjell Elektro: 4 000 eneboliger i Oslo øst, 45 % bygd før 1980, 5 % av dem bytter sikringsskap i året, 6 timer per bytte, 3 500 fakturerbare timer.</t>
  </si>
  <si>
    <t xml:space="preserve">Forutsetning</t>
  </si>
  <si>
    <t xml:space="preserve">Tall</t>
  </si>
  <si>
    <t xml:space="preserve">Borettslag og sameier med felles parkering (telt)</t>
  </si>
  <si>
    <t xml:space="preserve">Parkeringsplasser per borettslag i snitt (antatt)</t>
  </si>
  <si>
    <t xml:space="preserve">Andel av plassene uten ladepunkt (antatt), prosent</t>
  </si>
  <si>
    <t xml:space="preserve">Pris per ladepunkt installert, kr</t>
  </si>
  <si>
    <t xml:space="preserve">År før styrene har bygd ut (antatt)</t>
  </si>
  <si>
    <t xml:space="preserve">Montørtimer per ladepunkt (faktaarket)</t>
  </si>
  <si>
    <t xml:space="preserve">Nordlys' salgsinntekt 2026, kr</t>
  </si>
  <si>
    <t xml:space="preserve">Nordlys' fakturerbare timer</t>
  </si>
  <si>
    <t xml:space="preserve">1. Regn segmentet borettslag trinn for trinn i a til f. Formelen med ord: antall × andel som har behovet × pris = salgsverdien i segmentet; delt på årene det tar = per år.
2. Regn Fjells segment «eneboliger bygd før 1980» i g og h.
3. Test to segmenter mot bokas fire krav: velg Oppfylt eller Ikke oppfylt for hvert krav.
4. Skriv to–tre setninger om størrelsen.</t>
  </si>
  <si>
    <t xml:space="preserve">a) Parkeringsplasser i alt: 22 borettslag × 60 plasser</t>
  </si>
  <si>
    <t xml:space="preserve">plasser</t>
  </si>
  <si>
    <t xml:space="preserve">b) Ladepunkt som mangler: 40 % av plassene</t>
  </si>
  <si>
    <t xml:space="preserve">ladepunkt</t>
  </si>
  <si>
    <t xml:space="preserve">c) Salgsverdien i segmentet: ladepunkt × 12 000 kr</t>
  </si>
  <si>
    <t xml:space="preserve">kr</t>
  </si>
  <si>
    <t xml:space="preserve">d) Per år: salgsverdien delt på 4 år</t>
  </si>
  <si>
    <t xml:space="preserve">kr per år</t>
  </si>
  <si>
    <t xml:space="preserve">e) Andel av Nordlys' salgsinntekt: per år delt på 22 400 000, i hele prosent</t>
  </si>
  <si>
    <t xml:space="preserve">prosent</t>
  </si>
  <si>
    <t xml:space="preserve">f) Montørtimer per år: ladepunkt × 2 timer, delt på 4 år</t>
  </si>
  <si>
    <t xml:space="preserve">timer per år</t>
  </si>
  <si>
    <t xml:space="preserve">g) Fjell: sikringsskapbytter i året: 4 000 × 45 % × 5 %</t>
  </si>
  <si>
    <t xml:space="preserve">bytter</t>
  </si>
  <si>
    <t xml:space="preserve">h) Fjell: andel av 3 500 timer, i prosent med én desimal: bytter × 6 timer / 3 500 × 100</t>
  </si>
  <si>
    <t xml:space="preserve">De fire kravene: borettslag og sameier i nedslagsfeltet uten ladeanlegg (velg Oppfylt eller Ikke oppfylt)</t>
  </si>
  <si>
    <t xml:space="preserve">1 Identifiserbart og målbart</t>
  </si>
  <si>
    <t xml:space="preserve">2 Tilgjengelig, fysisk og kommunikasjonsmessig</t>
  </si>
  <si>
    <t xml:space="preserve">3 Stort nok</t>
  </si>
  <si>
    <t xml:space="preserve">4 Tilpasset kapasiteten</t>
  </si>
  <si>
    <t xml:space="preserve">De fire kravene: «alle med elbil i Oslo» (velg Oppfylt eller Ikke oppfylt)</t>
  </si>
  <si>
    <t xml:space="preserve">Er segmentet borettslag stort nok? Sammenlikn med idrettslagene (600 000 kr), og si hva boka sier om størrelse og lønnsomhet. To–tre setninger. Bruk ordene idrettslag og lønnsom.</t>
  </si>
  <si>
    <t xml:space="preserve">Udifferensiert</t>
  </si>
  <si>
    <t xml:space="preserve">Oppgave 1C: Kari skal velge Nordlys' målgrupper og strategi. Hva anbefaler du?</t>
  </si>
  <si>
    <t xml:space="preserve">Differensiert</t>
  </si>
  <si>
    <t xml:space="preserve">Konsentrert</t>
  </si>
  <si>
    <t xml:space="preserve">Mandagsmøtet hos Nordlys. Kari vil sende tilbud til alle, Tom vil satse alt på totalentreprenørene, Ida har regnet segmentet borettslag. Nå skal Kari velge: hvem skal Nordlys være best for, hvilken strategi, og hva skjer med resten?</t>
  </si>
  <si>
    <t xml:space="preserve">Udifferensiert markedsføring: samme tilbud til alle. Differensiert: forskjellige tilbud til forskjellige kundegrupper. Konsentrert: alt på ett eller noen få segmenter. Bedriftsmarkedets kriterier: størrelse, bransje, beliggenhet, viktighet. Et segment finner du; en målgruppe velger du, etter de fire kravene.</t>
  </si>
  <si>
    <t xml:space="preserve">Nordlys' kundegrupper, slik Ida satte dem opp</t>
  </si>
  <si>
    <t xml:space="preserve">Salgsinntekten for 2026 er 22 400 000 kr (faktaarket), fordelt på seks kundegrupper. Borettslagene er regnet i oppgave 1B: 1 584 000 kr i året, 528 ladepunkt over fire år. Ett borettslagsanlegg er 528 / 22 = 24 ladepunkt: 24 × 12 000 kr = 288 000 kr og 24 × 2 timer = 48 montørtimer.</t>
  </si>
  <si>
    <t xml:space="preserve">Kundegruppe</t>
  </si>
  <si>
    <t xml:space="preserve">Kroner 2026</t>
  </si>
  <si>
    <t xml:space="preserve">Andel</t>
  </si>
  <si>
    <t xml:space="preserve">Byggherrer og totalentreprenører</t>
  </si>
  <si>
    <t xml:space="preserve">Næringskunder, service og prosjekt</t>
  </si>
  <si>
    <t xml:space="preserve">Kommunen og fylkeskommunen, anbud</t>
  </si>
  <si>
    <t xml:space="preserve">Fjellkraft Nett AS, rammeavtale</t>
  </si>
  <si>
    <t xml:space="preserve">Huseiere og husholdninger</t>
  </si>
  <si>
    <t xml:space="preserve">Idrettslag og foreninger</t>
  </si>
  <si>
    <t xml:space="preserve">Salgsinntekt 2026</t>
  </si>
  <si>
    <t xml:space="preserve">Borettslag og sameier, mulig ny rad (per år, fra 1B)</t>
  </si>
  <si>
    <t xml:space="preserve">regnes i d</t>
  </si>
  <si>
    <t xml:space="preserve">1. Fem utsagn fra mandagsmøtet: velg målgruppestrategien bak hvert (udifferensiert, differensiert eller konsentrert).
2. Fire måter Nordlys skiller bedriftskundene på: velg kriteriet.
3. Regn a til d.
4. Skriv anbefalingen til Kari: to målgrupper, en strategi, og hva Nordlys gjør med resten.</t>
  </si>
  <si>
    <t xml:space="preserve">Del 1: Hvilken målgruppestrategi ligger bak utsagnet? (velg i nedtrekksmenyen)</t>
  </si>
  <si>
    <t xml:space="preserve">Kari: «Én prisliste og svar samme dag, til alle.»</t>
  </si>
  <si>
    <t xml:space="preserve">Ida: «Serviceavtale til næringskundene, styretilbud til borettslagene, anbudsteam til byggherrene.»</t>
  </si>
  <si>
    <t xml:space="preserve">Mona i Fjell Elektro: «Vi tar bare eneboliger fra før 1980 i Oslo øst.»</t>
  </si>
  <si>
    <t xml:space="preserve">Tom: «Glem resten. Vi satser alt på totalentreprenørene.»</t>
  </si>
  <si>
    <t xml:space="preserve">Ronny: «Samme brosjyre til huseiere, borettslag og byggherrer sparer tid.»</t>
  </si>
  <si>
    <t xml:space="preserve">Del 2: Hvilket av bokas fire kriterier på bedriftsmarkedet bruker Nordlys her? (velg i nedtrekksmenyen)</t>
  </si>
  <si>
    <t xml:space="preserve">Kruttverket Utvikling med kontorbygg og lager får en annen kalkyle enn en byggherre med seks rekkehus</t>
  </si>
  <si>
    <t xml:space="preserve">Kommunen får et anbudsteam med dokumentasjon og lærlinger; private byggherrer får pris og framdrift</t>
  </si>
  <si>
    <t xml:space="preserve">To timers responstid loves bare kunder innenfor kort kjøreavstand fra verkstedet</t>
  </si>
  <si>
    <t xml:space="preserve">Byggherrene, 47 % av omsetningen, får den beste formannen når to kunder ringer samtidig</t>
  </si>
  <si>
    <t xml:space="preserve">Del 3: Regn</t>
  </si>
  <si>
    <t xml:space="preserve">Ett borettslagsanlegg er 24 ladepunkt, 288 000 kr og 48 montørtimer. Segmentet gir 1 584 000 kr i året (1B).</t>
  </si>
  <si>
    <t xml:space="preserve">a) Anlegg Nordlys må vinne i året: 1 584 000 / 288 000, én desimal</t>
  </si>
  <si>
    <t xml:space="preserve">anlegg</t>
  </si>
  <si>
    <t xml:space="preserve">b) Montørtimer i året: anlegg × 48 timer</t>
  </si>
  <si>
    <t xml:space="preserve">timer</t>
  </si>
  <si>
    <t xml:space="preserve">c) Salgsinntekt med borettslagene i tillegg: 22 400 000 + 1 584 000</t>
  </si>
  <si>
    <t xml:space="preserve">d) Borettslagenes andel av den nye salgsinntekten, i prosent med én desimal</t>
  </si>
  <si>
    <t xml:space="preserve">Del 4: Anbefal Kari to målgrupper og en målgruppestrategi. Test valget mot de fire kravene i boka, si hva Nordlys gjør med de andre segmentene, og bruk minst ett tall. Tre–fire setninger. Bruk ordene differensiert eller konsentrert, og krav.</t>
  </si>
  <si>
    <t xml:space="preserve">Fasit, kapittel 5</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</si>
  <si>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</si>
  <si>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</si>
  <si>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</si>
  <si>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</si>
  <si>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Del 1: Typene</t>
  </si>
  <si>
    <t xml:space="preserve">Demografisk: byggeår (bosted), inntekt, alder. Psykografisk: vil slippe strømselskapet, tradisjonell eller moderne. Bedriftsmarkedet: timer = størrelse, kommune/bedrift/forening = bransje, avstand = beliggenhet, andel av omsetningen = viktighet</t>
  </si>
  <si>
    <t xml:space="preserve">1A Del 2: Brukbart for husstandene</t>
  </si>
  <si>
    <t xml:space="preserve">Ja: byggeår, elbil med egen parkeringsplass, boligtype. Nei: kjønn, postnummer innenfor nedslagsfeltet, sivilstand</t>
  </si>
  <si>
    <t xml:space="preserve">1A Del 3: Miljøbevisste</t>
  </si>
  <si>
    <t xml:space="preserve">Psykografisk og vanskelig å fastslå: kan ikke telles eller finnes. Kombiner med et demografisk kriterium som eneboliger med egnet tak; bruk livsstilen til argumentene</t>
  </si>
  <si>
    <t xml:space="preserve">1B a) Parkeringsplasser</t>
  </si>
  <si>
    <t xml:space="preserve">22 × 60 = 1 320 plasser</t>
  </si>
  <si>
    <t xml:space="preserve">1B b) Ladepunkt som mangler</t>
  </si>
  <si>
    <t xml:space="preserve">1 320 × 0,40 = 528 ladepunkt</t>
  </si>
  <si>
    <t xml:space="preserve">1B c) Salgsverdi i segmentet</t>
  </si>
  <si>
    <t xml:space="preserve">528 × 12 000 = 6 336 000 kr</t>
  </si>
  <si>
    <t xml:space="preserve">1B d) Per år</t>
  </si>
  <si>
    <t xml:space="preserve">6 336 000 / 4 = 1 584 000 kr</t>
  </si>
  <si>
    <t xml:space="preserve">1B e) Andel av salgsinntekten</t>
  </si>
  <si>
    <t xml:space="preserve">1 584 000 / 22 400 000 = 7,07 %, avrundet 7 %</t>
  </si>
  <si>
    <t xml:space="preserve">1B f) Montørtimer per år</t>
  </si>
  <si>
    <t xml:space="preserve">528 × 2 = 1 056 timer, / 4 = 264 timer (1,8 % av 14 400)</t>
  </si>
  <si>
    <t xml:space="preserve">1B g) Fjell: bytter i året</t>
  </si>
  <si>
    <t xml:space="preserve">4 000 × 0,45 = 1 800 eneboliger før 1980. × 0,05 = 90 bytter</t>
  </si>
  <si>
    <t xml:space="preserve">1B h) Fjell: andel av timene</t>
  </si>
  <si>
    <t xml:space="preserve">90 × 6 = 540 timer. 540 / 3 500 = 15,4 %</t>
  </si>
  <si>
    <t xml:space="preserve">1B Kravene: borettslag</t>
  </si>
  <si>
    <t xml:space="preserve">Oppfylt på alle fire: telt og antatt, innenfor kjøreavstand, 1 584 000 kr i året, 264 timer</t>
  </si>
  <si>
    <t xml:space="preserve">1B Kravene: alle med elbil i Oslo</t>
  </si>
  <si>
    <t xml:space="preserve">Målbart og stort nok, men ikke tilgjengelig (12 montører på ett sted) og ikke tilpasset kapasiteten (14 400 timer er brukt opp)</t>
  </si>
  <si>
    <t xml:space="preserve">1B Stort nok?</t>
  </si>
  <si>
    <t xml:space="preserve">Ja: 1 584 000 kr er over idrettslagenes 600 000 og husstandenes 1 450 000. Boka: det største segmentet er ikke alltid det mest lønnsomme</t>
  </si>
  <si>
    <t xml:space="preserve">1C Del 1: Strategiene</t>
  </si>
  <si>
    <t xml:space="preserve">Én prisliste til alle: udifferensiert. Serviceavtale, styretilbud, anbudsteam: differensiert. Fjell, bare eneboliger før 1980: konsentrert. Tom, alt på totalentreprenørene: konsentrert. Samme brosjyre til alle: udifferensiert</t>
  </si>
  <si>
    <t xml:space="preserve">1C Del 2: Kriteriene</t>
  </si>
  <si>
    <t xml:space="preserve">Kontorbygg mot seks rekkehus: størrelse. Kommunen mot private byggherrer: bransje. Responstid bare innenfor kjøreavstand: beliggenhet. Beste formann til byggherrene: viktighet</t>
  </si>
  <si>
    <t xml:space="preserve">1C a) Anlegg i året</t>
  </si>
  <si>
    <t xml:space="preserve">1 584 000 / 288 000 = 5,5 anlegg (ett anlegg: 24 ladepunkt × 12 000 kr)</t>
  </si>
  <si>
    <t xml:space="preserve">1C b) Montørtimer i året</t>
  </si>
  <si>
    <t xml:space="preserve">5,5 × 48 = 264 timer</t>
  </si>
  <si>
    <t xml:space="preserve">1C c) Salgsinntekt med borettslagene</t>
  </si>
  <si>
    <t xml:space="preserve">22 400 000 + 1 584 000 = 23 984 000 kr</t>
  </si>
  <si>
    <t xml:space="preserve">1C d) Borettslagenes andel</t>
  </si>
  <si>
    <t xml:space="preserve">1 584 000 / 23 984 000 = 6,6 %, avrundet 7</t>
  </si>
  <si>
    <t xml:space="preserve">1C Del 4: Anbefalingen</t>
  </si>
  <si>
    <t xml:space="preserve">To målgrupper, for eksempel borettslagene (1 584 000 kr, 264 timer, består alle fire krav) og næringskundene (responstid). Differensiert: tre tilbud. Byggherrene beholdes med færre og større jobber; husstander og idrettslag tas når de kommer. Velger du byggherrene og kommunen: si hva lærlingkravet betyr, og hvorfor det største segmentet ikke er det mest lønnsomme</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</si>
</sst>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0\ %"/>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2" borderId="1" xfId="0" applyFont="false" applyBorder="true" applyAlignment="true" applyProtection="false">
      <alignment horizontal="right" vertical="center" textRotation="0" wrapText="false" indent="0" shrinkToFit="false"/>
      <protection locked="true" hidden="false"/>
    </xf>
    <xf numFmtId="167" fontId="0" fillId="2" borderId="1" xfId="0" applyFont="false" applyBorder="true" applyAlignment="true" applyProtection="false">
      <alignment horizontal="right" vertical="center" textRotation="0" wrapText="false" indent="0" shrinkToFit="false"/>
      <protection locked="true" hidden="false"/>
    </xf>
    <xf numFmtId="168" fontId="0" fillId="0"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45"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60" hidden="false" customHeight="true" outlineLevel="0" collapsed="false">
      <c r="B7" s="9" t="s">
        <v>24</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25</v>
      </c>
      <c r="C9" s="8"/>
      <c r="D9" s="8"/>
      <c r="E9" s="8"/>
      <c r="F9" s="8"/>
      <c r="G9" s="8"/>
      <c r="Z9" s="6" t="s">
        <v>17</v>
      </c>
    </row>
    <row r="10" customFormat="false" ht="60" hidden="false" customHeight="true" outlineLevel="0" collapsed="false">
      <c r="B10" s="9" t="s">
        <v>26</v>
      </c>
      <c r="C10" s="9"/>
      <c r="D10" s="9"/>
      <c r="E10" s="9"/>
      <c r="F10" s="9"/>
      <c r="G10" s="9"/>
      <c r="Z10" s="6" t="s">
        <v>19</v>
      </c>
    </row>
    <row r="11" customFormat="false" ht="15" hidden="false" customHeight="false" outlineLevel="0" collapsed="false">
      <c r="Z11" s="0" t="s">
        <v>21</v>
      </c>
    </row>
    <row r="12" customFormat="false" ht="15.75" hidden="false" customHeight="true" outlineLevel="0" collapsed="false">
      <c r="B12" s="8" t="s">
        <v>27</v>
      </c>
      <c r="C12" s="8"/>
      <c r="D12" s="8"/>
      <c r="E12" s="8"/>
      <c r="F12" s="8"/>
      <c r="G12" s="8"/>
      <c r="Z12" s="6" t="s">
        <v>23</v>
      </c>
    </row>
    <row r="13" customFormat="false" ht="45" hidden="false" customHeight="true" outlineLevel="0" collapsed="false">
      <c r="B13" s="9" t="s">
        <v>28</v>
      </c>
      <c r="C13" s="9"/>
      <c r="D13" s="9"/>
      <c r="E13" s="9"/>
      <c r="F13" s="9"/>
      <c r="G13" s="9"/>
      <c r="Z13" s="6" t="s">
        <v>13</v>
      </c>
    </row>
    <row r="14" customFormat="false" ht="15" hidden="false" customHeight="false" outlineLevel="0" collapsed="false">
      <c r="Z14" s="0" t="s">
        <v>15</v>
      </c>
    </row>
    <row r="15" customFormat="false" ht="15" hidden="false" customHeight="true" outlineLevel="0" collapsed="false">
      <c r="B15" s="10" t="s">
        <v>29</v>
      </c>
      <c r="C15" s="10"/>
      <c r="D15" s="10"/>
      <c r="E15" s="10"/>
      <c r="F15" s="10"/>
      <c r="G15" s="10"/>
      <c r="Z15" s="6" t="s">
        <v>17</v>
      </c>
    </row>
    <row r="16" customFormat="false" ht="39.75" hidden="false" customHeight="true" outlineLevel="0" collapsed="false">
      <c r="B16" s="11" t="s">
        <v>30</v>
      </c>
      <c r="C16" s="12"/>
      <c r="G16" s="13" t="str">
        <f aca="false">IF(C16="","Velg i nedtrekksmenyen.",IF(C16="Demografisk","Riktig. Boligen hører til bosted, et av bokas seks demografiske kriterier. Byggeåret kan telles, og et hus fra før 1980 har ofte et sikringsskap som må byttes.","Ikke riktig. Boligen hører til bosted, et av bokas seks demografiske kriterier. Byggeåret kan telles, og et hus fra før 1980 har ofte et sikringsskap som må byttes."))</f>
        <v>Velg i nedtrekksmenyen.</v>
      </c>
      <c r="Z16" s="6" t="s">
        <v>19</v>
      </c>
    </row>
    <row r="17" customFormat="false" ht="39.75" hidden="false" customHeight="true" outlineLevel="0" collapsed="false">
      <c r="B17" s="11" t="s">
        <v>31</v>
      </c>
      <c r="C17" s="12"/>
      <c r="G17" s="13" t="str">
        <f aca="false">IF(C17="","Velg i nedtrekksmenyen.",IF(C17="Demografisk","Riktig. Inntekt er et demografisk kriterium (5.4). Boka: høy inntekt gir lettere dekning av statusbehov og et annet tilbud.","Ikke riktig. Inntekt er et demografisk kriterium (5.4). Boka: høy inntekt gir lettere dekning av statusbehov og et annet tilbud."))</f>
        <v>Velg i nedtrekksmenyen.</v>
      </c>
      <c r="Z17" s="6" t="s">
        <v>21</v>
      </c>
    </row>
    <row r="18" customFormat="false" ht="39.75" hidden="false" customHeight="true" outlineLevel="0" collapsed="false">
      <c r="B18" s="11" t="s">
        <v>32</v>
      </c>
      <c r="C18" s="12"/>
      <c r="G18" s="13" t="str">
        <f aca="false">IF(C18="","Velg i nedtrekksmenyen.",IF(C18="Psykografisk","Riktig. Et ønske om bekvemmelighet er en verdi og en livsstil, altså psykografisk (5.5). Vanskelig å fastslå hvem som har det, og hvor sterkt.","Ikke riktig. Et ønske om bekvemmelighet er en verdi og en livsstil, altså psykografisk (5.5). Vanskelig å fastslå hvem som har det, og hvor sterkt."))</f>
        <v>Velg i nedtrekksmenyen.</v>
      </c>
      <c r="Z18" s="6" t="s">
        <v>23</v>
      </c>
    </row>
    <row r="19" customFormat="false" ht="39.75" hidden="false" customHeight="true" outlineLevel="0" collapsed="false">
      <c r="B19" s="11" t="s">
        <v>33</v>
      </c>
      <c r="C19" s="12"/>
      <c r="G19" s="13" t="str">
        <f aca="false">IF(C19="","Velg i nedtrekksmenyen.",IF(C19="Størrelse","Riktig. Størrelse er det første av bokas fire kriterier på bedriftsmarkedet (5.6). Ulik størrelse gir ulik kalkyle og bemanning.","Ikke riktig. Størrelse er det første av bokas fire kriterier på bedriftsmarkedet (5.6). Ulik størrelse gir ulik kalkyle og bemanning."))</f>
        <v>Velg i nedtrekksmenyen.</v>
      </c>
      <c r="Z19" s="6" t="s">
        <v>13</v>
      </c>
    </row>
    <row r="20" customFormat="false" ht="39.75" hidden="false" customHeight="true" outlineLevel="0" collapsed="false">
      <c r="B20" s="11" t="s">
        <v>34</v>
      </c>
      <c r="C20" s="12"/>
      <c r="G20" s="13" t="str">
        <f aca="false">IF(C20="","Velg i nedtrekksmenyen.",IF(C20="Bransje","Riktig. Boka deler bedriftsmarkedet etter bransje: offentlige etater og institusjoner, private bedrifter, organisasjoner (5.6).","Ikke riktig. Boka deler bedriftsmarkedet etter bransje: offentlige etater og institusjoner, private bedrifter, organisasjoner (5.6)."))</f>
        <v>Velg i nedtrekksmenyen.</v>
      </c>
      <c r="Z20" s="6" t="s">
        <v>15</v>
      </c>
    </row>
    <row r="21" customFormat="false" ht="39.75" hidden="false" customHeight="true" outlineLevel="0" collapsed="false">
      <c r="B21" s="11" t="s">
        <v>35</v>
      </c>
      <c r="C21" s="12"/>
      <c r="G21" s="13" t="str">
        <f aca="false">IF(C21="","Velg i nedtrekksmenyen.",IF(C21="Beliggenhet","Riktig. Beliggenhet avgjør om Nordlys kan love to timers responstid (5.6).","Ikke riktig. Beliggenhet avgjør om Nordlys kan love to timers responstid (5.6)."))</f>
        <v>Velg i nedtrekksmenyen.</v>
      </c>
      <c r="Z21" s="6" t="s">
        <v>17</v>
      </c>
    </row>
    <row r="22" customFormat="false" ht="39.75" hidden="false" customHeight="true" outlineLevel="0" collapsed="false">
      <c r="B22" s="11" t="s">
        <v>36</v>
      </c>
      <c r="C22" s="12"/>
      <c r="G22" s="13" t="str">
        <f aca="false">IF(C22="","Velg i nedtrekksmenyen.",IF(C22="Demografisk","Riktig. Alder er et demografisk kriterium (5.4). Enkelt å bruke, og kan telles i statistikken.","Ikke riktig. Alder er et demografisk kriterium (5.4). Enkelt å bruke, og kan telles i statistikken."))</f>
        <v>Velg i nedtrekksmenyen.</v>
      </c>
      <c r="Z22" s="6" t="s">
        <v>19</v>
      </c>
    </row>
    <row r="23" customFormat="false" ht="39.75" hidden="false" customHeight="true" outlineLevel="0" collapsed="false">
      <c r="B23" s="11" t="s">
        <v>37</v>
      </c>
      <c r="C23" s="12"/>
      <c r="G23" s="13" t="str">
        <f aca="false">IF(C23="","Velg i nedtrekksmenyen.",IF(C23="Viktighet","Riktig. Viktighet for bedriften er det fjerde kriteriet på bedriftsmarkedet (5.6). Byggherrene er 47 % av salgsinntekten.","Ikke riktig. Viktighet for bedriften er det fjerde kriteriet på bedriftsmarkedet (5.6). Byggherrene er 47 % av salgsinntekten."))</f>
        <v>Velg i nedtrekksmenyen.</v>
      </c>
      <c r="Z23" s="6" t="s">
        <v>21</v>
      </c>
    </row>
    <row r="24" customFormat="false" ht="39.75" hidden="false" customHeight="true" outlineLevel="0" collapsed="false">
      <c r="B24" s="11" t="s">
        <v>38</v>
      </c>
      <c r="C24" s="12"/>
      <c r="G24" s="13" t="str">
        <f aca="false">IF(C24="","Velg i nedtrekksmenyen.",IF(C24="Psykografisk","Riktig. Tradisjonell mot moderne er en av de fire livsstilsaksene i Ipsos Norsk Monitor, altså psykografisk (5.5).","Ikke riktig. Tradisjonell mot moderne er en av de fire livsstilsaksene i Ipsos Norsk Monitor, altså psykografisk (5.5)."))</f>
        <v>Velg i nedtrekksmenyen.</v>
      </c>
      <c r="Z24" s="6" t="s">
        <v>23</v>
      </c>
    </row>
    <row r="25" customFormat="false" ht="15" hidden="false" customHeight="false" outlineLevel="0" collapsed="false">
      <c r="Z25" s="0" t="s">
        <v>13</v>
      </c>
    </row>
    <row r="26" customFormat="false" ht="15" hidden="false" customHeight="true" outlineLevel="0" collapsed="false">
      <c r="B26" s="10" t="s">
        <v>39</v>
      </c>
      <c r="C26" s="10"/>
      <c r="D26" s="10"/>
      <c r="E26" s="10"/>
      <c r="F26" s="10"/>
      <c r="G26" s="10"/>
      <c r="Z26" s="6" t="s">
        <v>15</v>
      </c>
    </row>
    <row r="27" customFormat="false" ht="39.75" hidden="false" customHeight="true" outlineLevel="0" collapsed="false">
      <c r="B27" s="11" t="s">
        <v>40</v>
      </c>
      <c r="C27" s="12"/>
      <c r="G27" s="13" t="str">
        <f aca="false">IF(C27="","Velg i nedtrekksmenyen.",IF(C27="Ja","Riktig. Et hus fra før 1980 har ofte et sikringsskap som må byttes. Det er et behov, og byggeåret kan telles.","Ikke riktig. Et hus fra før 1980 har ofte et sikringsskap som må byttes. Det er et behov, og byggeåret kan telles."))</f>
        <v>Velg i nedtrekksmenyen.</v>
      </c>
      <c r="Z27" s="6" t="s">
        <v>17</v>
      </c>
    </row>
    <row r="28" customFormat="false" ht="39.75" hidden="false" customHeight="true" outlineLevel="0" collapsed="false">
      <c r="B28" s="11" t="s">
        <v>41</v>
      </c>
      <c r="C28" s="12"/>
      <c r="G28" s="13" t="str">
        <f aca="false">IF(C28="","Velg i nedtrekksmenyen.",IF(C28="Nei","Riktig. Lett å måle, men behovet for en elektriker er det samme. Bokas krav er at kriteriet skiller behov, ikke bare personer.","Ikke riktig. Lett å måle, men behovet for en elektriker er det samme. Bokas krav er at kriteriet skiller behov, ikke bare personer."))</f>
        <v>Velg i nedtrekksmenyen.</v>
      </c>
      <c r="Z28" s="6" t="s">
        <v>19</v>
      </c>
    </row>
    <row r="29" customFormat="false" ht="39.75" hidden="false" customHeight="true" outlineLevel="0" collapsed="false">
      <c r="B29" s="11" t="s">
        <v>42</v>
      </c>
      <c r="C29" s="12"/>
      <c r="G29" s="13" t="str">
        <f aca="false">IF(C29="","Velg i nedtrekksmenyen.",IF(C29="Ja","Riktig. Den som har elbil og egen plass, trenger et ladepunkt. Kan telles i statistikken over elbiler.","Ikke riktig. Den som har elbil og egen plass, trenger et ladepunkt. Kan telles i statistikken over elbiler."))</f>
        <v>Velg i nedtrekksmenyen.</v>
      </c>
      <c r="Z29" s="6" t="s">
        <v>21</v>
      </c>
    </row>
    <row r="30" customFormat="false" ht="39.75" hidden="false" customHeight="true" outlineLevel="0" collapsed="false">
      <c r="B30" s="11" t="s">
        <v>43</v>
      </c>
      <c r="C30" s="12"/>
      <c r="G30" s="13" t="str">
        <f aca="false">IF(C30="","Velg i nedtrekksmenyen.",IF(C30="Nei","Riktig. Innenfor nedslagsfeltet skiller postnummeret adresser, ikke behov. Beliggenhet teller først når avstanden blir så stor at Nordlys ikke er et naturlig valg.","Ikke riktig. Innenfor nedslagsfeltet skiller postnummeret adresser, ikke behov. Beliggenhet teller først når avstanden blir så stor at Nordlys ikke er et naturlig valg."))</f>
        <v>Velg i nedtrekksmenyen.</v>
      </c>
      <c r="Z30" s="6" t="s">
        <v>23</v>
      </c>
    </row>
    <row r="31" customFormat="false" ht="39.75" hidden="false" customHeight="true" outlineLevel="0" collapsed="false">
      <c r="B31" s="11" t="s">
        <v>44</v>
      </c>
      <c r="C31" s="12"/>
      <c r="G31" s="13" t="str">
        <f aca="false">IF(C31="","Velg i nedtrekksmenyen.",IF(C31="Ja","Riktig. Boligtypen avgjør hvem som bestemmer: huseieren selv, eller et styre i borettslaget. Det gir ulikt behov og ulikt tilbud.","Ikke riktig. Boligtypen avgjør hvem som bestemmer: huseieren selv, eller et styre i borettslaget. Det gir ulikt behov og ulikt tilbud."))</f>
        <v>Velg i nedtrekksmenyen.</v>
      </c>
      <c r="Z31" s="6" t="s">
        <v>13</v>
      </c>
    </row>
    <row r="32" customFormat="false" ht="39.75" hidden="false" customHeight="true" outlineLevel="0" collapsed="false">
      <c r="B32" s="11" t="s">
        <v>45</v>
      </c>
      <c r="C32" s="12"/>
      <c r="G32" s="13" t="str">
        <f aca="false">IF(C32="","Velg i nedtrekksmenyen.",IF(C32="Nei","Riktig. Gift eller enslig: sikringsskapet er det samme. Sivilstand er demografisk, men skiller ikke behovet her.","Ikke riktig. Gift eller enslig: sikringsskapet er det samme. Sivilstand er demografisk, men skiller ikke behovet her."))</f>
        <v>Velg i nedtrekksmenyen.</v>
      </c>
      <c r="Z32" s="6" t="s">
        <v>15</v>
      </c>
    </row>
    <row r="33" customFormat="false" ht="15" hidden="false" customHeight="false" outlineLevel="0" collapsed="false">
      <c r="Z33" s="0" t="s">
        <v>17</v>
      </c>
    </row>
    <row r="34" customFormat="false" ht="30" hidden="false" customHeight="true" outlineLevel="0" collapsed="false">
      <c r="B34" s="9" t="s">
        <v>46</v>
      </c>
      <c r="C34" s="9"/>
      <c r="D34" s="9"/>
      <c r="E34" s="9"/>
      <c r="F34" s="9"/>
      <c r="G34" s="9"/>
      <c r="Z34" s="6" t="s">
        <v>19</v>
      </c>
    </row>
    <row r="35" customFormat="false" ht="21.75" hidden="false" customHeight="true" outlineLevel="0" collapsed="false">
      <c r="B35" s="14"/>
      <c r="C35" s="14"/>
      <c r="D35" s="14"/>
      <c r="E35" s="14"/>
      <c r="F35" s="14"/>
      <c r="G35" s="14"/>
      <c r="Z35" s="6" t="s">
        <v>21</v>
      </c>
    </row>
    <row r="36" customFormat="false" ht="21.75" hidden="false" customHeight="true" outlineLevel="0" collapsed="false">
      <c r="B36" s="14"/>
      <c r="C36" s="14"/>
      <c r="D36" s="14"/>
      <c r="E36" s="14"/>
      <c r="F36" s="14"/>
      <c r="G36" s="14"/>
      <c r="Z36" s="6" t="s">
        <v>23</v>
      </c>
    </row>
    <row r="37" customFormat="false" ht="21.75" hidden="false" customHeight="true" outlineLevel="0" collapsed="false">
      <c r="B37" s="14"/>
      <c r="C37" s="14"/>
      <c r="D37" s="14"/>
      <c r="E37" s="14"/>
      <c r="F37" s="14"/>
      <c r="G37" s="14"/>
      <c r="Z37" s="6" t="s">
        <v>13</v>
      </c>
    </row>
    <row r="38" customFormat="false" ht="39.75" hidden="false" customHeight="true" outlineLevel="0" collapsed="false">
      <c r="B38" s="15" t="str">
        <f aca="false">IF(LEN(B35)&lt;40,"",IF(AND(ISNUMBER(SEARCH("psykograf",B35)),ISNUMBER(SEARCH("demograf",B35))),"Bra: du sier at «miljøbevisst» er psykografisk og vanskelig å fastslå og telle, og at Ida må kombinere med et demografisk kriterium som kan telles, for eksempel eneboliger med egnet tak.",IF(OR(ISNUMBER(SEARCH("psykograf",B35)),ISNUMBER(SEARCH("demograf",B35))),"Du er på sporet. Si både hva slags kriterium «miljøbevisst» er (psykografisk, vanskelig å fastslå), og hva slags kriterium hun bør legge til (demografisk, som kan telles).","Tips: boka sier psykografiske trekk er vanskelige å fastslå, både hvem som har dem og hvor sterkt (5.5). Ida kan verken telle eller finne kundene. Kombiner med noe demografisk som kan telles, som eneboliger med egnet tak, og bruk livsstilen til argumentene i samtalen.")))</f>
        <v/>
      </c>
      <c r="C38" s="15"/>
      <c r="D38" s="15"/>
      <c r="E38" s="15"/>
      <c r="F38" s="15"/>
      <c r="G38" s="15"/>
      <c r="Z38" s="6" t="s">
        <v>15</v>
      </c>
    </row>
    <row r="39" customFormat="false" ht="15" hidden="false" customHeight="false" outlineLevel="0" collapsed="false">
      <c r="B39" s="16" t="s">
        <v>47</v>
      </c>
      <c r="C39" s="12"/>
      <c r="Z39" s="6" t="s">
        <v>17</v>
      </c>
    </row>
    <row r="40" customFormat="false" ht="45" hidden="false" customHeight="true" outlineLevel="0" collapsed="false">
      <c r="B40" s="17" t="str">
        <f aca="false">IF(C39="JA","Hint: Spør for hvert kjennetegn: kan det telles i statistikken (demografisk eller bedriftsmarkedets fire), eller handler det om personlighet og verdier (psykografisk)? Og: får Nordlys et annet oppdrag fordi kjennetegnet er annerledes? Hvis ikke, skiller det ikke behov.","")</f>
        <v/>
      </c>
      <c r="C40" s="17"/>
      <c r="D40" s="17"/>
      <c r="E40" s="17"/>
      <c r="F40" s="17"/>
      <c r="G40" s="17"/>
      <c r="Z40" s="6" t="s">
        <v>19</v>
      </c>
    </row>
    <row r="41" customFormat="false" ht="15" hidden="false" customHeight="false" outlineLevel="0" collapsed="false">
      <c r="Z41" s="0" t="s">
        <v>21</v>
      </c>
    </row>
    <row r="42" customFormat="false" ht="30" hidden="false" customHeight="true" outlineLevel="0" collapsed="false">
      <c r="B42" s="7" t="s">
        <v>48</v>
      </c>
      <c r="C42" s="7"/>
      <c r="D42" s="7"/>
      <c r="E42" s="7"/>
      <c r="F42" s="7"/>
      <c r="G42" s="7"/>
      <c r="Z42" s="6" t="s">
        <v>23</v>
      </c>
    </row>
    <row r="43" customFormat="false" ht="15" hidden="false" customHeight="false" outlineLevel="0" collapsed="false">
      <c r="Z43" s="0" t="s">
        <v>13</v>
      </c>
    </row>
    <row r="44" customFormat="false" ht="15" hidden="false" customHeight="false" outlineLevel="0" collapsed="false">
      <c r="Z44" s="0" t="s">
        <v>15</v>
      </c>
    </row>
    <row r="45" customFormat="false" ht="15" hidden="false" customHeight="false" outlineLevel="0" collapsed="false">
      <c r="Z45" s="0" t="s">
        <v>17</v>
      </c>
    </row>
    <row r="46" customFormat="false" ht="15" hidden="false" customHeight="false" outlineLevel="0" collapsed="false">
      <c r="Z46" s="0" t="s">
        <v>19</v>
      </c>
    </row>
    <row r="47" customFormat="false" ht="15" hidden="false" customHeight="false" outlineLevel="0" collapsed="false">
      <c r="Z47" s="0" t="s">
        <v>21</v>
      </c>
    </row>
    <row r="48" customFormat="false" ht="15" hidden="false" customHeight="false" outlineLevel="0" collapsed="false">
      <c r="Z48" s="0" t="s">
        <v>23</v>
      </c>
    </row>
    <row r="49" customFormat="false" ht="15" hidden="false" customHeight="false" outlineLevel="0" collapsed="false">
      <c r="Z49" s="0" t="s">
        <v>13</v>
      </c>
    </row>
    <row r="50" customFormat="false" ht="15" hidden="false" customHeight="false" outlineLevel="0" collapsed="false">
      <c r="Z50" s="0" t="s">
        <v>15</v>
      </c>
    </row>
    <row r="51" customFormat="false" ht="15" hidden="false" customHeight="false" outlineLevel="0" collapsed="false">
      <c r="Z51" s="0" t="s">
        <v>17</v>
      </c>
    </row>
    <row r="52" customFormat="false" ht="15" hidden="false" customHeight="false" outlineLevel="0" collapsed="false">
      <c r="Z52" s="0" t="s">
        <v>19</v>
      </c>
    </row>
    <row r="53" customFormat="false" ht="15" hidden="false" customHeight="false" outlineLevel="0" collapsed="false">
      <c r="Z53" s="0" t="s">
        <v>21</v>
      </c>
    </row>
    <row r="54" customFormat="false" ht="15" hidden="false" customHeight="false" outlineLevel="0" collapsed="false">
      <c r="Z54" s="0" t="s">
        <v>23</v>
      </c>
    </row>
    <row r="55" customFormat="false" ht="15" hidden="false" customHeight="false" outlineLevel="0" collapsed="false">
      <c r="Z55" s="0" t="s">
        <v>49</v>
      </c>
    </row>
    <row r="56" customFormat="false" ht="15" hidden="false" customHeight="false" outlineLevel="0" collapsed="false">
      <c r="Z56" s="0" t="s">
        <v>50</v>
      </c>
    </row>
    <row r="57" customFormat="false" ht="15" hidden="false" customHeight="false" outlineLevel="0" collapsed="false">
      <c r="Z57" s="0" t="s">
        <v>49</v>
      </c>
    </row>
    <row r="58" customFormat="false" ht="15" hidden="false" customHeight="false" outlineLevel="0" collapsed="false">
      <c r="Z58" s="0" t="s">
        <v>50</v>
      </c>
    </row>
    <row r="59" customFormat="false" ht="15" hidden="false" customHeight="false" outlineLevel="0" collapsed="false">
      <c r="Z59" s="0" t="s">
        <v>49</v>
      </c>
    </row>
    <row r="60" customFormat="false" ht="15" hidden="false" customHeight="false" outlineLevel="0" collapsed="false">
      <c r="Z60" s="0" t="s">
        <v>50</v>
      </c>
    </row>
    <row r="61" customFormat="false" ht="15" hidden="false" customHeight="false" outlineLevel="0" collapsed="false">
      <c r="Z61" s="0" t="s">
        <v>49</v>
      </c>
    </row>
    <row r="62" customFormat="false" ht="15" hidden="false" customHeight="false" outlineLevel="0" collapsed="false">
      <c r="Z62" s="0" t="s">
        <v>50</v>
      </c>
    </row>
    <row r="63" customFormat="false" ht="15" hidden="false" customHeight="false" outlineLevel="0" collapsed="false">
      <c r="Z63" s="0" t="s">
        <v>49</v>
      </c>
    </row>
    <row r="64" customFormat="false" ht="15" hidden="false" customHeight="false" outlineLevel="0" collapsed="false">
      <c r="Z64" s="0" t="s">
        <v>50</v>
      </c>
    </row>
    <row r="65" customFormat="false" ht="15" hidden="false" customHeight="false" outlineLevel="0" collapsed="false">
      <c r="Z65" s="0" t="s">
        <v>49</v>
      </c>
    </row>
    <row r="66" customFormat="false" ht="15" hidden="false" customHeight="false" outlineLevel="0" collapsed="false">
      <c r="Z66" s="0" t="s">
        <v>50</v>
      </c>
    </row>
  </sheetData>
  <mergeCells count="17">
    <mergeCell ref="B2:G2"/>
    <mergeCell ref="B3:G3"/>
    <mergeCell ref="B4:G4"/>
    <mergeCell ref="B5:G5"/>
    <mergeCell ref="B6:G6"/>
    <mergeCell ref="B7:G7"/>
    <mergeCell ref="B9:G9"/>
    <mergeCell ref="B10:G10"/>
    <mergeCell ref="B12:G12"/>
    <mergeCell ref="B13:G13"/>
    <mergeCell ref="B15:G15"/>
    <mergeCell ref="B26:G26"/>
    <mergeCell ref="B34:G34"/>
    <mergeCell ref="B35:G37"/>
    <mergeCell ref="B38:G38"/>
    <mergeCell ref="B40:G40"/>
    <mergeCell ref="B42:G42"/>
  </mergeCells>
  <conditionalFormatting sqref="G16">
    <cfRule type="expression" priority="2" aboveAverage="0" equalAverage="0" bottom="0" percent="0" rank="0" text="" dxfId="0">
      <formula>LEFT(G16,6)="Riktig"</formula>
    </cfRule>
    <cfRule type="expression" priority="3" aboveAverage="0" equalAverage="0" bottom="0" percent="0" rank="0" text="" dxfId="1">
      <formula>LEFT(G16,4)="Ikke"</formula>
    </cfRule>
  </conditionalFormatting>
  <conditionalFormatting sqref="G17">
    <cfRule type="expression" priority="4" aboveAverage="0" equalAverage="0" bottom="0" percent="0" rank="0" text="" dxfId="0">
      <formula>LEFT(G17,6)="Riktig"</formula>
    </cfRule>
    <cfRule type="expression" priority="5" aboveAverage="0" equalAverage="0" bottom="0" percent="0" rank="0" text="" dxfId="1">
      <formula>LEFT(G17,4)="Ikke"</formula>
    </cfRule>
  </conditionalFormatting>
  <conditionalFormatting sqref="G18">
    <cfRule type="expression" priority="6" aboveAverage="0" equalAverage="0" bottom="0" percent="0" rank="0" text="" dxfId="0">
      <formula>LEFT(G18,6)="Riktig"</formula>
    </cfRule>
    <cfRule type="expression" priority="7" aboveAverage="0" equalAverage="0" bottom="0" percent="0" rank="0" text="" dxfId="1">
      <formula>LEFT(G18,4)="Ikke"</formula>
    </cfRule>
  </conditionalFormatting>
  <conditionalFormatting sqref="G19">
    <cfRule type="expression" priority="8" aboveAverage="0" equalAverage="0" bottom="0" percent="0" rank="0" text="" dxfId="0">
      <formula>LEFT(G19,6)="Riktig"</formula>
    </cfRule>
    <cfRule type="expression" priority="9" aboveAverage="0" equalAverage="0" bottom="0" percent="0" rank="0" text="" dxfId="1">
      <formula>LEFT(G19,4)="Ikke"</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LEFT(G20,4)="Ikke"</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LEFT(G23,4)="Ikke"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7">
    <cfRule type="expression" priority="20" aboveAverage="0" equalAverage="0" bottom="0" percent="0" rank="0" text="" dxfId="0">
      <formula>LEFT(G27,6)="Riktig"</formula>
    </cfRule>
    <cfRule type="expression" priority="21" aboveAverage="0" equalAverage="0" bottom="0" percent="0" rank="0" text="" dxfId="1">
      <formula>LEFT(G27,4)="Ikke"</formula>
    </cfRule>
  </conditionalFormatting>
  <conditionalFormatting sqref="G28">
    <cfRule type="expression" priority="22" aboveAverage="0" equalAverage="0" bottom="0" percent="0" rank="0" text="" dxfId="0">
      <formula>LEFT(G28,6)="Riktig"</formula>
    </cfRule>
    <cfRule type="expression" priority="23" aboveAverage="0" equalAverage="0" bottom="0" percent="0" rank="0" text="" dxfId="1">
      <formula>LEFT(G28,4)="Ikke"</formula>
    </cfRule>
  </conditionalFormatting>
  <conditionalFormatting sqref="G29">
    <cfRule type="expression" priority="24" aboveAverage="0" equalAverage="0" bottom="0" percent="0" rank="0" text="" dxfId="0">
      <formula>LEFT(G29,6)="Riktig"</formula>
    </cfRule>
    <cfRule type="expression" priority="25" aboveAverage="0" equalAverage="0" bottom="0" percent="0" rank="0" text="" dxfId="1">
      <formula>LEFT(G29,4)="Ikke"</formula>
    </cfRule>
  </conditionalFormatting>
  <conditionalFormatting sqref="G30">
    <cfRule type="expression" priority="26" aboveAverage="0" equalAverage="0" bottom="0" percent="0" rank="0" text="" dxfId="0">
      <formula>LEFT(G30,6)="Riktig"</formula>
    </cfRule>
    <cfRule type="expression" priority="27" aboveAverage="0" equalAverage="0" bottom="0" percent="0" rank="0" text="" dxfId="1">
      <formula>LEFT(G30,4)="Ikke"</formula>
    </cfRule>
  </conditionalFormatting>
  <conditionalFormatting sqref="G31">
    <cfRule type="expression" priority="28" aboveAverage="0" equalAverage="0" bottom="0" percent="0" rank="0" text="" dxfId="0">
      <formula>LEFT(G31,6)="Riktig"</formula>
    </cfRule>
    <cfRule type="expression" priority="29" aboveAverage="0" equalAverage="0" bottom="0" percent="0" rank="0" text="" dxfId="1">
      <formula>LEFT(G31,4)="Ikke"</formula>
    </cfRule>
  </conditionalFormatting>
  <conditionalFormatting sqref="G32">
    <cfRule type="expression" priority="30" aboveAverage="0" equalAverage="0" bottom="0" percent="0" rank="0" text="" dxfId="0">
      <formula>LEFT(G32,6)="Riktig"</formula>
    </cfRule>
    <cfRule type="expression" priority="31" aboveAverage="0" equalAverage="0" bottom="0" percent="0" rank="0" text="" dxfId="1">
      <formula>LEFT(G32,4)="Ikke"</formula>
    </cfRule>
  </conditionalFormatting>
  <dataValidations count="16">
    <dataValidation allowBlank="true" errorStyle="stop" operator="between" showDropDown="false" showErrorMessage="false" showInputMessage="false" sqref="C16" type="list">
      <formula1>$Z$1:$Z$6</formula1>
      <formula2>0</formula2>
    </dataValidation>
    <dataValidation allowBlank="true" errorStyle="stop" operator="between" showDropDown="false" showErrorMessage="false" showInputMessage="false" sqref="C17" type="list">
      <formula1>$Z$7:$Z$12</formula1>
      <formula2>0</formula2>
    </dataValidation>
    <dataValidation allowBlank="true" errorStyle="stop" operator="between" showDropDown="false" showErrorMessage="false" showInputMessage="false" sqref="C18" type="list">
      <formula1>$Z$13:$Z$18</formula1>
      <formula2>0</formula2>
    </dataValidation>
    <dataValidation allowBlank="true" errorStyle="stop" operator="between" showDropDown="false" showErrorMessage="false" showInputMessage="false" sqref="C19" type="list">
      <formula1>$Z$19:$Z$24</formula1>
      <formula2>0</formula2>
    </dataValidation>
    <dataValidation allowBlank="true" errorStyle="stop" operator="between" showDropDown="false" showErrorMessage="false" showInputMessage="false" sqref="C20" type="list">
      <formula1>$Z$25:$Z$30</formula1>
      <formula2>0</formula2>
    </dataValidation>
    <dataValidation allowBlank="true" errorStyle="stop" operator="between" showDropDown="false" showErrorMessage="false" showInputMessage="false" sqref="C21" type="list">
      <formula1>$Z$31:$Z$36</formula1>
      <formula2>0</formula2>
    </dataValidation>
    <dataValidation allowBlank="true" errorStyle="stop" operator="between" showDropDown="false" showErrorMessage="false" showInputMessage="false" sqref="C22" type="list">
      <formula1>$Z$37:$Z$42</formula1>
      <formula2>0</formula2>
    </dataValidation>
    <dataValidation allowBlank="true" errorStyle="stop" operator="between" showDropDown="false" showErrorMessage="false" showInputMessage="false" sqref="C23" type="list">
      <formula1>$Z$43:$Z$48</formula1>
      <formula2>0</formula2>
    </dataValidation>
    <dataValidation allowBlank="true" errorStyle="stop" operator="between" showDropDown="false" showErrorMessage="false" showInputMessage="false" sqref="C24" type="list">
      <formula1>$Z$49:$Z$54</formula1>
      <formula2>0</formula2>
    </dataValidation>
    <dataValidation allowBlank="true" errorStyle="stop" operator="between" showDropDown="false" showErrorMessage="false" showInputMessage="false" sqref="C27" type="list">
      <formula1>$Z$55:$Z$56</formula1>
      <formula2>0</formula2>
    </dataValidation>
    <dataValidation allowBlank="true" errorStyle="stop" operator="between" showDropDown="false" showErrorMessage="false" showInputMessage="false" sqref="C28" type="list">
      <formula1>$Z$57:$Z$58</formula1>
      <formula2>0</formula2>
    </dataValidation>
    <dataValidation allowBlank="true" errorStyle="stop" operator="between" showDropDown="false" showErrorMessage="false" showInputMessage="false" sqref="C29" type="list">
      <formula1>$Z$59:$Z$60</formula1>
      <formula2>0</formula2>
    </dataValidation>
    <dataValidation allowBlank="true" errorStyle="stop" operator="between" showDropDown="false" showErrorMessage="false" showInputMessage="false" sqref="C30" type="list">
      <formula1>$Z$61:$Z$62</formula1>
      <formula2>0</formula2>
    </dataValidation>
    <dataValidation allowBlank="true" errorStyle="stop" operator="between" showDropDown="false" showErrorMessage="false" showInputMessage="false" sqref="C31" type="list">
      <formula1>$Z$63:$Z$64</formula1>
      <formula2>0</formula2>
    </dataValidation>
    <dataValidation allowBlank="true" errorStyle="stop" operator="between" showDropDown="false" showErrorMessage="false" showInputMessage="false" sqref="C32" type="list">
      <formula1>$Z$65:$Z$66</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51</v>
      </c>
    </row>
    <row r="2" customFormat="false" ht="25.5" hidden="false" customHeight="true" outlineLevel="0" collapsed="false">
      <c r="B2" s="5" t="s">
        <v>52</v>
      </c>
      <c r="C2" s="5"/>
      <c r="D2" s="5"/>
      <c r="E2" s="5"/>
      <c r="F2" s="5"/>
      <c r="G2" s="5"/>
      <c r="Z2" s="6" t="s">
        <v>53</v>
      </c>
    </row>
    <row r="3" customFormat="false" ht="15" hidden="false" customHeight="true" outlineLevel="0" collapsed="false">
      <c r="B3" s="7" t="s">
        <v>16</v>
      </c>
      <c r="C3" s="7"/>
      <c r="D3" s="7"/>
      <c r="E3" s="7"/>
      <c r="F3" s="7"/>
      <c r="G3" s="7"/>
      <c r="Z3" s="6" t="s">
        <v>51</v>
      </c>
    </row>
    <row r="4" customFormat="false" ht="15.75" hidden="false" customHeight="true" outlineLevel="0" collapsed="false">
      <c r="B4" s="8" t="s">
        <v>18</v>
      </c>
      <c r="C4" s="8"/>
      <c r="D4" s="8"/>
      <c r="E4" s="8"/>
      <c r="F4" s="8"/>
      <c r="G4" s="8"/>
      <c r="Z4" s="6" t="s">
        <v>53</v>
      </c>
    </row>
    <row r="5" customFormat="false" ht="45" hidden="false" customHeight="true" outlineLevel="0" collapsed="false">
      <c r="B5" s="9" t="s">
        <v>54</v>
      </c>
      <c r="C5" s="9"/>
      <c r="D5" s="9"/>
      <c r="E5" s="9"/>
      <c r="F5" s="9"/>
      <c r="G5" s="9"/>
      <c r="Z5" s="6" t="s">
        <v>51</v>
      </c>
    </row>
    <row r="6" customFormat="false" ht="15.75" hidden="false" customHeight="true" outlineLevel="0" collapsed="false">
      <c r="B6" s="8" t="s">
        <v>22</v>
      </c>
      <c r="C6" s="8"/>
      <c r="D6" s="8"/>
      <c r="E6" s="8"/>
      <c r="F6" s="8"/>
      <c r="G6" s="8"/>
      <c r="Z6" s="6" t="s">
        <v>53</v>
      </c>
    </row>
    <row r="7" customFormat="false" ht="45" hidden="false" customHeight="true" outlineLevel="0" collapsed="false">
      <c r="B7" s="9" t="s">
        <v>55</v>
      </c>
      <c r="C7" s="9"/>
      <c r="D7" s="9"/>
      <c r="E7" s="9"/>
      <c r="F7" s="9"/>
      <c r="G7" s="9"/>
      <c r="Z7" s="6" t="s">
        <v>51</v>
      </c>
    </row>
    <row r="8" customFormat="false" ht="15" hidden="false" customHeight="false" outlineLevel="0" collapsed="false">
      <c r="Z8" s="0" t="s">
        <v>53</v>
      </c>
    </row>
    <row r="9" customFormat="false" ht="15.75" hidden="false" customHeight="true" outlineLevel="0" collapsed="false">
      <c r="B9" s="8" t="s">
        <v>56</v>
      </c>
      <c r="C9" s="8"/>
      <c r="D9" s="8"/>
      <c r="E9" s="8"/>
      <c r="F9" s="8"/>
      <c r="G9" s="8"/>
      <c r="Z9" s="6" t="s">
        <v>51</v>
      </c>
    </row>
    <row r="10" customFormat="false" ht="90" hidden="false" customHeight="true" outlineLevel="0" collapsed="false">
      <c r="B10" s="9" t="s">
        <v>57</v>
      </c>
      <c r="C10" s="9"/>
      <c r="D10" s="9"/>
      <c r="E10" s="9"/>
      <c r="F10" s="9"/>
      <c r="G10" s="9"/>
      <c r="Z10" s="6" t="s">
        <v>53</v>
      </c>
    </row>
    <row r="11" customFormat="false" ht="15" hidden="false" customHeight="false" outlineLevel="0" collapsed="false">
      <c r="B11" s="18" t="s">
        <v>58</v>
      </c>
      <c r="C11" s="19" t="s">
        <v>59</v>
      </c>
      <c r="Z11" s="6" t="s">
        <v>51</v>
      </c>
    </row>
    <row r="12" customFormat="false" ht="15" hidden="false" customHeight="false" outlineLevel="0" collapsed="false">
      <c r="B12" s="20" t="s">
        <v>60</v>
      </c>
      <c r="C12" s="21" t="n">
        <v>22</v>
      </c>
      <c r="Z12" s="6" t="s">
        <v>53</v>
      </c>
    </row>
    <row r="13" customFormat="false" ht="15" hidden="false" customHeight="false" outlineLevel="0" collapsed="false">
      <c r="B13" s="20" t="s">
        <v>61</v>
      </c>
      <c r="C13" s="21" t="n">
        <v>60</v>
      </c>
      <c r="Z13" s="6" t="s">
        <v>51</v>
      </c>
    </row>
    <row r="14" customFormat="false" ht="15" hidden="false" customHeight="false" outlineLevel="0" collapsed="false">
      <c r="B14" s="20" t="s">
        <v>62</v>
      </c>
      <c r="C14" s="21" t="n">
        <v>40</v>
      </c>
      <c r="Z14" s="6" t="s">
        <v>53</v>
      </c>
    </row>
    <row r="15" customFormat="false" ht="15" hidden="false" customHeight="false" outlineLevel="0" collapsed="false">
      <c r="B15" s="20" t="s">
        <v>63</v>
      </c>
      <c r="C15" s="21" t="n">
        <v>12000</v>
      </c>
      <c r="Z15" s="6" t="s">
        <v>51</v>
      </c>
    </row>
    <row r="16" customFormat="false" ht="15" hidden="false" customHeight="false" outlineLevel="0" collapsed="false">
      <c r="B16" s="20" t="s">
        <v>64</v>
      </c>
      <c r="C16" s="21" t="n">
        <v>4</v>
      </c>
      <c r="Z16" s="6" t="s">
        <v>53</v>
      </c>
    </row>
    <row r="17" customFormat="false" ht="15" hidden="false" customHeight="false" outlineLevel="0" collapsed="false">
      <c r="B17" s="20" t="s">
        <v>65</v>
      </c>
      <c r="C17" s="21" t="n">
        <v>2</v>
      </c>
    </row>
    <row r="18" customFormat="false" ht="15" hidden="false" customHeight="false" outlineLevel="0" collapsed="false">
      <c r="B18" s="20" t="s">
        <v>66</v>
      </c>
      <c r="C18" s="21" t="n">
        <v>22400000</v>
      </c>
    </row>
    <row r="19" customFormat="false" ht="15" hidden="false" customHeight="false" outlineLevel="0" collapsed="false">
      <c r="B19" s="20" t="s">
        <v>67</v>
      </c>
      <c r="C19" s="21" t="n">
        <v>14400</v>
      </c>
    </row>
    <row r="21" customFormat="false" ht="15.75" hidden="false" customHeight="true" outlineLevel="0" collapsed="false">
      <c r="B21" s="8" t="s">
        <v>27</v>
      </c>
      <c r="C21" s="8"/>
      <c r="D21" s="8"/>
      <c r="E21" s="8"/>
      <c r="F21" s="8"/>
      <c r="G21" s="8"/>
    </row>
    <row r="22" customFormat="false" ht="60" hidden="false" customHeight="true" outlineLevel="0" collapsed="false">
      <c r="B22" s="9" t="s">
        <v>68</v>
      </c>
      <c r="C22" s="9"/>
      <c r="D22" s="9"/>
      <c r="E22" s="9"/>
      <c r="F22" s="9"/>
      <c r="G22" s="9"/>
    </row>
    <row r="24" customFormat="false" ht="43.5" hidden="false" customHeight="true" outlineLevel="0" collapsed="false">
      <c r="B24" s="11" t="s">
        <v>69</v>
      </c>
      <c r="C24" s="22"/>
      <c r="D24" s="23" t="s">
        <v>70</v>
      </c>
      <c r="G24" s="13" t="str">
        <f aca="false">IF(C24="","Skriv svaret i den gule cellen.",IF(C24=(22*60),"Riktig.",IF(ABS(C24-(22))&lt;=0,"Du har svart antall borettslag. Gang med 60 plasser per borettslag.","Ikke riktig ennå. Se på regnestykket øverst på fanen, og sjekk at du har med alle leddene.")))</f>
        <v>Skriv svaret i den gule cellen.</v>
      </c>
    </row>
    <row r="25" customFormat="false" ht="43.5" hidden="false" customHeight="true" outlineLevel="0" collapsed="false">
      <c r="B25" s="11" t="s">
        <v>71</v>
      </c>
      <c r="C25" s="22"/>
      <c r="D25" s="23" t="s">
        <v>72</v>
      </c>
      <c r="G25" s="13" t="str">
        <f aca="false">IF(C25="","Skriv svaret i den gule cellen.",IF(C25=(22*60*0.4),"Riktig.",IF(ABS(C25-(22*60*0.6))&lt;=0,"Du har tatt de 60 % som allerede har ladepunkt. Segmentet er de 40 % som mangler.",IF(ABS(C25-(22*60))&lt;=0,"Du har svart alle plassene. Bare 40 % av dem mangler ladepunkt.","Ikke riktig ennå. Se på regnestykket øverst på fanen, og sjekk at du har med alle leddene."))))</f>
        <v>Skriv svaret i den gule cellen.</v>
      </c>
    </row>
    <row r="26" customFormat="false" ht="43.5" hidden="false" customHeight="true" outlineLevel="0" collapsed="false">
      <c r="B26" s="11" t="s">
        <v>73</v>
      </c>
      <c r="C26" s="22"/>
      <c r="D26" s="23" t="s">
        <v>74</v>
      </c>
      <c r="G26" s="13" t="str">
        <f aca="false">IF(C26="","Skriv svaret i den gule cellen.",IF(C26=(22*60*0.4*12000),"Riktig.",IF(ABS(C26-(22*60*12000))&lt;=0,"Du har ganget alle plassene med prisen. Bare de 528 som mangler ladepunkt, er et salg.","Ikke riktig ennå. Se på regnestykket øverst på fanen, og sjekk at du har med alle leddene.")))</f>
        <v>Skriv svaret i den gule cellen.</v>
      </c>
    </row>
    <row r="27" customFormat="false" ht="43.5" hidden="false" customHeight="true" outlineLevel="0" collapsed="false">
      <c r="B27" s="11" t="s">
        <v>75</v>
      </c>
      <c r="C27" s="22"/>
      <c r="D27" s="23" t="s">
        <v>76</v>
      </c>
      <c r="G27" s="13" t="str">
        <f aca="false">IF(C27="","Skriv svaret i den gule cellen.",IF(C27=(22*60*0.4*12000/4),"Riktig.",IF(ABS(C27-(22*60*0.4*12000))&lt;=0,"Det er hele salgsverdien. Styrene bygger ut over fire år; del på 4.",IF(ABS(C27-(22*60*0.4*12000*4))&lt;=0,"Du har ganget med 4. Salgsverdien skal deles på årene, ikke ganges.","Ikke riktig ennå. Se på regnestykket øverst på fanen, og sjekk at du har med alle leddene."))))</f>
        <v>Skriv svaret i den gule cellen.</v>
      </c>
    </row>
    <row r="28" customFormat="false" ht="43.5" hidden="false" customHeight="true" outlineLevel="0" collapsed="false">
      <c r="B28" s="11" t="s">
        <v>77</v>
      </c>
      <c r="C28" s="24"/>
      <c r="D28" s="23" t="s">
        <v>78</v>
      </c>
      <c r="G28" s="13" t="str">
        <f aca="false">IF(C28="","Skriv svaret i den gule cellen.",IF(ABS(C28-(ROUND(22*60*0.4*12000/4/22400000*100,0)))&lt;=0.5,"Riktig.",IF(ABS(C28-(ROUND(22*60*0.4*12000/22400000*100,0)))&lt;=0.5,"Du har regnet andelen av hele salgsverdien, 6 336 000. Bruk tallet per år, 1 584 000.","Ikke riktig ennå. Se på regnestykket øverst på fanen, og sjekk at du har med alle leddene.")))</f>
        <v>Skriv svaret i den gule cellen.</v>
      </c>
    </row>
    <row r="29" customFormat="false" ht="43.5" hidden="false" customHeight="true" outlineLevel="0" collapsed="false">
      <c r="B29" s="11" t="s">
        <v>79</v>
      </c>
      <c r="C29" s="22"/>
      <c r="D29" s="23" t="s">
        <v>80</v>
      </c>
      <c r="G29" s="13" t="str">
        <f aca="false">IF(C29="","Skriv svaret i den gule cellen.",IF(C29=(22*60*0.4*2/4),"Riktig.",IF(ABS(C29-(22*60*0.4*2))&lt;=0,"Det er timene for alle fire årene. Del på 4.",IF(ABS(C29-(22*60*0.4/4))&lt;=0,"Du har glemt at hvert ladepunkt tar 2 timer.","Ikke riktig ennå. Se på regnestykket øverst på fanen, og sjekk at du har med alle leddene."))))</f>
        <v>Skriv svaret i den gule cellen.</v>
      </c>
    </row>
    <row r="31" customFormat="false" ht="43.5" hidden="false" customHeight="true" outlineLevel="0" collapsed="false">
      <c r="B31" s="11" t="s">
        <v>81</v>
      </c>
      <c r="C31" s="22"/>
      <c r="D31" s="23" t="s">
        <v>82</v>
      </c>
      <c r="G31" s="13" t="str">
        <f aca="false">IF(C31="","Skriv svaret i den gule cellen.",IF(C31=(4000*0.45*0.05),"Riktig.",IF(ABS(C31-(4000*0.45))&lt;=0,"Det er antall eneboliger bygd før 1980, 1 800. Bare 5 % av dem bytter skap i året.",IF(ABS(C31-(4000*0.05))&lt;=0,"Du har glemt at bare 45 % av eneboligene er bygd før 1980.","Ikke riktig ennå. Se på regnestykket øverst på fanen, og sjekk at du har med alle leddene."))))</f>
        <v>Skriv svaret i den gule cellen.</v>
      </c>
    </row>
    <row r="32" customFormat="false" ht="43.5" hidden="false" customHeight="true" outlineLevel="0" collapsed="false">
      <c r="B32" s="11" t="s">
        <v>83</v>
      </c>
      <c r="C32" s="25"/>
      <c r="D32" s="23" t="s">
        <v>78</v>
      </c>
      <c r="G32" s="13" t="str">
        <f aca="false">IF(C32="","Skriv svaret i den gule cellen.",IF(ABS(C32-(ROUND(4000*0.45*0.05*6/3500*100,1)))&lt;=0.05,"Riktig.",IF(ABS(C32-(ROUND(4000*0.45*0.05/3500*100,1)))&lt;=0.05,"Du har delt bytter på timer. Hvert bytte tar 6 timer; gang først med 6.","Ikke riktig ennå. Se på regnestykket øverst på fanen, og sjekk at du har med alle leddene.")))</f>
        <v>Skriv svaret i den gule cellen.</v>
      </c>
    </row>
    <row r="34" customFormat="false" ht="15" hidden="false" customHeight="true" outlineLevel="0" collapsed="false">
      <c r="B34" s="10" t="s">
        <v>84</v>
      </c>
      <c r="C34" s="10"/>
      <c r="D34" s="10"/>
      <c r="E34" s="10"/>
      <c r="F34" s="10"/>
      <c r="G34" s="10"/>
    </row>
    <row r="35" customFormat="false" ht="39.75" hidden="false" customHeight="true" outlineLevel="0" collapsed="false">
      <c r="B35" s="11" t="s">
        <v>85</v>
      </c>
      <c r="C35" s="12"/>
      <c r="G35" s="13" t="str">
        <f aca="false">IF(C35="","Velg i nedtrekksmenyen.",IF(C35="Oppfylt","Riktig. 22 borettslag er telt, plassene og andelen uten lader er rimelige antagelser. Det er slik boka sier segmentet skal måles (5.7).","Ikke riktig. 22 borettslag er telt, plassene og andelen uten lader er rimelige antagelser. Det er slik boka sier segmentet skal måles (5.7)."))</f>
        <v>Velg i nedtrekksmenyen.</v>
      </c>
    </row>
    <row r="36" customFormat="false" ht="39.75" hidden="false" customHeight="true" outlineLevel="0" collapsed="false">
      <c r="B36" s="11" t="s">
        <v>86</v>
      </c>
      <c r="C36" s="12"/>
      <c r="G36" s="13" t="str">
        <f aca="false">IF(C36="","Velg i nedtrekksmenyen.",IF(C36="Oppfylt","Riktig. Alle 22 ligger innenfor kjøreavstand, og styrene kan kontaktes direkte, ett og ett.","Ikke riktig. Alle 22 ligger innenfor kjøreavstand, og styrene kan kontaktes direkte, ett og ett."))</f>
        <v>Velg i nedtrekksmenyen.</v>
      </c>
    </row>
    <row r="37" customFormat="false" ht="39.75" hidden="false" customHeight="true" outlineLevel="0" collapsed="false">
      <c r="B37" s="11" t="s">
        <v>87</v>
      </c>
      <c r="C37" s="12"/>
      <c r="G37" s="13" t="str">
        <f aca="false">IF(C37="","Velg i nedtrekksmenyen.",IF(C37="Oppfylt","Riktig. 1 584 000 kr i året er mer enn idrettslagene (600 000) og mer enn husstandene (1 450 000). Over et rimelig minstemål.","Ikke riktig. 1 584 000 kr i året er mer enn idrettslagene (600 000) og mer enn husstandene (1 450 000). Over et rimelig minstemål."))</f>
        <v>Velg i nedtrekksmenyen.</v>
      </c>
    </row>
    <row r="38" customFormat="false" ht="39.75" hidden="false" customHeight="true" outlineLevel="0" collapsed="false">
      <c r="B38" s="11" t="s">
        <v>88</v>
      </c>
      <c r="C38" s="12"/>
      <c r="G38" s="13" t="str">
        <f aca="false">IF(C38="","Velg i nedtrekksmenyen.",IF(C38="Oppfylt","Riktig. 264 timer i året er 1,8 % av 14 400. Nordlys har teknikken og folkene, og kan bygge trinnvis.","Ikke riktig. 264 timer i året er 1,8 % av 14 400. Nordlys har teknikken og folkene, og kan bygge trinnvis."))</f>
        <v>Velg i nedtrekksmenyen.</v>
      </c>
    </row>
    <row r="40" customFormat="false" ht="15" hidden="false" customHeight="true" outlineLevel="0" collapsed="false">
      <c r="B40" s="10" t="s">
        <v>89</v>
      </c>
      <c r="C40" s="10"/>
      <c r="D40" s="10"/>
      <c r="E40" s="10"/>
      <c r="F40" s="10"/>
      <c r="G40" s="10"/>
    </row>
    <row r="41" customFormat="false" ht="39.75" hidden="false" customHeight="true" outlineLevel="0" collapsed="false">
      <c r="B41" s="11" t="s">
        <v>85</v>
      </c>
      <c r="C41" s="12"/>
      <c r="G41" s="13" t="str">
        <f aca="false">IF(C41="","Velg i nedtrekksmenyen.",IF(C41="Oppfylt","Riktig. Statistikken teller elbiler per kommune. Segmentet kan beskrives og måles.","Ikke riktig. Statistikken teller elbiler per kommune. Segmentet kan beskrives og måles."))</f>
        <v>Velg i nedtrekksmenyen.</v>
      </c>
    </row>
    <row r="42" customFormat="false" ht="39.75" hidden="false" customHeight="true" outlineLevel="0" collapsed="false">
      <c r="B42" s="11" t="s">
        <v>86</v>
      </c>
      <c r="C42" s="12"/>
      <c r="G42" s="13" t="str">
        <f aca="false">IF(C42="","Velg i nedtrekksmenyen.",IF(C42="Ikke oppfylt","Riktig. 12 montører på ett sted når ikke hele Oslo med responstid, og ingen kanal når bare dem. Boka: beliggenheten må gjøre bedriften til et naturlig valg.","Ikke riktig. 12 montører på ett sted når ikke hele Oslo med responstid, og ingen kanal når bare dem. Boka: beliggenheten må gjøre bedriften til et naturlig valg."))</f>
        <v>Velg i nedtrekksmenyen.</v>
      </c>
    </row>
    <row r="43" customFormat="false" ht="39.75" hidden="false" customHeight="true" outlineLevel="0" collapsed="false">
      <c r="B43" s="11" t="s">
        <v>87</v>
      </c>
      <c r="C43" s="12"/>
      <c r="G43" s="13" t="str">
        <f aca="false">IF(C43="","Velg i nedtrekksmenyen.",IF(C43="Oppfylt","Riktig. Segmentet er så stort at ingen tviler på salgsverdien. Men boka minner om at der er konkurransen størst og prisene under press.","Ikke riktig. Segmentet er så stort at ingen tviler på salgsverdien. Men boka minner om at der er konkurransen størst og prisene under press."))</f>
        <v>Velg i nedtrekksmenyen.</v>
      </c>
    </row>
    <row r="44" customFormat="false" ht="39.75" hidden="false" customHeight="true" outlineLevel="0" collapsed="false">
      <c r="B44" s="11" t="s">
        <v>88</v>
      </c>
      <c r="C44" s="12"/>
      <c r="G44" s="13" t="str">
        <f aca="false">IF(C44="","Velg i nedtrekksmenyen.",IF(C44="Ikke oppfylt","Riktig. 14 400 timer er brukt opp. Nordlys kan ikke levere mengden til rett tid til hele Oslo. Avgrens segmentet i stedet.","Ikke riktig. 14 400 timer er brukt opp. Nordlys kan ikke levere mengden til rett tid til hele Oslo. Avgrens segmentet i stedet."))</f>
        <v>Velg i nedtrekksmenyen.</v>
      </c>
    </row>
    <row r="46" customFormat="false" ht="30" hidden="false" customHeight="true" outlineLevel="0" collapsed="false">
      <c r="B46" s="9" t="s">
        <v>90</v>
      </c>
      <c r="C46" s="9"/>
      <c r="D46" s="9"/>
      <c r="E46" s="9"/>
      <c r="F46" s="9"/>
      <c r="G46" s="9"/>
    </row>
    <row r="47" customFormat="false" ht="21.75" hidden="false" customHeight="true" outlineLevel="0" collapsed="false">
      <c r="B47" s="14"/>
      <c r="C47" s="14"/>
      <c r="D47" s="14"/>
      <c r="E47" s="14"/>
      <c r="F47" s="14"/>
      <c r="G47" s="14"/>
    </row>
    <row r="48" customFormat="false" ht="21.75" hidden="false" customHeight="true" outlineLevel="0" collapsed="false">
      <c r="B48" s="14"/>
      <c r="C48" s="14"/>
      <c r="D48" s="14"/>
      <c r="E48" s="14"/>
      <c r="F48" s="14"/>
      <c r="G48" s="14"/>
    </row>
    <row r="49" customFormat="false" ht="21.75" hidden="false" customHeight="true" outlineLevel="0" collapsed="false">
      <c r="B49" s="14"/>
      <c r="C49" s="14"/>
      <c r="D49" s="14"/>
      <c r="E49" s="14"/>
      <c r="F49" s="14"/>
      <c r="G49" s="14"/>
    </row>
    <row r="50" customFormat="false" ht="39.75" hidden="false" customHeight="true" outlineLevel="0" collapsed="false">
      <c r="B50" s="15" t="str">
        <f aca="false">IF(LEN(B47)&lt;40,"",IF(AND(ISNUMBER(SEARCH("idrettslag",B47)),ISNUMBER(SEARCH("lønnsom",B47))),"Bra: du sammenlikner med idrettslagene og har med bokas poeng om at det største segmentet ikke alltid er det mest lønnsomme.",IF(OR(ISNUMBER(SEARCH("idrettslag",B47)),ISNUMBER(SEARCH("lønnsom",B47))),"Du er på sporet. Ta med både sammenlikningen med idrettslagene (600 000 kr) og det boka sier om at det største segmentet ikke alltid er det mest lønnsomme.","Tips: 1 584 000 kr i året er mer enn idrettslagene med 600 000 og mer enn husstandene med 1 450 000, så det er over et rimelig minstemål. Og boka: det største segmentet, byggherrene, er ikke alltid det mest lønnsomme, for der er konkurransen størst og prisene under press.")))</f>
        <v/>
      </c>
      <c r="C50" s="15"/>
      <c r="D50" s="15"/>
      <c r="E50" s="15"/>
      <c r="F50" s="15"/>
      <c r="G50" s="15"/>
    </row>
    <row r="51" customFormat="false" ht="15" hidden="false" customHeight="false" outlineLevel="0" collapsed="false">
      <c r="B51" s="16" t="s">
        <v>47</v>
      </c>
      <c r="C51" s="12"/>
    </row>
    <row r="52" customFormat="false" ht="45" hidden="false" customHeight="true" outlineLevel="0" collapsed="false">
      <c r="B52" s="17" t="str">
        <f aca="false">IF(C51="JA","Hint: a: 22 × 60 = 1 320. b: 1 320 × 0,40 = 528. c: 528 × 12 000 = 6 336 000. d: 6 336 000 / 4 = 1 584 000. e: 1 584 000 / 22 400 000 = 7,07 %, avrundet 7. f: 528 × 2 / 4 = 264. g: 4 000 × 0,45 × 0,05 = 90. h: 90 × 6 = 540 timer, 540 / 3 500 = 15,4 %.","")</f>
        <v/>
      </c>
      <c r="C52" s="17"/>
      <c r="D52" s="17"/>
      <c r="E52" s="17"/>
      <c r="F52" s="17"/>
      <c r="G52" s="17"/>
    </row>
    <row r="54" customFormat="false" ht="30" hidden="false" customHeight="true" outlineLevel="0" collapsed="false">
      <c r="B54" s="7" t="s">
        <v>48</v>
      </c>
      <c r="C54" s="7"/>
      <c r="D54" s="7"/>
      <c r="E54" s="7"/>
      <c r="F54" s="7"/>
      <c r="G54" s="7"/>
    </row>
  </sheetData>
  <mergeCells count="17">
    <mergeCell ref="B2:G2"/>
    <mergeCell ref="B3:G3"/>
    <mergeCell ref="B4:G4"/>
    <mergeCell ref="B5:G5"/>
    <mergeCell ref="B6:G6"/>
    <mergeCell ref="B7:G7"/>
    <mergeCell ref="B9:G9"/>
    <mergeCell ref="B10:G10"/>
    <mergeCell ref="B21:G21"/>
    <mergeCell ref="B22:G22"/>
    <mergeCell ref="B34:G34"/>
    <mergeCell ref="B40:G40"/>
    <mergeCell ref="B46:G46"/>
    <mergeCell ref="B47:G49"/>
    <mergeCell ref="B50:G50"/>
    <mergeCell ref="B52:G52"/>
    <mergeCell ref="B54:G54"/>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AND(G27&lt;&gt;"",LEFT(G27,6)&lt;&gt;"Riktig",LEFT(G27,5)&lt;&gt;"Skriv")</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AND(G28&lt;&gt;"",LEFT(G28,6)&lt;&gt;"Riktig",LEFT(G28,5)&lt;&gt;"Skriv")</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AND(G29&lt;&gt;"",LEFT(G29,6)&lt;&gt;"Riktig",LEFT(G29,5)&lt;&gt;"Skriv")</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AND(G31&lt;&gt;"",LEFT(G31,6)&lt;&gt;"Riktig",LEFT(G31,5)&lt;&gt;"Skriv")</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AND(G32&lt;&gt;"",LEFT(G32,6)&lt;&gt;"Riktig",LEFT(G32,5)&lt;&gt;"Skriv")</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conditionalFormatting sqref="G36">
    <cfRule type="expression" priority="20" aboveAverage="0" equalAverage="0" bottom="0" percent="0" rank="0" text="" dxfId="0">
      <formula>LEFT(G36,6)="Riktig"</formula>
    </cfRule>
    <cfRule type="expression" priority="21" aboveAverage="0" equalAverage="0" bottom="0" percent="0" rank="0" text="" dxfId="1">
      <formula>LEFT(G36,4)="Ikke"</formula>
    </cfRule>
  </conditionalFormatting>
  <conditionalFormatting sqref="G37">
    <cfRule type="expression" priority="22" aboveAverage="0" equalAverage="0" bottom="0" percent="0" rank="0" text="" dxfId="0">
      <formula>LEFT(G37,6)="Riktig"</formula>
    </cfRule>
    <cfRule type="expression" priority="23" aboveAverage="0" equalAverage="0" bottom="0" percent="0" rank="0" text="" dxfId="1">
      <formula>LEFT(G37,4)="Ikke"</formula>
    </cfRule>
  </conditionalFormatting>
  <conditionalFormatting sqref="G38">
    <cfRule type="expression" priority="24" aboveAverage="0" equalAverage="0" bottom="0" percent="0" rank="0" text="" dxfId="0">
      <formula>LEFT(G38,6)="Riktig"</formula>
    </cfRule>
    <cfRule type="expression" priority="25" aboveAverage="0" equalAverage="0" bottom="0" percent="0" rank="0" text="" dxfId="1">
      <formula>LEFT(G38,4)="Ikke"</formula>
    </cfRule>
  </conditionalFormatting>
  <conditionalFormatting sqref="G41">
    <cfRule type="expression" priority="26" aboveAverage="0" equalAverage="0" bottom="0" percent="0" rank="0" text="" dxfId="0">
      <formula>LEFT(G41,6)="Riktig"</formula>
    </cfRule>
    <cfRule type="expression" priority="27" aboveAverage="0" equalAverage="0" bottom="0" percent="0" rank="0" text="" dxfId="1">
      <formula>LEFT(G41,4)="Ikke"</formula>
    </cfRule>
  </conditionalFormatting>
  <conditionalFormatting sqref="G42">
    <cfRule type="expression" priority="28" aboveAverage="0" equalAverage="0" bottom="0" percent="0" rank="0" text="" dxfId="0">
      <formula>LEFT(G42,6)="Riktig"</formula>
    </cfRule>
    <cfRule type="expression" priority="29" aboveAverage="0" equalAverage="0" bottom="0" percent="0" rank="0" text="" dxfId="1">
      <formula>LEFT(G42,4)="Ikke"</formula>
    </cfRule>
  </conditionalFormatting>
  <conditionalFormatting sqref="G43">
    <cfRule type="expression" priority="30" aboveAverage="0" equalAverage="0" bottom="0" percent="0" rank="0" text="" dxfId="0">
      <formula>LEFT(G43,6)="Riktig"</formula>
    </cfRule>
    <cfRule type="expression" priority="31" aboveAverage="0" equalAverage="0" bottom="0" percent="0" rank="0" text="" dxfId="1">
      <formula>LEFT(G43,4)="Ikke"</formula>
    </cfRule>
  </conditionalFormatting>
  <conditionalFormatting sqref="G44">
    <cfRule type="expression" priority="32" aboveAverage="0" equalAverage="0" bottom="0" percent="0" rank="0" text="" dxfId="0">
      <formula>LEFT(G44,6)="Riktig"</formula>
    </cfRule>
    <cfRule type="expression" priority="33" aboveAverage="0" equalAverage="0" bottom="0" percent="0" rank="0" text="" dxfId="1">
      <formula>LEFT(G44,4)="Ikke"</formula>
    </cfRule>
  </conditionalFormatting>
  <dataValidations count="9">
    <dataValidation allowBlank="true" errorStyle="stop" operator="between" showDropDown="false" showErrorMessage="false" showInputMessage="false" sqref="C35" type="list">
      <formula1>$Z$1:$Z$2</formula1>
      <formula2>0</formula2>
    </dataValidation>
    <dataValidation allowBlank="true" errorStyle="stop" operator="between" showDropDown="false" showErrorMessage="false" showInputMessage="false" sqref="C36" type="list">
      <formula1>$Z$3:$Z$4</formula1>
      <formula2>0</formula2>
    </dataValidation>
    <dataValidation allowBlank="true" errorStyle="stop" operator="between" showDropDown="false" showErrorMessage="false" showInputMessage="false" sqref="C37" type="list">
      <formula1>$Z$5:$Z$6</formula1>
      <formula2>0</formula2>
    </dataValidation>
    <dataValidation allowBlank="true" errorStyle="stop" operator="between" showDropDown="false" showErrorMessage="false" showInputMessage="false" sqref="C38" type="list">
      <formula1>$Z$7:$Z$8</formula1>
      <formula2>0</formula2>
    </dataValidation>
    <dataValidation allowBlank="true" errorStyle="stop" operator="between" showDropDown="false" showErrorMessage="false" showInputMessage="false" sqref="C41" type="list">
      <formula1>$Z$9:$Z$10</formula1>
      <formula2>0</formula2>
    </dataValidation>
    <dataValidation allowBlank="true" errorStyle="stop" operator="between" showDropDown="false" showErrorMessage="false" showInputMessage="false" sqref="C42" type="list">
      <formula1>$Z$11:$Z$12</formula1>
      <formula2>0</formula2>
    </dataValidation>
    <dataValidation allowBlank="true" errorStyle="stop" operator="between" showDropDown="false" showErrorMessage="false" showInputMessage="false" sqref="C43" type="list">
      <formula1>$Z$13:$Z$14</formula1>
      <formula2>0</formula2>
    </dataValidation>
    <dataValidation allowBlank="true" errorStyle="stop" operator="between" showDropDown="false" showErrorMessage="false" showInputMessage="false" sqref="C44" type="list">
      <formula1>$Z$15:$Z$16</formula1>
      <formula2>0</formula2>
    </dataValidation>
    <dataValidation allowBlank="true" errorStyle="stop" operator="between" showDropDown="false" showErrorMessage="false" showInputMessage="false" sqref="C5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91</v>
      </c>
    </row>
    <row r="2" customFormat="false" ht="25.5" hidden="false" customHeight="true" outlineLevel="0" collapsed="false">
      <c r="B2" s="5" t="s">
        <v>92</v>
      </c>
      <c r="C2" s="5"/>
      <c r="D2" s="5"/>
      <c r="E2" s="5"/>
      <c r="F2" s="5"/>
      <c r="G2" s="5"/>
      <c r="Z2" s="6" t="s">
        <v>93</v>
      </c>
    </row>
    <row r="3" customFormat="false" ht="15" hidden="false" customHeight="true" outlineLevel="0" collapsed="false">
      <c r="B3" s="7" t="s">
        <v>16</v>
      </c>
      <c r="C3" s="7"/>
      <c r="D3" s="7"/>
      <c r="E3" s="7"/>
      <c r="F3" s="7"/>
      <c r="G3" s="7"/>
      <c r="Z3" s="6" t="s">
        <v>94</v>
      </c>
    </row>
    <row r="4" customFormat="false" ht="15.75" hidden="false" customHeight="true" outlineLevel="0" collapsed="false">
      <c r="B4" s="8" t="s">
        <v>18</v>
      </c>
      <c r="C4" s="8"/>
      <c r="D4" s="8"/>
      <c r="E4" s="8"/>
      <c r="F4" s="8"/>
      <c r="G4" s="8"/>
      <c r="Z4" s="6" t="s">
        <v>91</v>
      </c>
    </row>
    <row r="5" customFormat="false" ht="30" hidden="false" customHeight="true" outlineLevel="0" collapsed="false">
      <c r="B5" s="9" t="s">
        <v>95</v>
      </c>
      <c r="C5" s="9"/>
      <c r="D5" s="9"/>
      <c r="E5" s="9"/>
      <c r="F5" s="9"/>
      <c r="G5" s="9"/>
      <c r="Z5" s="6" t="s">
        <v>93</v>
      </c>
    </row>
    <row r="6" customFormat="false" ht="15.75" hidden="false" customHeight="true" outlineLevel="0" collapsed="false">
      <c r="B6" s="8" t="s">
        <v>22</v>
      </c>
      <c r="C6" s="8"/>
      <c r="D6" s="8"/>
      <c r="E6" s="8"/>
      <c r="F6" s="8"/>
      <c r="G6" s="8"/>
      <c r="Z6" s="6" t="s">
        <v>94</v>
      </c>
    </row>
    <row r="7" customFormat="false" ht="45" hidden="false" customHeight="true" outlineLevel="0" collapsed="false">
      <c r="B7" s="9" t="s">
        <v>96</v>
      </c>
      <c r="C7" s="9"/>
      <c r="D7" s="9"/>
      <c r="E7" s="9"/>
      <c r="F7" s="9"/>
      <c r="G7" s="9"/>
      <c r="Z7" s="6" t="s">
        <v>91</v>
      </c>
    </row>
    <row r="8" customFormat="false" ht="15" hidden="false" customHeight="false" outlineLevel="0" collapsed="false">
      <c r="Z8" s="0" t="s">
        <v>93</v>
      </c>
    </row>
    <row r="9" customFormat="false" ht="15.75" hidden="false" customHeight="true" outlineLevel="0" collapsed="false">
      <c r="B9" s="8" t="s">
        <v>97</v>
      </c>
      <c r="C9" s="8"/>
      <c r="D9" s="8"/>
      <c r="E9" s="8"/>
      <c r="F9" s="8"/>
      <c r="G9" s="8"/>
      <c r="Z9" s="6" t="s">
        <v>94</v>
      </c>
    </row>
    <row r="10" customFormat="false" ht="45" hidden="false" customHeight="true" outlineLevel="0" collapsed="false">
      <c r="B10" s="9" t="s">
        <v>98</v>
      </c>
      <c r="C10" s="9"/>
      <c r="D10" s="9"/>
      <c r="E10" s="9"/>
      <c r="F10" s="9"/>
      <c r="G10" s="9"/>
      <c r="Z10" s="6" t="s">
        <v>91</v>
      </c>
    </row>
    <row r="11" customFormat="false" ht="15" hidden="false" customHeight="false" outlineLevel="0" collapsed="false">
      <c r="B11" s="18" t="s">
        <v>99</v>
      </c>
      <c r="C11" s="19" t="s">
        <v>100</v>
      </c>
      <c r="D11" s="19" t="s">
        <v>101</v>
      </c>
      <c r="Z11" s="6" t="s">
        <v>93</v>
      </c>
    </row>
    <row r="12" customFormat="false" ht="15" hidden="false" customHeight="false" outlineLevel="0" collapsed="false">
      <c r="B12" s="20" t="s">
        <v>102</v>
      </c>
      <c r="C12" s="21" t="n">
        <v>10500000</v>
      </c>
      <c r="D12" s="26" t="n">
        <v>0.47</v>
      </c>
      <c r="Z12" s="6" t="s">
        <v>94</v>
      </c>
    </row>
    <row r="13" customFormat="false" ht="15" hidden="false" customHeight="false" outlineLevel="0" collapsed="false">
      <c r="B13" s="20" t="s">
        <v>103</v>
      </c>
      <c r="C13" s="21" t="n">
        <v>4400000</v>
      </c>
      <c r="D13" s="26" t="n">
        <v>0.2</v>
      </c>
      <c r="Z13" s="6" t="s">
        <v>91</v>
      </c>
    </row>
    <row r="14" customFormat="false" ht="15" hidden="false" customHeight="false" outlineLevel="0" collapsed="false">
      <c r="B14" s="20" t="s">
        <v>104</v>
      </c>
      <c r="C14" s="21" t="n">
        <v>3800000</v>
      </c>
      <c r="D14" s="26" t="n">
        <v>0.17</v>
      </c>
      <c r="Z14" s="6" t="s">
        <v>93</v>
      </c>
    </row>
    <row r="15" customFormat="false" ht="15" hidden="false" customHeight="false" outlineLevel="0" collapsed="false">
      <c r="B15" s="20" t="s">
        <v>105</v>
      </c>
      <c r="C15" s="21" t="n">
        <v>1650000</v>
      </c>
      <c r="D15" s="26" t="n">
        <v>0.07</v>
      </c>
      <c r="Z15" s="6" t="s">
        <v>94</v>
      </c>
    </row>
    <row r="16" customFormat="false" ht="15" hidden="false" customHeight="false" outlineLevel="0" collapsed="false">
      <c r="B16" s="20" t="s">
        <v>106</v>
      </c>
      <c r="C16" s="21" t="n">
        <v>1450000</v>
      </c>
      <c r="D16" s="26" t="n">
        <v>0.06</v>
      </c>
      <c r="Z16" s="6" t="s">
        <v>17</v>
      </c>
    </row>
    <row r="17" customFormat="false" ht="15" hidden="false" customHeight="false" outlineLevel="0" collapsed="false">
      <c r="B17" s="20" t="s">
        <v>107</v>
      </c>
      <c r="C17" s="21" t="n">
        <v>600000</v>
      </c>
      <c r="D17" s="26" t="n">
        <v>0.03</v>
      </c>
      <c r="Z17" s="6" t="s">
        <v>19</v>
      </c>
    </row>
    <row r="18" customFormat="false" ht="15" hidden="false" customHeight="false" outlineLevel="0" collapsed="false">
      <c r="B18" s="20" t="s">
        <v>108</v>
      </c>
      <c r="C18" s="21" t="n">
        <v>22400000</v>
      </c>
      <c r="D18" s="26" t="n">
        <v>1</v>
      </c>
      <c r="Z18" s="6" t="s">
        <v>21</v>
      </c>
    </row>
    <row r="19" customFormat="false" ht="15" hidden="false" customHeight="false" outlineLevel="0" collapsed="false">
      <c r="B19" s="20" t="s">
        <v>109</v>
      </c>
      <c r="C19" s="21" t="n">
        <v>1584000</v>
      </c>
      <c r="D19" s="26" t="s">
        <v>110</v>
      </c>
      <c r="Z19" s="6" t="s">
        <v>23</v>
      </c>
    </row>
    <row r="20" customFormat="false" ht="15" hidden="false" customHeight="false" outlineLevel="0" collapsed="false">
      <c r="Z20" s="0" t="s">
        <v>17</v>
      </c>
    </row>
    <row r="21" customFormat="false" ht="15.75" hidden="false" customHeight="true" outlineLevel="0" collapsed="false">
      <c r="B21" s="8" t="s">
        <v>27</v>
      </c>
      <c r="C21" s="8"/>
      <c r="D21" s="8"/>
      <c r="E21" s="8"/>
      <c r="F21" s="8"/>
      <c r="G21" s="8"/>
      <c r="Z21" s="6" t="s">
        <v>19</v>
      </c>
    </row>
    <row r="22" customFormat="false" ht="45" hidden="false" customHeight="true" outlineLevel="0" collapsed="false">
      <c r="B22" s="9" t="s">
        <v>111</v>
      </c>
      <c r="C22" s="9"/>
      <c r="D22" s="9"/>
      <c r="E22" s="9"/>
      <c r="F22" s="9"/>
      <c r="G22" s="9"/>
      <c r="Z22" s="6" t="s">
        <v>21</v>
      </c>
    </row>
    <row r="23" customFormat="false" ht="15" hidden="false" customHeight="false" outlineLevel="0" collapsed="false">
      <c r="Z23" s="0" t="s">
        <v>23</v>
      </c>
    </row>
    <row r="24" customFormat="false" ht="15" hidden="false" customHeight="true" outlineLevel="0" collapsed="false">
      <c r="B24" s="10" t="s">
        <v>112</v>
      </c>
      <c r="C24" s="10"/>
      <c r="D24" s="10"/>
      <c r="E24" s="10"/>
      <c r="F24" s="10"/>
      <c r="G24" s="10"/>
      <c r="Z24" s="6" t="s">
        <v>17</v>
      </c>
    </row>
    <row r="25" customFormat="false" ht="39.75" hidden="false" customHeight="true" outlineLevel="0" collapsed="false">
      <c r="B25" s="11" t="s">
        <v>113</v>
      </c>
      <c r="C25" s="12"/>
      <c r="G25" s="13" t="str">
        <f aca="false">IF(C25="","Velg i nedtrekksmenyen.",IF(C25="Udifferensiert","Riktig. Samme tilbud til alle kunder og kundegrupper. Boka: utnytter ikke mulighetene segmenteringen gir (5.8.1).","Ikke riktig. Samme tilbud til alle kunder og kundegrupper. Boka: utnytter ikke mulighetene segmenteringen gir (5.8.1)."))</f>
        <v>Velg i nedtrekksmenyen.</v>
      </c>
      <c r="Z25" s="6" t="s">
        <v>19</v>
      </c>
    </row>
    <row r="26" customFormat="false" ht="39.75" hidden="false" customHeight="true" outlineLevel="0" collapsed="false">
      <c r="B26" s="11" t="s">
        <v>114</v>
      </c>
      <c r="C26" s="12"/>
      <c r="G26" s="13" t="str">
        <f aca="false">IF(C26="","Velg i nedtrekksmenyen.",IF(C26="Differensiert","Riktig. Forskjellige tilbud til forskjellige kundegrupper, knyttet til service, produkt og kommunikasjon (5.8.2). Det koster å holde tre tilbud.","Ikke riktig. Forskjellige tilbud til forskjellige kundegrupper, knyttet til service, produkt og kommunikasjon (5.8.2). Det koster å holde tre tilbud."))</f>
        <v>Velg i nedtrekksmenyen.</v>
      </c>
      <c r="Z26" s="6" t="s">
        <v>21</v>
      </c>
    </row>
    <row r="27" customFormat="false" ht="39.75" hidden="false" customHeight="true" outlineLevel="0" collapsed="false">
      <c r="B27" s="11" t="s">
        <v>115</v>
      </c>
      <c r="C27" s="12"/>
      <c r="G27" s="13" t="str">
        <f aca="false">IF(C27="","Velg i nedtrekksmenyen.",IF(C27="Konsentrert","Riktig. Markedet er segmentert, men bedriften konsentrerer seg om ett segment. Liten markedsandel, men lønnsomheten kan være betydelig (5.8.3).","Ikke riktig. Markedet er segmentert, men bedriften konsentrerer seg om ett segment. Liten markedsandel, men lønnsomheten kan være betydelig (5.8.3)."))</f>
        <v>Velg i nedtrekksmenyen.</v>
      </c>
      <c r="Z27" s="6" t="s">
        <v>23</v>
      </c>
    </row>
    <row r="28" customFormat="false" ht="39.75" hidden="false" customHeight="true" outlineLevel="0" collapsed="false">
      <c r="B28" s="11" t="s">
        <v>116</v>
      </c>
      <c r="C28" s="12"/>
      <c r="G28" s="13" t="str">
        <f aca="false">IF(C28="","Velg i nedtrekksmenyen.",IF(C28="Konsentrert","Riktig. Ett segment, alt på det. Det er konsentrert, selv om segmentet er stort. Boka advarer: i store segmenter er konkurransen størst.","Ikke riktig. Ett segment, alt på det. Det er konsentrert, selv om segmentet er stort. Boka advarer: i store segmenter er konkurransen størst."))</f>
        <v>Velg i nedtrekksmenyen.</v>
      </c>
      <c r="Z28" s="6" t="s">
        <v>17</v>
      </c>
    </row>
    <row r="29" customFormat="false" ht="39.75" hidden="false" customHeight="true" outlineLevel="0" collapsed="false">
      <c r="B29" s="11" t="s">
        <v>117</v>
      </c>
      <c r="C29" s="12"/>
      <c r="G29" s="13" t="str">
        <f aca="false">IF(C29="","Velg i nedtrekksmenyen.",IF(C29="Udifferensiert","Riktig. Samme kommunikasjon til alle. Boka: kan være et bevisst valg, eller skyldes mangelfull markedskunnskap (5.8.1).","Ikke riktig. Samme kommunikasjon til alle. Boka: kan være et bevisst valg, eller skyldes mangelfull markedskunnskap (5.8.1)."))</f>
        <v>Velg i nedtrekksmenyen.</v>
      </c>
      <c r="Z29" s="6" t="s">
        <v>19</v>
      </c>
    </row>
    <row r="30" customFormat="false" ht="15" hidden="false" customHeight="false" outlineLevel="0" collapsed="false">
      <c r="Z30" s="0" t="s">
        <v>21</v>
      </c>
    </row>
    <row r="31" customFormat="false" ht="15" hidden="false" customHeight="true" outlineLevel="0" collapsed="false">
      <c r="B31" s="10" t="s">
        <v>118</v>
      </c>
      <c r="C31" s="10"/>
      <c r="D31" s="10"/>
      <c r="E31" s="10"/>
      <c r="F31" s="10"/>
      <c r="G31" s="10"/>
      <c r="Z31" s="6" t="s">
        <v>23</v>
      </c>
    </row>
    <row r="32" customFormat="false" ht="39.75" hidden="false" customHeight="true" outlineLevel="0" collapsed="false">
      <c r="B32" s="11" t="s">
        <v>119</v>
      </c>
      <c r="C32" s="12"/>
      <c r="G32" s="13" t="str">
        <f aca="false">IF(C32="","Velg i nedtrekksmenyen.",IF(C32="Størrelse","Riktig. Størrelsen på prosjektet avgjør kalkyle og bemanning (5.6).","Ikke riktig. Størrelsen på prosjektet avgjør kalkyle og bemanning (5.6)."))</f>
        <v>Velg i nedtrekksmenyen.</v>
      </c>
    </row>
    <row r="33" customFormat="false" ht="39.75" hidden="false" customHeight="true" outlineLevel="0" collapsed="false">
      <c r="B33" s="11" t="s">
        <v>120</v>
      </c>
      <c r="C33" s="12"/>
      <c r="G33" s="13" t="str">
        <f aca="false">IF(C33="","Velg i nedtrekksmenyen.",IF(C33="Bransje","Riktig. Boka deler i offentlige etater, private bedrifter og organisasjoner. Kommunen kjøper på anbud med krav til dokumentasjon og lærlingtimer (5.6).","Ikke riktig. Boka deler i offentlige etater, private bedrifter og organisasjoner. Kommunen kjøper på anbud med krav til dokumentasjon og lærlingtimer (5.6)."))</f>
        <v>Velg i nedtrekksmenyen.</v>
      </c>
    </row>
    <row r="34" customFormat="false" ht="39.75" hidden="false" customHeight="true" outlineLevel="0" collapsed="false">
      <c r="B34" s="11" t="s">
        <v>121</v>
      </c>
      <c r="C34" s="12"/>
      <c r="G34" s="13" t="str">
        <f aca="false">IF(C34="","Velg i nedtrekksmenyen.",IF(C34="Beliggenhet","Riktig. Beliggenheten avgjør hva Nordlys kan love. Lenger unna: planlagte oppdrag (5.6).","Ikke riktig. Beliggenheten avgjør hva Nordlys kan love. Lenger unna: planlagte oppdrag (5.6)."))</f>
        <v>Velg i nedtrekksmenyen.</v>
      </c>
    </row>
    <row r="35" customFormat="false" ht="39.75" hidden="false" customHeight="true" outlineLevel="0" collapsed="false">
      <c r="B35" s="11" t="s">
        <v>122</v>
      </c>
      <c r="C35" s="12"/>
      <c r="G35" s="13" t="str">
        <f aca="false">IF(C35="","Velg i nedtrekksmenyen.",IF(C35="Viktighet","Riktig. Viktighet for bedriften: hvem som får de beste folkene når det er knapt, bør være bestemt på forhånd (5.6).","Ikke riktig. Viktighet for bedriften: hvem som får de beste folkene når det er knapt, bør være bestemt på forhånd (5.6)."))</f>
        <v>Velg i nedtrekksmenyen.</v>
      </c>
    </row>
    <row r="37" customFormat="false" ht="15.75" hidden="false" customHeight="true" outlineLevel="0" collapsed="false">
      <c r="B37" s="8" t="s">
        <v>123</v>
      </c>
      <c r="C37" s="8"/>
      <c r="D37" s="8"/>
      <c r="E37" s="8"/>
      <c r="F37" s="8"/>
      <c r="G37" s="8"/>
    </row>
    <row r="38" customFormat="false" ht="15" hidden="false" customHeight="true" outlineLevel="0" collapsed="false">
      <c r="B38" s="9" t="s">
        <v>124</v>
      </c>
      <c r="C38" s="9"/>
      <c r="D38" s="9"/>
      <c r="E38" s="9"/>
      <c r="F38" s="9"/>
      <c r="G38" s="9"/>
    </row>
    <row r="39" customFormat="false" ht="43.5" hidden="false" customHeight="true" outlineLevel="0" collapsed="false">
      <c r="B39" s="11" t="s">
        <v>125</v>
      </c>
      <c r="C39" s="25"/>
      <c r="D39" s="23" t="s">
        <v>126</v>
      </c>
      <c r="G39" s="13" t="str">
        <f aca="false">IF(C39="","Skriv svaret i den gule cellen.",IF(ABS(C39-(ROUND(1584000/288000,1)))&lt;=0.05,"Riktig.",IF(ABS(C39-(22))&lt;=0.05,"Du har svart alle 22 borettslagene. De bygger ut over fire år; 1 584 000 kr i året er 5,5 anlegg.",IF(ABS(C39-(ROUND(6336000/288000,1)))&lt;=0.05,"Du har delt hele salgsverdien, 6 336 000, på ett anlegg. Det er 22 anlegg over fire år. Per år: 1 584 000 / 288 000.","Ikke riktig ennå. Se på regnestykket øverst på fanen, og sjekk at du har med alle leddene."))))</f>
        <v>Skriv svaret i den gule cellen.</v>
      </c>
    </row>
    <row r="40" customFormat="false" ht="43.5" hidden="false" customHeight="true" outlineLevel="0" collapsed="false">
      <c r="B40" s="11" t="s">
        <v>127</v>
      </c>
      <c r="C40" s="22"/>
      <c r="D40" s="23" t="s">
        <v>128</v>
      </c>
      <c r="G40" s="13" t="str">
        <f aca="false">IF(C40="","Skriv svaret i den gule cellen.",IF(ABS(C40-(ROUND(1584000/288000*48,0)))&lt;=1,"Riktig.",IF(ABS(C40-(48))&lt;=1,"Det er timene for ett anlegg. Gang med 5,5 anlegg i året.",IF(ABS(C40-(22*48))&lt;=1,"Du har tatt alle 22 anleggene. Det er over fire år; per år er det 5,5 anlegg.","Ikke riktig ennå. Se på regnestykket øverst på fanen, og sjekk at du har med alle leddene."))))</f>
        <v>Skriv svaret i den gule cellen.</v>
      </c>
    </row>
    <row r="41" customFormat="false" ht="43.5" hidden="false" customHeight="true" outlineLevel="0" collapsed="false">
      <c r="B41" s="11" t="s">
        <v>129</v>
      </c>
      <c r="C41" s="22"/>
      <c r="D41" s="23" t="s">
        <v>74</v>
      </c>
      <c r="G41" s="13" t="str">
        <f aca="false">IF(C41="","Skriv svaret i den gule cellen.",IF(C41=(22400000+1584000),"Riktig.",IF(ABS(C41-(22400000+6336000))&lt;=0,"Du har lagt til hele salgsverdien over fire år. Per år er det 1 584 000.","Ikke riktig ennå. Se på regnestykket øverst på fanen, og sjekk at du har med alle leddene.")))</f>
        <v>Skriv svaret i den gule cellen.</v>
      </c>
    </row>
    <row r="42" customFormat="false" ht="43.5" hidden="false" customHeight="true" outlineLevel="0" collapsed="false">
      <c r="B42" s="11" t="s">
        <v>130</v>
      </c>
      <c r="C42" s="25"/>
      <c r="D42" s="23" t="s">
        <v>78</v>
      </c>
      <c r="G42" s="13" t="str">
        <f aca="false">IF(C42="","Skriv svaret i den gule cellen.",IF(ABS(C42-(ROUND(1584000/(22400000+1584000)*100,1)))&lt;=0.05,"Riktig.",IF(ABS(C42-(ROUND(1584000/22400000*100,1)))&lt;=0.05,"Du har delt på den gamle salgsinntekten, 22 400 000. Borettslagene kommer i tillegg; del på 23 984 000.",IF(ABS(C42-(ROUND(6336000/(22400000+1584000)*100,1)))&lt;=0.05,"Du har brukt hele salgsverdien, 6 336 000. Bruk tallet per år, 1 584 000.","Ikke riktig ennå. Se på regnestykket øverst på fanen, og sjekk at du har med alle leddene."))))</f>
        <v>Skriv svaret i den gule cellen.</v>
      </c>
    </row>
    <row r="44" customFormat="false" ht="45" hidden="false" customHeight="true" outlineLevel="0" collapsed="false">
      <c r="B44" s="9" t="s">
        <v>131</v>
      </c>
      <c r="C44" s="9"/>
      <c r="D44" s="9"/>
      <c r="E44" s="9"/>
      <c r="F44" s="9"/>
      <c r="G44" s="9"/>
    </row>
    <row r="45" customFormat="false" ht="21.75" hidden="false" customHeight="true" outlineLevel="0" collapsed="false">
      <c r="B45" s="14"/>
      <c r="C45" s="14"/>
      <c r="D45" s="14"/>
      <c r="E45" s="14"/>
      <c r="F45" s="14"/>
      <c r="G45" s="14"/>
    </row>
    <row r="46" customFormat="false" ht="21.75" hidden="false" customHeight="true" outlineLevel="0" collapsed="false">
      <c r="B46" s="14"/>
      <c r="C46" s="14"/>
      <c r="D46" s="14"/>
      <c r="E46" s="14"/>
      <c r="F46" s="14"/>
      <c r="G46" s="14"/>
    </row>
    <row r="47" customFormat="false" ht="21.75" hidden="false" customHeight="true" outlineLevel="0" collapsed="false">
      <c r="B47" s="14"/>
      <c r="C47" s="14"/>
      <c r="D47" s="14"/>
      <c r="E47" s="14"/>
      <c r="F47" s="14"/>
      <c r="G47" s="14"/>
    </row>
    <row r="48" customFormat="false" ht="39.75" hidden="false" customHeight="true" outlineLevel="0" collapsed="false">
      <c r="B48" s="15" t="str">
        <f aca="false">IF(LEN(B45)&lt;40,"",IF(AND(ISNUMBER(SEARCH("ifferensiert",B45)),ISNUMBER(SEARCH("krav",B45))),"Bra: du navngir strategien, tester mot kravene og sier hva som skjer med resten. Sjekk at du også har med et tall (1 584 000 kr, 264 timer eller 47 %).",IF(OR(ISNUMBER(SEARCH("ifferensiert",B45)),ISNUMBER(SEARCH("krav",B45))),"Du er på sporet. Navngi strategien (differensiert eller konsentrert), og vis at du har testet målgruppene mot de fire kravene.","Tips: et godt svar velger for eksempel borettslagene (1 584 000 kr, 264 timer, består alle fire krav) og næringskundene (responstid), kaller strategien differensiert, og sier at byggherrene beholdes med færre og større jobber mens husstander og idrettslag tas når de kommer.")))</f>
        <v/>
      </c>
      <c r="C48" s="15"/>
      <c r="D48" s="15"/>
      <c r="E48" s="15"/>
      <c r="F48" s="15"/>
      <c r="G48" s="15"/>
    </row>
    <row r="49" customFormat="false" ht="15" hidden="false" customHeight="false" outlineLevel="0" collapsed="false">
      <c r="B49" s="16" t="s">
        <v>47</v>
      </c>
      <c r="C49" s="12"/>
    </row>
    <row r="50" customFormat="false" ht="45" hidden="false" customHeight="true" outlineLevel="0" collapsed="false">
      <c r="B50" s="17" t="str">
        <f aca="false">IF(C49="JA","Hint: a: 1 584 000 / 288 000 = 5,5 anlegg. b: 5,5 × 48 = 264 timer. c: 22 400 000 + 1 584 000 = 23 984 000. d: 1 584 000 / 23 984 000 = 6,6 %. Strategiene: samme tilbud til alle er udifferensiert, ulike tilbud til ulike grupper er differensiert, alt på ett segment er konsentrert.","")</f>
        <v/>
      </c>
      <c r="C50" s="17"/>
      <c r="D50" s="17"/>
      <c r="E50" s="17"/>
      <c r="F50" s="17"/>
      <c r="G50" s="17"/>
    </row>
    <row r="52" customFormat="false" ht="30" hidden="false" customHeight="true" outlineLevel="0" collapsed="false">
      <c r="B52" s="7" t="s">
        <v>48</v>
      </c>
      <c r="C52" s="7"/>
      <c r="D52" s="7"/>
      <c r="E52" s="7"/>
      <c r="F52" s="7"/>
      <c r="G52" s="7"/>
    </row>
  </sheetData>
  <mergeCells count="19">
    <mergeCell ref="B2:G2"/>
    <mergeCell ref="B3:G3"/>
    <mergeCell ref="B4:G4"/>
    <mergeCell ref="B5:G5"/>
    <mergeCell ref="B6:G6"/>
    <mergeCell ref="B7:G7"/>
    <mergeCell ref="B9:G9"/>
    <mergeCell ref="B10:G10"/>
    <mergeCell ref="B21:G21"/>
    <mergeCell ref="B22:G22"/>
    <mergeCell ref="B24:G24"/>
    <mergeCell ref="B31:G31"/>
    <mergeCell ref="B37:G37"/>
    <mergeCell ref="B38:G38"/>
    <mergeCell ref="B44:G44"/>
    <mergeCell ref="B45:G47"/>
    <mergeCell ref="B48:G48"/>
    <mergeCell ref="B50:G50"/>
    <mergeCell ref="B52:G52"/>
  </mergeCells>
  <conditionalFormatting sqref="G25">
    <cfRule type="expression" priority="2" aboveAverage="0" equalAverage="0" bottom="0" percent="0" rank="0" text="" dxfId="0">
      <formula>LEFT(G25,6)="Riktig"</formula>
    </cfRule>
    <cfRule type="expression" priority="3" aboveAverage="0" equalAverage="0" bottom="0" percent="0" rank="0" text="" dxfId="1">
      <formula>LEFT(G25,4)="Ikke"</formula>
    </cfRule>
  </conditionalFormatting>
  <conditionalFormatting sqref="G26">
    <cfRule type="expression" priority="4" aboveAverage="0" equalAverage="0" bottom="0" percent="0" rank="0" text="" dxfId="0">
      <formula>LEFT(G26,6)="Riktig"</formula>
    </cfRule>
    <cfRule type="expression" priority="5" aboveAverage="0" equalAverage="0" bottom="0" percent="0" rank="0" text="" dxfId="1">
      <formula>LEFT(G26,4)="Ikke"</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LEFT(G27,4)="Ikke"</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LEFT(G28,4)="Ikke"</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LEFT(G29,4)="Ikke"</formula>
    </cfRule>
  </conditionalFormatting>
  <conditionalFormatting sqref="G32">
    <cfRule type="expression" priority="12" aboveAverage="0" equalAverage="0" bottom="0" percent="0" rank="0" text="" dxfId="0">
      <formula>LEFT(G32,6)="Riktig"</formula>
    </cfRule>
    <cfRule type="expression" priority="13" aboveAverage="0" equalAverage="0" bottom="0" percent="0" rank="0" text="" dxfId="1">
      <formula>LEFT(G32,4)="Ikke"</formula>
    </cfRule>
  </conditionalFormatting>
  <conditionalFormatting sqref="G33">
    <cfRule type="expression" priority="14" aboveAverage="0" equalAverage="0" bottom="0" percent="0" rank="0" text="" dxfId="0">
      <formula>LEFT(G33,6)="Riktig"</formula>
    </cfRule>
    <cfRule type="expression" priority="15" aboveAverage="0" equalAverage="0" bottom="0" percent="0" rank="0" text="" dxfId="1">
      <formula>LEFT(G33,4)="Ikke"</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LEFT(G34,4)="Ikke"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conditionalFormatting sqref="G39">
    <cfRule type="expression" priority="20" aboveAverage="0" equalAverage="0" bottom="0" percent="0" rank="0" text="" dxfId="0">
      <formula>LEFT(G39,6)="Riktig"</formula>
    </cfRule>
    <cfRule type="expression" priority="21" aboveAverage="0" equalAverage="0" bottom="0" percent="0" rank="0" text="" dxfId="1">
      <formula>AND(G39&lt;&gt;"",LEFT(G39,6)&lt;&gt;"Riktig",LEFT(G39,5)&lt;&gt;"Skriv")</formula>
    </cfRule>
  </conditionalFormatting>
  <conditionalFormatting sqref="G40">
    <cfRule type="expression" priority="22" aboveAverage="0" equalAverage="0" bottom="0" percent="0" rank="0" text="" dxfId="0">
      <formula>LEFT(G40,6)="Riktig"</formula>
    </cfRule>
    <cfRule type="expression" priority="23" aboveAverage="0" equalAverage="0" bottom="0" percent="0" rank="0" text="" dxfId="1">
      <formula>AND(G40&lt;&gt;"",LEFT(G40,6)&lt;&gt;"Riktig",LEFT(G40,5)&lt;&gt;"Skriv")</formula>
    </cfRule>
  </conditionalFormatting>
  <conditionalFormatting sqref="G41">
    <cfRule type="expression" priority="24" aboveAverage="0" equalAverage="0" bottom="0" percent="0" rank="0" text="" dxfId="0">
      <formula>LEFT(G41,6)="Riktig"</formula>
    </cfRule>
    <cfRule type="expression" priority="25" aboveAverage="0" equalAverage="0" bottom="0" percent="0" rank="0" text="" dxfId="1">
      <formula>AND(G41&lt;&gt;"",LEFT(G41,6)&lt;&gt;"Riktig",LEFT(G41,5)&lt;&gt;"Skriv")</formula>
    </cfRule>
  </conditionalFormatting>
  <conditionalFormatting sqref="G42">
    <cfRule type="expression" priority="26" aboveAverage="0" equalAverage="0" bottom="0" percent="0" rank="0" text="" dxfId="0">
      <formula>LEFT(G42,6)="Riktig"</formula>
    </cfRule>
    <cfRule type="expression" priority="27" aboveAverage="0" equalAverage="0" bottom="0" percent="0" rank="0" text="" dxfId="1">
      <formula>AND(G42&lt;&gt;"",LEFT(G42,6)&lt;&gt;"Riktig",LEFT(G42,5)&lt;&gt;"Skriv")</formula>
    </cfRule>
  </conditionalFormatting>
  <dataValidations count="10">
    <dataValidation allowBlank="true" errorStyle="stop" operator="between" showDropDown="false" showErrorMessage="false" showInputMessage="false" sqref="C25" type="list">
      <formula1>$Z$1:$Z$3</formula1>
      <formula2>0</formula2>
    </dataValidation>
    <dataValidation allowBlank="true" errorStyle="stop" operator="between" showDropDown="false" showErrorMessage="false" showInputMessage="false" sqref="C26" type="list">
      <formula1>$Z$4:$Z$6</formula1>
      <formula2>0</formula2>
    </dataValidation>
    <dataValidation allowBlank="true" errorStyle="stop" operator="between" showDropDown="false" showErrorMessage="false" showInputMessage="false" sqref="C27" type="list">
      <formula1>$Z$7:$Z$9</formula1>
      <formula2>0</formula2>
    </dataValidation>
    <dataValidation allowBlank="true" errorStyle="stop" operator="between" showDropDown="false" showErrorMessage="false" showInputMessage="false" sqref="C28" type="list">
      <formula1>$Z$10:$Z$12</formula1>
      <formula2>0</formula2>
    </dataValidation>
    <dataValidation allowBlank="true" errorStyle="stop" operator="between" showDropDown="false" showErrorMessage="false" showInputMessage="false" sqref="C29" type="list">
      <formula1>$Z$13:$Z$15</formula1>
      <formula2>0</formula2>
    </dataValidation>
    <dataValidation allowBlank="true" errorStyle="stop" operator="between" showDropDown="false" showErrorMessage="false" showInputMessage="false" sqref="C32" type="list">
      <formula1>$Z$16:$Z$19</formula1>
      <formula2>0</formula2>
    </dataValidation>
    <dataValidation allowBlank="true" errorStyle="stop" operator="between" showDropDown="false" showErrorMessage="false" showInputMessage="false" sqref="C33" type="list">
      <formula1>$Z$20:$Z$23</formula1>
      <formula2>0</formula2>
    </dataValidation>
    <dataValidation allowBlank="true" errorStyle="stop" operator="between" showDropDown="false" showErrorMessage="false" showInputMessage="false" sqref="C34" type="list">
      <formula1>$Z$24:$Z$27</formula1>
      <formula2>0</formula2>
    </dataValidation>
    <dataValidation allowBlank="true" errorStyle="stop" operator="between" showDropDown="false" showErrorMessage="false" showInputMessage="false" sqref="C35" type="list">
      <formula1>$Z$28:$Z$31</formula1>
      <formula2>0</formula2>
    </dataValidation>
    <dataValidation allowBlank="true" errorStyle="stop" operator="between" showDropDown="false" showErrorMessage="false" showInputMessage="false" sqref="C4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7" t="s">
        <v>132</v>
      </c>
    </row>
    <row r="3" customFormat="false" ht="30" hidden="false" customHeight="true" outlineLevel="0" collapsed="false">
      <c r="B3" s="7" t="s">
        <v>133</v>
      </c>
      <c r="C3" s="7"/>
      <c r="D3" s="7"/>
    </row>
    <row r="5" customFormat="false" ht="15" hidden="false" customHeight="false" outlineLevel="0" collapsed="false">
      <c r="B5" s="28" t="s">
        <v>134</v>
      </c>
      <c r="C5" s="28" t="s">
        <v>135</v>
      </c>
      <c r="D5" s="28" t="s">
        <v>136</v>
      </c>
    </row>
    <row r="6" customFormat="false" ht="45" hidden="false" customHeight="true" outlineLevel="0" collapsed="false">
      <c r="B6" s="29" t="s">
        <v>137</v>
      </c>
      <c r="C6" s="30"/>
      <c r="D6" s="29" t="s">
        <v>138</v>
      </c>
    </row>
    <row r="7" customFormat="false" ht="30" hidden="false" customHeight="true" outlineLevel="0" collapsed="false">
      <c r="B7" s="29" t="s">
        <v>139</v>
      </c>
      <c r="C7" s="30"/>
      <c r="D7" s="29" t="s">
        <v>140</v>
      </c>
    </row>
    <row r="8" customFormat="false" ht="30" hidden="false" customHeight="true" outlineLevel="0" collapsed="false">
      <c r="B8" s="29" t="s">
        <v>141</v>
      </c>
      <c r="C8" s="30"/>
      <c r="D8" s="29" t="s">
        <v>142</v>
      </c>
    </row>
    <row r="9" customFormat="false" ht="30" hidden="false" customHeight="true" outlineLevel="0" collapsed="false">
      <c r="B9" s="29" t="s">
        <v>143</v>
      </c>
      <c r="C9" s="30" t="n">
        <v>1320</v>
      </c>
      <c r="D9" s="29" t="s">
        <v>144</v>
      </c>
    </row>
    <row r="10" customFormat="false" ht="30" hidden="false" customHeight="true" outlineLevel="0" collapsed="false">
      <c r="B10" s="29" t="s">
        <v>145</v>
      </c>
      <c r="C10" s="30" t="n">
        <v>528</v>
      </c>
      <c r="D10" s="29" t="s">
        <v>146</v>
      </c>
    </row>
    <row r="11" customFormat="false" ht="30" hidden="false" customHeight="true" outlineLevel="0" collapsed="false">
      <c r="B11" s="29" t="s">
        <v>147</v>
      </c>
      <c r="C11" s="30" t="n">
        <v>6336000</v>
      </c>
      <c r="D11" s="29" t="s">
        <v>148</v>
      </c>
    </row>
    <row r="12" customFormat="false" ht="30" hidden="false" customHeight="true" outlineLevel="0" collapsed="false">
      <c r="B12" s="29" t="s">
        <v>149</v>
      </c>
      <c r="C12" s="30" t="n">
        <v>1584000</v>
      </c>
      <c r="D12" s="29" t="s">
        <v>150</v>
      </c>
    </row>
    <row r="13" customFormat="false" ht="30" hidden="false" customHeight="true" outlineLevel="0" collapsed="false">
      <c r="B13" s="29" t="s">
        <v>151</v>
      </c>
      <c r="C13" s="30" t="n">
        <v>7</v>
      </c>
      <c r="D13" s="29" t="s">
        <v>152</v>
      </c>
    </row>
    <row r="14" customFormat="false" ht="30" hidden="false" customHeight="true" outlineLevel="0" collapsed="false">
      <c r="B14" s="29" t="s">
        <v>153</v>
      </c>
      <c r="C14" s="30" t="n">
        <v>264</v>
      </c>
      <c r="D14" s="29" t="s">
        <v>154</v>
      </c>
    </row>
    <row r="15" customFormat="false" ht="30" hidden="false" customHeight="true" outlineLevel="0" collapsed="false">
      <c r="B15" s="29" t="s">
        <v>155</v>
      </c>
      <c r="C15" s="30" t="n">
        <v>90</v>
      </c>
      <c r="D15" s="29" t="s">
        <v>156</v>
      </c>
    </row>
    <row r="16" customFormat="false" ht="30" hidden="false" customHeight="true" outlineLevel="0" collapsed="false">
      <c r="B16" s="29" t="s">
        <v>157</v>
      </c>
      <c r="C16" s="30" t="n">
        <v>15.4</v>
      </c>
      <c r="D16" s="29" t="s">
        <v>158</v>
      </c>
    </row>
    <row r="17" customFormat="false" ht="30" hidden="false" customHeight="true" outlineLevel="0" collapsed="false">
      <c r="B17" s="29" t="s">
        <v>159</v>
      </c>
      <c r="C17" s="30"/>
      <c r="D17" s="29" t="s">
        <v>160</v>
      </c>
    </row>
    <row r="18" customFormat="false" ht="30" hidden="false" customHeight="true" outlineLevel="0" collapsed="false">
      <c r="B18" s="29" t="s">
        <v>161</v>
      </c>
      <c r="C18" s="30"/>
      <c r="D18" s="29" t="s">
        <v>162</v>
      </c>
    </row>
    <row r="19" customFormat="false" ht="30" hidden="false" customHeight="true" outlineLevel="0" collapsed="false">
      <c r="B19" s="29" t="s">
        <v>163</v>
      </c>
      <c r="C19" s="30"/>
      <c r="D19" s="29" t="s">
        <v>164</v>
      </c>
    </row>
    <row r="20" customFormat="false" ht="45" hidden="false" customHeight="true" outlineLevel="0" collapsed="false">
      <c r="B20" s="29" t="s">
        <v>165</v>
      </c>
      <c r="C20" s="30"/>
      <c r="D20" s="29" t="s">
        <v>166</v>
      </c>
    </row>
    <row r="21" customFormat="false" ht="45" hidden="false" customHeight="true" outlineLevel="0" collapsed="false">
      <c r="B21" s="29" t="s">
        <v>167</v>
      </c>
      <c r="C21" s="30"/>
      <c r="D21" s="29" t="s">
        <v>168</v>
      </c>
    </row>
    <row r="22" customFormat="false" ht="30" hidden="false" customHeight="true" outlineLevel="0" collapsed="false">
      <c r="B22" s="29" t="s">
        <v>169</v>
      </c>
      <c r="C22" s="30" t="n">
        <v>5.5</v>
      </c>
      <c r="D22" s="29" t="s">
        <v>170</v>
      </c>
    </row>
    <row r="23" customFormat="false" ht="30" hidden="false" customHeight="true" outlineLevel="0" collapsed="false">
      <c r="B23" s="29" t="s">
        <v>171</v>
      </c>
      <c r="C23" s="30" t="n">
        <v>264</v>
      </c>
      <c r="D23" s="29" t="s">
        <v>172</v>
      </c>
    </row>
    <row r="24" customFormat="false" ht="30" hidden="false" customHeight="true" outlineLevel="0" collapsed="false">
      <c r="B24" s="29" t="s">
        <v>173</v>
      </c>
      <c r="C24" s="30" t="n">
        <v>23984000</v>
      </c>
      <c r="D24" s="29" t="s">
        <v>174</v>
      </c>
    </row>
    <row r="25" customFormat="false" ht="30" hidden="false" customHeight="true" outlineLevel="0" collapsed="false">
      <c r="B25" s="29" t="s">
        <v>175</v>
      </c>
      <c r="C25" s="30" t="n">
        <v>6.6</v>
      </c>
      <c r="D25" s="29" t="s">
        <v>176</v>
      </c>
    </row>
    <row r="26" customFormat="false" ht="75" hidden="false" customHeight="true" outlineLevel="0" collapsed="false">
      <c r="B26" s="29" t="s">
        <v>177</v>
      </c>
      <c r="C26" s="30"/>
      <c r="D26" s="29" t="s">
        <v>178</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2026-10-14T17:43:26Z</dcterms:created>
  <dc:creator>openpyxl</dc:creator>
  <dc:description/>
  <dc:language>en-US</dc:language>
  <cp:lastModifiedBy/>
  <dcterms:modified xsi:type="dcterms:W3CDTF">2026-10-14T17:43:26Z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