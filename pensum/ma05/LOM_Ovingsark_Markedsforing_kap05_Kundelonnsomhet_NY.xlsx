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iledning" sheetId="1" state="visible" r:id="rId1"/>
    <sheet xmlns:r="http://schemas.openxmlformats.org/officeDocument/2006/relationships" name="Segmenter" sheetId="2" state="visible" r:id="rId2"/>
    <sheet xmlns:r="http://schemas.openxmlformats.org/officeDocument/2006/relationships" name="Kundelønnsomhet" sheetId="3" state="visible" r:id="rId3"/>
    <sheet xmlns:r="http://schemas.openxmlformats.org/officeDocument/2006/relationships" name="Scenario" sheetId="4" state="visible" r:id="rId4"/>
    <sheet xmlns:r="http://schemas.openxmlformats.org/officeDocument/2006/relationships" name="Din egen bedrift" sheetId="5" state="visible" r:id="rId5"/>
  </sheets>
  <definedNames/>
  <calcPr calcId="124519" fullCalcOnLoad="1"/>
</workbook>
</file>

<file path=xl/styles.xml><?xml version="1.0" encoding="utf-8"?>
<styleSheet xmlns="http://schemas.openxmlformats.org/spreadsheetml/2006/main">
  <numFmts count="3">
    <numFmt numFmtId="164" formatCode="#,##0 &quot;kr&quot;"/>
    <numFmt numFmtId="165" formatCode="0.0%"/>
    <numFmt numFmtId="166" formatCode="#,##0.00 &quot;kr&quot;"/>
  </numFmts>
  <fonts count="9">
    <font>
      <name val="Calibri"/>
      <family val="2"/>
      <color theme="1"/>
      <sz val="11"/>
      <scheme val="minor"/>
    </font>
    <font>
      <name val="Arial"/>
      <b val="1"/>
      <color rgb="001F3864"/>
      <sz val="14"/>
    </font>
    <font>
      <name val="Arial"/>
      <i val="1"/>
      <color rgb="00595959"/>
      <sz val="10"/>
    </font>
    <font>
      <name val="Arial"/>
      <b val="1"/>
      <color rgb="001F3864"/>
      <sz val="10"/>
    </font>
    <font>
      <name val="Arial"/>
      <sz val="10"/>
    </font>
    <font>
      <name val="Arial"/>
      <color rgb="000000FF"/>
      <sz val="10"/>
    </font>
    <font>
      <name val="Arial"/>
      <b val="1"/>
      <sz val="10"/>
    </font>
    <font>
      <name val="Arial"/>
      <b val="1"/>
      <color rgb="00FFFFFF"/>
      <sz val="10"/>
    </font>
    <font>
      <name val="Arial"/>
      <i val="1"/>
      <color rgb="00595959"/>
      <sz val="9"/>
    </font>
  </fonts>
  <fills count="6">
    <fill>
      <patternFill/>
    </fill>
    <fill>
      <patternFill patternType="gray125"/>
    </fill>
    <fill>
      <patternFill patternType="solid">
        <fgColor rgb="00FFF2CC"/>
      </patternFill>
    </fill>
    <fill>
      <patternFill patternType="solid">
        <fgColor rgb="00DCE6F4"/>
      </patternFill>
    </fill>
    <fill>
      <patternFill patternType="solid">
        <fgColor rgb="00F2F2F2"/>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8" fillId="0" borderId="0" pivotButton="0" quotePrefix="0" xfId="0"/>
    <xf numFmtId="0" fontId="3" fillId="0" borderId="0" pivotButton="0" quotePrefix="0" xfId="0"/>
    <xf numFmtId="0" fontId="5" fillId="2" borderId="1" pivotButton="0" quotePrefix="0" xfId="0"/>
    <xf numFmtId="0" fontId="4" fillId="0" borderId="0" pivotButton="0" quotePrefix="0" xfId="0"/>
    <xf numFmtId="0" fontId="4" fillId="4" borderId="1" pivotButton="0" quotePrefix="0" xfId="0"/>
    <xf numFmtId="0" fontId="6" fillId="0" borderId="0" pivotButton="0" quotePrefix="0" xfId="0"/>
    <xf numFmtId="0" fontId="7" fillId="5" borderId="0" applyAlignment="1" pivotButton="0" quotePrefix="0" xfId="0">
      <alignment horizontal="center" vertical="center" wrapText="1"/>
    </xf>
    <xf numFmtId="164" fontId="5" fillId="2" borderId="1" pivotButton="0" quotePrefix="0" xfId="0"/>
    <xf numFmtId="164" fontId="6" fillId="3" borderId="1" pivotButton="0" quotePrefix="0" xfId="0"/>
    <xf numFmtId="165" fontId="4" fillId="4" borderId="1" pivotButton="0" quotePrefix="0" xfId="0"/>
    <xf numFmtId="3" fontId="5" fillId="2" borderId="1" pivotButton="0" quotePrefix="0" xfId="0"/>
    <xf numFmtId="165" fontId="5" fillId="2" borderId="1" pivotButton="0" quotePrefix="0" xfId="0"/>
    <xf numFmtId="166" fontId="5" fillId="2" borderId="1" pivotButton="0" quotePrefix="0" xfId="0"/>
    <xf numFmtId="10" fontId="5" fillId="2" borderId="1" pivotButton="0" quotePrefix="0" xfId="0"/>
    <xf numFmtId="164" fontId="4" fillId="4" borderId="1" pivotButton="0" quotePrefix="0" xfId="0"/>
    <xf numFmtId="4" fontId="4" fillId="4" borderId="1" pivotButton="0" quotePrefix="0" xfId="0"/>
    <xf numFmtId="166" fontId="6" fillId="3" borderId="1" pivotButton="0" quotePrefix="0" xfId="0"/>
    <xf numFmtId="166" fontId="4" fillId="4" borderId="1" pivotButton="0" quotePrefix="0" xfId="0"/>
    <xf numFmtId="165" fontId="6" fillId="3" borderId="1" pivotButton="0" quotePrefix="0" xfId="0"/>
    <xf numFmtId="4" fontId="6" fillId="3" borderId="1" pivotButton="0" quotePrefix="0" xfId="0"/>
    <xf numFmtId="0" fontId="6" fillId="4" borderId="1" pivotButton="0" quotePrefix="0" xfId="0"/>
    <xf numFmtId="4" fontId="5" fillId="2" borderId="1" pivotButton="0" quotePrefix="0" xfId="0"/>
    <xf numFmtId="3" fontId="4" fillId="4" borderId="1" pivotButton="0" quotePrefix="0" xfId="0"/>
    <xf numFmtId="3" fontId="6" fillId="3" borderId="1" pivotButton="0" quotePrefix="0" xfId="0"/>
    <xf numFmtId="0" fontId="6" fillId="3" borderId="1" pivotButton="0" quotePrefix="0" xfId="0"/>
  </cellXfs>
  <cellStyles count="1">
    <cellStyle name="Normal" xfId="0" builtinId="0" hidden="0"/>
  </cellStyles>
  <dxfs count="1">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48"/>
  <sheetViews>
    <sheetView showGridLines="0" workbookViewId="0">
      <selection activeCell="A1" sqref="A1"/>
    </sheetView>
  </sheetViews>
  <sheetFormatPr baseColWidth="8" defaultRowHeight="15"/>
  <cols>
    <col width="40" customWidth="1" min="1" max="1"/>
    <col width="32" customWidth="1" min="2" max="2"/>
    <col width="62" customWidth="1" min="3" max="3"/>
  </cols>
  <sheetData>
    <row r="1">
      <c r="A1" s="1" t="inlineStr">
        <is>
          <t>Kundelønnsomhet per segment</t>
        </is>
      </c>
    </row>
    <row r="2">
      <c r="A2" s="2" t="inlineStr">
        <is>
          <t>LØM Markedsføring kap. 5 · arbeidsregneark · Fagskolen Oslo, Avdeling Elkraft</t>
        </is>
      </c>
    </row>
    <row r="3">
      <c r="A3" s="3" t="inlineStr">
        <is>
          <t>Emne: Teknisk kommunikasjon og ledelse for 1ET-klassene · LØM for 2ET, 2EK, 3EK og 4EK</t>
        </is>
      </c>
    </row>
    <row r="4">
      <c r="A4" s="4" t="inlineStr">
        <is>
          <t>Fargekode</t>
        </is>
      </c>
    </row>
    <row r="5">
      <c r="A5" s="5" t="inlineStr">
        <is>
          <t>Gul celle med blå skrift</t>
        </is>
      </c>
      <c r="B5" s="6" t="inlineStr">
        <is>
          <t>Inndata — dette er tallene du endrer.</t>
        </is>
      </c>
    </row>
    <row r="6">
      <c r="A6" s="7" t="inlineStr">
        <is>
          <t>Grå eller lyseblå celle, svart skrift</t>
        </is>
      </c>
      <c r="B6" s="6" t="inlineStr">
        <is>
          <t>Formel — regner seg selv. Ikke skriv over den.</t>
        </is>
      </c>
    </row>
    <row r="7">
      <c r="A7" s="7" t="inlineStr">
        <is>
          <t>Mørkeblå rad med hvit skrift</t>
        </is>
      </c>
      <c r="B7" s="6" t="inlineStr">
        <is>
          <t>Kolonneoverskrift.</t>
        </is>
      </c>
    </row>
    <row r="9">
      <c r="A9" s="4" t="inlineStr">
        <is>
          <t>Ark i arbeidsboka</t>
        </is>
      </c>
    </row>
    <row r="10">
      <c r="A10" s="8" t="inlineStr">
        <is>
          <t>Segmenter</t>
        </is>
      </c>
      <c r="B10" s="6" t="inlineStr">
        <is>
          <t>De fem kundetypene, med omsetning, montørtimer, dekningsgrad og dekningsbidrag per montørtime. Her ligger knappene B19 til D23.</t>
        </is>
      </c>
    </row>
    <row r="11">
      <c r="A11" s="8" t="inlineStr">
        <is>
          <t>Kundelønnsomhet</t>
        </is>
      </c>
      <c r="B11" s="6" t="inlineStr">
        <is>
          <t>Hva som er igjen når kalkulatørtimene og kredittiden er trukket fra — og hvordan rangeringen endrer seg. Knappene er B6 til F10.</t>
        </is>
      </c>
    </row>
    <row r="12">
      <c r="A12" s="8" t="inlineStr">
        <is>
          <t>Scenario</t>
        </is>
      </c>
      <c r="B12" s="6" t="inlineStr">
        <is>
          <t>Tre spørsmål: hva det er verdt å flytte timer, hva kredittiden er verdt, og hva det koster å si nei til et helt segment.</t>
        </is>
      </c>
    </row>
    <row r="13">
      <c r="A13" s="8" t="inlineStr">
        <is>
          <t>Din egen bedrift</t>
        </is>
      </c>
      <c r="B13" s="6" t="inlineStr">
        <is>
          <t>Samme regnestykke, tomt. Legg inn dine egne segmenter.</t>
        </is>
      </c>
    </row>
    <row r="15">
      <c r="A15" s="3" t="inlineStr">
        <is>
          <t>Tallene som ligger inne er Nordlys Elektro AS sine egne for 2026.</t>
        </is>
      </c>
    </row>
    <row r="16">
      <c r="A16" s="3" t="inlineStr">
        <is>
          <t>Arket svarer på ett spørsmål: hvilket segment gir mest igjen per montørtime — og holder svaret når salgsarbeidet og kredittiden regnes med?</t>
        </is>
      </c>
    </row>
    <row r="17">
      <c r="A17" s="3" t="inlineStr">
        <is>
          <t>Merk: montørlønna er IKKE trukket fra dekningsbidraget her. Den er fast på kort sikt og følger montøren, ikke kunden. Det er derfor tallene er høyere enn dekningsbidraget per oppdragstype i Bok 1 kap. 7.</t>
        </is>
      </c>
    </row>
    <row r="19">
      <c r="A19" s="3" t="inlineStr">
        <is>
          <t>Tallene som ligger inne er et eksempel fra en elektrobedrift. Bytt dem ut med dine egne — alle formler følger med.</t>
        </is>
      </c>
    </row>
    <row r="20">
      <c r="A20" s="3" t="inlineStr">
        <is>
          <t>Arbeidsregneark til LØM · Fagskolen Oslo, Avdeling Elkraft. Regnearket er øvingsstøtte, ikke et regnskapssystem.</t>
        </is>
      </c>
    </row>
    <row r="22">
      <c r="A22" s="4" t="inlineStr">
        <is>
          <t>Knappene</t>
        </is>
      </c>
    </row>
    <row r="23">
      <c r="A23" s="6" t="inlineStr">
        <is>
          <t>Segmenter!B19:B23</t>
        </is>
      </c>
      <c r="B23" s="8" t="inlineStr">
        <is>
          <t>Andel av omsetningen</t>
        </is>
      </c>
      <c r="C23" s="6" t="inlineStr">
        <is>
          <t>Hvor stor del av salgsinntekten hvert segment står for. Må summere seg til 100 %.</t>
        </is>
      </c>
    </row>
    <row r="24">
      <c r="A24" s="6" t="inlineStr">
        <is>
          <t>Segmenter!C19:C23</t>
        </is>
      </c>
      <c r="B24" s="8" t="inlineStr">
        <is>
          <t>Andel av montørtimene</t>
        </is>
      </c>
      <c r="C24" s="6" t="inlineStr">
        <is>
          <t>Hvor stor del av timene hvert segment legger beslag på. Må summere seg til 100 %.</t>
        </is>
      </c>
    </row>
    <row r="25">
      <c r="A25" s="6" t="inlineStr">
        <is>
          <t>Segmenter!D19:D23</t>
        </is>
      </c>
      <c r="B25" s="8" t="inlineStr">
        <is>
          <t>Dekningsgrad</t>
        </is>
      </c>
      <c r="C25" s="6" t="inlineStr">
        <is>
          <t>Hva som er igjen av hver omsatt krone etter materiell og underentreprenører.</t>
        </is>
      </c>
    </row>
    <row r="26">
      <c r="A26" s="6" t="inlineStr">
        <is>
          <t>Kundelønnsomhet!B6:C10</t>
        </is>
      </c>
      <c r="B26" s="8" t="inlineStr">
        <is>
          <t>Tilbud og timer per tilbud</t>
        </is>
      </c>
      <c r="C26" s="6" t="inlineStr">
        <is>
          <t>Hva det koster i kalkulatørtid å holde segmentet.</t>
        </is>
      </c>
    </row>
    <row r="27">
      <c r="A27" s="6" t="inlineStr">
        <is>
          <t>Kundelønnsomhet!F6:F10</t>
        </is>
      </c>
      <c r="B27" s="8" t="inlineStr">
        <is>
          <t>Kredittdager</t>
        </is>
      </c>
      <c r="C27" s="6" t="inlineStr">
        <is>
          <t>Hvor lenge kunden bruker på å betale. Bind kapital koster renter.</t>
        </is>
      </c>
    </row>
    <row r="29">
      <c r="A29" s="4" t="inlineStr">
        <is>
          <t>Hvilken oppgave bruker hvilket ark</t>
        </is>
      </c>
    </row>
    <row r="30" ht="28" customHeight="1">
      <c r="A30" s="9" t="inlineStr">
        <is>
          <t>Oppgave i øvingsheftet</t>
        </is>
      </c>
      <c r="B30" s="9" t="inlineStr">
        <is>
          <t>Ark</t>
        </is>
      </c>
      <c r="C30" s="9" t="inlineStr">
        <is>
          <t>Celler du endrer og leser av</t>
        </is>
      </c>
    </row>
    <row r="31">
      <c r="A31" s="6" t="inlineStr">
        <is>
          <t>A1 · Hvilket segment ville du valgt bort først?</t>
        </is>
      </c>
      <c r="B31" s="8" t="inlineStr">
        <is>
          <t>Scenario</t>
        </is>
      </c>
      <c r="C31" s="6" t="inlineStr">
        <is>
          <t>Scenario C: skriv segmentet du sier nei til i B42, og les av hva det koster i B45 og hva som må til for å fylle timene i B53 og B55.</t>
        </is>
      </c>
    </row>
    <row r="32">
      <c r="A32" s="6" t="inlineStr">
        <is>
          <t>A2 · Klasseoppgave: velg to målgrupper for Nordlys</t>
        </is>
      </c>
      <c r="B32" s="8" t="inlineStr">
        <is>
          <t>Segmenter og Scenario</t>
        </is>
      </c>
      <c r="C32" s="6" t="inlineStr">
        <is>
          <t>Rangeringen står ferdig i kolonne H i arket «Segmenter». Scenario C regner ut hva det koster å si nei.</t>
        </is>
      </c>
    </row>
    <row r="33">
      <c r="A33" s="6" t="inlineStr">
        <is>
          <t>1 · Fem kundetyper, rangert etter kroner per montørtime</t>
        </is>
      </c>
      <c r="B33" s="8" t="inlineStr">
        <is>
          <t>Segmenter</t>
        </is>
      </c>
      <c r="C33" s="6" t="inlineStr">
        <is>
          <t>Legg inn andeler og dekningsgrad i B19 til D23. Les av omsetning, timer og dekningsbidrag i E, F og G, og kroner per montørtime i H.</t>
        </is>
      </c>
    </row>
    <row r="34">
      <c r="A34" s="6" t="inlineStr">
        <is>
          <t>2 · Hva salgsarbeidet og kreditten koster</t>
        </is>
      </c>
      <c r="B34" s="8" t="inlineStr">
        <is>
          <t>Kundelønnsomhet</t>
        </is>
      </c>
      <c r="C34" s="6" t="inlineStr">
        <is>
          <t>Legg inn tilbud, timer per tilbud og kredittdager i B6 til F10. Les av kundelønnsomheten i E16 til F20, og hvem som bytter plass i kolonne H og I.</t>
        </is>
      </c>
    </row>
    <row r="35">
      <c r="A35" s="6" t="inlineStr">
        <is>
          <t>3 · Hva det er verdt å flytte en time</t>
        </is>
      </c>
      <c r="B35" s="8" t="inlineStr">
        <is>
          <t>Scenario</t>
        </is>
      </c>
      <c r="C35" s="6" t="inlineStr">
        <is>
          <t>Scenario A: sett antall timer i B7 og les av B11, B12 og B14.</t>
        </is>
      </c>
    </row>
    <row r="36">
      <c r="A36" s="6" t="inlineStr">
        <is>
          <t>4 · Holder «alle som har elbil i Oslo» som målgruppe?</t>
        </is>
      </c>
      <c r="B36" s="8" t="inlineStr">
        <is>
          <t>Scenario</t>
        </is>
      </c>
      <c r="C36" s="6" t="inlineStr">
        <is>
          <t>Scenario C: skriv segmentet du sier nei til i B42 og segmentet timene flyttes til i B43. Les av B49, B53 og B55, og dommen i E56.</t>
        </is>
      </c>
    </row>
    <row r="37">
      <c r="A37" s="6" t="inlineStr">
        <is>
          <t>5 · Eksamensnær: satse på ett segment</t>
        </is>
      </c>
      <c r="B37" s="8" t="inlineStr">
        <is>
          <t>Scenario</t>
        </is>
      </c>
      <c r="C37" s="6" t="inlineStr">
        <is>
          <t>Alle tre scenarioene. Scenario B gir deg argumentet om kredittid som ikke koster pris. Bruk «Din egen bedrift» hvis du vil regne på din egen bedrift.</t>
        </is>
      </c>
    </row>
    <row r="39">
      <c r="A39" s="4" t="inlineStr">
        <is>
          <t>Kontrollradene</t>
        </is>
      </c>
    </row>
    <row r="40">
      <c r="A40" s="6" t="inlineStr">
        <is>
          <t>Hvert regneark har en kontrollblokk. Står det OK, henger tallene sammen. Står det AVVIK, farges cellen rød, og teksten sier hva som ikke går opp.</t>
        </is>
      </c>
    </row>
    <row r="41">
      <c r="A41" s="6" t="inlineStr">
        <is>
          <t>Tre av kontrollene er faglige og ikke tekniske: at segmentet med høyest dekningsgrad IKKE er det som gir mest per time, at det største segmentet ikke er det beste, og at minst ett segment bytter plass når salgsarbeidet regnes med. Slår en av dem ut i AVVIK, er det ikke en regnefeil — det er kapitlets poeng som har falt bort.</t>
        </is>
      </c>
    </row>
    <row r="42">
      <c r="A42" s="3" t="inlineStr">
        <is>
          <t>Kontroller i arbeidsboka: Segmenter E34, Segmenter E35, Segmenter E36, Segmenter E37, Kundelønnsomhet E30, Kundelønnsomhet E31, Kundelønnsomhet E32, Kundelønnsomhet E33, Kundelønnsomhet E34, Scenario B17, Scenario B18, Scenario B35, Scenario B36, Scenario B59, Scenario B60, Scenario B61, Din egen bedrift E22, Din egen bedrift E23</t>
        </is>
      </c>
    </row>
    <row r="44">
      <c r="A44" s="4" t="inlineStr">
        <is>
          <t>Kilder</t>
        </is>
      </c>
    </row>
    <row r="45">
      <c r="A45" s="3" t="inlineStr">
        <is>
          <t>Hjertnes, F.: Markedsføring, organisasjon og ledelse for LØM-emnet, 4. utg., kap. 5.1 til 5.8. Knapp faktor og dekningsbidrag: Bok 1 Økonomistyring kap. 2, 7 og 8. Kundefordringer og kapitalbinding: Bok 1 kap. 3 og 4.</t>
        </is>
      </c>
    </row>
    <row r="46">
      <c r="A46" s="3" t="inlineStr">
        <is>
          <t>Salgskostnad og kredittid per segment er ikke lærebokas begreper. De er en utvidelse av lærebokas krav om at et segment skal vurderes på lønnsomhet, og de er merket som det. Læreboka gjelder foran arket.</t>
        </is>
      </c>
    </row>
    <row r="47">
      <c r="A47" s="3" t="inlineStr">
        <is>
          <t>Bransjetall: NHO Elektro, Lønnsomhetsrapport 2025, gjengitt i Elektro 24-7 19.08.2026 (hentet 10.09.2026). De 809 er bedriftene i datagrunnlaget, ikke bransjen. NHO Elektro oppgir ikke svarprosent.</t>
        </is>
      </c>
    </row>
    <row r="48">
      <c r="A48" s="3" t="inlineStr">
        <is>
          <t>Nordlys Elektro AS er en konstruert casebedrift. Tallene henger sammen på tvers av begge bøkene.</t>
        </is>
      </c>
    </row>
  </sheetData>
  <printOptions horizontalCentered="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J40"/>
  <sheetViews>
    <sheetView showGridLines="0" workbookViewId="0">
      <pane ySplit="3" topLeftCell="A4" activePane="bottomLeft" state="frozen"/>
      <selection pane="bottomLeft" activeCell="A1" sqref="A1"/>
    </sheetView>
  </sheetViews>
  <sheetFormatPr baseColWidth="8" defaultRowHeight="15"/>
  <cols>
    <col width="30" customWidth="1" min="1" max="1"/>
    <col width="15" customWidth="1" min="2" max="2"/>
    <col width="15" customWidth="1" min="3" max="3"/>
    <col width="13" customWidth="1" min="4" max="4"/>
    <col width="15" customWidth="1" min="5" max="5"/>
    <col width="13" customWidth="1" min="6" max="6"/>
    <col width="15" customWidth="1" min="7" max="7"/>
    <col width="15" customWidth="1" min="8" max="8"/>
    <col width="15" customWidth="1" min="9" max="9"/>
    <col width="44" customWidth="1" min="10" max="10"/>
  </cols>
  <sheetData>
    <row r="1">
      <c r="A1" s="1" t="inlineStr">
        <is>
          <t>Fem kundetyper, én bedrift</t>
        </is>
      </c>
    </row>
    <row r="2">
      <c r="A2" s="2" t="inlineStr">
        <is>
          <t>Endre de gule cellene. Alt annet regner seg selv.</t>
        </is>
      </c>
    </row>
    <row r="4">
      <c r="A4" s="4" t="inlineStr">
        <is>
          <t>1 · Bedriftens egne tall for året</t>
        </is>
      </c>
    </row>
    <row r="5">
      <c r="A5" s="6" t="inlineStr">
        <is>
          <t>Salgsinntekt, uten mva.</t>
        </is>
      </c>
      <c r="B5" s="10" t="n">
        <v>22400000</v>
      </c>
      <c r="J5" s="6" t="inlineStr">
        <is>
          <t>Hele bedriften, alle tre avdelingene.</t>
        </is>
      </c>
    </row>
    <row r="6">
      <c r="A6" s="6" t="inlineStr">
        <is>
          <t>− varekostnad materiell</t>
        </is>
      </c>
      <c r="B6" s="10" t="n">
        <v>7990000</v>
      </c>
    </row>
    <row r="7">
      <c r="A7" s="6" t="inlineStr">
        <is>
          <t>− varekostnad underentreprenør</t>
        </is>
      </c>
      <c r="B7" s="10" t="n">
        <v>3660000</v>
      </c>
    </row>
    <row r="8">
      <c r="A8" s="8" t="inlineStr">
        <is>
          <t>= Dekningsbidrag totalt</t>
        </is>
      </c>
      <c r="B8" s="11">
        <f>B5-B6-B7</f>
        <v/>
      </c>
      <c r="J8" s="6" t="inlineStr">
        <is>
          <t>Her er montørlønna IKKE trukket fra. Den er en fast kostnad på kort sikt, og den følger montøren, ikke kunden.</t>
        </is>
      </c>
    </row>
    <row r="9">
      <c r="A9" s="6" t="inlineStr">
        <is>
          <t>Dekningsgrad totalt</t>
        </is>
      </c>
      <c r="B9" s="12">
        <f>B8/B5</f>
        <v/>
      </c>
    </row>
    <row r="10">
      <c r="A10" s="6" t="inlineStr">
        <is>
          <t>Fakturerbare montørtimer</t>
        </is>
      </c>
      <c r="B10" s="13" t="n">
        <v>14400</v>
      </c>
      <c r="J10" s="6" t="inlineStr">
        <is>
          <t>Den knappe faktoren. Det er denne alt skal måles mot.</t>
        </is>
      </c>
    </row>
    <row r="11">
      <c r="A11" s="6" t="inlineStr">
        <is>
          <t>Faste kostnader</t>
        </is>
      </c>
      <c r="B11" s="10" t="n">
        <v>9406000</v>
      </c>
    </row>
    <row r="12">
      <c r="A12" s="8" t="inlineStr">
        <is>
          <t>= Driftsresultat</t>
        </is>
      </c>
      <c r="B12" s="11">
        <f>B8-B11</f>
        <v/>
      </c>
    </row>
    <row r="13">
      <c r="A13" s="6" t="inlineStr">
        <is>
          <t>Merverdiavgift</t>
        </is>
      </c>
      <c r="B13" s="14" t="n">
        <v>0.25</v>
      </c>
    </row>
    <row r="14">
      <c r="A14" s="6" t="inlineStr">
        <is>
          <t>Kostsats, administrasjonstime</t>
        </is>
      </c>
      <c r="B14" s="15" t="n">
        <v>327.4336283185841</v>
      </c>
      <c r="J14" s="6" t="inlineStr">
        <is>
          <t>Det en time hos kalkulatøren koster bedriften.</t>
        </is>
      </c>
    </row>
    <row r="15">
      <c r="A15" s="6" t="inlineStr">
        <is>
          <t>Lånerente</t>
        </is>
      </c>
      <c r="B15" s="16" t="n">
        <v>0.02855588795213489</v>
      </c>
      <c r="J15" s="6" t="inlineStr">
        <is>
          <t>Bedriftens egen gjennomsnittsrente. Brukes på kapitalen som ligger i ubetalte fakturaer.</t>
        </is>
      </c>
    </row>
    <row r="17">
      <c r="A17" s="4" t="inlineStr">
        <is>
          <t>2 · De fem segmentene</t>
        </is>
      </c>
    </row>
    <row r="18" ht="28" customHeight="1">
      <c r="A18" s="9" t="inlineStr">
        <is>
          <t>Segment</t>
        </is>
      </c>
      <c r="B18" s="9" t="inlineStr">
        <is>
          <t>Andel av
omsetningen</t>
        </is>
      </c>
      <c r="C18" s="9" t="inlineStr">
        <is>
          <t>Andel av
montørtimene</t>
        </is>
      </c>
      <c r="D18" s="9" t="inlineStr">
        <is>
          <t>Deknings-
grad</t>
        </is>
      </c>
      <c r="E18" s="9" t="inlineStr">
        <is>
          <t>Omsetning</t>
        </is>
      </c>
      <c r="F18" s="9" t="inlineStr">
        <is>
          <t>Montør-
timer</t>
        </is>
      </c>
      <c r="G18" s="9" t="inlineStr">
        <is>
          <t>Deknings-
bidrag</t>
        </is>
      </c>
      <c r="H18" s="9" t="inlineStr">
        <is>
          <t>DB per
montørtime</t>
        </is>
      </c>
      <c r="I18" s="9" t="inlineStr">
        <is>
          <t>Omsetning
per time</t>
        </is>
      </c>
      <c r="J18" s="9" t="inlineStr">
        <is>
          <t>Hva kunden er</t>
        </is>
      </c>
    </row>
    <row r="19">
      <c r="A19" s="6" t="inlineStr">
        <is>
          <t>Huseiere og boligeiere</t>
        </is>
      </c>
      <c r="B19" s="14" t="n">
        <v>0.2</v>
      </c>
      <c r="C19" s="14" t="n">
        <v>0.25</v>
      </c>
      <c r="D19" s="14" t="n">
        <v>0.58</v>
      </c>
      <c r="E19" s="17">
        <f>B19*$B$5</f>
        <v/>
      </c>
      <c r="F19" s="18">
        <f>C19*$B$10</f>
        <v/>
      </c>
      <c r="G19" s="17">
        <f>E19*D19</f>
        <v/>
      </c>
      <c r="H19" s="19">
        <f>IF(F19=0,0,G19/F19)</f>
        <v/>
      </c>
      <c r="I19" s="20">
        <f>IF(F19=0,0,E19/F19)</f>
        <v/>
      </c>
      <c r="J19" s="6" t="inlineStr">
        <is>
          <t>Nytt sikringsskap, varmekabler på bad, ett ladepunkt i garasjen.</t>
        </is>
      </c>
    </row>
    <row r="20">
      <c r="A20" s="6" t="inlineStr">
        <is>
          <t>Borettslag og sameier</t>
        </is>
      </c>
      <c r="B20" s="14" t="n">
        <v>0.14</v>
      </c>
      <c r="C20" s="14" t="n">
        <v>0.15</v>
      </c>
      <c r="D20" s="14" t="n">
        <v>0.5</v>
      </c>
      <c r="E20" s="17">
        <f>B20*$B$5</f>
        <v/>
      </c>
      <c r="F20" s="18">
        <f>C20*$B$10</f>
        <v/>
      </c>
      <c r="G20" s="17">
        <f>E20*D20</f>
        <v/>
      </c>
      <c r="H20" s="19">
        <f>IF(F20=0,0,G20/F20)</f>
        <v/>
      </c>
      <c r="I20" s="20">
        <f>IF(F20=0,0,E20/F20)</f>
        <v/>
      </c>
      <c r="J20" s="6" t="inlineStr">
        <is>
          <t>Felles ladeanlegg med lastbalansering, oppgradering av stigeledninger, fellesarealbelysning.</t>
        </is>
      </c>
    </row>
    <row r="21">
      <c r="A21" s="6" t="inlineStr">
        <is>
          <t>Entreprenører og byggmestere</t>
        </is>
      </c>
      <c r="B21" s="14" t="n">
        <v>0.34</v>
      </c>
      <c r="C21" s="14" t="n">
        <v>0.36</v>
      </c>
      <c r="D21" s="14" t="n">
        <v>0.4220903361344537</v>
      </c>
      <c r="E21" s="17">
        <f>B21*$B$5</f>
        <v/>
      </c>
      <c r="F21" s="18">
        <f>C21*$B$10</f>
        <v/>
      </c>
      <c r="G21" s="17">
        <f>E21*D21</f>
        <v/>
      </c>
      <c r="H21" s="19">
        <f>IF(F21=0,0,G21/F21)</f>
        <v/>
      </c>
      <c r="I21" s="20">
        <f>IF(F21=0,0,E21/F21)</f>
        <v/>
      </c>
      <c r="J21" s="6" t="inlineStr">
        <is>
          <t>Elektroarbeid i et rekkehusfelt eller et mindre næringsbygg, som underleverandør.</t>
        </is>
      </c>
    </row>
    <row r="22">
      <c r="A22" s="6" t="inlineStr">
        <is>
          <t>Næringsbygg og eiendomsdrift</t>
        </is>
      </c>
      <c r="B22" s="14" t="n">
        <v>0.2</v>
      </c>
      <c r="C22" s="14" t="n">
        <v>0.13</v>
      </c>
      <c r="D22" s="14" t="n">
        <v>0.5</v>
      </c>
      <c r="E22" s="17">
        <f>B22*$B$5</f>
        <v/>
      </c>
      <c r="F22" s="18">
        <f>C22*$B$10</f>
        <v/>
      </c>
      <c r="G22" s="17">
        <f>E22*D22</f>
        <v/>
      </c>
      <c r="H22" s="19">
        <f>IF(F22=0,0,G22/F22)</f>
        <v/>
      </c>
      <c r="I22" s="20">
        <f>IF(F22=0,0,E22/F22)</f>
        <v/>
      </c>
      <c r="J22" s="6" t="inlineStr">
        <is>
          <t>Feilsøking, service, el-kontroll og småendringer i bygg Nordlys kjenner fra før.</t>
        </is>
      </c>
    </row>
    <row r="23">
      <c r="A23" s="6" t="inlineStr">
        <is>
          <t>Offentlige rammeavtaler</t>
        </is>
      </c>
      <c r="B23" s="14" t="n">
        <v>0.12</v>
      </c>
      <c r="C23" s="14" t="n">
        <v>0.11</v>
      </c>
      <c r="D23" s="14" t="n">
        <v>0.42</v>
      </c>
      <c r="E23" s="17">
        <f>B23*$B$5</f>
        <v/>
      </c>
      <c r="F23" s="18">
        <f>C23*$B$10</f>
        <v/>
      </c>
      <c r="G23" s="17">
        <f>E23*D23</f>
        <v/>
      </c>
      <c r="H23" s="19">
        <f>IF(F23=0,0,G23/F23)</f>
        <v/>
      </c>
      <c r="I23" s="20">
        <f>IF(F23=0,0,E23/F23)</f>
        <v/>
      </c>
      <c r="J23" s="6" t="inlineStr">
        <is>
          <t>Lysarmaturer og småoppdrag på skoler og sykehjem, avropt på rammeavtale.</t>
        </is>
      </c>
    </row>
    <row r="24">
      <c r="A24" s="8" t="inlineStr">
        <is>
          <t>SUM</t>
        </is>
      </c>
      <c r="B24" s="21">
        <f>SUM(B19:B23)</f>
        <v/>
      </c>
      <c r="C24" s="21">
        <f>SUM(C19:C23)</f>
        <v/>
      </c>
      <c r="D24" s="21">
        <f>G24/E24</f>
        <v/>
      </c>
      <c r="E24" s="11">
        <f>SUM(E19:E23)</f>
        <v/>
      </c>
      <c r="F24" s="22">
        <f>SUM(F19:F23)</f>
        <v/>
      </c>
      <c r="G24" s="11">
        <f>SUM(G19:G23)</f>
        <v/>
      </c>
      <c r="H24" s="19">
        <f>G24/F24</f>
        <v/>
      </c>
      <c r="I24" s="20">
        <f>E24/F24</f>
        <v/>
      </c>
    </row>
    <row r="26">
      <c r="A26" s="4" t="inlineStr">
        <is>
          <t>3 · Det som er verdt å legge merke til</t>
        </is>
      </c>
    </row>
    <row r="27">
      <c r="A27" s="6" t="inlineStr">
        <is>
          <t>Høyeste dekningsgrad</t>
        </is>
      </c>
      <c r="B27" s="23">
        <f>INDEX($A$19:$A$23,MATCH(MAX($D$19:$D$23),$D$19:$D$23,0))</f>
        <v/>
      </c>
      <c r="D27" s="12">
        <f>MAX($D$19:$D$23)</f>
        <v/>
      </c>
      <c r="J27" s="6" t="inlineStr">
        <is>
          <t>Prosenten som ser best ut på papiret.</t>
        </is>
      </c>
    </row>
    <row r="28">
      <c r="A28" s="6" t="inlineStr">
        <is>
          <t>Mest igjen per montørtime</t>
        </is>
      </c>
      <c r="B28" s="23">
        <f>INDEX($A$19:$A$23,MATCH(MAX($H$19:$H$23),$H$19:$H$23,0))</f>
        <v/>
      </c>
      <c r="H28" s="20">
        <f>MAX($H$19:$H$23)</f>
        <v/>
      </c>
      <c r="J28" s="6" t="inlineStr">
        <is>
          <t>Kroner per time av det bedriften har minst av.</t>
        </is>
      </c>
    </row>
    <row r="29">
      <c r="A29" s="6" t="inlineStr">
        <is>
          <t>Størst i omsetning</t>
        </is>
      </c>
      <c r="B29" s="23">
        <f>INDEX($A$19:$A$23,MATCH(MAX($E$19:$E$23),$E$19:$E$23,0))</f>
        <v/>
      </c>
      <c r="E29" s="17">
        <f>MAX($E$19:$E$23)</f>
        <v/>
      </c>
      <c r="J29" s="6" t="inlineStr">
        <is>
          <t>Det segmentet ordreboka gjør mest av seg.</t>
        </is>
      </c>
    </row>
    <row r="30">
      <c r="A30" s="6" t="inlineStr">
        <is>
          <t>Minst igjen per montørtime</t>
        </is>
      </c>
      <c r="B30" s="23">
        <f>INDEX($A$19:$A$23,MATCH(MIN($H$19:$H$23),$H$19:$H$23,0))</f>
        <v/>
      </c>
      <c r="H30" s="20">
        <f>MIN($H$19:$H$23)</f>
        <v/>
      </c>
    </row>
    <row r="31">
      <c r="A31" s="6" t="inlineStr">
        <is>
          <t>Spredning, beste mot svakeste</t>
        </is>
      </c>
      <c r="H31" s="18">
        <f>MAX($H$19:$H$23)/MIN($H$19:$H$23)</f>
        <v/>
      </c>
      <c r="J31" s="6" t="inlineStr">
        <is>
          <t>Så mange ganger mer gir den beste montørtimen enn den svakeste.</t>
        </is>
      </c>
    </row>
    <row r="33">
      <c r="A33" s="4" t="inlineStr">
        <is>
          <t>Kontroll</t>
        </is>
      </c>
    </row>
    <row r="34">
      <c r="A34" s="6" t="inlineStr">
        <is>
          <t>Summerer andelene seg til hundre prosent?</t>
        </is>
      </c>
      <c r="E34" s="23">
        <f>IF(AND(ABS(B24-1)&lt;0.0001,ABS(C24-1)&lt;0.0001),"OK — både omsetning og timer er fullt fordelt på de fem segmentene","AVVIK: andelene summerer seg ikke til hundre prosent. Da er det enten omsetning eller montørtimer som ikke er fordelt")</f>
        <v/>
      </c>
    </row>
    <row r="35">
      <c r="A35" s="6" t="inlineStr">
        <is>
          <t>Stemmer segmentenes dekningsbidrag med bedriftens?</t>
        </is>
      </c>
      <c r="E35" s="23">
        <f>IF(ABS(G24-B8)&lt;1,"OK — segmentene deler bedriftens eget dekningsbidrag, verken mer eller mindre","AVVIK: summen av segmentenes dekningsbidrag er ikke lik bedriftens. Juster dekningsgraden i ett av segmentene")</f>
        <v/>
      </c>
    </row>
    <row r="36">
      <c r="A36" s="6" t="inlineStr">
        <is>
          <t>Er det høyeste dekningsgrad og mest per time i to ULIKE segmenter?</t>
        </is>
      </c>
      <c r="E36" s="23">
        <f>IF(B27&lt;&gt;B28,"OK — segmentet med høyest dekningsgrad er ikke det som gir mest per montørtime. Det er hele kapitlets poeng","AVVIK: samme segment vinner på begge mål. Da forsvinner poenget om at prosent rangerer feil når timen er knapp")</f>
        <v/>
      </c>
    </row>
    <row r="37">
      <c r="A37" s="6" t="inlineStr">
        <is>
          <t>Er det største segmentet noe annet enn det beste?</t>
        </is>
      </c>
      <c r="E37" s="23">
        <f>IF(B29&lt;&gt;B28,"OK — det mest omsetningstunge segmentet er ikke det mest lønnsomme per time","AVVIK: det største segmentet er også det beste. Da er det ingenting ubehagelig å ta stilling til")</f>
        <v/>
      </c>
    </row>
    <row r="39">
      <c r="A39" s="8" t="inlineStr">
        <is>
          <t>Prøv dette: sett dekningsgraden for huseiere ned til nivået i de andre segmentene, og se om rekkefølgen i kolonne H endrer seg. Det gjør den ikke — og det er poenget: prosenten avgjør ikke.</t>
        </is>
      </c>
    </row>
    <row r="40">
      <c r="A40" s="3" t="inlineStr">
        <is>
          <t>Kilde: Hjertnes, F.: Markedsføring, organisasjon og ledelse for LØM-emnet, 4. utg., kap. 5.1 til 5.3 og 5.7 om lønnsomhetspotensial. Knapp faktor: Bok 1 Økonomistyring kap. 7. Tallene er Nordlys Elektro AS sine egne for 2026.</t>
        </is>
      </c>
    </row>
  </sheetData>
  <conditionalFormatting sqref="E34">
    <cfRule type="expression" priority="1" dxfId="0" stopIfTrue="0">
      <formula>LEFT(E34,5)="AVVIK"</formula>
    </cfRule>
  </conditionalFormatting>
  <conditionalFormatting sqref="E35">
    <cfRule type="expression" priority="2" dxfId="0" stopIfTrue="0">
      <formula>LEFT(E35,5)="AVVIK"</formula>
    </cfRule>
  </conditionalFormatting>
  <conditionalFormatting sqref="E36">
    <cfRule type="expression" priority="3" dxfId="0" stopIfTrue="0">
      <formula>LEFT(E36,5)="AVVIK"</formula>
    </cfRule>
  </conditionalFormatting>
  <conditionalFormatting sqref="E37">
    <cfRule type="expression" priority="4" dxfId="0" stopIfTrue="0">
      <formula>LEFT(E37,5)="AVVIK"</formula>
    </cfRule>
  </conditionalFormatting>
  <printOptions horizontalCentered="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37"/>
  <sheetViews>
    <sheetView showGridLines="0" workbookViewId="0">
      <selection activeCell="A1" sqref="A1"/>
    </sheetView>
  </sheetViews>
  <sheetFormatPr baseColWidth="8" defaultRowHeight="15"/>
  <cols>
    <col width="30" customWidth="1" min="1" max="1"/>
    <col width="14" customWidth="1" min="2" max="2"/>
    <col width="16" customWidth="1" min="3" max="3"/>
    <col width="13" customWidth="1" min="4" max="4"/>
    <col width="16" customWidth="1" min="5" max="5"/>
    <col width="13" customWidth="1" min="6" max="6"/>
    <col width="19" customWidth="1" min="7" max="7"/>
    <col width="18" customWidth="1" min="8" max="8"/>
    <col width="44" customWidth="1" min="9" max="9"/>
  </cols>
  <sheetData>
    <row r="1">
      <c r="A1" s="1" t="inlineStr">
        <is>
          <t>Hva er igjen når salgsarbeidet og kreditten er betalt?</t>
        </is>
      </c>
    </row>
    <row r="2">
      <c r="A2" s="2" t="inlineStr">
        <is>
          <t>Dekningsbidraget stopper ved materiellet. Et segment koster mer enn det.</t>
        </is>
      </c>
    </row>
    <row r="4">
      <c r="A4" s="4" t="inlineStr">
        <is>
          <t>1 · Salgsarbeidet og kredittiden</t>
        </is>
      </c>
    </row>
    <row r="5" ht="28" customHeight="1">
      <c r="A5" s="9" t="inlineStr">
        <is>
          <t>Segment</t>
        </is>
      </c>
      <c r="B5" s="9" t="inlineStr">
        <is>
          <t>Tilbud
i året</t>
        </is>
      </c>
      <c r="C5" s="9" t="inlineStr">
        <is>
          <t>Kalkulatørtimer
per tilbud</t>
        </is>
      </c>
      <c r="D5" s="9" t="inlineStr">
        <is>
          <t>Salgs-
timer</t>
        </is>
      </c>
      <c r="E5" s="9" t="inlineStr">
        <is>
          <t>Salgs-
kostnad</t>
        </is>
      </c>
      <c r="F5" s="9" t="inlineStr">
        <is>
          <t>Kreditt-
dager</t>
        </is>
      </c>
      <c r="G5" s="9" t="inlineStr">
        <is>
          <t>Kapital-
binding</t>
        </is>
      </c>
      <c r="H5" s="9" t="inlineStr">
        <is>
          <t>Rente-
kostnad</t>
        </is>
      </c>
      <c r="I5" s="9" t="inlineStr">
        <is>
          <t>Hvorfor det koster det det gjør</t>
        </is>
      </c>
    </row>
    <row r="6">
      <c r="A6" s="7">
        <f>Segmenter!A19</f>
        <v/>
      </c>
      <c r="B6" s="13" t="n">
        <v>240</v>
      </c>
      <c r="C6" s="24" t="n">
        <v>1.5</v>
      </c>
      <c r="D6" s="18">
        <f>B6*C6</f>
        <v/>
      </c>
      <c r="E6" s="17">
        <f>D6*Segmenter!$B$14</f>
        <v/>
      </c>
      <c r="F6" s="13" t="n">
        <v>14</v>
      </c>
      <c r="G6" s="17">
        <f>Segmenter!E19*(1+Segmenter!$B$13)*F6/365</f>
        <v/>
      </c>
      <c r="H6" s="20">
        <f>G6*Segmenter!$B$15</f>
        <v/>
      </c>
      <c r="I6" s="6" t="inlineStr">
        <is>
          <t>Sammenlikner to–tre tilbud og spør alltid om prisen inkluderer alt.</t>
        </is>
      </c>
    </row>
    <row r="7">
      <c r="A7" s="7">
        <f>Segmenter!A20</f>
        <v/>
      </c>
      <c r="B7" s="13" t="n">
        <v>14</v>
      </c>
      <c r="C7" s="24" t="n">
        <v>26</v>
      </c>
      <c r="D7" s="18">
        <f>B7*C7</f>
        <v/>
      </c>
      <c r="E7" s="17">
        <f>D7*Segmenter!$B$14</f>
        <v/>
      </c>
      <c r="F7" s="13" t="n">
        <v>45</v>
      </c>
      <c r="G7" s="17">
        <f>Segmenter!E20*(1+Segmenter!$B$13)*F7/365</f>
        <v/>
      </c>
      <c r="H7" s="20">
        <f>G7*Segmenter!$B$15</f>
        <v/>
      </c>
      <c r="I7" s="6" t="inlineStr">
        <is>
          <t>Prisfølsom på papiret, men velger oftest den som forklarer best.</t>
        </is>
      </c>
    </row>
    <row r="8">
      <c r="A8" s="7">
        <f>Segmenter!A21</f>
        <v/>
      </c>
      <c r="B8" s="13" t="n">
        <v>36</v>
      </c>
      <c r="C8" s="24" t="n">
        <v>22</v>
      </c>
      <c r="D8" s="18">
        <f>B8*C8</f>
        <v/>
      </c>
      <c r="E8" s="17">
        <f>D8*Segmenter!$B$14</f>
        <v/>
      </c>
      <c r="F8" s="13" t="n">
        <v>85</v>
      </c>
      <c r="G8" s="17">
        <f>Segmenter!E21*(1+Segmenter!$B$13)*F8/365</f>
        <v/>
      </c>
      <c r="H8" s="20">
        <f>G8*Segmenter!$B$15</f>
        <v/>
      </c>
      <c r="I8" s="6" t="inlineStr">
        <is>
          <t>Kjøper på pris. Nordlys er én av fire på lista.</t>
        </is>
      </c>
    </row>
    <row r="9">
      <c r="A9" s="7">
        <f>Segmenter!A22</f>
        <v/>
      </c>
      <c r="B9" s="13" t="n">
        <v>22</v>
      </c>
      <c r="C9" s="24" t="n">
        <v>6</v>
      </c>
      <c r="D9" s="18">
        <f>B9*C9</f>
        <v/>
      </c>
      <c r="E9" s="17">
        <f>D9*Segmenter!$B$14</f>
        <v/>
      </c>
      <c r="F9" s="13" t="n">
        <v>30</v>
      </c>
      <c r="G9" s="17">
        <f>Segmenter!E22*(1+Segmenter!$B$13)*F9/365</f>
        <v/>
      </c>
      <c r="H9" s="20">
        <f>G9*Segmenter!$B$15</f>
        <v/>
      </c>
      <c r="I9" s="6" t="inlineStr">
        <is>
          <t>Spør sjelden om timeprisen. Spør om responstiden.</t>
        </is>
      </c>
    </row>
    <row r="10">
      <c r="A10" s="7">
        <f>Segmenter!A23</f>
        <v/>
      </c>
      <c r="B10" s="13" t="n">
        <v>4</v>
      </c>
      <c r="C10" s="24" t="n">
        <v>30</v>
      </c>
      <c r="D10" s="18">
        <f>B10*C10</f>
        <v/>
      </c>
      <c r="E10" s="17">
        <f>D10*Segmenter!$B$14</f>
        <v/>
      </c>
      <c r="F10" s="13" t="n">
        <v>90</v>
      </c>
      <c r="G10" s="17">
        <f>Segmenter!E23*(1+Segmenter!$B$13)*F10/365</f>
        <v/>
      </c>
      <c r="H10" s="20">
        <f>G10*Segmenter!$B$15</f>
        <v/>
      </c>
      <c r="I10" s="6" t="inlineStr">
        <is>
          <t>Prisen er bundet i avtalen i fire år. Ingen forhandling underveis.</t>
        </is>
      </c>
    </row>
    <row r="11">
      <c r="A11" s="8" t="inlineStr">
        <is>
          <t>SUM</t>
        </is>
      </c>
      <c r="B11" s="22">
        <f>SUM(B6:B10)</f>
        <v/>
      </c>
      <c r="D11" s="22">
        <f>SUM(D6:D10)</f>
        <v/>
      </c>
      <c r="E11" s="11">
        <f>SUM(E6:E10)</f>
        <v/>
      </c>
      <c r="G11" s="11">
        <f>SUM(G6:G10)</f>
        <v/>
      </c>
      <c r="H11" s="11">
        <f>SUM(H6:H10)</f>
        <v/>
      </c>
    </row>
    <row r="12">
      <c r="A12" s="6" t="inlineStr">
        <is>
          <t>Salgstimene i årsverk</t>
        </is>
      </c>
      <c r="D12" s="18">
        <f>D11/1695</f>
        <v/>
      </c>
      <c r="I12" s="6" t="inlineStr">
        <is>
          <t>Så stor del av et årsverk går til å skrive tilbud.</t>
        </is>
      </c>
    </row>
    <row r="14">
      <c r="A14" s="4" t="inlineStr">
        <is>
          <t>2 · Kundelønnsomheten</t>
        </is>
      </c>
    </row>
    <row r="15" ht="28" customHeight="1">
      <c r="A15" s="9" t="inlineStr">
        <is>
          <t>Segment</t>
        </is>
      </c>
      <c r="B15" s="9" t="inlineStr">
        <is>
          <t>Deknings-
bidrag</t>
        </is>
      </c>
      <c r="C15" s="9" t="inlineStr">
        <is>
          <t>− salgs-
kostnad</t>
        </is>
      </c>
      <c r="D15" s="9" t="inlineStr">
        <is>
          <t>− rente-
kostnad</t>
        </is>
      </c>
      <c r="E15" s="9" t="inlineStr">
        <is>
          <t>Kunde-
lønnsomhet</t>
        </is>
      </c>
      <c r="F15" s="9" t="inlineStr">
        <is>
          <t>Per montør-
time</t>
        </is>
      </c>
      <c r="G15" s="9" t="inlineStr">
        <is>
          <t>Andel av
dekningsbidraget</t>
        </is>
      </c>
      <c r="H15" s="9" t="inlineStr">
        <is>
          <t>Plass før
og etter</t>
        </is>
      </c>
      <c r="I15" s="9" t="inlineStr">
        <is>
          <t>Hva som skjedde</t>
        </is>
      </c>
    </row>
    <row r="16">
      <c r="A16" s="7">
        <f>Segmenter!A19</f>
        <v/>
      </c>
      <c r="B16" s="17">
        <f>Segmenter!G19</f>
        <v/>
      </c>
      <c r="C16" s="17">
        <f>-E6</f>
        <v/>
      </c>
      <c r="D16" s="20">
        <f>-H6</f>
        <v/>
      </c>
      <c r="E16" s="11">
        <f>B16+C16+D16</f>
        <v/>
      </c>
      <c r="F16" s="19">
        <f>IF(Segmenter!F19=0,0,E16/Segmenter!F19)</f>
        <v/>
      </c>
      <c r="G16" s="12">
        <f>IF(B16=0,0,E16/B16)</f>
        <v/>
      </c>
      <c r="H16" s="23">
        <f>RANK(Segmenter!H19,Segmenter!$H$19:$H$23,0)&amp;" → "&amp;RANK(F16,$F$16:$F$20,0)</f>
        <v/>
      </c>
      <c r="I16" s="7">
        <f>IF(RANK(Segmenter!H19,Segmenter!$H$19:$H$23,0)=RANK(F16,$F$16:$F$20,0),"Samme plass",IF(RANK(F16,$F$16:$F$20,0)&lt;RANK(Segmenter!H19,Segmenter!$H$19:$H$23,0),"Opp — segmentet er billigere å selge til enn tabellen over viser","Ned — salgsarbeidet eller kredittiden spiser mer enn i de andre"))</f>
        <v/>
      </c>
    </row>
    <row r="17">
      <c r="A17" s="7">
        <f>Segmenter!A20</f>
        <v/>
      </c>
      <c r="B17" s="17">
        <f>Segmenter!G20</f>
        <v/>
      </c>
      <c r="C17" s="17">
        <f>-E7</f>
        <v/>
      </c>
      <c r="D17" s="20">
        <f>-H7</f>
        <v/>
      </c>
      <c r="E17" s="11">
        <f>B17+C17+D17</f>
        <v/>
      </c>
      <c r="F17" s="19">
        <f>IF(Segmenter!F20=0,0,E17/Segmenter!F20)</f>
        <v/>
      </c>
      <c r="G17" s="12">
        <f>IF(B17=0,0,E17/B17)</f>
        <v/>
      </c>
      <c r="H17" s="23">
        <f>RANK(Segmenter!H20,Segmenter!$H$19:$H$23,0)&amp;" → "&amp;RANK(F17,$F$16:$F$20,0)</f>
        <v/>
      </c>
      <c r="I17" s="7">
        <f>IF(RANK(Segmenter!H20,Segmenter!$H$19:$H$23,0)=RANK(F17,$F$16:$F$20,0),"Samme plass",IF(RANK(F17,$F$16:$F$20,0)&lt;RANK(Segmenter!H20,Segmenter!$H$19:$H$23,0),"Opp — segmentet er billigere å selge til enn tabellen over viser","Ned — salgsarbeidet eller kredittiden spiser mer enn i de andre"))</f>
        <v/>
      </c>
    </row>
    <row r="18">
      <c r="A18" s="7">
        <f>Segmenter!A21</f>
        <v/>
      </c>
      <c r="B18" s="17">
        <f>Segmenter!G21</f>
        <v/>
      </c>
      <c r="C18" s="17">
        <f>-E8</f>
        <v/>
      </c>
      <c r="D18" s="20">
        <f>-H8</f>
        <v/>
      </c>
      <c r="E18" s="11">
        <f>B18+C18+D18</f>
        <v/>
      </c>
      <c r="F18" s="19">
        <f>IF(Segmenter!F21=0,0,E18/Segmenter!F21)</f>
        <v/>
      </c>
      <c r="G18" s="12">
        <f>IF(B18=0,0,E18/B18)</f>
        <v/>
      </c>
      <c r="H18" s="23">
        <f>RANK(Segmenter!H21,Segmenter!$H$19:$H$23,0)&amp;" → "&amp;RANK(F18,$F$16:$F$20,0)</f>
        <v/>
      </c>
      <c r="I18" s="7">
        <f>IF(RANK(Segmenter!H21,Segmenter!$H$19:$H$23,0)=RANK(F18,$F$16:$F$20,0),"Samme plass",IF(RANK(F18,$F$16:$F$20,0)&lt;RANK(Segmenter!H21,Segmenter!$H$19:$H$23,0),"Opp — segmentet er billigere å selge til enn tabellen over viser","Ned — salgsarbeidet eller kredittiden spiser mer enn i de andre"))</f>
        <v/>
      </c>
    </row>
    <row r="19">
      <c r="A19" s="7">
        <f>Segmenter!A22</f>
        <v/>
      </c>
      <c r="B19" s="17">
        <f>Segmenter!G22</f>
        <v/>
      </c>
      <c r="C19" s="17">
        <f>-E9</f>
        <v/>
      </c>
      <c r="D19" s="20">
        <f>-H9</f>
        <v/>
      </c>
      <c r="E19" s="11">
        <f>B19+C19+D19</f>
        <v/>
      </c>
      <c r="F19" s="19">
        <f>IF(Segmenter!F22=0,0,E19/Segmenter!F22)</f>
        <v/>
      </c>
      <c r="G19" s="12">
        <f>IF(B19=0,0,E19/B19)</f>
        <v/>
      </c>
      <c r="H19" s="23">
        <f>RANK(Segmenter!H22,Segmenter!$H$19:$H$23,0)&amp;" → "&amp;RANK(F19,$F$16:$F$20,0)</f>
        <v/>
      </c>
      <c r="I19" s="7">
        <f>IF(RANK(Segmenter!H22,Segmenter!$H$19:$H$23,0)=RANK(F19,$F$16:$F$20,0),"Samme plass",IF(RANK(F19,$F$16:$F$20,0)&lt;RANK(Segmenter!H22,Segmenter!$H$19:$H$23,0),"Opp — segmentet er billigere å selge til enn tabellen over viser","Ned — salgsarbeidet eller kredittiden spiser mer enn i de andre"))</f>
        <v/>
      </c>
    </row>
    <row r="20">
      <c r="A20" s="7">
        <f>Segmenter!A23</f>
        <v/>
      </c>
      <c r="B20" s="17">
        <f>Segmenter!G23</f>
        <v/>
      </c>
      <c r="C20" s="17">
        <f>-E10</f>
        <v/>
      </c>
      <c r="D20" s="20">
        <f>-H10</f>
        <v/>
      </c>
      <c r="E20" s="11">
        <f>B20+C20+D20</f>
        <v/>
      </c>
      <c r="F20" s="19">
        <f>IF(Segmenter!F23=0,0,E20/Segmenter!F23)</f>
        <v/>
      </c>
      <c r="G20" s="12">
        <f>IF(B20=0,0,E20/B20)</f>
        <v/>
      </c>
      <c r="H20" s="23">
        <f>RANK(Segmenter!H23,Segmenter!$H$19:$H$23,0)&amp;" → "&amp;RANK(F20,$F$16:$F$20,0)</f>
        <v/>
      </c>
      <c r="I20" s="7">
        <f>IF(RANK(Segmenter!H23,Segmenter!$H$19:$H$23,0)=RANK(F20,$F$16:$F$20,0),"Samme plass",IF(RANK(F20,$F$16:$F$20,0)&lt;RANK(Segmenter!H23,Segmenter!$H$19:$H$23,0),"Opp — segmentet er billigere å selge til enn tabellen over viser","Ned — salgsarbeidet eller kredittiden spiser mer enn i de andre"))</f>
        <v/>
      </c>
    </row>
    <row r="21">
      <c r="A21" s="8" t="inlineStr">
        <is>
          <t>SUM</t>
        </is>
      </c>
      <c r="B21" s="11">
        <f>SUM(B16:B20)</f>
        <v/>
      </c>
      <c r="C21" s="11">
        <f>SUM(C16:C20)</f>
        <v/>
      </c>
      <c r="D21" s="11">
        <f>SUM(D16:D20)</f>
        <v/>
      </c>
      <c r="E21" s="11">
        <f>SUM(E16:E20)</f>
        <v/>
      </c>
      <c r="F21" s="19">
        <f>E21/Segmenter!F24</f>
        <v/>
      </c>
      <c r="G21" s="12">
        <f>E21/B21</f>
        <v/>
      </c>
    </row>
    <row r="23">
      <c r="A23" s="4" t="inlineStr">
        <is>
          <t>3 · Rangeringen, før og etter</t>
        </is>
      </c>
    </row>
    <row r="24">
      <c r="A24" s="6" t="inlineStr">
        <is>
          <t>Best per montørtime etter salgskostnad og rente</t>
        </is>
      </c>
      <c r="B24" s="23">
        <f>INDEX($A$16:$A$20,MATCH(MAX($F$16:$F$20),$F$16:$F$20,0))</f>
        <v/>
      </c>
      <c r="F24" s="20">
        <f>MAX($F$16:$F$20)</f>
        <v/>
      </c>
    </row>
    <row r="25">
      <c r="A25" s="6" t="inlineStr">
        <is>
          <t>Svakest per montørtime etter salgskostnad og rente</t>
        </is>
      </c>
      <c r="B25" s="23">
        <f>INDEX($A$16:$A$20,MATCH(MIN($F$16:$F$20),$F$16:$F$20,0))</f>
        <v/>
      </c>
      <c r="F25" s="20">
        <f>MIN($F$16:$F$20)</f>
        <v/>
      </c>
    </row>
    <row r="26">
      <c r="A26" s="6" t="inlineStr">
        <is>
          <t>Spredning, beste mot svakeste</t>
        </is>
      </c>
      <c r="F26" s="18">
        <f>MAX($F$16:$F$20)/MIN($F$16:$F$20)</f>
        <v/>
      </c>
      <c r="I26" s="6" t="inlineStr">
        <is>
          <t>Sammenlikn med spredningen i arket Segmenter. Den er større her.</t>
        </is>
      </c>
    </row>
    <row r="27">
      <c r="A27" s="6" t="inlineStr">
        <is>
          <t>Antall segmenter som bytter plass</t>
        </is>
      </c>
      <c r="F27" s="25">
        <f>SUMPRODUCT(--(I16:I20&lt;&gt;"Samme plass"))</f>
        <v/>
      </c>
    </row>
    <row r="29">
      <c r="A29" s="4" t="inlineStr">
        <is>
          <t>Kontroll</t>
        </is>
      </c>
    </row>
    <row r="30">
      <c r="A30" s="6" t="inlineStr">
        <is>
          <t>Går regnestykket opp mot dekningsbidraget?</t>
        </is>
      </c>
      <c r="E30" s="23">
        <f>IF(ABS(B21+C21+D21-E21)&lt;1,"OK — dekningsbidrag minus salgskostnad og rente er lik kundelønnsomheten","AVVIK: linjene summerer seg ikke til kundelønnsomheten")</f>
        <v/>
      </c>
    </row>
    <row r="31">
      <c r="A31" s="6" t="inlineStr">
        <is>
          <t>Stemmer kapitalbindingen med kundefordringene i balansen?</t>
        </is>
      </c>
      <c r="E31" s="23">
        <f>IF(ABS(G11-4200000)/4200000&lt;0.05,"OK — den kapitalen segmentene binder, stemmer med kundefordringene i balansen til Nordlys","AVVIK: kredittdagene stemmer ikke med balansen. Enten er betalingstiden feil, eller så mangler et segment")</f>
        <v/>
      </c>
    </row>
    <row r="32">
      <c r="A32" s="6" t="inlineStr">
        <is>
          <t>Beholder alle segmentene noe av dekningsbidraget?</t>
        </is>
      </c>
      <c r="E32" s="23">
        <f>IF(MIN($G$16:$G$20)&gt;0,"OK — alle fem segmentene gir positivt bidrag etter salgsarbeid og kreditt","AVVIK: minst ett segment går i minus. Da er det ikke lenger et segment å diskutere, men et som skal avvikles")</f>
        <v/>
      </c>
    </row>
    <row r="33">
      <c r="A33" s="6" t="inlineStr">
        <is>
          <t>Bytter noen segmenter plass?</t>
        </is>
      </c>
      <c r="E33" s="23">
        <f>IF(F27&gt;0,"OK — rangeringen endrer seg når salgsarbeidet og kreditten regnes med. Det er hele grunnen til at dette arket finnes","AVVIK: ingen segmenter bytter plass. Da holder det med tabellen i arket Segmenter")</f>
        <v/>
      </c>
    </row>
    <row r="34">
      <c r="A34" s="6" t="inlineStr">
        <is>
          <t>Er tilbudsarbeidet mulig for én kalkulatør?</t>
        </is>
      </c>
      <c r="E34" s="23">
        <f>IF(D12&lt;1.3,"OK — tilbudsarbeidet får plass innenfor drøyt ett årsverk","AVVIK: tilbudsarbeidet krever mer enn ett og et kvart årsverk. Da må noen ansettes, eller så må bedriften gi færre tilbud")</f>
        <v/>
      </c>
    </row>
    <row r="36">
      <c r="A36" s="8" t="inlineStr">
        <is>
          <t>Prøv dette: sett kredittdagene for entreprenørene ned til tretti, og se hvor mye kundelønnsomheten stiger. Det er en forhandling, ikke en prisøkning.</t>
        </is>
      </c>
    </row>
    <row r="37">
      <c r="A37" s="3" t="inlineStr">
        <is>
          <t>Kilde: Hjertnes kap. 5.7 om lønnsomhetspotensial. Salgskostnaden og kredittiden er ikke lærebokas begreper, men en utvidelse: læreboka sier at segmentet må vurderes på lønnsomhet, og dette er hvordan man gjør det i en installasjonsbedrift. Kapitalbindingen henger sammen med kundefordringene i Bok 1 Økonomistyring kap. 3 og 4.</t>
        </is>
      </c>
    </row>
  </sheetData>
  <conditionalFormatting sqref="E30">
    <cfRule type="expression" priority="1" dxfId="0" stopIfTrue="0">
      <formula>LEFT(E30,5)="AVVIK"</formula>
    </cfRule>
  </conditionalFormatting>
  <conditionalFormatting sqref="E31">
    <cfRule type="expression" priority="2" dxfId="0" stopIfTrue="0">
      <formula>LEFT(E31,5)="AVVIK"</formula>
    </cfRule>
  </conditionalFormatting>
  <conditionalFormatting sqref="E32">
    <cfRule type="expression" priority="3" dxfId="0" stopIfTrue="0">
      <formula>LEFT(E32,5)="AVVIK"</formula>
    </cfRule>
  </conditionalFormatting>
  <conditionalFormatting sqref="E33">
    <cfRule type="expression" priority="4" dxfId="0" stopIfTrue="0">
      <formula>LEFT(E33,5)="AVVIK"</formula>
    </cfRule>
  </conditionalFormatting>
  <conditionalFormatting sqref="E34">
    <cfRule type="expression" priority="5" dxfId="0" stopIfTrue="0">
      <formula>LEFT(E34,5)="AVVIK"</formula>
    </cfRule>
  </conditionalFormatting>
  <printOptions horizontalCentered="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E63"/>
  <sheetViews>
    <sheetView showGridLines="0" workbookViewId="0">
      <selection activeCell="A1" sqref="A1"/>
    </sheetView>
  </sheetViews>
  <sheetFormatPr baseColWidth="8" defaultRowHeight="15"/>
  <cols>
    <col width="46" customWidth="1" min="1" max="1"/>
    <col width="30" customWidth="1" min="2" max="2"/>
    <col width="18" customWidth="1" min="3" max="3"/>
    <col width="18" customWidth="1" min="4" max="4"/>
    <col width="52" customWidth="1" min="5" max="5"/>
  </cols>
  <sheetData>
    <row r="1">
      <c r="A1" s="1" t="inlineStr">
        <is>
          <t>Tre scenarioer</t>
        </is>
      </c>
    </row>
    <row r="2">
      <c r="A2" s="2" t="inlineStr">
        <is>
          <t>Endre de gule cellene og se hva som skjer. Alle tall hentes fra de andre arkene.</t>
        </is>
      </c>
    </row>
    <row r="4">
      <c r="A4" s="4" t="inlineStr">
        <is>
          <t>Scenario A · flytt timer fra det svakeste til det beste segmentet</t>
        </is>
      </c>
    </row>
    <row r="5">
      <c r="A5" s="3" t="inlineStr">
        <is>
          <t>Montørtimen er den knappe faktoren. Å flytte den er den eneste beslutningen som ikke koster penger.</t>
        </is>
      </c>
    </row>
    <row r="7">
      <c r="A7" s="6" t="inlineStr">
        <is>
          <t>Timer som flyttes</t>
        </is>
      </c>
      <c r="B7" s="13" t="n">
        <v>500</v>
      </c>
      <c r="E7" s="6" t="inlineStr">
        <is>
          <t>Endre denne. Fem hundre timer er omtrent en tredel av et montørår.</t>
        </is>
      </c>
    </row>
    <row r="8">
      <c r="A8" s="6" t="inlineStr">
        <is>
          <t>Svakeste segment</t>
        </is>
      </c>
      <c r="B8" s="23">
        <f>Kundelønnsomhet!B25</f>
        <v/>
      </c>
      <c r="C8" s="20">
        <f>Kundelønnsomhet!F25</f>
        <v/>
      </c>
    </row>
    <row r="9">
      <c r="A9" s="6" t="inlineStr">
        <is>
          <t>Beste segment</t>
        </is>
      </c>
      <c r="B9" s="23">
        <f>Kundelønnsomhet!B24</f>
        <v/>
      </c>
      <c r="C9" s="20">
        <f>Kundelønnsomhet!F24</f>
        <v/>
      </c>
    </row>
    <row r="10">
      <c r="A10" s="6" t="inlineStr">
        <is>
          <t>Forskjell per montørtime</t>
        </is>
      </c>
      <c r="C10" s="20">
        <f>C9-C8</f>
        <v/>
      </c>
    </row>
    <row r="11">
      <c r="A11" s="8" t="inlineStr">
        <is>
          <t>= Hva flyttingen er verdt på ett år</t>
        </is>
      </c>
      <c r="B11" s="11">
        <f>B7*C10</f>
        <v/>
      </c>
      <c r="E11" s="6" t="inlineStr">
        <is>
          <t>Ingen prisøkning, ingen ansettelse. Bare andre kunder.</t>
        </is>
      </c>
    </row>
    <row r="12">
      <c r="A12" s="6" t="inlineStr">
        <is>
          <t>I prosent av driftsresultatet</t>
        </is>
      </c>
      <c r="B12" s="12">
        <f>B11/Segmenter!$B$12</f>
        <v/>
      </c>
    </row>
    <row r="13">
      <c r="A13" s="6" t="inlineStr">
        <is>
          <t>Timer i det svakeste segmentet i dag</t>
        </is>
      </c>
      <c r="B13" s="18">
        <f>INDEX(Segmenter!$F$19:$F$23,MATCH(B8,Segmenter!$A$19:$A$23,0))</f>
        <v/>
      </c>
    </row>
    <row r="14">
      <c r="A14" s="6" t="inlineStr">
        <is>
          <t>Andel av det svakeste segmentet som må bort</t>
        </is>
      </c>
      <c r="B14" s="12">
        <f>B7/B13</f>
        <v/>
      </c>
      <c r="E14" s="6" t="inlineStr">
        <is>
          <t>Så stor del av segmentet må sies nei til. Er tallet lite, er beslutningen lett. Er det stort, er det en omlegging.</t>
        </is>
      </c>
    </row>
    <row r="16">
      <c r="A16" s="4" t="inlineStr">
        <is>
          <t>Kontroll</t>
        </is>
      </c>
    </row>
    <row r="17">
      <c r="A17" s="6" t="inlineStr">
        <is>
          <t>Er flyttingen mulig?</t>
        </is>
      </c>
      <c r="B17" s="23">
        <f>IF(B7&lt;=B13,"OK — det er nok timer i det svakeste segmentet til å flytte så mange","AVVIK: du flytter flere timer enn det finnes i segmentet. Da må du ta timer fra et annet segment også")</f>
        <v/>
      </c>
    </row>
    <row r="18">
      <c r="A18" s="6" t="inlineStr">
        <is>
          <t>Gir flyttingen gevinst?</t>
        </is>
      </c>
      <c r="B18" s="23">
        <f>IF(B11&gt;0,"OK — det beste segmentet gir mer per time enn det svakeste","AVVIK: flyttingen gir ingen gevinst. Sjekk rangeringen i arket Kundelønnsomhet")</f>
        <v/>
      </c>
    </row>
    <row r="21">
      <c r="A21" s="4" t="inlineStr">
        <is>
          <t>Scenario B · kredittiden er en forhandling, ikke en prisøkning</t>
        </is>
      </c>
    </row>
    <row r="22">
      <c r="A22" s="3" t="inlineStr">
        <is>
          <t>Å få en kunde ned fra åtti til tretti dagers kreditt koster ingenting i pris. Se hva det er verdt.</t>
        </is>
      </c>
    </row>
    <row r="24" ht="28" customHeight="1">
      <c r="A24" s="9" t="inlineStr"/>
      <c r="B24" s="9" t="inlineStr">
        <is>
          <t>I dag</t>
        </is>
      </c>
      <c r="C24" s="9" t="inlineStr">
        <is>
          <t>Forhandlet</t>
        </is>
      </c>
      <c r="D24" s="9" t="inlineStr">
        <is>
          <t>Endring</t>
        </is>
      </c>
      <c r="E24" s="9" t="inlineStr">
        <is>
          <t>Hva raden betyr</t>
        </is>
      </c>
    </row>
    <row r="25">
      <c r="A25" s="8" t="inlineStr">
        <is>
          <t>Segment</t>
        </is>
      </c>
      <c r="B25" s="5" t="inlineStr">
        <is>
          <t>Entreprenører og byggmestere</t>
        </is>
      </c>
      <c r="E25" s="6" t="inlineStr">
        <is>
          <t>Skriv navnet på segmentet nøyaktig slik det står i arket Segmenter.</t>
        </is>
      </c>
    </row>
    <row r="26">
      <c r="A26" s="6" t="inlineStr">
        <is>
          <t>Kredittdager</t>
        </is>
      </c>
      <c r="B26" s="25">
        <f>INDEX(Kundelønnsomhet!$F$6:$F$10,MATCH(B25,Kundelønnsomhet!$A$6:$A$10,0))</f>
        <v/>
      </c>
      <c r="C26" s="13" t="n">
        <v>30</v>
      </c>
      <c r="D26" s="25">
        <f>C26-B26</f>
        <v/>
      </c>
    </row>
    <row r="27">
      <c r="A27" s="6" t="inlineStr">
        <is>
          <t>Omsetning i segmentet</t>
        </is>
      </c>
      <c r="B27" s="17">
        <f>INDEX(Segmenter!$E$19:$E$23,MATCH(B25,Segmenter!$A$19:$A$23,0))</f>
        <v/>
      </c>
      <c r="C27" s="17">
        <f>B27</f>
        <v/>
      </c>
      <c r="E27" s="6" t="inlineStr">
        <is>
          <t>Uendret. Forhandlingen gjelder betalingstiden, ikke prisen.</t>
        </is>
      </c>
    </row>
    <row r="28">
      <c r="A28" s="6" t="inlineStr">
        <is>
          <t>Kapitalbinding</t>
        </is>
      </c>
      <c r="B28" s="17">
        <f>B27*(1+Segmenter!$B$13)*B26/365</f>
        <v/>
      </c>
      <c r="C28" s="17">
        <f>C27*(1+Segmenter!$B$13)*C26/365</f>
        <v/>
      </c>
      <c r="D28" s="17">
        <f>C28-B28</f>
        <v/>
      </c>
    </row>
    <row r="29">
      <c r="A29" s="6" t="inlineStr">
        <is>
          <t>Rentekostnad</t>
        </is>
      </c>
      <c r="B29" s="20">
        <f>B28*Segmenter!$B$15</f>
        <v/>
      </c>
      <c r="C29" s="20">
        <f>C28*Segmenter!$B$15</f>
        <v/>
      </c>
      <c r="D29" s="20">
        <f>C29-B29</f>
        <v/>
      </c>
    </row>
    <row r="30">
      <c r="A30" s="8" t="inlineStr">
        <is>
          <t>= Spart i året</t>
        </is>
      </c>
      <c r="B30" s="11">
        <f>B29-C29</f>
        <v/>
      </c>
      <c r="E30" s="6" t="inlineStr">
        <is>
          <t>Lite i kroner, men det er penger bedriften ikke måtte selge for å få.</t>
        </is>
      </c>
    </row>
    <row r="31">
      <c r="A31" s="6" t="inlineStr">
        <is>
          <t>Frigjort kapital</t>
        </is>
      </c>
      <c r="B31" s="11">
        <f>B28-C28</f>
        <v/>
      </c>
      <c r="E31" s="6" t="inlineStr">
        <is>
          <t>Dette er det store tallet: kapital som slutter å ligge i kundefordringer, og som kan brukes til å forskuttere materiell.</t>
        </is>
      </c>
    </row>
    <row r="32">
      <c r="A32" s="6" t="inlineStr">
        <is>
          <t>Frigjort kapital i prosent av bankinnskuddet</t>
        </is>
      </c>
      <c r="B32" s="12">
        <f>B31/1000000</f>
        <v/>
      </c>
    </row>
    <row r="34">
      <c r="A34" s="4" t="inlineStr">
        <is>
          <t>Kontroll</t>
        </is>
      </c>
    </row>
    <row r="35">
      <c r="A35" s="6" t="inlineStr">
        <is>
          <t>Finnes segmentet?</t>
        </is>
      </c>
      <c r="B35" s="23">
        <f>IF(ISNUMBER(MATCH(B25,Segmenter!$A$19:$A$23,0)),"OK — segmentet finnes i arket Segmenter","AVVIK: fant ikke segmentet. Skriv navnet nøyaktig slik det står i kolonne A i arket Segmenter")</f>
        <v/>
      </c>
    </row>
    <row r="36">
      <c r="A36" s="6" t="inlineStr">
        <is>
          <t>Frigjør kortere kredittid kapital?</t>
        </is>
      </c>
      <c r="B36" s="23">
        <f>IF(C26&lt;B26,IF(B31&gt;0,"OK — kortere kredittid frigjør kapital","AVVIK: kortere kredittid skal frigjøre kapital"),"OK — du har satt kredittiden opp, ikke ned. Da binder du mer kapital, og tallene er negative")</f>
        <v/>
      </c>
    </row>
    <row r="39">
      <c r="A39" s="4" t="inlineStr">
        <is>
          <t>Scenario C · si nei til ett segment</t>
        </is>
      </c>
    </row>
    <row r="40">
      <c r="A40" s="3" t="inlineStr">
        <is>
          <t>Å si nei koster timer du må fylle med noe annet. Her ser du hva det koster, og hva som må til for å fylle timene.</t>
        </is>
      </c>
    </row>
    <row r="42">
      <c r="A42" s="6" t="inlineStr">
        <is>
          <t>Segmentet du sier nei til</t>
        </is>
      </c>
      <c r="B42" s="5" t="inlineStr">
        <is>
          <t>Entreprenører og byggmestere</t>
        </is>
      </c>
    </row>
    <row r="43">
      <c r="A43" s="6" t="inlineStr">
        <is>
          <t>Segmentet timene skal flyttes til</t>
        </is>
      </c>
      <c r="B43" s="5" t="inlineStr">
        <is>
          <t>Næringsbygg og eiendomsdrift</t>
        </is>
      </c>
      <c r="E43" s="6" t="inlineStr">
        <is>
          <t>Begge navnene må stå nøyaktig slik de står i arket Segmenter.</t>
        </is>
      </c>
    </row>
    <row r="44">
      <c r="A44" s="6" t="inlineStr">
        <is>
          <t>Omsetning som forsvinner</t>
        </is>
      </c>
      <c r="B44" s="11">
        <f>INDEX(Segmenter!$E$19:$E$23,MATCH(B42,Segmenter!$A$19:$A$23,0))</f>
        <v/>
      </c>
    </row>
    <row r="45">
      <c r="A45" s="6" t="inlineStr">
        <is>
          <t>Kundelønnsomhet som forsvinner</t>
        </is>
      </c>
      <c r="B45" s="11">
        <f>INDEX(Kundelønnsomhet!$E$16:$E$20,MATCH(B42,Kundelønnsomhet!$A$16:$A$20,0))</f>
        <v/>
      </c>
    </row>
    <row r="46">
      <c r="A46" s="6" t="inlineStr">
        <is>
          <t>Montørtimer som blir ledige</t>
        </is>
      </c>
      <c r="B46" s="22">
        <f>INDEX(Segmenter!$F$19:$F$23,MATCH(B42,Segmenter!$A$19:$A$23,0))</f>
        <v/>
      </c>
    </row>
    <row r="47">
      <c r="A47" s="6" t="inlineStr">
        <is>
          <t>Kundelønnsomhet per time i segmentet timene flyttes til</t>
        </is>
      </c>
      <c r="B47" s="20">
        <f>INDEX(Kundelønnsomhet!$F$16:$F$20,MATCH(B43,Kundelønnsomhet!$A$16:$A$20,0))</f>
        <v/>
      </c>
    </row>
    <row r="48">
      <c r="A48" s="8" t="inlineStr">
        <is>
          <t>= Kundelønnsomhet hvis timene fylles der</t>
        </is>
      </c>
      <c r="B48" s="11">
        <f>B46*B47</f>
        <v/>
      </c>
    </row>
    <row r="49">
      <c r="A49" s="8" t="inlineStr">
        <is>
          <t>= Gevinst ved byttet</t>
        </is>
      </c>
      <c r="B49" s="11">
        <f>B48-B45</f>
        <v/>
      </c>
      <c r="E49" s="6" t="inlineStr">
        <is>
          <t>Positivt tall betyr at byttet lønner seg — HVIS timene lar seg fylle.</t>
        </is>
      </c>
    </row>
    <row r="51">
      <c r="A51" s="4" t="inlineStr">
        <is>
          <t>Men lar timene seg fylle?</t>
        </is>
      </c>
    </row>
    <row r="52">
      <c r="A52" s="6" t="inlineStr">
        <is>
          <t>Timer per oppdrag i segmentet timene flyttes til</t>
        </is>
      </c>
      <c r="B52" s="13" t="n">
        <v>6</v>
      </c>
      <c r="E52" s="6" t="inlineStr">
        <is>
          <t>Et serviceoppdrag på et næringsbygg tar seks timer.</t>
        </is>
      </c>
    </row>
    <row r="53">
      <c r="A53" s="8" t="inlineStr">
        <is>
          <t>= Oppdrag som må skaffes</t>
        </is>
      </c>
      <c r="B53" s="26">
        <f>B46/B52</f>
        <v/>
      </c>
    </row>
    <row r="54">
      <c r="A54" s="6" t="inlineStr">
        <is>
          <t>Oppdrag avdelingen har i dag</t>
        </is>
      </c>
      <c r="B54" s="13" t="n">
        <v>210</v>
      </c>
    </row>
    <row r="55">
      <c r="A55" s="8" t="inlineStr">
        <is>
          <t>= Hvor mange ganger så mange</t>
        </is>
      </c>
      <c r="B55" s="22">
        <f>B53/B54</f>
        <v/>
      </c>
      <c r="E55" s="6" t="inlineStr">
        <is>
          <t>Dette er kravet om at segmentet må være STORT NOK. Finnes ikke oppdragene i markedet, er gevinsten over bare et regnestykke.</t>
        </is>
      </c>
    </row>
    <row r="56">
      <c r="A56" s="6" t="inlineStr">
        <is>
          <t>Dom</t>
        </is>
      </c>
      <c r="E56" s="27">
        <f>IF(B49&lt;=0,"Byttet lønner seg ikke — segmentet du sier nei til gir mer per time",IF(B55&gt;2,"Byttet lønner seg PÅ PAPIRET, men krever at segmentet mer enn dobles. Sjekk om oppdragene finnes i markedet før du sier nei til noe","Byttet lønner seg, og volumet er innenfor rekkevidde"))</f>
        <v/>
      </c>
    </row>
    <row r="58">
      <c r="A58" s="4" t="inlineStr">
        <is>
          <t>Kontroll</t>
        </is>
      </c>
    </row>
    <row r="59">
      <c r="A59" s="6" t="inlineStr">
        <is>
          <t>Finnes begge segmentene?</t>
        </is>
      </c>
      <c r="B59" s="23">
        <f>IF(AND(ISNUMBER(MATCH(B42,Segmenter!$A$19:$A$23,0)),ISNUMBER(MATCH(B43,Segmenter!$A$19:$A$23,0))),"OK — begge segmentene finnes","AVVIK: fant ikke ett av segmentene. Skriv navnene nøyaktig slik de står i arket Segmenter")</f>
        <v/>
      </c>
    </row>
    <row r="60">
      <c r="A60" s="6" t="inlineStr">
        <is>
          <t>Er de to segmentene forskjellige?</t>
        </is>
      </c>
      <c r="B60" s="23">
        <f>IF(B42&lt;&gt;B43,"OK — du flytter timene til et annet segment","AVVIK: du flytter timene til det samme segmentet du sa nei til")</f>
        <v/>
      </c>
    </row>
    <row r="61">
      <c r="A61" s="6" t="inlineStr">
        <is>
          <t>Hva som SKAL stå her med tallene som ligger inne</t>
        </is>
      </c>
      <c r="B61" s="23">
        <f>IF(B55&gt;2,"OK — byttet krever at segmentet mer enn dobles. Det er nettopp derfor svaret ikke er å kutte alt som gir minst per time","AVVIK: byttet krever ikke at segmentet vokser vesentlig. Da mangler kravet om segmentstørrelse sin skranke")</f>
        <v/>
      </c>
    </row>
    <row r="63">
      <c r="A63" s="3" t="inlineStr">
        <is>
          <t>Kilde: Hjertnes kap. 5.7 om segmentets størrelse og lønnsomhetspotensial og kap. 5.8 om målgruppestrategiene. Serviceoppdragets størrelse er Nordlys' egen, fra Bok 1 Økonomistyring kap. 8.</t>
        </is>
      </c>
    </row>
  </sheetData>
  <conditionalFormatting sqref="B17">
    <cfRule type="expression" priority="1" dxfId="0" stopIfTrue="0">
      <formula>LEFT(B17,5)="AVVIK"</formula>
    </cfRule>
  </conditionalFormatting>
  <conditionalFormatting sqref="B18">
    <cfRule type="expression" priority="2" dxfId="0" stopIfTrue="0">
      <formula>LEFT(B18,5)="AVVIK"</formula>
    </cfRule>
  </conditionalFormatting>
  <conditionalFormatting sqref="B35">
    <cfRule type="expression" priority="3" dxfId="0" stopIfTrue="0">
      <formula>LEFT(B35,5)="AVVIK"</formula>
    </cfRule>
  </conditionalFormatting>
  <conditionalFormatting sqref="B36">
    <cfRule type="expression" priority="4" dxfId="0" stopIfTrue="0">
      <formula>LEFT(B36,5)="AVVIK"</formula>
    </cfRule>
  </conditionalFormatting>
  <conditionalFormatting sqref="B59">
    <cfRule type="expression" priority="5" dxfId="0" stopIfTrue="0">
      <formula>LEFT(B59,5)="AVVIK"</formula>
    </cfRule>
  </conditionalFormatting>
  <conditionalFormatting sqref="B60">
    <cfRule type="expression" priority="6" dxfId="0" stopIfTrue="0">
      <formula>LEFT(B60,5)="AVVIK"</formula>
    </cfRule>
  </conditionalFormatting>
  <conditionalFormatting sqref="B61">
    <cfRule type="expression" priority="7" dxfId="0" stopIfTrue="0">
      <formula>LEFT(B61,5)="AVVIK"</formula>
    </cfRule>
  </conditionalFormatting>
  <printOptions horizontalCentered="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I25"/>
  <sheetViews>
    <sheetView showGridLines="0" workbookViewId="0">
      <selection activeCell="A1" sqref="A1"/>
    </sheetView>
  </sheetViews>
  <sheetFormatPr baseColWidth="8" defaultRowHeight="15"/>
  <cols>
    <col width="30" customWidth="1" min="1" max="1"/>
    <col width="15" customWidth="1" min="2" max="2"/>
    <col width="15" customWidth="1" min="3" max="3"/>
    <col width="13" customWidth="1" min="4" max="4"/>
    <col width="15" customWidth="1" min="5" max="5"/>
    <col width="15" customWidth="1" min="6" max="6"/>
    <col width="15" customWidth="1" min="7" max="7"/>
    <col width="15" customWidth="1" min="8" max="8"/>
    <col width="44" customWidth="1" min="9" max="9"/>
  </cols>
  <sheetData>
    <row r="1">
      <c r="A1" s="1" t="inlineStr">
        <is>
          <t>Din egen bedrift</t>
        </is>
      </c>
    </row>
    <row r="2">
      <c r="A2" s="2" t="inlineStr">
        <is>
          <t>Samme regnestykke, tomt. Fem segmenter er nok for de aller fleste.</t>
        </is>
      </c>
    </row>
    <row r="4">
      <c r="A4" s="4" t="inlineStr">
        <is>
          <t>1 · Bedriftens tall</t>
        </is>
      </c>
    </row>
    <row r="5">
      <c r="A5" s="6" t="inlineStr">
        <is>
          <t>Salgsinntekt, uten mva.</t>
        </is>
      </c>
      <c r="B5" s="10" t="n">
        <v>0</v>
      </c>
      <c r="I5" s="6" t="inlineStr">
        <is>
          <t>Hele bedriften, eller den avdelingen du ser på.</t>
        </is>
      </c>
    </row>
    <row r="6">
      <c r="A6" s="6" t="inlineStr">
        <is>
          <t>Dekningsbidrag totalt</t>
        </is>
      </c>
      <c r="B6" s="10" t="n">
        <v>0</v>
      </c>
      <c r="I6" s="6" t="inlineStr">
        <is>
          <t>Omsetning minus materiell og underentreprenører.</t>
        </is>
      </c>
    </row>
    <row r="7">
      <c r="A7" s="6" t="inlineStr">
        <is>
          <t>Fakturerbare montørtimer</t>
        </is>
      </c>
      <c r="B7" s="10" t="n">
        <v>0</v>
      </c>
      <c r="I7" s="6" t="inlineStr">
        <is>
          <t>Timene kunden faktisk betaler for.</t>
        </is>
      </c>
    </row>
    <row r="8">
      <c r="A8" s="6" t="inlineStr">
        <is>
          <t>Kostsats, administrasjonstime</t>
        </is>
      </c>
      <c r="B8" s="10" t="n">
        <v>0</v>
      </c>
      <c r="I8" s="6" t="inlineStr">
        <is>
          <t>Hva en time hos den som skriver tilbud, koster.</t>
        </is>
      </c>
    </row>
    <row r="9">
      <c r="A9" s="6" t="inlineStr">
        <is>
          <t>Lånerente</t>
        </is>
      </c>
      <c r="B9" s="10" t="n">
        <v>0</v>
      </c>
      <c r="I9" s="6" t="inlineStr">
        <is>
          <t>Rentekostnader delt på gjennomsnittlig gjeld.</t>
        </is>
      </c>
    </row>
    <row r="10">
      <c r="A10" s="6" t="inlineStr">
        <is>
          <t>Merverdiavgift</t>
        </is>
      </c>
      <c r="B10" s="14" t="n">
        <v>0.25</v>
      </c>
    </row>
    <row r="12">
      <c r="A12" s="4" t="inlineStr">
        <is>
          <t>2 · Segmentene dine</t>
        </is>
      </c>
    </row>
    <row r="13" ht="28" customHeight="1">
      <c r="A13" s="9" t="inlineStr">
        <is>
          <t>Segment</t>
        </is>
      </c>
      <c r="B13" s="9" t="inlineStr">
        <is>
          <t>Andel av
omsetningen</t>
        </is>
      </c>
      <c r="C13" s="9" t="inlineStr">
        <is>
          <t>Andel av
montørtimene</t>
        </is>
      </c>
      <c r="D13" s="9" t="inlineStr">
        <is>
          <t>Deknings-
grad</t>
        </is>
      </c>
      <c r="E13" s="9" t="inlineStr">
        <is>
          <t>Tilbud
i året</t>
        </is>
      </c>
      <c r="F13" s="9" t="inlineStr">
        <is>
          <t>Kalkulatørtimer
per tilbud</t>
        </is>
      </c>
      <c r="G13" s="9" t="inlineStr">
        <is>
          <t>Kreditt-
dager</t>
        </is>
      </c>
      <c r="H13" s="9" t="inlineStr">
        <is>
          <t>DB per
montørtime</t>
        </is>
      </c>
      <c r="I13" s="9" t="inlineStr">
        <is>
          <t>Kundelønnsomhet
per montørtime</t>
        </is>
      </c>
    </row>
    <row r="14">
      <c r="A14" s="5" t="inlineStr"/>
      <c r="B14" s="14" t="n">
        <v>0</v>
      </c>
      <c r="C14" s="14" t="n">
        <v>0</v>
      </c>
      <c r="D14" s="14" t="n">
        <v>0</v>
      </c>
      <c r="E14" s="13" t="n">
        <v>0</v>
      </c>
      <c r="F14" s="24" t="n">
        <v>0</v>
      </c>
      <c r="G14" s="13" t="n">
        <v>0</v>
      </c>
      <c r="H14" s="20">
        <f>IF(C14=0,0,(B14*$B$5*D14)/(C14*$B$7))</f>
        <v/>
      </c>
      <c r="I14" s="19">
        <f>IF(C14=0,0,(B14*$B$5*D14-E14*F14*$B$8-B14*$B$5*(1+$B$10)*G14/365*$B$9)/(C14*$B$7))</f>
        <v/>
      </c>
    </row>
    <row r="15">
      <c r="A15" s="5" t="inlineStr"/>
      <c r="B15" s="14" t="n">
        <v>0</v>
      </c>
      <c r="C15" s="14" t="n">
        <v>0</v>
      </c>
      <c r="D15" s="14" t="n">
        <v>0</v>
      </c>
      <c r="E15" s="13" t="n">
        <v>0</v>
      </c>
      <c r="F15" s="24" t="n">
        <v>0</v>
      </c>
      <c r="G15" s="13" t="n">
        <v>0</v>
      </c>
      <c r="H15" s="20">
        <f>IF(C15=0,0,(B15*$B$5*D15)/(C15*$B$7))</f>
        <v/>
      </c>
      <c r="I15" s="19">
        <f>IF(C15=0,0,(B15*$B$5*D15-E15*F15*$B$8-B15*$B$5*(1+$B$10)*G15/365*$B$9)/(C15*$B$7))</f>
        <v/>
      </c>
    </row>
    <row r="16">
      <c r="A16" s="5" t="inlineStr"/>
      <c r="B16" s="14" t="n">
        <v>0</v>
      </c>
      <c r="C16" s="14" t="n">
        <v>0</v>
      </c>
      <c r="D16" s="14" t="n">
        <v>0</v>
      </c>
      <c r="E16" s="13" t="n">
        <v>0</v>
      </c>
      <c r="F16" s="24" t="n">
        <v>0</v>
      </c>
      <c r="G16" s="13" t="n">
        <v>0</v>
      </c>
      <c r="H16" s="20">
        <f>IF(C16=0,0,(B16*$B$5*D16)/(C16*$B$7))</f>
        <v/>
      </c>
      <c r="I16" s="19">
        <f>IF(C16=0,0,(B16*$B$5*D16-E16*F16*$B$8-B16*$B$5*(1+$B$10)*G16/365*$B$9)/(C16*$B$7))</f>
        <v/>
      </c>
    </row>
    <row r="17">
      <c r="A17" s="5" t="inlineStr"/>
      <c r="B17" s="14" t="n">
        <v>0</v>
      </c>
      <c r="C17" s="14" t="n">
        <v>0</v>
      </c>
      <c r="D17" s="14" t="n">
        <v>0</v>
      </c>
      <c r="E17" s="13" t="n">
        <v>0</v>
      </c>
      <c r="F17" s="24" t="n">
        <v>0</v>
      </c>
      <c r="G17" s="13" t="n">
        <v>0</v>
      </c>
      <c r="H17" s="20">
        <f>IF(C17=0,0,(B17*$B$5*D17)/(C17*$B$7))</f>
        <v/>
      </c>
      <c r="I17" s="19">
        <f>IF(C17=0,0,(B17*$B$5*D17-E17*F17*$B$8-B17*$B$5*(1+$B$10)*G17/365*$B$9)/(C17*$B$7))</f>
        <v/>
      </c>
    </row>
    <row r="18">
      <c r="A18" s="5" t="inlineStr"/>
      <c r="B18" s="14" t="n">
        <v>0</v>
      </c>
      <c r="C18" s="14" t="n">
        <v>0</v>
      </c>
      <c r="D18" s="14" t="n">
        <v>0</v>
      </c>
      <c r="E18" s="13" t="n">
        <v>0</v>
      </c>
      <c r="F18" s="24" t="n">
        <v>0</v>
      </c>
      <c r="G18" s="13" t="n">
        <v>0</v>
      </c>
      <c r="H18" s="20">
        <f>IF(C18=0,0,(B18*$B$5*D18)/(C18*$B$7))</f>
        <v/>
      </c>
      <c r="I18" s="19">
        <f>IF(C18=0,0,(B18*$B$5*D18-E18*F18*$B$8-B18*$B$5*(1+$B$10)*G18/365*$B$9)/(C18*$B$7))</f>
        <v/>
      </c>
    </row>
    <row r="19">
      <c r="A19" s="8" t="inlineStr">
        <is>
          <t>SUM</t>
        </is>
      </c>
      <c r="B19" s="21">
        <f>SUM(B14:B18)</f>
        <v/>
      </c>
      <c r="C19" s="21">
        <f>SUM(C14:C18)</f>
        <v/>
      </c>
    </row>
    <row r="21">
      <c r="A21" s="4" t="inlineStr">
        <is>
          <t>Kontroll</t>
        </is>
      </c>
    </row>
    <row r="22">
      <c r="A22" s="6" t="inlineStr">
        <is>
          <t>Summerer andelene seg til hundre prosent?</t>
        </is>
      </c>
      <c r="E22" s="23">
        <f>IF($B$5=0,"Fyll inn tallene over.",IF(AND(ABS(B19-1)&lt;0.0001,ABS(C19-1)&lt;0.0001),"OK — omsetning og timer er fullt fordelt","AVVIK: andelene summerer seg ikke til hundre prosent"))</f>
        <v/>
      </c>
    </row>
    <row r="23">
      <c r="A23" s="6" t="inlineStr">
        <is>
          <t>Stemmer segmentenes dekningsbidrag med bedriftens?</t>
        </is>
      </c>
      <c r="E23" s="23">
        <f>IF($B$5=0,"Fyll inn tallene over.",IF(ABS(SUMPRODUCT(B14:B18,D14:D18)*$B$5-$B$6)/MAX(1,$B$6)&lt;0.02,"OK — segmentene deler bedriftens eget dekningsbidrag","AVVIK: summen av segmentenes dekningsbidrag stemmer ikke med bedriftens. Juster dekningsgraden i ett av segmentene"))</f>
        <v/>
      </c>
    </row>
    <row r="25">
      <c r="A25" s="8" t="inlineStr">
        <is>
          <t>Og det arket ikke kan svare på: om kundene i det svakeste segmentet bærer noe som ikke synes i tallene — jevnt belegg gjennom vinteren, en referanse, eller anbefalinger videre. Det må du vite selv.</t>
        </is>
      </c>
    </row>
  </sheetData>
  <conditionalFormatting sqref="E22">
    <cfRule type="expression" priority="1" dxfId="0" stopIfTrue="0">
      <formula>LEFT(E22,5)="AVVIK"</formula>
    </cfRule>
  </conditionalFormatting>
  <conditionalFormatting sqref="E23">
    <cfRule type="expression" priority="2" dxfId="0" stopIfTrue="0">
      <formula>LEFT(E23,5)="AVVIK"</formula>
    </cfRule>
  </conditionalFormatting>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2026-09-11T09:30:05Z</dcterms:created>
  <dcterms:modified xmlns:dcterms="http://purl.org/dc/terms/" xmlns:xsi="http://www.w3.org/2001/XMLSchema-instance" xsi:type="dcterms:W3CDTF">2026-09-11T09:30:05Z</dcterms:modified>
</cp:coreProperties>
</file>