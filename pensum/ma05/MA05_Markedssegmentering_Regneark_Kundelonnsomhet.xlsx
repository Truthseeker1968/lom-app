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Segmenter" sheetId="3" state="visible" r:id="rId5"/>
    <sheet name="Kundelønnsomhet" sheetId="4" state="visible" r:id="rId6"/>
    <sheet name="Scenario" sheetId="5" state="visible" r:id="rId7"/>
    <sheet name="Din egen bedrif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<sst xmlns="http://schemas.openxmlformats.org/spreadsheetml/2006/main" count="307" uniqueCount="267">
  <si>
    <t xml:space="preserve">Hva gir én kundegruppe per montørtime? Den enkle versjonen</t>
  </si>
  <si>
    <t xml:space="preserve">Fyll inn de seks gule cellene. Svaret står i den grønne. Alt annet regner seg selv. Vil du gå dypere, ligger hele modellen i arkene bak.</t>
  </si>
  <si>
    <t xml:space="preserve">Det du vet</t>
  </si>
  <si>
    <t xml:space="preserve">Hvor mye selger bedriften for i året, uten mva.?</t>
  </si>
  <si>
    <t xml:space="preserve">Hele salgsinntekten, alle kundegruppene til sammen.</t>
  </si>
  <si>
    <t xml:space="preserve">Hvor stor del av salget kommer fra denne kundegruppen?</t>
  </si>
  <si>
    <t xml:space="preserve">Tallet som ligger inne, er næringsbygg.</t>
  </si>
  <si>
    <t xml:space="preserve">Hvor mye av hver krone er igjen når materiellet er betalt?</t>
  </si>
  <si>
    <t xml:space="preserve">Det er dekningsgraden for kundegruppen.</t>
  </si>
  <si>
    <t xml:space="preserve">Hvor mange montørtimer fakturerer bedriften i året?</t>
  </si>
  <si>
    <t xml:space="preserve">Den knappe faktoren. Det er disse timene alt skal måles mot.</t>
  </si>
  <si>
    <t xml:space="preserve">Hvor stor del av montørtimene går til denne kundegruppen?</t>
  </si>
  <si>
    <t xml:space="preserve">Ofte en annen andel enn salget. Det er hele poenget.</t>
  </si>
  <si>
    <t xml:space="preserve">Hva gir den svakeste kundegruppen per montørtime?</t>
  </si>
  <si>
    <t xml:space="preserve">Entreprenørene, i kroner per montørtime. Brukes bare til å sammenlikne.</t>
  </si>
  <si>
    <t xml:space="preserve">Regnestykket</t>
  </si>
  <si>
    <t xml:space="preserve">Salg fra kundegruppen</t>
  </si>
  <si>
    <t xml:space="preserve">Andelen ganger hele salget.</t>
  </si>
  <si>
    <t xml:space="preserve">Dekningsbidrag fra kundegruppen</t>
  </si>
  <si>
    <t xml:space="preserve">Det som er igjen når materiellet er betalt.</t>
  </si>
  <si>
    <t xml:space="preserve">Montørtimer kundegruppen bruker</t>
  </si>
  <si>
    <t xml:space="preserve">Andelen ganger alle de fakturerte timene.</t>
  </si>
  <si>
    <t xml:space="preserve">DEKNINGSBIDRAG PER MONTØRTIME</t>
  </si>
  <si>
    <t xml:space="preserve">Kroner per time av det bedriften har minst av.</t>
  </si>
  <si>
    <t xml:space="preserve">Så mange ganger mer enn den svakeste kundegruppen</t>
  </si>
  <si>
    <t xml:space="preserve">Over 1 betyr at timen gir mer her enn hos de svakeste.</t>
  </si>
  <si>
    <t xml:space="preserve">Hva svaret betyr</t>
  </si>
  <si>
    <t xml:space="preserve">Prøv selv</t>
  </si>
  <si>
    <t xml:space="preserve">1. Regn huseierne: sett B6 til 20 %, B7 til 75 % og B9 til 25 %. Hva gir timen nå?</t>
  </si>
  <si>
    <t xml:space="preserve">2. Regn borettslagene: sett B6 til 14 %, B7 til 65 % og B9 til 15 %.</t>
  </si>
  <si>
    <t xml:space="preserve">3. Huseierne har høyest dekningsgrad. Hvem gir mest per montørtime av huseierne og borettslagene?</t>
  </si>
  <si>
    <t xml:space="preserve">Tallene er Nordlys Elektro AS sine for 2026 (sammendraget til kap. 5 og regnearket). Kilde: Markedsføring, organisasjon og ledelse for LØM-emnet, kap. 5.7, og Økonomistyring for LØM-emnet, kap. 7. Nordlys Elektro AS er en konstruert casebedrift.</t>
  </si>
  <si>
    <t xml:space="preserve">Kundelønnsomhet per segment</t>
  </si>
  <si>
    <t xml:space="preserve">LØM Markedsføring kap. 5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</si>
  <si>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</si>
  <si>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</si>
  <si>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</si>
  <si>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</si>
  <si>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</si>
  <si>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</si>
  <si>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</si>
  <si>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</si>
  <si>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</si>
  <si>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</si>
  <si>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Seks gule celler, ett svar. Hva én kundegruppe gir per montørtime, regnet på den enkleste måten.</t>
  </si>
  <si>
    <t xml:space="preserve">Segmenter</t>
  </si>
  <si>
    <t xml:space="preserve">De fem kundetypene, med omsetning, montørtimer, dekningsgrad og dekningsbidrag per montørtime. Her ligger knappene B19 til D23.</t>
  </si>
  <si>
    <t xml:space="preserve">Kundelønnsomhet</t>
  </si>
  <si>
    <t xml:space="preserve">Hva som er igjen når kalkulatørtimene og kredittiden er trukket fra — og hvordan rangeringen endrer seg. Knappene er B6 til F10.</t>
  </si>
  <si>
    <t xml:space="preserve">Scenario</t>
  </si>
  <si>
    <t xml:space="preserve">Tre spørsmål: hva det er verdt å flytte timer, hva kredittiden er verdt, og hva det koster å si nei til et helt segment.</t>
  </si>
  <si>
    <t xml:space="preserve">Din egen bedrift</t>
  </si>
  <si>
    <t xml:space="preserve">Samme regnestykke, tomt. Legg inn dine egne segmenter.</t>
  </si>
  <si>
    <t xml:space="preserve">Tallene som ligger inne er Nordlys Elektro AS sine egne for 2026.</t>
  </si>
  <si>
    <t xml:space="preserve">Arket svarer på ett spørsmål: hvilket segment gir mest igjen per montørtime — og holder svaret når salgsarbeidet og kredittiden regnes med?</t>
  </si>
  <si>
    <t xml:space="preserve">Merk: montørlønna er IKKE trukket fra dekningsbidraget her. Den er fast på kort sikt og følger montøren, ikke kunden. Det er derfor tallene er høyere enn dekningsbidraget per oppdragstype i Økonomistyring for LØM-emnet kap. 7.</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</si>
  <si>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</si>
  <si>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</si>
  <si>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Knappene</t>
  </si>
  <si>
    <t xml:space="preserve">Segmenter!B19:B23</t>
  </si>
  <si>
    <t xml:space="preserve">Andel av omsetningen</t>
  </si>
  <si>
    <t xml:space="preserve">Hvor stor del av salgsinntekten hvert segment står for. Må summere seg til 100 %.</t>
  </si>
  <si>
    <t xml:space="preserve">Segmenter!C19:C23</t>
  </si>
  <si>
    <t xml:space="preserve">Andel av montørtimene</t>
  </si>
  <si>
    <t xml:space="preserve">Hvor stor del av timene hvert segment legger beslag på. Må summere seg til 100 %.</t>
  </si>
  <si>
    <t xml:space="preserve">Segmenter!D19:D23</t>
  </si>
  <si>
    <t xml:space="preserve">Dekningsgrad</t>
  </si>
  <si>
    <t xml:space="preserve">Hva som er igjen av hver omsatt krone etter materiell og innleide montører.</t>
  </si>
  <si>
    <t xml:space="preserve">Kundelønnsomhet!B6:C10</t>
  </si>
  <si>
    <t xml:space="preserve">Tilbud og timer per tilbud</t>
  </si>
  <si>
    <t xml:space="preserve">Hva det koster i kalkulatørtid å holde segmentet.</t>
  </si>
  <si>
    <t xml:space="preserve">Kundelønnsomhet!F6:F10</t>
  </si>
  <si>
    <t xml:space="preserve">Kredittdager</t>
  </si>
  <si>
    <t xml:space="preserve">Hvor lenge kunden bruker på å betale. Bind kapital koster renter.</t>
  </si>
  <si>
    <t xml:space="preserve">Hvilken oppgave bruker hvilket ark</t>
  </si>
  <si>
    <t xml:space="preserve">Oppgave i øvingsheftet</t>
  </si>
  <si>
    <t xml:space="preserve">Ark</t>
  </si>
  <si>
    <t xml:space="preserve">Celler du endrer og leser av</t>
  </si>
  <si>
    <t xml:space="preserve">A1 · Hvilket segment ville du valgt bort først?</t>
  </si>
  <si>
    <t xml:space="preserve">Scenario C: skriv segmentet du sier nei til i B42, og les av hva det koster i B45 og hva som må til for å fylle timene i B53 og B55.</t>
  </si>
  <si>
    <t xml:space="preserve">A2 · Klasseoppgave: velg to målgrupper for Nordlys</t>
  </si>
  <si>
    <t xml:space="preserve">Segmenter og Scenario</t>
  </si>
  <si>
    <t xml:space="preserve">Rangeringen står ferdig i kolonne H i arket «Segmenter». Scenario C regner ut hva det koster å si nei.</t>
  </si>
  <si>
    <t xml:space="preserve">1 · Fem kundetyper, rangert etter kroner per montørtime</t>
  </si>
  <si>
    <t xml:space="preserve">Legg inn andeler og dekningsgrad i B19 til D23. Les av omsetning, timer og dekningsbidrag i E, F og G, og kroner per montørtime i H.</t>
  </si>
  <si>
    <t xml:space="preserve">2 · Hva salgsarbeidet og kreditten koster</t>
  </si>
  <si>
    <t xml:space="preserve">Legg inn tilbud, timer per tilbud og kredittdager i B6 til F10. Les av kundelønnsomheten i E16 til F20, og hvem som bytter plass i kolonne H og I.</t>
  </si>
  <si>
    <t xml:space="preserve">3 · Hva det er verdt å flytte en time</t>
  </si>
  <si>
    <t xml:space="preserve">Scenario A: sett antall timer i B7 og les av B11, B12 og B14.</t>
  </si>
  <si>
    <t xml:space="preserve">4 · Holder «alle som har elbil i Oslo» som målgruppe?</t>
  </si>
  <si>
    <t xml:space="preserve">Scenario C: skriv segmentet du sier nei til i B42 og segmentet timene flyttes til i B43. Les av B49, B53 og B55, og dommen i E56.</t>
  </si>
  <si>
    <t xml:space="preserve">5 · Eksamensnær: satse på ett segment</t>
  </si>
  <si>
    <t xml:space="preserve">Alle tre scenarioene. Scenario B gir deg argumentet om kredittid som ikke koster pris. Bruk «Din egen bedrift» hvis du vil regne på din egen bedrift.</t>
  </si>
  <si>
    <t xml:space="preserve">Kontrollradene</t>
  </si>
  <si>
    <t xml:space="preserve">Hvert regneark har en kontrollblokk. Står det OK, henger tallene sammen. Står det AVVIK, farges cellen rød, og teksten sier hva som ikke går opp.</t>
  </si>
  <si>
    <t xml:space="preserve">Tre av kontrollene er faglige og ikke tekniske: at segmentet med høyest dekningsgrad IKKE er det som gir mest per time, at det største segmentet ikke er det beste, og at minst ett segment bytter plass når salgsarbeidet regnes med. Slår en av dem ut i AVVIK, er det ikke en regnefeil — det er kapitlets poeng som har falt bort.</t>
  </si>
  <si>
    <t xml:space="preserve">Kontroller i arbeidsboka: Segmenter E34, Segmenter E35, Segmenter E36, Segmenter E37, Kundelønnsomhet E30, Kundelønnsomhet E31, Kundelønnsomhet E32, Kundelønnsomhet E33, Kundelønnsomhet E34, Scenario B17, Scenario B18, Scenario B35, Scenario B36, Scenario B59, Scenario B60, Scenario B61, Din egen bedrift E22, Din egen bedrift E23</t>
  </si>
  <si>
    <t xml:space="preserve">Kilder</t>
  </si>
  <si>
    <t xml:space="preserve">Hjertnes, F.: Markedsføring, organisasjon og ledelse for LØM-emnet, 4. utg., kap. 5.1 til 5.8. Knapp faktor og dekningsbidrag: Økonomistyring for LØM-emnet, kap. 2, 7 og 8. Kundefordringer og kapitalbinding: Økonomistyring for LØM-emnet kap. 3 og 4.</t>
  </si>
  <si>
    <t xml:space="preserve">Salgskostnad og kredittid per segment er ikke lærebokas begreper. De er en utvidelse av lærebokas krav om at et segment skal vurderes på lønnsomhet, og de er merket som det. Læreboka gjelder foran arket.</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</si>
  <si>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</si>
  <si>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begge bøkene.</t>
  </si>
  <si>
    <t xml:space="preserve">Fem kundetyper, én bedrift</t>
  </si>
  <si>
    <t xml:space="preserve">Endre de gule cellene. Alt annet regner seg selv.</t>
  </si>
  <si>
    <t xml:space="preserve">1 · Bedriftens egne tall for året</t>
  </si>
  <si>
    <t xml:space="preserve">Salgsinntekt, uten mva.</t>
  </si>
  <si>
    <t xml:space="preserve">Hele bedriften, alle tre avdelingene.</t>
  </si>
  <si>
    <t xml:space="preserve">− varekostnad materiell</t>
  </si>
  <si>
    <t xml:space="preserve">− varekostnad innleide montører</t>
  </si>
  <si>
    <t xml:space="preserve">= Dekningsbidrag totalt</t>
  </si>
  <si>
    <t xml:space="preserve">Her er montørlønna IKKE trukket fra. Den er en fast kostnad på kort sikt, og den følger montøren, ikke kunden.</t>
  </si>
  <si>
    <t xml:space="preserve">Dekningsgrad totalt</t>
  </si>
  <si>
    <t xml:space="preserve">Fakturerbare montørtimer</t>
  </si>
  <si>
    <t xml:space="preserve">Den knappe faktoren. Det er denne alt skal måles mot.</t>
  </si>
  <si>
    <t xml:space="preserve">Faste kostnader</t>
  </si>
  <si>
    <t xml:space="preserve">= Driftsresultat</t>
  </si>
  <si>
    <t xml:space="preserve">Merverdiavgift</t>
  </si>
  <si>
    <t xml:space="preserve">Kostsats, administrasjonstime</t>
  </si>
  <si>
    <t xml:space="preserve">Det en time hos kalkulatøren koster bedriften.</t>
  </si>
  <si>
    <t xml:space="preserve">Lånerente</t>
  </si>
  <si>
    <t xml:space="preserve">Bedriftens egen gjennomsnittsrente. Brukes på kapitalen som ligger i ubetalte fakturaer.</t>
  </si>
  <si>
    <t xml:space="preserve">2 · De fem segmentene</t>
  </si>
  <si>
    <t xml:space="preserve">Segment</t>
  </si>
  <si>
    <t xml:space="preserve">Andel av
omsetningen</t>
  </si>
  <si>
    <t xml:space="preserve">Andel av
montørtimene</t>
  </si>
  <si>
    <t xml:space="preserve">Deknings-
grad</t>
  </si>
  <si>
    <t xml:space="preserve">Omsetning</t>
  </si>
  <si>
    <t xml:space="preserve">Montør-
timer</t>
  </si>
  <si>
    <t xml:space="preserve">Deknings-
bidrag</t>
  </si>
  <si>
    <t xml:space="preserve">DB per
montørtime</t>
  </si>
  <si>
    <t xml:space="preserve">Omsetning
per time</t>
  </si>
  <si>
    <t xml:space="preserve">Hva kunden er</t>
  </si>
  <si>
    <t xml:space="preserve">Huseiere og boligeiere</t>
  </si>
  <si>
    <t xml:space="preserve">Nytt sikringsskap, varmekabler på bad, ett ladepunkt i garasjen.</t>
  </si>
  <si>
    <t xml:space="preserve">Borettslag og sameier</t>
  </si>
  <si>
    <t xml:space="preserve">Felles ladeanlegg med lastbalansering, oppgradering av stigeledninger, fellesarealbelysning.</t>
  </si>
  <si>
    <t xml:space="preserve">Entreprenører og byggmestere</t>
  </si>
  <si>
    <t xml:space="preserve">Elektroarbeid i et rekkehusfelt eller et mindre næringsbygg, som underleverandør.</t>
  </si>
  <si>
    <t xml:space="preserve">Næringsbygg og eiendomsdrift</t>
  </si>
  <si>
    <t xml:space="preserve">Feilsøking, service, el-kontroll og småendringer i bygg Nordlys kjenner fra før.</t>
  </si>
  <si>
    <t xml:space="preserve">Offentlige rammeavtaler</t>
  </si>
  <si>
    <t xml:space="preserve">Lysarmaturer og småoppdrag på skoler og sykehjem, avropt på rammeavtale.</t>
  </si>
  <si>
    <t xml:space="preserve">SUM</t>
  </si>
  <si>
    <t xml:space="preserve">3 · Det som er verdt å legge merke til</t>
  </si>
  <si>
    <t xml:space="preserve">Høyeste dekningsgrad</t>
  </si>
  <si>
    <t xml:space="preserve">Prosenten som ser best ut på papiret.</t>
  </si>
  <si>
    <t xml:space="preserve">Mest igjen per montørtime</t>
  </si>
  <si>
    <t xml:space="preserve">Størst i omsetning</t>
  </si>
  <si>
    <t xml:space="preserve">Det segmentet ordreboka gjør mest av seg.</t>
  </si>
  <si>
    <t xml:space="preserve">Minst igjen per montørtime</t>
  </si>
  <si>
    <t xml:space="preserve">Spredning, beste mot svakeste</t>
  </si>
  <si>
    <t xml:space="preserve">Så mange ganger mer gir den beste montørtimen enn den svakeste.</t>
  </si>
  <si>
    <t xml:space="preserve">Kontroll</t>
  </si>
  <si>
    <t xml:space="preserve">Summerer andelene seg til hundre prosent?</t>
  </si>
  <si>
    <t xml:space="preserve">Stemmer segmentenes dekningsbidrag med bedriftens?</t>
  </si>
  <si>
    <t xml:space="preserve">Er det høyeste dekningsgrad og mest per time i to ULIKE segmenter?</t>
  </si>
  <si>
    <t xml:space="preserve">Er det største segmentet noe annet enn det beste?</t>
  </si>
  <si>
    <t xml:space="preserve">Prøv dette: sett dekningsgraden for huseiere ned til nivået i de andre segmentene, og se om rekkefølgen i kolonne H endrer seg. Det gjør den ikke — og det er poenget: prosenten avgjør ikke.</t>
  </si>
  <si>
    <t xml:space="preserve">Kilde: Hjertnes, F.: Markedsføring, organisasjon og ledelse for LØM-emnet, 4. utg., kap. 5.1 til 5.3 og 5.7 om lønnsomhetspotensial. Knapp faktor: Økonomistyring for LØM-emnet, kap. 7. Tallene er Nordlys Elektro AS sine egne for 2026.</t>
  </si>
  <si>
    <t xml:space="preserve">Hva er igjen når salgsarbeidet og kreditten er betalt?</t>
  </si>
  <si>
    <t xml:space="preserve">Dekningsbidraget stopper ved materiellet. Et segment koster mer enn det.</t>
  </si>
  <si>
    <t xml:space="preserve">1 · Salgsarbeidet og kredittiden</t>
  </si>
  <si>
    <t xml:space="preserve">Tilbud
i året</t>
  </si>
  <si>
    <t xml:space="preserve">Kalkulatørtimer
per tilbud</t>
  </si>
  <si>
    <t xml:space="preserve">Salgs-
timer</t>
  </si>
  <si>
    <t xml:space="preserve">Salgs-
kostnad</t>
  </si>
  <si>
    <t xml:space="preserve">Kreditt-
dager</t>
  </si>
  <si>
    <t xml:space="preserve">Kapital-
binding</t>
  </si>
  <si>
    <t xml:space="preserve">Rente-
kostnad</t>
  </si>
  <si>
    <t xml:space="preserve">Hvorfor det koster det det gjør</t>
  </si>
  <si>
    <t xml:space="preserve">Sammenlikner to–tre tilbud og spør alltid om prisen inkluderer alt.</t>
  </si>
  <si>
    <t xml:space="preserve">Prisfølsom på papiret, men velger oftest den som forklarer best.</t>
  </si>
  <si>
    <t xml:space="preserve">Kjøper på pris. Nordlys er én av fire på lista.</t>
  </si>
  <si>
    <t xml:space="preserve">Spør sjelden om timeprisen. Spør om responstiden.</t>
  </si>
  <si>
    <t xml:space="preserve">Prisen er bundet i avtalen i fire år. Ingen forhandling underveis.</t>
  </si>
  <si>
    <t xml:space="preserve">Salgstimene i årsverk</t>
  </si>
  <si>
    <t xml:space="preserve">Så stor del av et årsverk går til å skrive tilbud.</t>
  </si>
  <si>
    <t xml:space="preserve">2 · Kundelønnsomheten</t>
  </si>
  <si>
    <t xml:space="preserve">− salgs-
kostnad</t>
  </si>
  <si>
    <t xml:space="preserve">− rente-
kostnad</t>
  </si>
  <si>
    <t xml:space="preserve">Kunde-
lønnsomhet</t>
  </si>
  <si>
    <t xml:space="preserve">Per montør-
time</t>
  </si>
  <si>
    <t xml:space="preserve">Andel av
dekningsbidraget</t>
  </si>
  <si>
    <t xml:space="preserve">Plass før
og etter</t>
  </si>
  <si>
    <t xml:space="preserve">Hva som skjedde</t>
  </si>
  <si>
    <t xml:space="preserve">3 · Rangeringen, før og etter</t>
  </si>
  <si>
    <t xml:space="preserve">Best per montørtime etter salgskostnad og rente</t>
  </si>
  <si>
    <t xml:space="preserve">Svakest per montørtime etter salgskostnad og rente</t>
  </si>
  <si>
    <t xml:space="preserve">Sammenlikn med spredningen i arket Segmenter. Den er større her.</t>
  </si>
  <si>
    <t xml:space="preserve">Antall segmenter som bytter plass</t>
  </si>
  <si>
    <t xml:space="preserve">Går regnestykket opp mot dekningsbidraget?</t>
  </si>
  <si>
    <t xml:space="preserve">Stemmer kapitalbindingen med kundefordringene i balansen?</t>
  </si>
  <si>
    <t xml:space="preserve">Beholder alle segmentene noe av dekningsbidraget?</t>
  </si>
  <si>
    <t xml:space="preserve">Bytter noen segmenter plass?</t>
  </si>
  <si>
    <t xml:space="preserve">Er tilbudsarbeidet mulig for én kalkulatør?</t>
  </si>
  <si>
    <t xml:space="preserve">Prøv dette: sett kredittdagene for entreprenørene ned til tretti, og se hvor mye kundelønnsomheten stiger. Det er en forhandling, ikke en prisøkning.</t>
  </si>
  <si>
    <t xml:space="preserve">Kilde: Hjertnes kap. 5.7 om lønnsomhetspotensial. Salgskostnaden og kredittiden er ikke lærebokas begreper, men en utvidelse: læreboka sier at segmentet må vurderes på lønnsomhet, og dette er hvordan man gjør det i en installasjonsbedrift. Kapitalbindingen henger sammen med kundefordringene i Økonomistyring for LØM-emnet, kap. 3 og 4.</t>
  </si>
  <si>
    <t xml:space="preserve">Tre scenarioer</t>
  </si>
  <si>
    <t xml:space="preserve">Endre de gule cellene og se hva som skjer. Alle tall hentes fra de andre arkene.</t>
  </si>
  <si>
    <t xml:space="preserve">Scenario A · flytt timer fra det svakeste til det beste segmentet</t>
  </si>
  <si>
    <t xml:space="preserve">Montørtimen er den knappe faktoren. Å flytte den er den eneste beslutningen som ikke koster penger.</t>
  </si>
  <si>
    <t xml:space="preserve">Timer som flyttes</t>
  </si>
  <si>
    <t xml:space="preserve">Endre denne. Fem hundre timer er omtrent en tredel av et montørår.</t>
  </si>
  <si>
    <t xml:space="preserve">Svakeste segment</t>
  </si>
  <si>
    <t xml:space="preserve">Beste segment</t>
  </si>
  <si>
    <t xml:space="preserve">Forskjell per montørtime</t>
  </si>
  <si>
    <t xml:space="preserve">= Hva flyttingen er verdt på ett år</t>
  </si>
  <si>
    <t xml:space="preserve">Ingen prisøkning, ingen ansettelse. Bare andre kunder.</t>
  </si>
  <si>
    <t xml:space="preserve">I prosent av driftsresultatet</t>
  </si>
  <si>
    <t xml:space="preserve">Timer i det svakeste segmentet i dag</t>
  </si>
  <si>
    <t xml:space="preserve">Andel av det svakeste segmentet som må bort</t>
  </si>
  <si>
    <t xml:space="preserve">Så stor del av segmentet må sies nei til. Er tallet lite, er beslutningen lett. Er det stort, er det en omlegging.</t>
  </si>
  <si>
    <t xml:space="preserve">Er flyttingen mulig?</t>
  </si>
  <si>
    <t xml:space="preserve">Gir flyttingen gevinst?</t>
  </si>
  <si>
    <t xml:space="preserve">Scenario B · kredittiden er en forhandling, ikke en prisøkning</t>
  </si>
  <si>
    <t xml:space="preserve">Å få en kunde ned fra åtti til tretti dagers kreditt koster ingenting i pris. Se hva det er verdt.</t>
  </si>
  <si>
    <t xml:space="preserve">I dag</t>
  </si>
  <si>
    <t xml:space="preserve">Forhandlet</t>
  </si>
  <si>
    <t xml:space="preserve">Endring</t>
  </si>
  <si>
    <t xml:space="preserve">Hva raden betyr</t>
  </si>
  <si>
    <t xml:space="preserve">Skriv navnet på segmentet nøyaktig slik det står i arket Segmenter.</t>
  </si>
  <si>
    <t xml:space="preserve">Omsetning i segmentet</t>
  </si>
  <si>
    <t xml:space="preserve">Uendret. Forhandlingen gjelder betalingstiden, ikke prisen.</t>
  </si>
  <si>
    <t xml:space="preserve">Kapitalbinding</t>
  </si>
  <si>
    <t xml:space="preserve">Rentekostnad</t>
  </si>
  <si>
    <t xml:space="preserve">= Spart i året</t>
  </si>
  <si>
    <t xml:space="preserve">Lite i kroner, men det er penger bedriften ikke måtte selge for å få.</t>
  </si>
  <si>
    <t xml:space="preserve">Frigjort kapital</t>
  </si>
  <si>
    <t xml:space="preserve">Dette er det store tallet: kapital som slutter å ligge i kundefordringer, og som kan brukes til å forskuttere materiell.</t>
  </si>
  <si>
    <t xml:space="preserve">Frigjort kapital i prosent av bankinnskuddet</t>
  </si>
  <si>
    <t xml:space="preserve">Finnes segmentet?</t>
  </si>
  <si>
    <t xml:space="preserve">Frigjør kortere kredittid kapital?</t>
  </si>
  <si>
    <t xml:space="preserve">Scenario C · si nei til ett segment</t>
  </si>
  <si>
    <t xml:space="preserve">Å si nei koster timer du må fylle med noe annet. Her ser du hva det koster, og hva som må til for å fylle timene.</t>
  </si>
  <si>
    <t xml:space="preserve">Segmentet du sier nei til</t>
  </si>
  <si>
    <t xml:space="preserve">Segmentet timene skal flyttes til</t>
  </si>
  <si>
    <t xml:space="preserve">Begge navnene må stå nøyaktig slik de står i arket Segmenter.</t>
  </si>
  <si>
    <t xml:space="preserve">Omsetning som forsvinner</t>
  </si>
  <si>
    <t xml:space="preserve">Kundelønnsomhet som forsvinner</t>
  </si>
  <si>
    <t xml:space="preserve">Montørtimer som blir ledige</t>
  </si>
  <si>
    <t xml:space="preserve">Kundelønnsomhet per time i segmentet timene flyttes til</t>
  </si>
  <si>
    <t xml:space="preserve">= Kundelønnsomhet hvis timene fylles der</t>
  </si>
  <si>
    <t xml:space="preserve">= Gevinst ved byttet</t>
  </si>
  <si>
    <t xml:space="preserve">Positivt tall betyr at byttet lønner seg — HVIS timene lar seg fylle.</t>
  </si>
  <si>
    <t xml:space="preserve">Men lar timene seg fylle?</t>
  </si>
  <si>
    <t xml:space="preserve">Timer per oppdrag i segmentet timene flyttes til</t>
  </si>
  <si>
    <t xml:space="preserve">Et serviceoppdrag på et næringsbygg tar seks timer.</t>
  </si>
  <si>
    <t xml:space="preserve">= Oppdrag som må skaffes</t>
  </si>
  <si>
    <t xml:space="preserve">Oppdrag avdelingen har i dag</t>
  </si>
  <si>
    <t xml:space="preserve">= Hvor mange ganger så mange</t>
  </si>
  <si>
    <t xml:space="preserve">Dette er kravet om at segmentet må være STORT NOK. Finnes ikke oppdragene i markedet, er gevinsten over bare et regnestykke.</t>
  </si>
  <si>
    <t xml:space="preserve">Dom</t>
  </si>
  <si>
    <t xml:space="preserve">Finnes begge segmentene?</t>
  </si>
  <si>
    <t xml:space="preserve">Er de to segmentene forskjellige?</t>
  </si>
  <si>
    <t xml:space="preserve">Hva som SKAL stå her med tallene som ligger inne</t>
  </si>
  <si>
    <t xml:space="preserve">Kilde: Hjertnes kap. 5.7 om segmentets størrelse og lønnsomhetspotensial og kap. 5.8 om målgruppestrategiene. Serviceoppdragets størrelse er Nordlys' egen, fra Økonomistyring for LØM-emnet, kap. 8.</t>
  </si>
  <si>
    <t xml:space="preserve">Samme regnestykke, tomt. Fem segmenter er nok for de aller fleste.</t>
  </si>
  <si>
    <t xml:space="preserve">1 · Bedriftens tall</t>
  </si>
  <si>
    <t xml:space="preserve">Hele bedriften, eller den avdelingen du ser på.</t>
  </si>
  <si>
    <t xml:space="preserve">Dekningsbidrag totalt</t>
  </si>
  <si>
    <t xml:space="preserve">Omsetning minus materiell og innleide montører.</t>
  </si>
  <si>
    <t xml:space="preserve">Timene kunden faktisk betaler for.</t>
  </si>
  <si>
    <t xml:space="preserve">Hva en time hos den som skriver tilbud, koster.</t>
  </si>
  <si>
    <t xml:space="preserve">Rentekostnader delt på gjennomsnittlig gjeld.</t>
  </si>
  <si>
    <t xml:space="preserve">2 · Segmentene dine</t>
  </si>
  <si>
    <t xml:space="preserve">Kundelønnsomhet
per montørtime</t>
  </si>
  <si>
    <t xml:space="preserve">Og det arket ikke kan svare på: om kundene i det svakeste segmentet bærer noe som ikke synes i tallene — jevnt belegg gjennom vinteren, en referanse, eller anbefalinger videre. Det må du vite selv.</t>
  </si>
</sst>
</file>

<file path=xl/styles.xml><?xml version="1.0" encoding="utf-8"?>
<styleSheet xmlns="http://schemas.openxmlformats.org/spreadsheetml/2006/main">
  <numFmts count="8">
    <numFmt numFmtId="164" formatCode="General"/>
    <numFmt numFmtId="165" formatCode="#,##0"/>
    <numFmt numFmtId="166" formatCode="0.0\ %"/>
    <numFmt numFmtId="167" formatCode="#,##0.00"/>
    <numFmt numFmtId="168" formatCode="#,##0&quot; kr&quot;"/>
    <numFmt numFmtId="169" formatCode="0.0%"/>
    <numFmt numFmtId="170" formatCode="#,##0.00&quot; kr&quot;"/>
    <numFmt numFmtId="171"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22400000</v>
      </c>
      <c r="C5" s="7" t="s">
        <v>4</v>
      </c>
    </row>
    <row ht="27" customHeight="true" r="6" customFormat="false" hidden="false" outlineLevel="0" collapsed="false">
      <c r="A6" s="5" t="s">
        <v>5</v>
      </c>
      <c r="B6" s="8" t="n">
        <v>0.2</v>
      </c>
      <c r="C6" s="7" t="s">
        <v>6</v>
      </c>
    </row>
    <row ht="27" customHeight="true" r="7" customFormat="false" hidden="false" outlineLevel="0" collapsed="false">
      <c r="A7" s="5" t="s">
        <v>7</v>
      </c>
      <c r="B7" s="8" t="n">
        <v>0.65</v>
      </c>
      <c r="C7" s="7" t="s">
        <v>8</v>
      </c>
    </row>
    <row r="8" customFormat="false" ht="15" hidden="false" customHeight="true" outlineLevel="0" collapsed="false">
      <c r="A8" s="5" t="s">
        <v>9</v>
      </c>
      <c r="B8" s="6" t="n">
        <v>14400</v>
      </c>
      <c r="C8" s="7" t="s">
        <v>10</v>
      </c>
    </row>
    <row ht="27" customHeight="true" r="9" customFormat="false" hidden="false" outlineLevel="0" collapsed="false">
      <c r="A9" s="5" t="s">
        <v>11</v>
      </c>
      <c r="B9" s="8" t="n">
        <v>0.13</v>
      </c>
      <c r="C9" s="7" t="s">
        <v>12</v>
      </c>
    </row>
    <row ht="27" customHeight="true" r="10" customFormat="false" hidden="false" outlineLevel="0" collapsed="false">
      <c r="A10" s="5" t="s">
        <v>13</v>
      </c>
      <c r="B10" s="6" t="n">
        <v>819</v>
      </c>
      <c r="C10" s="7" t="s">
        <v>14</v>
      </c>
    </row>
    <row r="11" customFormat="false" ht="15" hidden="false" customHeight="true" outlineLevel="0" collapsed="false"/>
    <row r="12" customFormat="false" ht="15" hidden="false" customHeight="true" outlineLevel="0" collapsed="false">
      <c r="A12" s="3" t="s">
        <v>15</v>
      </c>
      <c r="B12" s="4"/>
      <c r="C12" s="4"/>
    </row>
    <row r="13" customFormat="false" ht="15" hidden="false" customHeight="true" outlineLevel="0" collapsed="false">
      <c r="A13" s="5" t="s">
        <v>16</v>
      </c>
      <c r="B13" s="9" t="n">
        <f aca="false">B5*B6</f>
        <v>4480000</v>
      </c>
      <c r="C13" s="7" t="s">
        <v>17</v>
      </c>
    </row>
    <row r="14" customFormat="false" ht="15" hidden="false" customHeight="true" outlineLevel="0" collapsed="false">
      <c r="A14" s="5" t="s">
        <v>18</v>
      </c>
      <c r="B14" s="9" t="n">
        <f aca="false">B13*B7</f>
        <v>2912000</v>
      </c>
      <c r="C14" s="7" t="s">
        <v>19</v>
      </c>
    </row>
    <row r="15" customFormat="false" ht="15" hidden="false" customHeight="true" outlineLevel="0" collapsed="false">
      <c r="A15" s="5" t="s">
        <v>20</v>
      </c>
      <c r="B15" s="9" t="n">
        <f aca="false">B8*B9</f>
        <v>1872</v>
      </c>
      <c r="C15" s="7" t="s">
        <v>21</v>
      </c>
    </row>
    <row r="16" customFormat="false" ht="15" hidden="false" customHeight="true" outlineLevel="0" collapsed="false"/>
    <row r="17" customFormat="false" ht="21" hidden="false" customHeight="true" outlineLevel="0" collapsed="false">
      <c r="A17" s="10" t="s">
        <v>22</v>
      </c>
      <c r="B17" s="11" t="n">
        <f aca="false">B14/B15</f>
        <v>1555.55555555556</v>
      </c>
      <c r="C17" s="7" t="s">
        <v>23</v>
      </c>
    </row>
    <row ht="27" customHeight="true" r="18" customFormat="false" hidden="false" outlineLevel="0" collapsed="false">
      <c r="A18" s="5" t="s">
        <v>24</v>
      </c>
      <c r="B18" s="12" t="n">
        <f aca="false">B17/B10</f>
        <v>1.89933523266857</v>
      </c>
      <c r="C18" s="7" t="s">
        <v>25</v>
      </c>
    </row>
    <row r="19" customFormat="false" ht="15" hidden="false" customHeight="true" outlineLevel="0" collapsed="false"/>
    <row r="20" customFormat="false" ht="15" hidden="false" customHeight="true" outlineLevel="0" collapsed="false">
      <c r="A20" s="3" t="s">
        <v>26</v>
      </c>
      <c r="B20" s="4"/>
      <c r="C20" s="4"/>
    </row>
    <row r="21" customFormat="false" ht="33.75" hidden="false" customHeight="true" outlineLevel="0" collapsed="false">
      <c r="A21" s="13" t="str">
        <f aca="false">"Hver montørtime hos denne kundegruppen gir "&amp;TEXT(ROUND(B17,0),"#,##0")&amp;" kroner i dekningsbidrag. Det er "&amp;TEXT(ROUND(B18,2),"#,##0.00")&amp;" ganger så mye som hos den svakeste."</f>
        <v>Hver montørtime hos denne kundegruppen gir 1,556 kroner i dekningsbidrag. Det er 1.90 ganger så mye som hos den svakeste.</v>
      </c>
      <c r="B21" s="13"/>
      <c r="C21" s="13"/>
    </row>
    <row r="22" customFormat="false" ht="15" hidden="false" customHeight="true" outlineLevel="0" collapsed="false"/>
    <row r="23" customFormat="false" ht="15" hidden="false" customHeight="true" outlineLevel="0" collapsed="false">
      <c r="A23" s="3" t="s">
        <v>27</v>
      </c>
      <c r="B23" s="4"/>
      <c r="C23" s="4"/>
    </row>
    <row r="24" customFormat="false" ht="27" hidden="false" customHeight="true" outlineLevel="0" collapsed="false">
      <c r="A24" s="14" t="s">
        <v>28</v>
      </c>
      <c r="B24" s="14"/>
      <c r="C24" s="14"/>
    </row>
    <row r="25" customFormat="false" ht="15" hidden="false" customHeight="true" outlineLevel="0" collapsed="false">
      <c r="A25" s="14" t="s">
        <v>29</v>
      </c>
      <c r="B25" s="14"/>
      <c r="C25" s="14"/>
    </row>
    <row r="26" customFormat="false" ht="27" hidden="false" customHeight="true" outlineLevel="0" collapsed="false">
      <c r="A26" s="14" t="s">
        <v>30</v>
      </c>
      <c r="B26" s="14"/>
      <c r="C26" s="14"/>
    </row>
    <row r="27" customFormat="false" ht="15" hidden="false" customHeight="true" outlineLevel="0" collapsed="false"/>
    <row r="28" customFormat="false" ht="27" hidden="false" customHeight="true" outlineLevel="0" collapsed="false">
      <c r="A28" s="2" t="s">
        <v>31</v>
      </c>
      <c r="B28" s="2"/>
      <c r="C28" s="2"/>
    </row>
  </sheetData>
  <mergeCells count="6">
    <mergeCell ref="A2:C2"/>
    <mergeCell ref="A21:C21"/>
    <mergeCell ref="A24:C24"/>
    <mergeCell ref="A25:C25"/>
    <mergeCell ref="A26:C26"/>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2"/>
    <col collapsed="false" customWidth="true" hidden="false" outlineLevel="0" max="3" min="3" style="0" width="62"/>
  </cols>
  <sheetData>
    <row r="1" customFormat="false" ht="17.35" hidden="false" customHeight="false" outlineLevel="0" collapsed="false">
      <c r="A1" s="1" t="s">
        <v>32</v>
      </c>
    </row>
    <row r="2" customFormat="false" ht="15" hidden="false" customHeight="false" outlineLevel="0" collapsed="false">
      <c r="A2" s="15" t="s">
        <v>33</v>
      </c>
    </row>
    <row r="3" customFormat="false" ht="15" hidden="false" customHeight="false" outlineLevel="0" collapsed="false">
      <c r="A3" s="16" t="s">
        <v>34</v>
      </c>
    </row>
    <row r="4" customFormat="false" ht="15" hidden="false" customHeight="false" outlineLevel="0" collapsed="false">
      <c r="A4" s="17" t="s">
        <v>35</v>
      </c>
    </row>
    <row r="5" customFormat="false" ht="15" hidden="false" customHeight="false" outlineLevel="0" collapsed="false">
      <c r="A5" s="18" t="s">
        <v>36</v>
      </c>
      <c r="B5" s="19" t="s">
        <v>37</v>
      </c>
    </row>
    <row r="6" customFormat="false" ht="15" hidden="false" customHeight="false" outlineLevel="0" collapsed="false">
      <c r="A6" s="20" t="s">
        <v>38</v>
      </c>
      <c r="B6" s="19" t="s">
        <v>39</v>
      </c>
    </row>
    <row r="7" customFormat="false" ht="15" hidden="false" customHeight="false" outlineLevel="0" collapsed="false">
      <c r="A7" s="20" t="s">
        <v>40</v>
      </c>
      <c r="B7" s="19" t="s">
        <v>41</v>
      </c>
    </row>
    <row r="9" customFormat="false" ht="15" hidden="false" customHeight="false" outlineLevel="0" collapsed="false">
      <c r="A9" s="17" t="s">
        <v>42</v>
      </c>
    </row>
    <row r="10" customFormat="false" ht="15" hidden="false" customHeight="false" outlineLevel="0" collapsed="false">
      <c r="A10" s="21" t="s">
        <v>43</v>
      </c>
      <c r="B10" s="19" t="s">
        <v>44</v>
      </c>
    </row>
    <row r="11" customFormat="false" ht="15" hidden="false" customHeight="false" outlineLevel="0" collapsed="false">
      <c r="A11" s="21" t="s">
        <v>45</v>
      </c>
      <c r="B11" s="19" t="s">
        <v>46</v>
      </c>
    </row>
    <row r="12" customFormat="false" ht="15" hidden="false" customHeight="false" outlineLevel="0" collapsed="false">
      <c r="A12" s="21" t="s">
        <v>47</v>
      </c>
      <c r="B12" s="19" t="s">
        <v>48</v>
      </c>
    </row>
    <row r="13" customFormat="false" ht="15" hidden="false" customHeight="false" outlineLevel="0" collapsed="false">
      <c r="A13" s="21" t="s">
        <v>49</v>
      </c>
      <c r="B13" s="19" t="s">
        <v>50</v>
      </c>
    </row>
    <row r="14" customFormat="false" ht="15" hidden="false" customHeight="false" outlineLevel="0" collapsed="false">
      <c r="A14" s="21" t="s">
        <v>51</v>
      </c>
      <c r="B14" s="19" t="s">
        <v>52</v>
      </c>
    </row>
    <row r="16" customFormat="false" ht="15" hidden="false" customHeight="false" outlineLevel="0" collapsed="false">
      <c r="A16" s="16" t="s">
        <v>53</v>
      </c>
    </row>
    <row r="17" customFormat="false" ht="15" hidden="false" customHeight="false" outlineLevel="0" collapsed="false">
      <c r="A17" s="16" t="s">
        <v>54</v>
      </c>
    </row>
    <row r="18" customFormat="false" ht="15" hidden="false" customHeight="false" outlineLevel="0" collapsed="false">
      <c r="A18" s="16" t="s">
        <v>55</v>
      </c>
    </row>
    <row r="20" customFormat="false" ht="15" hidden="false" customHeight="false" outlineLevel="0" collapsed="false">
      <c r="A20" s="16" t="s">
        <v>56</v>
      </c>
    </row>
    <row r="21" customFormat="false" ht="15" hidden="false" customHeight="false" outlineLevel="0" collapsed="false">
      <c r="A21" s="16" t="s">
        <v>57</v>
      </c>
    </row>
    <row r="23" customFormat="false" ht="15" hidden="false" customHeight="false" outlineLevel="0" collapsed="false">
      <c r="A23" s="17" t="s">
        <v>58</v>
      </c>
    </row>
    <row r="24" customFormat="false" ht="15" hidden="false" customHeight="false" outlineLevel="0" collapsed="false">
      <c r="A24" s="19" t="s">
        <v>59</v>
      </c>
      <c r="B24" s="21" t="s">
        <v>60</v>
      </c>
      <c r="C24" s="19" t="s">
        <v>61</v>
      </c>
    </row>
    <row r="25" customFormat="false" ht="15" hidden="false" customHeight="false" outlineLevel="0" collapsed="false">
      <c r="A25" s="19" t="s">
        <v>62</v>
      </c>
      <c r="B25" s="21" t="s">
        <v>63</v>
      </c>
      <c r="C25" s="19" t="s">
        <v>64</v>
      </c>
    </row>
    <row r="26" customFormat="false" ht="15" hidden="false" customHeight="false" outlineLevel="0" collapsed="false">
      <c r="A26" s="19" t="s">
        <v>65</v>
      </c>
      <c r="B26" s="21" t="s">
        <v>66</v>
      </c>
      <c r="C26" s="19" t="s">
        <v>67</v>
      </c>
    </row>
    <row r="27" customFormat="false" ht="15" hidden="false" customHeight="false" outlineLevel="0" collapsed="false">
      <c r="A27" s="19" t="s">
        <v>68</v>
      </c>
      <c r="B27" s="21" t="s">
        <v>69</v>
      </c>
      <c r="C27" s="19" t="s">
        <v>70</v>
      </c>
    </row>
    <row r="28" customFormat="false" ht="15" hidden="false" customHeight="false" outlineLevel="0" collapsed="false">
      <c r="A28" s="19" t="s">
        <v>71</v>
      </c>
      <c r="B28" s="21" t="s">
        <v>72</v>
      </c>
      <c r="C28" s="19" t="s">
        <v>73</v>
      </c>
    </row>
    <row r="30" customFormat="false" ht="15" hidden="false" customHeight="false" outlineLevel="0" collapsed="false">
      <c r="A30" s="17" t="s">
        <v>74</v>
      </c>
    </row>
    <row r="31" customFormat="false" ht="27.75" hidden="false" customHeight="true" outlineLevel="0" collapsed="false">
      <c r="A31" s="22" t="s">
        <v>75</v>
      </c>
      <c r="B31" s="22" t="s">
        <v>76</v>
      </c>
      <c r="C31" s="22" t="s">
        <v>77</v>
      </c>
    </row>
    <row r="32" customFormat="false" ht="15" hidden="false" customHeight="false" outlineLevel="0" collapsed="false">
      <c r="A32" s="19" t="s">
        <v>78</v>
      </c>
      <c r="B32" s="21" t="s">
        <v>49</v>
      </c>
      <c r="C32" s="19" t="s">
        <v>79</v>
      </c>
    </row>
    <row ht="27" customHeight="true" r="33" customFormat="false" hidden="false" outlineLevel="0" collapsed="false">
      <c s="41" r="A33" t="s">
        <v>80</v>
      </c>
      <c r="B33" s="21" t="s">
        <v>81</v>
      </c>
      <c r="C33" s="19" t="s">
        <v>82</v>
      </c>
    </row>
    <row ht="27" customHeight="true" r="34" customFormat="false" hidden="false" outlineLevel="0" collapsed="false">
      <c s="41" r="A34" t="s">
        <v>83</v>
      </c>
      <c r="B34" s="21" t="s">
        <v>45</v>
      </c>
      <c r="C34" s="19" t="s">
        <v>84</v>
      </c>
    </row>
    <row r="35" customFormat="false" ht="15" hidden="false" customHeight="false" outlineLevel="0" collapsed="false">
      <c r="A35" s="19" t="s">
        <v>85</v>
      </c>
      <c r="B35" s="21" t="s">
        <v>47</v>
      </c>
      <c r="C35" s="19" t="s">
        <v>86</v>
      </c>
    </row>
    <row r="36" customFormat="false" ht="15" hidden="false" customHeight="false" outlineLevel="0" collapsed="false">
      <c r="A36" s="19" t="s">
        <v>87</v>
      </c>
      <c r="B36" s="21" t="s">
        <v>49</v>
      </c>
      <c r="C36" s="19" t="s">
        <v>88</v>
      </c>
    </row>
    <row ht="27" customHeight="true" r="37" customFormat="false" hidden="false" outlineLevel="0" collapsed="false">
      <c s="41" r="A37" t="s">
        <v>89</v>
      </c>
      <c r="B37" s="21" t="s">
        <v>49</v>
      </c>
      <c r="C37" s="19" t="s">
        <v>90</v>
      </c>
    </row>
    <row r="38" customFormat="false" ht="15" hidden="false" customHeight="false" outlineLevel="0" collapsed="false">
      <c r="A38" s="19" t="s">
        <v>91</v>
      </c>
      <c r="B38" s="21" t="s">
        <v>49</v>
      </c>
      <c r="C38" s="19" t="s">
        <v>92</v>
      </c>
    </row>
    <row r="40" customFormat="false" ht="15" hidden="false" customHeight="false" outlineLevel="0" collapsed="false">
      <c r="A40" s="17" t="s">
        <v>93</v>
      </c>
    </row>
    <row r="41" customFormat="false" ht="15" hidden="false" customHeight="false" outlineLevel="0" collapsed="false">
      <c r="A41" s="19" t="s">
        <v>94</v>
      </c>
    </row>
    <row r="42" customFormat="false" ht="15" hidden="false" customHeight="false" outlineLevel="0" collapsed="false">
      <c r="A42" s="19" t="s">
        <v>95</v>
      </c>
    </row>
    <row r="43" customFormat="false" ht="15" hidden="false" customHeight="false" outlineLevel="0" collapsed="false">
      <c r="A43" s="16" t="s">
        <v>96</v>
      </c>
    </row>
    <row r="45" customFormat="false" ht="15" hidden="false" customHeight="false" outlineLevel="0" collapsed="false">
      <c r="A45" s="17" t="s">
        <v>97</v>
      </c>
    </row>
    <row r="46" customFormat="false" ht="15" hidden="false" customHeight="false" outlineLevel="0" collapsed="false">
      <c r="A46" s="16" t="s">
        <v>98</v>
      </c>
    </row>
    <row r="47" customFormat="false" ht="15" hidden="false" customHeight="false" outlineLevel="0" collapsed="false">
      <c r="A47" s="16" t="s">
        <v>99</v>
      </c>
    </row>
    <row r="48" customFormat="false" ht="15" hidden="false" customHeight="false" outlineLevel="0" collapsed="false">
      <c r="A48" s="16" t="s">
        <v>100</v>
      </c>
    </row>
    <row r="49" customFormat="false" ht="15" hidden="false" customHeight="false" outlineLevel="0" collapsed="false">
      <c r="A49" s="16" t="s">
        <v>101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5"/>
    <col collapsed="false" customWidth="true" hidden="false" outlineLevel="0" max="4" min="4" style="0" width="13"/>
    <col collapsed="false" customWidth="true" hidden="false" outlineLevel="0" max="5" min="5" style="0" width="15"/>
    <col collapsed="false" customWidth="true" hidden="false" outlineLevel="0" max="6" min="6" style="0" width="13"/>
    <col collapsed="false" customWidth="true" hidden="false" outlineLevel="0" max="9" min="7" style="0" width="15"/>
    <col collapsed="false" customWidth="true" hidden="false" outlineLevel="0" max="10" min="10" style="0" width="44"/>
  </cols>
  <sheetData>
    <row r="1" customFormat="false" ht="17.35" hidden="false" customHeight="false" outlineLevel="0" collapsed="false">
      <c r="A1" s="1" t="s">
        <v>102</v>
      </c>
    </row>
    <row r="2" customFormat="false" ht="15" hidden="false" customHeight="false" outlineLevel="0" collapsed="false">
      <c r="A2" s="15" t="s">
        <v>103</v>
      </c>
    </row>
    <row r="4" customFormat="false" ht="15" hidden="false" customHeight="false" outlineLevel="0" collapsed="false">
      <c r="A4" s="17" t="s">
        <v>104</v>
      </c>
    </row>
    <row r="5" customFormat="false" ht="15" hidden="false" customHeight="false" outlineLevel="0" collapsed="false">
      <c r="A5" s="19" t="s">
        <v>105</v>
      </c>
      <c r="B5" s="23" t="n">
        <v>22400000</v>
      </c>
      <c r="J5" s="19" t="s">
        <v>106</v>
      </c>
    </row>
    <row r="6" customFormat="false" ht="15" hidden="false" customHeight="false" outlineLevel="0" collapsed="false">
      <c r="A6" s="19" t="s">
        <v>107</v>
      </c>
      <c r="B6" s="23" t="n">
        <v>7990000</v>
      </c>
    </row>
    <row r="7" customFormat="false" ht="15" hidden="false" customHeight="false" outlineLevel="0" collapsed="false">
      <c r="A7" s="19" t="s">
        <v>108</v>
      </c>
      <c r="B7" s="23" t="n">
        <v>400000</v>
      </c>
    </row>
    <row r="8" customFormat="false" ht="15" hidden="false" customHeight="false" outlineLevel="0" collapsed="false">
      <c r="A8" s="21" t="s">
        <v>109</v>
      </c>
      <c r="B8" s="24" t="n">
        <f aca="false">B5-B6-B7</f>
        <v>14010000</v>
      </c>
      <c r="J8" s="19" t="s">
        <v>110</v>
      </c>
    </row>
    <row r="9" customFormat="false" ht="15" hidden="false" customHeight="false" outlineLevel="0" collapsed="false">
      <c r="A9" s="19" t="s">
        <v>111</v>
      </c>
      <c r="B9" s="25" t="n">
        <f aca="false">B8/B5</f>
        <v>0.625446428571429</v>
      </c>
    </row>
    <row r="10" customFormat="false" ht="15" hidden="false" customHeight="false" outlineLevel="0" collapsed="false">
      <c r="A10" s="19" t="s">
        <v>112</v>
      </c>
      <c r="B10" s="26" t="n">
        <v>14400</v>
      </c>
      <c r="J10" s="19" t="s">
        <v>113</v>
      </c>
    </row>
    <row r="11" customFormat="false" ht="15" hidden="false" customHeight="false" outlineLevel="0" collapsed="false">
      <c r="A11" s="19" t="s">
        <v>114</v>
      </c>
      <c r="B11" s="23" t="n">
        <v>12666000</v>
      </c>
    </row>
    <row r="12" customFormat="false" ht="15" hidden="false" customHeight="false" outlineLevel="0" collapsed="false">
      <c r="A12" s="21" t="s">
        <v>115</v>
      </c>
      <c r="B12" s="24" t="n">
        <f aca="false">B8-B11</f>
        <v>1344000</v>
      </c>
    </row>
    <row r="13" customFormat="false" ht="15" hidden="false" customHeight="false" outlineLevel="0" collapsed="false">
      <c r="A13" s="19" t="s">
        <v>116</v>
      </c>
      <c r="B13" s="27" t="n">
        <v>0.25</v>
      </c>
    </row>
    <row r="14" customFormat="false" ht="15" hidden="false" customHeight="false" outlineLevel="0" collapsed="false">
      <c r="A14" s="19" t="s">
        <v>117</v>
      </c>
      <c r="B14" s="28" t="n">
        <v>327.433628318584</v>
      </c>
      <c r="J14" s="19" t="s">
        <v>118</v>
      </c>
    </row>
    <row r="15" customFormat="false" ht="15" hidden="false" customHeight="false" outlineLevel="0" collapsed="false">
      <c r="A15" s="19" t="s">
        <v>119</v>
      </c>
      <c r="B15" s="29" t="n">
        <v>0.0285558879521349</v>
      </c>
      <c r="J15" s="19" t="s">
        <v>120</v>
      </c>
    </row>
    <row r="17" customFormat="false" ht="15" hidden="false" customHeight="false" outlineLevel="0" collapsed="false">
      <c r="A17" s="17" t="s">
        <v>121</v>
      </c>
    </row>
    <row r="18" customFormat="false" ht="27.75" hidden="false" customHeight="true" outlineLevel="0" collapsed="false">
      <c r="A18" s="22" t="s">
        <v>122</v>
      </c>
      <c r="B18" s="22" t="s">
        <v>123</v>
      </c>
      <c r="C18" s="22" t="s">
        <v>124</v>
      </c>
      <c r="D18" s="22" t="s">
        <v>125</v>
      </c>
      <c r="E18" s="22" t="s">
        <v>126</v>
      </c>
      <c r="F18" s="22" t="s">
        <v>127</v>
      </c>
      <c r="G18" s="22" t="s">
        <v>128</v>
      </c>
      <c r="H18" s="22" t="s">
        <v>129</v>
      </c>
      <c r="I18" s="22" t="s">
        <v>130</v>
      </c>
      <c r="J18" s="22" t="s">
        <v>131</v>
      </c>
    </row>
    <row r="19" customFormat="false" ht="15" hidden="false" customHeight="false" outlineLevel="0" collapsed="false">
      <c r="A19" s="19" t="s">
        <v>132</v>
      </c>
      <c r="B19" s="27" t="n">
        <v>0.2</v>
      </c>
      <c r="C19" s="27" t="n">
        <v>0.25</v>
      </c>
      <c r="D19" s="27" t="n">
        <v>0.75</v>
      </c>
      <c r="E19" s="30" t="n">
        <f aca="false">B19*$B$5</f>
        <v>4480000</v>
      </c>
      <c r="F19" s="31" t="n">
        <f aca="false">C19*$B$10</f>
        <v>3600</v>
      </c>
      <c r="G19" s="30" t="n">
        <f aca="false">E19*D19</f>
        <v>3360000</v>
      </c>
      <c r="H19" s="32" t="n">
        <f aca="false">IF(F19=0,0,G19/F19)</f>
        <v>933.333333333333</v>
      </c>
      <c r="I19" s="33" t="n">
        <f aca="false">IF(F19=0,0,E19/F19)</f>
        <v>1244.44444444444</v>
      </c>
      <c r="J19" s="19" t="s">
        <v>133</v>
      </c>
    </row>
    <row r="20" customFormat="false" ht="15" hidden="false" customHeight="false" outlineLevel="0" collapsed="false">
      <c r="A20" s="19" t="s">
        <v>134</v>
      </c>
      <c r="B20" s="27" t="n">
        <v>0.14</v>
      </c>
      <c r="C20" s="27" t="n">
        <v>0.15</v>
      </c>
      <c r="D20" s="27" t="n">
        <v>0.65</v>
      </c>
      <c r="E20" s="30" t="n">
        <f aca="false">B20*$B$5</f>
        <v>3136000</v>
      </c>
      <c r="F20" s="31" t="n">
        <f aca="false">C20*$B$10</f>
        <v>2160</v>
      </c>
      <c r="G20" s="30" t="n">
        <f aca="false">E20*D20</f>
        <v>2038400</v>
      </c>
      <c r="H20" s="32" t="n">
        <f aca="false">IF(F20=0,0,G20/F20)</f>
        <v>943.703703703704</v>
      </c>
      <c r="I20" s="33" t="n">
        <f aca="false">IF(F20=0,0,E20/F20)</f>
        <v>1451.85185185185</v>
      </c>
      <c r="J20" s="19" t="s">
        <v>135</v>
      </c>
    </row>
    <row r="21" customFormat="false" ht="15" hidden="false" customHeight="false" outlineLevel="0" collapsed="false">
      <c r="A21" s="19" t="s">
        <v>136</v>
      </c>
      <c r="B21" s="27" t="n">
        <v>0.34</v>
      </c>
      <c r="C21" s="27" t="n">
        <v>0.36</v>
      </c>
      <c r="D21" s="27" t="n">
        <v>0.557783613445378</v>
      </c>
      <c r="E21" s="30" t="n">
        <f aca="false">B21*$B$5</f>
        <v>7616000</v>
      </c>
      <c r="F21" s="31" t="n">
        <f aca="false">C21*$B$10</f>
        <v>5184</v>
      </c>
      <c r="G21" s="30" t="n">
        <f aca="false">E21*D21</f>
        <v>4248080</v>
      </c>
      <c r="H21" s="32" t="n">
        <f aca="false">IF(F21=0,0,G21/F21)</f>
        <v>819.45987654321</v>
      </c>
      <c r="I21" s="33" t="n">
        <f aca="false">IF(F21=0,0,E21/F21)</f>
        <v>1469.13580246914</v>
      </c>
      <c r="J21" s="19" t="s">
        <v>137</v>
      </c>
    </row>
    <row r="22" customFormat="false" ht="15" hidden="false" customHeight="false" outlineLevel="0" collapsed="false">
      <c r="A22" s="19" t="s">
        <v>138</v>
      </c>
      <c r="B22" s="27" t="n">
        <v>0.2</v>
      </c>
      <c r="C22" s="27" t="n">
        <v>0.13</v>
      </c>
      <c r="D22" s="27" t="n">
        <v>0.65</v>
      </c>
      <c r="E22" s="30" t="n">
        <f aca="false">B22*$B$5</f>
        <v>4480000</v>
      </c>
      <c r="F22" s="31" t="n">
        <f aca="false">C22*$B$10</f>
        <v>1872</v>
      </c>
      <c r="G22" s="30" t="n">
        <f aca="false">E22*D22</f>
        <v>2912000</v>
      </c>
      <c r="H22" s="32" t="n">
        <f aca="false">IF(F22=0,0,G22/F22)</f>
        <v>1555.55555555556</v>
      </c>
      <c r="I22" s="33" t="n">
        <f aca="false">IF(F22=0,0,E22/F22)</f>
        <v>2393.16239316239</v>
      </c>
      <c r="J22" s="19" t="s">
        <v>139</v>
      </c>
    </row>
    <row r="23" customFormat="false" ht="15" hidden="false" customHeight="false" outlineLevel="0" collapsed="false">
      <c r="A23" s="19" t="s">
        <v>140</v>
      </c>
      <c r="B23" s="27" t="n">
        <v>0.12</v>
      </c>
      <c r="C23" s="27" t="n">
        <v>0.11</v>
      </c>
      <c r="D23" s="27" t="n">
        <v>0.54</v>
      </c>
      <c r="E23" s="30" t="n">
        <f aca="false">B23*$B$5</f>
        <v>2688000</v>
      </c>
      <c r="F23" s="31" t="n">
        <f aca="false">C23*$B$10</f>
        <v>1584</v>
      </c>
      <c r="G23" s="30" t="n">
        <f aca="false">E23*D23</f>
        <v>1451520</v>
      </c>
      <c r="H23" s="32" t="n">
        <f aca="false">IF(F23=0,0,G23/F23)</f>
        <v>916.363636363636</v>
      </c>
      <c r="I23" s="33" t="n">
        <f aca="false">IF(F23=0,0,E23/F23)</f>
        <v>1696.9696969697</v>
      </c>
      <c r="J23" s="19" t="s">
        <v>141</v>
      </c>
    </row>
    <row r="24" customFormat="false" ht="15" hidden="false" customHeight="false" outlineLevel="0" collapsed="false">
      <c r="A24" s="21" t="s">
        <v>142</v>
      </c>
      <c r="B24" s="34" t="n">
        <f aca="false">SUM(B19:B23)</f>
        <v>1</v>
      </c>
      <c r="C24" s="34" t="n">
        <f aca="false">SUM(C19:C23)</f>
        <v>1</v>
      </c>
      <c r="D24" s="34" t="n">
        <f aca="false">G24/E24</f>
        <v>0.625446428571429</v>
      </c>
      <c r="E24" s="24" t="n">
        <f aca="false">SUM(E19:E23)</f>
        <v>22400000</v>
      </c>
      <c r="F24" s="35" t="n">
        <f aca="false">SUM(F19:F23)</f>
        <v>14400</v>
      </c>
      <c r="G24" s="24" t="n">
        <f aca="false">SUM(G19:G23)</f>
        <v>14010000</v>
      </c>
      <c r="H24" s="32" t="n">
        <f aca="false">G24/F24</f>
        <v>972.916666666667</v>
      </c>
      <c r="I24" s="33" t="n">
        <f aca="false">E24/F24</f>
        <v>1555.55555555556</v>
      </c>
    </row>
    <row r="26" customFormat="false" ht="15" hidden="false" customHeight="false" outlineLevel="0" collapsed="false">
      <c r="A26" s="17" t="s">
        <v>143</v>
      </c>
    </row>
    <row r="27" customFormat="false" ht="15" hidden="false" customHeight="false" outlineLevel="0" collapsed="false">
      <c r="A27" s="19" t="s">
        <v>144</v>
      </c>
      <c r="B27" s="36" t="str">
        <f aca="false">INDEX($A$19:$A$23,MATCH(MAX($D$19:$D$23),$D$19:$D$23,0))</f>
        <v>Huseiere og boligeiere</v>
      </c>
      <c r="D27" s="25" t="n">
        <f aca="false">MAX($D$19:$D$23)</f>
        <v>0.75</v>
      </c>
      <c r="J27" s="19" t="s">
        <v>145</v>
      </c>
    </row>
    <row r="28" customFormat="false" ht="15" hidden="false" customHeight="false" outlineLevel="0" collapsed="false">
      <c r="A28" s="19" t="s">
        <v>146</v>
      </c>
      <c r="B28" s="36" t="str">
        <f aca="false">INDEX($A$19:$A$23,MATCH(MAX($H$19:$H$23),$H$19:$H$23,0))</f>
        <v>Næringsbygg og eiendomsdrift</v>
      </c>
      <c r="H28" s="33" t="n">
        <f aca="false">MAX($H$19:$H$23)</f>
        <v>1555.55555555556</v>
      </c>
      <c r="J28" s="19" t="s">
        <v>23</v>
      </c>
    </row>
    <row r="29" customFormat="false" ht="15" hidden="false" customHeight="false" outlineLevel="0" collapsed="false">
      <c r="A29" s="19" t="s">
        <v>147</v>
      </c>
      <c r="B29" s="36" t="str">
        <f aca="false">INDEX($A$19:$A$23,MATCH(MAX($E$19:$E$23),$E$19:$E$23,0))</f>
        <v>Entreprenører og byggmestere</v>
      </c>
      <c r="E29" s="30" t="n">
        <f aca="false">MAX($E$19:$E$23)</f>
        <v>7616000</v>
      </c>
      <c r="J29" s="19" t="s">
        <v>148</v>
      </c>
    </row>
    <row r="30" customFormat="false" ht="15" hidden="false" customHeight="false" outlineLevel="0" collapsed="false">
      <c r="A30" s="19" t="s">
        <v>149</v>
      </c>
      <c r="B30" s="36" t="str">
        <f aca="false">INDEX($A$19:$A$23,MATCH(MIN($H$19:$H$23),$H$19:$H$23,0))</f>
        <v>Entreprenører og byggmestere</v>
      </c>
      <c r="H30" s="33" t="n">
        <f aca="false">MIN($H$19:$H$23)</f>
        <v>819.45987654321</v>
      </c>
    </row>
    <row r="31" customFormat="false" ht="15" hidden="false" customHeight="false" outlineLevel="0" collapsed="false">
      <c r="A31" s="19" t="s">
        <v>150</v>
      </c>
      <c r="H31" s="31" t="n">
        <f aca="false">MAX($H$19:$H$23)/MIN($H$19:$H$23)</f>
        <v>1.89826933579405</v>
      </c>
      <c r="J31" s="19" t="s">
        <v>151</v>
      </c>
    </row>
    <row r="33" customFormat="false" ht="15" hidden="false" customHeight="false" outlineLevel="0" collapsed="false">
      <c r="A33" s="17" t="s">
        <v>152</v>
      </c>
    </row>
    <row r="34" customFormat="false" ht="15" hidden="false" customHeight="false" outlineLevel="0" collapsed="false">
      <c r="A34" s="19" t="s">
        <v>153</v>
      </c>
      <c r="E34" s="36" t="str">
        <f aca="false">IF(AND(ABS(B24-1)&lt;0.0001,ABS(C24-1)&lt;0.0001),"OK — både omsetning og timer er fullt fordelt på de fem segmentene","AVVIK: andelene summerer seg ikke til hundre prosent. Da er det enten omsetning eller montørtimer som ikke er fordelt")</f>
        <v>OK — både omsetning og timer er fullt fordelt på de fem segmentene</v>
      </c>
    </row>
    <row r="35" customFormat="false" ht="15" hidden="false" customHeight="false" outlineLevel="0" collapsed="false">
      <c r="A35" s="19" t="s">
        <v>154</v>
      </c>
      <c r="E35" s="36" t="str">
        <f aca="false">IF(ABS(G24-B8)&lt;1,"OK — segmentene deler bedriftens eget dekningsbidrag, verken mer eller mindre","AVVIK: summen av segmentenes dekningsbidrag er ikke lik bedriftens. Juster dekningsgraden i ett av segmentene")</f>
        <v>OK — segmentene deler bedriftens eget dekningsbidrag, verken mer eller mindre</v>
      </c>
    </row>
    <row r="36" customFormat="false" ht="15" hidden="false" customHeight="false" outlineLevel="0" collapsed="false">
      <c r="A36" s="19" t="s">
        <v>155</v>
      </c>
      <c r="E36" s="36" t="str">
        <f aca="false">IF(B27&lt;&gt;B28,"OK — segmentet med høyest dekningsgrad er ikke det som gir mest per montørtime. Det er hele kapitlets poeng","AVVIK: samme segment vinner på begge mål. Da forsvinner poenget om at prosent rangerer feil når timen er knapp")</f>
        <v>OK — segmentet med høyest dekningsgrad er ikke det som gir mest per montørtime. Det er hele kapitlets poeng</v>
      </c>
    </row>
    <row r="37" customFormat="false" ht="15" hidden="false" customHeight="false" outlineLevel="0" collapsed="false">
      <c r="A37" s="19" t="s">
        <v>156</v>
      </c>
      <c r="E37" s="36" t="str">
        <f aca="false">IF(B29&lt;&gt;B28,"OK — det mest omsetningstunge segmentet er ikke det mest lønnsomme per time","AVVIK: det største segmentet er også det beste. Da er det ingenting ubehagelig å ta stilling til")</f>
        <v>OK — det mest omsetningstunge segmentet er ikke det mest lønnsomme per time</v>
      </c>
    </row>
    <row r="39" customFormat="false" ht="15" hidden="false" customHeight="false" outlineLevel="0" collapsed="false">
      <c r="A39" s="21" t="s">
        <v>157</v>
      </c>
    </row>
    <row r="40" customFormat="false" ht="15" hidden="false" customHeight="false" outlineLevel="0" collapsed="false">
      <c r="A40" s="16" t="s">
        <v>158</v>
      </c>
    </row>
  </sheetData>
  <conditionalFormatting sqref="E34">
    <cfRule type="expression" priority="2" aboveAverage="0" equalAverage="0" bottom="0" percent="0" rank="0" text="" dxfId="0">
      <formula>LEFT(E34,5)="AVVIK"</formula>
    </cfRule>
  </conditionalFormatting>
  <conditionalFormatting sqref="E35">
    <cfRule type="expression" priority="3" aboveAverage="0" equalAverage="0" bottom="0" percent="0" rank="0" text="" dxfId="0">
      <formula>LEFT(E35,5)="AVVIK"</formula>
    </cfRule>
  </conditionalFormatting>
  <conditionalFormatting sqref="E36">
    <cfRule type="expression" priority="4" aboveAverage="0" equalAverage="0" bottom="0" percent="0" rank="0" text="" dxfId="0">
      <formula>LEFT(E36,5)="AVVIK"</formula>
    </cfRule>
  </conditionalFormatting>
  <conditionalFormatting sqref="E37">
    <cfRule type="expression" priority="5" aboveAverage="0" equalAverage="0" bottom="0" percent="0" rank="0" text="" dxfId="0">
      <formula>LEFT(E37,5)="AVVIK"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 collapsed="false" customWidth="true" hidden="false" outlineLevel="0" max="4" min="4" style="0" width="13"/>
    <col collapsed="false" customWidth="true" hidden="false" outlineLevel="0" max="5" min="5" style="0" width="16"/>
    <col collapsed="false" customWidth="true" hidden="false" outlineLevel="0" max="6" min="6" style="0" width="13"/>
    <col collapsed="false" customWidth="true" hidden="false" outlineLevel="0" max="7" min="7" style="0" width="19"/>
    <col collapsed="false" customWidth="true" hidden="false" outlineLevel="0" max="8" min="8" style="0" width="18"/>
    <col collapsed="false" customWidth="true" hidden="false" outlineLevel="0" max="9" min="9" style="0" width="44"/>
  </cols>
  <sheetData>
    <row r="1" customFormat="false" ht="17.35" hidden="false" customHeight="false" outlineLevel="0" collapsed="false">
      <c r="A1" s="1" t="s">
        <v>159</v>
      </c>
    </row>
    <row r="2" customFormat="false" ht="15" hidden="false" customHeight="false" outlineLevel="0" collapsed="false">
      <c r="A2" s="15" t="s">
        <v>160</v>
      </c>
    </row>
    <row r="4" customFormat="false" ht="15" hidden="false" customHeight="false" outlineLevel="0" collapsed="false">
      <c r="A4" s="17" t="s">
        <v>161</v>
      </c>
    </row>
    <row r="5" customFormat="false" ht="27.75" hidden="false" customHeight="true" outlineLevel="0" collapsed="false">
      <c r="A5" s="22" t="s">
        <v>122</v>
      </c>
      <c r="B5" s="22" t="s">
        <v>162</v>
      </c>
      <c r="C5" s="22" t="s">
        <v>163</v>
      </c>
      <c r="D5" s="22" t="s">
        <v>164</v>
      </c>
      <c r="E5" s="22" t="s">
        <v>165</v>
      </c>
      <c r="F5" s="22" t="s">
        <v>166</v>
      </c>
      <c r="G5" s="22" t="s">
        <v>167</v>
      </c>
      <c r="H5" s="22" t="s">
        <v>168</v>
      </c>
      <c r="I5" s="22" t="s">
        <v>169</v>
      </c>
    </row>
    <row r="6" customFormat="false" ht="15" hidden="false" customHeight="false" outlineLevel="0" collapsed="false">
      <c r="A6" s="20" t="str">
        <f aca="false">Segmenter!A19</f>
        <v>Huseiere og boligeiere</v>
      </c>
      <c r="B6" s="26" t="n">
        <v>240</v>
      </c>
      <c r="C6" s="37" t="n">
        <v>1.5</v>
      </c>
      <c r="D6" s="31" t="n">
        <f aca="false">B6*C6</f>
        <v>360</v>
      </c>
      <c r="E6" s="30" t="n">
        <f aca="false">D6*Segmenter!$B$14</f>
        <v>117876.10619469</v>
      </c>
      <c r="F6" s="26" t="n">
        <v>14</v>
      </c>
      <c r="G6" s="30" t="n">
        <f aca="false">Segmenter!E19*(1+Segmenter!$B$13)*F6/365</f>
        <v>214794.520547945</v>
      </c>
      <c r="H6" s="33" t="n">
        <f aca="false">G6*Segmenter!$B$15</f>
        <v>6133.64826149966</v>
      </c>
      <c r="I6" s="19" t="s">
        <v>170</v>
      </c>
    </row>
    <row r="7" customFormat="false" ht="15" hidden="false" customHeight="false" outlineLevel="0" collapsed="false">
      <c r="A7" s="20" t="str">
        <f aca="false">Segmenter!A20</f>
        <v>Borettslag og sameier</v>
      </c>
      <c r="B7" s="26" t="n">
        <v>14</v>
      </c>
      <c r="C7" s="37" t="n">
        <v>26</v>
      </c>
      <c r="D7" s="31" t="n">
        <f aca="false">B7*C7</f>
        <v>364</v>
      </c>
      <c r="E7" s="30" t="n">
        <f aca="false">D7*Segmenter!$B$14</f>
        <v>119185.840707965</v>
      </c>
      <c r="F7" s="26" t="n">
        <v>45</v>
      </c>
      <c r="G7" s="30" t="n">
        <f aca="false">Segmenter!E20*(1+Segmenter!$B$13)*F7/365</f>
        <v>483287.671232877</v>
      </c>
      <c r="H7" s="33" t="n">
        <f aca="false">G7*Segmenter!$B$15</f>
        <v>13800.7085883742</v>
      </c>
      <c r="I7" s="19" t="s">
        <v>171</v>
      </c>
    </row>
    <row r="8" customFormat="false" ht="15" hidden="false" customHeight="false" outlineLevel="0" collapsed="false">
      <c r="A8" s="20" t="str">
        <f aca="false">Segmenter!A21</f>
        <v>Entreprenører og byggmestere</v>
      </c>
      <c r="B8" s="26" t="n">
        <v>36</v>
      </c>
      <c r="C8" s="37" t="n">
        <v>22</v>
      </c>
      <c r="D8" s="31" t="n">
        <f aca="false">B8*C8</f>
        <v>792</v>
      </c>
      <c r="E8" s="30" t="n">
        <f aca="false">D8*Segmenter!$B$14</f>
        <v>259327.433628319</v>
      </c>
      <c r="F8" s="26" t="n">
        <v>85</v>
      </c>
      <c r="G8" s="30" t="n">
        <f aca="false">Segmenter!E21*(1+Segmenter!$B$13)*F8/365</f>
        <v>2216986.30136986</v>
      </c>
      <c r="H8" s="33" t="n">
        <f aca="false">G8*Segmenter!$B$15</f>
        <v>63308.0124133358</v>
      </c>
      <c r="I8" s="19" t="s">
        <v>172</v>
      </c>
    </row>
    <row r="9" customFormat="false" ht="15" hidden="false" customHeight="false" outlineLevel="0" collapsed="false">
      <c r="A9" s="20" t="str">
        <f aca="false">Segmenter!A22</f>
        <v>Næringsbygg og eiendomsdrift</v>
      </c>
      <c r="B9" s="26" t="n">
        <v>22</v>
      </c>
      <c r="C9" s="37" t="n">
        <v>6</v>
      </c>
      <c r="D9" s="31" t="n">
        <f aca="false">B9*C9</f>
        <v>132</v>
      </c>
      <c r="E9" s="30" t="n">
        <f aca="false">D9*Segmenter!$B$14</f>
        <v>43221.2389380531</v>
      </c>
      <c r="F9" s="26" t="n">
        <v>30</v>
      </c>
      <c r="G9" s="30" t="n">
        <f aca="false">Segmenter!E22*(1+Segmenter!$B$13)*F9/365</f>
        <v>460273.97260274</v>
      </c>
      <c r="H9" s="33" t="n">
        <f aca="false">G9*Segmenter!$B$15</f>
        <v>13143.5319889278</v>
      </c>
      <c r="I9" s="19" t="s">
        <v>173</v>
      </c>
    </row>
    <row r="10" customFormat="false" ht="15" hidden="false" customHeight="false" outlineLevel="0" collapsed="false">
      <c r="A10" s="20" t="str">
        <f aca="false">Segmenter!A23</f>
        <v>Offentlige rammeavtaler</v>
      </c>
      <c r="B10" s="26" t="n">
        <v>4</v>
      </c>
      <c r="C10" s="37" t="n">
        <v>30</v>
      </c>
      <c r="D10" s="31" t="n">
        <f aca="false">B10*C10</f>
        <v>120</v>
      </c>
      <c r="E10" s="30" t="n">
        <f aca="false">D10*Segmenter!$B$14</f>
        <v>39292.0353982301</v>
      </c>
      <c r="F10" s="26" t="n">
        <v>90</v>
      </c>
      <c r="G10" s="30" t="n">
        <f aca="false">Segmenter!E23*(1+Segmenter!$B$13)*F10/365</f>
        <v>828493.150684932</v>
      </c>
      <c r="H10" s="33" t="n">
        <f aca="false">G10*Segmenter!$B$15</f>
        <v>23658.3575800701</v>
      </c>
      <c r="I10" s="19" t="s">
        <v>174</v>
      </c>
    </row>
    <row r="11" customFormat="false" ht="15" hidden="false" customHeight="false" outlineLevel="0" collapsed="false">
      <c r="A11" s="21" t="s">
        <v>142</v>
      </c>
      <c r="B11" s="35" t="n">
        <f aca="false">SUM(B6:B10)</f>
        <v>316</v>
      </c>
      <c r="D11" s="35" t="n">
        <f aca="false">SUM(D6:D10)</f>
        <v>1768</v>
      </c>
      <c r="E11" s="24" t="n">
        <f aca="false">SUM(E6:E10)</f>
        <v>578902.654867257</v>
      </c>
      <c r="G11" s="24" t="n">
        <f aca="false">SUM(G6:G10)</f>
        <v>4203835.61643836</v>
      </c>
      <c r="H11" s="24" t="n">
        <f aca="false">SUM(H6:H10)</f>
        <v>120044.258832208</v>
      </c>
    </row>
    <row r="12" customFormat="false" ht="15" hidden="false" customHeight="false" outlineLevel="0" collapsed="false">
      <c r="A12" s="19" t="s">
        <v>175</v>
      </c>
      <c r="D12" s="31" t="n">
        <f aca="false">D11/1695</f>
        <v>1.04306784660767</v>
      </c>
      <c r="I12" s="19" t="s">
        <v>176</v>
      </c>
    </row>
    <row r="14" customFormat="false" ht="15" hidden="false" customHeight="false" outlineLevel="0" collapsed="false">
      <c r="A14" s="17" t="s">
        <v>177</v>
      </c>
    </row>
    <row r="15" customFormat="false" ht="27.75" hidden="false" customHeight="true" outlineLevel="0" collapsed="false">
      <c r="A15" s="22" t="s">
        <v>122</v>
      </c>
      <c r="B15" s="22" t="s">
        <v>128</v>
      </c>
      <c r="C15" s="22" t="s">
        <v>178</v>
      </c>
      <c r="D15" s="22" t="s">
        <v>179</v>
      </c>
      <c r="E15" s="22" t="s">
        <v>180</v>
      </c>
      <c r="F15" s="22" t="s">
        <v>181</v>
      </c>
      <c r="G15" s="22" t="s">
        <v>182</v>
      </c>
      <c r="H15" s="22" t="s">
        <v>183</v>
      </c>
      <c r="I15" s="22" t="s">
        <v>184</v>
      </c>
    </row>
    <row r="16" customFormat="false" ht="15" hidden="false" customHeight="false" outlineLevel="0" collapsed="false">
      <c r="A16" s="20" t="str">
        <f aca="false">Segmenter!A19</f>
        <v>Huseiere og boligeiere</v>
      </c>
      <c r="B16" s="30" t="n">
        <f aca="false">Segmenter!G19</f>
        <v>3360000</v>
      </c>
      <c r="C16" s="30" t="n">
        <f aca="false">-E6</f>
        <v>-117876.10619469</v>
      </c>
      <c r="D16" s="33" t="n">
        <f aca="false">-H6</f>
        <v>-6133.64826149966</v>
      </c>
      <c r="E16" s="24" t="n">
        <f aca="false">B16+C16+D16</f>
        <v>3235990.24554381</v>
      </c>
      <c r="F16" s="32" t="n">
        <f aca="false">IF(Segmenter!F19=0,0,E16/Segmenter!F19)</f>
        <v>898.886179317725</v>
      </c>
      <c r="G16" s="25" t="n">
        <f aca="false">IF(B16=0,0,E16/B16)</f>
        <v>0.963092334983277</v>
      </c>
      <c r="H16" s="36" t="str">
        <f aca="false">RANK(Segmenter!H19,Segmenter!$H$19:$H$23,0)&amp;" → "&amp;RANK(F16,$F$16:$F$20,0)</f>
        <v>3 → 2</v>
      </c>
      <c r="I16" s="20" t="str">
        <f aca="false">IF(RANK(Segmenter!H19,Segmenter!$H$19:$H$23,0)=RANK(F16,$F$16:$F$20,0),"Samme plass",IF(RANK(F16,$F$16:$F$20,0)&lt;RANK(Segmenter!H19,Segmenter!$H$19:$H$23,0),"Opp — segmentet er billigere å selge til enn tabellen over viser","Ned — salgsarbeidet eller kredittiden spiser mer enn i de andre"))</f>
        <v>Opp — segmentet er billigere å selge til enn tabellen over viser</v>
      </c>
    </row>
    <row r="17" customFormat="false" ht="15" hidden="false" customHeight="false" outlineLevel="0" collapsed="false">
      <c r="A17" s="20" t="str">
        <f aca="false">Segmenter!A20</f>
        <v>Borettslag og sameier</v>
      </c>
      <c r="B17" s="30" t="n">
        <f aca="false">Segmenter!G20</f>
        <v>2038400</v>
      </c>
      <c r="C17" s="30" t="n">
        <f aca="false">-E7</f>
        <v>-119185.840707965</v>
      </c>
      <c r="D17" s="33" t="n">
        <f aca="false">-H7</f>
        <v>-13800.7085883742</v>
      </c>
      <c r="E17" s="24" t="n">
        <f aca="false">B17+C17+D17</f>
        <v>1905413.45070366</v>
      </c>
      <c r="F17" s="32" t="n">
        <f aca="false">IF(Segmenter!F20=0,0,E17/Segmenter!F20)</f>
        <v>882.135856807251</v>
      </c>
      <c r="G17" s="25" t="n">
        <f aca="false">IF(B17=0,0,E17/B17)</f>
        <v>0.934759345910352</v>
      </c>
      <c r="H17" s="36" t="str">
        <f aca="false">RANK(Segmenter!H20,Segmenter!$H$19:$H$23,0)&amp;" → "&amp;RANK(F17,$F$16:$F$20,0)</f>
        <v>2 → 3</v>
      </c>
      <c r="I17" s="20" t="str">
        <f aca="false">IF(RANK(Segmenter!H20,Segmenter!$H$19:$H$23,0)=RANK(F17,$F$16:$F$20,0),"Samme plass",IF(RANK(F17,$F$16:$F$20,0)&lt;RANK(Segmenter!H20,Segmenter!$H$19:$H$23,0),"Opp — segmentet er billigere å selge til enn tabellen over viser","Ned — salgsarbeidet eller kredittiden spiser mer enn i de andre"))</f>
        <v>Ned — salgsarbeidet eller kredittiden spiser mer enn i de andre</v>
      </c>
    </row>
    <row r="18" customFormat="false" ht="15" hidden="false" customHeight="false" outlineLevel="0" collapsed="false">
      <c r="A18" s="20" t="str">
        <f aca="false">Segmenter!A21</f>
        <v>Entreprenører og byggmestere</v>
      </c>
      <c r="B18" s="30" t="n">
        <f aca="false">Segmenter!G21</f>
        <v>4248080</v>
      </c>
      <c r="C18" s="30" t="n">
        <f aca="false">-E8</f>
        <v>-259327.433628319</v>
      </c>
      <c r="D18" s="33" t="n">
        <f aca="false">-H8</f>
        <v>-63308.0124133358</v>
      </c>
      <c r="E18" s="24" t="n">
        <f aca="false">B18+C18+D18</f>
        <v>3925444.55395834</v>
      </c>
      <c r="F18" s="32" t="n">
        <f aca="false">IF(Segmenter!F21=0,0,E18/Segmenter!F21)</f>
        <v>757.223100686409</v>
      </c>
      <c r="G18" s="25" t="n">
        <f aca="false">IF(B18=0,0,E18/B18)</f>
        <v>0.924051466535081</v>
      </c>
      <c r="H18" s="36" t="str">
        <f aca="false">RANK(Segmenter!H21,Segmenter!$H$19:$H$23,0)&amp;" → "&amp;RANK(F18,$F$16:$F$20,0)</f>
        <v>5 → 5</v>
      </c>
      <c r="I18" s="20" t="str">
        <f aca="false">IF(RANK(Segmenter!H21,Segmenter!$H$19:$H$23,0)=RANK(F18,$F$16:$F$20,0),"Samme plass",IF(RANK(F18,$F$16:$F$20,0)&lt;RANK(Segmenter!H21,Segmenter!$H$19:$H$23,0),"Opp — segmentet er billigere å selge til enn tabellen over viser","Ned — salgsarbeidet eller kredittiden spiser mer enn i de andre"))</f>
        <v>Samme plass</v>
      </c>
    </row>
    <row r="19" customFormat="false" ht="15" hidden="false" customHeight="false" outlineLevel="0" collapsed="false">
      <c r="A19" s="20" t="str">
        <f aca="false">Segmenter!A22</f>
        <v>Næringsbygg og eiendomsdrift</v>
      </c>
      <c r="B19" s="30" t="n">
        <f aca="false">Segmenter!G22</f>
        <v>2912000</v>
      </c>
      <c r="C19" s="30" t="n">
        <f aca="false">-E9</f>
        <v>-43221.2389380531</v>
      </c>
      <c r="D19" s="33" t="n">
        <f aca="false">-H9</f>
        <v>-13143.5319889278</v>
      </c>
      <c r="E19" s="24" t="n">
        <f aca="false">B19+C19+D19</f>
        <v>2855635.22907302</v>
      </c>
      <c r="F19" s="32" t="n">
        <f aca="false">IF(Segmenter!F22=0,0,E19/Segmenter!F22)</f>
        <v>1525.44616937661</v>
      </c>
      <c r="G19" s="25" t="n">
        <f aca="false">IF(B19=0,0,E19/B19)</f>
        <v>0.980643966027823</v>
      </c>
      <c r="H19" s="36" t="str">
        <f aca="false">RANK(Segmenter!H22,Segmenter!$H$19:$H$23,0)&amp;" → "&amp;RANK(F19,$F$16:$F$20,0)</f>
        <v>1 → 1</v>
      </c>
      <c r="I19" s="20" t="str">
        <f aca="false">IF(RANK(Segmenter!H22,Segmenter!$H$19:$H$23,0)=RANK(F19,$F$16:$F$20,0),"Samme plass",IF(RANK(F19,$F$16:$F$20,0)&lt;RANK(Segmenter!H22,Segmenter!$H$19:$H$23,0),"Opp — segmentet er billigere å selge til enn tabellen over viser","Ned — salgsarbeidet eller kredittiden spiser mer enn i de andre"))</f>
        <v>Samme plass</v>
      </c>
    </row>
    <row r="20" customFormat="false" ht="15" hidden="false" customHeight="false" outlineLevel="0" collapsed="false">
      <c r="A20" s="20" t="str">
        <f aca="false">Segmenter!A23</f>
        <v>Offentlige rammeavtaler</v>
      </c>
      <c r="B20" s="30" t="n">
        <f aca="false">Segmenter!G23</f>
        <v>1451520</v>
      </c>
      <c r="C20" s="30" t="n">
        <f aca="false">-E10</f>
        <v>-39292.0353982301</v>
      </c>
      <c r="D20" s="33" t="n">
        <f aca="false">-H10</f>
        <v>-23658.3575800701</v>
      </c>
      <c r="E20" s="24" t="n">
        <f aca="false">B20+C20+D20</f>
        <v>1388569.6070217</v>
      </c>
      <c r="F20" s="32" t="n">
        <f aca="false">IF(Segmenter!F23=0,0,E20/Segmenter!F23)</f>
        <v>876.622226655113</v>
      </c>
      <c r="G20" s="25" t="n">
        <f aca="false">IF(B20=0,0,E20/B20)</f>
        <v>0.95663139813554</v>
      </c>
      <c r="H20" s="36" t="str">
        <f aca="false">RANK(Segmenter!H23,Segmenter!$H$19:$H$23,0)&amp;" → "&amp;RANK(F20,$F$16:$F$20,0)</f>
        <v>4 → 4</v>
      </c>
      <c r="I20" s="20" t="str">
        <f aca="false">IF(RANK(Segmenter!H23,Segmenter!$H$19:$H$23,0)=RANK(F20,$F$16:$F$20,0),"Samme plass",IF(RANK(F20,$F$16:$F$20,0)&lt;RANK(Segmenter!H23,Segmenter!$H$19:$H$23,0),"Opp — segmentet er billigere å selge til enn tabellen over viser","Ned — salgsarbeidet eller kredittiden spiser mer enn i de andre"))</f>
        <v>Samme plass</v>
      </c>
    </row>
    <row r="21" customFormat="false" ht="15" hidden="false" customHeight="false" outlineLevel="0" collapsed="false">
      <c r="A21" s="21" t="s">
        <v>142</v>
      </c>
      <c r="B21" s="24" t="n">
        <f aca="false">SUM(B16:B20)</f>
        <v>14010000</v>
      </c>
      <c r="C21" s="24" t="n">
        <f aca="false">SUM(C16:C20)</f>
        <v>-578902.654867257</v>
      </c>
      <c r="D21" s="24" t="n">
        <f aca="false">SUM(D16:D20)</f>
        <v>-120044.258832208</v>
      </c>
      <c r="E21" s="24" t="n">
        <f aca="false">SUM(E16:E20)</f>
        <v>13311053.0863005</v>
      </c>
      <c r="F21" s="32" t="n">
        <f aca="false">E21/Segmenter!F24</f>
        <v>924.378686548648</v>
      </c>
      <c r="G21" s="25" t="n">
        <f aca="false">E21/B21</f>
        <v>0.950110855553215</v>
      </c>
    </row>
    <row r="23" customFormat="false" ht="15" hidden="false" customHeight="false" outlineLevel="0" collapsed="false">
      <c r="A23" s="17" t="s">
        <v>185</v>
      </c>
    </row>
    <row ht="27" customHeight="true" r="24" customFormat="false" hidden="false" outlineLevel="0" collapsed="false">
      <c s="41" r="A24" t="s">
        <v>186</v>
      </c>
      <c r="B24" s="36" t="str">
        <f aca="false">INDEX($A$16:$A$20,MATCH(MAX($F$16:$F$20),$F$16:$F$20,0))</f>
        <v>Næringsbygg og eiendomsdrift</v>
      </c>
      <c r="F24" s="33" t="n">
        <f aca="false">MAX($F$16:$F$20)</f>
        <v>1525.44616937661</v>
      </c>
    </row>
    <row ht="27" customHeight="true" r="25" customFormat="false" hidden="false" outlineLevel="0" collapsed="false">
      <c s="41" r="A25" t="s">
        <v>187</v>
      </c>
      <c r="B25" s="36" t="str">
        <f aca="false">INDEX($A$16:$A$20,MATCH(MIN($F$16:$F$20),$F$16:$F$20,0))</f>
        <v>Entreprenører og byggmestere</v>
      </c>
      <c r="F25" s="33" t="n">
        <f aca="false">MIN($F$16:$F$20)</f>
        <v>757.223100686409</v>
      </c>
    </row>
    <row r="26" customFormat="false" ht="15" hidden="false" customHeight="false" outlineLevel="0" collapsed="false">
      <c r="A26" s="19" t="s">
        <v>150</v>
      </c>
      <c r="F26" s="31" t="n">
        <f aca="false">MAX($F$16:$F$20)/MIN($F$16:$F$20)</f>
        <v>2.01452672005625</v>
      </c>
      <c r="I26" s="19" t="s">
        <v>188</v>
      </c>
    </row>
    <row r="27" customFormat="false" ht="15" hidden="false" customHeight="false" outlineLevel="0" collapsed="false">
      <c r="A27" s="19" t="s">
        <v>189</v>
      </c>
      <c r="F27" s="38" t="n">
        <f aca="false">SUMPRODUCT(--(I16:I20&lt;&gt;"Samme plass"))</f>
        <v>2</v>
      </c>
    </row>
    <row r="29" customFormat="false" ht="15" hidden="false" customHeight="false" outlineLevel="0" collapsed="false">
      <c r="A29" s="17" t="s">
        <v>152</v>
      </c>
    </row>
    <row r="30" customFormat="false" ht="15" hidden="false" customHeight="false" outlineLevel="0" collapsed="false">
      <c r="A30" s="19" t="s">
        <v>190</v>
      </c>
      <c r="E30" s="36" t="str">
        <f aca="false">IF(ABS(B21+C21+D21-E21)&lt;1,"OK — dekningsbidrag minus salgskostnad og rente er lik kundelønnsomheten","AVVIK: linjene summerer seg ikke til kundelønnsomheten")</f>
        <v>OK — dekningsbidrag minus salgskostnad og rente er lik kundelønnsomheten</v>
      </c>
    </row>
    <row r="31" customFormat="false" ht="15" hidden="false" customHeight="false" outlineLevel="0" collapsed="false">
      <c r="A31" s="19" t="s">
        <v>191</v>
      </c>
      <c r="E31" s="36" t="str">
        <f aca="false">IF(ABS(G11-4200000)/4200000&lt;0.05,"OK — den kapitalen segmentene binder, stemmer med kundefordringene i balansen til Nordlys","AVVIK: kredittdagene stemmer ikke med balansen. Enten er betalingstiden feil, eller så mangler et segment")</f>
        <v>OK — den kapitalen segmentene binder, stemmer med kundefordringene i balansen til Nordlys</v>
      </c>
    </row>
    <row r="32" customFormat="false" ht="15" hidden="false" customHeight="false" outlineLevel="0" collapsed="false">
      <c r="A32" s="19" t="s">
        <v>192</v>
      </c>
      <c r="E32" s="36" t="str">
        <f aca="false">IF(MIN($G$16:$G$20)&gt;0,"OK — alle fem segmentene gir positivt bidrag etter salgsarbeid og kreditt","AVVIK: minst ett segment går i minus. Da er det ikke lenger et segment å diskutere, men et som skal avvikles")</f>
        <v>OK — alle fem segmentene gir positivt bidrag etter salgsarbeid og kreditt</v>
      </c>
    </row>
    <row r="33" customFormat="false" ht="15" hidden="false" customHeight="false" outlineLevel="0" collapsed="false">
      <c r="A33" s="19" t="s">
        <v>193</v>
      </c>
      <c r="E33" s="36" t="str">
        <f aca="false">IF(F27&gt;0,"OK — rangeringen endrer seg når salgsarbeidet og kreditten regnes med. Det er hele grunnen til at dette arket finnes","AVVIK: ingen segmenter bytter plass. Da holder det med tabellen i arket Segmenter")</f>
        <v>OK — rangeringen endrer seg når salgsarbeidet og kreditten regnes med. Det er hele grunnen til at dette arket finnes</v>
      </c>
    </row>
    <row r="34" customFormat="false" ht="15" hidden="false" customHeight="false" outlineLevel="0" collapsed="false">
      <c r="A34" s="19" t="s">
        <v>194</v>
      </c>
      <c r="E34" s="36" t="str">
        <f aca="false">IF(D12&lt;1.3,"OK — tilbudsarbeidet får plass innenfor drøyt ett årsverk","AVVIK: tilbudsarbeidet krever mer enn ett og et kvart årsverk. Da må noen ansettes, eller så må bedriften gi færre tilbud")</f>
        <v>OK — tilbudsarbeidet får plass innenfor drøyt ett årsverk</v>
      </c>
    </row>
    <row r="36" customFormat="false" ht="15" hidden="false" customHeight="false" outlineLevel="0" collapsed="false">
      <c r="A36" s="21" t="s">
        <v>195</v>
      </c>
    </row>
    <row r="37" customFormat="false" ht="15" hidden="false" customHeight="false" outlineLevel="0" collapsed="false">
      <c r="A37" s="16" t="s">
        <v>196</v>
      </c>
    </row>
  </sheetData>
  <conditionalFormatting sqref="E30">
    <cfRule type="expression" priority="2" aboveAverage="0" equalAverage="0" bottom="0" percent="0" rank="0" text="" dxfId="0">
      <formula>LEFT(E30,5)="AVVIK"</formula>
    </cfRule>
  </conditionalFormatting>
  <conditionalFormatting sqref="E31">
    <cfRule type="expression" priority="3" aboveAverage="0" equalAverage="0" bottom="0" percent="0" rank="0" text="" dxfId="0">
      <formula>LEFT(E31,5)="AVVIK"</formula>
    </cfRule>
  </conditionalFormatting>
  <conditionalFormatting sqref="E32">
    <cfRule type="expression" priority="4" aboveAverage="0" equalAverage="0" bottom="0" percent="0" rank="0" text="" dxfId="0">
      <formula>LEFT(E32,5)="AVVIK"</formula>
    </cfRule>
  </conditionalFormatting>
  <conditionalFormatting sqref="E33">
    <cfRule type="expression" priority="5" aboveAverage="0" equalAverage="0" bottom="0" percent="0" rank="0" text="" dxfId="0">
      <formula>LEFT(E33,5)="AVVIK"</formula>
    </cfRule>
  </conditionalFormatting>
  <conditionalFormatting sqref="E34">
    <cfRule type="expression" priority="6" aboveAverage="0" equalAverage="0" bottom="0" percent="0" rank="0" text="" dxfId="0">
      <formula>LEFT(E34,5)="AVVIK"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0"/>
    <col collapsed="false" customWidth="true" hidden="false" outlineLevel="0" max="4" min="3" style="0" width="18"/>
    <col collapsed="false" customWidth="true" hidden="false" outlineLevel="0" max="5" min="5" style="0" width="52"/>
  </cols>
  <sheetData>
    <row r="1" customFormat="false" ht="17.35" hidden="false" customHeight="false" outlineLevel="0" collapsed="false">
      <c r="A1" s="1" t="s">
        <v>197</v>
      </c>
    </row>
    <row r="2" customFormat="false" ht="15" hidden="false" customHeight="false" outlineLevel="0" collapsed="false">
      <c r="A2" s="15" t="s">
        <v>198</v>
      </c>
    </row>
    <row r="4" customFormat="false" ht="15" hidden="false" customHeight="false" outlineLevel="0" collapsed="false">
      <c r="A4" s="17" t="s">
        <v>199</v>
      </c>
    </row>
    <row r="5" customFormat="false" ht="15" hidden="false" customHeight="false" outlineLevel="0" collapsed="false">
      <c r="A5" s="16" t="s">
        <v>200</v>
      </c>
    </row>
    <row r="7" customFormat="false" ht="15" hidden="false" customHeight="false" outlineLevel="0" collapsed="false">
      <c r="A7" s="19" t="s">
        <v>201</v>
      </c>
      <c r="B7" s="26" t="n">
        <v>500</v>
      </c>
      <c r="E7" s="19" t="s">
        <v>202</v>
      </c>
    </row>
    <row r="8" customFormat="false" ht="15" hidden="false" customHeight="false" outlineLevel="0" collapsed="false">
      <c r="A8" s="19" t="s">
        <v>203</v>
      </c>
      <c r="B8" s="36" t="str">
        <f aca="false">Kundelønnsomhet!B25</f>
        <v>Entreprenører og byggmestere</v>
      </c>
      <c r="C8" s="33" t="n">
        <f aca="false">Kundelønnsomhet!F25</f>
        <v>757.223100686409</v>
      </c>
    </row>
    <row r="9" customFormat="false" ht="15" hidden="false" customHeight="false" outlineLevel="0" collapsed="false">
      <c r="A9" s="19" t="s">
        <v>204</v>
      </c>
      <c r="B9" s="36" t="str">
        <f aca="false">Kundelønnsomhet!B24</f>
        <v>Næringsbygg og eiendomsdrift</v>
      </c>
      <c r="C9" s="33" t="n">
        <f aca="false">Kundelønnsomhet!F24</f>
        <v>1525.44616937661</v>
      </c>
    </row>
    <row r="10" customFormat="false" ht="15" hidden="false" customHeight="false" outlineLevel="0" collapsed="false">
      <c r="A10" s="19" t="s">
        <v>205</v>
      </c>
      <c r="C10" s="33" t="n">
        <f aca="false">C9-C8</f>
        <v>768.223068690204</v>
      </c>
    </row>
    <row r="11" customFormat="false" ht="15" hidden="false" customHeight="false" outlineLevel="0" collapsed="false">
      <c r="A11" s="21" t="s">
        <v>206</v>
      </c>
      <c r="B11" s="24" t="n">
        <f aca="false">B7*C10</f>
        <v>384111.534345102</v>
      </c>
      <c r="E11" s="19" t="s">
        <v>207</v>
      </c>
    </row>
    <row r="12" customFormat="false" ht="15" hidden="false" customHeight="false" outlineLevel="0" collapsed="false">
      <c r="A12" s="19" t="s">
        <v>208</v>
      </c>
      <c r="B12" s="25" t="n">
        <f aca="false">B11/Segmenter!$B$12</f>
        <v>0.285797272578201</v>
      </c>
    </row>
    <row r="13" customFormat="false" ht="15" hidden="false" customHeight="false" outlineLevel="0" collapsed="false">
      <c r="A13" s="19" t="s">
        <v>209</v>
      </c>
      <c r="B13" s="31" t="n">
        <f aca="false">INDEX(Segmenter!$F$19:$F$23,MATCH(B8,Segmenter!$A$19:$A$23,0))</f>
        <v>5184</v>
      </c>
    </row>
    <row r="14" customFormat="false" ht="15" hidden="false" customHeight="false" outlineLevel="0" collapsed="false">
      <c r="A14" s="19" t="s">
        <v>210</v>
      </c>
      <c r="B14" s="25" t="n">
        <f aca="false">B7/B13</f>
        <v>0.0964506172839506</v>
      </c>
      <c r="E14" s="19" t="s">
        <v>211</v>
      </c>
    </row>
    <row r="16" customFormat="false" ht="15" hidden="false" customHeight="false" outlineLevel="0" collapsed="false">
      <c r="A16" s="17" t="s">
        <v>152</v>
      </c>
    </row>
    <row r="17" customFormat="false" ht="15" hidden="false" customHeight="false" outlineLevel="0" collapsed="false">
      <c r="A17" s="19" t="s">
        <v>212</v>
      </c>
      <c r="B17" s="36" t="str">
        <f aca="false">IF(B7&lt;=B13,"OK — det er nok timer i det svakeste segmentet til å flytte så mange","AVVIK: du flytter flere timer enn det finnes i segmentet. Da må du ta timer fra et annet segment også")</f>
        <v>OK — det er nok timer i det svakeste segmentet til å flytte så mange</v>
      </c>
    </row>
    <row r="18" customFormat="false" ht="15" hidden="false" customHeight="false" outlineLevel="0" collapsed="false">
      <c r="A18" s="19" t="s">
        <v>213</v>
      </c>
      <c r="B18" s="36" t="str">
        <f aca="false">IF(B11&gt;0,"OK — det beste segmentet gir mer per time enn det svakeste","AVVIK: flyttingen gir ingen gevinst. Sjekk rangeringen i arket Kundelønnsomhet")</f>
        <v>OK — det beste segmentet gir mer per time enn det svakeste</v>
      </c>
    </row>
    <row r="21" customFormat="false" ht="15" hidden="false" customHeight="false" outlineLevel="0" collapsed="false">
      <c r="A21" s="17" t="s">
        <v>214</v>
      </c>
    </row>
    <row r="22" customFormat="false" ht="15" hidden="false" customHeight="false" outlineLevel="0" collapsed="false">
      <c r="A22" s="16" t="s">
        <v>215</v>
      </c>
    </row>
    <row r="24" customFormat="false" ht="27.75" hidden="false" customHeight="true" outlineLevel="0" collapsed="false">
      <c r="A24" s="22"/>
      <c r="B24" s="22" t="s">
        <v>216</v>
      </c>
      <c r="C24" s="22" t="s">
        <v>217</v>
      </c>
      <c r="D24" s="22" t="s">
        <v>218</v>
      </c>
      <c r="E24" s="22" t="s">
        <v>219</v>
      </c>
    </row>
    <row r="25" customFormat="false" ht="15" hidden="false" customHeight="false" outlineLevel="0" collapsed="false">
      <c r="A25" s="21" t="s">
        <v>122</v>
      </c>
      <c r="B25" s="18" t="s">
        <v>136</v>
      </c>
      <c r="E25" s="19" t="s">
        <v>220</v>
      </c>
    </row>
    <row r="26" customFormat="false" ht="15" hidden="false" customHeight="false" outlineLevel="0" collapsed="false">
      <c r="A26" s="19" t="s">
        <v>72</v>
      </c>
      <c r="B26" s="38" t="n">
        <f aca="false">INDEX(Kundelønnsomhet!$F$6:$F$10,MATCH(B25,Kundelønnsomhet!$A$6:$A$10,0))</f>
        <v>85</v>
      </c>
      <c r="C26" s="26" t="n">
        <v>30</v>
      </c>
      <c r="D26" s="38" t="n">
        <f aca="false">C26-B26</f>
        <v>-55</v>
      </c>
    </row>
    <row r="27" customFormat="false" ht="15" hidden="false" customHeight="false" outlineLevel="0" collapsed="false">
      <c r="A27" s="19" t="s">
        <v>221</v>
      </c>
      <c r="B27" s="30" t="n">
        <f aca="false">INDEX(Segmenter!$E$19:$E$23,MATCH(B25,Segmenter!$A$19:$A$23,0))</f>
        <v>7616000</v>
      </c>
      <c r="C27" s="30" t="n">
        <f aca="false">B27</f>
        <v>7616000</v>
      </c>
      <c r="E27" s="19" t="s">
        <v>222</v>
      </c>
    </row>
    <row r="28" customFormat="false" ht="15" hidden="false" customHeight="false" outlineLevel="0" collapsed="false">
      <c r="A28" s="19" t="s">
        <v>223</v>
      </c>
      <c r="B28" s="30" t="n">
        <f aca="false">B27*(1+Segmenter!$B$13)*B26/365</f>
        <v>2216986.30136986</v>
      </c>
      <c r="C28" s="30" t="n">
        <f aca="false">C27*(1+Segmenter!$B$13)*C26/365</f>
        <v>782465.753424658</v>
      </c>
      <c r="D28" s="30" t="n">
        <f aca="false">C28-B28</f>
        <v>-1434520.54794521</v>
      </c>
    </row>
    <row r="29" customFormat="false" ht="15" hidden="false" customHeight="false" outlineLevel="0" collapsed="false">
      <c r="A29" s="19" t="s">
        <v>224</v>
      </c>
      <c r="B29" s="33" t="n">
        <f aca="false">B28*Segmenter!$B$15</f>
        <v>63308.0124133358</v>
      </c>
      <c r="C29" s="33" t="n">
        <f aca="false">C28*Segmenter!$B$15</f>
        <v>22344.0043811773</v>
      </c>
      <c r="D29" s="33" t="n">
        <f aca="false">C29-B29</f>
        <v>-40964.0080321584</v>
      </c>
    </row>
    <row r="30" customFormat="false" ht="15" hidden="false" customHeight="false" outlineLevel="0" collapsed="false">
      <c r="A30" s="21" t="s">
        <v>225</v>
      </c>
      <c r="B30" s="24" t="n">
        <f aca="false">B29-C29</f>
        <v>40964.0080321584</v>
      </c>
      <c r="E30" s="19" t="s">
        <v>226</v>
      </c>
    </row>
    <row r="31" customFormat="false" ht="15" hidden="false" customHeight="false" outlineLevel="0" collapsed="false">
      <c r="A31" s="19" t="s">
        <v>227</v>
      </c>
      <c r="B31" s="24" t="n">
        <f aca="false">B28-C28</f>
        <v>1434520.54794521</v>
      </c>
      <c r="E31" s="19" t="s">
        <v>228</v>
      </c>
    </row>
    <row r="32" customFormat="false" ht="15" hidden="false" customHeight="false" outlineLevel="0" collapsed="false">
      <c r="A32" s="19" t="s">
        <v>229</v>
      </c>
      <c r="B32" s="25" t="n">
        <f aca="false">B31/1000000</f>
        <v>1.43452054794521</v>
      </c>
    </row>
    <row r="34" customFormat="false" ht="15" hidden="false" customHeight="false" outlineLevel="0" collapsed="false">
      <c r="A34" s="17" t="s">
        <v>152</v>
      </c>
    </row>
    <row r="35" customFormat="false" ht="15" hidden="false" customHeight="false" outlineLevel="0" collapsed="false">
      <c r="A35" s="19" t="s">
        <v>230</v>
      </c>
      <c r="B35" s="36" t="str">
        <f aca="false">IF(ISNUMBER(MATCH(B25,Segmenter!$A$19:$A$23,0)),"OK — segmentet finnes i arket Segmenter","AVVIK: fant ikke segmentet. Skriv navnet nøyaktig slik det står i kolonne A i arket Segmenter")</f>
        <v>OK — segmentet finnes i arket Segmenter</v>
      </c>
    </row>
    <row r="36" customFormat="false" ht="15" hidden="false" customHeight="false" outlineLevel="0" collapsed="false">
      <c r="A36" s="19" t="s">
        <v>231</v>
      </c>
      <c r="B36" s="36" t="str">
        <f aca="false">IF(C26&lt;B26,IF(B31&gt;0,"OK — kortere kredittid frigjør kapital","AVVIK: kortere kredittid skal frigjøre kapital"),"OK — du har satt kredittiden opp, ikke ned. Da binder du mer kapital, og tallene er negative")</f>
        <v>OK — kortere kredittid frigjør kapital</v>
      </c>
    </row>
    <row r="39" customFormat="false" ht="15" hidden="false" customHeight="false" outlineLevel="0" collapsed="false">
      <c r="A39" s="17" t="s">
        <v>232</v>
      </c>
    </row>
    <row r="40" customFormat="false" ht="15" hidden="false" customHeight="false" outlineLevel="0" collapsed="false">
      <c r="A40" s="16" t="s">
        <v>233</v>
      </c>
    </row>
    <row r="42" customFormat="false" ht="15" hidden="false" customHeight="false" outlineLevel="0" collapsed="false">
      <c r="A42" s="19" t="s">
        <v>234</v>
      </c>
      <c r="B42" s="18" t="s">
        <v>136</v>
      </c>
    </row>
    <row r="43" customFormat="false" ht="15" hidden="false" customHeight="false" outlineLevel="0" collapsed="false">
      <c r="A43" s="19" t="s">
        <v>235</v>
      </c>
      <c r="B43" s="18" t="s">
        <v>138</v>
      </c>
      <c r="E43" s="19" t="s">
        <v>236</v>
      </c>
    </row>
    <row r="44" customFormat="false" ht="15" hidden="false" customHeight="false" outlineLevel="0" collapsed="false">
      <c r="A44" s="19" t="s">
        <v>237</v>
      </c>
      <c r="B44" s="24" t="n">
        <f aca="false">INDEX(Segmenter!$E$19:$E$23,MATCH(B42,Segmenter!$A$19:$A$23,0))</f>
        <v>7616000</v>
      </c>
    </row>
    <row r="45" customFormat="false" ht="15" hidden="false" customHeight="false" outlineLevel="0" collapsed="false">
      <c r="A45" s="19" t="s">
        <v>238</v>
      </c>
      <c r="B45" s="24" t="n">
        <f aca="false">INDEX(Kundelønnsomhet!$E$16:$E$20,MATCH(B42,Kundelønnsomhet!$A$16:$A$20,0))</f>
        <v>3925444.55395834</v>
      </c>
    </row>
    <row r="46" customFormat="false" ht="15" hidden="false" customHeight="false" outlineLevel="0" collapsed="false">
      <c r="A46" s="19" t="s">
        <v>239</v>
      </c>
      <c r="B46" s="35" t="n">
        <f aca="false">INDEX(Segmenter!$F$19:$F$23,MATCH(B42,Segmenter!$A$19:$A$23,0))</f>
        <v>5184</v>
      </c>
    </row>
    <row ht="27" customHeight="true" r="47" customFormat="false" hidden="false" outlineLevel="0" collapsed="false">
      <c s="41" r="A47" t="s">
        <v>240</v>
      </c>
      <c r="B47" s="33" t="n">
        <f aca="false">INDEX(Kundelønnsomhet!$F$16:$F$20,MATCH(B43,Kundelønnsomhet!$A$16:$A$20,0))</f>
        <v>1525.44616937661</v>
      </c>
    </row>
    <row r="48" customFormat="false" ht="15" hidden="false" customHeight="false" outlineLevel="0" collapsed="false">
      <c r="A48" s="21" t="s">
        <v>241</v>
      </c>
      <c r="B48" s="24" t="n">
        <f aca="false">B46*B47</f>
        <v>7907912.94204836</v>
      </c>
    </row>
    <row r="49" customFormat="false" ht="15" hidden="false" customHeight="false" outlineLevel="0" collapsed="false">
      <c r="A49" s="21" t="s">
        <v>242</v>
      </c>
      <c r="B49" s="24" t="n">
        <f aca="false">B48-B45</f>
        <v>3982468.38809002</v>
      </c>
      <c r="E49" s="19" t="s">
        <v>243</v>
      </c>
    </row>
    <row r="51" customFormat="false" ht="15" hidden="false" customHeight="false" outlineLevel="0" collapsed="false">
      <c r="A51" s="17" t="s">
        <v>244</v>
      </c>
    </row>
    <row r="52" customFormat="false" ht="15" hidden="false" customHeight="false" outlineLevel="0" collapsed="false">
      <c r="A52" s="19" t="s">
        <v>245</v>
      </c>
      <c r="B52" s="26" t="n">
        <v>6</v>
      </c>
      <c r="E52" s="19" t="s">
        <v>246</v>
      </c>
    </row>
    <row r="53" customFormat="false" ht="15" hidden="false" customHeight="false" outlineLevel="0" collapsed="false">
      <c r="A53" s="21" t="s">
        <v>247</v>
      </c>
      <c r="B53" s="39" t="n">
        <f aca="false">B46/B52</f>
        <v>864</v>
      </c>
    </row>
    <row r="54" customFormat="false" ht="15" hidden="false" customHeight="false" outlineLevel="0" collapsed="false">
      <c r="A54" s="19" t="s">
        <v>248</v>
      </c>
      <c r="B54" s="26" t="n">
        <v>210</v>
      </c>
    </row>
    <row r="55" customFormat="false" ht="15" hidden="false" customHeight="false" outlineLevel="0" collapsed="false">
      <c r="A55" s="21" t="s">
        <v>249</v>
      </c>
      <c r="B55" s="35" t="n">
        <f aca="false">B53/B54</f>
        <v>4.11428571428571</v>
      </c>
      <c r="E55" s="19" t="s">
        <v>250</v>
      </c>
    </row>
    <row r="56" customFormat="false" ht="15" hidden="false" customHeight="false" outlineLevel="0" collapsed="false">
      <c r="A56" s="19" t="s">
        <v>251</v>
      </c>
      <c r="E56" s="40" t="str">
        <f aca="false">IF(B49&lt;=0,"Byttet lønner seg ikke — segmentet du sier nei til gir mer per time",IF(B55&gt;2,"Byttet lønner seg PÅ PAPIRET, men krever at segmentet mer enn dobles. Sjekk om oppdragene finnes i markedet før du sier nei til noe","Byttet lønner seg, og volumet er innenfor rekkevidde"))</f>
        <v>Byttet lønner seg PÅ PAPIRET, men krever at segmentet mer enn dobles. Sjekk om oppdragene finnes i markedet før du sier nei til noe</v>
      </c>
    </row>
    <row r="58" customFormat="false" ht="15" hidden="false" customHeight="false" outlineLevel="0" collapsed="false">
      <c r="A58" s="17" t="s">
        <v>152</v>
      </c>
    </row>
    <row r="59" customFormat="false" ht="15" hidden="false" customHeight="false" outlineLevel="0" collapsed="false">
      <c r="A59" s="19" t="s">
        <v>252</v>
      </c>
      <c r="B59" s="36" t="str">
        <f aca="false">IF(AND(ISNUMBER(MATCH(B42,Segmenter!$A$19:$A$23,0)),ISNUMBER(MATCH(B43,Segmenter!$A$19:$A$23,0))),"OK — begge segmentene finnes","AVVIK: fant ikke ett av segmentene. Skriv navnene nøyaktig slik de står i arket Segmenter")</f>
        <v>OK — begge segmentene finnes</v>
      </c>
    </row>
    <row r="60" customFormat="false" ht="15" hidden="false" customHeight="false" outlineLevel="0" collapsed="false">
      <c r="A60" s="19" t="s">
        <v>253</v>
      </c>
      <c r="B60" s="36" t="str">
        <f aca="false">IF(B42&lt;&gt;B43,"OK — du flytter timene til et annet segment","AVVIK: du flytter timene til det samme segmentet du sa nei til")</f>
        <v>OK — du flytter timene til et annet segment</v>
      </c>
    </row>
    <row r="61" customFormat="false" ht="15" hidden="false" customHeight="false" outlineLevel="0" collapsed="false">
      <c r="A61" s="19" t="s">
        <v>254</v>
      </c>
      <c r="B61" s="36" t="str">
        <f aca="false">IF(B55&gt;2,"OK — byttet krever at segmentet mer enn dobles. Det er nettopp derfor svaret ikke er å kutte alt som gir minst per time","AVVIK: byttet krever ikke at segmentet vokser vesentlig. Da mangler kravet om segmentstørrelse sin skranke")</f>
        <v>OK — byttet krever at segmentet mer enn dobles. Det er nettopp derfor svaret ikke er å kutte alt som gir minst per time</v>
      </c>
    </row>
    <row r="63" customFormat="false" ht="15" hidden="false" customHeight="false" outlineLevel="0" collapsed="false">
      <c r="A63" s="16" t="s">
        <v>255</v>
      </c>
    </row>
  </sheetData>
  <conditionalFormatting sqref="B17">
    <cfRule type="expression" priority="2" aboveAverage="0" equalAverage="0" bottom="0" percent="0" rank="0" text="" dxfId="0">
      <formula>LEFT(B17,5)="AVVIK"</formula>
    </cfRule>
  </conditionalFormatting>
  <conditionalFormatting sqref="B18">
    <cfRule type="expression" priority="3" aboveAverage="0" equalAverage="0" bottom="0" percent="0" rank="0" text="" dxfId="0">
      <formula>LEFT(B18,5)="AVVIK"</formula>
    </cfRule>
  </conditionalFormatting>
  <conditionalFormatting sqref="B35">
    <cfRule type="expression" priority="4" aboveAverage="0" equalAverage="0" bottom="0" percent="0" rank="0" text="" dxfId="0">
      <formula>LEFT(B35,5)="AVVIK"</formula>
    </cfRule>
  </conditionalFormatting>
  <conditionalFormatting sqref="B36">
    <cfRule type="expression" priority="5" aboveAverage="0" equalAverage="0" bottom="0" percent="0" rank="0" text="" dxfId="0">
      <formula>LEFT(B36,5)="AVVIK"</formula>
    </cfRule>
  </conditionalFormatting>
  <conditionalFormatting sqref="B59">
    <cfRule type="expression" priority="6" aboveAverage="0" equalAverage="0" bottom="0" percent="0" rank="0" text="" dxfId="0">
      <formula>LEFT(B59,5)="AVVIK"</formula>
    </cfRule>
  </conditionalFormatting>
  <conditionalFormatting sqref="B60">
    <cfRule type="expression" priority="7" aboveAverage="0" equalAverage="0" bottom="0" percent="0" rank="0" text="" dxfId="0">
      <formula>LEFT(B60,5)="AVVIK"</formula>
    </cfRule>
  </conditionalFormatting>
  <conditionalFormatting sqref="B61">
    <cfRule type="expression" priority="8" aboveAverage="0" equalAverage="0" bottom="0" percent="0" rank="0" text="" dxfId="0">
      <formula>LEFT(B61,5)="AVVIK"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5"/>
    <col collapsed="false" customWidth="true" hidden="false" outlineLevel="0" max="4" min="4" style="0" width="13"/>
    <col collapsed="false" customWidth="true" hidden="false" outlineLevel="0" max="8" min="5" style="0" width="15"/>
    <col collapsed="false" customWidth="true" hidden="false" outlineLevel="0" max="9" min="9" style="0" width="44"/>
  </cols>
  <sheetData>
    <row r="1" customFormat="false" ht="17.35" hidden="false" customHeight="false" outlineLevel="0" collapsed="false">
      <c r="A1" s="1" t="s">
        <v>51</v>
      </c>
    </row>
    <row r="2" customFormat="false" ht="15" hidden="false" customHeight="false" outlineLevel="0" collapsed="false">
      <c r="A2" s="15" t="s">
        <v>256</v>
      </c>
    </row>
    <row r="4" customFormat="false" ht="15" hidden="false" customHeight="false" outlineLevel="0" collapsed="false">
      <c r="A4" s="17" t="s">
        <v>257</v>
      </c>
    </row>
    <row r="5" customFormat="false" ht="15" hidden="false" customHeight="false" outlineLevel="0" collapsed="false">
      <c r="A5" s="19" t="s">
        <v>105</v>
      </c>
      <c r="B5" s="23" t="n">
        <v>0</v>
      </c>
      <c r="I5" s="19" t="s">
        <v>258</v>
      </c>
    </row>
    <row r="6" customFormat="false" ht="15" hidden="false" customHeight="false" outlineLevel="0" collapsed="false">
      <c r="A6" s="19" t="s">
        <v>259</v>
      </c>
      <c r="B6" s="23" t="n">
        <v>0</v>
      </c>
      <c r="I6" s="19" t="s">
        <v>260</v>
      </c>
    </row>
    <row r="7" customFormat="false" ht="15" hidden="false" customHeight="false" outlineLevel="0" collapsed="false">
      <c r="A7" s="19" t="s">
        <v>112</v>
      </c>
      <c r="B7" s="23" t="n">
        <v>0</v>
      </c>
      <c r="I7" s="19" t="s">
        <v>261</v>
      </c>
    </row>
    <row r="8" customFormat="false" ht="15" hidden="false" customHeight="false" outlineLevel="0" collapsed="false">
      <c r="A8" s="19" t="s">
        <v>117</v>
      </c>
      <c r="B8" s="23" t="n">
        <v>0</v>
      </c>
      <c r="I8" s="19" t="s">
        <v>262</v>
      </c>
    </row>
    <row r="9" customFormat="false" ht="15" hidden="false" customHeight="false" outlineLevel="0" collapsed="false">
      <c r="A9" s="19" t="s">
        <v>119</v>
      </c>
      <c r="B9" s="23" t="n">
        <v>0</v>
      </c>
      <c r="I9" s="19" t="s">
        <v>263</v>
      </c>
    </row>
    <row r="10" customFormat="false" ht="15" hidden="false" customHeight="false" outlineLevel="0" collapsed="false">
      <c r="A10" s="19" t="s">
        <v>116</v>
      </c>
      <c r="B10" s="27" t="n">
        <v>0.25</v>
      </c>
    </row>
    <row r="12" customFormat="false" ht="15" hidden="false" customHeight="false" outlineLevel="0" collapsed="false">
      <c r="A12" s="17" t="s">
        <v>264</v>
      </c>
    </row>
    <row r="13" customFormat="false" ht="27.75" hidden="false" customHeight="true" outlineLevel="0" collapsed="false">
      <c r="A13" s="22" t="s">
        <v>122</v>
      </c>
      <c r="B13" s="22" t="s">
        <v>123</v>
      </c>
      <c r="C13" s="22" t="s">
        <v>124</v>
      </c>
      <c r="D13" s="22" t="s">
        <v>125</v>
      </c>
      <c r="E13" s="22" t="s">
        <v>162</v>
      </c>
      <c r="F13" s="22" t="s">
        <v>163</v>
      </c>
      <c r="G13" s="22" t="s">
        <v>166</v>
      </c>
      <c r="H13" s="22" t="s">
        <v>129</v>
      </c>
      <c r="I13" s="22" t="s">
        <v>265</v>
      </c>
    </row>
    <row r="14" customFormat="false" ht="15" hidden="false" customHeight="false" outlineLevel="0" collapsed="false">
      <c r="A14" s="18"/>
      <c r="B14" s="27" t="n">
        <v>0</v>
      </c>
      <c r="C14" s="27" t="n">
        <v>0</v>
      </c>
      <c r="D14" s="27" t="n">
        <v>0</v>
      </c>
      <c r="E14" s="26" t="n">
        <v>0</v>
      </c>
      <c r="F14" s="37" t="n">
        <v>0</v>
      </c>
      <c r="G14" s="26" t="n">
        <v>0</v>
      </c>
      <c r="H14" s="33" t="n">
        <f aca="false">IF(C14=0,0,(B14*$B$5*D14)/(C14*$B$7))</f>
        <v>0</v>
      </c>
      <c r="I14" s="32" t="n">
        <f aca="false">IF(C14=0,0,(B14*$B$5*D14-E14*F14*$B$8-B14*$B$5*(1+$B$10)*G14/365*$B$9)/(C14*$B$7))</f>
        <v>0</v>
      </c>
    </row>
    <row r="15" customFormat="false" ht="15" hidden="false" customHeight="false" outlineLevel="0" collapsed="false">
      <c r="A15" s="18"/>
      <c r="B15" s="27" t="n">
        <v>0</v>
      </c>
      <c r="C15" s="27" t="n">
        <v>0</v>
      </c>
      <c r="D15" s="27" t="n">
        <v>0</v>
      </c>
      <c r="E15" s="26" t="n">
        <v>0</v>
      </c>
      <c r="F15" s="37" t="n">
        <v>0</v>
      </c>
      <c r="G15" s="26" t="n">
        <v>0</v>
      </c>
      <c r="H15" s="33" t="n">
        <f aca="false">IF(C15=0,0,(B15*$B$5*D15)/(C15*$B$7))</f>
        <v>0</v>
      </c>
      <c r="I15" s="32" t="n">
        <f aca="false">IF(C15=0,0,(B15*$B$5*D15-E15*F15*$B$8-B15*$B$5*(1+$B$10)*G15/365*$B$9)/(C15*$B$7))</f>
        <v>0</v>
      </c>
    </row>
    <row r="16" customFormat="false" ht="15" hidden="false" customHeight="false" outlineLevel="0" collapsed="false">
      <c r="A16" s="18"/>
      <c r="B16" s="27" t="n">
        <v>0</v>
      </c>
      <c r="C16" s="27" t="n">
        <v>0</v>
      </c>
      <c r="D16" s="27" t="n">
        <v>0</v>
      </c>
      <c r="E16" s="26" t="n">
        <v>0</v>
      </c>
      <c r="F16" s="37" t="n">
        <v>0</v>
      </c>
      <c r="G16" s="26" t="n">
        <v>0</v>
      </c>
      <c r="H16" s="33" t="n">
        <f aca="false">IF(C16=0,0,(B16*$B$5*D16)/(C16*$B$7))</f>
        <v>0</v>
      </c>
      <c r="I16" s="32" t="n">
        <f aca="false">IF(C16=0,0,(B16*$B$5*D16-E16*F16*$B$8-B16*$B$5*(1+$B$10)*G16/365*$B$9)/(C16*$B$7))</f>
        <v>0</v>
      </c>
    </row>
    <row r="17" customFormat="false" ht="15" hidden="false" customHeight="false" outlineLevel="0" collapsed="false">
      <c r="A17" s="18"/>
      <c r="B17" s="27" t="n">
        <v>0</v>
      </c>
      <c r="C17" s="27" t="n">
        <v>0</v>
      </c>
      <c r="D17" s="27" t="n">
        <v>0</v>
      </c>
      <c r="E17" s="26" t="n">
        <v>0</v>
      </c>
      <c r="F17" s="37" t="n">
        <v>0</v>
      </c>
      <c r="G17" s="26" t="n">
        <v>0</v>
      </c>
      <c r="H17" s="33" t="n">
        <f aca="false">IF(C17=0,0,(B17*$B$5*D17)/(C17*$B$7))</f>
        <v>0</v>
      </c>
      <c r="I17" s="32" t="n">
        <f aca="false">IF(C17=0,0,(B17*$B$5*D17-E17*F17*$B$8-B17*$B$5*(1+$B$10)*G17/365*$B$9)/(C17*$B$7))</f>
        <v>0</v>
      </c>
    </row>
    <row r="18" customFormat="false" ht="15" hidden="false" customHeight="false" outlineLevel="0" collapsed="false">
      <c r="A18" s="18"/>
      <c r="B18" s="27" t="n">
        <v>0</v>
      </c>
      <c r="C18" s="27" t="n">
        <v>0</v>
      </c>
      <c r="D18" s="27" t="n">
        <v>0</v>
      </c>
      <c r="E18" s="26" t="n">
        <v>0</v>
      </c>
      <c r="F18" s="37" t="n">
        <v>0</v>
      </c>
      <c r="G18" s="26" t="n">
        <v>0</v>
      </c>
      <c r="H18" s="33" t="n">
        <f aca="false">IF(C18=0,0,(B18*$B$5*D18)/(C18*$B$7))</f>
        <v>0</v>
      </c>
      <c r="I18" s="32" t="n">
        <f aca="false">IF(C18=0,0,(B18*$B$5*D18-E18*F18*$B$8-B18*$B$5*(1+$B$10)*G18/365*$B$9)/(C18*$B$7))</f>
        <v>0</v>
      </c>
    </row>
    <row r="19" customFormat="false" ht="15" hidden="false" customHeight="false" outlineLevel="0" collapsed="false">
      <c r="A19" s="21" t="s">
        <v>142</v>
      </c>
      <c r="B19" s="34" t="n">
        <f aca="false">SUM(B14:B18)</f>
        <v>0</v>
      </c>
      <c r="C19" s="34" t="n">
        <f aca="false">SUM(C14:C18)</f>
        <v>0</v>
      </c>
    </row>
    <row r="21" customFormat="false" ht="15" hidden="false" customHeight="false" outlineLevel="0" collapsed="false">
      <c r="A21" s="17" t="s">
        <v>152</v>
      </c>
    </row>
    <row r="22" customFormat="false" ht="15" hidden="false" customHeight="false" outlineLevel="0" collapsed="false">
      <c r="A22" s="19" t="s">
        <v>153</v>
      </c>
      <c r="E22" s="36" t="str">
        <f aca="false">IF($B$5=0,"Fyll inn tallene over.",IF(AND(ABS(B19-1)&lt;0.0001,ABS(C19-1)&lt;0.0001),"OK — omsetning og timer er fullt fordelt","AVVIK: andelene summerer seg ikke til hundre prosent"))</f>
        <v>Fyll inn tallene over.</v>
      </c>
    </row>
    <row r="23" customFormat="false" ht="15" hidden="false" customHeight="false" outlineLevel="0" collapsed="false">
      <c r="A23" s="19" t="s">
        <v>154</v>
      </c>
      <c r="E23" s="36" t="str">
        <f aca="false">IF($B$5=0,"Fyll inn tallene over.",IF(ABS(SUMPRODUCT(B14:B18,D14:D18)*$B$5-$B$6)/MAX(1,$B$6)&lt;0.02,"OK — segmentene deler bedriftens eget dekningsbidrag","AVVIK: summen av segmentenes dekningsbidrag stemmer ikke med bedriftens. Juster dekningsgraden i ett av segmentene"))</f>
        <v>Fyll inn tallene over.</v>
      </c>
    </row>
    <row r="25" customFormat="false" ht="15" hidden="false" customHeight="false" outlineLevel="0" collapsed="false">
      <c r="A25" s="21" t="s">
        <v>266</v>
      </c>
    </row>
  </sheetData>
  <conditionalFormatting sqref="E22">
    <cfRule type="expression" priority="2" aboveAverage="0" equalAverage="0" bottom="0" percent="0" rank="0" text="" dxfId="0">
      <formula>LEFT(E22,5)="AVVIK"</formula>
    </cfRule>
  </conditionalFormatting>
  <conditionalFormatting sqref="E23">
    <cfRule type="expression" priority="3" aboveAverage="0" equalAverage="0" bottom="0" percent="0" rank="0" text="" dxfId="0">
      <formula>LEFT(E23,5)="AVVIK"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2026-09-11T09:30:05Z</dcterms:created>
  <dc:creator>openpyxl</dc:creator>
  <dc:description/>
  <dc:language>en-US</dc:language>
  <cp:lastModifiedBy/>
  <dcterms:modified xsi:type="dcterms:W3CDTF">2026-10-07T06:05:19Z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