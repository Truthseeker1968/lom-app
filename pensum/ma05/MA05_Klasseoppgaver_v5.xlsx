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<sst xmlns="http://schemas.openxmlformats.org/spreadsheetml/2006/main" count="195" uniqueCount="154">
  <si>
    <t xml:space="preserve">Klasseoppgaver til Markedsføring kapittel 5: Markedssegmentering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</si>
  <si>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</si>
  <si>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</si>
  <si>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</si>
  <si>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</si>
  <si>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</si>
  <si>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</si>
  <si>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</si>
  <si>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</si>
  <si>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segmentkartet over de fem kundetypene (Nordlys)</t>
  </si>
  <si>
    <t xml:space="preserve">A2</t>
  </si>
  <si>
    <t xml:space="preserve">Fjell Elektro: brukbare kriterier, og et segment som kan måles (Egen el-bedrift)</t>
  </si>
  <si>
    <t xml:space="preserve">B1</t>
  </si>
  <si>
    <t xml:space="preserve">Nordlys: hvilke segmenter skal bli målgrupper? (Nordlys)</t>
  </si>
  <si>
    <t xml:space="preserve">B2</t>
  </si>
  <si>
    <t xml:space="preserve">Fjell Elektro: ett stort prosjekt, ett nytt segment? (Egen el-bedrift)</t>
  </si>
  <si>
    <t xml:space="preserve">Læreboka</t>
  </si>
  <si>
    <t xml:space="preserve">Hjertnes, F.: Markedsføring, organisasjon og ledelse for LØM-emnet, kapittel 5.</t>
  </si>
  <si>
    <t xml:space="preserve">Appen</t>
  </si>
  <si>
    <t xml:space="preserve">Markedsføring kap. 5 → Øv → Klasseoppgaver gir fasit per deloppgave.</t>
  </si>
  <si>
    <t xml:space="preserve">A1 · Nordlys: segmentkartet over de fem kundetypene</t>
  </si>
  <si>
    <t xml:space="preserve">25 minutter · Helst alene. Sammen med sidemannen eller flere hvis du vil. Ark og blyant, appen (PC eller mobil) eller læreboka.</t>
  </si>
  <si>
    <t xml:space="preserve">Kort oppsummert: Markedssegmentering er å dele markedet i undermarkeder eller delmarkeder (5.1). Utgangspunktet er at ulike kunder har ulike behov, og segmenteringen ivaretar begge parter: kunden får et tilbud som passer, og selgeren blir mer konkurransedyktig (5.2). På bedriftsmarkedet bruker boka fire kriterier: størrelse, bransje (offentlige etater, private bedrifter, organisasjoner), beliggenhet og viktighet for bedriften (5.6).</t>
  </si>
  <si>
    <t xml:space="preserve">Casen er lagt til 2026/2027. Nordlys omsatte for 22 400 000 kr i fjor og fakturerte 14 400 montørtimer, og timene er brukt opp. Kundene er huseiere, borettslag, entreprenører, næringsbygg og offentlige rammeavtaler, men alle får samme prisliste og samme lovnad om «svar samme dag». Kari vil ha et segmentkart før hun bestemmer noe. Tabellen viser hver kundetypes andel av omsetningen og av montørtimene. Gå fram slik: regn om andelene til kroner og timer, finn hvilket kriterium som skiller kundetypene, og vurder Karis påstand om hvem som er viktigst.</t>
  </si>
  <si>
    <t xml:space="preserve">Kundetype</t>
  </si>
  <si>
    <t xml:space="preserve">Andel av omsetningen</t>
  </si>
  <si>
    <t xml:space="preserve">Andel av timene</t>
  </si>
  <si>
    <t xml:space="preserve">Huseiere</t>
  </si>
  <si>
    <t xml:space="preserve">20 %</t>
  </si>
  <si>
    <t xml:space="preserve">25 %</t>
  </si>
  <si>
    <t xml:space="preserve">Borettslag</t>
  </si>
  <si>
    <t xml:space="preserve">14 %</t>
  </si>
  <si>
    <t xml:space="preserve">15 %</t>
  </si>
  <si>
    <t xml:space="preserve">Entreprenører</t>
  </si>
  <si>
    <t xml:space="preserve">34 %</t>
  </si>
  <si>
    <t xml:space="preserve">36 %</t>
  </si>
  <si>
    <t xml:space="preserve">Næringsbygg</t>
  </si>
  <si>
    <t xml:space="preserve">13 %</t>
  </si>
  <si>
    <t xml:space="preserve">Offentlig (rammeavtaler)</t>
  </si>
  <si>
    <t xml:space="preserve">12 %</t>
  </si>
  <si>
    <t xml:space="preserve">11 %</t>
  </si>
  <si>
    <t xml:space="preserve">= I alt</t>
  </si>
  <si>
    <t xml:space="preserve">22 400 000 kr</t>
  </si>
  <si>
    <t xml:space="preserve">14 400 timer</t>
  </si>
  <si>
    <t xml:space="preserve">Gule celler med spørsmålstegn kan du fylle inn selv mens du regner.</t>
  </si>
  <si>
    <t xml:space="preserve">Deloppgave</t>
  </si>
  <si>
    <t xml:space="preserve">Ditt svar</t>
  </si>
  <si>
    <t xml:space="preserve">Sjekk</t>
  </si>
  <si>
    <t xml:space="preserve">a)  Hvor stor var omsetningen i segmentet borettslag? Andelen ganger hele omsetningen.</t>
  </si>
  <si>
    <t xml:space="preserve">Formel og begrep</t>
  </si>
  <si>
    <t xml:space="preserve">Segmentets omsetning = andel × total omsetning. Første krav til en målgruppe er at segmentet kan identifiseres, beskrives og måles (Markedsføring 5.7).</t>
  </si>
  <si>
    <t xml:space="preserve">b)  Huseiere og næringsbygg står for 20 % av omsetningen hver. Hvor mange flere montørtimer bruker huseierne enn næringsbyggene?</t>
  </si>
  <si>
    <t xml:space="preserve">Segmentets timer = andel × totale timer. Det største segmentet er ikke alltid det mest lønnsomme (Markedsføring 5.7).</t>
  </si>
  <si>
    <t xml:space="preserve">c)  Nordlys skiller mellom entreprenører, næringsbygg og offentlige rammeavtaler. Hvilket av bokas fire kriterier på bedriftsmarkedet er det først og fremst?   A: Beliggenhet   B: Bransje   C: Viktighet for bedriften   (skriv bokstaven)</t>
  </si>
  <si>
    <t xml:space="preserve">d)  Kari sier: «Entreprenørene er 34 % av omsetningen, så de er det viktigste segmentet vårt.» Hvilken påstand er riktig?   A: Hun har rett: viktighet måles i omsetning, og den største kunden er viktigst   B: Viktighet er et kriterium i boka, men omsetning alene sier ikke hva segmentet gir: entreprenørene bruker 36 % av timene   C: Viktighet er ikke et segmenteringskriterium i boka   (skriv bokstaven)</t>
  </si>
  <si>
    <t xml:space="preserve">e)  Nordlys gir i dag alle fem kundetypene samme tilbud. Velg ett segment, og forklar hva det trenger annerledes enn de andre, og hva både kunden og Nordlys vinner på et tilbud som er laget for det. To–tre setninger.</t>
  </si>
  <si>
    <t xml:space="preserve">Segmentering ivaretar begge parter: kunden får større behovstilfredsstillelse, og selgeren større konkurransedyktighet (Markedsføring 5.2). Differensieringen kan knyttes til produkt, pris, distribusjon, kommunikasjon eller service (5.8.2).</t>
  </si>
  <si>
    <t xml:space="preserve">Hint, hvis du står fast</t>
  </si>
  <si>
    <t xml:space="preserve">Fra andel til kroner og timer</t>
  </si>
  <si>
    <t xml:space="preserve">Omsetning i et segment = andelen × 22 400 000. Timer i et segment = andelen × 14 400. Regn begge for huseiere og næringsbygg, og trekk fra.</t>
  </si>
  <si>
    <t xml:space="preserve">Kriteriet og Karis påstand</t>
  </si>
  <si>
    <t xml:space="preserve">Bokas fire kriterier på bedriftsmarkedet er størrelse, bransje, beliggenhet og viktighet (5.6). Se på kolonnen for timer: får Nordlys like mye igjen for timene som for omsetningen?</t>
  </si>
  <si>
    <t xml:space="preserve">Kilde: Hjertnes, F.: Markedsføring, organisasjon og ledelse for LØM-emnet, kap. 5, avsnitt 5.1–5.2 (segmentering) og 5.6 (segmenteringskriterier på bedriftsmarkedet). Andelene er de samme som i appen og sammendraget til kapittel 5. Nordlys Elektro AS er en konstruert casebedrift.</t>
  </si>
  <si>
    <t xml:space="preserve">Regnearket er øvingsstøtte. Det kan ikke siteres eller vises til i besvarelser, prosjektoppgaver eller eksamen; der gjelder læreboka og oppgitte primærkilder.</t>
  </si>
  <si>
    <t xml:space="preserve">A2 · Fjell Elektro: brukbare kriterier, og et segment som kan måles</t>
  </si>
  <si>
    <t xml:space="preserve">Kort oppsummert: Et segmenteringskriterium er en egenskap ved kjøperne som gir en pålitelig indikasjon på felles ønsker og behov. Kravet er at det skiller kundegrupper med ulike behov (5.4). Demografiske kriterier er kjønn, alder, sivilstand, utdanning og yrke, inntekt og bosted: enkle å bruke. Psykografiske kriterier (livsstil) er mye vanskeligere å fastslå og bruke (5.5). Et segment må kunne identifiseres og måles, gjerne med offentlig statistikk og rimelige antagelser (5.7).</t>
  </si>
  <si>
    <t xml:space="preserve">Fjell Elektro AS har vært i drift i over ett år og jobber med boliger og små næringskunder i Oslo øst. Mona Fjell vil slutte å ta det som kommer, og vil dele boligkundene i segmenter. Hun har hentet tall: i nedslagsfeltet er det 4 000 eneboliger, og 45 % av dem er bygd før 1980. Hun antar at 5 % av de eldre eneboligene bytter sikringsskap hvert år. Et sikringsskapbytte tar 6 timer, og Fjell har 3 500 fakturerbare timer i året. Gå fram slik: bestem typen kriterium, sorter kriteriene i brukbare og ubrukelige, og regn hvor mange sikringsskapbytter segmentet gir i året.</t>
  </si>
  <si>
    <t xml:space="preserve">Forutsetning</t>
  </si>
  <si>
    <t xml:space="preserve">Verdi</t>
  </si>
  <si>
    <t xml:space="preserve">Fjell i dag</t>
  </si>
  <si>
    <t xml:space="preserve">Boliger og små næringskunder i Oslo øst</t>
  </si>
  <si>
    <t xml:space="preserve">Eneboliger i området</t>
  </si>
  <si>
    <t xml:space="preserve">4 000</t>
  </si>
  <si>
    <t xml:space="preserve">Bygd før 1980</t>
  </si>
  <si>
    <t xml:space="preserve">45 % av eneboligene</t>
  </si>
  <si>
    <t xml:space="preserve">Monas antagelse</t>
  </si>
  <si>
    <t xml:space="preserve">5 % av de eldre bytter skap hvert år</t>
  </si>
  <si>
    <t xml:space="preserve">Sikringsskapbytte</t>
  </si>
  <si>
    <t xml:space="preserve">6 timer per jobb</t>
  </si>
  <si>
    <t xml:space="preserve">Kapasitet</t>
  </si>
  <si>
    <t xml:space="preserve">3 500 fakturerbare timer i året</t>
  </si>
  <si>
    <t xml:space="preserve">Monas idé</t>
  </si>
  <si>
    <t xml:space="preserve">Segment: «miljøbevisste» for solceller</t>
  </si>
  <si>
    <t xml:space="preserve">a)  Mona deler boligkundene etter om de bor i enebolig, rekkehus eller leilighet i blokk. Hvilken type segmenteringskriterium er det?   A: Demografisk (bosted)   B: Psykografisk (livsstil)   C: Bedriftsmarkedets kriterium (størrelse)   (skriv bokstaven)</t>
  </si>
  <si>
    <t xml:space="preserve">b)  Ja eller nei for hvert kriterium: er det brukbart for Fjell, altså skiller det boligkunder med ulike behov for el-tjenester?</t>
  </si>
  <si>
    <t xml:space="preserve">      Boligens byggeår   (Ja eller Nei)</t>
  </si>
  <si>
    <t xml:space="preserve">      Om kunden har elbil og egen parkeringsplass   (Ja eller Nei)</t>
  </si>
  <si>
    <t xml:space="preserve">      Boligtype: enebolig, rekkehus eller blokk   (Ja eller Nei)</t>
  </si>
  <si>
    <t xml:space="preserve">      Kundens kjønn   (Ja eller Nei)</t>
  </si>
  <si>
    <t xml:space="preserve">      Kundens sivilstand   (Ja eller Nei)</t>
  </si>
  <si>
    <t xml:space="preserve">      Postnummer innenfor Oslo øst   (Ja eller Nei)</t>
  </si>
  <si>
    <t xml:space="preserve">c)  Hvor mange sikringsskapbytter i året gir segmentet «eneboliger bygd før 1980», med Monas antagelse om 5 %?</t>
  </si>
  <si>
    <t xml:space="preserve">Segmentets størrelse = antall × andel × andel. Segmenter kan identifiseres og måles med offentlig statistikk supplert med rimelige antagelser (Markedsføring 5.7).</t>
  </si>
  <si>
    <t xml:space="preserve">d)  Mona vil bruke «miljøbevisste huseiere» som eneste kriterium for å finne solcellekunder. Hva er problemet, ifølge boka?   A: Psykografiske kriterier er ikke tillatt å bruke i Norge   B: Livsstil er vanskelig å fastslå: Fjell kan verken telle eller finne disse kundene uten et demografisk kriterium i tillegg   C: Livsstil er et kriterium for bedriftsmarkedet, ikke for boliger   (skriv bokstaven)</t>
  </si>
  <si>
    <t xml:space="preserve">e)  Hvilket boligsegment bør Mona beskrive først, og med hvilke to kriterier? Bruk tallene du har regnet, og si om segmentet passer Fjells kapasitet. To–tre setninger.</t>
  </si>
  <si>
    <t xml:space="preserve">Demografiske kriterier (Markedsføring 5.4), identifiserbarhet og tilpasning til kapasitet (5.7).</t>
  </si>
  <si>
    <t xml:space="preserve">Brukbart eller ikke</t>
  </si>
  <si>
    <t xml:space="preserve">Spør for hvert kriterium: vil gruppene ha forskjellige ting av en elektriker? Lett å måle er ikke nok (5.4).</t>
  </si>
  <si>
    <t xml:space="preserve">Segmentets størrelse</t>
  </si>
  <si>
    <t xml:space="preserve">Antall eneboliger × andelen bygd før 1980 × andelen som bytter skap i året. Gang med 6 timer og sammenlikn med 3 500.</t>
  </si>
  <si>
    <t xml:space="preserve">Kilde: Hjertnes, F.: Markedsføring, organisasjon og ledelse for LØM-emnet, kap. 5, avsnitt 5.4 (demografiske kriterier), 5.5 (psykografiske kriterier) og 5.7 (identifiserbarhet med offentlig statistikk og rimelige antagelser). Sikringsskapbyttet på 6 timer er fra Økonomistyring kap. 7. Fjell Elektro AS og Haugerud Bygg AS er konstruerte casebedrifter; boligtallene for Oslo øst er konstruerte.</t>
  </si>
  <si>
    <t xml:space="preserve">B1 · Nordlys: hvilke segmenter skal bli målgrupper?</t>
  </si>
  <si>
    <t xml:space="preserve">Kort oppsummert: Valg av målgrupper er å vurdere segmentene kritisk og plukke ut dem bedriften vil satse på (5.7). Et segment må være identifiserbart, tilgjengelig, stort nok og tilpasset kapasiteten. Størrelsen henger sammen med lønnsomhetspotensialet, og det største segmentet er ikke alltid det mest lønnsomme. Når montørtimen er den knappe faktoren, måles segmentene i dekningsbidrag per montørtime, etter at den direkte lønna er trukket fra (Økonomistyring kap. 2 og 7). Udifferensiert markedsføring er samme tilbud til alle, differensiert er ulike tilbud til ulike grupper, konsentrert er å satse på ett eller noen få segmenter (5.8).</t>
  </si>
  <si>
    <t xml:space="preserve">Nordlys fakturerer 14 400 montørtimer i året, og timene er brukt opp. Et nytt segment kan derfor bare vokse ved å ta timer fra et annet. Tabellen viser omsetning, bruttofortjeneste i prosent og montørtimer per kundetype. Bruttofortjenesten er omsetningen minus materiell og innleide montører; montørlønna er ikke trukket fra. Nordlys regner 640 kr per montørtime i direkte lønn, og montørtimen som går til en jobb, er en variabel kostnad. Dekningsbidraget er derfor bruttofortjenesten minus 640 kr per time. Gå fram slik: regn bruttofortjenesten per time og trekk fra lønna, regn hva det gir å flytte timer, og velg strategi.</t>
  </si>
  <si>
    <t xml:space="preserve">Omsetning, kr</t>
  </si>
  <si>
    <t xml:space="preserve">Brutto­fortjeneste, %</t>
  </si>
  <si>
    <t xml:space="preserve">Timer</t>
  </si>
  <si>
    <t xml:space="preserve">75,0 %</t>
  </si>
  <si>
    <t xml:space="preserve">65,0 %</t>
  </si>
  <si>
    <t xml:space="preserve">55,8 %</t>
  </si>
  <si>
    <t xml:space="preserve">Offentlig</t>
  </si>
  <si>
    <t xml:space="preserve">54,0 %</t>
  </si>
  <si>
    <t xml:space="preserve">62,5 %</t>
  </si>
  <si>
    <t xml:space="preserve">a)  Hvor mye gir borettslagene i dekningsbidrag per montørtime? Omsetning ganger bruttofortjeneste i prosent, delt på timene, minus 640 kr i direkte lønn per time. Svar i hele kroner.</t>
  </si>
  <si>
    <t xml:space="preserve">Dekningsbidrag per montørtime = omsetning × bruttofortjeneste i % / timer − direkte lønn per time. Dekningsbidrag = salgsinntekt − variable kostnader (Økonomistyring kap. 2); knapp faktor (kap. 7). Ikke fra Markedsføring kap. 5.</t>
  </si>
  <si>
    <t xml:space="preserve">b)  Nordlys flytter 500 montørtimer i året fra entreprenører (179 kr i dekningsbidrag per time) til service på næringsbygg (916 kr per time). Hvor mye øker dekningsbidraget?</t>
  </si>
  <si>
    <t xml:space="preserve">Endring i dekningsbidrag = timer flyttet × (dekningsbidrag per time i nytt segment − dekningsbidrag per time i gammelt). Knapp faktor (Økonomistyring kap. 7).</t>
  </si>
  <si>
    <t xml:space="preserve">c)  Nordlys lager en serviceavtale med to timers responstid for næringsbygg og et eget tilbudsoppsett for borettslagsstyrer, og tar huseiere når de ringer. Hvilken målgruppestrategi er det?   A: Udifferensiert markedsføring   B: Differensiert markedsføring   C: Konsentrert markedsføring   (skriv bokstaven)</t>
  </si>
  <si>
    <t xml:space="preserve">d)  Huseierne har Nordlys' høyeste bruttofortjeneste i prosent av omsetningen, 75,0 %. Ronny sier at de derfor er det mest lønnsomme segmentet. Hva er riktig?   A: Ja: høyest prosent av omsetningen betyr mest lønnsomt   B: Nei: prosenten er av omsetningen. Når timen er knapp, gir huseierne 293 kr i dekningsbidrag per time mot næringsbyggenes 916   C: Nei: huseierne betaler for sent til å være lønnsomme   (skriv bokstaven)</t>
  </si>
  <si>
    <t xml:space="preserve">e)  Anbefal Kari to målgrupper og en målgruppestrategi. Test valget mot de fire kravene i boka, og si hva Nordlys gjør med de andre segmentene. Bruk minst ett tall. Tre–fire setninger.</t>
  </si>
  <si>
    <t xml:space="preserve">Valg av målgrupper og de fire kravene (Markedsføring 5.7), målgruppestrategier (5.8), dekningsbidrag per knapp faktor (Økonomistyring kap. 7).</t>
  </si>
  <si>
    <t xml:space="preserve">Kroner per time</t>
  </si>
  <si>
    <t xml:space="preserve">Bruttofortjeneste = omsetning × prosenten. Del på segmentets timer, og trekk fra 640 kr i lønn: da har du dekningsbidrag per montørtime. Gevinsten ved å flytte timer = timer × (ny kr per time − gammel kr per time).</t>
  </si>
  <si>
    <t xml:space="preserve">Strategi og prosenten</t>
  </si>
  <si>
    <t xml:space="preserve">Samme tilbud til alle, ulike tilbud til ulike grupper, eller alt på ett segment (5.8). Prosenten i tabellen er per omsetningskrone; hva er knapt hos Nordlys?</t>
  </si>
  <si>
    <t xml:space="preserve">Kilde: Hjertnes, F.: Markedsføring, organisasjon og ledelse for LØM-emnet, kap. 5, avsnitt 5.7 (valg av målgrupper, fire krav, lønnsomhetspotensial) og 5.8 (målgruppestrategier). Dekningsbidrag per montørtime: Hjertnes og Skorpen, Økonomistyring for LØM-emnet, kap. 2 (dekningsbidrag = salgsinntekt − variable kostnader) og kap. 7 (knapp faktor). Direkte lønn 640 kr per montørtime som i oppdragskalkylene (Økonomistyring kap. 5). Tallene er de samme som i appen og sammendraget til kapittel 5. Nordlys Elektro AS er en konstruert casebedrift.</t>
  </si>
  <si>
    <t xml:space="preserve">B2 · Fjell Elektro: ett stort prosjekt, ett nytt segment?</t>
  </si>
  <si>
    <t xml:space="preserve">Kort oppsummert: Et segment må være tilpasset bedriftens kapasitet og ressurser: bedriften må kunne levere mengdene som etterspørres til rett tid, i den kvaliteten kunden vil ha (5.7). Konsentrert markedsføring er å konsentrere virksomheten om ett eller noen få segmenter; markedsandelen kan være liten og lønnsomheten betydelig (5.8.3). Differensiert markedsføring (5.8.2) er noe annet enn Porters differensiering (3.7.2): det første er ulike tilbud til ulike kundegrupper, det andre er en konkurransestrategi med særpreg kunden betaler for.</t>
  </si>
  <si>
    <t xml:space="preserve">Fjell Elektro har tre årsverk og 3 500 fakturerbare timer i året, timepris 890 kr og en salgsinntekt på 4 795 000 kr første år. Kundene er boliger og små næringskunder i Oslo øst. Haugerud Bygg AS bygger 24 rekkehus og har bedt Fjell om pris på elektroarbeidet: om lag 1 800 fakturerbare timer over seks måneder. Haugerud betaler 60 dager etter månedlig faktura; Fjell har 30 dagers kreditt hos grossisten. Mona vurderer å takke ja og å satse på entreprenørmarkedet framover. Gå fram slik: regn timene Fjell har på et halvår, regn hvor stor del prosjektet tar, og vurder segmentet mot de fire kravene.</t>
  </si>
  <si>
    <t xml:space="preserve">Timepris</t>
  </si>
  <si>
    <t xml:space="preserve">890 kr uten merverdiavgift</t>
  </si>
  <si>
    <t xml:space="preserve">Salgsinntekt første år</t>
  </si>
  <si>
    <t xml:space="preserve">4 795 000 kr</t>
  </si>
  <si>
    <t xml:space="preserve">Haugerud-prosjektet</t>
  </si>
  <si>
    <t xml:space="preserve">24 rekkehus, 1 800 timer på 6 måneder</t>
  </si>
  <si>
    <t xml:space="preserve">Betaling</t>
  </si>
  <si>
    <t xml:space="preserve">Haugerud 60 dager, grossisten 30</t>
  </si>
  <si>
    <t xml:space="preserve">Fjells kunder i dag</t>
  </si>
  <si>
    <t xml:space="preserve">Boliger og små næringskunder</t>
  </si>
  <si>
    <t xml:space="preserve">Økonomi</t>
  </si>
  <si>
    <t xml:space="preserve">Driftsmargin 3,0 %, kausjon fra Mona</t>
  </si>
  <si>
    <t xml:space="preserve">a)  Hvor mange fakturerbare timer har Fjell Elektro på et halvår, med 3 500 timer i året jevnt fordelt?</t>
  </si>
  <si>
    <t xml:space="preserve">Kapasitet i en periode = årskapasitet × periodens andel av året. Ingen formel i Markedsføring kap. 5; tallet er grunnlaget for kravet om tilpasning til kapasitet (5.7).</t>
  </si>
  <si>
    <t xml:space="preserve">b)  Hvor stor andel av Fjells timer i det halvåret krever Haugerud-prosjektet? Svar i prosent med én desimal.</t>
  </si>
  <si>
    <t xml:space="preserve">Andel i prosent = del / helhet × 100. Bedriften må kunne levere de mengdene som etterspørres til rett tidspunkt (Markedsføring 5.7).</t>
  </si>
  <si>
    <t xml:space="preserve">c)  Hvilket av lærebokas fire krav til en målgruppe er det tydeligst at entreprenørsegmentet ikke oppfyller for Fjell i dag?   A: Identifiserbart og målbart   B: Stort nok   C: Tilpasset bedriftens kapasitet og ressurser   (skriv bokstaven)</t>
  </si>
  <si>
    <t xml:space="preserve">d)  Mona sier: «Hvis vi bare tar entreprenørjobber, skiller vi oss ut. Det er differensiert markedsføring.» Hva heter det å satse på ett segment, ifølge boka?   A: Differensiert markedsføring   B: Konsentrert markedsføring   C: Udifferensiert markedsføring   (skriv bokstaven)</t>
  </si>
  <si>
    <t xml:space="preserve">e)  Bør Fjell Elektro ta Haugerud-prosjektet og satse på entreprenørmarkedet? Gi Mona en anbefaling med minst ett tall og én risiko. Tre setninger.</t>
  </si>
  <si>
    <t xml:space="preserve">Tilpasning til kapasitet (Markedsføring 5.7), konsentrert og differensiert markedsføring (5.8.2–5.8.3). Kredittid og likviditet er fra Økonomistyring kap. 9.</t>
  </si>
  <si>
    <t xml:space="preserve">Kapasiteten</t>
  </si>
  <si>
    <t xml:space="preserve">Timer på et halvår = 3 500 / 2. Prosjektets andel = 1 800 delt på halvårets timer × 100. Over 100 % betyr at ingen andre kunder får timer.</t>
  </si>
  <si>
    <t xml:space="preserve">Riktig ord</t>
  </si>
  <si>
    <t xml:space="preserve">Boka bruker «differensiert» om ulike tilbud til ulike grupper (5.8.2) og «konsentrert» om å satse på ett eller noen få segmenter (5.8.3).</t>
  </si>
  <si>
    <t xml:space="preserve">Kilde: Hjertnes, F.: Markedsføring, organisasjon og ledelse for LØM-emnet, kap. 5.7 (fire krav, kapasitet) og 5.8 (målgruppestrategier); kap. 3.7.2 (Porter). Haugerud-prosjektet er fra Markedsføring kap. 2; konkurser i bygg: BDO gjengitt i Elektro24-7. Fjell Elektro AS og Haugerud Bygg AS er konstruerte casebedrifter; boligtallene for Oslo øst er konstruerte.</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</si>
</sst>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6" fillId="3" borderId="1" xfId="0" applyFont="true" applyBorder="true" applyAlignment="true" applyProtection="false">
      <alignment horizontal="left" vertical="bottom" textRotation="0" wrapText="true" indent="0" shrinkToFit="false"/>
      <protection locked="true" hidden="false"/>
    </xf>
    <xf numFmtId="164" fontId="6" fillId="3"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6" fillId="3"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26.85" hidden="false" customHeight="false" outlineLevel="0" collapsed="false">
      <c r="A7" s="8" t="s">
        <v>24</v>
      </c>
      <c r="B7" s="9" t="s">
        <v>25</v>
      </c>
      <c r="C7" s="9" t="s">
        <v>26</v>
      </c>
    </row>
    <row r="8" customFormat="false" ht="15" hidden="false" customHeight="false" outlineLevel="0" collapsed="false">
      <c r="A8" s="10" t="s">
        <v>27</v>
      </c>
      <c r="B8" s="11" t="s">
        <v>28</v>
      </c>
      <c r="C8" s="11" t="s">
        <v>29</v>
      </c>
    </row>
    <row r="9" customFormat="false" ht="15" hidden="false" customHeight="false" outlineLevel="0" collapsed="false">
      <c r="A9" s="12" t="s">
        <v>30</v>
      </c>
      <c r="B9" s="13" t="s">
        <v>31</v>
      </c>
      <c r="C9" s="13" t="s">
        <v>32</v>
      </c>
    </row>
    <row r="10" customFormat="false" ht="15" hidden="false" customHeight="false" outlineLevel="0" collapsed="false">
      <c r="A10" s="10" t="s">
        <v>33</v>
      </c>
      <c r="B10" s="11" t="s">
        <v>34</v>
      </c>
      <c r="C10" s="11" t="s">
        <v>35</v>
      </c>
    </row>
    <row r="11" customFormat="false" ht="15" hidden="false" customHeight="false" outlineLevel="0" collapsed="false">
      <c r="A11" s="12" t="s">
        <v>36</v>
      </c>
      <c r="B11" s="13" t="s">
        <v>28</v>
      </c>
      <c r="C11" s="13" t="s">
        <v>37</v>
      </c>
    </row>
    <row r="12" customFormat="false" ht="15" hidden="false" customHeight="false" outlineLevel="0" collapsed="false">
      <c r="A12" s="10" t="s">
        <v>38</v>
      </c>
      <c r="B12" s="11" t="s">
        <v>39</v>
      </c>
      <c r="C12" s="11" t="s">
        <v>40</v>
      </c>
    </row>
    <row r="13" customFormat="false" ht="15" hidden="false" customHeight="false" outlineLevel="0" collapsed="false">
      <c r="A13" s="14" t="s">
        <v>41</v>
      </c>
      <c r="B13" s="15" t="s">
        <v>42</v>
      </c>
      <c r="C13" s="15" t="s">
        <v>43</v>
      </c>
    </row>
    <row r="14" customFormat="false" ht="15" hidden="false" customHeight="true" outlineLevel="0" collapsed="false">
      <c r="A14" s="6" t="s">
        <v>44</v>
      </c>
      <c r="B14" s="6"/>
      <c r="C14" s="6"/>
      <c r="D14" s="6"/>
      <c r="E14" s="6"/>
      <c r="F14" s="6"/>
      <c r="G14" s="6"/>
    </row>
    <row r="16" customFormat="false" ht="15" hidden="false" customHeight="false" outlineLevel="0" collapsed="false">
      <c r="A16" s="16" t="s">
        <v>45</v>
      </c>
      <c r="B16" s="16"/>
      <c r="C16" s="16"/>
      <c r="D16" s="16"/>
      <c r="E16" s="16"/>
      <c r="F16" s="16" t="s">
        <v>46</v>
      </c>
      <c r="G16" s="16" t="s">
        <v>47</v>
      </c>
    </row>
    <row r="17" customFormat="false" ht="18.75" hidden="false" customHeight="true" outlineLevel="0" collapsed="false">
      <c r="A17" s="7" t="s">
        <v>48</v>
      </c>
      <c r="B17" s="7"/>
      <c r="C17" s="7"/>
      <c r="D17" s="7"/>
      <c r="E17" s="7"/>
      <c r="F17" s="17"/>
      <c r="G17" s="18" t="str">
        <f aca="false">IF(F17="","",IF(ABS(F17-(3136000))&lt;=1,"Riktig","Prøv igjen"))</f>
        <v/>
      </c>
    </row>
    <row r="18" customFormat="false" ht="30" hidden="false" customHeight="true" outlineLevel="0" collapsed="false">
      <c r="A18" s="19" t="s">
        <v>49</v>
      </c>
      <c r="B18" s="20" t="s">
        <v>50</v>
      </c>
      <c r="C18" s="20"/>
      <c r="D18" s="20"/>
      <c r="E18" s="20"/>
      <c r="F18" s="20"/>
      <c r="G18" s="20"/>
    </row>
    <row r="20" customFormat="false" ht="33.75" hidden="false" customHeight="true" outlineLevel="0" collapsed="false">
      <c r="A20" s="7" t="s">
        <v>51</v>
      </c>
      <c r="B20" s="7"/>
      <c r="C20" s="7"/>
      <c r="D20" s="7"/>
      <c r="E20" s="7"/>
      <c r="F20" s="17"/>
      <c r="G20" s="18" t="str">
        <f aca="false">IF(F20="","",IF(ABS(F20-(1728))&lt;=0.000000001,"Riktig","Prøv igjen"))</f>
        <v/>
      </c>
    </row>
    <row r="21" customFormat="false" ht="30" hidden="false" customHeight="true" outlineLevel="0" collapsed="false">
      <c r="A21" s="19" t="s">
        <v>49</v>
      </c>
      <c r="B21" s="20" t="s">
        <v>52</v>
      </c>
      <c r="C21" s="20"/>
      <c r="D21" s="20"/>
      <c r="E21" s="20"/>
      <c r="F21" s="20"/>
      <c r="G21" s="20"/>
    </row>
    <row r="23" customFormat="false" ht="48.75" hidden="false" customHeight="true" outlineLevel="0" collapsed="false">
      <c r="A23" s="7" t="s">
        <v>53</v>
      </c>
      <c r="B23" s="7"/>
      <c r="C23" s="7"/>
      <c r="D23" s="7"/>
      <c r="E23" s="7"/>
      <c r="F23" s="21"/>
      <c r="G23" s="18" t="str">
        <f aca="false">IF(F23="","",IF(UPPER(TRIM(F23))="B","Riktig","Prøv igjen"))</f>
        <v/>
      </c>
    </row>
    <row r="24" customFormat="false" ht="78.75" hidden="false" customHeight="true" outlineLevel="0" collapsed="false">
      <c r="A24" s="7" t="s">
        <v>54</v>
      </c>
      <c r="B24" s="7"/>
      <c r="C24" s="7"/>
      <c r="D24" s="7"/>
      <c r="E24" s="7"/>
      <c r="F24" s="21"/>
      <c r="G24" s="18" t="str">
        <f aca="false">IF(F24="","",IF(UPPER(TRIM(F24))="B","Riktig","Prøv igjen"))</f>
        <v/>
      </c>
    </row>
    <row r="25" customFormat="false" ht="48.75" hidden="false" customHeight="true" outlineLevel="0" collapsed="false">
      <c r="A25" s="7" t="s">
        <v>55</v>
      </c>
      <c r="B25" s="7"/>
      <c r="C25" s="7"/>
      <c r="D25" s="7"/>
      <c r="E25" s="7"/>
    </row>
    <row r="26" customFormat="false" ht="15" hidden="false" customHeight="false" outlineLevel="0" collapsed="false">
      <c r="A26" s="22"/>
      <c r="B26" s="22"/>
      <c r="C26" s="22"/>
      <c r="D26" s="22"/>
      <c r="E26" s="22"/>
      <c r="F26" s="22"/>
      <c r="G26" s="22"/>
    </row>
    <row r="27" customFormat="false" ht="15" hidden="false" customHeight="false" outlineLevel="0" collapsed="false">
      <c r="A27" s="22"/>
      <c r="B27" s="22"/>
      <c r="C27" s="22"/>
      <c r="D27" s="22"/>
      <c r="E27" s="22"/>
      <c r="F27" s="22"/>
      <c r="G27" s="22"/>
    </row>
    <row r="28" customFormat="false" ht="15" hidden="false" customHeight="false" outlineLevel="0" collapsed="false">
      <c r="A28" s="22"/>
      <c r="B28" s="22"/>
      <c r="C28" s="22"/>
      <c r="D28" s="22"/>
      <c r="E28" s="22"/>
      <c r="F28" s="22"/>
      <c r="G28" s="22"/>
    </row>
    <row r="29" customFormat="false" ht="42.75" hidden="false" customHeight="true" outlineLevel="0" collapsed="false">
      <c r="A29" s="19" t="s">
        <v>49</v>
      </c>
      <c r="B29" s="20" t="s">
        <v>56</v>
      </c>
      <c r="C29" s="20"/>
      <c r="D29" s="20"/>
      <c r="E29" s="20"/>
      <c r="F29" s="20"/>
      <c r="G29" s="20"/>
    </row>
    <row r="32" customFormat="false" ht="15" hidden="false" customHeight="false" outlineLevel="0" collapsed="false">
      <c r="A32" s="23" t="s">
        <v>57</v>
      </c>
      <c r="B32" s="23"/>
      <c r="C32" s="23"/>
      <c r="D32" s="23"/>
      <c r="E32" s="23"/>
      <c r="F32" s="23"/>
      <c r="G32" s="23"/>
    </row>
    <row r="33" customFormat="false" ht="30" hidden="false" customHeight="true" outlineLevel="0" collapsed="false">
      <c r="A33" s="24" t="s">
        <v>58</v>
      </c>
      <c r="B33" s="25" t="s">
        <v>59</v>
      </c>
      <c r="C33" s="25"/>
      <c r="D33" s="25"/>
      <c r="E33" s="25"/>
      <c r="F33" s="25"/>
      <c r="G33" s="25"/>
    </row>
    <row r="34" customFormat="false" ht="30" hidden="false" customHeight="true" outlineLevel="0" collapsed="false">
      <c r="A34" s="24" t="s">
        <v>60</v>
      </c>
      <c r="B34" s="25" t="s">
        <v>61</v>
      </c>
      <c r="C34" s="25"/>
      <c r="D34" s="25"/>
      <c r="E34" s="25"/>
      <c r="F34" s="25"/>
      <c r="G34" s="25"/>
    </row>
    <row r="36" customFormat="false" ht="48.75" hidden="false" customHeight="true" outlineLevel="0" collapsed="false">
      <c r="A36" s="6" t="s">
        <v>62</v>
      </c>
      <c r="B36" s="6"/>
      <c r="C36" s="6"/>
      <c r="D36" s="6"/>
      <c r="E36" s="6"/>
      <c r="F36" s="6"/>
      <c r="G36" s="6"/>
    </row>
    <row r="37" customFormat="false" ht="15" hidden="false" customHeight="true" outlineLevel="0" collapsed="false">
      <c r="A37" s="6" t="s">
        <v>63</v>
      </c>
      <c r="B37" s="6"/>
      <c r="C37" s="6"/>
      <c r="D37" s="6"/>
      <c r="E37" s="6"/>
      <c r="F37" s="6"/>
      <c r="G37" s="6"/>
    </row>
  </sheetData>
  <mergeCells count="18">
    <mergeCell ref="A4:G4"/>
    <mergeCell ref="A5:G5"/>
    <mergeCell ref="A14:G14"/>
    <mergeCell ref="A16:E16"/>
    <mergeCell ref="A17:E17"/>
    <mergeCell ref="B18:G18"/>
    <mergeCell ref="A20:E20"/>
    <mergeCell ref="B21:G21"/>
    <mergeCell ref="A23:E23"/>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64</v>
      </c>
    </row>
    <row r="2" customFormat="false" ht="15" hidden="false" customHeight="false" outlineLevel="0" collapsed="false">
      <c r="A2" s="2" t="s">
        <v>21</v>
      </c>
    </row>
    <row r="4" customFormat="false" ht="78.75" hidden="false" customHeight="true" outlineLevel="0" collapsed="false">
      <c r="A4" s="6" t="s">
        <v>65</v>
      </c>
      <c r="B4" s="6"/>
      <c r="C4" s="6"/>
      <c r="D4" s="6"/>
      <c r="E4" s="6"/>
      <c r="F4" s="6"/>
      <c r="G4" s="6"/>
    </row>
    <row r="5" customFormat="false" ht="93.75" hidden="false" customHeight="true" outlineLevel="0" collapsed="false">
      <c r="A5" s="7" t="s">
        <v>66</v>
      </c>
      <c r="B5" s="7"/>
      <c r="C5" s="7"/>
      <c r="D5" s="7"/>
      <c r="E5" s="7"/>
      <c r="F5" s="7"/>
      <c r="G5" s="7"/>
    </row>
    <row r="7" customFormat="false" ht="15" hidden="false" customHeight="false" outlineLevel="0" collapsed="false">
      <c r="A7" s="16" t="s">
        <v>67</v>
      </c>
      <c r="B7" s="16" t="s">
        <v>68</v>
      </c>
      <c r="C7" s="16"/>
      <c r="D7" s="16"/>
      <c r="E7" s="16"/>
      <c r="F7" s="16"/>
      <c r="G7" s="16"/>
    </row>
    <row r="8" customFormat="false" ht="18.75" hidden="false" customHeight="true" outlineLevel="0" collapsed="false">
      <c r="A8" s="26" t="s">
        <v>69</v>
      </c>
      <c r="B8" s="7" t="s">
        <v>70</v>
      </c>
      <c r="C8" s="7"/>
      <c r="D8" s="7"/>
      <c r="E8" s="7"/>
      <c r="F8" s="7"/>
      <c r="G8" s="7"/>
    </row>
    <row r="9" customFormat="false" ht="18.75" hidden="false" customHeight="true" outlineLevel="0" collapsed="false">
      <c r="A9" s="26" t="s">
        <v>71</v>
      </c>
      <c r="B9" s="7" t="s">
        <v>72</v>
      </c>
      <c r="C9" s="7"/>
      <c r="D9" s="7"/>
      <c r="E9" s="7"/>
      <c r="F9" s="7"/>
      <c r="G9" s="7"/>
    </row>
    <row r="10" customFormat="false" ht="18.75" hidden="false" customHeight="true" outlineLevel="0" collapsed="false">
      <c r="A10" s="26" t="s">
        <v>73</v>
      </c>
      <c r="B10" s="7" t="s">
        <v>74</v>
      </c>
      <c r="C10" s="7"/>
      <c r="D10" s="7"/>
      <c r="E10" s="7"/>
      <c r="F10" s="7"/>
      <c r="G10" s="7"/>
    </row>
    <row r="11" customFormat="false" ht="18.75" hidden="false" customHeight="true" outlineLevel="0" collapsed="false">
      <c r="A11" s="26" t="s">
        <v>75</v>
      </c>
      <c r="B11" s="7" t="s">
        <v>76</v>
      </c>
      <c r="C11" s="7"/>
      <c r="D11" s="7"/>
      <c r="E11" s="7"/>
      <c r="F11" s="7"/>
      <c r="G11" s="7"/>
    </row>
    <row r="12" customFormat="false" ht="18.75" hidden="false" customHeight="true" outlineLevel="0" collapsed="false">
      <c r="A12" s="26" t="s">
        <v>77</v>
      </c>
      <c r="B12" s="7" t="s">
        <v>78</v>
      </c>
      <c r="C12" s="7"/>
      <c r="D12" s="7"/>
      <c r="E12" s="7"/>
      <c r="F12" s="7"/>
      <c r="G12" s="7"/>
    </row>
    <row r="13" customFormat="false" ht="18.75" hidden="false" customHeight="true" outlineLevel="0" collapsed="false">
      <c r="A13" s="26" t="s">
        <v>79</v>
      </c>
      <c r="B13" s="7" t="s">
        <v>80</v>
      </c>
      <c r="C13" s="7"/>
      <c r="D13" s="7"/>
      <c r="E13" s="7"/>
      <c r="F13" s="7"/>
      <c r="G13" s="7"/>
    </row>
    <row r="14" customFormat="false" ht="18.75" hidden="false" customHeight="true" outlineLevel="0" collapsed="false">
      <c r="A14" s="26" t="s">
        <v>81</v>
      </c>
      <c r="B14" s="7" t="s">
        <v>82</v>
      </c>
      <c r="C14" s="7"/>
      <c r="D14" s="7"/>
      <c r="E14" s="7"/>
      <c r="F14" s="7"/>
      <c r="G14" s="7"/>
    </row>
    <row r="16" customFormat="false" ht="15" hidden="false" customHeight="false" outlineLevel="0" collapsed="false">
      <c r="A16" s="16" t="s">
        <v>45</v>
      </c>
      <c r="B16" s="16"/>
      <c r="C16" s="16"/>
      <c r="D16" s="16"/>
      <c r="E16" s="16"/>
      <c r="F16" s="16" t="s">
        <v>46</v>
      </c>
      <c r="G16" s="16" t="s">
        <v>47</v>
      </c>
    </row>
    <row r="17" customFormat="false" ht="48.75" hidden="false" customHeight="true" outlineLevel="0" collapsed="false">
      <c r="A17" s="7" t="s">
        <v>83</v>
      </c>
      <c r="B17" s="7"/>
      <c r="C17" s="7"/>
      <c r="D17" s="7"/>
      <c r="E17" s="7"/>
      <c r="F17" s="21"/>
      <c r="G17" s="18" t="str">
        <f aca="false">IF(F17="","",IF(UPPER(TRIM(F17))="A","Riktig","Prøv igjen"))</f>
        <v/>
      </c>
    </row>
    <row r="18" customFormat="false" ht="33.75" hidden="false" customHeight="true" outlineLevel="0" collapsed="false">
      <c r="A18" s="7" t="s">
        <v>84</v>
      </c>
      <c r="B18" s="7"/>
      <c r="C18" s="7"/>
      <c r="D18" s="7"/>
      <c r="E18" s="7"/>
    </row>
    <row r="19" customFormat="false" ht="15" hidden="false" customHeight="true" outlineLevel="0" collapsed="false">
      <c r="A19" s="7" t="s">
        <v>85</v>
      </c>
      <c r="B19" s="7"/>
      <c r="C19" s="7"/>
      <c r="D19" s="7"/>
      <c r="E19" s="7"/>
      <c r="F19" s="21"/>
      <c r="G19" s="18" t="str">
        <f aca="false">IF(F19="","",IF(UPPER(TRIM(F19))="JA","Riktig","Prøv igjen"))</f>
        <v/>
      </c>
    </row>
    <row r="20" customFormat="false" ht="15" hidden="false" customHeight="true" outlineLevel="0" collapsed="false">
      <c r="A20" s="7" t="s">
        <v>86</v>
      </c>
      <c r="B20" s="7"/>
      <c r="C20" s="7"/>
      <c r="D20" s="7"/>
      <c r="E20" s="7"/>
      <c r="F20" s="21"/>
      <c r="G20" s="18" t="str">
        <f aca="false">IF(F20="","",IF(UPPER(TRIM(F20))="JA","Riktig","Prøv igjen"))</f>
        <v/>
      </c>
    </row>
    <row r="21" customFormat="false" ht="15" hidden="false" customHeight="true" outlineLevel="0" collapsed="false">
      <c r="A21" s="7" t="s">
        <v>87</v>
      </c>
      <c r="B21" s="7"/>
      <c r="C21" s="7"/>
      <c r="D21" s="7"/>
      <c r="E21" s="7"/>
      <c r="F21" s="21"/>
      <c r="G21" s="18" t="str">
        <f aca="false">IF(F21="","",IF(UPPER(TRIM(F21))="JA","Riktig","Prøv igjen"))</f>
        <v/>
      </c>
    </row>
    <row r="22" customFormat="false" ht="15" hidden="false" customHeight="true" outlineLevel="0" collapsed="false">
      <c r="A22" s="7" t="s">
        <v>88</v>
      </c>
      <c r="B22" s="7"/>
      <c r="C22" s="7"/>
      <c r="D22" s="7"/>
      <c r="E22" s="7"/>
      <c r="F22" s="21"/>
      <c r="G22" s="18" t="str">
        <f aca="false">IF(F22="","",IF(UPPER(TRIM(F22))="NEI","Riktig","Prøv igjen"))</f>
        <v/>
      </c>
    </row>
    <row r="23" customFormat="false" ht="15" hidden="false" customHeight="true" outlineLevel="0" collapsed="false">
      <c r="A23" s="7" t="s">
        <v>89</v>
      </c>
      <c r="B23" s="7"/>
      <c r="C23" s="7"/>
      <c r="D23" s="7"/>
      <c r="E23" s="7"/>
      <c r="F23" s="21"/>
      <c r="G23" s="18" t="str">
        <f aca="false">IF(F23="","",IF(UPPER(TRIM(F23))="NEI","Riktig","Prøv igjen"))</f>
        <v/>
      </c>
    </row>
    <row r="24" customFormat="false" ht="15" hidden="false" customHeight="true" outlineLevel="0" collapsed="false">
      <c r="A24" s="7" t="s">
        <v>90</v>
      </c>
      <c r="B24" s="7"/>
      <c r="C24" s="7"/>
      <c r="D24" s="7"/>
      <c r="E24" s="7"/>
      <c r="F24" s="21"/>
      <c r="G24" s="18" t="str">
        <f aca="false">IF(F24="","",IF(UPPER(TRIM(F24))="NEI","Riktig","Prøv igjen"))</f>
        <v/>
      </c>
    </row>
    <row r="25" customFormat="false" ht="33.75" hidden="false" customHeight="true" outlineLevel="0" collapsed="false">
      <c r="A25" s="7" t="s">
        <v>91</v>
      </c>
      <c r="B25" s="7"/>
      <c r="C25" s="7"/>
      <c r="D25" s="7"/>
      <c r="E25" s="7"/>
      <c r="F25" s="17"/>
      <c r="G25" s="18" t="str">
        <f aca="false">IF(F25="","",IF(ABS(F25-(90))&lt;=0.000000001,"Riktig","Prøv igjen"))</f>
        <v/>
      </c>
    </row>
    <row r="26" customFormat="false" ht="30" hidden="false" customHeight="true" outlineLevel="0" collapsed="false">
      <c r="A26" s="19" t="s">
        <v>49</v>
      </c>
      <c r="B26" s="20" t="s">
        <v>92</v>
      </c>
      <c r="C26" s="20"/>
      <c r="D26" s="20"/>
      <c r="E26" s="20"/>
      <c r="F26" s="20"/>
      <c r="G26" s="20"/>
    </row>
    <row r="28" customFormat="false" ht="78.75" hidden="false" customHeight="true" outlineLevel="0" collapsed="false">
      <c r="A28" s="7" t="s">
        <v>93</v>
      </c>
      <c r="B28" s="7"/>
      <c r="C28" s="7"/>
      <c r="D28" s="7"/>
      <c r="E28" s="7"/>
      <c r="F28" s="21"/>
      <c r="G28" s="18" t="str">
        <f aca="false">IF(F28="","",IF(UPPER(TRIM(F28))="B","Riktig","Prøv igjen"))</f>
        <v/>
      </c>
    </row>
    <row r="29" customFormat="false" ht="33.75" hidden="false" customHeight="true" outlineLevel="0" collapsed="false">
      <c r="A29" s="7" t="s">
        <v>94</v>
      </c>
      <c r="B29" s="7"/>
      <c r="C29" s="7"/>
      <c r="D29" s="7"/>
      <c r="E29" s="7"/>
    </row>
    <row r="30" customFormat="false" ht="15" hidden="false" customHeight="false" outlineLevel="0" collapsed="false">
      <c r="A30" s="22"/>
      <c r="B30" s="22"/>
      <c r="C30" s="22"/>
      <c r="D30" s="22"/>
      <c r="E30" s="22"/>
      <c r="F30" s="22"/>
      <c r="G30" s="22"/>
    </row>
    <row r="31" customFormat="false" ht="15" hidden="false" customHeight="false" outlineLevel="0" collapsed="false">
      <c r="A31" s="22"/>
      <c r="B31" s="22"/>
      <c r="C31" s="22"/>
      <c r="D31" s="22"/>
      <c r="E31" s="22"/>
      <c r="F31" s="22"/>
      <c r="G31" s="22"/>
    </row>
    <row r="32" customFormat="false" ht="15" hidden="false" customHeight="false" outlineLevel="0" collapsed="false">
      <c r="A32" s="22"/>
      <c r="B32" s="22"/>
      <c r="C32" s="22"/>
      <c r="D32" s="22"/>
      <c r="E32" s="22"/>
      <c r="F32" s="22"/>
      <c r="G32" s="22"/>
    </row>
    <row r="33" customFormat="false" ht="30" hidden="false" customHeight="true" outlineLevel="0" collapsed="false">
      <c r="A33" s="19" t="s">
        <v>49</v>
      </c>
      <c r="B33" s="20" t="s">
        <v>95</v>
      </c>
      <c r="C33" s="20"/>
      <c r="D33" s="20"/>
      <c r="E33" s="20"/>
      <c r="F33" s="20"/>
      <c r="G33" s="20"/>
    </row>
    <row r="36" customFormat="false" ht="15" hidden="false" customHeight="false" outlineLevel="0" collapsed="false">
      <c r="A36" s="23" t="s">
        <v>57</v>
      </c>
      <c r="B36" s="23"/>
      <c r="C36" s="23"/>
      <c r="D36" s="23"/>
      <c r="E36" s="23"/>
      <c r="F36" s="23"/>
      <c r="G36" s="23"/>
    </row>
    <row r="37" customFormat="false" ht="30" hidden="false" customHeight="true" outlineLevel="0" collapsed="false">
      <c r="A37" s="24" t="s">
        <v>96</v>
      </c>
      <c r="B37" s="25" t="s">
        <v>97</v>
      </c>
      <c r="C37" s="25"/>
      <c r="D37" s="25"/>
      <c r="E37" s="25"/>
      <c r="F37" s="25"/>
      <c r="G37" s="25"/>
    </row>
    <row r="38" customFormat="false" ht="30" hidden="false" customHeight="true" outlineLevel="0" collapsed="false">
      <c r="A38" s="24" t="s">
        <v>98</v>
      </c>
      <c r="B38" s="25" t="s">
        <v>99</v>
      </c>
      <c r="C38" s="25"/>
      <c r="D38" s="25"/>
      <c r="E38" s="25"/>
      <c r="F38" s="25"/>
      <c r="G38" s="25"/>
    </row>
    <row r="40" customFormat="false" ht="63.75" hidden="false" customHeight="true" outlineLevel="0" collapsed="false">
      <c r="A40" s="6" t="s">
        <v>100</v>
      </c>
      <c r="B40" s="6"/>
      <c r="C40" s="6"/>
      <c r="D40" s="6"/>
      <c r="E40" s="6"/>
      <c r="F40" s="6"/>
      <c r="G40" s="6"/>
    </row>
    <row r="41" customFormat="false" ht="15" hidden="false" customHeight="true" outlineLevel="0" collapsed="false">
      <c r="A41" s="6" t="s">
        <v>63</v>
      </c>
      <c r="B41" s="6"/>
      <c r="C41" s="6"/>
      <c r="D41" s="6"/>
      <c r="E41" s="6"/>
      <c r="F41" s="6"/>
      <c r="G41" s="6"/>
    </row>
  </sheetData>
  <mergeCells count="30">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101</v>
      </c>
    </row>
    <row r="2" customFormat="false" ht="15" hidden="false" customHeight="false" outlineLevel="0" collapsed="false">
      <c r="A2" s="2" t="s">
        <v>21</v>
      </c>
    </row>
    <row r="4" customFormat="false" ht="93.75" hidden="false" customHeight="true" outlineLevel="0" collapsed="false">
      <c r="A4" s="6" t="s">
        <v>102</v>
      </c>
      <c r="B4" s="6"/>
      <c r="C4" s="6"/>
      <c r="D4" s="6"/>
      <c r="E4" s="6"/>
      <c r="F4" s="6"/>
      <c r="G4" s="6"/>
    </row>
    <row r="5" customFormat="false" ht="93.75" hidden="false" customHeight="true" outlineLevel="0" collapsed="false">
      <c r="A5" s="7" t="s">
        <v>103</v>
      </c>
      <c r="B5" s="7"/>
      <c r="C5" s="7"/>
      <c r="D5" s="7"/>
      <c r="E5" s="7"/>
      <c r="F5" s="7"/>
      <c r="G5" s="7"/>
    </row>
    <row r="7" customFormat="false" ht="26.85" hidden="false" customHeight="false" outlineLevel="0" collapsed="false">
      <c r="A7" s="8" t="s">
        <v>24</v>
      </c>
      <c r="B7" s="9" t="s">
        <v>104</v>
      </c>
      <c r="C7" s="9" t="s">
        <v>105</v>
      </c>
      <c r="D7" s="9" t="s">
        <v>106</v>
      </c>
    </row>
    <row r="8" customFormat="false" ht="15" hidden="false" customHeight="false" outlineLevel="0" collapsed="false">
      <c r="A8" s="10" t="s">
        <v>27</v>
      </c>
      <c r="B8" s="27" t="n">
        <v>4480000</v>
      </c>
      <c r="C8" s="11" t="s">
        <v>107</v>
      </c>
      <c r="D8" s="27" t="n">
        <v>3600</v>
      </c>
    </row>
    <row r="9" customFormat="false" ht="15" hidden="false" customHeight="false" outlineLevel="0" collapsed="false">
      <c r="A9" s="12" t="s">
        <v>30</v>
      </c>
      <c r="B9" s="28" t="n">
        <v>3136000</v>
      </c>
      <c r="C9" s="13" t="s">
        <v>108</v>
      </c>
      <c r="D9" s="28" t="n">
        <v>2160</v>
      </c>
    </row>
    <row r="10" customFormat="false" ht="15" hidden="false" customHeight="false" outlineLevel="0" collapsed="false">
      <c r="A10" s="10" t="s">
        <v>33</v>
      </c>
      <c r="B10" s="27" t="n">
        <v>7616000</v>
      </c>
      <c r="C10" s="11" t="s">
        <v>109</v>
      </c>
      <c r="D10" s="27" t="n">
        <v>5184</v>
      </c>
    </row>
    <row r="11" customFormat="false" ht="15" hidden="false" customHeight="false" outlineLevel="0" collapsed="false">
      <c r="A11" s="12" t="s">
        <v>36</v>
      </c>
      <c r="B11" s="28" t="n">
        <v>4480000</v>
      </c>
      <c r="C11" s="13" t="s">
        <v>108</v>
      </c>
      <c r="D11" s="28" t="n">
        <v>1872</v>
      </c>
    </row>
    <row r="12" customFormat="false" ht="15" hidden="false" customHeight="false" outlineLevel="0" collapsed="false">
      <c r="A12" s="10" t="s">
        <v>110</v>
      </c>
      <c r="B12" s="27" t="n">
        <v>2688000</v>
      </c>
      <c r="C12" s="11" t="s">
        <v>111</v>
      </c>
      <c r="D12" s="27" t="n">
        <v>1584</v>
      </c>
    </row>
    <row r="13" customFormat="false" ht="15" hidden="false" customHeight="false" outlineLevel="0" collapsed="false">
      <c r="A13" s="14" t="s">
        <v>41</v>
      </c>
      <c r="B13" s="29" t="n">
        <v>22400000</v>
      </c>
      <c r="C13" s="15" t="s">
        <v>112</v>
      </c>
      <c r="D13" s="29" t="n">
        <v>14400</v>
      </c>
    </row>
    <row r="14" customFormat="false" ht="15" hidden="false" customHeight="true" outlineLevel="0" collapsed="false">
      <c r="A14" s="6" t="s">
        <v>44</v>
      </c>
      <c r="B14" s="6"/>
      <c r="C14" s="6"/>
      <c r="D14" s="6"/>
      <c r="E14" s="6"/>
      <c r="F14" s="6"/>
      <c r="G14" s="6"/>
    </row>
    <row r="16" customFormat="false" ht="15" hidden="false" customHeight="false" outlineLevel="0" collapsed="false">
      <c r="A16" s="16" t="s">
        <v>45</v>
      </c>
      <c r="B16" s="16"/>
      <c r="C16" s="16"/>
      <c r="D16" s="16"/>
      <c r="E16" s="16"/>
      <c r="F16" s="16" t="s">
        <v>46</v>
      </c>
      <c r="G16" s="16" t="s">
        <v>47</v>
      </c>
    </row>
    <row r="17" customFormat="false" ht="33.75" hidden="false" customHeight="true" outlineLevel="0" collapsed="false">
      <c r="A17" s="7" t="s">
        <v>113</v>
      </c>
      <c r="B17" s="7"/>
      <c r="C17" s="7"/>
      <c r="D17" s="7"/>
      <c r="E17" s="7"/>
      <c r="F17" s="17"/>
      <c r="G17" s="18" t="str">
        <f aca="false">IF(F17="","",IF(ABS(F17-(304))&lt;=1,"Riktig","Prøv igjen"))</f>
        <v/>
      </c>
    </row>
    <row r="18" customFormat="false" ht="42.75" hidden="false" customHeight="true" outlineLevel="0" collapsed="false">
      <c r="A18" s="19" t="s">
        <v>49</v>
      </c>
      <c r="B18" s="20" t="s">
        <v>114</v>
      </c>
      <c r="C18" s="20"/>
      <c r="D18" s="20"/>
      <c r="E18" s="20"/>
      <c r="F18" s="20"/>
      <c r="G18" s="20"/>
    </row>
    <row r="20" customFormat="false" ht="33.75" hidden="false" customHeight="true" outlineLevel="0" collapsed="false">
      <c r="A20" s="7" t="s">
        <v>115</v>
      </c>
      <c r="B20" s="7"/>
      <c r="C20" s="7"/>
      <c r="D20" s="7"/>
      <c r="E20" s="7"/>
      <c r="F20" s="17"/>
      <c r="G20" s="18" t="str">
        <f aca="false">IF(F20="","",IF(ABS(F20-(368500))&lt;=500,"Riktig","Prøv igjen"))</f>
        <v/>
      </c>
    </row>
    <row r="21" customFormat="false" ht="30" hidden="false" customHeight="true" outlineLevel="0" collapsed="false">
      <c r="A21" s="19" t="s">
        <v>49</v>
      </c>
      <c r="B21" s="20" t="s">
        <v>116</v>
      </c>
      <c r="C21" s="20"/>
      <c r="D21" s="20"/>
      <c r="E21" s="20"/>
      <c r="F21" s="20"/>
      <c r="G21" s="20"/>
    </row>
    <row r="23" customFormat="false" ht="63.75" hidden="false" customHeight="true" outlineLevel="0" collapsed="false">
      <c r="A23" s="7" t="s">
        <v>117</v>
      </c>
      <c r="B23" s="7"/>
      <c r="C23" s="7"/>
      <c r="D23" s="7"/>
      <c r="E23" s="7"/>
      <c r="F23" s="21"/>
      <c r="G23" s="18" t="str">
        <f aca="false">IF(F23="","",IF(UPPER(TRIM(F23))="B","Riktig","Prøv igjen"))</f>
        <v/>
      </c>
    </row>
    <row r="24" customFormat="false" ht="78.75" hidden="false" customHeight="true" outlineLevel="0" collapsed="false">
      <c r="A24" s="7" t="s">
        <v>118</v>
      </c>
      <c r="B24" s="7"/>
      <c r="C24" s="7"/>
      <c r="D24" s="7"/>
      <c r="E24" s="7"/>
      <c r="F24" s="21"/>
      <c r="G24" s="18" t="str">
        <f aca="false">IF(F24="","",IF(UPPER(TRIM(F24))="B","Riktig","Prøv igjen"))</f>
        <v/>
      </c>
    </row>
    <row r="25" customFormat="false" ht="33.75" hidden="false" customHeight="true" outlineLevel="0" collapsed="false">
      <c r="A25" s="7" t="s">
        <v>119</v>
      </c>
      <c r="B25" s="7"/>
      <c r="C25" s="7"/>
      <c r="D25" s="7"/>
      <c r="E25" s="7"/>
    </row>
    <row r="26" customFormat="false" ht="15" hidden="false" customHeight="false" outlineLevel="0" collapsed="false">
      <c r="A26" s="22"/>
      <c r="B26" s="22"/>
      <c r="C26" s="22"/>
      <c r="D26" s="22"/>
      <c r="E26" s="22"/>
      <c r="F26" s="22"/>
      <c r="G26" s="22"/>
    </row>
    <row r="27" customFormat="false" ht="15" hidden="false" customHeight="false" outlineLevel="0" collapsed="false">
      <c r="A27" s="22"/>
      <c r="B27" s="22"/>
      <c r="C27" s="22"/>
      <c r="D27" s="22"/>
      <c r="E27" s="22"/>
      <c r="F27" s="22"/>
      <c r="G27" s="22"/>
    </row>
    <row r="28" customFormat="false" ht="15" hidden="false" customHeight="false" outlineLevel="0" collapsed="false">
      <c r="A28" s="22"/>
      <c r="B28" s="22"/>
      <c r="C28" s="22"/>
      <c r="D28" s="22"/>
      <c r="E28" s="22"/>
      <c r="F28" s="22"/>
      <c r="G28" s="22"/>
    </row>
    <row r="29" customFormat="false" ht="30" hidden="false" customHeight="true" outlineLevel="0" collapsed="false">
      <c r="A29" s="19" t="s">
        <v>49</v>
      </c>
      <c r="B29" s="20" t="s">
        <v>120</v>
      </c>
      <c r="C29" s="20"/>
      <c r="D29" s="20"/>
      <c r="E29" s="20"/>
      <c r="F29" s="20"/>
      <c r="G29" s="20"/>
    </row>
    <row r="32" customFormat="false" ht="15" hidden="false" customHeight="false" outlineLevel="0" collapsed="false">
      <c r="A32" s="23" t="s">
        <v>57</v>
      </c>
      <c r="B32" s="23"/>
      <c r="C32" s="23"/>
      <c r="D32" s="23"/>
      <c r="E32" s="23"/>
      <c r="F32" s="23"/>
      <c r="G32" s="23"/>
    </row>
    <row r="33" customFormat="false" ht="42.75" hidden="false" customHeight="true" outlineLevel="0" collapsed="false">
      <c r="A33" s="24" t="s">
        <v>121</v>
      </c>
      <c r="B33" s="25" t="s">
        <v>122</v>
      </c>
      <c r="C33" s="25"/>
      <c r="D33" s="25"/>
      <c r="E33" s="25"/>
      <c r="F33" s="25"/>
      <c r="G33" s="25"/>
    </row>
    <row r="34" customFormat="false" ht="30" hidden="false" customHeight="true" outlineLevel="0" collapsed="false">
      <c r="A34" s="24" t="s">
        <v>123</v>
      </c>
      <c r="B34" s="25" t="s">
        <v>124</v>
      </c>
      <c r="C34" s="25"/>
      <c r="D34" s="25"/>
      <c r="E34" s="25"/>
      <c r="F34" s="25"/>
      <c r="G34" s="25"/>
    </row>
    <row r="36" customFormat="false" ht="78.75" hidden="false" customHeight="true" outlineLevel="0" collapsed="false">
      <c r="A36" s="6" t="s">
        <v>125</v>
      </c>
      <c r="B36" s="6"/>
      <c r="C36" s="6"/>
      <c r="D36" s="6"/>
      <c r="E36" s="6"/>
      <c r="F36" s="6"/>
      <c r="G36" s="6"/>
    </row>
    <row r="37" customFormat="false" ht="15" hidden="false" customHeight="true" outlineLevel="0" collapsed="false">
      <c r="A37" s="6" t="s">
        <v>63</v>
      </c>
      <c r="B37" s="6"/>
      <c r="C37" s="6"/>
      <c r="D37" s="6"/>
      <c r="E37" s="6"/>
      <c r="F37" s="6"/>
      <c r="G37" s="6"/>
    </row>
  </sheetData>
  <mergeCells count="18">
    <mergeCell ref="A4:G4"/>
    <mergeCell ref="A5:G5"/>
    <mergeCell ref="A14:G14"/>
    <mergeCell ref="A16:E16"/>
    <mergeCell ref="A17:E17"/>
    <mergeCell ref="B18:G18"/>
    <mergeCell ref="A20:E20"/>
    <mergeCell ref="B21:G21"/>
    <mergeCell ref="A23:E23"/>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126</v>
      </c>
    </row>
    <row r="2" customFormat="false" ht="15" hidden="false" customHeight="false" outlineLevel="0" collapsed="false">
      <c r="A2" s="2" t="s">
        <v>21</v>
      </c>
    </row>
    <row r="4" customFormat="false" ht="78.75" hidden="false" customHeight="true" outlineLevel="0" collapsed="false">
      <c r="A4" s="6" t="s">
        <v>127</v>
      </c>
      <c r="B4" s="6"/>
      <c r="C4" s="6"/>
      <c r="D4" s="6"/>
      <c r="E4" s="6"/>
      <c r="F4" s="6"/>
      <c r="G4" s="6"/>
    </row>
    <row r="5" customFormat="false" ht="93.75" hidden="false" customHeight="true" outlineLevel="0" collapsed="false">
      <c r="A5" s="7" t="s">
        <v>128</v>
      </c>
      <c r="B5" s="7"/>
      <c r="C5" s="7"/>
      <c r="D5" s="7"/>
      <c r="E5" s="7"/>
      <c r="F5" s="7"/>
      <c r="G5" s="7"/>
    </row>
    <row r="7" customFormat="false" ht="15" hidden="false" customHeight="false" outlineLevel="0" collapsed="false">
      <c r="A7" s="16" t="s">
        <v>67</v>
      </c>
      <c r="B7" s="16" t="s">
        <v>68</v>
      </c>
      <c r="C7" s="16"/>
      <c r="D7" s="16"/>
      <c r="E7" s="16"/>
      <c r="F7" s="16"/>
      <c r="G7" s="16"/>
    </row>
    <row r="8" customFormat="false" ht="18.75" hidden="false" customHeight="true" outlineLevel="0" collapsed="false">
      <c r="A8" s="26" t="s">
        <v>79</v>
      </c>
      <c r="B8" s="7" t="s">
        <v>80</v>
      </c>
      <c r="C8" s="7"/>
      <c r="D8" s="7"/>
      <c r="E8" s="7"/>
      <c r="F8" s="7"/>
      <c r="G8" s="7"/>
    </row>
    <row r="9" customFormat="false" ht="18.75" hidden="false" customHeight="true" outlineLevel="0" collapsed="false">
      <c r="A9" s="26" t="s">
        <v>129</v>
      </c>
      <c r="B9" s="7" t="s">
        <v>130</v>
      </c>
      <c r="C9" s="7"/>
      <c r="D9" s="7"/>
      <c r="E9" s="7"/>
      <c r="F9" s="7"/>
      <c r="G9" s="7"/>
    </row>
    <row r="10" customFormat="false" ht="18.75" hidden="false" customHeight="true" outlineLevel="0" collapsed="false">
      <c r="A10" s="26" t="s">
        <v>131</v>
      </c>
      <c r="B10" s="7" t="s">
        <v>132</v>
      </c>
      <c r="C10" s="7"/>
      <c r="D10" s="7"/>
      <c r="E10" s="7"/>
      <c r="F10" s="7"/>
      <c r="G10" s="7"/>
    </row>
    <row r="11" customFormat="false" ht="18.75" hidden="false" customHeight="true" outlineLevel="0" collapsed="false">
      <c r="A11" s="26" t="s">
        <v>133</v>
      </c>
      <c r="B11" s="7" t="s">
        <v>134</v>
      </c>
      <c r="C11" s="7"/>
      <c r="D11" s="7"/>
      <c r="E11" s="7"/>
      <c r="F11" s="7"/>
      <c r="G11" s="7"/>
    </row>
    <row r="12" customFormat="false" ht="18.75" hidden="false" customHeight="true" outlineLevel="0" collapsed="false">
      <c r="A12" s="26" t="s">
        <v>135</v>
      </c>
      <c r="B12" s="7" t="s">
        <v>136</v>
      </c>
      <c r="C12" s="7"/>
      <c r="D12" s="7"/>
      <c r="E12" s="7"/>
      <c r="F12" s="7"/>
      <c r="G12" s="7"/>
    </row>
    <row r="13" customFormat="false" ht="18.75" hidden="false" customHeight="true" outlineLevel="0" collapsed="false">
      <c r="A13" s="26" t="s">
        <v>137</v>
      </c>
      <c r="B13" s="7" t="s">
        <v>138</v>
      </c>
      <c r="C13" s="7"/>
      <c r="D13" s="7"/>
      <c r="E13" s="7"/>
      <c r="F13" s="7"/>
      <c r="G13" s="7"/>
    </row>
    <row r="14" customFormat="false" ht="18.75" hidden="false" customHeight="true" outlineLevel="0" collapsed="false">
      <c r="A14" s="26" t="s">
        <v>139</v>
      </c>
      <c r="B14" s="7" t="s">
        <v>140</v>
      </c>
      <c r="C14" s="7"/>
      <c r="D14" s="7"/>
      <c r="E14" s="7"/>
      <c r="F14" s="7"/>
      <c r="G14" s="7"/>
    </row>
    <row r="16" customFormat="false" ht="15" hidden="false" customHeight="false" outlineLevel="0" collapsed="false">
      <c r="A16" s="16" t="s">
        <v>45</v>
      </c>
      <c r="B16" s="16"/>
      <c r="C16" s="16"/>
      <c r="D16" s="16"/>
      <c r="E16" s="16"/>
      <c r="F16" s="16" t="s">
        <v>46</v>
      </c>
      <c r="G16" s="16" t="s">
        <v>47</v>
      </c>
    </row>
    <row r="17" customFormat="false" ht="33.75" hidden="false" customHeight="true" outlineLevel="0" collapsed="false">
      <c r="A17" s="7" t="s">
        <v>141</v>
      </c>
      <c r="B17" s="7"/>
      <c r="C17" s="7"/>
      <c r="D17" s="7"/>
      <c r="E17" s="7"/>
      <c r="F17" s="17"/>
      <c r="G17" s="18" t="str">
        <f aca="false">IF(F17="","",IF(ABS(F17-(1750))&lt;=0.000000001,"Riktig","Prøv igjen"))</f>
        <v/>
      </c>
    </row>
    <row r="18" customFormat="false" ht="30" hidden="false" customHeight="true" outlineLevel="0" collapsed="false">
      <c r="A18" s="19" t="s">
        <v>49</v>
      </c>
      <c r="B18" s="20" t="s">
        <v>142</v>
      </c>
      <c r="C18" s="20"/>
      <c r="D18" s="20"/>
      <c r="E18" s="20"/>
      <c r="F18" s="20"/>
      <c r="G18" s="20"/>
    </row>
    <row r="20" customFormat="false" ht="33.75" hidden="false" customHeight="true" outlineLevel="0" collapsed="false">
      <c r="A20" s="7" t="s">
        <v>143</v>
      </c>
      <c r="B20" s="7"/>
      <c r="C20" s="7"/>
      <c r="D20" s="7"/>
      <c r="E20" s="7"/>
      <c r="F20" s="17"/>
      <c r="G20" s="18" t="str">
        <f aca="false">IF(F20="","",IF(ABS(F20-(102.9))&lt;=0.1,"Riktig","Prøv igjen"))</f>
        <v/>
      </c>
    </row>
    <row r="21" customFormat="false" ht="30" hidden="false" customHeight="true" outlineLevel="0" collapsed="false">
      <c r="A21" s="19" t="s">
        <v>49</v>
      </c>
      <c r="B21" s="20" t="s">
        <v>144</v>
      </c>
      <c r="C21" s="20"/>
      <c r="D21" s="20"/>
      <c r="E21" s="20"/>
      <c r="F21" s="20"/>
      <c r="G21" s="20"/>
    </row>
    <row r="23" customFormat="false" ht="48.75" hidden="false" customHeight="true" outlineLevel="0" collapsed="false">
      <c r="A23" s="7" t="s">
        <v>145</v>
      </c>
      <c r="B23" s="7"/>
      <c r="C23" s="7"/>
      <c r="D23" s="7"/>
      <c r="E23" s="7"/>
      <c r="F23" s="21"/>
      <c r="G23" s="18" t="str">
        <f aca="false">IF(F23="","",IF(UPPER(TRIM(F23))="C","Riktig","Prøv igjen"))</f>
        <v/>
      </c>
    </row>
    <row r="24" customFormat="false" ht="48.75" hidden="false" customHeight="true" outlineLevel="0" collapsed="false">
      <c r="A24" s="7" t="s">
        <v>146</v>
      </c>
      <c r="B24" s="7"/>
      <c r="C24" s="7"/>
      <c r="D24" s="7"/>
      <c r="E24" s="7"/>
      <c r="F24" s="21"/>
      <c r="G24" s="18" t="str">
        <f aca="false">IF(F24="","",IF(UPPER(TRIM(F24))="B","Riktig","Prøv igjen"))</f>
        <v/>
      </c>
    </row>
    <row r="25" customFormat="false" ht="33.75" hidden="false" customHeight="true" outlineLevel="0" collapsed="false">
      <c r="A25" s="7" t="s">
        <v>147</v>
      </c>
      <c r="B25" s="7"/>
      <c r="C25" s="7"/>
      <c r="D25" s="7"/>
      <c r="E25" s="7"/>
    </row>
    <row r="26" customFormat="false" ht="15" hidden="false" customHeight="false" outlineLevel="0" collapsed="false">
      <c r="A26" s="22"/>
      <c r="B26" s="22"/>
      <c r="C26" s="22"/>
      <c r="D26" s="22"/>
      <c r="E26" s="22"/>
      <c r="F26" s="22"/>
      <c r="G26" s="22"/>
    </row>
    <row r="27" customFormat="false" ht="15" hidden="false" customHeight="false" outlineLevel="0" collapsed="false">
      <c r="A27" s="22"/>
      <c r="B27" s="22"/>
      <c r="C27" s="22"/>
      <c r="D27" s="22"/>
      <c r="E27" s="22"/>
      <c r="F27" s="22"/>
      <c r="G27" s="22"/>
    </row>
    <row r="28" customFormat="false" ht="15" hidden="false" customHeight="false" outlineLevel="0" collapsed="false">
      <c r="A28" s="22"/>
      <c r="B28" s="22"/>
      <c r="C28" s="22"/>
      <c r="D28" s="22"/>
      <c r="E28" s="22"/>
      <c r="F28" s="22"/>
      <c r="G28" s="22"/>
    </row>
    <row r="29" customFormat="false" ht="30" hidden="false" customHeight="true" outlineLevel="0" collapsed="false">
      <c r="A29" s="19" t="s">
        <v>49</v>
      </c>
      <c r="B29" s="20" t="s">
        <v>148</v>
      </c>
      <c r="C29" s="20"/>
      <c r="D29" s="20"/>
      <c r="E29" s="20"/>
      <c r="F29" s="20"/>
      <c r="G29" s="20"/>
    </row>
    <row r="32" customFormat="false" ht="15" hidden="false" customHeight="false" outlineLevel="0" collapsed="false">
      <c r="A32" s="23" t="s">
        <v>57</v>
      </c>
      <c r="B32" s="23"/>
      <c r="C32" s="23"/>
      <c r="D32" s="23"/>
      <c r="E32" s="23"/>
      <c r="F32" s="23"/>
      <c r="G32" s="23"/>
    </row>
    <row r="33" customFormat="false" ht="30" hidden="false" customHeight="true" outlineLevel="0" collapsed="false">
      <c r="A33" s="24" t="s">
        <v>149</v>
      </c>
      <c r="B33" s="25" t="s">
        <v>150</v>
      </c>
      <c r="C33" s="25"/>
      <c r="D33" s="25"/>
      <c r="E33" s="25"/>
      <c r="F33" s="25"/>
      <c r="G33" s="25"/>
    </row>
    <row r="34" customFormat="false" ht="30" hidden="false" customHeight="true" outlineLevel="0" collapsed="false">
      <c r="A34" s="24" t="s">
        <v>151</v>
      </c>
      <c r="B34" s="25" t="s">
        <v>152</v>
      </c>
      <c r="C34" s="25"/>
      <c r="D34" s="25"/>
      <c r="E34" s="25"/>
      <c r="F34" s="25"/>
      <c r="G34" s="25"/>
    </row>
    <row r="36" customFormat="false" ht="63.75" hidden="false" customHeight="true" outlineLevel="0" collapsed="false">
      <c r="A36" s="6" t="s">
        <v>153</v>
      </c>
      <c r="B36" s="6"/>
      <c r="C36" s="6"/>
      <c r="D36" s="6"/>
      <c r="E36" s="6"/>
      <c r="F36" s="6"/>
      <c r="G36" s="6"/>
    </row>
    <row r="37" customFormat="false" ht="15" hidden="false" customHeight="true" outlineLevel="0" collapsed="false">
      <c r="A37" s="6" t="s">
        <v>63</v>
      </c>
      <c r="B37" s="6"/>
      <c r="C37" s="6"/>
      <c r="D37" s="6"/>
      <c r="E37" s="6"/>
      <c r="F37" s="6"/>
      <c r="G37" s="6"/>
    </row>
  </sheetData>
  <mergeCells count="25">
    <mergeCell ref="A4:G4"/>
    <mergeCell ref="A5:G5"/>
    <mergeCell ref="B7:G7"/>
    <mergeCell ref="B8:G8"/>
    <mergeCell ref="B9:G9"/>
    <mergeCell ref="B10:G10"/>
    <mergeCell ref="B11:G11"/>
    <mergeCell ref="B12:G12"/>
    <mergeCell ref="B13:G13"/>
    <mergeCell ref="B14:G14"/>
    <mergeCell ref="A16:E16"/>
    <mergeCell ref="A17:E17"/>
    <mergeCell ref="B18:G18"/>
    <mergeCell ref="A20:E20"/>
    <mergeCell ref="B21:G21"/>
    <mergeCell ref="A23:E23"/>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2026-10-12T12:38:09Z</dcterms:created>
  <dc:creator>openpyxl</dc:creator>
  <dc:description/>
  <dc:language>en-US</dc:language>
  <cp:lastModifiedBy/>
  <dcterms:modified xsi:type="dcterms:W3CDTF">2026-10-12T12:38:10Z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