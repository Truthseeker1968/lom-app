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<sst xmlns="http://schemas.openxmlformats.org/spreadsheetml/2006/main" count="145" uniqueCount="126">
  <si>
    <t xml:space="preserve">Klasseoppgaver til Økonomistyring kapittel 1: Etablering og oppstart av egen bedrift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</si>
  <si>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</si>
  <si>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</si>
  <si>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</si>
  <si>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</si>
  <si>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</si>
  <si>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</si>
  <si>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</si>
  <si>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</si>
  <si>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i 2019: hvem betaler hvis det går galt? (Nordlys)</t>
  </si>
  <si>
    <t xml:space="preserve">A2</t>
  </si>
  <si>
    <t xml:space="preserve">Fjell Elektro: kan Mona starte, og hva risikerer hun? (Fjell Elektro)</t>
  </si>
  <si>
    <t xml:space="preserve">B1</t>
  </si>
  <si>
    <t xml:space="preserve">Nordlys: et bud på aksjene, og hva det betaler for (Nordlys)</t>
  </si>
  <si>
    <t xml:space="preserve">B2</t>
  </si>
  <si>
    <t xml:space="preserve">Fjell Elektro: registrert, regnskapspliktig, og når pengene tar slutt (Fjell Elektro)</t>
  </si>
  <si>
    <t xml:space="preserve">Læreboka</t>
  </si>
  <si>
    <t xml:space="preserve">Hjertnes, J. og Skorpen, K.: Økonomistyring for LØM-emnet, kapittel 1.</t>
  </si>
  <si>
    <t xml:space="preserve">Appen</t>
  </si>
  <si>
    <t xml:space="preserve">Økonomistyring kap. 1 → Øv → Klasseoppgaver gir fasit per deloppgave.</t>
  </si>
  <si>
    <t xml:space="preserve">A1 · Nordlys i 2019: hvem betaler hvis det går galt?</t>
  </si>
  <si>
    <t xml:space="preserve">25 minutter · Helst alene. Sammen med sidemannen eller flere hvis du vil. Ark og blyant, appen (PC eller mobil) eller læreboka.</t>
  </si>
  <si>
    <t xml:space="preserve">Kort oppsummert: Selskapsformen avgjør hvem som betaler når bedriften ikke kan. I et enkeltpersonforetak hefter eieren for all gjeld med hele formuen sin. I et ANS hefter hver eier for hele gjelden (solidarisk), i et DA for sin andel. I et aksjeselskap taper eierne aksjekapitalen, men ikke mer. En personlig kausjon er et eget løfte til banken, og den gjelder uansett selskapsform.</t>
  </si>
  <si>
    <t xml:space="preserve">Det er 2019. Kari Nordlund (elektroinstallatør) og Tom Berg (elektriker) starter Nordlys Elektro AS og eier halvparten hver. De skyter inn 300 000 kr i aksjekapital. Banken låner dem 877 500 kr, men krever personlig kausjon fra begge. Tenk deg nå at første driftsår går galt og Nordlys går konkurs. Når boet er gjort opp, står det igjen 1 400 000 kr i udekket gjeld: 700 000 til banken og 700 000 til grossisten Polarlys. Regn ut hva Kari og Tom sitter igjen med i hver selskapsform. Gå fram slik: hva er tapt allerede (innskuddet), hva kan kreves av eierne etterpå, og hvem kan kreves for hva.</t>
  </si>
  <si>
    <t xml:space="preserve">Forutsetning</t>
  </si>
  <si>
    <t xml:space="preserve">Verdi</t>
  </si>
  <si>
    <t xml:space="preserve">Eiere</t>
  </si>
  <si>
    <t xml:space="preserve">Kari Nordlund og Tom Berg, 50 % hver</t>
  </si>
  <si>
    <t xml:space="preserve">Aksjekapital</t>
  </si>
  <si>
    <t xml:space="preserve">300 000 kr (minstekravet er 30 000 kr)</t>
  </si>
  <si>
    <t xml:space="preserve">Banklån</t>
  </si>
  <si>
    <t xml:space="preserve">877 500 kr, personlig kausjon fra begge</t>
  </si>
  <si>
    <t xml:space="preserve">Tenkt: konkurs etter år 1</t>
  </si>
  <si>
    <t xml:space="preserve">Udekket gjeld etter bobehandlingen 1 400 000 kr</t>
  </si>
  <si>
    <t xml:space="preserve">Hvem gjelden gjelder</t>
  </si>
  <si>
    <t xml:space="preserve">Banken 700 000 kr og grossisten Polarlys 700 000 kr</t>
  </si>
  <si>
    <t xml:space="preserve">I c og d</t>
  </si>
  <si>
    <t xml:space="preserve">Tenk deg DA og ANS uten kausjon, samme gjeld og eierandeler</t>
  </si>
  <si>
    <t xml:space="preserve">Deloppgave</t>
  </si>
  <si>
    <t xml:space="preserve">Ditt svar</t>
  </si>
  <si>
    <t xml:space="preserve">Sjekk</t>
  </si>
  <si>
    <t xml:space="preserve">a)  Tenk deg at Nordlys var et AS uten kausjon. Hvor mye har Kari og Tom til sammen tapt av egne penger når boet er gjort opp? Tenk på hva de skjøt inn, og hva de skylder etterpå.</t>
  </si>
  <si>
    <t xml:space="preserve">b)  Nå med kausjonen som banken faktisk krevde. Hvor mye kan banken kreve av Kari og Tom privat etter bobehandlingen?</t>
  </si>
  <si>
    <t xml:space="preserve">c)  Tenk deg at Nordlys var et DA med 50 % hver og ingen kausjon. Hva skylder Kari av den udekkede gjelden?</t>
  </si>
  <si>
    <t xml:space="preserve">d)  Tenk deg at Nordlys var et ANS uten kausjon. Hvor mye av den udekkede gjelden kan kreditorene til sammen kreve av Kari alene?   A: 700 000 kr, hennes halvdel   B: 1 400 000 kr, hele gjelden   C: 0 kr, fordi selskapet er en egen enhet   (skriv bokstaven)</t>
  </si>
  <si>
    <t xml:space="preserve">e)  Kari eier et hus, Tom leier. Var aksjeselskap riktig valg for dem, når banken likevel krevde kausjon? Skriv to setninger: én om hva AS skjermer dem mot, og én om hva de bør forhandle med banken om.</t>
  </si>
  <si>
    <t xml:space="preserve">Kilde: Hjertnes, J. og Skorpen, K.: Økonomistyring for LØM-emnet, kap. 1, avsnitt 1.2–1.4, 1.6 og tabell 1.1. Nordlys Elektro AS er en konstruert casebedrift.</t>
  </si>
  <si>
    <t xml:space="preserve">Regnearket er øvingsstøtte. Det kan ikke siteres eller vises til i besvarelser, prosjektoppgaver eller eksamen; der gjelder læreboka og oppgitte primærkilder.</t>
  </si>
  <si>
    <t xml:space="preserve">A2 · Fjell Elektro: kan Mona starte, og hva risikerer hun?</t>
  </si>
  <si>
    <t xml:space="preserve">Kort oppsummert: Før selskapsformen kommer retten til å tilby arbeidet. Et elektroforetak må være registrert i Elvirksomhetsregisteret med en faglig ansvarlig (FEK § 3). Faglig ansvarlig skal være fast ansatt og tilgjengelig i foretakets normale arbeidstid (§ 5), og for arbeid på andres anlegg ha relevant utdanning, minst tre års relevant praksis etter endt utdanning og bestått elektroinstallatørprøve (§ 7). Så selskapsformen: i et AS taper eieren aksjekapitalen og det hun har kausjonert for; i et enkeltpersonforetak skylder hun alt.</t>
  </si>
  <si>
    <t xml:space="preserve">Mona Fjell vil starte Fjell Elektro AS i Oslo med to montører, og selv være daglig leder og faglig ansvarlig og jobbe halve tiden ute på oppdrag. Hun skyter inn 300 000 kr i aksjekapital og låner 500 000 kr i banken, som krever personlig kausjon fra henne. Først: fyller hun kravene i FEK? Så: tenk deg at det går galt i år 3 og Fjell Elektro går konkurs. Da er 1 100 000 kr udekket etter bobehandlingen, og 300 000 kr av det er restlånet i banken. Hva risikerer Mona privat i AS, og hva hadde det vært i et enkeltpersonforetak?</t>
  </si>
  <si>
    <t xml:space="preserve">Mona, før fagskolen</t>
  </si>
  <si>
    <t xml:space="preserve">Fagbrev elektriker 2012, montør 2012–2017</t>
  </si>
  <si>
    <t xml:space="preserve">Utdanning</t>
  </si>
  <si>
    <t xml:space="preserve">Fagskoletekniker elkraft, ferdig juni 2019</t>
  </si>
  <si>
    <t xml:space="preserve">Praksis etter utdanning</t>
  </si>
  <si>
    <t xml:space="preserve">Prosjektleder i installasjonsbedrift fra august 2019</t>
  </si>
  <si>
    <t xml:space="preserve">Elektroinstallatørprøven</t>
  </si>
  <si>
    <t xml:space="preserve">Bestått i 2023</t>
  </si>
  <si>
    <t xml:space="preserve">Finansiering</t>
  </si>
  <si>
    <t xml:space="preserve">Aksjekapital 300 000, banklån 500 000 med kausjon fra Mona</t>
  </si>
  <si>
    <t xml:space="preserve">Tenkt: konkurs i år 3</t>
  </si>
  <si>
    <t xml:space="preserve">Udekket gjeld 1 100 000 kr, av det restlånet 300 000</t>
  </si>
  <si>
    <t xml:space="preserve">FEK § 7</t>
  </si>
  <si>
    <t xml:space="preserve">Utdanning + 3 års relevant praksis etter utdanningen + prøven</t>
  </si>
  <si>
    <t xml:space="preserve">a)  Fjell Elektro er et AS, og Mona har kausjonert for banklånet. Hvor mye kan hun til sammen tape privat: det hun skjøt inn, pluss det banken kan kreve etter bobehandlingen?</t>
  </si>
  <si>
    <t xml:space="preserve">b)  Tenk deg at Mona hadde startet som enkeltpersonforetak. Hva skylder hun etter bobehandlingen?</t>
  </si>
  <si>
    <t xml:space="preserve">c)  Hvilket år kunne Mona tidligst stå som faglig ansvarlig for et foretak som bygger og vedlikeholder andres anlegg? Bruk FEK § 7.   A: 2019, rett etter fagskolen   B: 2022, da hun hadde tre års praksis etter fagskolen   C: 2023, da hun også hadde bestått prøven   (skriv bokstaven)</t>
  </si>
  <si>
    <t xml:space="preserve">d)  Er dette i orden etter FEK? Svar ja eller nei for hver påstand, med paragrafen.</t>
  </si>
  <si>
    <t xml:space="preserve">      Mona er fast ansatt som faglig ansvarlig og jobber halve tiden ute på foretakets egne oppdrag   (Ja eller Nei)</t>
  </si>
  <si>
    <t xml:space="preserve">      Montørårene 2012–2017 regnes med i praksiskravet   (Ja eller Nei)</t>
  </si>
  <si>
    <t xml:space="preserve">      Fjell Elektro legger ut annonse før foretaket er registrert i Elvirksomhetsregisteret   (Ja eller Nei)</t>
  </si>
  <si>
    <t xml:space="preserve">      Mona har i tillegg en halv stilling som faglig ansvarlig i et annet foretak   (Ja eller Nei)</t>
  </si>
  <si>
    <t xml:space="preserve">      Fordi Fjell Elektro er et AS, gjelder kravet om faglig ansvarlig ikke   (Ja eller Nei)</t>
  </si>
  <si>
    <t xml:space="preserve">e)  Mona eier alene, og enkeltpersonforetak er enklere og billigere. Hvorfor bør Fjell Elektro likevel være AS? Gi to argumenter og ett motargument.</t>
  </si>
  <si>
    <t xml:space="preserve">Kilde: Hjertnes, J. og Skorpen, K.: Økonomistyring for LØM-emnet, kap. 1, avsnitt 1.2 og 1.4. Forskrift om elektroforetak og kvalifikasjonskrav (FEK), FOR-2013-06-19-739, § 3, § 5 og § 7 (gjengitt av DSB og installatorproven.no, hentet 11.10.2026). Fjell Elektro AS er en konstruert casebedrift.</t>
  </si>
  <si>
    <t xml:space="preserve">B1 · Nordlys: et bud på aksjene, og hva det betaler for</t>
  </si>
  <si>
    <t xml:space="preserve">Kort oppsummert: Ved salg av et aksjeselskap overdras aksjene, og kjøperen overtar alle eiendeler og all gjeld. Prisen tar utgangspunkt i bokført egenkapital justert til virkelige verdier av eiendelene. Det kjøperen betaler ut over det, er goodwill: kundekretsen, navnet, rammeavtalene. Goodwill oppstår først ved et faktisk salg. Etterpå kan kjøperen slå selskapet sammen med sitt eget (fusjon) eller dele det opp (fisjon).</t>
  </si>
  <si>
    <t xml:space="preserve">Casen er lagt til året etter balansen i faktaarket. Et større installasjonskonsern byr 4 000 000 kr for alle aksjene i Nordlys Elektro AS. Kari og Tom vil vite hva de egentlig får betalt for. Balansen står i tabellen, med bokført verdi og det en takstmann mener eiendelene er verdt i dag. Gå fram slik: regn virkelig verdi av eiendelene, trekk fra all gjeld, og sammenlikn med budet. Forskjellen er goodwill.</t>
  </si>
  <si>
    <t xml:space="preserve">Post (kr)</t>
  </si>
  <si>
    <t xml:space="preserve">Bokført 31.12.</t>
  </si>
  <si>
    <t xml:space="preserve">Virkelig verdi</t>
  </si>
  <si>
    <t xml:space="preserve">Verktøy og måleinstrumenter</t>
  </si>
  <si>
    <t xml:space="preserve">Servicebiler og varebiler</t>
  </si>
  <si>
    <t xml:space="preserve">Varelager</t>
  </si>
  <si>
    <t xml:space="preserve">Kundefordringer</t>
  </si>
  <si>
    <t xml:space="preserve">Bankinnskudd</t>
  </si>
  <si>
    <t xml:space="preserve">= Sum eiendeler</t>
  </si>
  <si>
    <t xml:space="preserve">Gjeld i alt</t>
  </si>
  <si>
    <t xml:space="preserve">= Egenkapital</t>
  </si>
  <si>
    <t xml:space="preserve">Gule celler med spørsmålstegn kan du fylle inn selv mens du regner.</t>
  </si>
  <si>
    <t xml:space="preserve">a)  Egenkapitalen justert til virkelige verdier, i kroner: virkelig verdi av eiendelene minus all gjeld.</t>
  </si>
  <si>
    <t xml:space="preserve">b)  Hvor mye betaler konsernet for goodwill? Budet minus justert egenkapital.</t>
  </si>
  <si>
    <t xml:space="preserve">c)  Konsernet kjøper aksjene. Hva overtar det?   A: Alle eiendeler og all gjeld   B: Bare de eiendelene partene avtaler   C: Bare kundekretsen og navnet   (skriv bokstaven)</t>
  </si>
  <si>
    <t xml:space="preserve">d)  Riktig eller feil? Svar for hver påstand, med én setning om hvorfor.</t>
  </si>
  <si>
    <t xml:space="preserve">      Nordlys kan velge bort revisor fordi eiendelene er under 27 millioner   (Ja eller Nei)</t>
  </si>
  <si>
    <t xml:space="preserve">      Kari kan føre kundekretsen opp som goodwill i balansen i dag for å styrke egenkapitalen   (Ja eller Nei)</t>
  </si>
  <si>
    <t xml:space="preserve">      Slår konsernet Nordlys sammen med sitt eget selskap, er det en fusjon   (Ja eller Nei)</t>
  </si>
  <si>
    <t xml:space="preserve">      Skiller konsernet ut serviceavdelingen i eget selskap, er det en fisjon   (Ja eller Nei)</t>
  </si>
  <si>
    <t xml:space="preserve">      Har Kari og Tom kausjonert for banklånet, må kjøperen gi banken ny sikkerhet   (Ja eller Nei)</t>
  </si>
  <si>
    <t xml:space="preserve">e)  Er budet godt? Skriv to setninger om hva goodwillen betaler for, og hva Kari og Tom bør sjekke før de sier ja.</t>
  </si>
  <si>
    <t xml:space="preserve">Kilde: Hjertnes, J. og Skorpen, K.: Økonomistyring for LØM-emnet, kap. 1, avsnitt 1.4, 1.6 og 1.7. Balansen er Nordlys' balanse 31.12. (faktaarket, kap. 3). Nordlys Elektro AS er en konstruert casebedrift.</t>
  </si>
  <si>
    <t xml:space="preserve">B2 · Fjell Elektro: registrert, regnskapspliktig, og når pengene tar slutt</t>
  </si>
  <si>
    <t xml:space="preserve">Kort oppsummert: ANS, DA og AS skal i Foretaksregisteret; et enkeltpersonforetak registreres i Enhetsregisteret og kan i tillegg stå i Foretaksregisteret. Et AS er alltid regnskapspliktig, men slipper revisor når det er under alle tre grensene: 7 millioner i driftsinntekter, 27 millioner i eiendeler og 10 årsverk. Kan bedriften ikke betale, er konkurs siste steg: først forhandling med kreditorene, styrt avvikling eller akkord. Etter konkurs skylder eiere av EPF og ANS/DA fortsatt det udekkede; aksjonærene i AS er fri, med mindre de har kausjonert.</t>
  </si>
  <si>
    <t xml:space="preserve">Fjell Elektro AS (samme bedrift som i A2) ble registrert i Brønnøysund og har gått ett år med 4 795 000 kr i driftsinntekter, tre årsverk og under 2 millioner kroner i eiendeler. Først registrering og revisjon. Så år 3: en stor kunde har sagt opp avtalen, og i mars kan ikke Fjell betale grossisten ved forfall. En ordre på 600 000 kr betales om fem uker. Til slutt en tenkt konkurs der 900 000 kr er udekket, hvorav 300 000 er restlånet Mona har kausjonert for.</t>
  </si>
  <si>
    <t xml:space="preserve">Gebyr 2026, elektronisk</t>
  </si>
  <si>
    <t xml:space="preserve">AS 6 825 · ENK i Enhetsregisteret 2 181 · ENK også i Foretaksregisteret 3 883</t>
  </si>
  <si>
    <t xml:space="preserve">Fjell Elektro, år 1</t>
  </si>
  <si>
    <t xml:space="preserve">Driftsinntekter 4 795 000 · eiendeler under 2 mill. · 3 årsverk</t>
  </si>
  <si>
    <t xml:space="preserve">Revisjonsgrenser</t>
  </si>
  <si>
    <t xml:space="preserve">Over 7 mill. i driftsinntekter, 27 mill. i eiendeler eller 10 årsverk</t>
  </si>
  <si>
    <t xml:space="preserve">År 3, mars</t>
  </si>
  <si>
    <t xml:space="preserve">Kan ikke betale grossisten ved forfall; ordre på 600 000 betales om fem uker</t>
  </si>
  <si>
    <t xml:space="preserve">Tenkt konkurs</t>
  </si>
  <si>
    <t xml:space="preserve">Udekket gjeld 900 000, av det restlånet 300 000 (kausjon fra Mona)</t>
  </si>
  <si>
    <t xml:space="preserve">a)  Hvor mye mer betalte Mona i gebyr for å registrere et AS enn hun hadde betalt for et enkeltpersonforetak bare i Enhetsregisteret?</t>
  </si>
  <si>
    <t xml:space="preserve">b)  Hvor mange kroner kan driftsinntektene øke før Fjell Elektro passerer grensen på 7 millioner?</t>
  </si>
  <si>
    <t xml:space="preserve">c)  Fjell kan ikke betale grossisten ved forfall i mars, men en ordre på 600 000 betales om fem uker. Hva bør Mona gjøre først?   A: Begjære konkurs straks, fordi en regning ikke er betalt ved forfall   B: Forhandle med grossisten og banken om utsettelse, fordi problemet kan være forbigående   C: Melde opphør til Brønnøysundregistrene   (skriv bokstaven)</t>
  </si>
  <si>
    <t xml:space="preserve">d)  Konkursen er gjort opp, og 900 000 kr er udekket. Riktig eller feil for hver påstand?</t>
  </si>
  <si>
    <t xml:space="preserve">      Som AS uten kausjon skylder Mona ingenting etter bobehandlingen   (Ja eller Nei)</t>
  </si>
  <si>
    <t xml:space="preserve">      Som AS med kausjon kan banken kreve restlånet, 300 000, av Mona privat   (Ja eller Nei)</t>
  </si>
  <si>
    <t xml:space="preserve">      Som enkeltpersonforetak skylder Mona alle 900 000   (Ja eller Nei)</t>
  </si>
  <si>
    <t xml:space="preserve">      Hadde Mona og en partner drevet DA med 50 % hver, skylder hver 900 000   (Ja eller Nei)</t>
  </si>
  <si>
    <t xml:space="preserve">      Hadde de drevet ANS, kan kreditorene bare kreve halvparten av Mona   (Ja eller Nei)</t>
  </si>
  <si>
    <t xml:space="preserve">e)  Mona vil velge bort revisor for å spare penger. Skriv to setninger: hva som må til, og hva som taler for og mot.</t>
  </si>
  <si>
    <t xml:space="preserve">Kilde: Hjertnes, J. og Skorpen, K.: Økonomistyring for LØM-emnet, kap. 1, avsnitt 1.4–1.7. Gebyrer: brreg.no/bedrift/gebyr (2026), hentet 11.10.2026. Fravalg av revisjon: aksjeloven § 7-6. Fjell Elektro AS er en konstruert casebedrift.</t>
  </si>
</sst>
</file>

<file path=xl/styles.xml><?xml version="1.0" encoding="utf-8"?>
<styleSheet xmlns="http://schemas.openxmlformats.org/spreadsheetml/2006/main">
  <numFmts count="2">
    <numFmt numFmtId="164" formatCode="General"/>
    <numFmt numFmtId="165"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s>
  <fills count="5">
    <fill>
      <patternFill patternType="none"/>
    </fill>
    <fill>
      <patternFill patternType="gray125"/>
    </fill>
    <fill>
      <patternFill patternType="solid">
        <fgColor rgb="FF2F4A6D"/>
        <bgColor rgb="FF333333"/>
      </patternFill>
    </fill>
    <fill>
      <patternFill patternType="solid">
        <fgColor rgb="FFFFFF00"/>
        <bgColor rgb="FFFFFF00"/>
      </patternFill>
    </fill>
    <fill>
      <patternFill patternType="solid">
        <fgColor rgb="FFF4F6FA"/>
        <bgColor rgb="FFFFFFFF"/>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7" fillId="4" borderId="1" xfId="0" applyFont="true" applyBorder="true" applyAlignment="true" applyProtection="false">
      <alignment horizontal="left" vertical="bottom" textRotation="0" wrapText="true" indent="0" shrinkToFit="false"/>
      <protection locked="true" hidden="false"/>
    </xf>
    <xf numFmtId="165" fontId="7" fillId="4" borderId="1" xfId="0" applyFont="true" applyBorder="true" applyAlignment="true" applyProtection="false">
      <alignment horizontal="right" vertical="bottom" textRotation="0" wrapText="false" indent="0" shrinkToFit="false"/>
      <protection locked="true" hidden="false"/>
    </xf>
    <xf numFmtId="164" fontId="6" fillId="4" borderId="1" xfId="0" applyFont="true" applyBorder="true" applyAlignment="true" applyProtection="false">
      <alignment horizontal="left" vertical="bottom" textRotation="0" wrapText="true" indent="0" shrinkToFit="false"/>
      <protection locked="true" hidden="false"/>
    </xf>
    <xf numFmtId="165" fontId="6" fillId="4"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6FA"/>
      <rgbColor rgb="FFCCFFFF"/>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63.75" hidden="false" customHeight="true" outlineLevel="0" collapsed="false">
      <c r="A4" s="6" t="s">
        <v>22</v>
      </c>
      <c r="B4" s="6"/>
      <c r="C4" s="6"/>
      <c r="D4" s="6"/>
      <c r="E4" s="6"/>
      <c r="F4" s="6"/>
      <c r="G4" s="6"/>
    </row>
    <row r="5" customFormat="false" ht="93.75" hidden="false" customHeight="true" outlineLevel="0" collapsed="false">
      <c r="A5" s="7" t="s">
        <v>23</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26</v>
      </c>
      <c r="B8" s="7" t="s">
        <v>27</v>
      </c>
      <c r="C8" s="7"/>
      <c r="D8" s="7"/>
      <c r="E8" s="7"/>
      <c r="F8" s="7"/>
      <c r="G8" s="7"/>
    </row>
    <row r="9" customFormat="false" ht="18.75" hidden="false" customHeight="true" outlineLevel="0" collapsed="false">
      <c r="A9" s="9" t="s">
        <v>28</v>
      </c>
      <c r="B9" s="7" t="s">
        <v>29</v>
      </c>
      <c r="C9" s="7"/>
      <c r="D9" s="7"/>
      <c r="E9" s="7"/>
      <c r="F9" s="7"/>
      <c r="G9" s="7"/>
    </row>
    <row r="10" customFormat="false" ht="18.75" hidden="false" customHeight="true" outlineLevel="0" collapsed="false">
      <c r="A10" s="9" t="s">
        <v>30</v>
      </c>
      <c r="B10" s="7" t="s">
        <v>31</v>
      </c>
      <c r="C10" s="7"/>
      <c r="D10" s="7"/>
      <c r="E10" s="7"/>
      <c r="F10" s="7"/>
      <c r="G10" s="7"/>
    </row>
    <row r="11" customFormat="false" ht="18.75" hidden="false" customHeight="true" outlineLevel="0" collapsed="false">
      <c r="A11" s="9" t="s">
        <v>32</v>
      </c>
      <c r="B11" s="7" t="s">
        <v>33</v>
      </c>
      <c r="C11" s="7"/>
      <c r="D11" s="7"/>
      <c r="E11" s="7"/>
      <c r="F11" s="7"/>
      <c r="G11" s="7"/>
    </row>
    <row r="12" customFormat="false" ht="18.75" hidden="false" customHeight="true" outlineLevel="0" collapsed="false">
      <c r="A12" s="9" t="s">
        <v>34</v>
      </c>
      <c r="B12" s="7" t="s">
        <v>35</v>
      </c>
      <c r="C12" s="7"/>
      <c r="D12" s="7"/>
      <c r="E12" s="7"/>
      <c r="F12" s="7"/>
      <c r="G12" s="7"/>
    </row>
    <row r="13" customFormat="false" ht="18.75" hidden="false" customHeight="true" outlineLevel="0" collapsed="false">
      <c r="A13" s="9" t="s">
        <v>36</v>
      </c>
      <c r="B13" s="7" t="s">
        <v>37</v>
      </c>
      <c r="C13" s="7"/>
      <c r="D13" s="7"/>
      <c r="E13" s="7"/>
      <c r="F13" s="7"/>
      <c r="G13" s="7"/>
    </row>
    <row r="15" customFormat="false" ht="15" hidden="false" customHeight="false" outlineLevel="0" collapsed="false">
      <c r="A15" s="8" t="s">
        <v>38</v>
      </c>
      <c r="B15" s="8"/>
      <c r="C15" s="8"/>
      <c r="D15" s="8"/>
      <c r="E15" s="8"/>
      <c r="F15" s="8" t="s">
        <v>39</v>
      </c>
      <c r="G15" s="8" t="s">
        <v>40</v>
      </c>
    </row>
    <row r="16" customFormat="false" ht="33.75" hidden="false" customHeight="true" outlineLevel="0" collapsed="false">
      <c r="A16" s="7" t="s">
        <v>41</v>
      </c>
      <c r="B16" s="7"/>
      <c r="C16" s="7"/>
      <c r="D16" s="7"/>
      <c r="E16" s="7"/>
      <c r="F16" s="10"/>
      <c r="G16" s="11" t="str">
        <f aca="false">IF(F16="","",IF(ABS(F16-(300000))&lt;=0.000000001,"Riktig","Prøv igjen"))</f>
        <v/>
      </c>
    </row>
    <row r="17" customFormat="false" ht="33.75" hidden="false" customHeight="true" outlineLevel="0" collapsed="false">
      <c r="A17" s="7" t="s">
        <v>42</v>
      </c>
      <c r="B17" s="7"/>
      <c r="C17" s="7"/>
      <c r="D17" s="7"/>
      <c r="E17" s="7"/>
      <c r="F17" s="10"/>
      <c r="G17" s="11" t="str">
        <f aca="false">IF(F17="","",IF(ABS(F17-(700000))&lt;=0.000000001,"Riktig","Prøv igjen"))</f>
        <v/>
      </c>
    </row>
    <row r="18" customFormat="false" ht="33.75" hidden="false" customHeight="true" outlineLevel="0" collapsed="false">
      <c r="A18" s="7" t="s">
        <v>43</v>
      </c>
      <c r="B18" s="7"/>
      <c r="C18" s="7"/>
      <c r="D18" s="7"/>
      <c r="E18" s="7"/>
      <c r="F18" s="10"/>
      <c r="G18" s="11" t="str">
        <f aca="false">IF(F18="","",IF(ABS(F18-(700000))&lt;=0.000000001,"Riktig","Prøv igjen"))</f>
        <v/>
      </c>
    </row>
    <row r="19" customFormat="false" ht="48.75" hidden="false" customHeight="true" outlineLevel="0" collapsed="false">
      <c r="A19" s="7" t="s">
        <v>44</v>
      </c>
      <c r="B19" s="7"/>
      <c r="C19" s="7"/>
      <c r="D19" s="7"/>
      <c r="E19" s="7"/>
      <c r="F19" s="12"/>
      <c r="G19" s="11" t="str">
        <f aca="false">IF(F19="","",IF(UPPER(TRIM(F19))="B","Riktig","Prøv igjen"))</f>
        <v/>
      </c>
    </row>
    <row r="20" customFormat="false" ht="48.75" hidden="false" customHeight="true" outlineLevel="0" collapsed="false">
      <c r="A20" s="7" t="s">
        <v>45</v>
      </c>
      <c r="B20" s="7"/>
      <c r="C20" s="7"/>
      <c r="D20" s="7"/>
      <c r="E20" s="7"/>
    </row>
    <row r="21" customFormat="false" ht="15" hidden="false" customHeight="false" outlineLevel="0" collapsed="false">
      <c r="A21" s="13"/>
      <c r="B21" s="13"/>
      <c r="C21" s="13"/>
      <c r="D21" s="13"/>
      <c r="E21" s="13"/>
      <c r="F21" s="13"/>
      <c r="G21" s="13"/>
    </row>
    <row r="22" customFormat="false" ht="15" hidden="false" customHeight="false" outlineLevel="0" collapsed="false">
      <c r="A22" s="13"/>
      <c r="B22" s="13"/>
      <c r="C22" s="13"/>
      <c r="D22" s="13"/>
      <c r="E22" s="13"/>
      <c r="F22" s="13"/>
      <c r="G22" s="13"/>
    </row>
    <row r="23" customFormat="false" ht="15" hidden="false" customHeight="false" outlineLevel="0" collapsed="false">
      <c r="A23" s="13"/>
      <c r="B23" s="13"/>
      <c r="C23" s="13"/>
      <c r="D23" s="13"/>
      <c r="E23" s="13"/>
      <c r="F23" s="13"/>
      <c r="G23" s="13"/>
    </row>
    <row r="25" customFormat="false" ht="33.75" hidden="false" customHeight="true" outlineLevel="0" collapsed="false">
      <c r="A25" s="6" t="s">
        <v>46</v>
      </c>
      <c r="B25" s="6"/>
      <c r="C25" s="6"/>
      <c r="D25" s="6"/>
      <c r="E25" s="6"/>
      <c r="F25" s="6"/>
      <c r="G25" s="6"/>
    </row>
    <row r="26" customFormat="false" ht="15" hidden="false" customHeight="true" outlineLevel="0" collapsed="false">
      <c r="A26" s="6" t="s">
        <v>47</v>
      </c>
      <c r="B26" s="6"/>
      <c r="C26" s="6"/>
      <c r="D26" s="6"/>
      <c r="E26" s="6"/>
      <c r="F26" s="6"/>
      <c r="G26" s="6"/>
    </row>
  </sheetData>
  <mergeCells count="18">
    <mergeCell ref="A4:G4"/>
    <mergeCell ref="A5:G5"/>
    <mergeCell ref="B7:G7"/>
    <mergeCell ref="B8:G8"/>
    <mergeCell ref="B9:G9"/>
    <mergeCell ref="B10:G10"/>
    <mergeCell ref="B11:G11"/>
    <mergeCell ref="B12:G12"/>
    <mergeCell ref="B13:G13"/>
    <mergeCell ref="A15:E15"/>
    <mergeCell ref="A16:E16"/>
    <mergeCell ref="A17:E17"/>
    <mergeCell ref="A18:E18"/>
    <mergeCell ref="A19:E19"/>
    <mergeCell ref="A20:E20"/>
    <mergeCell ref="A21:G23"/>
    <mergeCell ref="A25:G25"/>
    <mergeCell ref="A26:G2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48</v>
      </c>
    </row>
    <row r="2" customFormat="false" ht="15" hidden="false" customHeight="false" outlineLevel="0" collapsed="false">
      <c r="A2" s="2" t="s">
        <v>21</v>
      </c>
    </row>
    <row r="4" customFormat="false" ht="78.75" hidden="false" customHeight="true" outlineLevel="0" collapsed="false">
      <c r="A4" s="6" t="s">
        <v>49</v>
      </c>
      <c r="B4" s="6"/>
      <c r="C4" s="6"/>
      <c r="D4" s="6"/>
      <c r="E4" s="6"/>
      <c r="F4" s="6"/>
      <c r="G4" s="6"/>
    </row>
    <row r="5" customFormat="false" ht="78.75" hidden="false" customHeight="true" outlineLevel="0" collapsed="false">
      <c r="A5" s="7" t="s">
        <v>50</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51</v>
      </c>
      <c r="B8" s="7" t="s">
        <v>52</v>
      </c>
      <c r="C8" s="7"/>
      <c r="D8" s="7"/>
      <c r="E8" s="7"/>
      <c r="F8" s="7"/>
      <c r="G8" s="7"/>
    </row>
    <row r="9" customFormat="false" ht="18.75" hidden="false" customHeight="true" outlineLevel="0" collapsed="false">
      <c r="A9" s="9" t="s">
        <v>53</v>
      </c>
      <c r="B9" s="7" t="s">
        <v>54</v>
      </c>
      <c r="C9" s="7"/>
      <c r="D9" s="7"/>
      <c r="E9" s="7"/>
      <c r="F9" s="7"/>
      <c r="G9" s="7"/>
    </row>
    <row r="10" customFormat="false" ht="18.75" hidden="false" customHeight="true" outlineLevel="0" collapsed="false">
      <c r="A10" s="9" t="s">
        <v>55</v>
      </c>
      <c r="B10" s="7" t="s">
        <v>56</v>
      </c>
      <c r="C10" s="7"/>
      <c r="D10" s="7"/>
      <c r="E10" s="7"/>
      <c r="F10" s="7"/>
      <c r="G10" s="7"/>
    </row>
    <row r="11" customFormat="false" ht="18.75" hidden="false" customHeight="true" outlineLevel="0" collapsed="false">
      <c r="A11" s="9" t="s">
        <v>57</v>
      </c>
      <c r="B11" s="7" t="s">
        <v>58</v>
      </c>
      <c r="C11" s="7"/>
      <c r="D11" s="7"/>
      <c r="E11" s="7"/>
      <c r="F11" s="7"/>
      <c r="G11" s="7"/>
    </row>
    <row r="12" customFormat="false" ht="18.75" hidden="false" customHeight="true" outlineLevel="0" collapsed="false">
      <c r="A12" s="9" t="s">
        <v>59</v>
      </c>
      <c r="B12" s="7" t="s">
        <v>60</v>
      </c>
      <c r="C12" s="7"/>
      <c r="D12" s="7"/>
      <c r="E12" s="7"/>
      <c r="F12" s="7"/>
      <c r="G12" s="7"/>
    </row>
    <row r="13" customFormat="false" ht="18.75" hidden="false" customHeight="true" outlineLevel="0" collapsed="false">
      <c r="A13" s="9" t="s">
        <v>61</v>
      </c>
      <c r="B13" s="7" t="s">
        <v>62</v>
      </c>
      <c r="C13" s="7"/>
      <c r="D13" s="7"/>
      <c r="E13" s="7"/>
      <c r="F13" s="7"/>
      <c r="G13" s="7"/>
    </row>
    <row r="14" customFormat="false" ht="18.75" hidden="false" customHeight="true" outlineLevel="0" collapsed="false">
      <c r="A14" s="9" t="s">
        <v>63</v>
      </c>
      <c r="B14" s="7" t="s">
        <v>64</v>
      </c>
      <c r="C14" s="7"/>
      <c r="D14" s="7"/>
      <c r="E14" s="7"/>
      <c r="F14" s="7"/>
      <c r="G14" s="7"/>
    </row>
    <row r="16" customFormat="false" ht="15" hidden="false" customHeight="false" outlineLevel="0" collapsed="false">
      <c r="A16" s="8" t="s">
        <v>38</v>
      </c>
      <c r="B16" s="8"/>
      <c r="C16" s="8"/>
      <c r="D16" s="8"/>
      <c r="E16" s="8"/>
      <c r="F16" s="8" t="s">
        <v>39</v>
      </c>
      <c r="G16" s="8" t="s">
        <v>40</v>
      </c>
    </row>
    <row r="17" customFormat="false" ht="33.75" hidden="false" customHeight="true" outlineLevel="0" collapsed="false">
      <c r="A17" s="7" t="s">
        <v>65</v>
      </c>
      <c r="B17" s="7"/>
      <c r="C17" s="7"/>
      <c r="D17" s="7"/>
      <c r="E17" s="7"/>
      <c r="F17" s="10"/>
      <c r="G17" s="11" t="str">
        <f aca="false">IF(F17="","",IF(ABS(F17-(600000))&lt;=0.000000001,"Riktig","Prøv igjen"))</f>
        <v/>
      </c>
    </row>
    <row r="18" customFormat="false" ht="33.75" hidden="false" customHeight="true" outlineLevel="0" collapsed="false">
      <c r="A18" s="7" t="s">
        <v>66</v>
      </c>
      <c r="B18" s="7"/>
      <c r="C18" s="7"/>
      <c r="D18" s="7"/>
      <c r="E18" s="7"/>
      <c r="F18" s="10"/>
      <c r="G18" s="11" t="str">
        <f aca="false">IF(F18="","",IF(ABS(F18-(1100000))&lt;=0.000000001,"Riktig","Prøv igjen"))</f>
        <v/>
      </c>
    </row>
    <row r="19" customFormat="false" ht="48.75" hidden="false" customHeight="true" outlineLevel="0" collapsed="false">
      <c r="A19" s="7" t="s">
        <v>67</v>
      </c>
      <c r="B19" s="7"/>
      <c r="C19" s="7"/>
      <c r="D19" s="7"/>
      <c r="E19" s="7"/>
      <c r="F19" s="12"/>
      <c r="G19" s="11" t="str">
        <f aca="false">IF(F19="","",IF(UPPER(TRIM(F19))="C","Riktig","Prøv igjen"))</f>
        <v/>
      </c>
    </row>
    <row r="20" customFormat="false" ht="18.75" hidden="false" customHeight="true" outlineLevel="0" collapsed="false">
      <c r="A20" s="7" t="s">
        <v>68</v>
      </c>
      <c r="B20" s="7"/>
      <c r="C20" s="7"/>
      <c r="D20" s="7"/>
      <c r="E20" s="7"/>
    </row>
    <row r="21" customFormat="false" ht="26.85" hidden="false" customHeight="true" outlineLevel="0" collapsed="false">
      <c r="A21" s="7" t="s">
        <v>69</v>
      </c>
      <c r="B21" s="7"/>
      <c r="C21" s="7"/>
      <c r="D21" s="7"/>
      <c r="E21" s="7"/>
      <c r="F21" s="12"/>
      <c r="G21" s="11" t="str">
        <f aca="false">IF(F21="","",IF(UPPER(TRIM(F21))="JA","Riktig","Prøv igjen"))</f>
        <v/>
      </c>
    </row>
    <row r="22" customFormat="false" ht="15" hidden="false" customHeight="true" outlineLevel="0" collapsed="false">
      <c r="A22" s="7" t="s">
        <v>70</v>
      </c>
      <c r="B22" s="7"/>
      <c r="C22" s="7"/>
      <c r="D22" s="7"/>
      <c r="E22" s="7"/>
      <c r="F22" s="12"/>
      <c r="G22" s="11" t="str">
        <f aca="false">IF(F22="","",IF(UPPER(TRIM(F22))="NEI","Riktig","Prøv igjen"))</f>
        <v/>
      </c>
    </row>
    <row r="23" customFormat="false" ht="15" hidden="false" customHeight="true" outlineLevel="0" collapsed="false">
      <c r="A23" s="7" t="s">
        <v>71</v>
      </c>
      <c r="B23" s="7"/>
      <c r="C23" s="7"/>
      <c r="D23" s="7"/>
      <c r="E23" s="7"/>
      <c r="F23" s="12"/>
      <c r="G23" s="11" t="str">
        <f aca="false">IF(F23="","",IF(UPPER(TRIM(F23))="NEI","Riktig","Prøv igjen"))</f>
        <v/>
      </c>
    </row>
    <row r="24" customFormat="false" ht="15" hidden="false" customHeight="true" outlineLevel="0" collapsed="false">
      <c r="A24" s="7" t="s">
        <v>72</v>
      </c>
      <c r="B24" s="7"/>
      <c r="C24" s="7"/>
      <c r="D24" s="7"/>
      <c r="E24" s="7"/>
      <c r="F24" s="12"/>
      <c r="G24" s="11" t="str">
        <f aca="false">IF(F24="","",IF(UPPER(TRIM(F24))="NEI","Riktig","Prøv igjen"))</f>
        <v/>
      </c>
    </row>
    <row r="25" customFormat="false" ht="15" hidden="false" customHeight="true" outlineLevel="0" collapsed="false">
      <c r="A25" s="7" t="s">
        <v>73</v>
      </c>
      <c r="B25" s="7"/>
      <c r="C25" s="7"/>
      <c r="D25" s="7"/>
      <c r="E25" s="7"/>
      <c r="F25" s="12"/>
      <c r="G25" s="11" t="str">
        <f aca="false">IF(F25="","",IF(UPPER(TRIM(F25))="NEI","Riktig","Prøv igjen"))</f>
        <v/>
      </c>
    </row>
    <row r="26" customFormat="false" ht="33.75" hidden="false" customHeight="true" outlineLevel="0" collapsed="false">
      <c r="A26" s="7" t="s">
        <v>74</v>
      </c>
      <c r="B26" s="7"/>
      <c r="C26" s="7"/>
      <c r="D26" s="7"/>
      <c r="E26" s="7"/>
    </row>
    <row r="27" customFormat="false" ht="15" hidden="false" customHeight="false" outlineLevel="0" collapsed="false">
      <c r="A27" s="13"/>
      <c r="B27" s="13"/>
      <c r="C27" s="13"/>
      <c r="D27" s="13"/>
      <c r="E27" s="13"/>
      <c r="F27" s="13"/>
      <c r="G27" s="13"/>
    </row>
    <row r="28" customFormat="false" ht="15" hidden="false" customHeight="false" outlineLevel="0" collapsed="false">
      <c r="A28" s="13"/>
      <c r="B28" s="13"/>
      <c r="C28" s="13"/>
      <c r="D28" s="13"/>
      <c r="E28" s="13"/>
      <c r="F28" s="13"/>
      <c r="G28" s="13"/>
    </row>
    <row r="29" customFormat="false" ht="15" hidden="false" customHeight="false" outlineLevel="0" collapsed="false">
      <c r="A29" s="13"/>
      <c r="B29" s="13"/>
      <c r="C29" s="13"/>
      <c r="D29" s="13"/>
      <c r="E29" s="13"/>
      <c r="F29" s="13"/>
      <c r="G29" s="13"/>
    </row>
    <row r="31" customFormat="false" ht="48.75" hidden="false" customHeight="true" outlineLevel="0" collapsed="false">
      <c r="A31" s="6" t="s">
        <v>75</v>
      </c>
      <c r="B31" s="6"/>
      <c r="C31" s="6"/>
      <c r="D31" s="6"/>
      <c r="E31" s="6"/>
      <c r="F31" s="6"/>
      <c r="G31" s="6"/>
    </row>
    <row r="32" customFormat="false" ht="15" hidden="false" customHeight="true" outlineLevel="0" collapsed="false">
      <c r="A32" s="6" t="s">
        <v>47</v>
      </c>
      <c r="B32" s="6"/>
      <c r="C32" s="6"/>
      <c r="D32" s="6"/>
      <c r="E32" s="6"/>
      <c r="F32" s="6"/>
      <c r="G32" s="6"/>
    </row>
  </sheetData>
  <mergeCells count="24">
    <mergeCell ref="A4:G4"/>
    <mergeCell ref="A5:G5"/>
    <mergeCell ref="B7:G7"/>
    <mergeCell ref="B8:G8"/>
    <mergeCell ref="B9:G9"/>
    <mergeCell ref="B10:G10"/>
    <mergeCell ref="B11:G11"/>
    <mergeCell ref="B12:G12"/>
    <mergeCell ref="B13:G13"/>
    <mergeCell ref="B14:G14"/>
    <mergeCell ref="A16:E16"/>
    <mergeCell ref="A17:E17"/>
    <mergeCell ref="A18:E18"/>
    <mergeCell ref="A19:E19"/>
    <mergeCell ref="A20:E20"/>
    <mergeCell ref="A21:E21"/>
    <mergeCell ref="A22:E22"/>
    <mergeCell ref="A23:E23"/>
    <mergeCell ref="A24:E24"/>
    <mergeCell ref="A25:E25"/>
    <mergeCell ref="A26:E26"/>
    <mergeCell ref="A27:G29"/>
    <mergeCell ref="A31:G31"/>
    <mergeCell ref="A32:G3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76</v>
      </c>
    </row>
    <row r="2" customFormat="false" ht="15" hidden="false" customHeight="false" outlineLevel="0" collapsed="false">
      <c r="A2" s="2" t="s">
        <v>21</v>
      </c>
    </row>
    <row r="4" customFormat="false" ht="63.75" hidden="false" customHeight="true" outlineLevel="0" collapsed="false">
      <c r="A4" s="6" t="s">
        <v>77</v>
      </c>
      <c r="B4" s="6"/>
      <c r="C4" s="6"/>
      <c r="D4" s="6"/>
      <c r="E4" s="6"/>
      <c r="F4" s="6"/>
      <c r="G4" s="6"/>
    </row>
    <row r="5" customFormat="false" ht="63.75" hidden="false" customHeight="true" outlineLevel="0" collapsed="false">
      <c r="A5" s="7" t="s">
        <v>78</v>
      </c>
      <c r="B5" s="7"/>
      <c r="C5" s="7"/>
      <c r="D5" s="7"/>
      <c r="E5" s="7"/>
      <c r="F5" s="7"/>
      <c r="G5" s="7"/>
    </row>
    <row r="7" customFormat="false" ht="15" hidden="false" customHeight="false" outlineLevel="0" collapsed="false">
      <c r="A7" s="14" t="s">
        <v>79</v>
      </c>
      <c r="B7" s="15" t="s">
        <v>80</v>
      </c>
      <c r="C7" s="15" t="s">
        <v>81</v>
      </c>
    </row>
    <row r="8" customFormat="false" ht="15" hidden="false" customHeight="false" outlineLevel="0" collapsed="false">
      <c r="A8" s="16" t="s">
        <v>82</v>
      </c>
      <c r="B8" s="17" t="n">
        <v>1200000</v>
      </c>
      <c r="C8" s="17" t="n">
        <v>1200000</v>
      </c>
    </row>
    <row r="9" customFormat="false" ht="15" hidden="false" customHeight="false" outlineLevel="0" collapsed="false">
      <c r="A9" s="18" t="s">
        <v>83</v>
      </c>
      <c r="B9" s="19" t="n">
        <v>2400000</v>
      </c>
      <c r="C9" s="19" t="n">
        <v>2100000</v>
      </c>
    </row>
    <row r="10" customFormat="false" ht="15" hidden="false" customHeight="false" outlineLevel="0" collapsed="false">
      <c r="A10" s="16" t="s">
        <v>84</v>
      </c>
      <c r="B10" s="17" t="n">
        <v>1400000</v>
      </c>
      <c r="C10" s="17" t="n">
        <v>1350000</v>
      </c>
    </row>
    <row r="11" customFormat="false" ht="15" hidden="false" customHeight="false" outlineLevel="0" collapsed="false">
      <c r="A11" s="18" t="s">
        <v>85</v>
      </c>
      <c r="B11" s="19" t="n">
        <v>4200000</v>
      </c>
      <c r="C11" s="19" t="n">
        <v>4200000</v>
      </c>
    </row>
    <row r="12" customFormat="false" ht="15" hidden="false" customHeight="false" outlineLevel="0" collapsed="false">
      <c r="A12" s="16" t="s">
        <v>86</v>
      </c>
      <c r="B12" s="17" t="n">
        <v>982650</v>
      </c>
      <c r="C12" s="17" t="n">
        <v>982650</v>
      </c>
    </row>
    <row r="13" customFormat="false" ht="15" hidden="false" customHeight="false" outlineLevel="0" collapsed="false">
      <c r="A13" s="20" t="s">
        <v>87</v>
      </c>
      <c r="B13" s="21" t="n">
        <v>10182650</v>
      </c>
      <c r="C13" s="10"/>
    </row>
    <row r="14" customFormat="false" ht="15" hidden="false" customHeight="false" outlineLevel="0" collapsed="false">
      <c r="A14" s="16" t="s">
        <v>88</v>
      </c>
      <c r="B14" s="17" t="n">
        <v>7290000</v>
      </c>
      <c r="C14" s="17" t="n">
        <v>7290000</v>
      </c>
    </row>
    <row r="15" customFormat="false" ht="15" hidden="false" customHeight="false" outlineLevel="0" collapsed="false">
      <c r="A15" s="20" t="s">
        <v>89</v>
      </c>
      <c r="B15" s="21" t="n">
        <v>2892650</v>
      </c>
      <c r="C15" s="10"/>
    </row>
    <row r="16" customFormat="false" ht="15" hidden="false" customHeight="true" outlineLevel="0" collapsed="false">
      <c r="A16" s="6" t="s">
        <v>90</v>
      </c>
      <c r="B16" s="6"/>
      <c r="C16" s="6"/>
      <c r="D16" s="6"/>
      <c r="E16" s="6"/>
      <c r="F16" s="6"/>
      <c r="G16" s="6"/>
    </row>
    <row r="18" customFormat="false" ht="15" hidden="false" customHeight="false" outlineLevel="0" collapsed="false">
      <c r="A18" s="8" t="s">
        <v>38</v>
      </c>
      <c r="B18" s="8"/>
      <c r="C18" s="8"/>
      <c r="D18" s="8"/>
      <c r="E18" s="8"/>
      <c r="F18" s="8" t="s">
        <v>39</v>
      </c>
      <c r="G18" s="8" t="s">
        <v>40</v>
      </c>
    </row>
    <row r="19" customFormat="false" ht="33.75" hidden="false" customHeight="true" outlineLevel="0" collapsed="false">
      <c r="A19" s="7" t="s">
        <v>91</v>
      </c>
      <c r="B19" s="7"/>
      <c r="C19" s="7"/>
      <c r="D19" s="7"/>
      <c r="E19" s="7"/>
      <c r="F19" s="10"/>
      <c r="G19" s="11" t="str">
        <f aca="false">IF(F19="","",IF(ABS(F19-(2542650))&lt;=0.000000001,"Riktig","Prøv igjen"))</f>
        <v/>
      </c>
    </row>
    <row r="20" customFormat="false" ht="18.75" hidden="false" customHeight="true" outlineLevel="0" collapsed="false">
      <c r="A20" s="7" t="s">
        <v>92</v>
      </c>
      <c r="B20" s="7"/>
      <c r="C20" s="7"/>
      <c r="D20" s="7"/>
      <c r="E20" s="7"/>
      <c r="F20" s="10"/>
      <c r="G20" s="11" t="str">
        <f aca="false">IF(F20="","",IF(ABS(F20-(1457350))&lt;=0.000000001,"Riktig","Prøv igjen"))</f>
        <v/>
      </c>
    </row>
    <row r="21" customFormat="false" ht="33.75" hidden="false" customHeight="true" outlineLevel="0" collapsed="false">
      <c r="A21" s="7" t="s">
        <v>93</v>
      </c>
      <c r="B21" s="7"/>
      <c r="C21" s="7"/>
      <c r="D21" s="7"/>
      <c r="E21" s="7"/>
      <c r="F21" s="12"/>
      <c r="G21" s="11" t="str">
        <f aca="false">IF(F21="","",IF(UPPER(TRIM(F21))="A","Riktig","Prøv igjen"))</f>
        <v/>
      </c>
    </row>
    <row r="22" customFormat="false" ht="18.75" hidden="false" customHeight="true" outlineLevel="0" collapsed="false">
      <c r="A22" s="7" t="s">
        <v>94</v>
      </c>
      <c r="B22" s="7"/>
      <c r="C22" s="7"/>
      <c r="D22" s="7"/>
      <c r="E22" s="7"/>
    </row>
    <row r="23" customFormat="false" ht="15" hidden="false" customHeight="true" outlineLevel="0" collapsed="false">
      <c r="A23" s="7" t="s">
        <v>95</v>
      </c>
      <c r="B23" s="7"/>
      <c r="C23" s="7"/>
      <c r="D23" s="7"/>
      <c r="E23" s="7"/>
      <c r="F23" s="12"/>
      <c r="G23" s="11" t="str">
        <f aca="false">IF(F23="","",IF(UPPER(TRIM(F23))="NEI","Riktig","Prøv igjen"))</f>
        <v/>
      </c>
    </row>
    <row r="24" customFormat="false" ht="26.85" hidden="false" customHeight="true" outlineLevel="0" collapsed="false">
      <c r="A24" s="7" t="s">
        <v>96</v>
      </c>
      <c r="B24" s="7"/>
      <c r="C24" s="7"/>
      <c r="D24" s="7"/>
      <c r="E24" s="7"/>
      <c r="F24" s="12"/>
      <c r="G24" s="11" t="str">
        <f aca="false">IF(F24="","",IF(UPPER(TRIM(F24))="NEI","Riktig","Prøv igjen"))</f>
        <v/>
      </c>
    </row>
    <row r="25" customFormat="false" ht="15" hidden="false" customHeight="true" outlineLevel="0" collapsed="false">
      <c r="A25" s="7" t="s">
        <v>97</v>
      </c>
      <c r="B25" s="7"/>
      <c r="C25" s="7"/>
      <c r="D25" s="7"/>
      <c r="E25" s="7"/>
      <c r="F25" s="12"/>
      <c r="G25" s="11" t="str">
        <f aca="false">IF(F25="","",IF(UPPER(TRIM(F25))="JA","Riktig","Prøv igjen"))</f>
        <v/>
      </c>
    </row>
    <row r="26" customFormat="false" ht="15" hidden="false" customHeight="true" outlineLevel="0" collapsed="false">
      <c r="A26" s="7" t="s">
        <v>98</v>
      </c>
      <c r="B26" s="7"/>
      <c r="C26" s="7"/>
      <c r="D26" s="7"/>
      <c r="E26" s="7"/>
      <c r="F26" s="12"/>
      <c r="G26" s="11" t="str">
        <f aca="false">IF(F26="","",IF(UPPER(TRIM(F26))="JA","Riktig","Prøv igjen"))</f>
        <v/>
      </c>
    </row>
    <row r="27" customFormat="false" ht="15" hidden="false" customHeight="true" outlineLevel="0" collapsed="false">
      <c r="A27" s="7" t="s">
        <v>99</v>
      </c>
      <c r="B27" s="7"/>
      <c r="C27" s="7"/>
      <c r="D27" s="7"/>
      <c r="E27" s="7"/>
      <c r="F27" s="12"/>
      <c r="G27" s="11" t="str">
        <f aca="false">IF(F27="","",IF(UPPER(TRIM(F27))="JA","Riktig","Prøv igjen"))</f>
        <v/>
      </c>
    </row>
    <row r="28" customFormat="false" ht="33.75" hidden="false" customHeight="true" outlineLevel="0" collapsed="false">
      <c r="A28" s="7" t="s">
        <v>100</v>
      </c>
      <c r="B28" s="7"/>
      <c r="C28" s="7"/>
      <c r="D28" s="7"/>
      <c r="E28" s="7"/>
    </row>
    <row r="29" customFormat="false" ht="15" hidden="false" customHeight="false" outlineLevel="0" collapsed="false">
      <c r="A29" s="13"/>
      <c r="B29" s="13"/>
      <c r="C29" s="13"/>
      <c r="D29" s="13"/>
      <c r="E29" s="13"/>
      <c r="F29" s="13"/>
      <c r="G29" s="13"/>
    </row>
    <row r="30" customFormat="false" ht="15" hidden="false" customHeight="false" outlineLevel="0" collapsed="false">
      <c r="A30" s="13"/>
      <c r="B30" s="13"/>
      <c r="C30" s="13"/>
      <c r="D30" s="13"/>
      <c r="E30" s="13"/>
      <c r="F30" s="13"/>
      <c r="G30" s="13"/>
    </row>
    <row r="31" customFormat="false" ht="15" hidden="false" customHeight="false" outlineLevel="0" collapsed="false">
      <c r="A31" s="13"/>
      <c r="B31" s="13"/>
      <c r="C31" s="13"/>
      <c r="D31" s="13"/>
      <c r="E31" s="13"/>
      <c r="F31" s="13"/>
      <c r="G31" s="13"/>
    </row>
    <row r="33" customFormat="false" ht="33.75" hidden="false" customHeight="true" outlineLevel="0" collapsed="false">
      <c r="A33" s="6" t="s">
        <v>101</v>
      </c>
      <c r="B33" s="6"/>
      <c r="C33" s="6"/>
      <c r="D33" s="6"/>
      <c r="E33" s="6"/>
      <c r="F33" s="6"/>
      <c r="G33" s="6"/>
    </row>
    <row r="34" customFormat="false" ht="15" hidden="false" customHeight="true" outlineLevel="0" collapsed="false">
      <c r="A34" s="6" t="s">
        <v>47</v>
      </c>
      <c r="B34" s="6"/>
      <c r="C34" s="6"/>
      <c r="D34" s="6"/>
      <c r="E34" s="6"/>
      <c r="F34" s="6"/>
      <c r="G34" s="6"/>
    </row>
  </sheetData>
  <mergeCells count="17">
    <mergeCell ref="A4:G4"/>
    <mergeCell ref="A5:G5"/>
    <mergeCell ref="A16:G16"/>
    <mergeCell ref="A18:E18"/>
    <mergeCell ref="A19:E19"/>
    <mergeCell ref="A20:E20"/>
    <mergeCell ref="A21:E21"/>
    <mergeCell ref="A22:E22"/>
    <mergeCell ref="A23:E23"/>
    <mergeCell ref="A24:E24"/>
    <mergeCell ref="A25:E25"/>
    <mergeCell ref="A26:E26"/>
    <mergeCell ref="A27:E27"/>
    <mergeCell ref="A28:E28"/>
    <mergeCell ref="A29:G31"/>
    <mergeCell ref="A33:G33"/>
    <mergeCell ref="A34:G34"/>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102</v>
      </c>
    </row>
    <row r="2" customFormat="false" ht="15" hidden="false" customHeight="false" outlineLevel="0" collapsed="false">
      <c r="A2" s="2" t="s">
        <v>21</v>
      </c>
    </row>
    <row r="4" customFormat="false" ht="78.75" hidden="false" customHeight="true" outlineLevel="0" collapsed="false">
      <c r="A4" s="6" t="s">
        <v>103</v>
      </c>
      <c r="B4" s="6"/>
      <c r="C4" s="6"/>
      <c r="D4" s="6"/>
      <c r="E4" s="6"/>
      <c r="F4" s="6"/>
      <c r="G4" s="6"/>
    </row>
    <row r="5" customFormat="false" ht="78.75" hidden="false" customHeight="true" outlineLevel="0" collapsed="false">
      <c r="A5" s="7" t="s">
        <v>104</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105</v>
      </c>
      <c r="B8" s="7" t="s">
        <v>106</v>
      </c>
      <c r="C8" s="7"/>
      <c r="D8" s="7"/>
      <c r="E8" s="7"/>
      <c r="F8" s="7"/>
      <c r="G8" s="7"/>
    </row>
    <row r="9" customFormat="false" ht="18.75" hidden="false" customHeight="true" outlineLevel="0" collapsed="false">
      <c r="A9" s="9" t="s">
        <v>107</v>
      </c>
      <c r="B9" s="7" t="s">
        <v>108</v>
      </c>
      <c r="C9" s="7"/>
      <c r="D9" s="7"/>
      <c r="E9" s="7"/>
      <c r="F9" s="7"/>
      <c r="G9" s="7"/>
    </row>
    <row r="10" customFormat="false" ht="18.75" hidden="false" customHeight="true" outlineLevel="0" collapsed="false">
      <c r="A10" s="9" t="s">
        <v>109</v>
      </c>
      <c r="B10" s="7" t="s">
        <v>110</v>
      </c>
      <c r="C10" s="7"/>
      <c r="D10" s="7"/>
      <c r="E10" s="7"/>
      <c r="F10" s="7"/>
      <c r="G10" s="7"/>
    </row>
    <row r="11" customFormat="false" ht="18.75" hidden="false" customHeight="true" outlineLevel="0" collapsed="false">
      <c r="A11" s="9" t="s">
        <v>111</v>
      </c>
      <c r="B11" s="7" t="s">
        <v>112</v>
      </c>
      <c r="C11" s="7"/>
      <c r="D11" s="7"/>
      <c r="E11" s="7"/>
      <c r="F11" s="7"/>
      <c r="G11" s="7"/>
    </row>
    <row r="12" customFormat="false" ht="18.75" hidden="false" customHeight="true" outlineLevel="0" collapsed="false">
      <c r="A12" s="9" t="s">
        <v>113</v>
      </c>
      <c r="B12" s="7" t="s">
        <v>114</v>
      </c>
      <c r="C12" s="7"/>
      <c r="D12" s="7"/>
      <c r="E12" s="7"/>
      <c r="F12" s="7"/>
      <c r="G12" s="7"/>
    </row>
    <row r="14" customFormat="false" ht="15" hidden="false" customHeight="false" outlineLevel="0" collapsed="false">
      <c r="A14" s="8" t="s">
        <v>38</v>
      </c>
      <c r="B14" s="8"/>
      <c r="C14" s="8"/>
      <c r="D14" s="8"/>
      <c r="E14" s="8"/>
      <c r="F14" s="8" t="s">
        <v>39</v>
      </c>
      <c r="G14" s="8" t="s">
        <v>40</v>
      </c>
    </row>
    <row r="15" customFormat="false" ht="33.75" hidden="false" customHeight="true" outlineLevel="0" collapsed="false">
      <c r="A15" s="7" t="s">
        <v>115</v>
      </c>
      <c r="B15" s="7"/>
      <c r="C15" s="7"/>
      <c r="D15" s="7"/>
      <c r="E15" s="7"/>
      <c r="F15" s="10"/>
      <c r="G15" s="11" t="str">
        <f aca="false">IF(F15="","",IF(ABS(F15-(4644))&lt;=0.000000001,"Riktig","Prøv igjen"))</f>
        <v/>
      </c>
    </row>
    <row r="16" customFormat="false" ht="33.75" hidden="false" customHeight="true" outlineLevel="0" collapsed="false">
      <c r="A16" s="7" t="s">
        <v>116</v>
      </c>
      <c r="B16" s="7"/>
      <c r="C16" s="7"/>
      <c r="D16" s="7"/>
      <c r="E16" s="7"/>
      <c r="F16" s="10"/>
      <c r="G16" s="11" t="str">
        <f aca="false">IF(F16="","",IF(ABS(F16-(2205000))&lt;=0.000000001,"Riktig","Prøv igjen"))</f>
        <v/>
      </c>
    </row>
    <row r="17" customFormat="false" ht="63.75" hidden="false" customHeight="true" outlineLevel="0" collapsed="false">
      <c r="A17" s="7" t="s">
        <v>117</v>
      </c>
      <c r="B17" s="7"/>
      <c r="C17" s="7"/>
      <c r="D17" s="7"/>
      <c r="E17" s="7"/>
      <c r="F17" s="12"/>
      <c r="G17" s="11" t="str">
        <f aca="false">IF(F17="","",IF(UPPER(TRIM(F17))="B","Riktig","Prøv igjen"))</f>
        <v/>
      </c>
    </row>
    <row r="18" customFormat="false" ht="18.75" hidden="false" customHeight="true" outlineLevel="0" collapsed="false">
      <c r="A18" s="7" t="s">
        <v>118</v>
      </c>
      <c r="B18" s="7"/>
      <c r="C18" s="7"/>
      <c r="D18" s="7"/>
      <c r="E18" s="7"/>
    </row>
    <row r="19" customFormat="false" ht="15" hidden="false" customHeight="true" outlineLevel="0" collapsed="false">
      <c r="A19" s="7" t="s">
        <v>119</v>
      </c>
      <c r="B19" s="7"/>
      <c r="C19" s="7"/>
      <c r="D19" s="7"/>
      <c r="E19" s="7"/>
      <c r="F19" s="12"/>
      <c r="G19" s="11" t="str">
        <f aca="false">IF(F19="","",IF(UPPER(TRIM(F19))="JA","Riktig","Prøv igjen"))</f>
        <v/>
      </c>
    </row>
    <row r="20" customFormat="false" ht="15" hidden="false" customHeight="true" outlineLevel="0" collapsed="false">
      <c r="A20" s="7" t="s">
        <v>120</v>
      </c>
      <c r="B20" s="7"/>
      <c r="C20" s="7"/>
      <c r="D20" s="7"/>
      <c r="E20" s="7"/>
      <c r="F20" s="12"/>
      <c r="G20" s="11" t="str">
        <f aca="false">IF(F20="","",IF(UPPER(TRIM(F20))="JA","Riktig","Prøv igjen"))</f>
        <v/>
      </c>
    </row>
    <row r="21" customFormat="false" ht="15" hidden="false" customHeight="true" outlineLevel="0" collapsed="false">
      <c r="A21" s="7" t="s">
        <v>121</v>
      </c>
      <c r="B21" s="7"/>
      <c r="C21" s="7"/>
      <c r="D21" s="7"/>
      <c r="E21" s="7"/>
      <c r="F21" s="12"/>
      <c r="G21" s="11" t="str">
        <f aca="false">IF(F21="","",IF(UPPER(TRIM(F21))="JA","Riktig","Prøv igjen"))</f>
        <v/>
      </c>
    </row>
    <row r="22" customFormat="false" ht="15" hidden="false" customHeight="true" outlineLevel="0" collapsed="false">
      <c r="A22" s="7" t="s">
        <v>122</v>
      </c>
      <c r="B22" s="7"/>
      <c r="C22" s="7"/>
      <c r="D22" s="7"/>
      <c r="E22" s="7"/>
      <c r="F22" s="12"/>
      <c r="G22" s="11" t="str">
        <f aca="false">IF(F22="","",IF(UPPER(TRIM(F22))="NEI","Riktig","Prøv igjen"))</f>
        <v/>
      </c>
    </row>
    <row r="23" customFormat="false" ht="15" hidden="false" customHeight="true" outlineLevel="0" collapsed="false">
      <c r="A23" s="7" t="s">
        <v>123</v>
      </c>
      <c r="B23" s="7"/>
      <c r="C23" s="7"/>
      <c r="D23" s="7"/>
      <c r="E23" s="7"/>
      <c r="F23" s="12"/>
      <c r="G23" s="11" t="str">
        <f aca="false">IF(F23="","",IF(UPPER(TRIM(F23))="NEI","Riktig","Prøv igjen"))</f>
        <v/>
      </c>
    </row>
    <row r="24" customFormat="false" ht="33.75" hidden="false" customHeight="true" outlineLevel="0" collapsed="false">
      <c r="A24" s="7" t="s">
        <v>124</v>
      </c>
      <c r="B24" s="7"/>
      <c r="C24" s="7"/>
      <c r="D24" s="7"/>
      <c r="E24" s="7"/>
    </row>
    <row r="25" customFormat="false" ht="15" hidden="false" customHeight="false" outlineLevel="0" collapsed="false">
      <c r="A25" s="13"/>
      <c r="B25" s="13"/>
      <c r="C25" s="13"/>
      <c r="D25" s="13"/>
      <c r="E25" s="13"/>
      <c r="F25" s="13"/>
      <c r="G25" s="13"/>
    </row>
    <row r="26" customFormat="false" ht="15" hidden="false" customHeight="false" outlineLevel="0" collapsed="false">
      <c r="A26" s="13"/>
      <c r="B26" s="13"/>
      <c r="C26" s="13"/>
      <c r="D26" s="13"/>
      <c r="E26" s="13"/>
      <c r="F26" s="13"/>
      <c r="G26" s="13"/>
    </row>
    <row r="27" customFormat="false" ht="15" hidden="false" customHeight="false" outlineLevel="0" collapsed="false">
      <c r="A27" s="13"/>
      <c r="B27" s="13"/>
      <c r="C27" s="13"/>
      <c r="D27" s="13"/>
      <c r="E27" s="13"/>
      <c r="F27" s="13"/>
      <c r="G27" s="13"/>
    </row>
    <row r="29" customFormat="false" ht="48.75" hidden="false" customHeight="true" outlineLevel="0" collapsed="false">
      <c r="A29" s="6" t="s">
        <v>125</v>
      </c>
      <c r="B29" s="6"/>
      <c r="C29" s="6"/>
      <c r="D29" s="6"/>
      <c r="E29" s="6"/>
      <c r="F29" s="6"/>
      <c r="G29" s="6"/>
    </row>
    <row r="30" customFormat="false" ht="15" hidden="false" customHeight="true" outlineLevel="0" collapsed="false">
      <c r="A30" s="6" t="s">
        <v>47</v>
      </c>
      <c r="B30" s="6"/>
      <c r="C30" s="6"/>
      <c r="D30" s="6"/>
      <c r="E30" s="6"/>
      <c r="F30" s="6"/>
      <c r="G30" s="6"/>
    </row>
  </sheetData>
  <mergeCells count="22">
    <mergeCell ref="A4:G4"/>
    <mergeCell ref="A5:G5"/>
    <mergeCell ref="B7:G7"/>
    <mergeCell ref="B8:G8"/>
    <mergeCell ref="B9:G9"/>
    <mergeCell ref="B10:G10"/>
    <mergeCell ref="B11:G11"/>
    <mergeCell ref="B12:G12"/>
    <mergeCell ref="A14:E14"/>
    <mergeCell ref="A15:E15"/>
    <mergeCell ref="A16:E16"/>
    <mergeCell ref="A17:E17"/>
    <mergeCell ref="A18:E18"/>
    <mergeCell ref="A19:E19"/>
    <mergeCell ref="A20:E20"/>
    <mergeCell ref="A21:E21"/>
    <mergeCell ref="A22:E22"/>
    <mergeCell ref="A23:E23"/>
    <mergeCell ref="A24:E24"/>
    <mergeCell ref="A25:G27"/>
    <mergeCell ref="A29:G29"/>
    <mergeCell ref="A30:G3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2026-10-11T08:40:59Z</dcterms:created>
  <dc:creator>openpyxl</dc:creator>
  <dc:description/>
  <dc:language>en-US</dc:language>
  <cp:lastModifiedBy/>
  <dcterms:modified xsi:type="dcterms:W3CDTF">2026-10-11T08:40:59Z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