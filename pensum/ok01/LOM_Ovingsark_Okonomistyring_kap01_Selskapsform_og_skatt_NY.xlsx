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Skatt" sheetId="2" state="visible" r:id="rId2"/>
    <sheet xmlns:r="http://schemas.openxmlformats.org/officeDocument/2006/relationships" name="Ansvar" sheetId="3" state="visible" r:id="rId3"/>
    <sheet xmlns:r="http://schemas.openxmlformats.org/officeDocument/2006/relationships" name="Grenser" sheetId="4" state="visible" r:id="rId4"/>
    <sheet xmlns:r="http://schemas.openxmlformats.org/officeDocument/2006/relationships" name="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kr&quot;"/>
    <numFmt numFmtId="165" formatCode="0.0%"/>
    <numFmt numFmtId="166" formatCode="#,##0.00 &quot;kr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CE6F4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4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164" fontId="5" fillId="2" borderId="1" pivotButton="0" quotePrefix="0" xfId="0"/>
    <xf numFmtId="165" fontId="5" fillId="2" borderId="1" pivotButton="0" quotePrefix="0" xfId="0"/>
    <xf numFmtId="4" fontId="5" fillId="2" borderId="1" pivotButton="0" quotePrefix="0" xfId="0"/>
    <xf numFmtId="165" fontId="4" fillId="3" borderId="1" pivotButton="0" quotePrefix="0" xfId="0"/>
    <xf numFmtId="164" fontId="6" fillId="5" borderId="1" pivotButton="0" quotePrefix="0" xfId="0"/>
    <xf numFmtId="164" fontId="4" fillId="3" borderId="1" pivotButton="0" quotePrefix="0" xfId="0"/>
    <xf numFmtId="165" fontId="4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3" fontId="5" fillId="2" borderId="1" pivotButton="0" quotePrefix="0" xfId="0"/>
    <xf numFmtId="3" fontId="6" fillId="5" borderId="1" pivotButton="0" quotePrefix="0" xfId="0"/>
    <xf numFmtId="3" fontId="4" fillId="3" borderId="1" pivotButton="0" quotePrefix="0" xfId="0"/>
    <xf numFmtId="0" fontId="4" fillId="3" borderId="1" pivotButton="0" quotePrefix="0" xfId="0"/>
    <xf numFmtId="4" fontId="4" fillId="5" borderId="1" pivotButton="0" quotePrefix="0" xfId="0"/>
    <xf numFmtId="165" fontId="6" fillId="5" borderId="1" pivotButton="0" quotePrefix="0" xfId="0"/>
    <xf numFmtId="4" fontId="4" fillId="3" borderId="1" pivotButton="0" quotePrefix="0" xfId="0"/>
    <xf numFmtId="166" fontId="5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4" customWidth="1" min="3" max="3"/>
  </cols>
  <sheetData>
    <row r="1">
      <c r="A1" s="1" t="inlineStr">
        <is>
          <t>Selskapsform og skatt</t>
        </is>
      </c>
    </row>
    <row r="2">
      <c r="A2" s="2" t="inlineStr">
        <is>
          <t>LØM Økonomistyring kap. 1 · arbeidsregneark · Fagskolen Oslo, Avdeling Elkraft</t>
        </is>
      </c>
    </row>
    <row r="3">
      <c r="A3" s="3" t="inlineStr">
        <is>
          <t>Emne: Teknisk kommunikasjon og ledelse for 1ET-klassene · LØM for 2ET, 2EK, 3EK og 4EK</t>
        </is>
      </c>
    </row>
    <row r="4">
      <c r="A4" s="4" t="inlineStr">
        <is>
          <t>Fargekode</t>
        </is>
      </c>
    </row>
    <row r="5">
      <c r="A5" s="5" t="inlineStr">
        <is>
          <t>Gul celle med blå skrift</t>
        </is>
      </c>
      <c r="B5" s="6" t="inlineStr">
        <is>
          <t>Inndata — dette er tallene du endrer.</t>
        </is>
      </c>
    </row>
    <row r="6">
      <c r="A6" s="7" t="inlineStr">
        <is>
          <t>Grå eller lyseblå celle, svart skrift</t>
        </is>
      </c>
      <c r="B6" s="6" t="inlineStr">
        <is>
          <t>Formel — regner seg selv. Ikke skriv over den.</t>
        </is>
      </c>
    </row>
    <row r="7">
      <c r="A7" s="7" t="inlineStr">
        <is>
          <t>Mørkeblå rad med hvit skrift</t>
        </is>
      </c>
      <c r="B7" s="6" t="inlineStr">
        <is>
          <t>Kolonneoverskrift.</t>
        </is>
      </c>
    </row>
    <row r="8"/>
    <row r="9">
      <c r="A9" s="4" t="inlineStr">
        <is>
          <t>Ark i arbeidsboka</t>
        </is>
      </c>
    </row>
    <row r="10">
      <c r="A10" s="8" t="inlineStr">
        <is>
          <t>Skatt</t>
        </is>
      </c>
      <c r="B10" s="6" t="inlineStr">
        <is>
          <t>Hva et gitt overskudd koster deg i skatt i enkeltpersonforetak og i aksjeselskap, og hva som blir igjen — både i selskapet og privat. Her ligger den ene cellen du styrer alt fra: B5.</t>
        </is>
      </c>
    </row>
    <row r="11">
      <c r="A11" s="8" t="inlineStr">
        <is>
          <t>Ansvar</t>
        </is>
      </c>
      <c r="B11" s="6" t="inlineStr">
        <is>
          <t>Hva du personlig skylder etter en konkurs, i de fire formene, og hva en personlig kausjon gjør med svaret.</t>
        </is>
      </c>
    </row>
    <row r="12">
      <c r="A12" s="8" t="inlineStr">
        <is>
          <t>Grenser</t>
        </is>
      </c>
      <c r="B12" s="6" t="inlineStr">
        <is>
          <t>Revisjonsplikt, regnskapsplikt og bokføringsplikt: fyll inn dine tall og se hvilke plikter som inntrer.</t>
        </is>
      </c>
    </row>
    <row r="13">
      <c r="A13" s="8" t="inlineStr">
        <is>
          <t>Scenario</t>
        </is>
      </c>
      <c r="B13" s="6" t="inlineStr">
        <is>
          <t>Tre spørsmål: hva skjer når overskuddet endrer seg, hva ansvarsbegrensningen er verdt den dagen det går galt, og hva montøren i oppgave 5 bør velge.</t>
        </is>
      </c>
    </row>
    <row r="14"/>
    <row r="15">
      <c r="A15" s="3" t="inlineStr">
        <is>
          <t>Tallene som ligger inne er Nordlys Elektro AS sine egne tall for 2026.</t>
        </is>
      </c>
    </row>
    <row r="16">
      <c r="A16" s="3" t="inlineStr">
        <is>
          <t>Arket er laget for å brukes på jobben etterpå: bytt ut de gule cellene med dine egne tall.</t>
        </is>
      </c>
    </row>
    <row r="17">
      <c r="A17" s="3" t="inlineStr">
        <is>
          <t>Merk: sammenlikningen i Skatt-arket gjelder overskudd som blir stående i selskapet.</t>
        </is>
      </c>
    </row>
    <row r="18">
      <c r="A18" s="3" t="inlineStr">
        <is>
          <t>Penger du tar ut av et aksjeselskap beskattes en gang til, som lønn eller som utbytte.</t>
        </is>
      </c>
    </row>
    <row r="19"/>
    <row r="20">
      <c r="A20" s="3" t="inlineStr">
        <is>
          <t>Tallene som ligger inne er et eksempel fra en elektrobedrift. Bytt dem ut med dine egne — alle formler følger med.</t>
        </is>
      </c>
    </row>
    <row r="21">
      <c r="A21" s="3" t="inlineStr">
        <is>
          <t>Arbeidsregneark til LØM · Fagskolen Oslo, Avdeling Elkraft. Regnearket er øvingsstøtte, ikke et regnskapssystem.</t>
        </is>
      </c>
    </row>
    <row r="22"/>
    <row r="23">
      <c r="A23" s="4" t="inlineStr">
        <is>
          <t>Den ene knappen</t>
        </is>
      </c>
    </row>
    <row r="24">
      <c r="A24" s="6" t="inlineStr">
        <is>
          <t>Skatt!B5</t>
        </is>
      </c>
      <c r="B24" s="6" t="inlineStr">
        <is>
          <t>Overskudd før eierlønn og skatt</t>
        </is>
      </c>
      <c r="C24" s="6" t="inlineStr">
        <is>
          <t>Endrer du denne cellen, følger hele tabellen i Skatt-arket og midtkolonnen i scenario A med.</t>
        </is>
      </c>
    </row>
    <row r="25"/>
    <row r="26">
      <c r="A26" s="4" t="inlineStr">
        <is>
          <t>Hvilken oppgave bruker hvilket ark</t>
        </is>
      </c>
    </row>
    <row r="27" ht="28" customHeight="1">
      <c r="A27" s="9" t="inlineStr">
        <is>
          <t>Oppgave i øvingsheftet</t>
        </is>
      </c>
      <c r="B27" s="9" t="inlineStr">
        <is>
          <t>Ark</t>
        </is>
      </c>
      <c r="C27" s="9" t="inlineStr">
        <is>
          <t>Celler du endrer og leser av</t>
        </is>
      </c>
    </row>
    <row r="28">
      <c r="A28" s="6" t="inlineStr">
        <is>
          <t>A1 · Fire bedrifter — hvilken form?</t>
        </is>
      </c>
      <c r="B28" s="8" t="inlineStr">
        <is>
          <t>Ansvar</t>
        </is>
      </c>
      <c r="C28" s="6" t="inlineStr">
        <is>
          <t>Endre B5 og B6. Les av radene 11 til 15.</t>
        </is>
      </c>
    </row>
    <row r="29">
      <c r="A29" s="6" t="inlineStr">
        <is>
          <t>A2 · Konkursen: hvem sitter igjen med regningen?</t>
        </is>
      </c>
      <c r="B29" s="8" t="inlineStr">
        <is>
          <t>Ansvar</t>
        </is>
      </c>
      <c r="C29" s="6" t="inlineStr">
        <is>
          <t>Endre B5, B6 og B7. Les av radene 11 til 15 og B18.</t>
        </is>
      </c>
    </row>
    <row r="30">
      <c r="A30" s="6" t="inlineStr">
        <is>
          <t>A3 · Klasseoppgave: kunne Tom startet alene?</t>
        </is>
      </c>
      <c r="B30" s="8" t="inlineStr">
        <is>
          <t>Grenser</t>
        </is>
      </c>
      <c r="C30" s="6" t="inlineStr">
        <is>
          <t>Legg anslåtte tall for første driftsår i B5, B6 og B7, og les av D16 og D17. Merk at arket bare svarer på det andre spørsmålet i oppgaven — det første, om foretaket kan tilby tjenesten, avgjøres av FEK § 7 og ikke av tall.</t>
        </is>
      </c>
    </row>
    <row r="31">
      <c r="A31" s="6" t="inlineStr">
        <is>
          <t>1 · Fra idé til organisasjonsnummer</t>
        </is>
      </c>
      <c r="B31" s="8" t="inlineStr">
        <is>
          <t>Ansvar</t>
        </is>
      </c>
      <c r="C31" s="6" t="inlineStr">
        <is>
          <t>Endre B5 og B6. Les av radene 11 til 15, og B19 og B20 for hva ansvarsbegrensningen er verdt.</t>
        </is>
      </c>
    </row>
    <row r="32">
      <c r="A32" s="6" t="inlineStr">
        <is>
          <t>2 · Hva koster formen deg i kroner?</t>
        </is>
      </c>
      <c r="B32" s="8" t="inlineStr">
        <is>
          <t>Skatt</t>
        </is>
      </c>
      <c r="C32" s="6" t="inlineStr">
        <is>
          <t>Endre B5, B6, B7 og B8. Les av rad 14 for penger som blir stående og rad 20 for penger du tar ut. Tabellen i rad 26 til 28 gir deloppgave e).</t>
        </is>
      </c>
    </row>
    <row r="33">
      <c r="A33" s="6" t="inlineStr">
        <is>
          <t>3 · Revisjon, regnskap og bokføring</t>
        </is>
      </c>
      <c r="B33" s="8" t="inlineStr">
        <is>
          <t>Grenser</t>
        </is>
      </c>
      <c r="C33" s="6" t="inlineStr">
        <is>
          <t>Endre B5, B6 og B7. Les av kolonne D i radene 10 til 12, og konklusjonene i D16, D17 og D18.</t>
        </is>
      </c>
    </row>
    <row r="34">
      <c r="A34" s="6" t="inlineStr">
        <is>
          <t>4 · Fem veier ut — og hva du sitter igjen med</t>
        </is>
      </c>
      <c r="B34" s="8" t="inlineStr">
        <is>
          <t>Ansvar</t>
        </is>
      </c>
      <c r="C34" s="6" t="inlineStr">
        <is>
          <t>Endre B5, B6 og B7. Les av radene 11 til 15. Sett B7 til null og se hva som skjer med rad 15.</t>
        </is>
      </c>
    </row>
    <row r="35">
      <c r="A35" s="6" t="inlineStr">
        <is>
          <t>5 · Eksamensnær: installatøren som vil starte for seg selv</t>
        </is>
      </c>
      <c r="B35" s="8" t="inlineStr">
        <is>
          <t>Scenario</t>
        </is>
      </c>
      <c r="C35" s="6" t="inlineStr">
        <is>
          <t>Scenario A: endre B8 og D8. Scenario B: endre B29. Scenario C: endre B39, B42, B43 og B57, og les av B44, B50, B51, B53, B54 og B58.</t>
        </is>
      </c>
    </row>
    <row r="36"/>
    <row r="37">
      <c r="A37" s="4" t="inlineStr">
        <is>
          <t>Kontrollradene</t>
        </is>
      </c>
    </row>
    <row r="38">
      <c r="A38" s="6" t="inlineStr">
        <is>
          <t>Hvert regneark har en kontrollblokk. Står det OK, henger tallene sammen. Står det AVVIK, farges cellen rød, og teksten sier hva som ikke går opp.</t>
        </is>
      </c>
    </row>
    <row r="39">
      <c r="A39" s="6" t="inlineStr">
        <is>
          <t>Ett unntak: kontrollen i scenario C skal vise AVVIK med tallene som ligger inne. Der er avviket selve svaret — skattefordelen ved aksjeselskap er negativ når hele overskuddet tas ut, og det er nettopp poenget i oppgave 5.</t>
        </is>
      </c>
    </row>
    <row r="40">
      <c r="A40" s="3" t="inlineStr">
        <is>
          <t>Kontroller i arbeidsboka: Skatt B32, Skatt B33, Skatt B34, Ansvar B23, Ansvar B24, Ansvar B25, Grenser B26, Grenser B27, Scenario B17, Scenario B33, Scenario B61, Scenario B63, Scenario B64</t>
        </is>
      </c>
    </row>
    <row r="41"/>
    <row r="42">
      <c r="A42" s="4" t="inlineStr">
        <is>
          <t>Slik henger kapitlet sammen med resten</t>
        </is>
      </c>
    </row>
    <row r="43">
      <c r="A43" s="6" t="inlineStr">
        <is>
          <t>Aksjekapitalen Kari og Tom skjøt inn i 2019, står fortsatt i balansen i kapittel 3 og er en del av egenkapitalandelen du regner ut i kapittel 4. Kapitalbehovet ved oppstart tas opp igjen i kapittel 6.</t>
        </is>
      </c>
    </row>
    <row r="44"/>
    <row r="45">
      <c r="A45" s="4" t="inlineStr">
        <is>
          <t>Kilder</t>
        </is>
      </c>
    </row>
    <row r="46">
      <c r="A46" s="3" t="inlineStr">
        <is>
          <t>Hjertnes, J. og Skorpen, K.: Økonomistyring for LØM-emnet (ISBN 978-82-450-5544-3), kapittel 1 «Etablering og oppstart av egen bedrift», avsnitt 1.1 til 1.7 og Tabell 1.1.</t>
        </is>
      </c>
    </row>
    <row r="47">
      <c r="A47" s="3" t="inlineStr">
        <is>
          <t>Aksjeloven § 3-1 og § 7-6, regnskapsloven § 1-2 og bokføringsloven § 2 (Lovdata). Skattesatser: Skatteetaten, satser for inntektsåret 2024. Registrering: Brønnøysundregistrene og altinn.no (hentet 08.09.2026).</t>
        </is>
      </c>
    </row>
    <row r="48">
      <c r="A48" s="3" t="inlineStr">
        <is>
          <t>Bransjetall: NHO Elektro, Lønnsomhetsrapport 2025, gjengitt i Elektro 24-7 19.08.2026 (hentet 10.09.2026). De 809 er bedriftene i datagrunnlaget, ikke bransjen. NHO Elektro oppgir ikke svarprosent.</t>
        </is>
      </c>
    </row>
    <row r="49">
      <c r="A49" s="3" t="inlineStr">
        <is>
          <t>Nordlys Elektro AS er en konstruert casebedrift. Tallene henger sammen på tvers av alle ti kapitlene i Bok 1.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54" customWidth="1" min="4" max="4"/>
  </cols>
  <sheetData>
    <row r="1">
      <c r="A1" s="1" t="inlineStr">
        <is>
          <t>Hva koster selskapsformen deg?</t>
        </is>
      </c>
    </row>
    <row r="2">
      <c r="A2" s="2" t="inlineStr">
        <is>
          <t>Endre de gule cellene. Alt annet regner seg selv.</t>
        </is>
      </c>
    </row>
    <row r="3"/>
    <row r="4">
      <c r="A4" s="4" t="inlineStr">
        <is>
          <t>1 · Forutsetninger</t>
        </is>
      </c>
    </row>
    <row r="5">
      <c r="A5" s="8" t="inlineStr">
        <is>
          <t>OVERSKUDD FØR EIERLØNN OG SKATT — den ene knappen</t>
        </is>
      </c>
      <c r="B5" s="10" t="n">
        <v>900000</v>
      </c>
      <c r="D5" s="6" t="inlineStr">
        <is>
          <t>Dette er cellen du endrer. Tabellen nedenfor og scenario C i arket Scenario henter overskuddet herfra.</t>
        </is>
      </c>
    </row>
    <row r="6">
      <c r="A6" s="6" t="inlineStr">
        <is>
          <t>Effektiv personbeskatning i enkeltpersonforetak</t>
        </is>
      </c>
      <c r="B6" s="11" t="n">
        <v>0.34</v>
      </c>
      <c r="D6" s="6" t="inlineStr">
        <is>
          <t>Forenklet samlet sats. Se bort fra trinnskattens detaljer.</t>
        </is>
      </c>
    </row>
    <row r="7">
      <c r="A7" s="6" t="inlineStr">
        <is>
          <t>Selskapsskatt i aksjeselskap</t>
        </is>
      </c>
      <c r="B7" s="11" t="n">
        <v>0.22</v>
      </c>
      <c r="D7" s="6" t="inlineStr">
        <is>
          <t>Skatteetatens sats. Læreboka bruker den samme i avsnitt 1.4.</t>
        </is>
      </c>
    </row>
    <row r="8">
      <c r="A8" s="6" t="inlineStr">
        <is>
          <t>Oppjusteringsfaktor for utbytte</t>
        </is>
      </c>
      <c r="B8" s="12" t="n">
        <v>1.72</v>
      </c>
    </row>
    <row r="9">
      <c r="A9" s="6" t="inlineStr">
        <is>
          <t>= Effektiv utbytteskatt</t>
        </is>
      </c>
      <c r="B9" s="13">
        <f>B7*B8</f>
        <v/>
      </c>
      <c r="D9" s="6" t="inlineStr">
        <is>
          <t>Selskapsskatt ganger oppjusteringsfaktor. Beskatning nummer to, på eierens hånd.</t>
        </is>
      </c>
    </row>
    <row r="10"/>
    <row r="11" ht="28" customHeight="1">
      <c r="A11" s="9" t="inlineStr"/>
      <c r="B11" s="9" t="inlineStr">
        <is>
          <t>Enkeltpersonforetak</t>
        </is>
      </c>
      <c r="C11" s="9" t="inlineStr">
        <is>
          <t>Aksjeselskap</t>
        </is>
      </c>
      <c r="D11" s="9" t="inlineStr">
        <is>
          <t>Hva forskjellen betyr</t>
        </is>
      </c>
    </row>
    <row r="12">
      <c r="A12" s="6" t="inlineStr">
        <is>
          <t>Overskudd før skatt</t>
        </is>
      </c>
      <c r="B12" s="14">
        <f>$B$5</f>
        <v/>
      </c>
      <c r="C12" s="14">
        <f>$B$5</f>
        <v/>
      </c>
      <c r="D12" s="6" t="inlineStr">
        <is>
          <t>Samme utgangspunkt i begge former.</t>
        </is>
      </c>
    </row>
    <row r="13">
      <c r="A13" s="6" t="inlineStr">
        <is>
          <t>Skatt</t>
        </is>
      </c>
      <c r="B13" s="14">
        <f>B12*$B$6</f>
        <v/>
      </c>
      <c r="C13" s="14">
        <f>C12*$B$7</f>
        <v/>
      </c>
      <c r="D13" s="6" t="inlineStr">
        <is>
          <t>Her ser du hele skattefordelen ved aksjeselskap.</t>
        </is>
      </c>
    </row>
    <row r="14">
      <c r="A14" s="8" t="inlineStr">
        <is>
          <t>= Igjen etter skatt</t>
        </is>
      </c>
      <c r="B14" s="15">
        <f>B12-B13</f>
        <v/>
      </c>
      <c r="C14" s="15">
        <f>C12-C13</f>
        <v/>
      </c>
      <c r="D14" s="6" t="inlineStr">
        <is>
          <t>Men pengene ligger to helt ulike steder.</t>
        </is>
      </c>
    </row>
    <row r="15">
      <c r="A15" s="6" t="inlineStr">
        <is>
          <t>Hvem disponerer pengene?</t>
        </is>
      </c>
      <c r="B15" s="6" t="inlineStr">
        <is>
          <t>Eieren, fritt</t>
        </is>
      </c>
      <c r="C15" s="6" t="inlineStr">
        <is>
          <t>Selskapet</t>
        </is>
      </c>
      <c r="D15" s="6" t="inlineStr">
        <is>
          <t>Dette er kjernen: i et aksjeselskap er ikke pengene dine ennå.</t>
        </is>
      </c>
    </row>
    <row r="16">
      <c r="A16" s="8" t="inlineStr">
        <is>
          <t>Fordel ved AS for penger som BLIR STÅENDE</t>
        </is>
      </c>
      <c r="C16" s="15">
        <f>C14-B14</f>
        <v/>
      </c>
      <c r="D16" s="6" t="inlineStr">
        <is>
          <t>Positivt tall: aksjeselskapet kommer best ut her.</t>
        </is>
      </c>
    </row>
    <row r="17"/>
    <row r="18">
      <c r="A18" s="4" t="inlineStr">
        <is>
          <t>2 · Hvis du tar ALT ut av selskapet</t>
        </is>
      </c>
    </row>
    <row r="19">
      <c r="A19" s="6" t="inlineStr">
        <is>
          <t>Utbytteskatt ved fullt uttak</t>
        </is>
      </c>
      <c r="B19" s="6" t="inlineStr">
        <is>
          <t>—</t>
        </is>
      </c>
      <c r="C19" s="14">
        <f>C14*$B$9</f>
        <v/>
      </c>
      <c r="D19" s="6" t="inlineStr">
        <is>
          <t>Det samme overskuddet beskattes en gang til.</t>
        </is>
      </c>
    </row>
    <row r="20">
      <c r="A20" s="8" t="inlineStr">
        <is>
          <t>= Igjen hos deg privat</t>
        </is>
      </c>
      <c r="B20" s="15">
        <f>B14</f>
        <v/>
      </c>
      <c r="C20" s="15">
        <f>C14-C19</f>
        <v/>
      </c>
      <c r="D20" s="6" t="inlineStr">
        <is>
          <t>Sammenlikn DENNE raden hvis du trenger pengene til å leve av.</t>
        </is>
      </c>
    </row>
    <row r="21">
      <c r="A21" s="8" t="inlineStr">
        <is>
          <t>Samlet skattesats</t>
        </is>
      </c>
      <c r="B21" s="16">
        <f>1-B20/$B$5</f>
        <v/>
      </c>
      <c r="C21" s="16">
        <f>1-C20/$B$5</f>
        <v/>
      </c>
      <c r="D21" s="6" t="inlineStr">
        <is>
          <t>Aksjeselskapets sats er summen av de to trinnene.</t>
        </is>
      </c>
    </row>
    <row r="22">
      <c r="A22" s="8" t="inlineStr">
        <is>
          <t>Fordel ved AS for penger du TAR UT</t>
        </is>
      </c>
      <c r="C22" s="15">
        <f>C20-B20</f>
        <v/>
      </c>
      <c r="D22" s="6" t="inlineStr">
        <is>
          <t>Negativt tall: her kommer aksjeselskapet dårligst ut.</t>
        </is>
      </c>
    </row>
    <row r="23"/>
    <row r="24">
      <c r="A24" s="4" t="inlineStr">
        <is>
          <t>3 · Samme regning ved tre overskuddsnivåer</t>
        </is>
      </c>
    </row>
    <row r="25" ht="28" customHeight="1">
      <c r="A25" s="9" t="inlineStr">
        <is>
          <t>Overskudd før eierlønn</t>
        </is>
      </c>
      <c r="B25" s="9" t="inlineStr">
        <is>
          <t>Igjen i EPF</t>
        </is>
      </c>
      <c r="C25" s="9" t="inlineStr">
        <is>
          <t>Igjen i AS-selskapet</t>
        </is>
      </c>
      <c r="D25" s="9" t="inlineStr">
        <is>
          <t>Igjen privat via AS</t>
        </is>
      </c>
      <c r="E25" s="9" t="inlineStr">
        <is>
          <t>Fordel i selskapet</t>
        </is>
      </c>
      <c r="F25" s="9" t="inlineStr">
        <is>
          <t>Fordel privat</t>
        </is>
      </c>
    </row>
    <row r="26">
      <c r="A26" s="10" t="n">
        <v>300000</v>
      </c>
      <c r="B26" s="14">
        <f>A26*(1-$B$6)</f>
        <v/>
      </c>
      <c r="C26" s="14">
        <f>A26*(1-$B$7)</f>
        <v/>
      </c>
      <c r="D26" s="14">
        <f>C26*(1-$B$9)</f>
        <v/>
      </c>
      <c r="E26" s="14">
        <f>C26-B26</f>
        <v/>
      </c>
      <c r="F26" s="14">
        <f>D26-B26</f>
        <v/>
      </c>
    </row>
    <row r="27">
      <c r="A27" s="10" t="n">
        <v>900000</v>
      </c>
      <c r="B27" s="14">
        <f>A27*(1-$B$6)</f>
        <v/>
      </c>
      <c r="C27" s="14">
        <f>A27*(1-$B$7)</f>
        <v/>
      </c>
      <c r="D27" s="14">
        <f>C27*(1-$B$9)</f>
        <v/>
      </c>
      <c r="E27" s="14">
        <f>C27-B27</f>
        <v/>
      </c>
      <c r="F27" s="14">
        <f>D27-B27</f>
        <v/>
      </c>
    </row>
    <row r="28">
      <c r="A28" s="10" t="n">
        <v>1800000</v>
      </c>
      <c r="B28" s="14">
        <f>A28*(1-$B$6)</f>
        <v/>
      </c>
      <c r="C28" s="14">
        <f>A28*(1-$B$7)</f>
        <v/>
      </c>
      <c r="D28" s="14">
        <f>C28*(1-$B$9)</f>
        <v/>
      </c>
      <c r="E28" s="14">
        <f>C28-B28</f>
        <v/>
      </c>
      <c r="F28" s="14">
        <f>D28-B28</f>
        <v/>
      </c>
    </row>
    <row r="29">
      <c r="A29" s="8" t="inlineStr">
        <is>
          <t>Legg merke til at forholdstallet er det samme på alle tre radene. Alle tre satsene er flate prosenter — derfor skalerer skatten, og derfor blir den aldri det avgjørende argumentet.</t>
        </is>
      </c>
    </row>
    <row r="30"/>
    <row r="31">
      <c r="A31" s="4" t="inlineStr">
        <is>
          <t>Kontroll</t>
        </is>
      </c>
    </row>
    <row r="32">
      <c r="A32" s="6" t="inlineStr">
        <is>
          <t>Er aksjeselskapet best for penger som blir stående?</t>
        </is>
      </c>
      <c r="B32" s="17">
        <f>IF(C16&gt;0,"OK — aksjeselskapet beholder mer av overskuddet så lenge pengene blir stående i selskapet","AVVIK: med disse satsene er det ingen skattefordel ved aksjeselskap i det hele tatt")</f>
        <v/>
      </c>
    </row>
    <row r="33">
      <c r="A33" s="6" t="inlineStr">
        <is>
          <t>Er aksjeselskapet dårligst når alt tas ut?</t>
        </is>
      </c>
      <c r="B33" s="17">
        <f>IF(C22&lt;0,"OK — tar du alt ut, betaler du mer i aksjeselskap enn i enkeltpersonforetak. Det er kapitlets viktigste skattepoeng","AVVIK: sjekk satsene i B6, B7 og B8 — poenget i oppgave 2 forutsetter at fullt uttak er dyrere i aksjeselskap")</f>
        <v/>
      </c>
    </row>
    <row r="34">
      <c r="A34" s="6" t="inlineStr">
        <is>
          <t>Går skatt og rest opp mot overskuddet?</t>
        </is>
      </c>
      <c r="B34" s="17">
        <f>IF(AND(ABS(B13+B14-B12)&lt;1,ABS(C13+C14-C12)&lt;1),"OK — skatt pluss rest er lik overskuddet i begge former","AVVIK: regnestykket går ikke opp")</f>
        <v/>
      </c>
    </row>
    <row r="35"/>
    <row r="36">
      <c r="A36" s="4" t="inlineStr">
        <is>
          <t>Konklusjonen å ta med seg</t>
        </is>
      </c>
    </row>
    <row r="37">
      <c r="A37" s="6" t="inlineStr">
        <is>
          <t>Sammenlikn rad 14 hvis overskuddet blir stående i selskapet, for eksempel for å bygge egenkapital eller finansiere neste investering.</t>
        </is>
      </c>
    </row>
    <row r="38">
      <c r="A38" s="6" t="inlineStr">
        <is>
          <t>Sammenlikn rad 20 hvis du trenger pengene privat. Da går forskjellen den andre veien.</t>
        </is>
      </c>
    </row>
    <row r="39">
      <c r="A39" s="8" t="inlineStr">
        <is>
          <t>Og husk: for de fleste er ikke skatten hovedgrunnen til å velge aksjeselskap. Ansvaret er — se arket Ansvar.</t>
        </is>
      </c>
    </row>
    <row r="40">
      <c r="A40" s="3" t="inlineStr">
        <is>
          <t>Kilde: Bok 1 kap. 1.4. Aksjeloven § 3-1 og § 7-6, regnskapsloven § 1-2 og bokføringsloven § 2 (Lovdata). Skattesatser: Skatteetaten, satser for inntektsåret 2024. Registrering: Brønnøysundregistrene og altinn.no (hentet 08.09.2026)</t>
        </is>
      </c>
    </row>
  </sheetData>
  <conditionalFormatting sqref="B32">
    <cfRule type="expression" priority="1" dxfId="0" stopIfTrue="0">
      <formula>LEFT(B32,5)="AVVIK"</formula>
    </cfRule>
  </conditionalFormatting>
  <conditionalFormatting sqref="B33">
    <cfRule type="expression" priority="2" dxfId="0" stopIfTrue="0">
      <formula>LEFT(B33,5)="AVVIK"</formula>
    </cfRule>
  </conditionalFormatting>
  <conditionalFormatting sqref="B34">
    <cfRule type="expression" priority="3" dxfId="0" stopIfTrue="0">
      <formula>LEFT(B34,5)="AVVIK"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>
      <c r="A1" s="1" t="inlineStr">
        <is>
          <t>Hva skylder du etter en konkurs?</t>
        </is>
      </c>
    </row>
    <row r="2">
      <c r="A2" s="2" t="inlineStr">
        <is>
          <t>Oppgave A2 og oppgave 4 i øvingsheftet. Endre de gule cellene.</t>
        </is>
      </c>
    </row>
    <row r="3"/>
    <row r="4">
      <c r="A4" s="4" t="inlineStr">
        <is>
          <t>1 · Forutsetninger</t>
        </is>
      </c>
    </row>
    <row r="5">
      <c r="A5" s="6" t="inlineStr">
        <is>
          <t>Udekket gjeld etter avsluttet bo</t>
        </is>
      </c>
      <c r="B5" s="10" t="n">
        <v>2400000</v>
      </c>
      <c r="C5" s="6" t="inlineStr">
        <is>
          <t>Det som står igjen når alt boet eier, er solgt og fordelt.</t>
        </is>
      </c>
    </row>
    <row r="6">
      <c r="A6" s="6" t="inlineStr">
        <is>
          <t>Din eierandel</t>
        </is>
      </c>
      <c r="B6" s="11" t="n">
        <v>0.5</v>
      </c>
      <c r="C6" s="6" t="inlineStr">
        <is>
          <t>Brukes bare i DA — der hefter hver for sin forholdsmessige andel.</t>
        </is>
      </c>
    </row>
    <row r="7">
      <c r="A7" s="6" t="inlineStr">
        <is>
          <t>Personlig kausjon du har stilt</t>
        </is>
      </c>
      <c r="B7" s="10" t="n">
        <v>800000</v>
      </c>
      <c r="C7" s="6" t="inlineStr">
        <is>
          <t>Sett til 0 hvis du ikke har kausjonert, og se hva som skjer med rad 15.</t>
        </is>
      </c>
    </row>
    <row r="8">
      <c r="A8" s="6" t="inlineStr">
        <is>
          <t>Aksjekapital du har skutt inn</t>
        </is>
      </c>
      <c r="B8" s="10" t="n">
        <v>300000</v>
      </c>
      <c r="C8" s="6" t="inlineStr">
        <is>
          <t>Den er tapt uansett — men den er også taket i et aksjeselskap.</t>
        </is>
      </c>
    </row>
    <row r="9"/>
    <row r="10" ht="28" customHeight="1">
      <c r="A10" s="9" t="inlineStr">
        <is>
          <t>Selskapsform</t>
        </is>
      </c>
      <c r="B10" s="9" t="inlineStr">
        <is>
          <t>Du skylder dagen etter</t>
        </is>
      </c>
      <c r="C10" s="9" t="inlineStr">
        <is>
          <t>Hvorfor</t>
        </is>
      </c>
    </row>
    <row r="11">
      <c r="A11" s="6" t="inlineStr">
        <is>
          <t>Enkeltpersonforetak</t>
        </is>
      </c>
      <c r="B11" s="18">
        <f>$B$5</f>
        <v/>
      </c>
      <c r="C11" s="6" t="inlineStr">
        <is>
          <t>Ingen skille mellom deg og foretaket. Hele beløpet er ditt.</t>
        </is>
      </c>
    </row>
    <row r="12">
      <c r="A12" s="6" t="inlineStr">
        <is>
          <t>Ansvarlig selskap (ANS)</t>
        </is>
      </c>
      <c r="B12" s="18">
        <f>$B$5</f>
        <v/>
      </c>
      <c r="C12" s="6" t="inlineStr">
        <is>
          <t>Solidarisk ansvar. Kreditor kan kreve hele beløpet av deg alene, og du må selv kreve medeieren din etterpå.</t>
        </is>
      </c>
    </row>
    <row r="13">
      <c r="A13" s="6" t="inlineStr">
        <is>
          <t>Ansvarlig selskap (DA)</t>
        </is>
      </c>
      <c r="B13" s="18">
        <f>$B$5*$B$6</f>
        <v/>
      </c>
      <c r="C13" s="6" t="inlineStr">
        <is>
          <t>Delt ansvar. Du hefter bare for din forholdsmessige andel.</t>
        </is>
      </c>
    </row>
    <row r="14">
      <c r="A14" s="8" t="inlineStr">
        <is>
          <t>Aksjeselskap</t>
        </is>
      </c>
      <c r="B14" s="15">
        <f>0</f>
        <v/>
      </c>
      <c r="C14" s="6" t="inlineStr">
        <is>
          <t>Begrenset ansvar. Du har tapt aksjekapitalen, og der stopper det.</t>
        </is>
      </c>
    </row>
    <row r="15">
      <c r="A15" s="8" t="inlineStr">
        <is>
          <t>Aksjeselskap MED personlig kausjon</t>
        </is>
      </c>
      <c r="B15" s="15">
        <f>$B$7</f>
        <v/>
      </c>
      <c r="C15" s="6" t="inlineStr">
        <is>
          <t>Kausjonen er en selvstendig forpliktelse du har påtatt deg privat. Den overlever konkursen, og selskapsformen beskytter deg ikke mot den.</t>
        </is>
      </c>
    </row>
    <row r="16"/>
    <row r="17">
      <c r="A17" s="4" t="inlineStr">
        <is>
          <t>2 · Hvor mye av ansvarsbegrensningen står igjen?</t>
        </is>
      </c>
    </row>
    <row r="18">
      <c r="A18" s="6" t="inlineStr">
        <is>
          <t>Kausjonen i prosent av den udekkede gjelden</t>
        </is>
      </c>
      <c r="B18" s="16">
        <f>IF($B$5=0,0,$B$7/$B$5)</f>
        <v/>
      </c>
      <c r="C18" s="6" t="inlineStr">
        <is>
          <t>Så stor del av ansvaret har du i praksis beholdt, selv i et aksjeselskap.</t>
        </is>
      </c>
    </row>
    <row r="19">
      <c r="A19" s="6" t="inlineStr">
        <is>
          <t>Samlet tap i aksjeselskap: kausjon og aksjekapital</t>
        </is>
      </c>
      <c r="B19" s="15">
        <f>B15+B8</f>
        <v/>
      </c>
      <c r="C19" s="6" t="inlineStr">
        <is>
          <t>Dette er det aksjeselskapet faktisk koster deg i dette tilfellet.</t>
        </is>
      </c>
    </row>
    <row r="20">
      <c r="A20" s="6" t="inlineStr">
        <is>
          <t>Spart i forhold til enkeltpersonforetak</t>
        </is>
      </c>
      <c r="B20" s="15">
        <f>B11-B19</f>
        <v/>
      </c>
      <c r="C20" s="6" t="inlineStr">
        <is>
          <t>Verdien av ansvarsbegrensningen, i kroner.</t>
        </is>
      </c>
    </row>
    <row r="21"/>
    <row r="22">
      <c r="A22" s="4" t="inlineStr">
        <is>
          <t>Kontroll</t>
        </is>
      </c>
    </row>
    <row r="23">
      <c r="A23" s="6" t="inlineStr">
        <is>
          <t>Går ansvarsstigen oppover?</t>
        </is>
      </c>
      <c r="B23" s="17">
        <f>IF(AND(B14&lt;=B15,B15&lt;=B13,B13&lt;=B12),"OK — ansvaret øker fra aksjeselskap via kausjon og DA til ANS og enkeltpersonforetak","AVVIK: sjekk eierandelen i B6 og kausjonen i B7 — stigen går ikke oppover")</f>
        <v/>
      </c>
    </row>
    <row r="24">
      <c r="A24" s="6" t="inlineStr">
        <is>
          <t>Er kausjonen mindre enn den udekkede gjelden?</t>
        </is>
      </c>
      <c r="B24" s="17">
        <f>IF(B7&lt;=B5,"OK — kausjonen dekker en del av gjelden, ikke hele","AVVIK: en kausjon større enn den udekkede gjelden gir ikke mening her")</f>
        <v/>
      </c>
    </row>
    <row r="25">
      <c r="A25" s="6" t="inlineStr">
        <is>
          <t>Lønner ansvarsbegrensningen seg i dette tilfellet?</t>
        </is>
      </c>
      <c r="B25" s="17">
        <f>IF(B20&gt;0,"OK — aksjeselskapet sparer deg for det beløpet som står i B20","AVVIK: med denne kausjonen er det ingenting igjen av ansvarsbegrensningen")</f>
        <v/>
      </c>
    </row>
    <row r="26"/>
    <row r="27">
      <c r="A27" s="8" t="inlineStr">
        <is>
          <t>Prøv dette: sett kausjonen i B7 til hele beløpet i B5. Da er ansvarsbegrensningen borte, og aksjeselskapet gir deg ingenting igjen for papirarbeidet. Det er nettopp den situasjonen mange nystartede havner i.</t>
        </is>
      </c>
    </row>
    <row r="28">
      <c r="A28" s="3" t="inlineStr">
        <is>
          <t>Kilde: Bok 1 kap. 1.3 og avsnittet om konkurs. Aksjeloven § 3-1 og § 7-6, regnskapsloven § 1-2 og bokføringsloven § 2 (Lovdata). Skattesatser: Skatteetaten, satser for inntektsåret 2024. Registrering: Brønnøysundregistrene og altinn.no (hentet 08.09.2026)</t>
        </is>
      </c>
    </row>
  </sheetData>
  <conditionalFormatting sqref="B23">
    <cfRule type="expression" priority="1" dxfId="0" stopIfTrue="0">
      <formula>LEFT(B23,5)="AVVIK"</formula>
    </cfRule>
  </conditionalFormatting>
  <conditionalFormatting sqref="B24">
    <cfRule type="expression" priority="2" dxfId="0" stopIfTrue="0">
      <formula>LEFT(B24,5)="AVVIK"</formula>
    </cfRule>
  </conditionalFormatting>
  <conditionalFormatting sqref="B25">
    <cfRule type="expression" priority="3" dxfId="0" stopIfTrue="0">
      <formula>LEFT(B25,5)="AVVIK"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2" customWidth="1" min="4" max="4"/>
    <col width="52" customWidth="1" min="5" max="5"/>
  </cols>
  <sheetData>
    <row r="1">
      <c r="A1" s="1" t="inlineStr">
        <is>
          <t>Er du over grensene?</t>
        </is>
      </c>
    </row>
    <row r="2">
      <c r="A2" s="2" t="inlineStr">
        <is>
          <t>Fyll inn tallene for din egen bedrift i de gule cellene.</t>
        </is>
      </c>
    </row>
    <row r="3"/>
    <row r="4">
      <c r="A4" s="4" t="inlineStr">
        <is>
          <t>1 · Din bedrift</t>
        </is>
      </c>
    </row>
    <row r="5">
      <c r="A5" s="6" t="inlineStr">
        <is>
          <t>Driftsinntekter</t>
        </is>
      </c>
      <c r="B5" s="10" t="n">
        <v>22400000</v>
      </c>
      <c r="E5" s="6" t="inlineStr">
        <is>
          <t>Tallet for Nordlys Elektro AS 2026 ligger inne som eksempel.</t>
        </is>
      </c>
    </row>
    <row r="6">
      <c r="A6" s="6" t="inlineStr">
        <is>
          <t>Sum eiendeler i balansen</t>
        </is>
      </c>
      <c r="B6" s="10" t="n">
        <v>10200000</v>
      </c>
      <c r="E6" s="6" t="inlineStr">
        <is>
          <t>Sum av anleggsmidler og omløpsmidler. Se kapittel 3.</t>
        </is>
      </c>
    </row>
    <row r="7">
      <c r="A7" s="6" t="inlineStr">
        <is>
          <t>Gjennomsnittlig antall årsverk</t>
        </is>
      </c>
      <c r="B7" s="19" t="n">
        <v>18</v>
      </c>
    </row>
    <row r="8"/>
    <row r="9" ht="28" customHeight="1">
      <c r="A9" s="9" t="inlineStr">
        <is>
          <t>Grense</t>
        </is>
      </c>
      <c r="B9" s="9" t="inlineStr">
        <is>
          <t>Din verdi</t>
        </is>
      </c>
      <c r="C9" s="9" t="inlineStr">
        <is>
          <t>Grensen</t>
        </is>
      </c>
      <c r="D9" s="9" t="inlineStr">
        <is>
          <t>Over?</t>
        </is>
      </c>
      <c r="E9" s="9" t="inlineStr">
        <is>
          <t>Hva grensen måler</t>
        </is>
      </c>
    </row>
    <row r="10">
      <c r="A10" s="6" t="inlineStr">
        <is>
          <t>Revisjonsplikt — driftsinntekter</t>
        </is>
      </c>
      <c r="B10" s="14">
        <f>$B$5</f>
        <v/>
      </c>
      <c r="C10" s="10" t="n">
        <v>7000000</v>
      </c>
      <c r="D10" s="7">
        <f>IF(B10&gt;C10,"JA — over grensen","Nei")</f>
        <v/>
      </c>
      <c r="E10" s="6" t="inlineStr">
        <is>
          <t>Hvor stor omsetning bedriften har.</t>
        </is>
      </c>
    </row>
    <row r="11">
      <c r="A11" s="6" t="inlineStr">
        <is>
          <t>Revisjonsplikt — eiendeler</t>
        </is>
      </c>
      <c r="B11" s="14">
        <f>$B$6</f>
        <v/>
      </c>
      <c r="C11" s="10" t="n">
        <v>27000000</v>
      </c>
      <c r="D11" s="7">
        <f>IF(B11&gt;C11,"JA — over grensen","Nei")</f>
        <v/>
      </c>
      <c r="E11" s="6" t="inlineStr">
        <is>
          <t>Hvor mye kapital som er bundet. En installatør ligger lavt her.</t>
        </is>
      </c>
    </row>
    <row r="12">
      <c r="A12" s="6" t="inlineStr">
        <is>
          <t>Revisjonsplikt — årsverk</t>
        </is>
      </c>
      <c r="B12" s="20">
        <f>$B$7</f>
        <v/>
      </c>
      <c r="C12" s="19" t="n">
        <v>10</v>
      </c>
      <c r="D12" s="7">
        <f>IF(B12&gt;C12,"JA — over grensen","Nei")</f>
        <v/>
      </c>
      <c r="E12" s="6" t="inlineStr">
        <is>
          <t>Hvor mange folk bedriften har ansvar for.</t>
        </is>
      </c>
    </row>
    <row r="13">
      <c r="A13" s="8" t="inlineStr">
        <is>
          <t>Antall grenser som er passert</t>
        </is>
      </c>
      <c r="B13" s="21">
        <f>COUNTIF(D10:D12,"JA*")</f>
        <v/>
      </c>
    </row>
    <row r="14"/>
    <row r="15">
      <c r="A15" s="4" t="inlineStr">
        <is>
          <t>2 · Konklusjon</t>
        </is>
      </c>
    </row>
    <row r="16">
      <c r="A16" s="8" t="inlineStr">
        <is>
          <t>Aksjeselskap</t>
        </is>
      </c>
      <c r="D16" s="22">
        <f>IF(B13=0,"Kan velge bort revisor","Revisjonsplikt — minst én grense er passert")</f>
        <v/>
      </c>
      <c r="E16" s="6" t="inlineStr">
        <is>
          <t>Et AS slipper revisor bare når ALLE tre ligger under.</t>
        </is>
      </c>
    </row>
    <row r="17">
      <c r="A17" s="8" t="inlineStr">
        <is>
          <t>Enkeltpersonforetak og ANS/DA</t>
        </is>
      </c>
      <c r="D17" s="22">
        <f>IF(B13=0,"Fritatt for revisjon","Revisjonsplikt")</f>
        <v/>
      </c>
      <c r="E17" s="6" t="inlineStr">
        <is>
          <t>Plikten inntrer så snart MINST ÉN grense passeres.</t>
        </is>
      </c>
    </row>
    <row r="18">
      <c r="A18" s="6" t="inlineStr">
        <is>
          <t>Bokføringsplikt</t>
        </is>
      </c>
      <c r="D18" s="8" t="inlineStr">
        <is>
          <t>JA — alltid</t>
        </is>
      </c>
      <c r="E18" s="6" t="inlineStr">
        <is>
          <t>Alle som driver næring og er registrert i Enhetsregisteret. Uansett størrelse og form.</t>
        </is>
      </c>
    </row>
    <row r="19"/>
    <row r="20">
      <c r="A20" s="4" t="inlineStr">
        <is>
          <t>3 · Aksjekapitalen</t>
        </is>
      </c>
    </row>
    <row r="21">
      <c r="A21" s="6" t="inlineStr">
        <is>
          <t>Lovens minstekrav</t>
        </is>
      </c>
      <c r="B21" s="10" t="n">
        <v>30000</v>
      </c>
    </row>
    <row r="22">
      <c r="A22" s="6" t="inlineStr">
        <is>
          <t>Det du skyter inn</t>
        </is>
      </c>
      <c r="B22" s="10" t="n">
        <v>300000</v>
      </c>
    </row>
    <row r="23">
      <c r="A23" s="6" t="inlineStr">
        <is>
          <t>Ganger minstekravet</t>
        </is>
      </c>
      <c r="B23" s="23">
        <f>B22/B21</f>
        <v/>
      </c>
      <c r="E23" s="6" t="inlineStr">
        <is>
          <t>Kari og Tom skjøt inn ti ganger minstekravet i 2019 — like mye et signal til bank og grossist som det er penger.</t>
        </is>
      </c>
    </row>
    <row r="24"/>
    <row r="25">
      <c r="A25" s="4" t="inlineStr">
        <is>
          <t>Kontroll</t>
        </is>
      </c>
    </row>
    <row r="26">
      <c r="A26" s="6" t="inlineStr">
        <is>
          <t>Er bedriften over minst én grense?</t>
        </is>
      </c>
      <c r="B26" s="17">
        <f>IF(B13&gt;0,"OK — bedriften har revisjonsplikt. Med Nordlys-tallene er den over på to av tre grenser: omsetning og årsverk","OK — bedriften er under alle tre grensene og kan velge bort revisor")</f>
        <v/>
      </c>
    </row>
    <row r="27">
      <c r="A27" s="6" t="inlineStr">
        <is>
          <t>Er aksjekapitalen minst lovens minstekrav?</t>
        </is>
      </c>
      <c r="B27" s="17">
        <f>IF(B22&gt;=B21,"OK — aksjekapitalen er minst lovens minstekrav","AVVIK: aksjekapitalen er lavere enn minstekravet — et slikt aksjeselskap kan ikke registreres")</f>
        <v/>
      </c>
    </row>
    <row r="28"/>
    <row r="29">
      <c r="A29" s="8" t="inlineStr">
        <is>
          <t>Merk forskjellen mellom de tre pliktene: bokføringsplikten sier at du må registrere hver transaksjon. Regnskapsplikten sier at du i tillegg må sette opp og sende inn et årsregnskap. Revisjonsplikten sier at en uavhengig tredjepart må gå god for tallene.</t>
        </is>
      </c>
    </row>
    <row r="30">
      <c r="A30" s="3" t="inlineStr">
        <is>
          <t>Kilde: Bok 1 kap. 1.2. Aksjeloven § 3-1 og § 7-6, regnskapsloven § 1-2 og bokføringsloven § 2 (Lovdata). Skattesatser: Skatteetaten, satser for inntektsåret 2024. Registrering: Brønnøysundregistrene og altinn.no (hentet 08.09.2026)</t>
        </is>
      </c>
    </row>
  </sheetData>
  <conditionalFormatting sqref="B26">
    <cfRule type="expression" priority="1" dxfId="0" stopIfTrue="0">
      <formula>LEFT(B26,5)="AVVIK"</formula>
    </cfRule>
  </conditionalFormatting>
  <conditionalFormatting sqref="B27">
    <cfRule type="expression" priority="2" dxfId="0" stopIfTrue="0">
      <formula>LEFT(B27,5)="AVVIK"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54" customWidth="1" min="5" max="5"/>
  </cols>
  <sheetData>
    <row r="1">
      <c r="A1" s="1" t="inlineStr">
        <is>
          <t>Tre scenarioer</t>
        </is>
      </c>
    </row>
    <row r="2">
      <c r="A2" s="2" t="inlineStr">
        <is>
          <t>Endre de gule cellene og se hva som skjer. Alle tall hentes fra de andre arkene.</t>
        </is>
      </c>
    </row>
    <row r="3"/>
    <row r="4">
      <c r="A4" s="4" t="inlineStr">
        <is>
          <t>Scenario A · overskuddet endrer seg</t>
        </is>
      </c>
    </row>
    <row r="5">
      <c r="A5" s="3" t="inlineStr">
        <is>
          <t>Satsene er de samme. Det eneste som endrer seg, er hvor stort overskuddet er.</t>
        </is>
      </c>
    </row>
    <row r="6"/>
    <row r="7" ht="28" customHeight="1">
      <c r="A7" s="9" t="inlineStr"/>
      <c r="B7" s="9" t="inlineStr">
        <is>
          <t>Lavt overskudd</t>
        </is>
      </c>
      <c r="C7" s="9" t="inlineStr">
        <is>
          <t>Overskuddet du regner med</t>
        </is>
      </c>
      <c r="D7" s="9" t="inlineStr">
        <is>
          <t>Høyt overskudd</t>
        </is>
      </c>
      <c r="E7" s="9" t="inlineStr">
        <is>
          <t>Hva raden betyr</t>
        </is>
      </c>
    </row>
    <row r="8">
      <c r="A8" s="8" t="inlineStr">
        <is>
          <t>Overskudd før eierlønn</t>
        </is>
      </c>
      <c r="B8" s="10" t="n">
        <v>300000</v>
      </c>
      <c r="C8" s="18">
        <f>Skatt!B5</f>
        <v/>
      </c>
      <c r="D8" s="10" t="n">
        <v>1800000</v>
      </c>
      <c r="E8" s="6" t="inlineStr">
        <is>
          <t>Midtkolonnen henter fra Skatt!B5. De to gule kan du endre fritt.</t>
        </is>
      </c>
    </row>
    <row r="9">
      <c r="A9" s="6" t="inlineStr">
        <is>
          <t>Igjen i enkeltpersonforetak</t>
        </is>
      </c>
      <c r="B9" s="14">
        <f>B8*(1-Skatt!$B$6)</f>
        <v/>
      </c>
      <c r="C9" s="14">
        <f>C8*(1-Skatt!$B$6)</f>
        <v/>
      </c>
      <c r="D9" s="14">
        <f>D8*(1-Skatt!$B$6)</f>
        <v/>
      </c>
      <c r="E9" s="6" t="inlineStr">
        <is>
          <t>Ett skattetrinn. Pengene er eierens.</t>
        </is>
      </c>
    </row>
    <row r="10">
      <c r="A10" s="6" t="inlineStr">
        <is>
          <t>Igjen i aksjeselskapet</t>
        </is>
      </c>
      <c r="B10" s="14">
        <f>B8*(1-Skatt!$B$7)</f>
        <v/>
      </c>
      <c r="C10" s="14">
        <f>C8*(1-Skatt!$B$7)</f>
        <v/>
      </c>
      <c r="D10" s="14">
        <f>D8*(1-Skatt!$B$7)</f>
        <v/>
      </c>
      <c r="E10" s="6" t="inlineStr">
        <is>
          <t>Ett skattetrinn, men pengene ligger i selskapet.</t>
        </is>
      </c>
    </row>
    <row r="11">
      <c r="A11" s="6" t="inlineStr">
        <is>
          <t>Igjen privat via aksjeselskap og utbytte</t>
        </is>
      </c>
      <c r="B11" s="14">
        <f>B10*(1-Skatt!$B$9)</f>
        <v/>
      </c>
      <c r="C11" s="14">
        <f>C10*(1-Skatt!$B$9)</f>
        <v/>
      </c>
      <c r="D11" s="14">
        <f>D10*(1-Skatt!$B$9)</f>
        <v/>
      </c>
      <c r="E11" s="6" t="inlineStr">
        <is>
          <t>To skattetrinn. Dette er tallet å sammenlikne med rad 9.</t>
        </is>
      </c>
    </row>
    <row r="12">
      <c r="A12" s="8" t="inlineStr">
        <is>
          <t>= Fordel ved AS for penger som blir stående</t>
        </is>
      </c>
      <c r="B12" s="15">
        <f>B10-B9</f>
        <v/>
      </c>
      <c r="C12" s="15">
        <f>C10-C9</f>
        <v/>
      </c>
      <c r="D12" s="15">
        <f>D10-D9</f>
        <v/>
      </c>
      <c r="E12" s="6" t="inlineStr">
        <is>
          <t>Positivt på alle tre nivåene.</t>
        </is>
      </c>
    </row>
    <row r="13">
      <c r="A13" s="8" t="inlineStr">
        <is>
          <t>= Fordel ved AS for penger du tar ut</t>
        </is>
      </c>
      <c r="B13" s="15">
        <f>B11-B9</f>
        <v/>
      </c>
      <c r="C13" s="15">
        <f>C11-C9</f>
        <v/>
      </c>
      <c r="D13" s="15">
        <f>D11-D9</f>
        <v/>
      </c>
      <c r="E13" s="6" t="inlineStr">
        <is>
          <t>Negativt på alle tre nivåene. Det er hele poenget.</t>
        </is>
      </c>
    </row>
    <row r="14">
      <c r="A14" s="6" t="inlineStr">
        <is>
          <t>Fordelen i selskapet, i prosent av overskuddet</t>
        </is>
      </c>
      <c r="B14" s="24">
        <f>B12/B8</f>
        <v/>
      </c>
      <c r="C14" s="24">
        <f>C12/C8</f>
        <v/>
      </c>
      <c r="D14" s="24">
        <f>D12/D8</f>
        <v/>
      </c>
      <c r="E14" s="6" t="inlineStr">
        <is>
          <t>Legg merke til at prosenten er den samme i alle tre kolonnene.</t>
        </is>
      </c>
    </row>
    <row r="15"/>
    <row r="16">
      <c r="A16" s="4" t="inlineStr">
        <is>
          <t>Kontroll</t>
        </is>
      </c>
    </row>
    <row r="17">
      <c r="A17" s="6" t="inlineStr">
        <is>
          <t>Er forholdstallet det samme uansett overskuddsnivå?</t>
        </is>
      </c>
      <c r="B17" s="17">
        <f>IF(AND(ABS(B14-C14)&lt;0.0001,ABS(C14-D14)&lt;0.0001),"OK — samme prosent på alle tre nivåene. Skatten skalerer, og derfor blir den aldri det avgjørende argumentet","AVVIK: satsene er ikke flate — sjekk Skatt!B6, B7 og B8")</f>
        <v/>
      </c>
    </row>
    <row r="18"/>
    <row r="19"/>
    <row r="20">
      <c r="A20" s="4" t="inlineStr">
        <is>
          <t>Scenario B · det går galt</t>
        </is>
      </c>
    </row>
    <row r="21">
      <c r="A21" s="3" t="inlineStr">
        <is>
          <t>Samme konkurs som i arket Ansvar, men her måles den mot det bedriften tjener på et år.</t>
        </is>
      </c>
    </row>
    <row r="22"/>
    <row r="23">
      <c r="A23" s="6" t="inlineStr">
        <is>
          <t>Udekket gjeld etter avsluttet bo</t>
        </is>
      </c>
      <c r="B23" s="14">
        <f>Ansvar!B5</f>
        <v/>
      </c>
    </row>
    <row r="24">
      <c r="A24" s="6" t="inlineStr">
        <is>
          <t>Du skylder som enkeltpersonforetak</t>
        </is>
      </c>
      <c r="B24" s="18">
        <f>Ansvar!B11</f>
        <v/>
      </c>
    </row>
    <row r="25">
      <c r="A25" s="6" t="inlineStr">
        <is>
          <t>Ditt samlede tap som aksjeselskap: kausjon og aksjekapital</t>
        </is>
      </c>
      <c r="B25" s="18">
        <f>Ansvar!B15+Ansvar!B8</f>
        <v/>
      </c>
    </row>
    <row r="26">
      <c r="A26" s="8" t="inlineStr">
        <is>
          <t>= Verdien av ansvarsbegrensningen</t>
        </is>
      </c>
      <c r="B26" s="15">
        <f>B24-B25</f>
        <v/>
      </c>
      <c r="E26" s="6" t="inlineStr">
        <is>
          <t>Dette er hva aksjeselskapet er verdt den dagen det går galt.</t>
        </is>
      </c>
    </row>
    <row r="27">
      <c r="A27" s="6" t="inlineStr">
        <is>
          <t>Igjen etter skatt på ett år (fra Skatt!B20)</t>
        </is>
      </c>
      <c r="B27" s="14">
        <f>Skatt!B20</f>
        <v/>
      </c>
    </row>
    <row r="28">
      <c r="A28" s="8" t="inlineStr">
        <is>
          <t>Ansvarsbegrensningen målt i år</t>
        </is>
      </c>
      <c r="B28" s="25">
        <f>B26/B27</f>
        <v/>
      </c>
      <c r="E28" s="6" t="inlineStr">
        <is>
          <t>Så mange års inntekt etter skatt sparer ansvarsbegrensningen deg for.</t>
        </is>
      </c>
    </row>
    <row r="29">
      <c r="A29" s="6" t="inlineStr">
        <is>
          <t>Merkostnad ved aksjeselskap per år</t>
        </is>
      </c>
      <c r="B29" s="10" t="n">
        <v>25000</v>
      </c>
    </row>
    <row r="30">
      <c r="A30" s="6" t="inlineStr">
        <is>
          <t>År med merkostnad før den er like dyr som konkursen</t>
        </is>
      </c>
      <c r="B30" s="23">
        <f>IF(B29=0,0,B26/B29)</f>
        <v/>
      </c>
      <c r="E30" s="6" t="inlineStr">
        <is>
          <t>Så mange år må du betale for aksjeselskapet før det koster like mye som én konkurs uten ansvarsbegrensning.</t>
        </is>
      </c>
    </row>
    <row r="31"/>
    <row r="32">
      <c r="A32" s="4" t="inlineStr">
        <is>
          <t>Kontroll</t>
        </is>
      </c>
    </row>
    <row r="33">
      <c r="A33" s="6" t="inlineStr">
        <is>
          <t>Er ansvarsbegrensningen verdt mer enn merkostnaden?</t>
        </is>
      </c>
      <c r="B33" s="17">
        <f>IF(B30&gt;10,"OK — det tar mer enn ti år med merkostnad før aksjeselskapet er like dyrt som én konkurs. Det er derfor ansvaret veier tyngre enn skatten","AVVIK: her er merkostnaden så høy at regnestykket bør gjøres på nytt")</f>
        <v/>
      </c>
    </row>
    <row r="34"/>
    <row r="35"/>
    <row r="36">
      <c r="A36" s="4" t="inlineStr">
        <is>
          <t>Scenario C · installatøren som vil starte for seg selv</t>
        </is>
      </c>
    </row>
    <row r="37">
      <c r="A37" s="3" t="inlineStr">
        <is>
          <t>Oppgave 5 i øvingsheftet. Regn først, drøft etterpå.</t>
        </is>
      </c>
    </row>
    <row r="38">
      <c r="A38" s="3" t="inlineStr">
        <is>
          <t>Forutsetning: han fyller selv FEK § 7 — fagskole, tre års praksis etter endt utdanning og installatørprøven — og kan stå som faglig ansvarlig. Uten det er selskapsform ikke hans første spørsmål.</t>
        </is>
      </c>
    </row>
    <row r="39">
      <c r="A39" s="6" t="inlineStr">
        <is>
          <t>Fakturerte montørtimer i året</t>
        </is>
      </c>
      <c r="B39" s="19" t="n">
        <v>1102</v>
      </c>
      <c r="E39" s="6" t="inlineStr">
        <is>
          <t>Alene rekker han færre timer enn en montør i en bemannet bedrift.</t>
        </is>
      </c>
    </row>
    <row r="40">
      <c r="A40" s="6" t="inlineStr">
        <is>
          <t>Timepris uten mva.</t>
        </is>
      </c>
      <c r="B40" s="26" t="n">
        <v>890</v>
      </c>
    </row>
    <row r="41">
      <c r="A41" s="6" t="inlineStr">
        <is>
          <t>= Timeinntekt</t>
        </is>
      </c>
      <c r="B41" s="15">
        <f>B39*B40</f>
        <v/>
      </c>
    </row>
    <row r="42">
      <c r="A42" s="6" t="inlineStr">
        <is>
          <t>Bruttofortjeneste på materiell</t>
        </is>
      </c>
      <c r="B42" s="10" t="n">
        <v>133111.1111111111</v>
      </c>
      <c r="E42" s="6" t="inlineStr">
        <is>
          <t>Påslaget på materiellet han kjøper inn og fakturerer videre.</t>
        </is>
      </c>
    </row>
    <row r="43">
      <c r="A43" s="6" t="inlineStr">
        <is>
          <t>− egne faste kostnader</t>
        </is>
      </c>
      <c r="B43" s="10" t="n">
        <v>260000</v>
      </c>
      <c r="E43" s="6" t="inlineStr">
        <is>
          <t>Bil, verktøy, forsikring, regnskapsfører, telefon og kurs.</t>
        </is>
      </c>
    </row>
    <row r="44">
      <c r="A44" s="8" t="inlineStr">
        <is>
          <t>= Overskudd før eierlønn</t>
        </is>
      </c>
      <c r="B44" s="15">
        <f>B41+B42-B43</f>
        <v/>
      </c>
    </row>
    <row r="45"/>
    <row r="46">
      <c r="A46" s="4" t="inlineStr">
        <is>
          <t>Skatteregningen for dette overskuddet</t>
        </is>
      </c>
    </row>
    <row r="47">
      <c r="A47" s="6" t="inlineStr">
        <is>
          <t>Igjen som enkeltpersonforetak</t>
        </is>
      </c>
      <c r="B47" s="18">
        <f>B44*(1-Skatt!$B$6)</f>
        <v/>
      </c>
    </row>
    <row r="48">
      <c r="A48" s="6" t="inlineStr">
        <is>
          <t>Igjen i aksjeselskapet, penger som blir stående</t>
        </is>
      </c>
      <c r="B48" s="18">
        <f>B44*(1-Skatt!$B$7)</f>
        <v/>
      </c>
    </row>
    <row r="49">
      <c r="A49" s="6" t="inlineStr">
        <is>
          <t>Igjen privat via aksjeselskap og utbytte</t>
        </is>
      </c>
      <c r="B49" s="18">
        <f>B48*(1-Skatt!$B$9)</f>
        <v/>
      </c>
    </row>
    <row r="50">
      <c r="A50" s="8" t="inlineStr">
        <is>
          <t>= Skattefordel ved AS for penger som blir stående</t>
        </is>
      </c>
      <c r="B50" s="15">
        <f>B48-B47</f>
        <v/>
      </c>
    </row>
    <row r="51">
      <c r="A51" s="8" t="inlineStr">
        <is>
          <t>= Skattefordel ved AS for penger han tar ut</t>
        </is>
      </c>
      <c r="B51" s="15">
        <f>B49-B47</f>
        <v/>
      </c>
      <c r="E51" s="6" t="inlineStr">
        <is>
          <t>Han sa selv at han trenger hele overskuddet til å leve av. Da er det denne raden som gjelder.</t>
        </is>
      </c>
    </row>
    <row r="52">
      <c r="A52" s="6" t="inlineStr">
        <is>
          <t>Merkostnad ved aksjeselskap per år</t>
        </is>
      </c>
      <c r="B52" s="14">
        <f>B29</f>
        <v/>
      </c>
    </row>
    <row r="53">
      <c r="A53" s="8" t="inlineStr">
        <is>
          <t>= Netto etter merkostnad, penger som blir stående</t>
        </is>
      </c>
      <c r="B53" s="15">
        <f>B50-B52</f>
        <v/>
      </c>
    </row>
    <row r="54">
      <c r="A54" s="6" t="inlineStr">
        <is>
          <t>Merkostnaden målt i fakturerte timer</t>
        </is>
      </c>
      <c r="B54" s="23">
        <f>B52/B40</f>
        <v/>
      </c>
      <c r="E54" s="6" t="inlineStr">
        <is>
          <t>Så mange timer må han fakturere for å betale for aksjeselskapet.</t>
        </is>
      </c>
    </row>
    <row r="55"/>
    <row r="56">
      <c r="A56" s="4" t="inlineStr">
        <is>
          <t>Og det som faktisk avgjør</t>
        </is>
      </c>
    </row>
    <row r="57">
      <c r="A57" s="6" t="inlineStr">
        <is>
          <t>En ansvarssak på et elektrisk anlegg</t>
        </is>
      </c>
      <c r="B57" s="10" t="n">
        <v>2400000</v>
      </c>
    </row>
    <row r="58">
      <c r="A58" s="8" t="inlineStr">
        <is>
          <t>Målt i år av det han sitter igjen med</t>
        </is>
      </c>
      <c r="B58" s="25">
        <f>B57/B47</f>
        <v/>
      </c>
      <c r="E58" s="6" t="inlineStr">
        <is>
          <t>Skatten skalerer med overskuddet. Ansvaret gjør ikke det — det kan komme på én dag.</t>
        </is>
      </c>
    </row>
    <row r="59"/>
    <row r="60">
      <c r="A60" s="4" t="inlineStr">
        <is>
          <t>Kontroll</t>
        </is>
      </c>
    </row>
    <row r="61">
      <c r="A61" s="6" t="inlineStr">
        <is>
          <t>Taler skatten for eller mot aksjeselskap når alt tas ut?</t>
        </is>
      </c>
      <c r="B61" s="17">
        <f>IF(B51&lt;0,"AVVIK: skattefordelen er negativ — aksjeselskap koster ham penger på skatten når han tar ut hele overskuddet","OK — skatten taler for aksjeselskap også ved fullt uttak")</f>
        <v/>
      </c>
    </row>
    <row r="62">
      <c r="A62" s="3" t="inlineStr">
        <is>
          <t>Her SKAL det stå AVVIK med tallene som ligger inne. Det er hele poenget i oppgave 5: skatten er ikke argumentet for aksjeselskap. Ansvaret er.</t>
        </is>
      </c>
    </row>
    <row r="63">
      <c r="A63" s="6" t="inlineStr">
        <is>
          <t>Er han under revisjonsgrensen for driftsinntekter?</t>
        </is>
      </c>
      <c r="B63" s="17">
        <f>IF(B41+B42&lt;Grenser!C10,"OK — han er under grensen for driftsinntekter og kan velge bort revisor det første året","AVVIK: han passerer revisjonsgrensen allerede første år")</f>
        <v/>
      </c>
    </row>
    <row r="64">
      <c r="A64" s="6" t="inlineStr">
        <is>
          <t>Er ansvarssaken større enn ett års inntekt?</t>
        </is>
      </c>
      <c r="B64" s="17">
        <f>IF(B58&gt;2,"OK — ansvarssaken tilsvarer mer enn to års inntekt etter skatt. Det er derfor ansvaret veier tyngre enn skatten i denne drøftingen","AVVIK: med disse tallene er ansvarsrisikoen for liten til å bære drøftingen")</f>
        <v/>
      </c>
    </row>
    <row r="65"/>
    <row r="66">
      <c r="A66" s="3" t="inlineStr">
        <is>
          <t>Kilde: Bok 1 kap. 1.1 til 1.4, med støtte i kap. 4 om egenkapitalandel og kap. 6 om kapitalbehov ved oppstart. Aksjeloven § 3-1 og § 7-6, regnskapsloven § 1-2 og bokføringsloven § 2 (Lovdata). Skattesatser: Skatteetaten, satser for inntektsåret 2024. Registrering: Brønnøysundregistrene og altinn.no (hentet 08.09.2026)</t>
        </is>
      </c>
    </row>
    <row r="67">
      <c r="A67" s="3" t="inlineStr">
        <is>
          <t>Bransjetall: NHO Elektro, Lønnsomhetsrapport 2025, gjengitt i Elektro 24-7 19.08.2026 (hentet 10.09.2026). De 809 er bedriftene i datagrunnlaget, ikke bransjen. NHO Elektro oppgir ikke svarprosent.</t>
        </is>
      </c>
    </row>
  </sheetData>
  <conditionalFormatting sqref="B17">
    <cfRule type="expression" priority="1" dxfId="0" stopIfTrue="0">
      <formula>LEFT(B17,5)="AVVIK"</formula>
    </cfRule>
  </conditionalFormatting>
  <conditionalFormatting sqref="B33">
    <cfRule type="expression" priority="2" dxfId="0" stopIfTrue="0">
      <formula>LEFT(B33,5)="AVVIK"</formula>
    </cfRule>
  </conditionalFormatting>
  <conditionalFormatting sqref="B61">
    <cfRule type="expression" priority="3" dxfId="0" stopIfTrue="0">
      <formula>LEFT(B61,5)="AVVIK"</formula>
    </cfRule>
  </conditionalFormatting>
  <conditionalFormatting sqref="B63">
    <cfRule type="expression" priority="4" dxfId="0" stopIfTrue="0">
      <formula>LEFT(B63,5)="AVVIK"</formula>
    </cfRule>
  </conditionalFormatting>
  <conditionalFormatting sqref="B64">
    <cfRule type="expression" priority="5" dxfId="0" stopIfTrue="0">
      <formula>LEFT(B64,5)="AVVIK"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2026-09-15T07:40:10Z</dcterms:created>
  <dcterms:modified xmlns:dcterms="http://purl.org/dc/terms/" xmlns:xsi="http://www.w3.org/2001/XMLSchema-instance" xsi:type="dcterms:W3CDTF">2026-09-27T05:13:01Z</dcterms:modified>
</cp:coreProperties>
</file>