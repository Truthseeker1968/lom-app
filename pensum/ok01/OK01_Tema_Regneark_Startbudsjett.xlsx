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iledning" sheetId="1" state="visible" r:id="rId1"/>
    <sheet xmlns:r="http://schemas.openxmlformats.org/officeDocument/2006/relationships" name="Kapitalbehov og finansiering" sheetId="2" state="visible" r:id="rId2"/>
    <sheet xmlns:r="http://schemas.openxmlformats.org/officeDocument/2006/relationships" name="Startbudsjett år 1" sheetId="3" state="visible" r:id="rId3"/>
    <sheet xmlns:r="http://schemas.openxmlformats.org/officeDocument/2006/relationships" name="Likviditet 12 mnd" sheetId="4" state="visible" r:id="rId4"/>
    <sheet xmlns:r="http://schemas.openxmlformats.org/officeDocument/2006/relationships" name="Din egen bedri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kr&quot;;[Red]-#,##0 &quot;kr&quot;;&quot;–&quot;"/>
    <numFmt numFmtId="165" formatCode="0.0 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1F3864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2E7D32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>
        <color rgb="001F3864"/>
      </top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164" fontId="5" fillId="2" borderId="0" pivotButton="0" quotePrefix="0" xfId="0"/>
    <xf numFmtId="0" fontId="6" fillId="0" borderId="0" pivotButton="0" quotePrefix="0" xfId="0"/>
    <xf numFmtId="164" fontId="6" fillId="0" borderId="0" pivotButton="0" quotePrefix="0" xfId="0"/>
    <xf numFmtId="165" fontId="5" fillId="2" borderId="0" pivotButton="0" quotePrefix="0" xfId="0"/>
    <xf numFmtId="164" fontId="3" fillId="0" borderId="0" pivotButton="0" quotePrefix="0" xfId="0"/>
    <xf numFmtId="1" fontId="5" fillId="2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  <xf numFmtId="165" fontId="3" fillId="0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right"/>
    </xf>
    <xf numFmtId="49" fontId="3" fillId="0" borderId="0" pivotButton="0" quotePrefix="0" xfId="0"/>
    <xf applyAlignment="true" numFmtId="0" fontId="6" fillId="0" borderId="0" pivotButton="0" quotePrefix="0" xfId="0">
      <alignment wrapText="true"/>
    </xf>
    <xf applyAlignment="true" numFmtId="0" fontId="3" fillId="0" borderId="0" pivotButton="0" quotePrefix="0" xfId="0">
      <alignment wrapText="true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Starte egen elektrobedrift — startbudsjett, kapitalbehov og likviditet</t>
        </is>
      </c>
    </row>
    <row r="2">
      <c r="A2" s="2" t="inlineStr">
        <is>
          <t>LØM · Økonomistyring, tema under kapittel 1 · Fagskolen Oslo, Elkraft · Øvingsark</t>
        </is>
      </c>
    </row>
    <row r="4" ht="45" customHeight="1">
      <c r="A4" s="3" t="inlineStr">
        <is>
          <t>Dette regnearket følger Nordlys Elektro AS gjennom oppstartsåret 2019, da Kari Nordlund og Tom Berg startet for seg selv. Tallene er de samme som i kapittel 6 om kapitalbehov og finansiering, med et startbudsjett og en likviditetsplan lagt oppå.</t>
        </is>
      </c>
    </row>
    <row r="5">
      <c r="A5" s="3" t="inlineStr"/>
    </row>
    <row r="6">
      <c r="A6" s="4" t="inlineStr">
        <is>
          <t>Slik bruker du arket</t>
        </is>
      </c>
    </row>
    <row r="7" ht="30" customHeight="1">
      <c r="A7" s="3" t="inlineStr">
        <is>
          <t>Gule celler med blå skrift er inndata. Alt annet regnes ut. Endre ett tall om gangen og se hva som skjer med bunnlinja og med kontoen.</t>
        </is>
      </c>
    </row>
    <row r="8" ht="45" customHeight="1">
      <c r="A8" s="3" t="inlineStr">
        <is>
          <t>Arkene bygger på hverandre: Kapitalbehov sier hvor mye penger som må inn før første faktura. Startbudsjett sier om driften bærer seg i løpet av året. Likviditet sier om pengene holder måned for måned — det er det siste som avgjør om bedriften overlever år 1.</t>
        </is>
      </c>
    </row>
    <row r="9">
      <c r="A9" s="3" t="inlineStr">
        <is>
          <t>Arket «Din egen bedrift» er tomt. Fyll inn for en bedrift du selv kunne tenke deg å starte.</t>
        </is>
      </c>
    </row>
    <row r="10">
      <c r="A10" s="3" t="inlineStr"/>
    </row>
    <row r="11">
      <c r="A11" s="4" t="inlineStr">
        <is>
          <t>Spørsmål arket kan svare på</t>
        </is>
      </c>
    </row>
    <row r="12">
      <c r="A12" s="3" t="inlineStr">
        <is>
          <t>Hvor mye må Kari og Tom skyte inn selv, og hvor mye må banken låne dem?</t>
        </is>
      </c>
    </row>
    <row r="13">
      <c r="A13" s="3" t="inlineStr">
        <is>
          <t>Går Nordlys med overskudd i oppstartsåret? Hvor mye må de selge for å gå i null?</t>
        </is>
      </c>
    </row>
    <row r="14">
      <c r="A14" s="3" t="inlineStr">
        <is>
          <t>Hvorfor kan kontoen være full av penger samtidig som resultatet er negativt — og hva skjer året etter?</t>
        </is>
      </c>
    </row>
    <row r="15">
      <c r="A15" s="3" t="inlineStr">
        <is>
          <t>Hva skjer med kontoen i januar hvis de ikke har kassekreditt?</t>
        </is>
      </c>
    </row>
    <row r="16">
      <c r="A16" s="3" t="inlineStr"/>
    </row>
    <row r="17">
      <c r="A17" s="4" t="inlineStr">
        <is>
          <t>Forutsetninger</t>
        </is>
      </c>
    </row>
    <row r="18" ht="45" customHeight="1">
      <c r="A18" s="3" t="inlineStr">
        <is>
          <t>Tall ekskl. mva i startbudsjettet, inkl. mva i likviditetsplanen. Sosiale kostnader 46,8 % av lønn (lærebokas tabell 2.4). Arbeidsgiveravgift 14,1 %, feriepenger 12 % (opptjent i 2019, utbetalt i 2020), merverdiavgift 25 % med tomånedlige terminer.</t>
        </is>
      </c>
    </row>
    <row r="19" ht="30" customHeight="1">
      <c r="A19" s="3" t="inlineStr">
        <is>
          <t>Dette er et forenklet læringseksempel. En bedrift som faktisk skal starte, setter opp budsjettet sammen med regnskapsfører og bank.</t>
        </is>
      </c>
    </row>
    <row r="20">
      <c r="A20" s="3" t="inlineStr"/>
    </row>
    <row r="21" ht="45" customHeight="1">
      <c r="A21" s="5" t="inlineStr">
        <is>
          <t>Kilde: Hjertnes og Skorpen, Økonomistyring for LØM-emnet, kapittel 1 (selskapsform), kapittel 6 (kapitalbehov og finansiering) og kapittel 9 (budsjett). Gebyrer og terskler: brreg.no og skatteetaten.no, oktober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56" customWidth="1" min="4" max="4"/>
  </cols>
  <sheetData>
    <row r="1">
      <c r="A1" s="1" t="inlineStr">
        <is>
          <t>Kapitalbehov og finansiering — Nordlys Elektro AS, før første driftsdag i 2019</t>
        </is>
      </c>
    </row>
    <row r="2">
      <c r="A2" s="2" t="inlineStr">
        <is>
          <t>Hvor mye penger må inn før første faktura? Samme oppstilling som kapittel 6. Gule celler er inndata.</t>
        </is>
      </c>
    </row>
    <row r="4">
      <c r="A4" s="6" t="inlineStr">
        <is>
          <t>1 · Anleggsmidler (det som skal vare i flere år)</t>
        </is>
      </c>
      <c r="B4" s="7" t="n"/>
      <c r="C4" s="7" t="n"/>
      <c r="D4" s="7" t="n"/>
    </row>
    <row r="5">
      <c r="A5" s="8" t="inlineStr">
        <is>
          <t>Verktøy og utstyr</t>
        </is>
      </c>
      <c r="B5" s="9" t="n">
        <v>850000</v>
      </c>
      <c r="D5" s="5" t="inlineStr">
        <is>
          <t>Måleinstrumenter, stiger, lift, verktøykasser til to montører.</t>
        </is>
      </c>
    </row>
    <row ht="24.75" customHeight="true" r="6">
      <c r="A6" s="8" t="inlineStr">
        <is>
          <t>Servicebil</t>
        </is>
      </c>
      <c r="B6" s="9" t="n">
        <v>480000</v>
      </c>
      <c r="D6" s="5" t="inlineStr">
        <is>
          <t>Brukt varebil med innredning. Alternativ: leasing, se prøv-raden nederst.</t>
        </is>
      </c>
    </row>
    <row r="7">
      <c r="A7" s="10" t="inlineStr">
        <is>
          <t>Sum anleggsmidler</t>
        </is>
      </c>
      <c r="B7" s="11">
        <f>B5+B6</f>
        <v/>
      </c>
    </row>
    <row r="9">
      <c r="A9" s="6" t="inlineStr">
        <is>
          <t>2 · Omløpsmidler (det som bindes i driften)</t>
        </is>
      </c>
      <c r="B9" s="7" t="n"/>
      <c r="C9" s="7" t="n"/>
      <c r="D9" s="7" t="n"/>
    </row>
    <row r="10">
      <c r="A10" s="8" t="inlineStr">
        <is>
          <t>Budsjettert salg år 1, ekskl. mva</t>
        </is>
      </c>
      <c r="B10" s="9" t="n">
        <v>7200000</v>
      </c>
      <c r="D10" s="5" t="inlineStr">
        <is>
          <t>9 000 000 inkl. mva. Grunnlaget for alt nedenfor.</t>
        </is>
      </c>
    </row>
    <row r="11">
      <c r="A11" s="8" t="inlineStr">
        <is>
          <t>Bruttofortjeneste, andel av salg</t>
        </is>
      </c>
      <c r="B11" s="12" t="n">
        <v>0.45</v>
      </c>
      <c r="D11" s="5" t="inlineStr">
        <is>
          <t>Salg minus materiell og innleie. 45 % i oppstartsåret; 62,5 % i 2026.</t>
        </is>
      </c>
    </row>
    <row r="12">
      <c r="A12" s="8" t="inlineStr">
        <is>
          <t>Varekostnad år 1, ekskl. mva</t>
        </is>
      </c>
      <c r="B12" s="13">
        <f>B10*(1-B11)</f>
        <v/>
      </c>
    </row>
    <row r="13">
      <c r="A13" s="8" t="inlineStr">
        <is>
          <t>Varekjøp år 1, inkl. mva</t>
        </is>
      </c>
      <c r="B13" s="13">
        <f>B12*1.25</f>
        <v/>
      </c>
      <c r="D13" s="5" t="inlineStr">
        <is>
          <t>Det er dette beløpet som skal betales til grossisten.</t>
        </is>
      </c>
    </row>
    <row r="14">
      <c r="A14" s="8" t="inlineStr">
        <is>
          <t>Lagringstid for materiell, dager</t>
        </is>
      </c>
      <c r="B14" s="14" t="n">
        <v>20</v>
      </c>
      <c r="D14" s="5" t="inlineStr">
        <is>
          <t>Hvor lenge materiellet ligger på lageret før det monteres.</t>
        </is>
      </c>
    </row>
    <row r="15">
      <c r="A15" s="8" t="inlineStr">
        <is>
          <t>Varelager</t>
        </is>
      </c>
      <c r="B15" s="13">
        <f>ROUND(B12/360*B14,0)</f>
        <v/>
      </c>
      <c r="D15" s="5" t="inlineStr">
        <is>
          <t>Varekostnad per dag × lagringstid. Kapittel 6 bruker 360 dager.</t>
        </is>
      </c>
    </row>
    <row r="16">
      <c r="A16" s="8" t="inlineStr">
        <is>
          <t>Andel av salget på kreditt</t>
        </is>
      </c>
      <c r="B16" s="12" t="n">
        <v>0.25</v>
      </c>
      <c r="D16" s="5" t="inlineStr">
        <is>
          <t>Resten betales kontant eller med kort på stedet.</t>
        </is>
      </c>
    </row>
    <row r="17">
      <c r="A17" s="8" t="inlineStr">
        <is>
          <t>Kredittid til kundene, dager</t>
        </is>
      </c>
      <c r="B17" s="14" t="n">
        <v>20</v>
      </c>
    </row>
    <row ht="24.75" customHeight="true" r="18">
      <c r="A18" s="8" t="inlineStr">
        <is>
          <t>Kundefordringer</t>
        </is>
      </c>
      <c r="B18" s="13">
        <f>ROUND(B10*1.25*B16/360*B17,0)</f>
        <v/>
      </c>
      <c r="D18" s="5" t="inlineStr">
        <is>
          <t>Kredittsalg inkl. mva per dag × kredittid — det er fakturabeløpet kunden skylder.</t>
        </is>
      </c>
    </row>
    <row r="19">
      <c r="A19" s="8" t="inlineStr">
        <is>
          <t>Reserve (kasse og bank)</t>
        </is>
      </c>
      <c r="B19" s="9" t="n">
        <v>200000</v>
      </c>
      <c r="D19" s="5" t="inlineStr">
        <is>
          <t>Buffer til uforutsett. Mange starter uten — og angrer.</t>
        </is>
      </c>
    </row>
    <row r="20">
      <c r="A20" s="10" t="inlineStr">
        <is>
          <t>Sum omløpsmidler</t>
        </is>
      </c>
      <c r="B20" s="11">
        <f>B15+B18+B19</f>
        <v/>
      </c>
    </row>
    <row r="22">
      <c r="A22" s="6" t="inlineStr">
        <is>
          <t>3 · Kapitalbehov</t>
        </is>
      </c>
      <c r="B22" s="7" t="n"/>
      <c r="C22" s="7" t="n"/>
      <c r="D22" s="7" t="n"/>
    </row>
    <row r="23">
      <c r="A23" s="10" t="inlineStr">
        <is>
          <t>Kapitalbehov = anleggsmidler + omløpsmidler</t>
        </is>
      </c>
      <c r="B23" s="11">
        <f>B7+B20</f>
        <v/>
      </c>
      <c r="D23" s="5" t="inlineStr">
        <is>
          <t>Så mye må finansieres før Nordlys kan sende første faktura.</t>
        </is>
      </c>
    </row>
    <row r="25">
      <c r="A25" s="6" t="inlineStr">
        <is>
          <t>4 · Finansiering</t>
        </is>
      </c>
      <c r="B25" s="7" t="n"/>
      <c r="C25" s="7" t="n"/>
      <c r="D25" s="7" t="n"/>
    </row>
    <row ht="24.75" customHeight="true" r="26">
      <c r="A26" s="8" t="inlineStr">
        <is>
          <t>Egenkapital, andel av kapitalbehovet</t>
        </is>
      </c>
      <c r="B26" s="12" t="n">
        <v>0.3</v>
      </c>
      <c r="D26" s="5" t="inlineStr">
        <is>
          <t>Banken krevde minst 30 %. Aksjekapitalen på 300 000 er en del av dette.</t>
        </is>
      </c>
    </row>
    <row r="27">
      <c r="A27" s="8" t="inlineStr">
        <is>
          <t>Egenkapital</t>
        </is>
      </c>
      <c r="B27" s="13">
        <f>ROUND(B23*B26,0)</f>
        <v/>
      </c>
    </row>
    <row r="28">
      <c r="A28" s="8" t="inlineStr">
        <is>
          <t>Leverandørgjeld</t>
        </is>
      </c>
      <c r="B28" s="13">
        <f>ROUND(B13/360*15,0)</f>
        <v/>
      </c>
      <c r="D28" s="5" t="inlineStr">
        <is>
          <t>Grossisten gir 15 dagers kreditt: varekjøp inkl. mva per dag × 15.</t>
        </is>
      </c>
    </row>
    <row ht="24.75" customHeight="true" r="29">
      <c r="A29" s="8" t="inlineStr">
        <is>
          <t>Kassekreditt og offentlige avgifter</t>
        </is>
      </c>
      <c r="B29" s="13">
        <f>B23-B27-B28-B30</f>
        <v/>
      </c>
      <c r="D29" s="5" t="inlineStr">
        <is>
          <t>Det som er igjen når egenkapital, leverandørgjeld og langsiktig lån er dekket.</t>
        </is>
      </c>
    </row>
    <row r="30">
      <c r="A30" s="8" t="inlineStr">
        <is>
          <t>Langsiktig lån</t>
        </is>
      </c>
      <c r="B30" s="9" t="n">
        <v>877500</v>
      </c>
      <c r="D30" s="5" t="inlineStr">
        <is>
          <t>Banklån over 5 år, med personlig kausjon fra Kari og Tom.</t>
        </is>
      </c>
    </row>
    <row r="31">
      <c r="A31" s="10" t="inlineStr">
        <is>
          <t>Sum finansiering</t>
        </is>
      </c>
      <c r="B31" s="11">
        <f>B27+B28+B29+B30</f>
        <v/>
      </c>
    </row>
    <row r="33">
      <c r="A33" s="10" t="inlineStr">
        <is>
          <t>Kontroll</t>
        </is>
      </c>
      <c r="B33" s="15">
        <f>IF(B31=B23,"OK — finansieringen dekker kapitalbehovet","AVVIK: finansiering og kapitalbehov stemmer ikke")</f>
        <v/>
      </c>
    </row>
    <row r="35">
      <c r="A35" s="10" t="inlineStr">
        <is>
          <t>Prøv dette:</t>
        </is>
      </c>
    </row>
    <row r="36" ht="30" customHeight="1">
      <c r="A36" s="16" t="inlineStr">
        <is>
          <t>Sett servicebilen (B6) til 0 og tenk deg at den leases for 9 000 kr per måned i stedet. Kapitalbehovet faller med 480 000, men driftskostnadene i startbudsjettet øker med 108 000 i året.</t>
        </is>
      </c>
    </row>
    <row r="37" ht="30" customHeight="1">
      <c r="A37" s="16" t="inlineStr">
        <is>
          <t>Sett lagringstiden (B14) til 34 dager. Hva skjer med kapitalbehovet og egenkapitalandelen hvis egenkapitalen holdes på 562 500?</t>
        </is>
      </c>
    </row>
    <row r="39">
      <c r="A39" s="2" t="inlineStr">
        <is>
          <t>Kilde: Hjertnes og Skorpen, Økonomistyring for LØM-emnet, kapittel 6. Tallene er Nordlys Elektro AS' egne fra oppstarten i 2019.</t>
        </is>
      </c>
    </row>
  </sheetData>
  <mergeCells count="2">
    <mergeCell ref="A37:D37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56" customWidth="1" min="4" max="4"/>
  </cols>
  <sheetData>
    <row r="1">
      <c r="A1" s="1" t="inlineStr">
        <is>
          <t>Startbudsjett år 1 — Nordlys Elektro AS, 2019 (ekskl. mva)</t>
        </is>
      </c>
    </row>
    <row r="2">
      <c r="A2" s="2" t="inlineStr">
        <is>
          <t>Bærer driften seg i oppstartsåret? Gule celler er inndata. Nullpunktet nederst viser hvor mye salg som trengs for å gå i null.</t>
        </is>
      </c>
    </row>
    <row r="4">
      <c r="A4" s="6" t="inlineStr">
        <is>
          <t>1 · Salg og varekostnad</t>
        </is>
      </c>
      <c r="B4" s="7" t="n"/>
      <c r="C4" s="7" t="n"/>
      <c r="D4" s="7" t="n"/>
    </row>
    <row r="5">
      <c r="A5" s="8" t="inlineStr">
        <is>
          <t>Salgsinntekt år 1</t>
        </is>
      </c>
      <c r="B5" s="13">
        <f>'Kapitalbehov og finansiering'!B10</f>
        <v/>
      </c>
      <c r="D5" s="5" t="inlineStr">
        <is>
          <t>Hentes fra arket Kapitalbehov og finansiering.</t>
        </is>
      </c>
    </row>
    <row r="6">
      <c r="A6" s="8" t="inlineStr">
        <is>
          <t>Bruttofortjeneste, andel</t>
        </is>
      </c>
      <c r="B6" s="17">
        <f>'Kapitalbehov og finansiering'!B11</f>
        <v/>
      </c>
    </row>
    <row r="7">
      <c r="A7" s="8" t="inlineStr">
        <is>
          <t>Varekostnad (materiell og innleie)</t>
        </is>
      </c>
      <c r="B7" s="13">
        <f>B5*(1-B6)</f>
        <v/>
      </c>
    </row>
    <row r="8">
      <c r="A8" s="10" t="inlineStr">
        <is>
          <t>Bruttofortjeneste</t>
        </is>
      </c>
      <c r="B8" s="11">
        <f>B5-B7</f>
        <v/>
      </c>
    </row>
    <row r="10">
      <c r="A10" s="6" t="inlineStr">
        <is>
          <t>2 · Lønn</t>
        </is>
      </c>
      <c r="B10" s="7" t="n"/>
      <c r="C10" s="7" t="n"/>
      <c r="D10" s="7" t="n"/>
    </row>
    <row r="11">
      <c r="A11" s="8" t="inlineStr">
        <is>
          <t>Kari (daglig leder og installatør)</t>
        </is>
      </c>
      <c r="B11" s="9" t="n">
        <v>560000</v>
      </c>
    </row>
    <row r="12">
      <c r="A12" s="8" t="inlineStr">
        <is>
          <t>Tom (montør og prosjektleder)</t>
        </is>
      </c>
      <c r="B12" s="9" t="n">
        <v>500000</v>
      </c>
    </row>
    <row r="13">
      <c r="A13" s="8" t="inlineStr">
        <is>
          <t>Én montør</t>
        </is>
      </c>
      <c r="B13" s="9" t="n">
        <v>460000</v>
      </c>
    </row>
    <row r="14">
      <c r="A14" s="8" t="inlineStr">
        <is>
          <t>Én lærling</t>
        </is>
      </c>
      <c r="B14" s="9" t="n">
        <v>190000</v>
      </c>
    </row>
    <row r="15">
      <c r="A15" s="10" t="inlineStr">
        <is>
          <t>Sum lønn</t>
        </is>
      </c>
      <c r="B15" s="11">
        <f>SUM(B11:B14)</f>
        <v/>
      </c>
    </row>
    <row ht="24.75" customHeight="true" r="16">
      <c r="A16" s="8" t="inlineStr">
        <is>
          <t>Sosiale kostnader, andel av lønn</t>
        </is>
      </c>
      <c r="B16" s="12" t="n">
        <v>0.468</v>
      </c>
      <c r="D16" s="5" t="inlineStr">
        <is>
          <t>Feriepenger, arbeidsgiveravgift, pensjon, forsikring, sykefravær. Lærebokas tabell 2.4.</t>
        </is>
      </c>
    </row>
    <row r="17">
      <c r="A17" s="8" t="inlineStr">
        <is>
          <t>Sosiale kostnader</t>
        </is>
      </c>
      <c r="B17" s="13">
        <f>ROUND(B15*B16,0)</f>
        <v/>
      </c>
    </row>
    <row r="18">
      <c r="A18" s="10" t="inlineStr">
        <is>
          <t>Sum lønnskostnad</t>
        </is>
      </c>
      <c r="B18" s="11">
        <f>B15+B17</f>
        <v/>
      </c>
    </row>
    <row r="20">
      <c r="A20" s="6" t="inlineStr">
        <is>
          <t>3 · Andre driftskostnader</t>
        </is>
      </c>
      <c r="B20" s="7" t="n"/>
      <c r="C20" s="7" t="n"/>
      <c r="D20" s="7" t="n"/>
    </row>
    <row r="21">
      <c r="A21" s="8" t="inlineStr">
        <is>
          <t>Husleie verksted og lager</t>
        </is>
      </c>
      <c r="B21" s="9" t="n">
        <v>180000</v>
      </c>
    </row>
    <row r="22">
      <c r="A22" s="8" t="inlineStr">
        <is>
          <t>Forsikringer (ansvar, bil, yrkesskade)</t>
        </is>
      </c>
      <c r="B22" s="9" t="n">
        <v>55000</v>
      </c>
    </row>
    <row r="23">
      <c r="A23" s="8" t="inlineStr">
        <is>
          <t>Regnskapsfører og revisor</t>
        </is>
      </c>
      <c r="B23" s="9" t="n">
        <v>60000</v>
      </c>
    </row>
    <row r="24">
      <c r="A24" s="8" t="inlineStr">
        <is>
          <t>Telefon, IT og programvare</t>
        </is>
      </c>
      <c r="B24" s="9" t="n">
        <v>45000</v>
      </c>
    </row>
    <row r="25">
      <c r="A25" s="8" t="inlineStr">
        <is>
          <t>Markedsføring og nettside</t>
        </is>
      </c>
      <c r="B25" s="9" t="n">
        <v>30000</v>
      </c>
    </row>
    <row r="26">
      <c r="A26" s="8" t="inlineStr">
        <is>
          <t>Småverktøy og forbruksmateriell</t>
        </is>
      </c>
      <c r="B26" s="9" t="n">
        <v>50000</v>
      </c>
    </row>
    <row r="27">
      <c r="A27" s="8" t="inlineStr">
        <is>
          <t>Kurs og sertifisering</t>
        </is>
      </c>
      <c r="B27" s="9" t="n">
        <v>25000</v>
      </c>
    </row>
    <row r="28">
      <c r="A28" s="8" t="inlineStr">
        <is>
          <t>Drivstoff og bildrift</t>
        </is>
      </c>
      <c r="B28" s="9" t="n">
        <v>70000</v>
      </c>
    </row>
    <row r="29">
      <c r="A29" s="10" t="inlineStr">
        <is>
          <t>Sum andre driftskostnader</t>
        </is>
      </c>
      <c r="B29" s="11">
        <f>SUM(B21:B28)</f>
        <v/>
      </c>
    </row>
    <row r="31">
      <c r="A31" s="6" t="inlineStr">
        <is>
          <t>4 · Avskrivninger</t>
        </is>
      </c>
      <c r="B31" s="7" t="n"/>
      <c r="C31" s="7" t="n"/>
      <c r="D31" s="7" t="n"/>
    </row>
    <row r="32">
      <c r="A32" s="8" t="inlineStr">
        <is>
          <t>Verktøy og utstyr</t>
        </is>
      </c>
      <c r="B32" s="13">
        <f>'Kapitalbehov og finansiering'!B5</f>
        <v/>
      </c>
    </row>
    <row r="33">
      <c r="A33" s="8" t="inlineStr">
        <is>
          <t>Levetid verktøy og utstyr, år</t>
        </is>
      </c>
      <c r="B33" s="14" t="n">
        <v>5</v>
      </c>
    </row>
    <row r="34">
      <c r="A34" s="8" t="inlineStr">
        <is>
          <t>Servicebil</t>
        </is>
      </c>
      <c r="B34" s="13">
        <f>'Kapitalbehov og finansiering'!B6</f>
        <v/>
      </c>
    </row>
    <row r="35">
      <c r="A35" s="8" t="inlineStr">
        <is>
          <t>Levetid servicebil, år</t>
        </is>
      </c>
      <c r="B35" s="14" t="n">
        <v>5</v>
      </c>
    </row>
    <row r="36">
      <c r="A36" s="10" t="inlineStr">
        <is>
          <t>Sum avskrivninger</t>
        </is>
      </c>
      <c r="B36" s="11">
        <f>B32/B33+B34/B35</f>
        <v/>
      </c>
      <c r="D36" s="5" t="inlineStr">
        <is>
          <t>Lineær avskrivning: anskaffelseskost delt på levetid.</t>
        </is>
      </c>
    </row>
    <row r="38">
      <c r="A38" s="6" t="inlineStr">
        <is>
          <t>5 · Resultat</t>
        </is>
      </c>
      <c r="B38" s="7" t="n"/>
      <c r="C38" s="7" t="n"/>
      <c r="D38" s="7" t="n"/>
    </row>
    <row r="39">
      <c r="A39" s="10" t="inlineStr">
        <is>
          <t>Driftsresultat</t>
        </is>
      </c>
      <c r="B39" s="11">
        <f>B8-B18-B29-B36</f>
        <v/>
      </c>
      <c r="D39" s="5" t="inlineStr">
        <is>
          <t>Bruttofortjeneste minus lønn, andre driftskostnader og avskrivninger.</t>
        </is>
      </c>
    </row>
    <row r="40">
      <c r="A40" s="8" t="inlineStr">
        <is>
          <t>Rente langsiktig lån, sats</t>
        </is>
      </c>
      <c r="B40" s="12" t="n">
        <v>0.05</v>
      </c>
    </row>
    <row ht="24.75" customHeight="true" r="41">
      <c r="A41" s="8" t="inlineStr">
        <is>
          <t>Rente kassekreditt, sats</t>
        </is>
      </c>
      <c r="B41" s="12" t="n">
        <v>0.08</v>
      </c>
      <c r="D41" s="5" t="inlineStr">
        <is>
          <t>Regnes av gjennomsnittlig trekk, her satt lik kassekreditt og offentlige avgifter fra arket Kapitalbehov.</t>
        </is>
      </c>
    </row>
    <row r="42">
      <c r="A42" s="8" t="inlineStr">
        <is>
          <t>Rentekostnad</t>
        </is>
      </c>
      <c r="B42" s="13">
        <f>ROUND('Kapitalbehov og finansiering'!B30*B40+'Kapitalbehov og finansiering'!B29*B41,0)</f>
        <v/>
      </c>
    </row>
    <row ht="24.75" customHeight="true" r="43">
      <c r="A43" s="10" t="inlineStr">
        <is>
          <t>Resultat før skatt</t>
        </is>
      </c>
      <c r="B43" s="11">
        <f>B39-B42</f>
        <v/>
      </c>
      <c r="D43" s="5" t="inlineStr">
        <is>
          <t>Negativt i oppstartsåret. Det er ikke uvanlig — men det må være planlagt, og det må finnes penger til å bære det.</t>
        </is>
      </c>
    </row>
    <row r="45">
      <c r="A45" s="6" t="inlineStr">
        <is>
          <t>6 · Nullpunkt</t>
        </is>
      </c>
      <c r="B45" s="7" t="n"/>
      <c r="C45" s="7" t="n"/>
      <c r="D45" s="7" t="n"/>
    </row>
    <row ht="27" customHeight="true" r="46">
      <c s="22" r="A46" t="inlineStr">
        <is>
          <t>Faste kostnader (lønn, andre driftskostnader, avskrivninger, renter)</t>
        </is>
      </c>
      <c r="B46" s="13">
        <f>B18+B29+B36+B42</f>
        <v/>
      </c>
      <c r="D46" s="5" t="inlineStr">
        <is>
          <t>I oppstartsåret regnes all lønn som fast: montørene er ansatt uansett.</t>
        </is>
      </c>
    </row>
    <row ht="27" customHeight="true" r="47">
      <c s="21" r="A47" t="inlineStr">
        <is>
          <t>Nullpunktomsetning = faste kostnader / bruttofortjenesteandel</t>
        </is>
      </c>
      <c r="B47" s="11">
        <f>ROUND(B46/B6,0)</f>
        <v/>
      </c>
      <c r="D47" s="5" t="inlineStr">
        <is>
          <t>Så mye må Nordlys selge for at resultatet skal bli null.</t>
        </is>
      </c>
    </row>
    <row ht="24.75" customHeight="true" r="48">
      <c r="A48" s="8" t="inlineStr">
        <is>
          <t>Avstand til nullpunktet</t>
        </is>
      </c>
      <c r="B48" s="13">
        <f>B47-B5</f>
        <v/>
      </c>
      <c r="D48" s="5" t="inlineStr">
        <is>
          <t>Hvor mye mer de må selge enn budsjettert. Del på 890 kr per time for å få montørtimer.</t>
        </is>
      </c>
    </row>
    <row r="49">
      <c r="A49" s="8" t="inlineStr">
        <is>
          <t>Sikkerhetsmargin</t>
        </is>
      </c>
      <c r="B49" s="17">
        <f>(B5-B47)/B5</f>
        <v/>
      </c>
      <c r="D49" s="5" t="inlineStr">
        <is>
          <t>Negativ margin betyr at budsjettet ligger under nullpunktet.</t>
        </is>
      </c>
    </row>
    <row r="51">
      <c r="A51" s="10" t="inlineStr">
        <is>
          <t>Kontroll</t>
        </is>
      </c>
      <c r="B51" s="15">
        <f>IF(ROUND(B47*B6-B46,0)=0,"OK — nullpunktet gir resultat lik null","AVVIK: nullpunktet stemmer ikke med de faste kostnadene")</f>
        <v/>
      </c>
    </row>
    <row r="53">
      <c r="A53" s="10" t="inlineStr">
        <is>
          <t>Prøv dette:</t>
        </is>
      </c>
    </row>
    <row r="54" ht="30" customHeight="1">
      <c r="A54" s="16" t="inlineStr">
        <is>
          <t>Sett bruttofortjenesten (arket Kapitalbehov, B11) til 50 %. Hva skjer med resultatet og nullpunktet? Det er dette Nordlys gjorde i årene etter: i 2026 er den 62,5 %.</t>
        </is>
      </c>
    </row>
    <row r="55" ht="30" customHeight="1">
      <c r="A55" s="16" t="inlineStr">
        <is>
          <t>Fjern lærlingen (sett lønna til 0). Resultatet bedres, men hvem skal gjøre jobben i 2021 når ordrebøkene er fulle?</t>
        </is>
      </c>
    </row>
    <row r="56" ht="30" customHeight="1">
      <c r="A56" s="16" t="inlineStr">
        <is>
          <t>Øk salget til 7 500 000. Nå er resultatet positivt — men se på arket Likviditet før du feirer.</t>
        </is>
      </c>
    </row>
    <row r="58">
      <c r="A58" s="2" t="inlineStr">
        <is>
          <t>Kilde: Hjertnes og Skorpen, Økonomistyring for LØM-emnet, kapittel 2 (kostnader), kapittel 5 (nullpunkt) og kapittel 9 (resultatbudsjett).</t>
        </is>
      </c>
    </row>
  </sheetData>
  <mergeCells count="3">
    <mergeCell ref="A55:D55"/>
    <mergeCell ref="A56:D56"/>
    <mergeCell ref="A54:D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8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0" customWidth="1" min="16" max="16"/>
  </cols>
  <sheetData>
    <row r="1">
      <c r="A1" s="1" t="inlineStr">
        <is>
          <t>Likviditetsbudsjett 2019 — Nordlys Elektro AS, måned for måned (inkl. mva)</t>
        </is>
      </c>
    </row>
    <row r="2">
      <c r="A2" s="2" t="inlineStr">
        <is>
          <t>Holder pengene? Resultatet kan være negativt mens kontoen er full — og omvendt. Gule celler er inndata.</t>
        </is>
      </c>
    </row>
    <row r="4">
      <c r="A4" s="6" t="inlineStr">
        <is>
          <t>1 · Forutsetninger</t>
        </is>
      </c>
      <c r="B4" s="7" t="n"/>
      <c r="C4" s="7" t="n"/>
      <c r="D4" s="7" t="n"/>
    </row>
    <row r="5">
      <c r="A5" s="8" t="inlineStr">
        <is>
          <t>Andel av salget på kreditt</t>
        </is>
      </c>
      <c r="B5" s="17">
        <f>'Kapitalbehov og finansiering'!B16</f>
        <v/>
      </c>
    </row>
    <row ht="92.25" customHeight="true" r="6">
      <c r="A6" s="8" t="inlineStr">
        <is>
          <t>Andel av kredittsalget betalt samme måned</t>
        </is>
      </c>
      <c r="B6" s="12" t="n">
        <v>0.3333333333333333</v>
      </c>
      <c r="D6" s="5" t="inlineStr">
        <is>
          <t>20 dagers kreditt: en tredel kommer inn samme måned, to tredeler måneden etter.</t>
        </is>
      </c>
    </row>
    <row ht="69.75" customHeight="true" r="7">
      <c r="A7" s="8" t="inlineStr">
        <is>
          <t>Varekjøp, andel av salget (ekskl. mva)</t>
        </is>
      </c>
      <c r="B7" s="12" t="n">
        <v>0.55</v>
      </c>
      <c r="D7" s="5" t="inlineStr">
        <is>
          <t>Her lik varekostnaden. Over 55 % bygger lager, under tærer på det.</t>
        </is>
      </c>
    </row>
    <row ht="92.25" customHeight="true" r="8">
      <c r="A8" s="8" t="inlineStr">
        <is>
          <t>Andel av varekjøpet betalt samme måned</t>
        </is>
      </c>
      <c r="B8" s="12" t="n">
        <v>0.5</v>
      </c>
      <c r="D8" s="5" t="inlineStr">
        <is>
          <t>15 dagers kreditt hos grossisten: halvparten samme måned, halvparten neste.</t>
        </is>
      </c>
    </row>
    <row ht="58.5" customHeight="true" r="9">
      <c r="A9" s="8" t="inlineStr">
        <is>
          <t>Arbeidsgiveravgift</t>
        </is>
      </c>
      <c r="B9" s="12" t="n">
        <v>0.141</v>
      </c>
      <c r="D9" s="5" t="inlineStr">
        <is>
          <t>Betales annenhver måned (15. mars, 15. mai …).</t>
        </is>
      </c>
    </row>
    <row ht="126" customHeight="true" r="10">
      <c s="22" r="A10" t="inlineStr">
        <is>
          <t>Pensjon (OTP) og personalforsikring, andel av lønn</t>
        </is>
      </c>
      <c r="B10" s="12" t="n">
        <v>0.05</v>
      </c>
      <c r="D10" s="5" t="inlineStr">
        <is>
          <t>Betales månedlig. Feriepengene (12 %) opptjenes i 2019 og utbetales i juni 2020 — de er en kostnad i år, men ikke en utbetaling.</t>
        </is>
      </c>
    </row>
    <row ht="81" customHeight="true" r="11">
      <c r="A11" s="8" t="inlineStr">
        <is>
          <t>Merverdiavgift</t>
        </is>
      </c>
      <c r="B11" s="12" t="n">
        <v>0.25</v>
      </c>
      <c r="D11" s="5" t="inlineStr">
        <is>
          <t>Terminer på to måneder, betales 10. i måneden etter terminen (her: måneden etter).</t>
        </is>
      </c>
    </row>
    <row ht="58.5" customHeight="true" r="12">
      <c r="A12" s="8" t="inlineStr">
        <is>
          <t>Kassekredittramme</t>
        </is>
      </c>
      <c r="B12" s="9" t="n">
        <v>300000</v>
      </c>
      <c r="D12" s="5" t="inlineStr">
        <is>
          <t>Avtalt med banken. Kontoen kan gå så langt i minus.</t>
        </is>
      </c>
    </row>
    <row ht="24.75" customHeight="true" r="13">
      <c r="A13" s="8" t="inlineStr">
        <is>
          <t>Avdrag på lån per kvartal (fra 2. kvartal)</t>
        </is>
      </c>
      <c r="B13" s="13">
        <f>'Kapitalbehov og finansiering'!B30/20</f>
        <v/>
      </c>
      <c r="D13" s="5" t="inlineStr">
        <is>
          <t>5 år = 20 kvartaler.</t>
        </is>
      </c>
    </row>
    <row ht="58.5" customHeight="true" r="14">
      <c r="A14" s="8" t="inlineStr">
        <is>
          <t>Rente på lån per kvartal</t>
        </is>
      </c>
      <c r="B14" s="13">
        <f>'Kapitalbehov og finansiering'!B30*'Startbudsjett år 1'!B40/4</f>
        <v/>
      </c>
      <c r="D14" s="5" t="inlineStr">
        <is>
          <t>Betales etterskuddsvis i mars, juni, september og desember.</t>
        </is>
      </c>
    </row>
    <row r="16">
      <c r="A16" s="18" t="inlineStr">
        <is>
          <t>Måned</t>
        </is>
      </c>
      <c r="B16" s="19" t="inlineStr">
        <is>
          <t>Jan</t>
        </is>
      </c>
      <c r="C16" s="19" t="inlineStr">
        <is>
          <t>Feb</t>
        </is>
      </c>
      <c r="D16" s="19" t="inlineStr">
        <is>
          <t>Mar</t>
        </is>
      </c>
      <c r="E16" s="19" t="inlineStr">
        <is>
          <t>Apr</t>
        </is>
      </c>
      <c r="F16" s="19" t="inlineStr">
        <is>
          <t>Mai</t>
        </is>
      </c>
      <c r="G16" s="19" t="inlineStr">
        <is>
          <t>Jun</t>
        </is>
      </c>
      <c r="H16" s="19" t="inlineStr">
        <is>
          <t>Jul</t>
        </is>
      </c>
      <c r="I16" s="19" t="inlineStr">
        <is>
          <t>Aug</t>
        </is>
      </c>
      <c r="J16" s="19" t="inlineStr">
        <is>
          <t>Sep</t>
        </is>
      </c>
      <c r="K16" s="19" t="inlineStr">
        <is>
          <t>Okt</t>
        </is>
      </c>
      <c r="L16" s="19" t="inlineStr">
        <is>
          <t>Nov</t>
        </is>
      </c>
      <c r="M16" s="19" t="inlineStr">
        <is>
          <t>Des</t>
        </is>
      </c>
      <c r="N16" s="18" t="inlineStr">
        <is>
          <t>Sum år</t>
        </is>
      </c>
      <c r="O16" s="7" t="n"/>
      <c r="P16" s="18" t="inlineStr">
        <is>
          <t>Forklaring</t>
        </is>
      </c>
    </row>
    <row r="17">
      <c r="A17" s="6" t="inlineStr">
        <is>
          <t>2 · Salg</t>
        </is>
      </c>
      <c r="B17" s="7" t="n"/>
      <c r="C17" s="7" t="n"/>
      <c r="D17" s="7" t="n"/>
    </row>
    <row ht="24.75" customHeight="true" r="18">
      <c r="A18" s="8" t="inlineStr">
        <is>
          <t>Salg ekskl. mva (budsjett)</t>
        </is>
      </c>
      <c r="B18" s="9" t="n">
        <v>450000</v>
      </c>
      <c r="C18" s="9" t="n">
        <v>550000</v>
      </c>
      <c r="D18" s="9" t="n">
        <v>650000</v>
      </c>
      <c r="E18" s="9" t="n">
        <v>650000</v>
      </c>
      <c r="F18" s="9" t="n">
        <v>650000</v>
      </c>
      <c r="G18" s="9" t="n">
        <v>650000</v>
      </c>
      <c r="H18" s="9" t="n">
        <v>350000</v>
      </c>
      <c r="I18" s="9" t="n">
        <v>600000</v>
      </c>
      <c r="J18" s="9" t="n">
        <v>700000</v>
      </c>
      <c r="K18" s="9" t="n">
        <v>700000</v>
      </c>
      <c r="L18" s="9" t="n">
        <v>750000</v>
      </c>
      <c r="M18" s="9" t="n">
        <v>500000</v>
      </c>
      <c r="N18" s="13">
        <f>SUM(B18:M18)</f>
        <v/>
      </c>
      <c r="P18" s="5" t="inlineStr">
        <is>
          <t>Fordelingen over året: rolig januar, stille juli, travel høst. Summen skal stemme med startbudsjettet.</t>
        </is>
      </c>
    </row>
    <row r="19">
      <c r="A19" s="8" t="inlineStr">
        <is>
          <t>Salg inkl. mva</t>
        </is>
      </c>
      <c r="B19" s="13">
        <f>B18*(1+$B$11)</f>
        <v/>
      </c>
      <c r="C19" s="13">
        <f>C18*(1+$B$11)</f>
        <v/>
      </c>
      <c r="D19" s="13">
        <f>D18*(1+$B$11)</f>
        <v/>
      </c>
      <c r="E19" s="13">
        <f>E18*(1+$B$11)</f>
        <v/>
      </c>
      <c r="F19" s="13">
        <f>F18*(1+$B$11)</f>
        <v/>
      </c>
      <c r="G19" s="13">
        <f>G18*(1+$B$11)</f>
        <v/>
      </c>
      <c r="H19" s="13">
        <f>H18*(1+$B$11)</f>
        <v/>
      </c>
      <c r="I19" s="13">
        <f>I18*(1+$B$11)</f>
        <v/>
      </c>
      <c r="J19" s="13">
        <f>J18*(1+$B$11)</f>
        <v/>
      </c>
      <c r="K19" s="13">
        <f>K18*(1+$B$11)</f>
        <v/>
      </c>
      <c r="L19" s="13">
        <f>L18*(1+$B$11)</f>
        <v/>
      </c>
      <c r="M19" s="13">
        <f>M18*(1+$B$11)</f>
        <v/>
      </c>
      <c r="N19" s="13">
        <f>SUM(B19:M19)</f>
        <v/>
      </c>
    </row>
    <row r="20">
      <c r="A20" s="10" t="inlineStr">
        <is>
          <t>Kontroll</t>
        </is>
      </c>
      <c r="B20" s="15">
        <f>IF(N18='Startbudsjett år 1'!B5,"OK — salget stemmer med startbudsjettet","AVVIK: månedene summerer ikke til årssalget")</f>
        <v/>
      </c>
    </row>
    <row r="21"/>
    <row r="22">
      <c r="A22" s="6" t="inlineStr">
        <is>
          <t>3 · Innbetalinger</t>
        </is>
      </c>
      <c r="B22" s="7" t="n"/>
      <c r="C22" s="7" t="n"/>
      <c r="D22" s="7" t="n"/>
    </row>
    <row r="23">
      <c r="A23" s="8" t="inlineStr">
        <is>
          <t>Kontantsalg (kort og Vipps)</t>
        </is>
      </c>
      <c r="B23" s="13">
        <f>B19*(1-$B$5)</f>
        <v/>
      </c>
      <c r="C23" s="13">
        <f>C19*(1-$B$5)</f>
        <v/>
      </c>
      <c r="D23" s="13">
        <f>D19*(1-$B$5)</f>
        <v/>
      </c>
      <c r="E23" s="13">
        <f>E19*(1-$B$5)</f>
        <v/>
      </c>
      <c r="F23" s="13">
        <f>F19*(1-$B$5)</f>
        <v/>
      </c>
      <c r="G23" s="13">
        <f>G19*(1-$B$5)</f>
        <v/>
      </c>
      <c r="H23" s="13">
        <f>H19*(1-$B$5)</f>
        <v/>
      </c>
      <c r="I23" s="13">
        <f>I19*(1-$B$5)</f>
        <v/>
      </c>
      <c r="J23" s="13">
        <f>J19*(1-$B$5)</f>
        <v/>
      </c>
      <c r="K23" s="13">
        <f>K19*(1-$B$5)</f>
        <v/>
      </c>
      <c r="L23" s="13">
        <f>L19*(1-$B$5)</f>
        <v/>
      </c>
      <c r="M23" s="13">
        <f>M19*(1-$B$5)</f>
        <v/>
      </c>
      <c r="N23" s="13">
        <f>SUM(B23:M23)</f>
        <v/>
      </c>
    </row>
    <row ht="24.75" customHeight="true" r="24">
      <c r="A24" s="8" t="inlineStr">
        <is>
          <t>Innbetaling fra kredittkunder</t>
        </is>
      </c>
      <c r="B24" s="13">
        <f>B19*$B$5*$B$6</f>
        <v/>
      </c>
      <c r="C24" s="13">
        <f>C19*$B$5*$B$6+B19*$B$5*(1-$B$6)</f>
        <v/>
      </c>
      <c r="D24" s="13">
        <f>D19*$B$5*$B$6+C19*$B$5*(1-$B$6)</f>
        <v/>
      </c>
      <c r="E24" s="13">
        <f>E19*$B$5*$B$6+D19*$B$5*(1-$B$6)</f>
        <v/>
      </c>
      <c r="F24" s="13">
        <f>F19*$B$5*$B$6+E19*$B$5*(1-$B$6)</f>
        <v/>
      </c>
      <c r="G24" s="13">
        <f>G19*$B$5*$B$6+F19*$B$5*(1-$B$6)</f>
        <v/>
      </c>
      <c r="H24" s="13">
        <f>H19*$B$5*$B$6+G19*$B$5*(1-$B$6)</f>
        <v/>
      </c>
      <c r="I24" s="13">
        <f>I19*$B$5*$B$6+H19*$B$5*(1-$B$6)</f>
        <v/>
      </c>
      <c r="J24" s="13">
        <f>J19*$B$5*$B$6+I19*$B$5*(1-$B$6)</f>
        <v/>
      </c>
      <c r="K24" s="13">
        <f>K19*$B$5*$B$6+J19*$B$5*(1-$B$6)</f>
        <v/>
      </c>
      <c r="L24" s="13">
        <f>L19*$B$5*$B$6+K19*$B$5*(1-$B$6)</f>
        <v/>
      </c>
      <c r="M24" s="13">
        <f>M19*$B$5*$B$6+L19*$B$5*(1-$B$6)</f>
        <v/>
      </c>
      <c r="N24" s="13">
        <f>SUM(B24:M24)</f>
        <v/>
      </c>
      <c r="P24" s="5" t="inlineStr">
        <is>
          <t>Kundene som får faktura. Det siste av desembersalget kommer inn i januar 2020.</t>
        </is>
      </c>
    </row>
    <row r="25">
      <c r="A25" s="8" t="inlineStr">
        <is>
          <t>Egenkapital innbetalt</t>
        </is>
      </c>
      <c r="B25" s="13">
        <f>'Kapitalbehov og finansiering'!B27</f>
        <v/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>
        <f>SUM(B25:M25)</f>
        <v/>
      </c>
      <c r="P25" s="5" t="inlineStr">
        <is>
          <t>Aksjekapital og annen egenkapital, inn i januar.</t>
        </is>
      </c>
    </row>
    <row r="26">
      <c r="A26" s="8" t="inlineStr">
        <is>
          <t>Langsiktig lån utbetalt</t>
        </is>
      </c>
      <c r="B26" s="13">
        <f>'Kapitalbehov og finansiering'!B30</f>
        <v/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>
        <f>SUM(B26:M26)</f>
        <v/>
      </c>
    </row>
    <row ht="24.75" customHeight="true" r="27">
      <c r="A27" s="8" t="inlineStr">
        <is>
          <t>Mva til gode (refusjon)</t>
        </is>
      </c>
      <c r="B27" s="13">
        <f>MAX(0,-B52)</f>
        <v/>
      </c>
      <c r="C27" s="13">
        <f>MAX(0,-C52)</f>
        <v/>
      </c>
      <c r="D27" s="13">
        <f>MAX(0,-D52)</f>
        <v/>
      </c>
      <c r="E27" s="13">
        <f>MAX(0,-E52)</f>
        <v/>
      </c>
      <c r="F27" s="13">
        <f>MAX(0,-F52)</f>
        <v/>
      </c>
      <c r="G27" s="13">
        <f>MAX(0,-G52)</f>
        <v/>
      </c>
      <c r="H27" s="13">
        <f>MAX(0,-H52)</f>
        <v/>
      </c>
      <c r="I27" s="13">
        <f>MAX(0,-I52)</f>
        <v/>
      </c>
      <c r="J27" s="13">
        <f>MAX(0,-J52)</f>
        <v/>
      </c>
      <c r="K27" s="13">
        <f>MAX(0,-K52)</f>
        <v/>
      </c>
      <c r="L27" s="13">
        <f>MAX(0,-L52)</f>
        <v/>
      </c>
      <c r="M27" s="13">
        <f>MAX(0,-M52)</f>
        <v/>
      </c>
      <c r="N27" s="13">
        <f>SUM(B27:M27)</f>
        <v/>
      </c>
      <c r="P27" s="5" t="inlineStr">
        <is>
          <t>Når inngående mva er større enn utgående, får bedriften penger tilbake. Skjer i mars etter utstyrskjøpet i januar.</t>
        </is>
      </c>
    </row>
    <row r="28">
      <c r="A28" s="10" t="inlineStr">
        <is>
          <t>Sum innbetalinger</t>
        </is>
      </c>
      <c r="B28" s="11">
        <f>SUM(B23:B27)</f>
        <v/>
      </c>
      <c r="C28" s="11">
        <f>SUM(C23:C27)</f>
        <v/>
      </c>
      <c r="D28" s="11">
        <f>SUM(D23:D27)</f>
        <v/>
      </c>
      <c r="E28" s="11">
        <f>SUM(E23:E27)</f>
        <v/>
      </c>
      <c r="F28" s="11">
        <f>SUM(F23:F27)</f>
        <v/>
      </c>
      <c r="G28" s="11">
        <f>SUM(G23:G27)</f>
        <v/>
      </c>
      <c r="H28" s="11">
        <f>SUM(H23:H27)</f>
        <v/>
      </c>
      <c r="I28" s="11">
        <f>SUM(I23:I27)</f>
        <v/>
      </c>
      <c r="J28" s="11">
        <f>SUM(J23:J27)</f>
        <v/>
      </c>
      <c r="K28" s="11">
        <f>SUM(K23:K27)</f>
        <v/>
      </c>
      <c r="L28" s="11">
        <f>SUM(L23:L27)</f>
        <v/>
      </c>
      <c r="M28" s="11">
        <f>SUM(M23:M27)</f>
        <v/>
      </c>
      <c r="N28" s="11">
        <f>SUM(B28:M28)</f>
        <v/>
      </c>
    </row>
    <row r="29"/>
    <row r="30">
      <c r="A30" s="6" t="inlineStr">
        <is>
          <t>4 · Utbetalinger</t>
        </is>
      </c>
      <c r="B30" s="7" t="n"/>
      <c r="C30" s="7" t="n"/>
      <c r="D30" s="7" t="n"/>
    </row>
    <row r="31">
      <c r="A31" s="8" t="inlineStr">
        <is>
          <t>Investering i verktøy, utstyr og bil (inkl. mva)</t>
        </is>
      </c>
      <c r="B31" s="13">
        <f>'Kapitalbehov og finansiering'!B7*(1+$B$11)</f>
        <v/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>
        <f>SUM(B31:M31)</f>
        <v/>
      </c>
      <c r="P31" s="5" t="inlineStr">
        <is>
          <t>Betales i januar, inkl. mva. Mva-delen kommer tilbake i mars.</t>
        </is>
      </c>
    </row>
    <row r="32">
      <c r="A32" s="8" t="inlineStr">
        <is>
          <t>Varekjøp inkl. mva</t>
        </is>
      </c>
      <c r="B32" s="13">
        <f>B18*$B$7*(1+$B$11)</f>
        <v/>
      </c>
      <c r="C32" s="13">
        <f>C18*$B$7*(1+$B$11)</f>
        <v/>
      </c>
      <c r="D32" s="13">
        <f>D18*$B$7*(1+$B$11)</f>
        <v/>
      </c>
      <c r="E32" s="13">
        <f>E18*$B$7*(1+$B$11)</f>
        <v/>
      </c>
      <c r="F32" s="13">
        <f>F18*$B$7*(1+$B$11)</f>
        <v/>
      </c>
      <c r="G32" s="13">
        <f>G18*$B$7*(1+$B$11)</f>
        <v/>
      </c>
      <c r="H32" s="13">
        <f>H18*$B$7*(1+$B$11)</f>
        <v/>
      </c>
      <c r="I32" s="13">
        <f>I18*$B$7*(1+$B$11)</f>
        <v/>
      </c>
      <c r="J32" s="13">
        <f>J18*$B$7*(1+$B$11)</f>
        <v/>
      </c>
      <c r="K32" s="13">
        <f>K18*$B$7*(1+$B$11)</f>
        <v/>
      </c>
      <c r="L32" s="13">
        <f>L18*$B$7*(1+$B$11)</f>
        <v/>
      </c>
      <c r="M32" s="13">
        <f>M18*$B$7*(1+$B$11)</f>
        <v/>
      </c>
      <c r="N32" s="13">
        <f>SUM(B32:M32)</f>
        <v/>
      </c>
    </row>
    <row ht="24.75" customHeight="true" r="33">
      <c r="A33" s="8" t="inlineStr">
        <is>
          <t>Betalt til grossist</t>
        </is>
      </c>
      <c r="B33" s="13">
        <f>B32*$B$8</f>
        <v/>
      </c>
      <c r="C33" s="13">
        <f>C32*$B$8+B32*(1-$B$8)</f>
        <v/>
      </c>
      <c r="D33" s="13">
        <f>D32*$B$8+C32*(1-$B$8)</f>
        <v/>
      </c>
      <c r="E33" s="13">
        <f>E32*$B$8+D32*(1-$B$8)</f>
        <v/>
      </c>
      <c r="F33" s="13">
        <f>F32*$B$8+E32*(1-$B$8)</f>
        <v/>
      </c>
      <c r="G33" s="13">
        <f>G32*$B$8+F32*(1-$B$8)</f>
        <v/>
      </c>
      <c r="H33" s="13">
        <f>H32*$B$8+G32*(1-$B$8)</f>
        <v/>
      </c>
      <c r="I33" s="13">
        <f>I32*$B$8+H32*(1-$B$8)</f>
        <v/>
      </c>
      <c r="J33" s="13">
        <f>J32*$B$8+I32*(1-$B$8)</f>
        <v/>
      </c>
      <c r="K33" s="13">
        <f>K32*$B$8+J32*(1-$B$8)</f>
        <v/>
      </c>
      <c r="L33" s="13">
        <f>L32*$B$8+K32*(1-$B$8)</f>
        <v/>
      </c>
      <c r="M33" s="13">
        <f>M32*$B$8+L32*(1-$B$8)</f>
        <v/>
      </c>
      <c r="N33" s="13">
        <f>SUM(B33:M33)</f>
        <v/>
      </c>
      <c r="P33" s="5" t="inlineStr">
        <is>
          <t>Halvparten samme måned, resten neste måned. Desemberkjøpet betales ferdig i januar 2020.</t>
        </is>
      </c>
    </row>
    <row r="34">
      <c r="A34" s="8" t="inlineStr">
        <is>
          <t>Lønn utbetalt</t>
        </is>
      </c>
      <c r="B34" s="13">
        <f>'Startbudsjett år 1'!$B$15/12</f>
        <v/>
      </c>
      <c r="C34" s="13">
        <f>'Startbudsjett år 1'!$B$15/12</f>
        <v/>
      </c>
      <c r="D34" s="13">
        <f>'Startbudsjett år 1'!$B$15/12</f>
        <v/>
      </c>
      <c r="E34" s="13">
        <f>'Startbudsjett år 1'!$B$15/12</f>
        <v/>
      </c>
      <c r="F34" s="13">
        <f>'Startbudsjett år 1'!$B$15/12</f>
        <v/>
      </c>
      <c r="G34" s="13">
        <f>'Startbudsjett år 1'!$B$15/12</f>
        <v/>
      </c>
      <c r="H34" s="13">
        <f>'Startbudsjett år 1'!$B$15/12</f>
        <v/>
      </c>
      <c r="I34" s="13">
        <f>'Startbudsjett år 1'!$B$15/12</f>
        <v/>
      </c>
      <c r="J34" s="13">
        <f>'Startbudsjett år 1'!$B$15/12</f>
        <v/>
      </c>
      <c r="K34" s="13">
        <f>'Startbudsjett år 1'!$B$15/12</f>
        <v/>
      </c>
      <c r="L34" s="13">
        <f>'Startbudsjett år 1'!$B$15/12</f>
        <v/>
      </c>
      <c r="M34" s="13">
        <f>'Startbudsjett år 1'!$B$15/12</f>
        <v/>
      </c>
      <c r="N34" s="13">
        <f>SUM(B34:M34)</f>
        <v/>
      </c>
      <c r="P34" s="5" t="inlineStr">
        <is>
          <t>Lik lønn hver måned. Feriepengene utbetales først i 2020.</t>
        </is>
      </c>
    </row>
    <row r="35">
      <c r="A35" s="8" t="inlineStr">
        <is>
          <t>Arbeidsgiveravgift</t>
        </is>
      </c>
      <c r="B35" s="13" t="n">
        <v>0</v>
      </c>
      <c r="C35" s="13">
        <f>(C34+B34)*$B$9</f>
        <v/>
      </c>
      <c r="D35" s="13" t="n">
        <v>0</v>
      </c>
      <c r="E35" s="13">
        <f>(E34+D34)*$B$9</f>
        <v/>
      </c>
      <c r="F35" s="13" t="n">
        <v>0</v>
      </c>
      <c r="G35" s="13">
        <f>(G34+F34)*$B$9</f>
        <v/>
      </c>
      <c r="H35" s="13" t="n">
        <v>0</v>
      </c>
      <c r="I35" s="13">
        <f>(I34+H34)*$B$9</f>
        <v/>
      </c>
      <c r="J35" s="13" t="n">
        <v>0</v>
      </c>
      <c r="K35" s="13">
        <f>(K34+J34)*$B$9</f>
        <v/>
      </c>
      <c r="L35" s="13" t="n">
        <v>0</v>
      </c>
      <c r="M35" s="13">
        <f>(M34+L34)*$B$9</f>
        <v/>
      </c>
      <c r="N35" s="13">
        <f>SUM(B35:M35)</f>
        <v/>
      </c>
      <c r="P35" s="5" t="inlineStr">
        <is>
          <t>To måneders lønn × 14,1 %, betalt annenhver måned.</t>
        </is>
      </c>
    </row>
    <row r="36">
      <c r="A36" s="8" t="inlineStr">
        <is>
          <t>Pensjon og personalforsikring</t>
        </is>
      </c>
      <c r="B36" s="13">
        <f>B34*$B$10</f>
        <v/>
      </c>
      <c r="C36" s="13">
        <f>C34*$B$10</f>
        <v/>
      </c>
      <c r="D36" s="13">
        <f>D34*$B$10</f>
        <v/>
      </c>
      <c r="E36" s="13">
        <f>E34*$B$10</f>
        <v/>
      </c>
      <c r="F36" s="13">
        <f>F34*$B$10</f>
        <v/>
      </c>
      <c r="G36" s="13">
        <f>G34*$B$10</f>
        <v/>
      </c>
      <c r="H36" s="13">
        <f>H34*$B$10</f>
        <v/>
      </c>
      <c r="I36" s="13">
        <f>I34*$B$10</f>
        <v/>
      </c>
      <c r="J36" s="13">
        <f>J34*$B$10</f>
        <v/>
      </c>
      <c r="K36" s="13">
        <f>K34*$B$10</f>
        <v/>
      </c>
      <c r="L36" s="13">
        <f>L34*$B$10</f>
        <v/>
      </c>
      <c r="M36" s="13">
        <f>M34*$B$10</f>
        <v/>
      </c>
      <c r="N36" s="13">
        <f>SUM(B36:M36)</f>
        <v/>
      </c>
    </row>
    <row r="37">
      <c r="A37" s="8" t="inlineStr">
        <is>
          <t>Andre driftskostnader inkl. mva</t>
        </is>
      </c>
      <c r="B37" s="13">
        <f>'Startbudsjett år 1'!$B$29/12*(1+$B$11)</f>
        <v/>
      </c>
      <c r="C37" s="13">
        <f>'Startbudsjett år 1'!$B$29/12*(1+$B$11)</f>
        <v/>
      </c>
      <c r="D37" s="13">
        <f>'Startbudsjett år 1'!$B$29/12*(1+$B$11)</f>
        <v/>
      </c>
      <c r="E37" s="13">
        <f>'Startbudsjett år 1'!$B$29/12*(1+$B$11)</f>
        <v/>
      </c>
      <c r="F37" s="13">
        <f>'Startbudsjett år 1'!$B$29/12*(1+$B$11)</f>
        <v/>
      </c>
      <c r="G37" s="13">
        <f>'Startbudsjett år 1'!$B$29/12*(1+$B$11)</f>
        <v/>
      </c>
      <c r="H37" s="13">
        <f>'Startbudsjett år 1'!$B$29/12*(1+$B$11)</f>
        <v/>
      </c>
      <c r="I37" s="13">
        <f>'Startbudsjett år 1'!$B$29/12*(1+$B$11)</f>
        <v/>
      </c>
      <c r="J37" s="13">
        <f>'Startbudsjett år 1'!$B$29/12*(1+$B$11)</f>
        <v/>
      </c>
      <c r="K37" s="13">
        <f>'Startbudsjett år 1'!$B$29/12*(1+$B$11)</f>
        <v/>
      </c>
      <c r="L37" s="13">
        <f>'Startbudsjett år 1'!$B$29/12*(1+$B$11)</f>
        <v/>
      </c>
      <c r="M37" s="13">
        <f>'Startbudsjett år 1'!$B$29/12*(1+$B$11)</f>
        <v/>
      </c>
      <c r="N37" s="13">
        <f>SUM(B37:M37)</f>
        <v/>
      </c>
      <c r="P37" s="5" t="inlineStr">
        <is>
          <t>Husleie, forsikring, regnskap, telefon, bil — fordelt likt.</t>
        </is>
      </c>
    </row>
    <row ht="24.75" customHeight="true" r="38">
      <c r="A38" s="8" t="inlineStr">
        <is>
          <t>Avdrag på lån</t>
        </is>
      </c>
      <c r="B38" s="13" t="n">
        <v>0</v>
      </c>
      <c r="C38" s="13" t="n">
        <v>0</v>
      </c>
      <c r="D38" s="13" t="n">
        <v>0</v>
      </c>
      <c r="E38" s="13">
        <f>$B$13</f>
        <v/>
      </c>
      <c r="F38" s="13" t="n">
        <v>0</v>
      </c>
      <c r="G38" s="13" t="n">
        <v>0</v>
      </c>
      <c r="H38" s="13">
        <f>$B$13</f>
        <v/>
      </c>
      <c r="I38" s="13" t="n">
        <v>0</v>
      </c>
      <c r="J38" s="13" t="n">
        <v>0</v>
      </c>
      <c r="K38" s="13">
        <f>$B$13</f>
        <v/>
      </c>
      <c r="L38" s="13" t="n">
        <v>0</v>
      </c>
      <c r="M38" s="13" t="n">
        <v>0</v>
      </c>
      <c r="N38" s="13">
        <f>SUM(B38:M38)</f>
        <v/>
      </c>
      <c r="P38" s="5" t="inlineStr">
        <is>
          <t>Første avdrag i april. I desember er neste avdrag like rundt hjørnet.</t>
        </is>
      </c>
    </row>
    <row r="39">
      <c r="A39" s="8" t="inlineStr">
        <is>
          <t>Renter på lån</t>
        </is>
      </c>
      <c r="B39" s="13" t="n">
        <v>0</v>
      </c>
      <c r="C39" s="13" t="n">
        <v>0</v>
      </c>
      <c r="D39" s="13">
        <f>$B$14</f>
        <v/>
      </c>
      <c r="E39" s="13" t="n">
        <v>0</v>
      </c>
      <c r="F39" s="13" t="n">
        <v>0</v>
      </c>
      <c r="G39" s="13">
        <f>$B$14</f>
        <v/>
      </c>
      <c r="H39" s="13" t="n">
        <v>0</v>
      </c>
      <c r="I39" s="13" t="n">
        <v>0</v>
      </c>
      <c r="J39" s="13">
        <f>$B$14</f>
        <v/>
      </c>
      <c r="K39" s="13" t="n">
        <v>0</v>
      </c>
      <c r="L39" s="13" t="n">
        <v>0</v>
      </c>
      <c r="M39" s="13">
        <f>$B$14</f>
        <v/>
      </c>
      <c r="N39" s="13">
        <f>SUM(B39:M39)</f>
        <v/>
      </c>
    </row>
    <row ht="24.75" customHeight="true" r="40">
      <c r="A40" s="8" t="inlineStr">
        <is>
          <t>Mva innbetalt</t>
        </is>
      </c>
      <c r="B40" s="13">
        <f>MAX(0,B52)</f>
        <v/>
      </c>
      <c r="C40" s="13">
        <f>MAX(0,C52)</f>
        <v/>
      </c>
      <c r="D40" s="13">
        <f>MAX(0,D52)</f>
        <v/>
      </c>
      <c r="E40" s="13">
        <f>MAX(0,E52)</f>
        <v/>
      </c>
      <c r="F40" s="13">
        <f>MAX(0,F52)</f>
        <v/>
      </c>
      <c r="G40" s="13">
        <f>MAX(0,G52)</f>
        <v/>
      </c>
      <c r="H40" s="13">
        <f>MAX(0,H52)</f>
        <v/>
      </c>
      <c r="I40" s="13">
        <f>MAX(0,I52)</f>
        <v/>
      </c>
      <c r="J40" s="13">
        <f>MAX(0,J52)</f>
        <v/>
      </c>
      <c r="K40" s="13">
        <f>MAX(0,K52)</f>
        <v/>
      </c>
      <c r="L40" s="13">
        <f>MAX(0,L52)</f>
        <v/>
      </c>
      <c r="M40" s="13">
        <f>MAX(0,M52)</f>
        <v/>
      </c>
      <c r="N40" s="13">
        <f>SUM(B40:M40)</f>
        <v/>
      </c>
      <c r="P40" s="5" t="inlineStr">
        <is>
          <t>Terminen januar–februar betales i mars, mars–april i mai, og så videre.</t>
        </is>
      </c>
    </row>
    <row ht="24.75" customHeight="true" r="41">
      <c r="A41" s="10" t="inlineStr">
        <is>
          <t>Sum utbetalinger</t>
        </is>
      </c>
      <c r="B41" s="11">
        <f>SUM(B31:B40)-B32</f>
        <v/>
      </c>
      <c r="C41" s="11">
        <f>SUM(C31:C40)-C32</f>
        <v/>
      </c>
      <c r="D41" s="11">
        <f>SUM(D31:D40)-D32</f>
        <v/>
      </c>
      <c r="E41" s="11">
        <f>SUM(E31:E40)-E32</f>
        <v/>
      </c>
      <c r="F41" s="11">
        <f>SUM(F31:F40)-F32</f>
        <v/>
      </c>
      <c r="G41" s="11">
        <f>SUM(G31:G40)-G32</f>
        <v/>
      </c>
      <c r="H41" s="11">
        <f>SUM(H31:H40)-H32</f>
        <v/>
      </c>
      <c r="I41" s="11">
        <f>SUM(I31:I40)-I32</f>
        <v/>
      </c>
      <c r="J41" s="11">
        <f>SUM(J31:J40)-J32</f>
        <v/>
      </c>
      <c r="K41" s="11">
        <f>SUM(K31:K40)-K32</f>
        <v/>
      </c>
      <c r="L41" s="11">
        <f>SUM(L31:L40)-L32</f>
        <v/>
      </c>
      <c r="M41" s="11">
        <f>SUM(M31:M40)-M32</f>
        <v/>
      </c>
      <c r="N41" s="11">
        <f>SUM(B41:M41)</f>
        <v/>
      </c>
      <c r="P41" s="5" t="inlineStr">
        <is>
          <t>Varekjøp inkl. mva er et hjelpetall og telles ikke med — det er «Betalt til grossist» som går ut av kontoen.</t>
        </is>
      </c>
    </row>
    <row r="42"/>
    <row r="43">
      <c r="A43" s="6" t="inlineStr">
        <is>
          <t>5 · Kontoen</t>
        </is>
      </c>
      <c r="B43" s="7" t="n"/>
      <c r="C43" s="7" t="n"/>
      <c r="D43" s="7" t="n"/>
    </row>
    <row r="44">
      <c r="A44" s="8" t="inlineStr">
        <is>
          <t>Beholdning ved månedens start</t>
        </is>
      </c>
      <c r="B44" s="13" t="n">
        <v>0</v>
      </c>
      <c r="C44" s="13">
        <f>B46</f>
        <v/>
      </c>
      <c r="D44" s="13">
        <f>C46</f>
        <v/>
      </c>
      <c r="E44" s="13">
        <f>D46</f>
        <v/>
      </c>
      <c r="F44" s="13">
        <f>E46</f>
        <v/>
      </c>
      <c r="G44" s="13">
        <f>F46</f>
        <v/>
      </c>
      <c r="H44" s="13">
        <f>G46</f>
        <v/>
      </c>
      <c r="I44" s="13">
        <f>H46</f>
        <v/>
      </c>
      <c r="J44" s="13">
        <f>I46</f>
        <v/>
      </c>
      <c r="K44" s="13">
        <f>J46</f>
        <v/>
      </c>
      <c r="L44" s="13">
        <f>K46</f>
        <v/>
      </c>
      <c r="M44" s="13">
        <f>L46</f>
        <v/>
      </c>
    </row>
    <row r="45">
      <c r="A45" s="8" t="inlineStr">
        <is>
          <t>Inn − ut i måneden</t>
        </is>
      </c>
      <c r="B45" s="13">
        <f>B28-B41</f>
        <v/>
      </c>
      <c r="C45" s="13">
        <f>C28-C41</f>
        <v/>
      </c>
      <c r="D45" s="13">
        <f>D28-D41</f>
        <v/>
      </c>
      <c r="E45" s="13">
        <f>E28-E41</f>
        <v/>
      </c>
      <c r="F45" s="13">
        <f>F28-F41</f>
        <v/>
      </c>
      <c r="G45" s="13">
        <f>G28-G41</f>
        <v/>
      </c>
      <c r="H45" s="13">
        <f>H28-H41</f>
        <v/>
      </c>
      <c r="I45" s="13">
        <f>I28-I41</f>
        <v/>
      </c>
      <c r="J45" s="13">
        <f>J28-J41</f>
        <v/>
      </c>
      <c r="K45" s="13">
        <f>K28-K41</f>
        <v/>
      </c>
      <c r="L45" s="13">
        <f>L28-L41</f>
        <v/>
      </c>
      <c r="M45" s="13">
        <f>M28-M41</f>
        <v/>
      </c>
      <c r="N45" s="13">
        <f>SUM(B45:M45)</f>
        <v/>
      </c>
    </row>
    <row r="46">
      <c r="A46" s="10" t="inlineStr">
        <is>
          <t>Beholdning ved månedens slutt</t>
        </is>
      </c>
      <c r="B46" s="11">
        <f>B44+B45</f>
        <v/>
      </c>
      <c r="C46" s="11">
        <f>C44+C45</f>
        <v/>
      </c>
      <c r="D46" s="11">
        <f>D44+D45</f>
        <v/>
      </c>
      <c r="E46" s="11">
        <f>E44+E45</f>
        <v/>
      </c>
      <c r="F46" s="11">
        <f>F44+F45</f>
        <v/>
      </c>
      <c r="G46" s="11">
        <f>G44+G45</f>
        <v/>
      </c>
      <c r="H46" s="11">
        <f>H44+H45</f>
        <v/>
      </c>
      <c r="I46" s="11">
        <f>I44+I45</f>
        <v/>
      </c>
      <c r="J46" s="11">
        <f>J44+J45</f>
        <v/>
      </c>
      <c r="K46" s="11">
        <f>K44+K45</f>
        <v/>
      </c>
      <c r="L46" s="11">
        <f>L44+L45</f>
        <v/>
      </c>
      <c r="M46" s="11">
        <f>M44+M45</f>
        <v/>
      </c>
      <c r="P46" s="5" t="inlineStr">
        <is>
          <t>Negativt tall = trekk på kassekreditten.</t>
        </is>
      </c>
    </row>
    <row ht="24.75" customHeight="true" r="47">
      <c r="A47" s="8" t="inlineStr">
        <is>
          <t>Ledig på kassekreditten</t>
        </is>
      </c>
      <c r="B47" s="13">
        <f>$B$12+B46</f>
        <v/>
      </c>
      <c r="C47" s="13">
        <f>$B$12+C46</f>
        <v/>
      </c>
      <c r="D47" s="13">
        <f>$B$12+D46</f>
        <v/>
      </c>
      <c r="E47" s="13">
        <f>$B$12+E46</f>
        <v/>
      </c>
      <c r="F47" s="13">
        <f>$B$12+F46</f>
        <v/>
      </c>
      <c r="G47" s="13">
        <f>$B$12+G46</f>
        <v/>
      </c>
      <c r="H47" s="13">
        <f>$B$12+H46</f>
        <v/>
      </c>
      <c r="I47" s="13">
        <f>$B$12+I46</f>
        <v/>
      </c>
      <c r="J47" s="13">
        <f>$B$12+J46</f>
        <v/>
      </c>
      <c r="K47" s="13">
        <f>$B$12+K46</f>
        <v/>
      </c>
      <c r="L47" s="13">
        <f>$B$12+L46</f>
        <v/>
      </c>
      <c r="M47" s="13">
        <f>$B$12+M46</f>
        <v/>
      </c>
      <c r="P47" s="5" t="inlineStr">
        <is>
          <t>Blir dette negativt, har Nordlys ikke penger til å betale regningene.</t>
        </is>
      </c>
    </row>
    <row r="48"/>
    <row r="49">
      <c r="A49" s="6" t="inlineStr">
        <is>
          <t>6 · Mva-regnskap (hjelpetall)</t>
        </is>
      </c>
      <c r="B49" s="7" t="n"/>
      <c r="C49" s="7" t="n"/>
      <c r="D49" s="7" t="n"/>
    </row>
    <row r="50">
      <c r="A50" s="8" t="inlineStr">
        <is>
          <t>Utgående mva (på salget)</t>
        </is>
      </c>
      <c r="B50" s="13">
        <f>B18*$B$11</f>
        <v/>
      </c>
      <c r="C50" s="13">
        <f>C18*$B$11</f>
        <v/>
      </c>
      <c r="D50" s="13">
        <f>D18*$B$11</f>
        <v/>
      </c>
      <c r="E50" s="13">
        <f>E18*$B$11</f>
        <v/>
      </c>
      <c r="F50" s="13">
        <f>F18*$B$11</f>
        <v/>
      </c>
      <c r="G50" s="13">
        <f>G18*$B$11</f>
        <v/>
      </c>
      <c r="H50" s="13">
        <f>H18*$B$11</f>
        <v/>
      </c>
      <c r="I50" s="13">
        <f>I18*$B$11</f>
        <v/>
      </c>
      <c r="J50" s="13">
        <f>J18*$B$11</f>
        <v/>
      </c>
      <c r="K50" s="13">
        <f>K18*$B$11</f>
        <v/>
      </c>
      <c r="L50" s="13">
        <f>L18*$B$11</f>
        <v/>
      </c>
      <c r="M50" s="13">
        <f>M18*$B$11</f>
        <v/>
      </c>
      <c r="N50" s="13">
        <f>SUM(B50:M50)</f>
        <v/>
      </c>
    </row>
    <row r="51">
      <c r="A51" s="8" t="inlineStr">
        <is>
          <t>Inngående mva (på kjøp, drift og investering)</t>
        </is>
      </c>
      <c r="B51" s="13">
        <f>(B18*$B$7+'Startbudsjett år 1'!$B$29/12+'Kapitalbehov og finansiering'!B7)*$B$11</f>
        <v/>
      </c>
      <c r="C51" s="13">
        <f>(C18*$B$7+'Startbudsjett år 1'!$B$29/12)*$B$11</f>
        <v/>
      </c>
      <c r="D51" s="13">
        <f>(D18*$B$7+'Startbudsjett år 1'!$B$29/12)*$B$11</f>
        <v/>
      </c>
      <c r="E51" s="13">
        <f>(E18*$B$7+'Startbudsjett år 1'!$B$29/12)*$B$11</f>
        <v/>
      </c>
      <c r="F51" s="13">
        <f>(F18*$B$7+'Startbudsjett år 1'!$B$29/12)*$B$11</f>
        <v/>
      </c>
      <c r="G51" s="13">
        <f>(G18*$B$7+'Startbudsjett år 1'!$B$29/12)*$B$11</f>
        <v/>
      </c>
      <c r="H51" s="13">
        <f>(H18*$B$7+'Startbudsjett år 1'!$B$29/12)*$B$11</f>
        <v/>
      </c>
      <c r="I51" s="13">
        <f>(I18*$B$7+'Startbudsjett år 1'!$B$29/12)*$B$11</f>
        <v/>
      </c>
      <c r="J51" s="13">
        <f>(J18*$B$7+'Startbudsjett år 1'!$B$29/12)*$B$11</f>
        <v/>
      </c>
      <c r="K51" s="13">
        <f>(K18*$B$7+'Startbudsjett år 1'!$B$29/12)*$B$11</f>
        <v/>
      </c>
      <c r="L51" s="13">
        <f>(L18*$B$7+'Startbudsjett år 1'!$B$29/12)*$B$11</f>
        <v/>
      </c>
      <c r="M51" s="13">
        <f>(M18*$B$7+'Startbudsjett år 1'!$B$29/12)*$B$11</f>
        <v/>
      </c>
      <c r="N51" s="13">
        <f>SUM(B51:M51)</f>
        <v/>
      </c>
    </row>
    <row ht="27" customHeight="true" r="52">
      <c s="22" r="A52" t="inlineStr">
        <is>
          <t>Mva å betale (+) eller få igjen (−) for terminen, forfall</t>
        </is>
      </c>
      <c r="B52" s="13" t="n">
        <v>0</v>
      </c>
      <c r="C52" s="13" t="n">
        <v>0</v>
      </c>
      <c r="D52" s="13">
        <f>C50+B50-C51-B51</f>
        <v/>
      </c>
      <c r="E52" s="13" t="n">
        <v>0</v>
      </c>
      <c r="F52" s="13">
        <f>E50+D50-E51-D51</f>
        <v/>
      </c>
      <c r="G52" s="13" t="n">
        <v>0</v>
      </c>
      <c r="H52" s="13">
        <f>G50+F50-G51-F51</f>
        <v/>
      </c>
      <c r="I52" s="13" t="n">
        <v>0</v>
      </c>
      <c r="J52" s="13">
        <f>I50+H50-I51-H51</f>
        <v/>
      </c>
      <c r="K52" s="13" t="n">
        <v>0</v>
      </c>
      <c r="L52" s="13">
        <f>K50+J50-K51-J51</f>
        <v/>
      </c>
      <c r="M52" s="13" t="n">
        <v>0</v>
      </c>
      <c r="P52" s="5" t="inlineStr">
        <is>
          <t>Settes i forfallsmåneden. Terminen november–desember forfaller i februar 2020.</t>
        </is>
      </c>
    </row>
    <row r="53"/>
    <row r="54">
      <c r="A54" s="6" t="inlineStr">
        <is>
          <t>7 · Nøkkeltall for året</t>
        </is>
      </c>
      <c r="B54" s="7" t="n"/>
      <c r="C54" s="7" t="n"/>
      <c r="D54" s="7" t="n"/>
    </row>
    <row ht="69.75" customHeight="true" r="55">
      <c r="A55" s="8" t="inlineStr">
        <is>
          <t>Laveste beholdning i året</t>
        </is>
      </c>
      <c r="B55" s="13">
        <f>MIN(B46:M46)</f>
        <v/>
      </c>
      <c r="D55" s="5" t="inlineStr">
        <is>
          <t>Det verste punktet. Her må kassekreditten være på plass før det skjer.</t>
        </is>
      </c>
    </row>
    <row r="56">
      <c r="A56" s="8" t="inlineStr">
        <is>
          <t>Måned med laveste beholdning</t>
        </is>
      </c>
      <c r="B56" s="20">
        <f>INDEX(B16:M16,MATCH(B55,B46:M46,0))</f>
        <v/>
      </c>
    </row>
    <row ht="69.75" customHeight="true" r="57">
      <c r="A57" s="8" t="inlineStr">
        <is>
          <t>Beholdning 31. desember</t>
        </is>
      </c>
      <c r="B57" s="13">
        <f>M46</f>
        <v/>
      </c>
      <c r="D57" s="5" t="inlineStr">
        <is>
          <t>Positiv — selv om resultatet i startbudsjettet er negativt. Se forklaringen under.</t>
        </is>
      </c>
    </row>
    <row r="58">
      <c r="A58" s="8" t="inlineStr">
        <is>
          <t>Resultat før skatt fra startbudsjettet</t>
        </is>
      </c>
      <c r="B58" s="13">
        <f>'Startbudsjett år 1'!B43</f>
        <v/>
      </c>
    </row>
    <row ht="204.75" customHeight="true" r="59">
      <c s="21" r="A59" t="inlineStr">
        <is>
          <t>Forskjell: penger som tilhører andre eller kommer senere</t>
        </is>
      </c>
      <c r="B59" s="11">
        <f>B57-B58</f>
        <v/>
      </c>
      <c r="D59" s="5" t="inlineStr">
        <is>
          <t>Avskrivninger er ikke utbetalinger. Feriepenger, mva for november–desember og halve desemberkjøpet er ikke betalt ennå. Egenkapital og lån kom inn, investeringen gikk ut. Alt dette forfaller i 2020 — da snur det.</t>
        </is>
      </c>
    </row>
    <row r="61">
      <c r="A61" s="10" t="inlineStr">
        <is>
          <t>Kontroll</t>
        </is>
      </c>
      <c r="B61" s="15">
        <f>IF(ROUND(M46-(N28-N41),0)=0,"OK — kontoen stemmer med sum inn og ut","AVVIK: kontoen stemmer ikke med sum inn og ut")</f>
        <v/>
      </c>
    </row>
    <row r="63">
      <c r="A63" s="10" t="inlineStr">
        <is>
          <t>Prøv dette:</t>
        </is>
      </c>
    </row>
    <row ht="17.25" customHeight="true" r="64">
      <c r="A64" s="16" t="inlineStr">
        <is>
          <t>Sett kassekredittrammen (B12) til 0. Hvilken måned går det galt, og hvor mye mangler?</t>
        </is>
      </c>
    </row>
    <row ht="17.25" customHeight="true" r="65">
      <c r="A65" s="16" t="inlineStr">
        <is>
          <t>Flytt 200 000 av salget fra november til januar (rad 18). Hva skjer med bunnen?</t>
        </is>
      </c>
    </row>
    <row ht="17.25" customHeight="true" r="66">
      <c r="A66" s="16" t="inlineStr">
        <is>
          <t>Sett andelen kredittsalg (arket Kapitalbehov, B16) til 60 % — slik det ble da Nordlys begynte å jobbe for entreprenører. Se hva det gjør med januar og februar.</t>
        </is>
      </c>
    </row>
    <row r="68">
      <c r="A68" s="2" t="inlineStr">
        <is>
          <t>Kilde: Hjertnes og Skorpen, Økonomistyring for LØM-emnet, kapittel 9 (likviditetsbudsjett). Terminer for mva: skatteetaten.no.</t>
        </is>
      </c>
    </row>
  </sheetData>
  <mergeCells count="3">
    <mergeCell ref="A64:P64"/>
    <mergeCell ref="A65:P65"/>
    <mergeCell ref="A66:P6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56" customWidth="1" min="4" max="4"/>
  </cols>
  <sheetData>
    <row r="1">
      <c r="A1" s="1" t="inlineStr">
        <is>
          <t>Din egen bedrift — kapitalbehov og startbudsjett</t>
        </is>
      </c>
    </row>
    <row r="2">
      <c r="A2" s="2" t="inlineStr">
        <is>
          <t>Fyll inn de gule cellene for en bedrift du kunne tenke deg å starte. Bruk Nordlys-arkene som fasit for hvordan det henger sammen.</t>
        </is>
      </c>
    </row>
    <row r="4">
      <c r="A4" s="6" t="inlineStr">
        <is>
          <t>1 · Kapitalbehov</t>
        </is>
      </c>
      <c r="B4" s="7" t="n"/>
      <c r="C4" s="7" t="n"/>
      <c r="D4" s="7" t="n"/>
    </row>
    <row r="5">
      <c r="A5" s="8" t="inlineStr">
        <is>
          <t>Verktøy og utstyr</t>
        </is>
      </c>
      <c r="B5" s="9" t="n">
        <v>0</v>
      </c>
    </row>
    <row r="6">
      <c r="A6" s="8" t="inlineStr">
        <is>
          <t>Bil</t>
        </is>
      </c>
      <c r="B6" s="9" t="n">
        <v>0</v>
      </c>
    </row>
    <row r="7">
      <c r="A7" s="8" t="inlineStr">
        <is>
          <t>Annet (innredning, IT, lokaler)</t>
        </is>
      </c>
      <c r="B7" s="9" t="n">
        <v>0</v>
      </c>
    </row>
    <row r="8">
      <c r="A8" s="10" t="inlineStr">
        <is>
          <t>Sum anleggsmidler</t>
        </is>
      </c>
      <c r="B8" s="11">
        <f>SUM(B5:B7)</f>
        <v/>
      </c>
    </row>
    <row r="9">
      <c r="A9" s="8" t="inlineStr">
        <is>
          <t>Budsjettert salg år 1, ekskl. mva</t>
        </is>
      </c>
      <c r="B9" s="9" t="n">
        <v>0</v>
      </c>
    </row>
    <row r="10">
      <c r="A10" s="8" t="inlineStr">
        <is>
          <t>Bruttofortjeneste, andel</t>
        </is>
      </c>
      <c r="B10" s="12" t="n">
        <v>0.45</v>
      </c>
    </row>
    <row r="11">
      <c r="A11" s="8" t="inlineStr">
        <is>
          <t>Lagringstid, dager</t>
        </is>
      </c>
      <c r="B11" s="14" t="n">
        <v>20</v>
      </c>
    </row>
    <row r="12">
      <c r="A12" s="8" t="inlineStr">
        <is>
          <t>Varelager</t>
        </is>
      </c>
      <c r="B12" s="13">
        <f>ROUND(B9*(1-B10)/360*B11,0)</f>
        <v/>
      </c>
    </row>
    <row r="13">
      <c r="A13" s="8" t="inlineStr">
        <is>
          <t>Andel kredittsalg</t>
        </is>
      </c>
      <c r="B13" s="12" t="n">
        <v>0.25</v>
      </c>
    </row>
    <row r="14">
      <c r="A14" s="8" t="inlineStr">
        <is>
          <t>Kredittid, dager</t>
        </is>
      </c>
      <c r="B14" s="14" t="n">
        <v>20</v>
      </c>
    </row>
    <row r="15">
      <c r="A15" s="8" t="inlineStr">
        <is>
          <t>Kundefordringer</t>
        </is>
      </c>
      <c r="B15" s="13">
        <f>ROUND(B9*B13/360*B14,0)</f>
        <v/>
      </c>
    </row>
    <row r="16">
      <c r="A16" s="8" t="inlineStr">
        <is>
          <t>Reserve</t>
        </is>
      </c>
      <c r="B16" s="9" t="n">
        <v>0</v>
      </c>
    </row>
    <row r="17">
      <c r="A17" s="10" t="inlineStr">
        <is>
          <t>Kapitalbehov</t>
        </is>
      </c>
      <c r="B17" s="11">
        <f>B8+B12+B15+B16</f>
        <v/>
      </c>
    </row>
    <row ht="24.75" customHeight="true" r="18">
      <c r="A18" s="8" t="inlineStr">
        <is>
          <t>Egenkapital du kan skyte inn</t>
        </is>
      </c>
      <c r="B18" s="9" t="n">
        <v>0</v>
      </c>
      <c r="D18" s="5" t="inlineStr">
        <is>
          <t>Minst 30 000 i aksjekapital for et AS. Banken vil vanligvis se 25–35 % egenkapital.</t>
        </is>
      </c>
    </row>
    <row r="19">
      <c r="A19" s="8" t="inlineStr">
        <is>
          <t>Egenkapitalandel</t>
        </is>
      </c>
      <c r="B19" s="17">
        <f>IF(B17=0,0,B18/B17)</f>
        <v/>
      </c>
    </row>
    <row r="20">
      <c r="A20" s="10" t="inlineStr">
        <is>
          <t>Må lånes eller finansieres på annen måte</t>
        </is>
      </c>
      <c r="B20" s="11">
        <f>B17-B18</f>
        <v/>
      </c>
    </row>
    <row r="22">
      <c r="A22" s="6" t="inlineStr">
        <is>
          <t>2 · Startbudsjett år 1</t>
        </is>
      </c>
      <c r="B22" s="7" t="n"/>
      <c r="C22" s="7" t="n"/>
      <c r="D22" s="7" t="n"/>
    </row>
    <row r="23">
      <c r="A23" s="8" t="inlineStr">
        <is>
          <t>Salgsinntekt</t>
        </is>
      </c>
      <c r="B23" s="13">
        <f>B9</f>
        <v/>
      </c>
    </row>
    <row r="24">
      <c r="A24" s="8" t="inlineStr">
        <is>
          <t>Varekostnad</t>
        </is>
      </c>
      <c r="B24" s="13">
        <f>B23*(1-B10)</f>
        <v/>
      </c>
    </row>
    <row r="25">
      <c r="A25" s="10" t="inlineStr">
        <is>
          <t>Bruttofortjeneste</t>
        </is>
      </c>
      <c r="B25" s="11">
        <f>B23-B24</f>
        <v/>
      </c>
    </row>
    <row r="26">
      <c r="A26" s="8" t="inlineStr">
        <is>
          <t>Lønn (alle ansatte, inkl. deg selv)</t>
        </is>
      </c>
      <c r="B26" s="9" t="n">
        <v>0</v>
      </c>
    </row>
    <row r="27">
      <c r="A27" s="8" t="inlineStr">
        <is>
          <t>Sosiale kostnader, andel</t>
        </is>
      </c>
      <c r="B27" s="12" t="n">
        <v>0.468</v>
      </c>
    </row>
    <row r="28">
      <c r="A28" s="8" t="inlineStr">
        <is>
          <t>Lønnskostnad</t>
        </is>
      </c>
      <c r="B28" s="13">
        <f>B26*(1+B27)</f>
        <v/>
      </c>
    </row>
    <row ht="27" customHeight="true" r="29">
      <c s="22" r="A29" t="inlineStr">
        <is>
          <t>Andre driftskostnader (husleie, forsikring, regnskap, bil, telefon …)</t>
        </is>
      </c>
      <c r="B29" s="9" t="n">
        <v>0</v>
      </c>
    </row>
    <row r="30">
      <c r="A30" s="8" t="inlineStr">
        <is>
          <t>Levetid anleggsmidler, år</t>
        </is>
      </c>
      <c r="B30" s="14" t="n">
        <v>5</v>
      </c>
    </row>
    <row r="31">
      <c r="A31" s="8" t="inlineStr">
        <is>
          <t>Avskrivninger</t>
        </is>
      </c>
      <c r="B31" s="13">
        <f>IF(B30=0,0,B8/B30)</f>
        <v/>
      </c>
    </row>
    <row r="32">
      <c r="A32" s="10" t="inlineStr">
        <is>
          <t>Driftsresultat</t>
        </is>
      </c>
      <c r="B32" s="11">
        <f>B25-B28-B29-B31</f>
        <v/>
      </c>
    </row>
    <row r="33">
      <c r="A33" s="8" t="inlineStr">
        <is>
          <t>Rentesats på lån</t>
        </is>
      </c>
      <c r="B33" s="12" t="n">
        <v>0.06</v>
      </c>
    </row>
    <row r="34">
      <c r="A34" s="8" t="inlineStr">
        <is>
          <t>Rentekostnad</t>
        </is>
      </c>
      <c r="B34" s="13">
        <f>B20*B33</f>
        <v/>
      </c>
    </row>
    <row r="35">
      <c r="A35" s="10" t="inlineStr">
        <is>
          <t>Resultat før skatt</t>
        </is>
      </c>
      <c r="B35" s="11">
        <f>B32-B34</f>
        <v/>
      </c>
    </row>
    <row r="36">
      <c r="A36" s="10" t="inlineStr">
        <is>
          <t>Nullpunktomsetning</t>
        </is>
      </c>
      <c r="B36" s="11">
        <f>IF(B10=0,0,ROUND((B28+B29+B31+B34)/B10,0))</f>
        <v/>
      </c>
      <c r="D36" s="5" t="inlineStr">
        <is>
          <t>Så mye må du selge for å gå i null.</t>
        </is>
      </c>
    </row>
    <row r="37">
      <c r="A37" s="8" t="inlineStr">
        <is>
          <t>Sikkerhetsmargin</t>
        </is>
      </c>
      <c r="B37" s="17">
        <f>IF(B23=0,0,(B23-B36)/B23)</f>
        <v/>
      </c>
    </row>
    <row r="39">
      <c r="A39" s="10" t="inlineStr">
        <is>
          <t>Prøv dette:</t>
        </is>
      </c>
    </row>
    <row r="40" ht="30" customHeight="1">
      <c r="A40" s="16" t="inlineStr">
        <is>
          <t>Hva er den minste omsetningen du kan leve med? Hva skjer med nullpunktet hvis du dropper bilen og leier ved behov? Ta med arket til en regnskapsfører eller banken — det er dette de vil se.</t>
        </is>
      </c>
    </row>
  </sheetData>
  <mergeCells count="1">
    <mergeCell ref="A40:D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2026-10-07T15:39:56Z</dcterms:created>
  <dcterms:modified xmlns:dcterms="http://purl.org/dc/terms/" xmlns:xsi="http://www.w3.org/2001/XMLSchema-instance" xsi:type="dcterms:W3CDTF">2026-10-07T15:39:56Z</dcterms:modified>
</cp:coreProperties>
</file>