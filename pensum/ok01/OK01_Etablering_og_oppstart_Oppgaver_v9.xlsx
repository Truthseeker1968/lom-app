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Fasit"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sz val="10.5"/>
    </font>
    <font>
      <name val="Calibri"/>
      <i val="1"/>
      <color rgb="002F4A6D"/>
      <sz val="10.5"/>
    </font>
    <font>
      <name val="Calibri"/>
      <family val="2"/>
      <b val="1"/>
      <color theme="1"/>
      <sz val="11"/>
      <scheme val="minor"/>
    </font>
  </fonts>
  <fills count="6">
    <fill>
      <patternFill/>
    </fill>
    <fill>
      <patternFill patternType="gray125"/>
    </fill>
    <fill>
      <patternFill patternType="solid">
        <fgColor rgb="00DDEBF7"/>
      </patternFill>
    </fill>
    <fill>
      <patternFill patternType="solid">
        <fgColor rgb="002F4A6D"/>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0" borderId="1" applyAlignment="1" pivotButton="0" quotePrefix="0" xfId="0">
      <alignment horizontal="right" vertical="center"/>
    </xf>
    <xf numFmtId="0" fontId="0" fillId="0" borderId="0" applyAlignment="1" pivotButton="0" quotePrefix="0" xfId="0">
      <alignment vertical="top" wrapText="1"/>
    </xf>
    <xf numFmtId="3" fontId="0" fillId="4" borderId="1" applyAlignment="1" pivotButton="0" quotePrefix="0" xfId="0">
      <alignment horizontal="right" vertical="center"/>
    </xf>
    <xf numFmtId="0" fontId="4" fillId="0" borderId="0" pivotButton="0" quotePrefix="0" xfId="0"/>
    <xf numFmtId="0" fontId="6" fillId="0" borderId="0" applyAlignment="1" pivotButton="0" quotePrefix="0" xfId="0">
      <alignment vertical="top" wrapText="1"/>
    </xf>
    <xf numFmtId="0" fontId="0" fillId="4" borderId="1" pivotButton="0" quotePrefix="0" xfId="0"/>
    <xf numFmtId="0" fontId="0" fillId="4" borderId="1" applyAlignment="1" pivotButton="0" quotePrefix="0" xfId="0">
      <alignment vertical="top" wrapText="1"/>
    </xf>
    <xf numFmtId="0" fontId="7" fillId="0" borderId="0" applyAlignment="1" pivotButton="0" quotePrefix="0" xfId="0">
      <alignment vertical="top" wrapText="1"/>
    </xf>
    <xf numFmtId="0" fontId="3" fillId="0" borderId="0" pivotButton="0" quotePrefix="0" xfId="0"/>
    <xf numFmtId="0" fontId="0" fillId="2" borderId="0" applyAlignment="1" pivotButton="0" quotePrefix="0" xfId="0">
      <alignment vertical="top" wrapText="1"/>
    </xf>
    <xf numFmtId="1" fontId="0" fillId="0" borderId="1" applyAlignment="1" pivotButton="0" quotePrefix="0" xfId="0">
      <alignment horizontal="right" vertical="center"/>
    </xf>
    <xf numFmtId="1" fontId="0" fillId="4" borderId="1" applyAlignment="1" pivotButton="0" quotePrefix="0" xfId="0">
      <alignment horizontal="right" vertical="center"/>
    </xf>
    <xf numFmtId="0" fontId="8" fillId="0" borderId="0" applyAlignment="1" pivotButton="0" quotePrefix="0" xfId="0">
      <alignment vertical="top" wrapText="1"/>
    </xf>
    <xf numFmtId="3" fontId="0" fillId="5" borderId="1" applyAlignment="1" pivotButton="0" quotePrefix="0" xfId="0">
      <alignment horizontal="right" vertical="center"/>
    </xf>
    <xf numFmtId="0" fontId="1" fillId="0" borderId="0" pivotButton="0" quotePrefix="0" xfId="0"/>
    <xf numFmtId="0" fontId="5" fillId="3" borderId="1" pivotButton="0" quotePrefix="0" xfId="0"/>
    <xf numFmtId="0" fontId="0" fillId="0" borderId="1" applyAlignment="1" pivotButton="0" quotePrefix="0" xfId="0">
      <alignment vertical="top" wrapText="1"/>
    </xf>
  </cellXfs>
  <cellStyles count="1">
    <cellStyle name="Normal" xfId="0" builtinId="0" hidden="0"/>
  </cellStyles>
  <dxfs count="3">
    <dxf>
      <fill>
        <patternFill patternType="solid">
          <fgColor rgb="00E2EFDA"/>
        </patternFill>
      </fill>
    </dxf>
    <dxf>
      <fill>
        <patternFill patternType="solid">
          <fgColor rgb="00FFE699"/>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18"/>
  <sheetViews>
    <sheetView workbookViewId="0">
      <selection activeCell="A1" sqref="A1"/>
    </sheetView>
  </sheetViews>
  <sheetFormatPr baseColWidth="8" defaultRowHeight="15"/>
  <cols>
    <col width="3" customWidth="1" min="1" max="1"/>
    <col width="110" customWidth="1" min="2" max="2"/>
  </cols>
  <sheetData>
    <row r="2" ht="26" customHeight="1">
      <c r="B2" s="1" t="inlineStr">
        <is>
          <t>Etablering og oppstart av egen bedrift: oppgaver til kapittel 1</t>
        </is>
      </c>
    </row>
    <row r="3" ht="30" customHeight="1">
      <c r="B3" s="2" t="inlineStr">
        <is>
          <t>Økonomistyring for LØM-emnet (Hjertnes og Skorpen), kapittel 1. Versjon 9, november 2026. Nordlys Elektro AS og Fjell Elektro AS er konstruerte casebedrifter; tallene er faktaarkene.</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Nordlys i 2019: hvem betaler hvis det går galt?</t>
        </is>
      </c>
    </row>
    <row r="14" ht="15" customHeight="1">
      <c r="B14" s="2" t="inlineStr">
        <is>
          <t>1B  Fjell Elektro: kan Mona starte, og hva må på plass?</t>
        </is>
      </c>
    </row>
    <row r="15" ht="15" customHeight="1">
      <c r="B15" s="2" t="inlineStr">
        <is>
          <t>1C  Fjell Elektro år 1: skatt og merverdiavgift på kontoen</t>
        </is>
      </c>
    </row>
    <row r="16" ht="15" customHeight="1">
      <c r="B16" s="2" t="inlineStr">
        <is>
          <t>Fasit  Alle svar med regnestykket skrevet ut</t>
        </is>
      </c>
    </row>
    <row r="18" ht="30" customHeight="1">
      <c r="B18"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Z36"/>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700 000 kr, hennes halvdel</t>
        </is>
      </c>
    </row>
    <row r="2" ht="26" customHeight="1">
      <c r="B2" s="1" t="inlineStr">
        <is>
          <t>Oppgave 1A: Nordlys i 2019: hvem betaler hvis det går galt?</t>
        </is>
      </c>
      <c r="Z2" t="inlineStr">
        <is>
          <t>1 400 000 kr, hele gjelden</t>
        </is>
      </c>
    </row>
    <row r="3" ht="15" customHeight="1">
      <c r="B3" s="5" t="inlineStr">
        <is>
          <t>Alene, i par eller i gruppe, slik du vil.</t>
        </is>
      </c>
      <c r="Z3" t="inlineStr">
        <is>
          <t>0 kr, fordi selskapet er en egen enhet</t>
        </is>
      </c>
    </row>
    <row r="4" ht="16" customHeight="1">
      <c r="B4" s="3" t="inlineStr">
        <is>
          <t>Situasjonen</t>
        </is>
      </c>
    </row>
    <row r="5" ht="75" customHeight="1">
      <c r="B5" s="2" t="inlineStr">
        <is>
          <t>Det er 2019. Kari Nordlund (elektroinstallatør) og Tom Berg (elektriker) starter Nordlys Elektro AS og eier halvparten hver. De skyter inn 675 000 kr: 300 000 kr i aksjekapital og 375 000 kr i overkurs. Banken låner dem 765 000 kr, men krever personlig kausjon fra begge. Tenk deg nå at første driftsår går galt og Nordlys går konkurs. Når boet er gjort opp, står det igjen 1 400 000 kr i udekket gjeld: 700 000 til banken og 700 000 til grossisten Polarlys. Regn hva Kari og Tom sitter igjen med i hver selskapsform.</t>
        </is>
      </c>
    </row>
    <row r="6" ht="16" customHeight="1">
      <c r="B6" s="3" t="inlineStr">
        <is>
          <t>Begrepene du trenger</t>
        </is>
      </c>
    </row>
    <row r="7" ht="60" customHeight="1">
      <c r="B7" s="2" t="inlineStr">
        <is>
          <t>Personlig selskap (enkeltpersonforetak, ansvarlig selskap med solidarisk ansvar (ANS), selskap med delt ansvar (DA)): ingen vegg mellom eier og foretak; eierne skylder det som mangler etter konkursen. Aksjeselskap: eierne taper innskuddet (aksjekapital og overkurs), men ikke mer. Personlig kausjon: et eget løfte til banken om å betale selv hvis selskapet ikke kan; gjelder bare det lånet, uansett selskapsform.</t>
        </is>
      </c>
    </row>
    <row r="8"/>
    <row r="9" ht="16" customHeight="1">
      <c r="B9" s="3" t="inlineStr">
        <is>
          <t>Tallene, i kroner</t>
        </is>
      </c>
    </row>
    <row r="10" ht="15" customHeight="1">
      <c r="B10" s="2" t="inlineStr">
        <is>
          <t>Alt under er tenkt: Nordlys gikk ikke konkurs. Men regnestykket viser hva selskapsformen betyr den dagen det går galt.</t>
        </is>
      </c>
    </row>
    <row r="11">
      <c r="B11" s="6" t="inlineStr">
        <is>
          <t>Forutsetning</t>
        </is>
      </c>
      <c r="C11" s="7" t="inlineStr">
        <is>
          <t>Kroner</t>
        </is>
      </c>
    </row>
    <row r="12">
      <c r="B12" s="8" t="inlineStr">
        <is>
          <t>Innskutt egenkapital 2019: aksjekapital 300 000 + overkurs 375 000</t>
        </is>
      </c>
      <c r="C12" s="9" t="n">
        <v>675000</v>
      </c>
    </row>
    <row r="13">
      <c r="B13" s="8" t="inlineStr">
        <is>
          <t>Banklån ved oppstart, personlig kausjon fra begge</t>
        </is>
      </c>
      <c r="C13" s="9" t="n">
        <v>765000</v>
      </c>
    </row>
    <row r="14">
      <c r="B14" s="8" t="inlineStr">
        <is>
          <t>Udekket gjeld når boet er gjort opp</t>
        </is>
      </c>
      <c r="C14" s="9" t="n">
        <v>1400000</v>
      </c>
    </row>
    <row r="15">
      <c r="B15" s="8" t="inlineStr">
        <is>
          <t>Av det: banken mangler</t>
        </is>
      </c>
      <c r="C15" s="9" t="n">
        <v>700000</v>
      </c>
    </row>
    <row r="16">
      <c r="B16" s="8" t="inlineStr">
        <is>
          <t>Av det: grossisten Polarlys mangler</t>
        </is>
      </c>
      <c r="C16" s="9" t="n">
        <v>700000</v>
      </c>
    </row>
    <row r="17"/>
    <row r="18" ht="16" customHeight="1">
      <c r="B18" s="3" t="inlineStr">
        <is>
          <t>Oppgaven, trinn for trinn</t>
        </is>
      </c>
    </row>
    <row r="19" ht="75" customHeight="1">
      <c r="B19" s="2" t="inlineStr">
        <is>
          <t>1. Aksjeselskap uten kausjon (a): hva er tapt privat? Tenk på innskuddet (aksjekapital og overkurs), og på om eierne skylder noe etterpå.
2. Aksjeselskap med kausjonen banken krevde (b og c): hva kan banken kreve av Kari og Tom privat, og hva blir samlet tap? Polarlys har ingen kausjon.
3. Tenk deg at de hadde valgt selskap med delt ansvar (DA), 50 % hver (d), ansvarlig selskap med solidarisk ansvar (ANS) (e), eller at Kari hadde startet alene som enkeltpersonforetak (f).
4. Skriv svaret til Kari i g.</t>
        </is>
      </c>
    </row>
    <row r="20"/>
    <row r="21" ht="48" customHeight="1">
      <c r="B21" s="10" t="inlineStr">
        <is>
          <t>a) Aksjeselskap uten kausjon: hvor mye har Kari og Tom til sammen tapt av egne penger?</t>
        </is>
      </c>
      <c r="C21" s="11" t="n"/>
      <c r="D21" s="12" t="inlineStr">
        <is>
          <t>kr</t>
        </is>
      </c>
      <c r="G21" s="13">
        <f>IF(C21="","Skriv svaret i den gule cellen.",IF(ISTEXT(C21),"Skriv bare tallet, uten mellomrom, enhet eller tekst. Enheten står ved siden av cellen. Du kan også skrive regnestykket med likhetstegn foran, for eksempel =2100000/7300.",IF(ABS(C21-(675000))&lt;=0.99,"Riktig. Innskuddet 675 000 kr (aksjekapital 300 000 + overkurs 375 000) er tapt. Etterpå skylder de ingenting (boka 1.4 og 1.6)",IF(ABS(C21-(0))&lt;=0.99,"Du har svart 0. Innskuddet på 675 000 er tapt; det var eiernes penger. Men etterpå skylder de ingenting.",IF(ABS(C21-(300000))&lt;=0.99,"Du har tatt bare aksjekapitalen. Overkursen på 375 000 betalte Kari og Tom også inn for aksjene, og den er like tapt.",IF(ABS(C21-(1400000))&lt;=0.99,"Du har svart den udekkede gjelden. I et aksjeselskap skylder eierne ikke den; ansvaret er begrenset til innskuddet.",IF(ABS(C21-(2075000))&lt;=0.99,"Du har lagt innskuddet til hele gjelden. Gjelden er selskapets, ikke eiernes. Bare innskuddet er tapt.",IF(IFERROR(AND(C21&lt;&gt;0,(675000)&lt;&gt;0,ROUND(LOG10(ABS(C21/(675000))),0)&lt;&gt;0,ABS(LOG10(ABS(C21/(675000)))-ROUND(LOG10(ABS(C21/(675000))),0))&lt;0.004),FALSE),"Sifrene stemmer, men antall nuller eller plasseringen av kommaet er feil. Sjekk om du har regnet i kroner, tusen kroner eller prosent.",IF(ABS(C21-(675000))&lt;=MAX(0.99,0.01*ABS(675000)),"Riktig. Innskuddet 675 000 kr (aksjekapital 300 000 + overkurs 375 000) er tapt. Etterpå skylder de ingenting (boka 1.4 og 1.6) Svaret ditt ligger litt fra arkets tall fordi du har rundet av underveis. Det er helt greit.",IF(C21&gt;(675000),"Ikke riktig ennå. Svaret ditt er for høyt. Tips: Regnestykket er hvor mye har Kari og Tom til sammen tapt av egne penger?.","Ikke riktig ennå. Svaret ditt er for lavt. Tips: Regnestykket er hvor mye har Kari og Tom til sammen tapt av egne penger?."))))))))))</f>
        <v/>
      </c>
    </row>
    <row r="22" ht="48" customHeight="1">
      <c r="B22" s="10" t="inlineStr">
        <is>
          <t>b) Aksjeselskap med kausjon: hvor mye kan banken kreve av Kari og Tom privat etter bobehandlingen?</t>
        </is>
      </c>
      <c r="C22" s="11" t="n"/>
      <c r="D22" s="12" t="inlineStr">
        <is>
          <t>kr</t>
        </is>
      </c>
      <c r="G22" s="13">
        <f>IF(C22="","Skriv svaret i den gule cellen.",IF(ISTEXT(C22),"Skriv bare tallet, uten mellomrom, enhet eller tekst. Enheten står ved siden av cellen. Du kan også skrive regnestykket med likhetstegn foran, for eksempel =2100000/7300.",IF(ABS(C22-(700000))&lt;=0.99,"Riktig. Banken mangler 700 000 kr og har kausjon fra begge.",IF(ABS(C22-(765000))&lt;=0.99,"Du har tatt hele lånet. Banken mangler bare 700 000 etter boet; kausjonen dekker det som mangler, ikke hele lånet.",IF(ABS(C22-(1400000))&lt;=0.99,"Du har tatt all udekket gjeld. Kausjonen gjelder bare banklånet. Polarlys har ingen kausjon og må bære sitt tap selv.",IF(ABS(C22-(675000))&lt;=0.99,"Det er innskuddet, som er tapt uansett. Spørsmålet er hva banken kan kreve i tillegg.",IF(IFERROR(AND(C22&lt;&gt;0,(700000)&lt;&gt;0,ROUND(LOG10(ABS(C22/(700000))),0)&lt;&gt;0,ABS(LOG10(ABS(C22/(700000)))-ROUND(LOG10(ABS(C22/(700000))),0))&lt;0.004),FALSE),"Sifrene stemmer, men antall nuller eller plasseringen av kommaet er feil. Sjekk om du har regnet i kroner, tusen kroner eller prosent.",IF(ABS(C22-(700000))&lt;=MAX(0.99,0.01*ABS(700000)),"Riktig. Banken mangler 700 000 kr og har kausjon fra begge. Svaret ditt ligger litt fra arkets tall fordi du har rundet av underveis. Det er helt greit.",IF(C22&gt;(700000),"Ikke riktig ennå. Svaret ditt er for høyt. Tips: Regnestykket er hvor mye kan banken kreve av Kari og Tom privat etter bobehandlingen?.","Ikke riktig ennå. Svaret ditt er for lavt. Tips: Regnestykket er hvor mye kan banken kreve av Kari og Tom privat etter bobehandlingen?.")))))))))</f>
        <v/>
      </c>
    </row>
    <row r="23" ht="48" customHeight="1">
      <c r="B23" s="10" t="inlineStr">
        <is>
          <t>c) Aksjeselskap med kausjon: samlet tap for Kari og Tom (innskudd pluss det banken kan kreve)</t>
        </is>
      </c>
      <c r="C23" s="11" t="n"/>
      <c r="D23" s="12" t="inlineStr">
        <is>
          <t>kr</t>
        </is>
      </c>
      <c r="G23" s="13">
        <f>IF(C23="","Skriv svaret i den gule cellen.",IF(ISTEXT(C23),"Skriv bare tallet, uten mellomrom, enhet eller tekst. Enheten står ved siden av cellen. Du kan også skrive regnestykket med likhetstegn foran, for eksempel =2100000/7300.",IF(ABS(C23-(675000+700000))&lt;=0.99,"Riktig. 675 000 + 700 000 = 1 375 000 kr. Polarlys bærer sine 700 000 selv.",IF(ABS(C23-(700000))&lt;=0.99,"Det er bare det banken kan kreve. Innskuddet på 675 000 er også tapt.",IF(ABS(C23-(675000))&lt;=0.99,"Det er bare innskuddet. Legg til det banken kan kreve etter kausjonen.",IF(ABS(C23-(1000000))&lt;=0.99,"Du har tatt med bare aksjekapitalen på 300 000. Overkursen på 375 000 er også innskutt og tapt: 675 000 + 700 000.",IF(ABS(C23-(2075000))&lt;=0.99,"Du har lagt innskuddet til all udekket gjeld. Bare bankens del, 700 000, kan kreves av dem privat.",IF(IFERROR(AND(C23&lt;&gt;0,(675000+700000)&lt;&gt;0,ROUND(LOG10(ABS(C23/(675000+700000))),0)&lt;&gt;0,ABS(LOG10(ABS(C23/(675000+700000)))-ROUND(LOG10(ABS(C23/(675000+700000))),0))&lt;0.004),FALSE),"Sifrene stemmer, men antall nuller eller plasseringen av kommaet er feil. Sjekk om du har regnet i kroner, tusen kroner eller prosent.",IF(ABS(C23-(675000+700000))&lt;=MAX(0.99,0.01*ABS(675000+700000)),"Riktig. 675 000 + 700 000 = 1 375 000 kr. Polarlys bærer sine 700 000 selv. Svaret ditt ligger litt fra arkets tall fordi du har rundet av underveis. Det er helt greit.",IF(C23&gt;(675000+700000),"Ikke riktig ennå. Svaret ditt er for høyt. Tips: Regnestykket er samlet tap for Kari og Tom (innskudd pluss det banken kan kreve).","Ikke riktig ennå. Svaret ditt er for lavt. Tips: Regnestykket er samlet tap for Kari og Tom (innskudd pluss det banken kan kreve)."))))))))))</f>
        <v/>
      </c>
    </row>
    <row r="24" ht="48" customHeight="1">
      <c r="B24" s="10" t="inlineStr">
        <is>
          <t>d) Selskap med delt ansvar (DA), 50 % hver, ingen kausjon: hva skylder Kari av den udekkede gjelden?</t>
        </is>
      </c>
      <c r="C24" s="11" t="n"/>
      <c r="D24" s="12" t="inlineStr">
        <is>
          <t>kr</t>
        </is>
      </c>
      <c r="G24" s="13">
        <f>IF(C24="","Skriv svaret i den gule cellen.",IF(ISTEXT(C24),"Skriv bare tallet, uten mellomrom, enhet eller tekst. Enheten står ved siden av cellen. Du kan også skrive regnestykket med likhetstegn foran, for eksempel =2100000/7300.",IF(ABS(C24-(1400000*0.5))&lt;=0.99,"Riktig. 1 400 000 × 50 % = 700 000 kr.",IF(ABS(C24-(1400000))&lt;=0.99,"Du har svart hele gjelden. Det er solidarisk ansvar (ANS). Ved delt ansvar svarer hver for sin andel.",IF(ABS(C24-(350000))&lt;=0.99,"Du har tatt halvparten av bare bankens del. Delt ansvar gjelder hele den udekkede gjelden, 1 400 000, delt etter eierandel.",IF(ABS(C24-(0))&lt;=0.99,"Du har svart 0. Det gjelder bare aksjeselskap. Et selskap med delt ansvar er et personlig selskap; eierne skylder det som mangler.",IF(IFERROR(AND(C24&lt;&gt;0,(1400000*0.5)&lt;&gt;0,ROUND(LOG10(ABS(C24/(1400000*0.5))),0)&lt;&gt;0,ABS(LOG10(ABS(C24/(1400000*0.5)))-ROUND(LOG10(ABS(C24/(1400000*0.5))),0))&lt;0.004),FALSE),"Sifrene stemmer, men antall nuller eller plasseringen av kommaet er feil. Sjekk om du har regnet i kroner, tusen kroner eller prosent.",IF(ABS(C24-(1400000*0.5))&lt;=MAX(0.99,0.01*ABS(1400000*0.5)),"Riktig. 1 400 000 × 50 % = 700 000 kr. Svaret ditt ligger litt fra arkets tall fordi du har rundet av underveis. Det er helt greit.",IF(C24&gt;(1400000*0.5),"Ikke riktig ennå. Svaret ditt er for høyt. Tips: Regnestykket er hva skylder Kari av den udekkede gjelden?.","Ikke riktig ennå. Svaret ditt er for lavt. Tips: Regnestykket er hva skylder Kari av den udekkede gjelden?.")))))))))</f>
        <v/>
      </c>
    </row>
    <row r="25" ht="40" customHeight="1">
      <c r="B25" s="10" t="inlineStr">
        <is>
          <t>e) Ansvarlig selskap med solidarisk ansvar (ANS), ingen kausjon: hvor mye kan kreditorene til sammen kreve av Kari alene?</t>
        </is>
      </c>
      <c r="C25" s="14" t="n"/>
      <c r="G25" s="13">
        <f>IF(C25="","Velg i nedtrekksmenyen.",IF(C25="1 400 000 kr, hele gjelden","Riktig. Solidarisk ansvar er én for alle og alle for én (boka 1.3): banken og Polarlys kan kreve hele beløpet av Kari, og så må hun kreve Tom for hans halvdel etterpå.","Ikke riktig. Les forklaringen og prøv et annet svar: Solidarisk ansvar er én for alle og alle for én (boka 1.3): banken og Polarlys kan kreve hele beløpet av Kari, og så må hun kreve Tom for hans halvdel etterpå."))</f>
        <v/>
      </c>
    </row>
    <row r="26" ht="48" customHeight="1">
      <c r="B26" s="10" t="inlineStr">
        <is>
          <t>f) Tenk deg at Kari hadde startet alene som enkeltpersonforetak: hva skylder hun etter bobehandlingen?</t>
        </is>
      </c>
      <c r="C26" s="11" t="n"/>
      <c r="D26" s="12" t="inlineStr">
        <is>
          <t>kr</t>
        </is>
      </c>
      <c r="G26" s="13">
        <f>IF(C26="","Skriv svaret i den gule cellen.",IF(ISTEXT(C26),"Skriv bare tallet, uten mellomrom, enhet eller tekst. Enheten står ved siden av cellen. Du kan også skrive regnestykket med likhetstegn foran, for eksempel =2100000/7300.",IF(ABS(C26-(1400000))&lt;=0.99,"Riktig. Eier og foretak er ett: hun skylder alle 1 400 000 kr.",IF(ABS(C26-(700000))&lt;=0.99,"Du har delt på to. I et enkeltpersonforetak er det bare én eier, og hun skylder alt som mangler.",IF(ABS(C26-(0))&lt;=0.99,"Du har svart 0. Det gjelder bare aksjeselskap. I et enkeltpersonforetak er eier og foretak ett; gjelden er hennes.",IF(IFERROR(AND(C26&lt;&gt;0,(1400000)&lt;&gt;0,ROUND(LOG10(ABS(C26/(1400000))),0)&lt;&gt;0,ABS(LOG10(ABS(C26/(1400000)))-ROUND(LOG10(ABS(C26/(1400000))),0))&lt;0.004),FALSE),"Sifrene stemmer, men antall nuller eller plasseringen av kommaet er feil. Sjekk om du har regnet i kroner, tusen kroner eller prosent.",IF(ABS(C26-(1400000))&lt;=MAX(0.99,0.01*ABS(1400000)),"Riktig. Eier og foretak er ett: hun skylder alle 1 400 000 kr. Svaret ditt ligger litt fra arkets tall fordi du har rundet av underveis. Det er helt greit.",IF(C26&gt;(1400000),"Ikke riktig ennå. Svaret ditt er for høyt. Tips: Regnestykket er hva skylder hun etter bobehandlingen?.","Ikke riktig ennå. Svaret ditt er for lavt. Tips: Regnestykket er hva skylder hun etter bobehandlingen?."))))))))</f>
        <v/>
      </c>
    </row>
    <row r="27"/>
    <row r="28" ht="45" customHeight="1">
      <c r="B28" s="2" t="inlineStr">
        <is>
          <t>g) Kari eier et hus, Tom leier. Var aksjeselskap riktig valg for dem, når banken likevel krevde kausjon? Skriv to setninger: én om hva aksjeselskapet skjermer dem mot (nevn Polarlys), og én om hva de bør forhandle med banken om (nevn kausjonen).</t>
        </is>
      </c>
    </row>
    <row r="29" ht="22" customHeight="1">
      <c r="B29" s="15" t="n"/>
    </row>
    <row r="30" ht="22" customHeight="1"/>
    <row r="31" ht="22" customHeight="1"/>
    <row r="32" ht="40" customHeight="1">
      <c r="B32" s="16">
        <f>IF(LEN(B29)&lt;40,"",IF(AND(ISNUMBER(SEARCH("kausjon",B29)),ISNUMBER(SEARCH("Polarlys",B29))),"Bra: du ser at kausjonen bare gjelder banklånet, og at aksjeselskapet skjermer dem mot Polarlys og alle andre krav. Si også hva de bør be banken om: et tak i kroner og en dato kausjonen faller bort.",IF(OR(ISNUMBER(SEARCH("kausjon",B29)),ISNUMBER(SEARCH("Polarlys",B29))),"Du er på sporet. Ta med begge: at aksjeselskapet skjermer mot Polarlys og andre kreditorer, og at kausjonen bør forhandles (tak og sluttdato).","Tips: kausjonen gjelder bare banklånet. I et ansvarlig selskap kunne Polarlys gått etter Karis hus. Aksjeselskap skjermer mot alt annet enn kausjonen. Be banken om et tak i kroner og en dato kausjonen faller bort.")))</f>
        <v/>
      </c>
    </row>
    <row r="33">
      <c r="B33" s="17" t="inlineStr">
        <is>
          <t>Står du fast? Skriv JA i den gule cellen:</t>
        </is>
      </c>
      <c r="C33" s="14" t="n"/>
    </row>
    <row r="34" ht="60" customHeight="1">
      <c r="B34" s="18">
        <f>IF(C33="JA","Hint: a: innskuddet 675 000 (aksjekapital 300 000 + overkurs 375 000) er tapt, ingenting skyldes etterpå. b: banken mangler 700 000 og har kausjon, så den kan kreve 700 000 privat. c: 675 000 + 700 000 = 1 375 000. d: delt ansvar, 50 % av 1 400 000 = 700 000. e: solidarisk ansvar, hele 1 400 000 av hvem som helst av eierne. f: enkeltpersonforetak, hele 1 400 000.","")</f>
        <v/>
      </c>
    </row>
    <row r="35"/>
    <row r="36" ht="30" customHeight="1">
      <c r="B36" s="5" t="inlineStr">
        <is>
          <t>Gule celler fyller du inn, gjerne som regnestykke: =2100000/7300. Grønne regnes ut av arket. Sjekken til høyre sier om svaret stemmer, og hva du bør se på hvis ikke.</t>
        </is>
      </c>
    </row>
  </sheetData>
  <mergeCells count="15">
    <mergeCell ref="B3:G3"/>
    <mergeCell ref="B2:G2"/>
    <mergeCell ref="B19:G19"/>
    <mergeCell ref="B29:G31"/>
    <mergeCell ref="B10:G10"/>
    <mergeCell ref="B28:G28"/>
    <mergeCell ref="B34:G34"/>
    <mergeCell ref="B5:G5"/>
    <mergeCell ref="B36:G36"/>
    <mergeCell ref="B9:G9"/>
    <mergeCell ref="B32:G32"/>
    <mergeCell ref="B4:G4"/>
    <mergeCell ref="B18:G18"/>
    <mergeCell ref="B7:G7"/>
    <mergeCell ref="B6:G6"/>
  </mergeCells>
  <conditionalFormatting sqref="G21">
    <cfRule type="expression" priority="1" dxfId="0">
      <formula>LEFT(G21,6)="Riktig"</formula>
    </cfRule>
    <cfRule type="expression" priority="2" dxfId="1">
      <formula>LEFT(G21,6)="Nesten"</formula>
    </cfRule>
    <cfRule type="expression" priority="3" dxfId="2">
      <formula>AND(G21&lt;&gt;"",LEFT(G21,6)&lt;&gt;"Riktig",LEFT(G21,6)&lt;&gt;"Nesten",LEFT(G21,5)&lt;&gt;"Skriv")</formula>
    </cfRule>
  </conditionalFormatting>
  <conditionalFormatting sqref="G22">
    <cfRule type="expression" priority="4" dxfId="0">
      <formula>LEFT(G22,6)="Riktig"</formula>
    </cfRule>
    <cfRule type="expression" priority="5" dxfId="1">
      <formula>LEFT(G22,6)="Nesten"</formula>
    </cfRule>
    <cfRule type="expression" priority="6" dxfId="2">
      <formula>AND(G22&lt;&gt;"",LEFT(G22,6)&lt;&gt;"Riktig",LEFT(G22,6)&lt;&gt;"Nesten",LEFT(G22,5)&lt;&gt;"Skriv")</formula>
    </cfRule>
  </conditionalFormatting>
  <conditionalFormatting sqref="G23">
    <cfRule type="expression" priority="7" dxfId="0">
      <formula>LEFT(G23,6)="Riktig"</formula>
    </cfRule>
    <cfRule type="expression" priority="8" dxfId="1">
      <formula>LEFT(G23,6)="Nesten"</formula>
    </cfRule>
    <cfRule type="expression" priority="9" dxfId="2">
      <formula>AND(G23&lt;&gt;"",LEFT(G23,6)&lt;&gt;"Riktig",LEFT(G23,6)&lt;&gt;"Nesten",LEFT(G23,5)&lt;&gt;"Skriv")</formula>
    </cfRule>
  </conditionalFormatting>
  <conditionalFormatting sqref="G24">
    <cfRule type="expression" priority="10" dxfId="0">
      <formula>LEFT(G24,6)="Riktig"</formula>
    </cfRule>
    <cfRule type="expression" priority="11" dxfId="1">
      <formula>LEFT(G24,6)="Nesten"</formula>
    </cfRule>
    <cfRule type="expression" priority="12" dxfId="2">
      <formula>AND(G24&lt;&gt;"",LEFT(G24,6)&lt;&gt;"Riktig",LEFT(G24,6)&lt;&gt;"Nesten",LEFT(G24,5)&lt;&gt;"Skriv")</formula>
    </cfRule>
  </conditionalFormatting>
  <conditionalFormatting sqref="G25">
    <cfRule type="expression" priority="13" dxfId="0">
      <formula>LEFT(G25,6)="Riktig"</formula>
    </cfRule>
    <cfRule type="expression" priority="14" dxfId="2">
      <formula>LEFT(G25,4)="Ikke"</formula>
    </cfRule>
  </conditionalFormatting>
  <conditionalFormatting sqref="G26">
    <cfRule type="expression" priority="15" dxfId="0">
      <formula>LEFT(G26,6)="Riktig"</formula>
    </cfRule>
    <cfRule type="expression" priority="16" dxfId="1">
      <formula>LEFT(G26,6)="Nesten"</formula>
    </cfRule>
    <cfRule type="expression" priority="17" dxfId="2">
      <formula>AND(G26&lt;&gt;"",LEFT(G26,6)&lt;&gt;"Riktig",LEFT(G26,6)&lt;&gt;"Nesten",LEFT(G26,5)&lt;&gt;"Skriv")</formula>
    </cfRule>
  </conditionalFormatting>
  <dataValidations count="2">
    <dataValidation sqref="C25" showDropDown="0" showInputMessage="0" showErrorMessage="0" allowBlank="1" type="list">
      <formula1>$Z$1:$Z$3</formula1>
    </dataValidation>
    <dataValidation sqref="C33"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46"/>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Ja</t>
        </is>
      </c>
    </row>
    <row r="2" ht="26" customHeight="1">
      <c r="B2" s="1" t="inlineStr">
        <is>
          <t>Oppgave 1B: Fjell Elektro: kan Mona starte, og hva må på plass?</t>
        </is>
      </c>
      <c r="Z2" t="inlineStr">
        <is>
          <t>Nei</t>
        </is>
      </c>
    </row>
    <row r="3" ht="15" customHeight="1">
      <c r="B3" s="5" t="inlineStr">
        <is>
          <t>Alene, i par eller i gruppe, slik du vil.</t>
        </is>
      </c>
      <c r="Z3" t="inlineStr">
        <is>
          <t>Ja</t>
        </is>
      </c>
    </row>
    <row r="4" ht="16" customHeight="1">
      <c r="B4" s="3" t="inlineStr">
        <is>
          <t>Situasjonen</t>
        </is>
      </c>
      <c r="Z4" t="inlineStr">
        <is>
          <t>Nei</t>
        </is>
      </c>
    </row>
    <row r="5" ht="60" customHeight="1">
      <c r="B5" s="2" t="inlineStr">
        <is>
          <t>Mona Fjell vil starte Fjell Elektro AS i Oslo med to montører, og selv være daglig leder og faglig ansvarlig og jobbe halve tiden ute på oppdrag. Før selskapsformen kommer retten til å tilby arbeidet: foretaket må stå i Elvirksomhetsregisteret med en faglig ansvarlig som fyller kravene i forskrift om elektroforetak og kvalifikasjonskrav. Så kommer registrene i Brønnøysund og hos Skatteetaten.</t>
        </is>
      </c>
      <c r="Z5" t="inlineStr">
        <is>
          <t>Ja</t>
        </is>
      </c>
    </row>
    <row r="6" ht="16" customHeight="1">
      <c r="B6" s="3" t="inlineStr">
        <is>
          <t>Begrepene du trenger</t>
        </is>
      </c>
      <c r="Z6" t="inlineStr">
        <is>
          <t>Nei</t>
        </is>
      </c>
    </row>
    <row r="7" ht="60" customHeight="1">
      <c r="B7" s="2" t="inlineStr">
        <is>
          <t>Forskrift om elektroforetak og kvalifikasjonskrav: registrering i Elvirksomhetsregisteret før foretaket tilbyr arbeid; faglig ansvarlig er fast ansatt og tilgjengelig i normal arbeidstid; § 7 relevant utdanning, minst tre års relevant praksis etter endt utdanning, og bestått elektroinstallatørprøve for arbeid på andres anlegg. Enhetsregisteret gir organisasjonsnummer; Foretaksregisteret gir firmaattest og beskyttet navn; Merverdiavgiftsregisteret fra 50 000 kr i omsetning.</t>
        </is>
      </c>
      <c r="Z7" t="inlineStr">
        <is>
          <t>Ja</t>
        </is>
      </c>
    </row>
    <row r="8">
      <c r="Z8" t="inlineStr">
        <is>
          <t>Nei</t>
        </is>
      </c>
    </row>
    <row r="9" ht="16" customHeight="1">
      <c r="B9" s="3" t="inlineStr">
        <is>
          <t>Monas vei, årstall</t>
        </is>
      </c>
      <c r="Z9" t="inlineStr">
        <is>
          <t>Ja</t>
        </is>
      </c>
    </row>
    <row r="10" ht="15" customHeight="1">
      <c r="B10" s="2" t="inlineStr">
        <is>
          <t>Montørårene står med, men tell selv om de skal regnes med i praksiskravet.</t>
        </is>
      </c>
      <c r="Z10" t="inlineStr">
        <is>
          <t>Nei</t>
        </is>
      </c>
    </row>
    <row r="11">
      <c r="B11" s="6" t="inlineStr">
        <is>
          <t>Hendelse</t>
        </is>
      </c>
      <c r="C11" s="7" t="inlineStr">
        <is>
          <t>År</t>
        </is>
      </c>
      <c r="Z11" t="inlineStr">
        <is>
          <t>Enhetsregisteret</t>
        </is>
      </c>
    </row>
    <row r="12">
      <c r="B12" s="8" t="inlineStr">
        <is>
          <t>Fagbrev som elektriker</t>
        </is>
      </c>
      <c r="C12" s="19" t="n">
        <v>2012</v>
      </c>
      <c r="Z12" t="inlineStr">
        <is>
          <t>Foretaksregisteret</t>
        </is>
      </c>
    </row>
    <row r="13">
      <c r="B13" s="8" t="inlineStr">
        <is>
          <t>Montør fra 2012 til</t>
        </is>
      </c>
      <c r="C13" s="19" t="n">
        <v>2017</v>
      </c>
      <c r="Z13" t="inlineStr">
        <is>
          <t>Elvirksomhetsregisteret</t>
        </is>
      </c>
    </row>
    <row r="14">
      <c r="B14" s="8" t="inlineStr">
        <is>
          <t>Fagskoletekniker elkraft, ferdig i juni</t>
        </is>
      </c>
      <c r="C14" s="19" t="n">
        <v>2019</v>
      </c>
      <c r="Z14" t="inlineStr">
        <is>
          <t>Merverdiavgiftsregisteret</t>
        </is>
      </c>
    </row>
    <row r="15">
      <c r="B15" s="8" t="inlineStr">
        <is>
          <t>Prosjektleder i en installasjonsbedrift fra august</t>
        </is>
      </c>
      <c r="C15" s="19" t="n">
        <v>2019</v>
      </c>
      <c r="Z15" t="inlineStr">
        <is>
          <t>Enhetsregisteret</t>
        </is>
      </c>
    </row>
    <row r="16">
      <c r="B16" s="8" t="inlineStr">
        <is>
          <t>Elektroinstallatørprøven bestått</t>
        </is>
      </c>
      <c r="C16" s="19" t="n">
        <v>2023</v>
      </c>
      <c r="Z16" t="inlineStr">
        <is>
          <t>Foretaksregisteret</t>
        </is>
      </c>
    </row>
    <row r="17">
      <c r="Z17" t="inlineStr">
        <is>
          <t>Elvirksomhetsregisteret</t>
        </is>
      </c>
    </row>
    <row r="18" ht="16" customHeight="1">
      <c r="B18" s="3" t="inlineStr">
        <is>
          <t>Oppgaven, trinn for trinn</t>
        </is>
      </c>
      <c r="Z18" t="inlineStr">
        <is>
          <t>Merverdiavgiftsregisteret</t>
        </is>
      </c>
    </row>
    <row r="19" ht="75" customHeight="1">
      <c r="B19" s="2" t="inlineStr">
        <is>
          <t>1. Regn hvilket år Mona tidligst kunne stå som faglig ansvarlig for arbeid på andres anlegg (a). Alle tre vilkårene i forskriftens § 7 må være oppfylt: relevant utdanning, minst tre års relevant praksis etter utdanningen, og bestått prøve.
2. Svar ja eller nei på fem påstander om Mona og Fjell Elektro (b). Sjekken sier hvilken paragraf som gjelder.
3. Velg riktig register for hver ting som må på plass før første faktura (c), og regn gebyret (d).
4. Skriv to argumenter for aksjeselskap i e.</t>
        </is>
      </c>
      <c r="Z19" t="inlineStr">
        <is>
          <t>Enhetsregisteret</t>
        </is>
      </c>
    </row>
    <row r="20">
      <c r="Z20" t="inlineStr">
        <is>
          <t>Foretaksregisteret</t>
        </is>
      </c>
    </row>
    <row r="21" ht="48" customHeight="1">
      <c r="B21" s="10" t="inlineStr">
        <is>
          <t>a) Hvilket år kunne Mona tidligst stå som faglig ansvarlig for arbeid på andres anlegg?</t>
        </is>
      </c>
      <c r="C21" s="20" t="n"/>
      <c r="D21" s="12" t="inlineStr">
        <is>
          <t>år</t>
        </is>
      </c>
      <c r="G21" s="13">
        <f>IF(C21="","Skriv svaret i den gule cellen.",IF(ISTEXT(C21),"Skriv bare tallet, uten mellomrom, enhet eller tekst. Enheten står ved siden av cellen. Du kan også skrive regnestykket med likhetstegn foran, for eksempel =2100000/7300.",IF(ABS(C21-(2023))&lt;=0.99,"Riktig. 2023. Utdanning 2019, tre års praksis etter utdanningen i august 2022, prøven 2023. Det siste vilkåret avgjør.",IF(ABS(C21-(2022))&lt;=0.99,"I august 2022 hadde hun tre års praksis etter utdanningen, men elektroinstallatørprøven var ikke bestått. Det siste vilkåret avgjør.",IF(ABS(C21-(2019))&lt;=0.99,"Da var hun ferdig på fagskolen, men praksisen etter utdanningen manglet. Montørårene før fagskolen teller ikke.",IF(ABS(C21-(2015))&lt;=0.99,"Du har regnet montørårene som praksis. Praksisen skal være opparbeidet etter endt utdanning (§ 7).",IF(ABS(C21-(2020))&lt;=0.99,"I 2020 hadde hun bare ett års praksis etter utdanningen, og prøven var ikke bestått. For Mona er det prøven i 2023 som avgjør; montørårene teller ikke uansett.",IF(IFERROR(AND(C21&lt;&gt;0,(2023)&lt;&gt;0,ROUND(LOG10(ABS(C21/(2023))),0)&lt;&gt;0,ABS(LOG10(ABS(C21/(2023)))-ROUND(LOG10(ABS(C21/(2023))),0))&lt;0.004),FALSE),"Sifrene stemmer, men antall nuller eller plasseringen av kommaet er feil. Sjekk om du har regnet i kroner, tusen kroner eller prosent.",IF(ABS(C21-(2023))&lt;=MAX(0.99,0.01*ABS(2023)),"Riktig. 2023. Utdanning 2019, tre års praksis etter utdanningen i august 2022, prøven 2023. Det siste vilkåret avgjør. Svaret ditt ligger litt fra arkets tall fordi du har rundet av underveis. Det er helt greit.",IF(C21&gt;(2023),"Ikke riktig ennå. Svaret ditt er for høyt. Tips: Se på regnestykket øverst på fanen, og sjekk at du har med alle leddene.","Ikke riktig ennå. Svaret ditt er for lavt. Tips: Se på regnestykket øverst på fanen, og sjekk at du har med alle leddene."))))))))))</f>
        <v/>
      </c>
      <c r="Z21" t="inlineStr">
        <is>
          <t>Elvirksomhetsregisteret</t>
        </is>
      </c>
    </row>
    <row r="22">
      <c r="Z22" t="inlineStr">
        <is>
          <t>Merverdiavgiftsregisteret</t>
        </is>
      </c>
    </row>
    <row r="23" ht="15" customHeight="1">
      <c r="B23" s="21" t="inlineStr">
        <is>
          <t>b) Er dette i orden etter forskrift om elektroforetak og kvalifikasjonskrav? Velg Ja eller Nei.</t>
        </is>
      </c>
      <c r="Z23" t="inlineStr">
        <is>
          <t>Enhetsregisteret</t>
        </is>
      </c>
    </row>
    <row r="24" ht="40" customHeight="1">
      <c r="B24" s="10" t="inlineStr">
        <is>
          <t>Mona er fast ansatt som faglig ansvarlig og jobber halve tiden ute på foretakets egne oppdrag</t>
        </is>
      </c>
      <c r="C24" s="14" t="n"/>
      <c r="G24" s="13">
        <f>IF(C24="","Velg i nedtrekksmenyen.",IF(C24="Ja","Riktig. Kravet til faglig ansvarlig: faglig ansvarlig skal være fast ansatt og tilgjengelig i foretakets normale arbeidstid. Å være ute på egne oppdrag er en del av jobben.","Ikke riktig. Les forklaringen og prøv et annet svar: Kravet til faglig ansvarlig: faglig ansvarlig skal være fast ansatt og tilgjengelig i foretakets normale arbeidstid. Å være ute på egne oppdrag er en del av jobben."))</f>
        <v/>
      </c>
      <c r="Z24" t="inlineStr">
        <is>
          <t>Foretaksregisteret</t>
        </is>
      </c>
    </row>
    <row r="25" ht="40" customHeight="1">
      <c r="B25" s="10" t="inlineStr">
        <is>
          <t>Montørårene 2012–2017 regnes med i praksiskravet</t>
        </is>
      </c>
      <c r="C25" s="14" t="n"/>
      <c r="G25" s="13">
        <f>IF(C25="","Velg i nedtrekksmenyen.",IF(C25="Nei","Riktig. § 7: praksisen skal være opparbeidet etter endt utdanning. Montørarbeid gjenspeiler ikke den teoretiske utdanningen.","Ikke riktig. Les forklaringen og prøv et annet svar: § 7: praksisen skal være opparbeidet etter endt utdanning. Montørarbeid gjenspeiler ikke den teoretiske utdanningen."))</f>
        <v/>
      </c>
      <c r="Z25" t="inlineStr">
        <is>
          <t>Elvirksomhetsregisteret</t>
        </is>
      </c>
    </row>
    <row r="26" ht="40" customHeight="1">
      <c r="B26" s="10" t="inlineStr">
        <is>
          <t>Fjell Elektro legger ut annonse om elektroarbeid før foretaket står i Elvirksomhetsregisteret</t>
        </is>
      </c>
      <c r="C26" s="14" t="n"/>
      <c r="G26" s="13">
        <f>IF(C26="","Velg i nedtrekksmenyen.",IF(C26="Nei","Riktig. Elvirksomhetsregisteret: plikten gjelder fra foretaket tilbyr arbeid. En annonse er å tilby.","Ikke riktig. Les forklaringen og prøv et annet svar: Elvirksomhetsregisteret: plikten gjelder fra foretaket tilbyr arbeid. En annonse er å tilby."))</f>
        <v/>
      </c>
      <c r="Z26" t="inlineStr">
        <is>
          <t>Merverdiavgiftsregisteret</t>
        </is>
      </c>
    </row>
    <row r="27" ht="40" customHeight="1">
      <c r="B27" s="10" t="inlineStr">
        <is>
          <t>Mona har i tillegg en halv stilling som faglig ansvarlig i et annet foretak</t>
        </is>
      </c>
      <c r="C27" s="14" t="n"/>
      <c r="G27" s="13">
        <f>IF(C27="","Velg i nedtrekksmenyen.",IF(C27="Nei","Riktig. Kravet til faglig ansvarlig: faglig ansvarlig kan ikke ha en stilling med sammenfallende arbeidstid i et annet foretak.","Ikke riktig. Les forklaringen og prøv et annet svar: Kravet til faglig ansvarlig: faglig ansvarlig kan ikke ha en stilling med sammenfallende arbeidstid i et annet foretak."))</f>
        <v/>
      </c>
    </row>
    <row r="28" ht="40" customHeight="1">
      <c r="B28" s="10" t="inlineStr">
        <is>
          <t>Fordi Fjell Elektro er et aksjeselskap, gjelder kravet om faglig ansvarlig ikke</t>
        </is>
      </c>
      <c r="C28" s="14" t="n"/>
      <c r="G28" s="13">
        <f>IF(C28="","Velg i nedtrekksmenyen.",IF(C28="Nei","Riktig. Forskriften gjelder alle elektroforetak, uansett selskapsform. Selskapsformen avgjør ansvaret for gjelda, ikke retten til å tilby arbeidet.","Ikke riktig. Les forklaringen og prøv et annet svar: Forskriften gjelder alle elektroforetak, uansett selskapsform. Selskapsformen avgjør ansvaret for gjelda, ikke retten til å tilby arbeidet."))</f>
        <v/>
      </c>
    </row>
    <row r="29"/>
    <row r="30" ht="15" customHeight="1">
      <c r="B30" s="21" t="inlineStr">
        <is>
          <t>c) Hvor må dette på plass? Velg register i nedtrekksmenyen.</t>
        </is>
      </c>
    </row>
    <row r="31" ht="40" customHeight="1">
      <c r="B31" s="10" t="inlineStr">
        <is>
          <t>Organisasjonsnummeret, som alle foretak må ha</t>
        </is>
      </c>
      <c r="C31" s="14" t="n"/>
      <c r="G31" s="13">
        <f>IF(C31="","Velg i nedtrekksmenyen.",IF(C31="Enhetsregisteret","Riktig. Enhetsregisteret i Brønnøysund gir organisasjonsnummer til alle former. Et aksjeselskap registreres i Enhets- og Foretaksregisteret samtidig.","Ikke riktig. Les forklaringen og prøv et annet svar: Enhetsregisteret i Brønnøysund gir organisasjonsnummer til alle former. Et aksjeselskap registreres i Enhets- og Foretaksregisteret samtidig."))</f>
        <v/>
      </c>
    </row>
    <row r="32" ht="40" customHeight="1">
      <c r="B32" s="10" t="inlineStr">
        <is>
          <t>Firmaattesten banken og grossisten ber om, og beskyttet firmanavn</t>
        </is>
      </c>
      <c r="C32" s="14" t="n"/>
      <c r="G32" s="13">
        <f>IF(C32="","Velg i nedtrekksmenyen.",IF(C32="Foretaksregisteret","Riktig. Foretaksregisteret er påbudt for aksjeselskap og ansvarlig selskap (boka 1.7). Attesten derfra gir tillit hos banker og leverandører.","Ikke riktig. Les forklaringen og prøv et annet svar: Foretaksregisteret er påbudt for aksjeselskap og ansvarlig selskap (boka 1.7). Attesten derfra gir tillit hos banker og leverandører."))</f>
        <v/>
      </c>
    </row>
    <row r="33" ht="40" customHeight="1">
      <c r="B33" s="10" t="inlineStr">
        <is>
          <t>Navnet på faglig ansvarlig, før foretaket tilbyr elektroarbeid</t>
        </is>
      </c>
      <c r="C33" s="14" t="n"/>
      <c r="G33" s="13">
        <f>IF(C33="","Velg i nedtrekksmenyen.",IF(C33="Elvirksomhetsregisteret","Riktig. Elvirksomhetsregisteret hos Direktoratet for samfunnssikkerhet og beredskap. Uten det kan foretaket ikke tilby elektroarbeid.","Ikke riktig. Les forklaringen og prøv et annet svar: Elvirksomhetsregisteret hos Direktoratet for samfunnssikkerhet og beredskap. Uten det kan foretaket ikke tilby elektroarbeid."))</f>
        <v/>
      </c>
    </row>
    <row r="34" ht="40" customHeight="1">
      <c r="B34" s="10" t="inlineStr">
        <is>
          <t>Retten og plikten til å legge 25 % merverdiavgift på fakturaen når omsetningen passerer 50 000 kr</t>
        </is>
      </c>
      <c r="C34" s="14" t="n"/>
      <c r="G34" s="13">
        <f>IF(C34="","Velg i nedtrekksmenyen.",IF(C34="Merverdiavgiftsregisteret","Riktig. Merverdiavgiftsregisteret hos Skatteetaten. Grensen er 50 000 kr i avgiftspliktig omsetning på tolv måneder (merverdiavgiftsloven § 2-1).","Ikke riktig. Les forklaringen og prøv et annet svar: Merverdiavgiftsregisteret hos Skatteetaten. Grensen er 50 000 kr i avgiftspliktig omsetning på tolv måneder (merverdiavgiftsloven § 2-1)."))</f>
        <v/>
      </c>
    </row>
    <row r="35"/>
    <row r="36" ht="48" customHeight="1">
      <c r="B36" s="10" t="inlineStr">
        <is>
          <t>d) Gebyret for å registrere Fjell Elektro AS elektronisk i Enhets- og Foretaksregisteret, 2026</t>
        </is>
      </c>
      <c r="C36" s="11" t="n"/>
      <c r="D36" s="12" t="inlineStr">
        <is>
          <t>kr</t>
        </is>
      </c>
      <c r="G36" s="13">
        <f>IF(C36="","Skriv svaret i den gule cellen.",IF(ISTEXT(C36),"Skriv bare tallet, uten mellomrom, enhet eller tekst. Enheten står ved siden av cellen. Du kan også skrive regnestykket med likhetstegn foran, for eksempel =2100000/7300.",IF(ABS(C36-(6825))&lt;=0.99,"Riktig. Elektronisk registrering i Enhets- og Foretaksregisteret, brreg.no (hentet 11.10.2026)",IF(ABS(C36-(3883))&lt;=0.99,"Det er satsen for ansvarlig selskap, eller enkeltpersonforetak som også vil inn i Foretaksregisteret.",IF(ABS(C36-(2181))&lt;=0.99,"Det er enkeltpersonforetak i Enhetsregisteret alene. Et aksjeselskap må inn i Foretaksregisteret.",IF(ABS(C36-(7912))&lt;=0.99,"Det er satsen på papir. Elektronisk registrering er billigere.",IF(IFERROR(AND(C36&lt;&gt;0,(6825)&lt;&gt;0,ROUND(LOG10(ABS(C36/(6825))),0)&lt;&gt;0,ABS(LOG10(ABS(C36/(6825)))-ROUND(LOG10(ABS(C36/(6825))),0))&lt;0.004),FALSE),"Sifrene stemmer, men antall nuller eller plasseringen av kommaet er feil. Sjekk om du har regnet i kroner, tusen kroner eller prosent.",IF(ABS(C36-(6825))&lt;=MAX(0.99,0.01*ABS(6825)),"Riktig. Elektronisk registrering i Enhets- og Foretaksregisteret, brreg.no (hentet 11.10.2026) Svaret ditt ligger litt fra arkets tall fordi du har rundet av underveis. Det er helt greit.",IF(C36&gt;(6825),"Ikke riktig ennå. Svaret ditt er for høyt. Tips: Se på regnestykket øverst på fanen, og sjekk at du har med alle leddene.","Ikke riktig ennå. Svaret ditt er for lavt. Tips: Se på regnestykket øverst på fanen, og sjekk at du har med alle leddene.")))))))))</f>
        <v/>
      </c>
    </row>
    <row r="37"/>
    <row r="38" ht="30" customHeight="1">
      <c r="B38" s="2" t="inlineStr">
        <is>
          <t>e) Mona eier alene, og enkeltpersonforetak er enklere og billigere. Hvorfor bør Fjell Elektro likevel være aksjeselskap? Gi to argumenter (bruk ordene ansvar og trygd) og si hvorfor skatt ikke er argumentet.</t>
        </is>
      </c>
    </row>
    <row r="39" ht="22" customHeight="1">
      <c r="B39" s="15" t="n"/>
    </row>
    <row r="40" ht="22" customHeight="1"/>
    <row r="41" ht="22" customHeight="1"/>
    <row r="42" ht="40" customHeight="1">
      <c r="B42" s="16">
        <f>IF(LEN(B39)&lt;40,"",IF(AND(ISNUMBER(SEARCH("ansvar",B39)),ISNUMBER(SEARCH("trygd",B39)),ISNUMBER(SEARCH("skatt",B39))),"Bra: du har ansvaret, trygderettighetene og poenget om at skatten ikke avgjør. Ansatte, kreditt hos grossisten og arbeid på andres anlegg gir risiko langt over innskuddet.",IF(OR(ISNUMBER(SEARCH("ansvar",B39)),ISNUMBER(SEARCH("trygd",B39)),ISNUMBER(SEARCH("skatt",B39))),"Du har noe av det. Ta med alle tre: ansvaret (hva hun kan tape privat), trygderettighetene som arbeidende aksjonær, og hvorfor 22 % i selskapet ikke kan sammenliknes med personskatt.","Tips: i aksjeselskap taper hun innskuddet og det hun har kausjonert for; i enkeltpersonforetak alt hun eier. Som arbeidende aksjonær har hun trygderettigheter som en ansatt. Skatten på 22 % er selskapets, og uttak skattes igjen, så den er ikke argumentet.")))</f>
        <v/>
      </c>
    </row>
    <row r="43">
      <c r="B43" s="17" t="inlineStr">
        <is>
          <t>Står du fast? Skriv JA i den gule cellen:</t>
        </is>
      </c>
      <c r="C43" s="14" t="n"/>
    </row>
    <row r="44" ht="60" customHeight="1">
      <c r="B44" s="18">
        <f>IF(C43="JA","Hint: a: utdanning ferdig juni 2019, tre års praksis fra august 2019 gir august 2022, prøven 2023. Siste vilkår avgjør: 2023. b: bare den første påstanden er i orden. c: organisasjonsnummer i Enhetsregisteret, attest i Foretaksregisteret, faglig ansvarlig i Elvirksomhetsregisteret, merverdiavgift i Merverdiavgiftsregisteret. d: 6 825 kr for aksjeselskap elektronisk (brreg.no 2026).","")</f>
        <v/>
      </c>
    </row>
    <row r="45"/>
    <row r="46" ht="30" customHeight="1">
      <c r="B46" s="5" t="inlineStr">
        <is>
          <t>Gule celler fyller du inn, gjerne som regnestykke: =2100000/7300. Grønne regnes ut av arket. Sjekken til høyre sier om svaret stemmer, og hva du bør se på hvis ikke.</t>
        </is>
      </c>
    </row>
  </sheetData>
  <mergeCells count="17">
    <mergeCell ref="B3:G3"/>
    <mergeCell ref="B2:G2"/>
    <mergeCell ref="B19:G19"/>
    <mergeCell ref="B38:G38"/>
    <mergeCell ref="B10:G10"/>
    <mergeCell ref="B42:G42"/>
    <mergeCell ref="B46:G46"/>
    <mergeCell ref="B5:G5"/>
    <mergeCell ref="B44:G44"/>
    <mergeCell ref="B23:G23"/>
    <mergeCell ref="B9:G9"/>
    <mergeCell ref="B4:G4"/>
    <mergeCell ref="B39:G41"/>
    <mergeCell ref="B18:G18"/>
    <mergeCell ref="B30:G30"/>
    <mergeCell ref="B7:G7"/>
    <mergeCell ref="B6:G6"/>
  </mergeCells>
  <conditionalFormatting sqref="G21">
    <cfRule type="expression" priority="1" dxfId="0">
      <formula>LEFT(G21,6)="Riktig"</formula>
    </cfRule>
    <cfRule type="expression" priority="2" dxfId="1">
      <formula>LEFT(G21,6)="Nesten"</formula>
    </cfRule>
    <cfRule type="expression" priority="3" dxfId="2">
      <formula>AND(G21&lt;&gt;"",LEFT(G21,6)&lt;&gt;"Riktig",LEFT(G21,6)&lt;&gt;"Nesten",LEFT(G21,5)&lt;&gt;"Skriv")</formula>
    </cfRule>
  </conditionalFormatting>
  <conditionalFormatting sqref="G24">
    <cfRule type="expression" priority="4" dxfId="0">
      <formula>LEFT(G24,6)="Riktig"</formula>
    </cfRule>
    <cfRule type="expression" priority="5" dxfId="2">
      <formula>LEFT(G24,4)="Ikke"</formula>
    </cfRule>
  </conditionalFormatting>
  <conditionalFormatting sqref="G25">
    <cfRule type="expression" priority="6" dxfId="0">
      <formula>LEFT(G25,6)="Riktig"</formula>
    </cfRule>
    <cfRule type="expression" priority="7" dxfId="2">
      <formula>LEFT(G25,4)="Ikke"</formula>
    </cfRule>
  </conditionalFormatting>
  <conditionalFormatting sqref="G26">
    <cfRule type="expression" priority="8" dxfId="0">
      <formula>LEFT(G26,6)="Riktig"</formula>
    </cfRule>
    <cfRule type="expression" priority="9" dxfId="2">
      <formula>LEFT(G26,4)="Ikke"</formula>
    </cfRule>
  </conditionalFormatting>
  <conditionalFormatting sqref="G27">
    <cfRule type="expression" priority="10" dxfId="0">
      <formula>LEFT(G27,6)="Riktig"</formula>
    </cfRule>
    <cfRule type="expression" priority="11" dxfId="2">
      <formula>LEFT(G27,4)="Ikke"</formula>
    </cfRule>
  </conditionalFormatting>
  <conditionalFormatting sqref="G28">
    <cfRule type="expression" priority="12" dxfId="0">
      <formula>LEFT(G28,6)="Riktig"</formula>
    </cfRule>
    <cfRule type="expression" priority="13" dxfId="2">
      <formula>LEFT(G28,4)="Ikke"</formula>
    </cfRule>
  </conditionalFormatting>
  <conditionalFormatting sqref="G31">
    <cfRule type="expression" priority="14" dxfId="0">
      <formula>LEFT(G31,6)="Riktig"</formula>
    </cfRule>
    <cfRule type="expression" priority="15" dxfId="2">
      <formula>LEFT(G31,4)="Ikke"</formula>
    </cfRule>
  </conditionalFormatting>
  <conditionalFormatting sqref="G32">
    <cfRule type="expression" priority="16" dxfId="0">
      <formula>LEFT(G32,6)="Riktig"</formula>
    </cfRule>
    <cfRule type="expression" priority="17" dxfId="2">
      <formula>LEFT(G32,4)="Ikke"</formula>
    </cfRule>
  </conditionalFormatting>
  <conditionalFormatting sqref="G33">
    <cfRule type="expression" priority="18" dxfId="0">
      <formula>LEFT(G33,6)="Riktig"</formula>
    </cfRule>
    <cfRule type="expression" priority="19" dxfId="2">
      <formula>LEFT(G33,4)="Ikke"</formula>
    </cfRule>
  </conditionalFormatting>
  <conditionalFormatting sqref="G34">
    <cfRule type="expression" priority="20" dxfId="0">
      <formula>LEFT(G34,6)="Riktig"</formula>
    </cfRule>
    <cfRule type="expression" priority="21" dxfId="2">
      <formula>LEFT(G34,4)="Ikke"</formula>
    </cfRule>
  </conditionalFormatting>
  <conditionalFormatting sqref="G36">
    <cfRule type="expression" priority="22" dxfId="0">
      <formula>LEFT(G36,6)="Riktig"</formula>
    </cfRule>
    <cfRule type="expression" priority="23" dxfId="1">
      <formula>LEFT(G36,6)="Nesten"</formula>
    </cfRule>
    <cfRule type="expression" priority="24" dxfId="2">
      <formula>AND(G36&lt;&gt;"",LEFT(G36,6)&lt;&gt;"Riktig",LEFT(G36,6)&lt;&gt;"Nesten",LEFT(G36,5)&lt;&gt;"Skriv")</formula>
    </cfRule>
  </conditionalFormatting>
  <dataValidations count="10">
    <dataValidation sqref="C24" showDropDown="0" showInputMessage="0" showErrorMessage="0" allowBlank="1" type="list">
      <formula1>$Z$1:$Z$2</formula1>
    </dataValidation>
    <dataValidation sqref="C25" showDropDown="0" showInputMessage="0" showErrorMessage="0" allowBlank="1" type="list">
      <formula1>$Z$3:$Z$4</formula1>
    </dataValidation>
    <dataValidation sqref="C26" showDropDown="0" showInputMessage="0" showErrorMessage="0" allowBlank="1" type="list">
      <formula1>$Z$5:$Z$6</formula1>
    </dataValidation>
    <dataValidation sqref="C27" showDropDown="0" showInputMessage="0" showErrorMessage="0" allowBlank="1" type="list">
      <formula1>$Z$7:$Z$8</formula1>
    </dataValidation>
    <dataValidation sqref="C28" showDropDown="0" showInputMessage="0" showErrorMessage="0" allowBlank="1" type="list">
      <formula1>$Z$9:$Z$10</formula1>
    </dataValidation>
    <dataValidation sqref="C31" showDropDown="0" showInputMessage="0" showErrorMessage="0" allowBlank="1" type="list">
      <formula1>$Z$11:$Z$14</formula1>
    </dataValidation>
    <dataValidation sqref="C32" showDropDown="0" showInputMessage="0" showErrorMessage="0" allowBlank="1" type="list">
      <formula1>$Z$15:$Z$18</formula1>
    </dataValidation>
    <dataValidation sqref="C33" showDropDown="0" showInputMessage="0" showErrorMessage="0" allowBlank="1" type="list">
      <formula1>$Z$19:$Z$22</formula1>
    </dataValidation>
    <dataValidation sqref="C34" showDropDown="0" showInputMessage="0" showErrorMessage="0" allowBlank="1" type="list">
      <formula1>$Z$23:$Z$26</formula1>
    </dataValidation>
    <dataValidation sqref="C43"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37"/>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15. februar og 15. april i år 2, i to like deler</t>
        </is>
      </c>
    </row>
    <row r="2" ht="26" customHeight="1">
      <c r="B2" s="1" t="inlineStr">
        <is>
          <t>Oppgave 1C: Fjell Elektro år 1: skatt og merverdiavgift på kontoen</t>
        </is>
      </c>
      <c r="Z2" t="inlineStr">
        <is>
          <t>Hver måned i år 1, sammen med lønna</t>
        </is>
      </c>
    </row>
    <row r="3" ht="15" customHeight="1">
      <c r="B3" s="5" t="inlineStr">
        <is>
          <t>Alene, i par eller i gruppe, slik du vil.</t>
        </is>
      </c>
      <c r="Z3" t="inlineStr">
        <is>
          <t>15. mars, 15. juni, 15. september og 15. desember i år 1</t>
        </is>
      </c>
    </row>
    <row r="4" ht="16" customHeight="1">
      <c r="B4" s="3" t="inlineStr">
        <is>
          <t>Situasjonen</t>
        </is>
      </c>
    </row>
    <row r="5" ht="45" customHeight="1">
      <c r="B5" s="2" t="inlineStr">
        <is>
          <t>Fjell Elektro AS er i gang. Mona ser pengene komme inn på konto og vil vite hva som faktisk er bedriftens. Du skal lese fakturaen, innbetalingene og de to regningene til staten: merverdiavgiften annenhver måned og skatten året etter. Du skal ikke føre noe; du skal se hva kontoen egentlig viser.</t>
        </is>
      </c>
    </row>
    <row r="6" ht="16" customHeight="1">
      <c r="B6" s="3" t="inlineStr">
        <is>
          <t>Begrepene du trenger</t>
        </is>
      </c>
    </row>
    <row r="7" ht="60" customHeight="1">
      <c r="B7" s="2" t="inlineStr">
        <is>
          <t>Merverdiavgift: 25 % som legges på fakturaen og kreves inn for staten; utgående avgift på salget minus inngående avgift på innkjøpene betales annenhver måned (januar og februar forfaller 10. april). Skatt i aksjeselskap: 22 % av resultat før skatt, betalt etterskuddsvis 15. februar og 15. april året etter. Begge er kostnader i år, men går ut av kontoen på andre datoer.</t>
        </is>
      </c>
    </row>
    <row r="8"/>
    <row r="9" ht="16" customHeight="1">
      <c r="B9" s="3" t="inlineStr">
        <is>
          <t>Tallene</t>
        </is>
      </c>
    </row>
    <row r="10" ht="60" customHeight="1">
      <c r="B10" s="2" t="inlineStr">
        <is>
          <t>Fjell Elektro AS fakturerer 890 kr per montørtime uten merverdiavgift og legger 20 % på materiellet. Salget uten merverdiavgift var 350 000 kr i januar og 400 000 kr i februar, og kundene betaler etter 30 dager. I januar kjøpte Mona verktøy og utstyr for 300 000 kr uten merverdiavgift, og i januar og februar til sammen materiell og andre varer med merverdiavgift for 240 000 kr uten avgift (forutsetning i oppgaven). Resultat før skatt i år 1 er 106 740 kr.</t>
        </is>
      </c>
    </row>
    <row r="11">
      <c r="B11" s="6" t="inlineStr">
        <is>
          <t>Faktura til en kunde: sikringsskap</t>
        </is>
      </c>
      <c r="C11" s="7" t="inlineStr">
        <is>
          <t>Kroner</t>
        </is>
      </c>
    </row>
    <row r="12">
      <c r="B12" s="8" t="inlineStr">
        <is>
          <t>Montørtimer, 14 timer × 890 kr</t>
        </is>
      </c>
      <c r="C12" s="9" t="n">
        <v>12460</v>
      </c>
    </row>
    <row r="13">
      <c r="B13" s="8" t="inlineStr">
        <is>
          <t>Materiell, 9 800 kr i innkjøp + 20 % påslag</t>
        </is>
      </c>
      <c r="C13" s="9" t="n">
        <v>11760</v>
      </c>
    </row>
    <row r="14">
      <c r="B14" s="8" t="inlineStr">
        <is>
          <t>Sum uten merverdiavgift</t>
        </is>
      </c>
      <c r="C14" s="22">
        <f>C12+C13</f>
        <v/>
      </c>
    </row>
    <row r="15"/>
    <row r="16" ht="16" customHeight="1">
      <c r="B16" s="3" t="inlineStr">
        <is>
          <t>Oppgaven, trinn for trinn</t>
        </is>
      </c>
    </row>
    <row r="17" ht="60" customHeight="1">
      <c r="B17" s="2" t="inlineStr">
        <is>
          <t>1. Regn merverdiavgiften på fakturaen og det kunden skal betale (a og b). Satsen er 25 % av beløpet uten avgift.
2. Regn hva som kommer inn på konto i februar fra januarsalget, og hvor mye av det som er statens (c og d).
3. Regn hva Fjell skal betale i merverdiavgift 10. april for januar og februar: utgående avgift på salget minus inngående avgift på innkjøpene og utstyret (e).
4. Regn skatten for år 1 og velg når den betales (f og g). Skriv svaret til Mona i h.</t>
        </is>
      </c>
    </row>
    <row r="18"/>
    <row r="19" ht="48" customHeight="1">
      <c r="B19" s="10" t="inlineStr">
        <is>
          <t>a) Merverdiavgift på fakturaen (25 % av summen uten avgift)</t>
        </is>
      </c>
      <c r="C19" s="11" t="n"/>
      <c r="D19" s="12" t="inlineStr">
        <is>
          <t>kr</t>
        </is>
      </c>
      <c r="G19" s="13">
        <f>IF(C19="","Skriv svaret i den gule cellen.",IF(ISTEXT(C19),"Skriv bare tallet, uten mellomrom, enhet eller tekst. Enheten står ved siden av cellen. Du kan også skrive regnestykket med likhetstegn foran, for eksempel =2100000/7300.",IF(ABS(C19-(ROUND(24220*0.25,0)))&lt;=0.99,"Riktig. 24 220 × 0,25 = 6 055 kr.",IF(ABS(C19-(ROUND(24220*0.2,0)))&lt;=0.99,"Du har regnet 20 % av beløpet uten avgift. Satsen er 25 % av beløpet uten avgift; 20 % gjelder bare når du regner bakover fra beløpet med avgift.",IF(ABS(C19-(ROUND(12460*0.25,0)))&lt;=0.99,"Du har regnet avgift bare på timene. Det er avgift på materiellet også.",IF(ABS(C19-(ROUND(24220/1.25,0)))&lt;=0.99,"Du har delt på 1,25. Det gir beløpet uten avgift når du starter med beløpet med avgift. Her skal du gange med 0,25.",IF(IFERROR(AND(C19&lt;&gt;0,(ROUND(24220*0.25,0))&lt;&gt;0,ROUND(LOG10(ABS(C19/(ROUND(24220*0.25,0)))),0)&lt;&gt;0,ABS(LOG10(ABS(C19/(ROUND(24220*0.25,0))))-ROUND(LOG10(ABS(C19/(ROUND(24220*0.25,0)))),0))&lt;0.004),FALSE),"Sifrene stemmer, men antall nuller eller plasseringen av kommaet er feil. Sjekk om du har regnet i kroner, tusen kroner eller prosent.",IF(ABS(C19-(ROUND(24220*0.25,0)))&lt;=MAX(0.99,0.01*ABS(ROUND(24220*0.25,0))),"Riktig. 24 220 × 0,25 = 6 055 kr. Svaret ditt ligger litt fra arkets tall fordi du har rundet av underveis. Det er helt greit.",IF(C19&gt;(ROUND(24220*0.25,0)),"Ikke riktig ennå. Svaret ditt er for høyt. Tips: Se på regnestykket øverst på fanen, og sjekk at du har med alle leddene.","Ikke riktig ennå. Svaret ditt er for lavt. Tips: Se på regnestykket øverst på fanen, og sjekk at du har med alle leddene.")))))))))</f>
        <v/>
      </c>
    </row>
    <row r="20" ht="48" customHeight="1">
      <c r="B20" s="10" t="inlineStr">
        <is>
          <t>b) Det kunden skal betale, med merverdiavgift</t>
        </is>
      </c>
      <c r="C20" s="11" t="n"/>
      <c r="D20" s="12" t="inlineStr">
        <is>
          <t>kr</t>
        </is>
      </c>
      <c r="G20" s="13">
        <f>IF(C20="","Skriv svaret i den gule cellen.",IF(ISTEXT(C20),"Skriv bare tallet, uten mellomrom, enhet eller tekst. Enheten står ved siden av cellen. Du kan også skrive regnestykket med likhetstegn foran, for eksempel =2100000/7300.",IF(ABS(C20-(ROUND(24220*1.25,0)))&lt;=0.99,"Riktig. 24 220 × 1,25 = 30 275 kr.",IF(ABS(C20-(24220))&lt;=0.99,"Det er summen uten avgift. Kunden betaler summen pluss 25 %.",IF(ABS(C20-(ROUND(12460*1.25+11760,0)))&lt;=0.99,"Du har lagt avgift bare på timene. Materiellet har også 25 %.",IF(IFERROR(AND(C20&lt;&gt;0,(ROUND(24220*1.25,0))&lt;&gt;0,ROUND(LOG10(ABS(C20/(ROUND(24220*1.25,0)))),0)&lt;&gt;0,ABS(LOG10(ABS(C20/(ROUND(24220*1.25,0))))-ROUND(LOG10(ABS(C20/(ROUND(24220*1.25,0)))),0))&lt;0.004),FALSE),"Sifrene stemmer, men antall nuller eller plasseringen av kommaet er feil. Sjekk om du har regnet i kroner, tusen kroner eller prosent.",IF(ABS(C20-(ROUND(24220*1.25,0)))&lt;=MAX(0.99,0.01*ABS(ROUND(24220*1.25,0))),"Riktig. 24 220 × 1,25 = 30 275 kr. Svaret ditt ligger litt fra arkets tall fordi du har rundet av underveis. Det er helt greit.",IF(C20&gt;(ROUND(24220*1.25,0)),"Ikke riktig ennå. Svaret ditt er for høyt. Tips: Se på regnestykket øverst på fanen, og sjekk at du har med alle leddene.","Ikke riktig ennå. Svaret ditt er for lavt. Tips: Se på regnestykket øverst på fanen, og sjekk at du har med alle leddene."))))))))</f>
        <v/>
      </c>
    </row>
    <row r="21"/>
    <row r="22" ht="48" customHeight="1">
      <c r="B22" s="10" t="inlineStr">
        <is>
          <t>c) Januarsalget var 350 000 kr uten avgift, og kundene betaler etter 30 dager. Hvor mye kommer inn på konto i februar?</t>
        </is>
      </c>
      <c r="C22" s="11" t="n"/>
      <c r="D22" s="12" t="inlineStr">
        <is>
          <t>kr</t>
        </is>
      </c>
      <c r="G22" s="13">
        <f>IF(C22="","Skriv svaret i den gule cellen.",IF(ISTEXT(C22),"Skriv bare tallet, uten mellomrom, enhet eller tekst. Enheten står ved siden av cellen. Du kan også skrive regnestykket med likhetstegn foran, for eksempel =2100000/7300.",IF(ABS(C22-(350000*1.25))&lt;=0.99,"Riktig. 350 000 × 1,25 = 437 500 kr.",IF(ABS(C22-(350000))&lt;=0.99,"Kundene betaler beløpet med avgift. Legg til 25 %.",IF(ABS(C22-(ROUND(350000*0.25,0)))&lt;=0.99,"Det er bare avgiften. Hele fakturabeløpet med avgift kommer inn.",IF(ABS(C22-(400000*1.25))&lt;=0.99,"Du har tatt februarsalget. Med 30 dagers kreditt er det januarsalget som betales i februar.",IF(IFERROR(AND(C22&lt;&gt;0,(350000*1.25)&lt;&gt;0,ROUND(LOG10(ABS(C22/(350000*1.25))),0)&lt;&gt;0,ABS(LOG10(ABS(C22/(350000*1.25)))-ROUND(LOG10(ABS(C22/(350000*1.25))),0))&lt;0.004),FALSE),"Sifrene stemmer, men antall nuller eller plasseringen av kommaet er feil. Sjekk om du har regnet i kroner, tusen kroner eller prosent.",IF(ABS(C22-(350000*1.25))&lt;=MAX(0.99,0.01*ABS(350000*1.25)),"Riktig. 350 000 × 1,25 = 437 500 kr. Svaret ditt ligger litt fra arkets tall fordi du har rundet av underveis. Det er helt greit.",IF(C22&gt;(350000*1.25),"Ikke riktig ennå. Svaret ditt er for høyt. Tips: Se på regnestykket øverst på fanen, og sjekk at du har med alle leddene.","Ikke riktig ennå. Svaret ditt er for lavt. Tips: Se på regnestykket øverst på fanen, og sjekk at du har med alle leddene.")))))))))</f>
        <v/>
      </c>
    </row>
    <row r="23" ht="48" customHeight="1">
      <c r="B23" s="10" t="inlineStr">
        <is>
          <t>d) Hvor mye av det som kom inn i februar, er merverdiavgift som skal videre til staten?</t>
        </is>
      </c>
      <c r="C23" s="11" t="n"/>
      <c r="D23" s="12" t="inlineStr">
        <is>
          <t>kr</t>
        </is>
      </c>
      <c r="G23" s="13">
        <f>IF(C23="","Skriv svaret i den gule cellen.",IF(ISTEXT(C23),"Skriv bare tallet, uten mellomrom, enhet eller tekst. Enheten står ved siden av cellen. Du kan også skrive regnestykket med likhetstegn foran, for eksempel =2100000/7300.",IF(ABS(C23-(350000*0.25))&lt;=0.99,"Riktig. 350 000 × 0,25 = 87 500 kr.",IF(ABS(C23-(ROUND(437500*0.25,0)))&lt;=0.99,"Du har regnet 25 % av beløpet med avgift. Avgiften er 25 % av beløpet uten, altså 437 500 / 1,25 × 0,25, eller 20 % av beløpet med avgift.",IF(ABS(C23-(437500))&lt;=0.99,"Det er hele innbetalingen. Bare avgiftsdelen er statens.",IF(IFERROR(AND(C23&lt;&gt;0,(350000*0.25)&lt;&gt;0,ROUND(LOG10(ABS(C23/(350000*0.25))),0)&lt;&gt;0,ABS(LOG10(ABS(C23/(350000*0.25)))-ROUND(LOG10(ABS(C23/(350000*0.25))),0))&lt;0.004),FALSE),"Sifrene stemmer, men antall nuller eller plasseringen av kommaet er feil. Sjekk om du har regnet i kroner, tusen kroner eller prosent.",IF(ABS(C23-(350000*0.25))&lt;=MAX(0.99,0.01*ABS(350000*0.25)),"Riktig. 350 000 × 0,25 = 87 500 kr. Svaret ditt ligger litt fra arkets tall fordi du har rundet av underveis. Det er helt greit.",IF(C23&gt;(350000*0.25),"Ikke riktig ennå. Svaret ditt er for høyt. Tips: Se på regnestykket øverst på fanen, og sjekk at du har med alle leddene.","Ikke riktig ennå. Svaret ditt er for lavt. Tips: Se på regnestykket øverst på fanen, og sjekk at du har med alle leddene."))))))))</f>
        <v/>
      </c>
    </row>
    <row r="24"/>
    <row r="25" ht="48" customHeight="1">
      <c r="B25" s="10" t="inlineStr">
        <is>
          <t>e) Merverdiavgift å betale 10. april for januar og februar: utgående avgift på salget (750 000) minus inngående avgift på innkjøp (240 000) og utstyr (300 000)</t>
        </is>
      </c>
      <c r="C25" s="11" t="n"/>
      <c r="D25" s="12" t="inlineStr">
        <is>
          <t>kr</t>
        </is>
      </c>
      <c r="G25" s="13">
        <f>IF(C25="","Skriv svaret i den gule cellen.",IF(ISTEXT(C25),"Skriv bare tallet, uten mellomrom, enhet eller tekst. Enheten står ved siden av cellen. Du kan også skrive regnestykket med likhetstegn foran, for eksempel =2100000/7300.",IF(ABS(C25-(750000*0.25-(240000+300000)*0.25))&lt;=0.99,"Riktig. Utgående 750 000 × 0,25 = 187 500. Inngående (240 000 + 300 000) × 0,25 = 135 000. 187 500 − 135 000 = 52 500 kr.",IF(ABS(C25-(750000*0.25))&lt;=0.99,"Du har glemt den inngående avgiften. Avgiften Fjell har betalt på innkjøp og utstyr, trekkes fra.",IF(ABS(C25-(750000*0.25-240000*0.25))&lt;=0.99,"Du har glemt utstyret. Avgiften på de 300 000 i verktøy og utstyr er også inngående avgift og trekkes fra.",IF(ABS(C25-((240000+300000)*0.25-750000*0.25))&lt;=0.99,"Du har snudd fortegnet. Utgående avgift på salget er større enn inngående, så Fjell skal betale, ikke få tilbake.",IF(ABS(C25-((240000+300000)*0.25))&lt;=0.99,"Det er bare den inngående avgiften. Trekk den fra den utgående på salget.",IF(IFERROR(AND(C25&lt;&gt;0,(750000*0.25-(240000+300000)*0.25)&lt;&gt;0,ROUND(LOG10(ABS(C25/(750000*0.25-(240000+300000)*0.25))),0)&lt;&gt;0,ABS(LOG10(ABS(C25/(750000*0.25-(240000+300000)*0.25)))-ROUND(LOG10(ABS(C25/(750000*0.25-(240000+300000)*0.25))),0))&lt;0.004),FALSE),"Sifrene stemmer, men antall nuller eller plasseringen av kommaet er feil. Sjekk om du har regnet i kroner, tusen kroner eller prosent.",IF(ABS(C25-(750000*0.25-(240000+300000)*0.25))&lt;=MAX(0.99,0.01*ABS(750000*0.25-(240000+300000)*0.25)),"Riktig. Utgående 750 000 × 0,25 = 187 500. Inngående (240 000 + 300 000) × 0,25 = 135 000. 187 500 − 135 000 = 52 500 kr. Svaret ditt ligger litt fra arkets tall fordi du har rundet av underveis. Det er helt greit.",IF(C25&gt;(750000*0.25-(240000+300000)*0.25),"Ikke riktig ennå. Svaret ditt er for høyt. Tips: Regnestykket er utgående avgift på salget (750 000) minus inngående avgift på innkjøp (240 000) og utstyr (300 000).","Ikke riktig ennå. Svaret ditt er for lavt. Tips: Regnestykket er utgående avgift på salget (750 000) minus inngående avgift på innkjøp (240 000) og utstyr (300 000)."))))))))))</f>
        <v/>
      </c>
    </row>
    <row r="26" ht="48" customHeight="1">
      <c r="B26" s="10" t="inlineStr">
        <is>
          <t>f) Skatt for år 1: 22 % av resultat før skatt, 106 740 kr</t>
        </is>
      </c>
      <c r="C26" s="11" t="n"/>
      <c r="D26" s="12" t="inlineStr">
        <is>
          <t>kr</t>
        </is>
      </c>
      <c r="G26" s="13">
        <f>IF(C26="","Skriv svaret i den gule cellen.",IF(ISTEXT(C26),"Skriv bare tallet, uten mellomrom, enhet eller tekst. Enheten står ved siden av cellen. Du kan også skrive regnestykket med likhetstegn foran, for eksempel =2100000/7300.",IF(ABS(C26-(ROUND(106740*0.22,0)))&lt;=1,"Riktig. 106 740 × 0,22 = 23 483 kr.",IF(ABS(C26-(ROUND(106740*0.3,0)))&lt;=1,"Du har brukt 30 %. Det er personskatt i et enkeltpersonforetak. Fjell er et aksjeselskap: 22 % i selskapet.",IF(ABS(C26-(ROUND(144240*0.22,0)))&lt;=1,"Du har regnet av driftsresultatet. Skatten regnes av resultat før skatt, etter rentene: 106 740.",IF(IFERROR(AND(C26&lt;&gt;0,(ROUND(106740*0.22,0))&lt;&gt;0,ROUND(LOG10(ABS(C26/(ROUND(106740*0.22,0)))),0)&lt;&gt;0,ABS(LOG10(ABS(C26/(ROUND(106740*0.22,0))))-ROUND(LOG10(ABS(C26/(ROUND(106740*0.22,0)))),0))&lt;0.004),FALSE),"Sifrene stemmer, men antall nuller eller plasseringen av kommaet er feil. Sjekk om du har regnet i kroner, tusen kroner eller prosent.",IF(ABS(C26-(ROUND(106740*0.22,0)))&lt;=MAX(1,0.01*ABS(ROUND(106740*0.22,0))),"Riktig. 106 740 × 0,22 = 23 483 kr. Svaret ditt ligger litt fra arkets tall fordi du har rundet av underveis. Det er helt greit.",IF(C26&gt;(ROUND(106740*0.22,0)),"Ikke riktig ennå. Svaret ditt er for høyt. Tips: Regnestykket er 22 % av resultat før skatt, 106 740 kr.","Ikke riktig ennå. Svaret ditt er for lavt. Tips: Regnestykket er 22 % av resultat før skatt, 106 740 kr."))))))))</f>
        <v/>
      </c>
    </row>
    <row r="27" ht="40" customHeight="1">
      <c r="B27" s="10" t="inlineStr">
        <is>
          <t>g) Når går skatten for år 1 ut av Fjells konto?</t>
        </is>
      </c>
      <c r="C27" s="14" t="n"/>
      <c r="G27" s="13">
        <f>IF(C27="","Velg i nedtrekksmenyen.",IF(C27="15. februar og 15. april i år 2, i to like deler","Riktig. Et aksjeselskap betaler skatten etterskuddsvis (boka 1.4): forskuddsskatten forfaller 15. februar og 15. april året etter inntektsåret (Skatteetaten). De fire terminene i inntektsåret gjelder enkeltpersonforetak.","Ikke riktig. Les forklaringen og prøv et annet svar: Et aksjeselskap betaler skatten etterskuddsvis (boka 1.4): forskuddsskatten forfaller 15. februar og 15. april året etter inntektsåret (Skatteetaten). De fire terminene i inntektsåret gjelder enkeltpersonforetak."))</f>
        <v/>
      </c>
    </row>
    <row r="28"/>
    <row r="29" ht="30" customHeight="1">
      <c r="B29" s="2" t="inlineStr">
        <is>
          <t>h) I februar ser Mona 437 500 kr komme inn på konto fra januarkundene, og vil bruke dem på en ny servicebil. Hva sier du til henne? Bruk ordene merverdiavgift og skatt, og si noe om datoene.</t>
        </is>
      </c>
    </row>
    <row r="30" ht="22" customHeight="1">
      <c r="B30" s="15" t="n"/>
    </row>
    <row r="31" ht="22" customHeight="1"/>
    <row r="32" ht="22" customHeight="1"/>
    <row r="33" ht="40" customHeight="1">
      <c r="B33" s="16">
        <f>IF(LEN(B30)&lt;40,"",IF(AND(ISNUMBER(SEARCH("merverdiavgift",B30)),ISNUMBER(SEARCH("skatt",B30))),"Bra: du skiller det som er Fjells fra det som er statens, og du har med at merverdiavgiften forfaller 10. april og skatten året etter. Det er å lese kontoen med kalenderen i hånda.",IF(OR(ISNUMBER(SEARCH("merverdiavgift",B30)),ISNUMBER(SEARCH("skatt",B30))),"Du er på sporet. Ta med begge: 87 500 av de 437 500 er merverdiavgift som skal betales 10. april, og skatten for år 1 forfaller 15. februar og 15. april i år 2.","Tips: 87 500 av de 437 500 er merverdiavgift, ikke Fjells penger; oppgjøret for januar og februar forfaller 10. april. Skatten på 23 483 for år 1 forfaller 15. februar og 15. april i år 2. Kontoen ser bedre ut enn den er.")))</f>
        <v/>
      </c>
    </row>
    <row r="34">
      <c r="B34" s="17" t="inlineStr">
        <is>
          <t>Står du fast? Skriv JA i den gule cellen:</t>
        </is>
      </c>
      <c r="C34" s="14" t="n"/>
    </row>
    <row r="35" ht="45" customHeight="1">
      <c r="B35" s="18">
        <f>IF(C34="JA","Hint: a: 24 220 × 0,25 = 6 055. b: 24 220 × 1,25 = 30 275. c: 350 000 × 1,25 = 437 500. d: 350 000 × 0,25 = 87 500. e: 750 000 × 0,25 = 187 500 utgående, (240 000 + 300 000) × 0,25 = 135 000 inngående, 187 500 − 135 000 = 52 500. f: 106 740 × 0,22 = 23 483. g: 15. februar og 15. april i år 2.","")</f>
        <v/>
      </c>
    </row>
    <row r="36"/>
    <row r="37" ht="30" customHeight="1">
      <c r="B37" s="5" t="inlineStr">
        <is>
          <t>Gule celler fyller du inn, gjerne som regnestykke: =2100000/7300. Grønne regnes ut av arket. Sjekken til høyre sier om svaret stemmer, og hva du bør se på hvis ikke.</t>
        </is>
      </c>
    </row>
  </sheetData>
  <mergeCells count="15">
    <mergeCell ref="B3:G3"/>
    <mergeCell ref="B2:G2"/>
    <mergeCell ref="B16:G16"/>
    <mergeCell ref="B10:G10"/>
    <mergeCell ref="B33:G33"/>
    <mergeCell ref="B5:G5"/>
    <mergeCell ref="B37:G37"/>
    <mergeCell ref="B17:G17"/>
    <mergeCell ref="B9:G9"/>
    <mergeCell ref="B35:G35"/>
    <mergeCell ref="B4:G4"/>
    <mergeCell ref="B29:G29"/>
    <mergeCell ref="B7:G7"/>
    <mergeCell ref="B30:G32"/>
    <mergeCell ref="B6:G6"/>
  </mergeCells>
  <conditionalFormatting sqref="G19">
    <cfRule type="expression" priority="1" dxfId="0">
      <formula>LEFT(G19,6)="Riktig"</formula>
    </cfRule>
    <cfRule type="expression" priority="2" dxfId="1">
      <formula>LEFT(G19,6)="Nesten"</formula>
    </cfRule>
    <cfRule type="expression" priority="3" dxfId="2">
      <formula>AND(G19&lt;&gt;"",LEFT(G19,6)&lt;&gt;"Riktig",LEFT(G19,6)&lt;&gt;"Nesten",LEFT(G19,5)&lt;&gt;"Skriv")</formula>
    </cfRule>
  </conditionalFormatting>
  <conditionalFormatting sqref="G20">
    <cfRule type="expression" priority="4" dxfId="0">
      <formula>LEFT(G20,6)="Riktig"</formula>
    </cfRule>
    <cfRule type="expression" priority="5" dxfId="1">
      <formula>LEFT(G20,6)="Nesten"</formula>
    </cfRule>
    <cfRule type="expression" priority="6" dxfId="2">
      <formula>AND(G20&lt;&gt;"",LEFT(G20,6)&lt;&gt;"Riktig",LEFT(G20,6)&lt;&gt;"Nesten",LEFT(G20,5)&lt;&gt;"Skriv")</formula>
    </cfRule>
  </conditionalFormatting>
  <conditionalFormatting sqref="G22">
    <cfRule type="expression" priority="7" dxfId="0">
      <formula>LEFT(G22,6)="Riktig"</formula>
    </cfRule>
    <cfRule type="expression" priority="8" dxfId="1">
      <formula>LEFT(G22,6)="Nesten"</formula>
    </cfRule>
    <cfRule type="expression" priority="9" dxfId="2">
      <formula>AND(G22&lt;&gt;"",LEFT(G22,6)&lt;&gt;"Riktig",LEFT(G22,6)&lt;&gt;"Nesten",LEFT(G22,5)&lt;&gt;"Skriv")</formula>
    </cfRule>
  </conditionalFormatting>
  <conditionalFormatting sqref="G23">
    <cfRule type="expression" priority="10" dxfId="0">
      <formula>LEFT(G23,6)="Riktig"</formula>
    </cfRule>
    <cfRule type="expression" priority="11" dxfId="1">
      <formula>LEFT(G23,6)="Nesten"</formula>
    </cfRule>
    <cfRule type="expression" priority="12" dxfId="2">
      <formula>AND(G23&lt;&gt;"",LEFT(G23,6)&lt;&gt;"Riktig",LEFT(G23,6)&lt;&gt;"Nesten",LEFT(G23,5)&lt;&gt;"Skriv")</formula>
    </cfRule>
  </conditionalFormatting>
  <conditionalFormatting sqref="G25">
    <cfRule type="expression" priority="13" dxfId="0">
      <formula>LEFT(G25,6)="Riktig"</formula>
    </cfRule>
    <cfRule type="expression" priority="14" dxfId="1">
      <formula>LEFT(G25,6)="Nesten"</formula>
    </cfRule>
    <cfRule type="expression" priority="15" dxfId="2">
      <formula>AND(G25&lt;&gt;"",LEFT(G25,6)&lt;&gt;"Riktig",LEFT(G25,6)&lt;&gt;"Nesten",LEFT(G25,5)&lt;&gt;"Skriv")</formula>
    </cfRule>
  </conditionalFormatting>
  <conditionalFormatting sqref="G26">
    <cfRule type="expression" priority="16" dxfId="0">
      <formula>LEFT(G26,6)="Riktig"</formula>
    </cfRule>
    <cfRule type="expression" priority="17" dxfId="1">
      <formula>LEFT(G26,6)="Nesten"</formula>
    </cfRule>
    <cfRule type="expression" priority="18" dxfId="2">
      <formula>AND(G26&lt;&gt;"",LEFT(G26,6)&lt;&gt;"Riktig",LEFT(G26,6)&lt;&gt;"Nesten",LEFT(G26,5)&lt;&gt;"Skriv")</formula>
    </cfRule>
  </conditionalFormatting>
  <conditionalFormatting sqref="G27">
    <cfRule type="expression" priority="19" dxfId="0">
      <formula>LEFT(G27,6)="Riktig"</formula>
    </cfRule>
    <cfRule type="expression" priority="20" dxfId="2">
      <formula>LEFT(G27,4)="Ikke"</formula>
    </cfRule>
  </conditionalFormatting>
  <dataValidations count="2">
    <dataValidation sqref="C27" showDropDown="0" showInputMessage="0" showErrorMessage="0" allowBlank="1" type="list">
      <formula1>$Z$1:$Z$3</formula1>
    </dataValidation>
    <dataValidation sqref="C34"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D25"/>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3" t="inlineStr">
        <is>
          <t>Fasit, kapittel 1</t>
        </is>
      </c>
    </row>
    <row r="3" ht="30" customHeight="1">
      <c r="B3" s="5" t="inlineStr">
        <is>
          <t>Prøv oppgaven selv før du leser her. Regnestykket står ved siden av hvert svar. Tallene hentes fra fasitformlene, så de stemmer alltid med oppgavefanene.</t>
        </is>
      </c>
    </row>
    <row r="5">
      <c r="B5" s="24" t="inlineStr">
        <is>
          <t>Oppgave</t>
        </is>
      </c>
      <c r="C5" s="24" t="inlineStr">
        <is>
          <t>Svar</t>
        </is>
      </c>
      <c r="D5" s="24" t="inlineStr">
        <is>
          <t>Regnestykket</t>
        </is>
      </c>
    </row>
    <row r="6" ht="30" customHeight="1">
      <c r="B6" s="25" t="inlineStr">
        <is>
          <t>1A a) Aksjeselskap uten kausjon</t>
        </is>
      </c>
      <c r="C6" s="22" t="n">
        <v>675000</v>
      </c>
      <c r="D6" s="25" t="inlineStr">
        <is>
          <t>Innskuddet 675 000 kr (aksjekapital 300 000 + overkurs 375 000) er tapt. Etterpå skylder de ingenting (boka 1.4 og 1.6)</t>
        </is>
      </c>
    </row>
    <row r="7" ht="30" customHeight="1">
      <c r="B7" s="25" t="inlineStr">
        <is>
          <t>1A b) Banken kan kreve etter kausjonen</t>
        </is>
      </c>
      <c r="C7" s="22" t="n">
        <v>700000</v>
      </c>
      <c r="D7" s="25" t="inlineStr">
        <is>
          <t>Banken mangler 700 000 kr og har kausjon fra begge</t>
        </is>
      </c>
    </row>
    <row r="8" ht="30" customHeight="1">
      <c r="B8" s="25" t="inlineStr">
        <is>
          <t>1A c) Samlet tap med kausjon</t>
        </is>
      </c>
      <c r="C8" s="22" t="n">
        <v>1375000</v>
      </c>
      <c r="D8" s="25" t="inlineStr">
        <is>
          <t>675 000 + 700 000 = 1 375 000 kr. Polarlys bærer sine 700 000 selv</t>
        </is>
      </c>
    </row>
    <row r="9" ht="30" customHeight="1">
      <c r="B9" s="25" t="inlineStr">
        <is>
          <t>1A d) Delt ansvar (DA), Karis del</t>
        </is>
      </c>
      <c r="C9" s="22" t="n">
        <v>700000</v>
      </c>
      <c r="D9" s="25" t="inlineStr">
        <is>
          <t>1 400 000 × 50 % = 700 000 kr</t>
        </is>
      </c>
    </row>
    <row r="10" ht="30" customHeight="1">
      <c r="B10" s="25" t="inlineStr">
        <is>
          <t>1A e) Solidarisk ansvar (ANS)</t>
        </is>
      </c>
      <c r="C10" s="22" t="inlineStr"/>
      <c r="D10" s="25" t="inlineStr">
        <is>
          <t>Hele 1 400 000 kr kan kreves av Kari alene; hun må kreve Tom etterpå</t>
        </is>
      </c>
    </row>
    <row r="11" ht="30" customHeight="1">
      <c r="B11" s="25" t="inlineStr">
        <is>
          <t>1A f) Enkeltpersonforetak</t>
        </is>
      </c>
      <c r="C11" s="22" t="n">
        <v>1400000</v>
      </c>
      <c r="D11" s="25" t="inlineStr">
        <is>
          <t>Eier og foretak er ett: hun skylder alle 1 400 000 kr</t>
        </is>
      </c>
    </row>
    <row r="12" ht="45" customHeight="1">
      <c r="B12" s="25" t="inlineStr">
        <is>
          <t>1A g) Til Kari</t>
        </is>
      </c>
      <c r="C12" s="22" t="inlineStr"/>
      <c r="D12" s="25" t="inlineStr">
        <is>
          <t>Ja. Kausjonen gjelder bare banklånet; aksjeselskapet skjermer mot Polarlys, kunder og andre kreditorer. Forhandle kausjonen: tak i kroner og dato den faller bort. Begrunnelsen er ansatte, kreditt og ansvar på andres anlegg, ikke skatten</t>
        </is>
      </c>
    </row>
    <row r="13" ht="30" customHeight="1">
      <c r="B13" s="25" t="inlineStr">
        <is>
          <t>1B a) Tidligst faglig ansvarlig</t>
        </is>
      </c>
      <c r="C13" s="22" t="inlineStr"/>
      <c r="D13" s="25" t="inlineStr">
        <is>
          <t>2023. Utdanning 2019, tre års praksis etter utdanningen i august 2022, prøven 2023. Det siste vilkåret avgjør</t>
        </is>
      </c>
    </row>
    <row r="14" ht="45" customHeight="1">
      <c r="B14" s="25" t="inlineStr">
        <is>
          <t>1B b) Fem påstander</t>
        </is>
      </c>
      <c r="C14" s="22" t="inlineStr"/>
      <c r="D14" s="25" t="inlineStr">
        <is>
          <t>Bare den første er i orden. Montørår teller ikke (§ 7), annonse før registrering i Elvirksomhetsregisteret er å tilby, ikke delt stilling, og kravet gjelder uansett selskapsform</t>
        </is>
      </c>
    </row>
    <row r="15" ht="30" customHeight="1">
      <c r="B15" s="25" t="inlineStr">
        <is>
          <t>1B c) Registrene</t>
        </is>
      </c>
      <c r="C15" s="22" t="inlineStr"/>
      <c r="D15" s="25" t="inlineStr">
        <is>
          <t>Enhetsregisteret, Foretaksregisteret, Elvirksomhetsregisteret, Merverdiavgiftsregisteret</t>
        </is>
      </c>
    </row>
    <row r="16" ht="30" customHeight="1">
      <c r="B16" s="25" t="inlineStr">
        <is>
          <t>1B d) Gebyr aksjeselskap 2026</t>
        </is>
      </c>
      <c r="C16" s="22" t="n">
        <v>6825</v>
      </c>
      <c r="D16" s="25" t="inlineStr">
        <is>
          <t>Elektronisk registrering i Enhets- og Foretaksregisteret, brreg.no (hentet 11.10.2026)</t>
        </is>
      </c>
    </row>
    <row r="17" ht="30" customHeight="1">
      <c r="B17" s="25" t="inlineStr">
        <is>
          <t>1B e) Hvorfor aksjeselskap</t>
        </is>
      </c>
      <c r="C17" s="22" t="inlineStr"/>
      <c r="D17" s="25" t="inlineStr">
        <is>
          <t>Ansvar: innskudd og kausjon, ikke alt hun eier. Trygd: som en ansatt. Skatten er selskapets; uttak skattes igjen, så den er ikke argumentet</t>
        </is>
      </c>
    </row>
    <row r="18" ht="30" customHeight="1">
      <c r="B18" s="25" t="inlineStr">
        <is>
          <t>1C a) Merverdiavgift på fakturaen</t>
        </is>
      </c>
      <c r="C18" s="22" t="n">
        <v>6055</v>
      </c>
      <c r="D18" s="25" t="inlineStr">
        <is>
          <t>24 220 × 0,25 = 6 055 kr</t>
        </is>
      </c>
    </row>
    <row r="19" ht="30" customHeight="1">
      <c r="B19" s="25" t="inlineStr">
        <is>
          <t>1C b) Kunden betaler</t>
        </is>
      </c>
      <c r="C19" s="22" t="n">
        <v>30275</v>
      </c>
      <c r="D19" s="25" t="inlineStr">
        <is>
          <t>24 220 × 1,25 = 30 275 kr</t>
        </is>
      </c>
    </row>
    <row r="20" ht="30" customHeight="1">
      <c r="B20" s="25" t="inlineStr">
        <is>
          <t>1C c) Inn på konto i februar</t>
        </is>
      </c>
      <c r="C20" s="22" t="n">
        <v>437500</v>
      </c>
      <c r="D20" s="25" t="inlineStr">
        <is>
          <t>350 000 × 1,25 = 437 500 kr</t>
        </is>
      </c>
    </row>
    <row r="21" ht="30" customHeight="1">
      <c r="B21" s="25" t="inlineStr">
        <is>
          <t>1C d) Av det er statens</t>
        </is>
      </c>
      <c r="C21" s="22" t="n">
        <v>87500</v>
      </c>
      <c r="D21" s="25" t="inlineStr">
        <is>
          <t>350 000 × 0,25 = 87 500 kr</t>
        </is>
      </c>
    </row>
    <row r="22" ht="30" customHeight="1">
      <c r="B22" s="25" t="inlineStr">
        <is>
          <t>1C e) Merverdiavgift å betale 10. april</t>
        </is>
      </c>
      <c r="C22" s="22" t="n">
        <v>52500</v>
      </c>
      <c r="D22" s="25" t="inlineStr">
        <is>
          <t>Utgående 750 000 × 0,25 = 187 500. Inngående (240 000 + 300 000) × 0,25 = 135 000. 187 500 − 135 000 = 52 500 kr</t>
        </is>
      </c>
    </row>
    <row r="23" ht="30" customHeight="1">
      <c r="B23" s="25" t="inlineStr">
        <is>
          <t>1C f) Skatt år 1</t>
        </is>
      </c>
      <c r="C23" s="22" t="n">
        <v>23483</v>
      </c>
      <c r="D23" s="25" t="inlineStr">
        <is>
          <t>106 740 × 0,22 = 23 483 kr</t>
        </is>
      </c>
    </row>
    <row r="24" ht="30" customHeight="1">
      <c r="B24" s="25" t="inlineStr">
        <is>
          <t>1C g) Når skatten betales</t>
        </is>
      </c>
      <c r="C24" s="22" t="inlineStr"/>
      <c r="D24" s="25" t="inlineStr">
        <is>
          <t>15. februar og 15. april i år 2, i to like deler (aksjeselskap betaler etterskuddsvis)</t>
        </is>
      </c>
    </row>
    <row r="25" ht="45" customHeight="1">
      <c r="B25" s="25" t="inlineStr">
        <is>
          <t>1C h) Til Mona</t>
        </is>
      </c>
      <c r="C25" s="22" t="inlineStr"/>
      <c r="D25" s="25" t="inlineStr">
        <is>
          <t>87 500 av de 437 500 er merverdiavgift som forfaller 10. april. Skatten på 23 483 forfaller 15. februar og 15. april i år 2. Les kontoen med kalenderen i hånda før du kjøper bil</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2026-10-31T05:58:20Z</dcterms:created>
  <dcterms:modified xmlns:dcterms="http://purl.org/dc/terms/" xmlns:xsi="http://www.w3.org/2001/XMLSchema-instance" xsi:type="dcterms:W3CDTF">2026-10-31T05:58:20Z</dcterms:modified>
</cp:coreProperties>
</file>