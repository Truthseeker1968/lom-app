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Skatt" sheetId="3" state="visible" r:id="rId5"/>
    <sheet name="Ansvar" sheetId="4" state="visible" r:id="rId6"/>
    <sheet name="Grenser" sheetId="5" state="visible" r:id="rId7"/>
    <sheet name="Scena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<sst xmlns="http://schemas.openxmlformats.org/spreadsheetml/2006/main" count="302" uniqueCount="277">
  <si>
    <t xml:space="preserve">Hvem betaler gjelden? Den enkle versjonen</t>
  </si>
  <si>
    <t xml:space="preserve">Fyll inn de fire gule cellene. Svaret står i den grønne. Alt annet regner seg selv. Vil du gå dypere, ligger hele modellen i arkene bak.</t>
  </si>
  <si>
    <t xml:space="preserve">Det du vet</t>
  </si>
  <si>
    <t xml:space="preserve">Hvor mye gjeld mangler det når konkursboet er gjort opp?</t>
  </si>
  <si>
    <t xml:space="preserve">Det som står igjen når alt boet eier, er solgt og fordelt.</t>
  </si>
  <si>
    <t xml:space="preserve">Hvor stor del av selskapet eier du?</t>
  </si>
  <si>
    <t xml:space="preserve">Brukes bare i DA. Der svarer hver eier for sin andel.</t>
  </si>
  <si>
    <t xml:space="preserve">Hvor mye har eierne kausjonert for personlig?</t>
  </si>
  <si>
    <t xml:space="preserve">Et løfte til banken om å betale selv. Sett 0 hvis ingen har kausjonert.</t>
  </si>
  <si>
    <t xml:space="preserve">Hvor mye aksjekapital skjøt eierne inn?</t>
  </si>
  <si>
    <t xml:space="preserve">Minst 30 000 kroner i et AS. Den er tapt ved konkurs.</t>
  </si>
  <si>
    <t xml:space="preserve">Regnestykket</t>
  </si>
  <si>
    <t xml:space="preserve">Eieren skylder i enkeltpersonforetak</t>
  </si>
  <si>
    <t xml:space="preserve">Ingen vegg mellom eier og firma. Hele beløpet er eierens.</t>
  </si>
  <si>
    <t xml:space="preserve">Kan kreves av én eier i ANS</t>
  </si>
  <si>
    <t xml:space="preserve">En for alle og alle for en. Kreditor velger hvem han går etter.</t>
  </si>
  <si>
    <t xml:space="preserve">Hver eier skylder i DA</t>
  </si>
  <si>
    <t xml:space="preserve">Hver svarer for sin andel av gjelden.</t>
  </si>
  <si>
    <t xml:space="preserve">Eierne skylder i AS uten kausjon</t>
  </si>
  <si>
    <t xml:space="preserve">Aksjekapitalen er tapt. Der stopper det.</t>
  </si>
  <si>
    <t xml:space="preserve">DET EIERNE KAN TAPE PRIVAT I AS MED KAUSJON</t>
  </si>
  <si>
    <t xml:space="preserve">Kausjonen pluss aksjekapitalen. Kausjonen gjelder uansett selskapsform.</t>
  </si>
  <si>
    <t xml:space="preserve">Spart i forhold til enkeltpersonforetak</t>
  </si>
  <si>
    <t xml:space="preserve">Det aksjeselskapet er verdt for eierne i dette tilfellet.</t>
  </si>
  <si>
    <t xml:space="preserve">Hva svaret betyr</t>
  </si>
  <si>
    <t xml:space="preserve">Prøv selv</t>
  </si>
  <si>
    <t xml:space="preserve">1. Sett kausjonen (B7) til 0. Hva kan eierne nå tape i AS?</t>
  </si>
  <si>
    <t xml:space="preserve">2. Sett eierandelen (B6) til 40 %. Hva skylder du i DA?</t>
  </si>
  <si>
    <t xml:space="preserve">3. Sett kausjonen (B7) lik gjelden i B5. Hva er AS-et nå verdt for eierne?</t>
  </si>
  <si>
    <t xml:space="preserve">Tallene er fra eksempelet i kapitlet og Nordlys Elektro AS sin aksjekapital (faktaarket). Kilde: Økonomistyring for LØM-emnet, kap. 1.3 og 1.4. Nordlys Elektro AS er en konstruert casebedrift.</t>
  </si>
  <si>
    <t xml:space="preserve">Selskapsform og skatt</t>
  </si>
  <si>
    <t xml:space="preserve">LØM Økonomistyring kap. 1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</si>
  <si>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</si>
  <si>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</si>
  <si>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</si>
  <si>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</si>
  <si>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</si>
  <si>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</si>
  <si>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</si>
  <si>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</si>
  <si>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</si>
  <si>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</si>
  <si>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Fire gule celler, ett svar. Hvem som betaler gjelden etter en konkurs, i hver selskapsform.</t>
  </si>
  <si>
    <t xml:space="preserve">Skatt</t>
  </si>
  <si>
    <t xml:space="preserve">Hva et gitt overskudd koster deg i skatt i enkeltpersonforetak og i aksjeselskap, og hva som blir igjen — både i selskapet og privat. Her ligger den ene cellen du styrer alt fra: B5.</t>
  </si>
  <si>
    <t xml:space="preserve">Ansvar</t>
  </si>
  <si>
    <t xml:space="preserve">Hva du personlig skylder etter en konkurs, i de fire formene, og hva en personlig kausjon gjør med svaret.</t>
  </si>
  <si>
    <t xml:space="preserve">Grenser</t>
  </si>
  <si>
    <t xml:space="preserve">Revisjonsplikt, regnskapsplikt og bokføringsplikt: fyll inn dine tall og se hvilke plikter som inntrer.</t>
  </si>
  <si>
    <t xml:space="preserve">Scenario</t>
  </si>
  <si>
    <t xml:space="preserve">Tre spørsmål: hva skjer når overskuddet endrer seg, hva ansvarsbegrensningen er verdt den dagen det går galt, og hva montøren i oppgave 5 bør velge.</t>
  </si>
  <si>
    <t xml:space="preserve">Tallene som ligger inne er Nordlys Elektro AS sine egne tall for 2026.</t>
  </si>
  <si>
    <t xml:space="preserve">Arket er laget for å brukes på jobben etterpå: bytt ut de gule cellene med dine egne tall.</t>
  </si>
  <si>
    <t xml:space="preserve">Merk: sammenlikningen i Skatt-arket gjelder overskudd som blir stående i selskapet.</t>
  </si>
  <si>
    <t xml:space="preserve">Penger du tar ut av et aksjeselskap beskattes en gang til, som lønn eller som utbytte.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</si>
  <si>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</si>
  <si>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</si>
  <si>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Den ene knappen</t>
  </si>
  <si>
    <t xml:space="preserve">Skatt!B5</t>
  </si>
  <si>
    <t xml:space="preserve">Overskudd før eierlønn og skatt</t>
  </si>
  <si>
    <t xml:space="preserve">Endrer du denne cellen, følger hele tabellen i Skatt-arket og midtkolonnen i scenario A med.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</si>
  <si>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</si>
  <si>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</si>
  <si>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</si>
  <si>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</si>
  <si>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Fire bedrifter — hvilken form?</t>
  </si>
  <si>
    <t xml:space="preserve">Endre B5 og B6. Les av radene 11 til 15.</t>
  </si>
  <si>
    <t xml:space="preserve">A2 · Konkursen: hvem sitter igjen med regningen?</t>
  </si>
  <si>
    <t xml:space="preserve">Endre B5, B6 og B7. Les av radene 11 til 15 og B18.</t>
  </si>
  <si>
    <t xml:space="preserve">A3 · Klasseoppgave: kunne Tom startet alene?</t>
  </si>
  <si>
    <t xml:space="preserve">Legg anslåtte tall for første driftsår i B5, B6 og B7, og les av D16 og D17. Merk at arket bare svarer på det andre spørsmålet i oppgaven — det første, om foretaket kan tilby tjenesten, avgjøres av FEK § 7 og ikke av tall.</t>
  </si>
  <si>
    <t xml:space="preserve">1 · Fra idé til organisasjonsnummer</t>
  </si>
  <si>
    <t xml:space="preserve">Endre B5 og B6. Les av radene 11 til 15, og B19 og B20 for hva ansvarsbegrensningen er verdt.</t>
  </si>
  <si>
    <t xml:space="preserve">2 · Hva koster formen deg i kroner?</t>
  </si>
  <si>
    <t xml:space="preserve">Endre B5, B6, B7 og B8. Les av rad 14 for penger som blir stående og rad 20 for penger du tar ut. Tabellen i rad 26 til 28 gir deloppgave e).</t>
  </si>
  <si>
    <t xml:space="preserve">3 · Revisjon, regnskap og bokføring</t>
  </si>
  <si>
    <t xml:space="preserve">Endre B5, B6 og B7. Les av kolonne D i radene 10 til 12, og konklusjonene i D16, D17 og D18.</t>
  </si>
  <si>
    <t xml:space="preserve">4 · Fem veier ut — og hva du sitter igjen med</t>
  </si>
  <si>
    <t xml:space="preserve">Endre B5, B6 og B7. Les av radene 11 til 15. Sett B7 til null og se hva som skjer med rad 15.</t>
  </si>
  <si>
    <t xml:space="preserve">5 · Eksamensnær: installatøren som vil starte for seg selv</t>
  </si>
  <si>
    <t xml:space="preserve">Scenario A: endre B8 og D8. Scenario B: endre B29. Scenario C: endre B39, B42, B43 og B57, og les av B44, B50, B51, B53, B54 og B58.</t>
  </si>
  <si>
    <t xml:space="preserve">Kontrollradene</t>
  </si>
  <si>
    <t xml:space="preserve">Hvert regneark har en kontrollblokk. Står det OK, henger tallene sammen. Står det AVVIK, farges cellen rød, og teksten sier hva som ikke går opp.</t>
  </si>
  <si>
    <t xml:space="preserve">Ett unntak: kontrollen i scenario C skal vise AVVIK med tallene som ligger inne. Der er avviket selve svaret — skattefordelen ved aksjeselskap er negativ når hele overskuddet tas ut, og det er nettopp poenget i oppgave 5.</t>
  </si>
  <si>
    <t xml:space="preserve">Kontroller i arbeidsboka: Skatt B32, Skatt B33, Skatt B34, Ansvar B23, Ansvar B24, Ansvar B25, Grenser B26, Grenser B27, Scenario B17, Scenario B33, Scenario B61, Scenario B63, Scenario B64</t>
  </si>
  <si>
    <t xml:space="preserve">Slik henger kapitlet sammen med resten</t>
  </si>
  <si>
    <t xml:space="preserve">Aksjekapitalen Kari og Tom skjøt inn i 2019, står fortsatt i balansen i kapittel 3 og er en del av egenkapitalandelen du regner ut i kapittel 4. Kapitalbehovet ved oppstart tas opp igjen i kapittel 6.</t>
  </si>
  <si>
    <t xml:space="preserve">Kilder</t>
  </si>
  <si>
    <t xml:space="preserve">Hjertnes, J. og Skorpen, K.: Økonomistyring for LØM-emnet (ISBN 978-82-450-5544-3), kapittel 1 «Etablering og oppstart av egen bedrift», avsnitt 1.1 til 1.7 og Tabell 1.1.</t>
  </si>
  <si>
    <t xml:space="preserve">Aksjeloven § 3-1 og § 7-6, regnskapsloven § 1-2 og bokføringsloven § 2 (Lovdata). Skattesatser: Skatteetaten, satser for inntektsåret 2024. Registrering: Brønnøysundregistrene og altinn.no (hentet 08.09.2026).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</si>
  <si>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</si>
  <si>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alle ti kapitlene i Økonomistyring for LØM-emnet.</t>
  </si>
  <si>
    <t xml:space="preserve">Hva koster selskapsformen deg?</t>
  </si>
  <si>
    <t xml:space="preserve">Endre de gule cellene. Alt annet regner seg selv.</t>
  </si>
  <si>
    <t xml:space="preserve">1 · Forutsetninger</t>
  </si>
  <si>
    <t xml:space="preserve">OVERSKUDD FØR EIERLØNN OG SKATT — den ene knappen</t>
  </si>
  <si>
    <t xml:space="preserve">Dette er cellen du endrer. Tabellen nedenfor og scenario C i arket Scenario henter overskuddet herfra.</t>
  </si>
  <si>
    <t xml:space="preserve">Effektiv personbeskatning i enkeltpersonforetak</t>
  </si>
  <si>
    <t xml:space="preserve">Forenklet samlet sats. Se bort fra trinnskattens detaljer.</t>
  </si>
  <si>
    <t xml:space="preserve">Selskapsskatt i aksjeselskap</t>
  </si>
  <si>
    <t xml:space="preserve">Skatteetatens sats. Læreboka bruker den samme i avsnitt 1.4.</t>
  </si>
  <si>
    <t xml:space="preserve">Oppjusteringsfaktor for utbytte</t>
  </si>
  <si>
    <t xml:space="preserve">= Effektiv utbytteskatt</t>
  </si>
  <si>
    <t xml:space="preserve">Selskapsskatt ganger oppjusteringsfaktor. Beskatning nummer to, på eierens hånd.</t>
  </si>
  <si>
    <t xml:space="preserve">Enkeltpersonforetak</t>
  </si>
  <si>
    <t xml:space="preserve">Aksjeselskap</t>
  </si>
  <si>
    <t xml:space="preserve">Hva forskjellen betyr</t>
  </si>
  <si>
    <t xml:space="preserve">Overskudd før skatt</t>
  </si>
  <si>
    <t xml:space="preserve">Samme utgangspunkt i begge former.</t>
  </si>
  <si>
    <t xml:space="preserve">Her ser du hele skattefordelen ved aksjeselskap.</t>
  </si>
  <si>
    <t xml:space="preserve">= Igjen etter skatt</t>
  </si>
  <si>
    <t xml:space="preserve">Men pengene ligger to helt ulike steder.</t>
  </si>
  <si>
    <t xml:space="preserve">Hvem disponerer pengene?</t>
  </si>
  <si>
    <t xml:space="preserve">Eieren, fritt</t>
  </si>
  <si>
    <t xml:space="preserve">Selskapet</t>
  </si>
  <si>
    <t xml:space="preserve">Dette er kjernen: i et aksjeselskap er ikke pengene dine ennå.</t>
  </si>
  <si>
    <t xml:space="preserve">Fordel ved AS for penger som BLIR STÅENDE</t>
  </si>
  <si>
    <t xml:space="preserve">Positivt tall: aksjeselskapet kommer best ut her.</t>
  </si>
  <si>
    <t xml:space="preserve">2 · Hvis du tar ALT ut av selskapet</t>
  </si>
  <si>
    <t xml:space="preserve">Utbytteskatt ved fullt uttak</t>
  </si>
  <si>
    <t xml:space="preserve">—</t>
  </si>
  <si>
    <t xml:space="preserve">Det samme overskuddet beskattes en gang til.</t>
  </si>
  <si>
    <t xml:space="preserve">= Igjen hos deg privat</t>
  </si>
  <si>
    <t xml:space="preserve">Sammenlikn DENNE raden hvis du trenger pengene til å leve av.</t>
  </si>
  <si>
    <t xml:space="preserve">Samlet skattesats</t>
  </si>
  <si>
    <t xml:space="preserve">Aksjeselskapets sats er summen av de to trinnene.</t>
  </si>
  <si>
    <t xml:space="preserve">Fordel ved AS for penger du TAR UT</t>
  </si>
  <si>
    <t xml:space="preserve">Negativt tall: her kommer aksjeselskapet dårligst ut.</t>
  </si>
  <si>
    <t xml:space="preserve">3 · Samme regning ved tre overskuddsnivåer</t>
  </si>
  <si>
    <t xml:space="preserve">Overskudd før eierlønn</t>
  </si>
  <si>
    <t xml:space="preserve">Igjen i EPF</t>
  </si>
  <si>
    <t xml:space="preserve">Igjen i AS-selskapet</t>
  </si>
  <si>
    <t xml:space="preserve">Igjen privat via AS</t>
  </si>
  <si>
    <t xml:space="preserve">Fordel i selskapet</t>
  </si>
  <si>
    <t xml:space="preserve">Fordel privat</t>
  </si>
  <si>
    <t xml:space="preserve">Legg merke til at forholdstallet er det samme på alle tre radene. Alle tre satsene er flate prosenter — derfor skalerer skatten, og derfor blir den aldri det avgjørende argumentet.</t>
  </si>
  <si>
    <t xml:space="preserve">Kontroll</t>
  </si>
  <si>
    <t xml:space="preserve">Er aksjeselskapet best for penger som blir stående?</t>
  </si>
  <si>
    <t xml:space="preserve">Er aksjeselskapet dårligst når alt tas ut?</t>
  </si>
  <si>
    <t xml:space="preserve">Går skatt og rest opp mot overskuddet?</t>
  </si>
  <si>
    <t xml:space="preserve">Konklusjonen å ta med seg</t>
  </si>
  <si>
    <t xml:space="preserve">Sammenlikn rad 14 hvis overskuddet blir stående i selskapet, for eksempel for å bygge egenkapital eller finansiere neste investering.</t>
  </si>
  <si>
    <t xml:space="preserve">Sammenlikn rad 20 hvis du trenger pengene privat. Da går forskjellen den andre veien.</t>
  </si>
  <si>
    <t xml:space="preserve">Og husk: for de fleste er ikke skatten hovedgrunnen til å velge aksjeselskap. Ansvaret er — se arket Ansvar.</t>
  </si>
  <si>
    <t xml:space="preserve">Kilde: Økonomistyring for LØM-emnet kap. 1.4. Aksjeloven § 3-1 og § 7-6, regnskapsloven § 1-2 og bokføringsloven § 2 (Lovdata). Skattesatser: Skatteetaten, satser for inntektsåret 2024. Registrering: Brønnøysundregistrene og altinn.no (hentet 08.09.2026)</t>
  </si>
  <si>
    <t xml:space="preserve">Hva skylder du etter en konkurs?</t>
  </si>
  <si>
    <t xml:space="preserve">Oppgave A2 og oppgave 4 i øvingsheftet. Endre de gule cellene.</t>
  </si>
  <si>
    <t xml:space="preserve">Udekket gjeld etter avsluttet bo</t>
  </si>
  <si>
    <t xml:space="preserve">Din eierandel</t>
  </si>
  <si>
    <t xml:space="preserve">Brukes bare i DA — der hefter hver for sin forholdsmessige andel.</t>
  </si>
  <si>
    <t xml:space="preserve">Personlig kausjon du har stilt</t>
  </si>
  <si>
    <t xml:space="preserve">Sett til 0 hvis du ikke har kausjonert, og se hva som skjer med rad 15.</t>
  </si>
  <si>
    <t xml:space="preserve">Aksjekapital du har skutt inn</t>
  </si>
  <si>
    <t xml:space="preserve">Den er tapt uansett — men den er også taket i et aksjeselskap.</t>
  </si>
  <si>
    <t xml:space="preserve">Selskapsform</t>
  </si>
  <si>
    <t xml:space="preserve">Du skylder dagen etter</t>
  </si>
  <si>
    <t xml:space="preserve">Hvorfor</t>
  </si>
  <si>
    <t xml:space="preserve">Ingen skille mellom deg og foretaket. Hele beløpet er ditt.</t>
  </si>
  <si>
    <t xml:space="preserve">Ansvarlig selskap (ANS)</t>
  </si>
  <si>
    <t xml:space="preserve">Solidarisk ansvar. Kreditor kan kreve hele beløpet av deg alene, og du må selv kreve medeieren din etterpå.</t>
  </si>
  <si>
    <t xml:space="preserve">Ansvarlig selskap (DA)</t>
  </si>
  <si>
    <t xml:space="preserve">Delt ansvar. Du hefter bare for din forholdsmessige andel.</t>
  </si>
  <si>
    <t xml:space="preserve">Begrenset ansvar. Du har tapt aksjekapitalen, og der stopper det.</t>
  </si>
  <si>
    <t xml:space="preserve">Aksjeselskap MED personlig kausjon</t>
  </si>
  <si>
    <t xml:space="preserve">Kausjonen er en selvstendig forpliktelse du har påtatt deg privat. Den overlever konkursen, og selskapsformen beskytter deg ikke mot den.</t>
  </si>
  <si>
    <t xml:space="preserve">2 · Hvor mye av ansvarsbegrensningen står igjen?</t>
  </si>
  <si>
    <t xml:space="preserve">Kausjonen i prosent av den udekkede gjelden</t>
  </si>
  <si>
    <t xml:space="preserve">Så stor del av ansvaret har du i praksis beholdt, selv i et aksjeselskap.</t>
  </si>
  <si>
    <t xml:space="preserve">Samlet tap i aksjeselskap: kausjon og aksjekapital</t>
  </si>
  <si>
    <t xml:space="preserve">Dette er det aksjeselskapet faktisk koster deg i dette tilfellet.</t>
  </si>
  <si>
    <t xml:space="preserve">Verdien av ansvarsbegrensningen, i kroner.</t>
  </si>
  <si>
    <t xml:space="preserve">Går ansvarsstigen oppover?</t>
  </si>
  <si>
    <t xml:space="preserve">Er kausjonen mindre enn den udekkede gjelden?</t>
  </si>
  <si>
    <t xml:space="preserve">Lønner ansvarsbegrensningen seg i dette tilfellet?</t>
  </si>
  <si>
    <t xml:space="preserve">Prøv dette: sett kausjonen i B7 til hele beløpet i B5. Da er ansvarsbegrensningen borte, og aksjeselskapet gir deg ingenting igjen for papirarbeidet. Det er nettopp den situasjonen mange nystartede havner i.</t>
  </si>
  <si>
    <t xml:space="preserve">Kilde: Økonomistyring for LØM-emnet kap. 1.3 og avsnittet om konkurs. Aksjeloven § 3-1 og § 7-6, regnskapsloven § 1-2 og bokføringsloven § 2 (Lovdata). Skattesatser: Skatteetaten, satser for inntektsåret 2024. Registrering: Brønnøysundregistrene og altinn.no (hentet 08.09.2026)</t>
  </si>
  <si>
    <t xml:space="preserve">Er du over grensene?</t>
  </si>
  <si>
    <t xml:space="preserve">Fyll inn tallene for din egen bedrift i de gule cellene.</t>
  </si>
  <si>
    <t xml:space="preserve">1 · Din bedrift</t>
  </si>
  <si>
    <t xml:space="preserve">Driftsinntekter</t>
  </si>
  <si>
    <t xml:space="preserve">Tallet for Nordlys Elektro AS 2026 ligger inne som eksempel.</t>
  </si>
  <si>
    <t xml:space="preserve">Sum eiendeler i balansen</t>
  </si>
  <si>
    <t xml:space="preserve">Sum av anleggsmidler og omløpsmidler. Se kapittel 3.</t>
  </si>
  <si>
    <t xml:space="preserve">Gjennomsnittlig antall årsverk</t>
  </si>
  <si>
    <t xml:space="preserve">Grense</t>
  </si>
  <si>
    <t xml:space="preserve">Din verdi</t>
  </si>
  <si>
    <t xml:space="preserve">Grensen</t>
  </si>
  <si>
    <t xml:space="preserve">Over?</t>
  </si>
  <si>
    <t xml:space="preserve">Hva grensen måler</t>
  </si>
  <si>
    <t xml:space="preserve">Revisjonsplikt — driftsinntekter</t>
  </si>
  <si>
    <t xml:space="preserve">Hvor stor omsetning bedriften har.</t>
  </si>
  <si>
    <t xml:space="preserve">Revisjonsplikt — eiendeler</t>
  </si>
  <si>
    <t xml:space="preserve">Hvor mye kapital som er bundet. En installatør ligger lavt her.</t>
  </si>
  <si>
    <t xml:space="preserve">Revisjonsplikt — årsverk</t>
  </si>
  <si>
    <t xml:space="preserve">Hvor mange folk bedriften har ansvar for.</t>
  </si>
  <si>
    <t xml:space="preserve">Antall grenser som er passert</t>
  </si>
  <si>
    <t xml:space="preserve">2 · Konklusjon</t>
  </si>
  <si>
    <t xml:space="preserve">Et AS slipper revisor bare når ALLE tre ligger under.</t>
  </si>
  <si>
    <t xml:space="preserve">Enkeltpersonforetak og ANS/DA</t>
  </si>
  <si>
    <t xml:space="preserve">Plikten inntrer så snart MINST ÉN grense passeres.</t>
  </si>
  <si>
    <t xml:space="preserve">Bokføringsplikt</t>
  </si>
  <si>
    <t xml:space="preserve">JA — alltid</t>
  </si>
  <si>
    <t xml:space="preserve">Alle som driver næring og er registrert i Enhetsregisteret. Uansett størrelse og form.</t>
  </si>
  <si>
    <t xml:space="preserve">3 · Aksjekapitalen</t>
  </si>
  <si>
    <t xml:space="preserve">Lovens minstekrav</t>
  </si>
  <si>
    <t xml:space="preserve">Det du skyter inn</t>
  </si>
  <si>
    <t xml:space="preserve">Ganger minstekravet</t>
  </si>
  <si>
    <t xml:space="preserve">Kari og Tom skjøt inn ti ganger minstekravet i 2019 — like mye et signal til bank og grossist som det er penger.</t>
  </si>
  <si>
    <t xml:space="preserve">Er bedriften over minst én grense?</t>
  </si>
  <si>
    <t xml:space="preserve">Er aksjekapitalen minst lovens minstekrav?</t>
  </si>
  <si>
    <t xml:space="preserve">Merk forskjellen mellom de tre pliktene: bokføringsplikten sier at du må registrere hver transaksjon. Regnskapsplikten sier at du i tillegg må sette opp og sende inn et årsregnskap. Revisjonsplikten sier at en uavhengig tredjepart må gå god for tallene.</t>
  </si>
  <si>
    <t xml:space="preserve">Kilde: Økonomistyring for LØM-emnet kap. 1.2. Aksjeloven § 3-1 og § 7-6, regnskapsloven § 1-2 og bokføringsloven § 2 (Lovdata). Skattesatser: Skatteetaten, satser for inntektsåret 2024. Registrering: Brønnøysundregistrene og altinn.no (hentet 08.09.2026)</t>
  </si>
  <si>
    <t xml:space="preserve">Tre scenarioer</t>
  </si>
  <si>
    <t xml:space="preserve">Endre de gule cellene og se hva som skjer. Alle tall hentes fra de andre arkene.</t>
  </si>
  <si>
    <t xml:space="preserve">Scenario A · overskuddet endrer seg</t>
  </si>
  <si>
    <t xml:space="preserve">Satsene er de samme. Det eneste som endrer seg, er hvor stort overskuddet er.</t>
  </si>
  <si>
    <t xml:space="preserve">Lavt overskudd</t>
  </si>
  <si>
    <t xml:space="preserve">Overskuddet du regner med</t>
  </si>
  <si>
    <t xml:space="preserve">Høyt overskudd</t>
  </si>
  <si>
    <t xml:space="preserve">Hva raden betyr</t>
  </si>
  <si>
    <t xml:space="preserve">Midtkolonnen henter fra Skatt!B5. De to gule kan du endre fritt.</t>
  </si>
  <si>
    <t xml:space="preserve">Igjen i enkeltpersonforetak</t>
  </si>
  <si>
    <t xml:space="preserve">Ett skattetrinn. Pengene er eierens.</t>
  </si>
  <si>
    <t xml:space="preserve">Igjen i aksjeselskapet</t>
  </si>
  <si>
    <t xml:space="preserve">Ett skattetrinn, men pengene ligger i selskapet.</t>
  </si>
  <si>
    <t xml:space="preserve">Igjen privat via aksjeselskap og utbytte</t>
  </si>
  <si>
    <t xml:space="preserve">To skattetrinn. Dette er tallet å sammenlikne med rad 9.</t>
  </si>
  <si>
    <t xml:space="preserve">= Fordel ved AS for penger som blir stående</t>
  </si>
  <si>
    <t xml:space="preserve">Positivt på alle tre nivåene.</t>
  </si>
  <si>
    <t xml:space="preserve">= Fordel ved AS for penger du tar ut</t>
  </si>
  <si>
    <t xml:space="preserve">Negativt på alle tre nivåene. Det er hele poenget.</t>
  </si>
  <si>
    <t xml:space="preserve">Fordelen i selskapet, i prosent av overskuddet</t>
  </si>
  <si>
    <t xml:space="preserve">Legg merke til at prosenten er den samme i alle tre kolonnene.</t>
  </si>
  <si>
    <t xml:space="preserve">Er forholdstallet det samme uansett overskuddsnivå?</t>
  </si>
  <si>
    <t xml:space="preserve">Scenario B · det går galt</t>
  </si>
  <si>
    <t xml:space="preserve">Samme konkurs som i arket Ansvar, men her måles den mot det bedriften tjener på et år.</t>
  </si>
  <si>
    <t xml:space="preserve">Du skylder som enkeltpersonforetak</t>
  </si>
  <si>
    <t xml:space="preserve">Ditt samlede tap som aksjeselskap: kausjon og aksjekapital</t>
  </si>
  <si>
    <t xml:space="preserve">= Verdien av ansvarsbegrensningen</t>
  </si>
  <si>
    <t xml:space="preserve">Dette er hva aksjeselskapet er verdt den dagen det går galt.</t>
  </si>
  <si>
    <t xml:space="preserve">Igjen etter skatt på ett år (fra Skatt!B20)</t>
  </si>
  <si>
    <t xml:space="preserve">Ansvarsbegrensningen målt i år</t>
  </si>
  <si>
    <t xml:space="preserve">Så mange års inntekt etter skatt sparer ansvarsbegrensningen deg for.</t>
  </si>
  <si>
    <t xml:space="preserve">Merkostnad ved aksjeselskap per år</t>
  </si>
  <si>
    <t xml:space="preserve">År med merkostnad før den er like dyr som konkursen</t>
  </si>
  <si>
    <t xml:space="preserve">Så mange år må du betale for aksjeselskapet før det koster like mye som én konkurs uten ansvarsbegrensning.</t>
  </si>
  <si>
    <t xml:space="preserve">Er ansvarsbegrensningen verdt mer enn merkostnaden?</t>
  </si>
  <si>
    <t xml:space="preserve">Scenario C · installatøren som vil starte for seg selv</t>
  </si>
  <si>
    <t xml:space="preserve">Oppgave 5 i øvingsheftet. Regn først, drøft etterpå.</t>
  </si>
  <si>
    <t xml:space="preserve">Forutsetning: han fyller selv FEK § 7 — fagskole, tre års praksis etter endt utdanning og installatørprøven — og kan stå som faglig ansvarlig. Uten det er selskapsform ikke hans første spørsmål.</t>
  </si>
  <si>
    <t xml:space="preserve">Fakturerte montørtimer i året</t>
  </si>
  <si>
    <t xml:space="preserve">Alene rekker han færre timer enn en montør i en bemannet bedrift.</t>
  </si>
  <si>
    <t xml:space="preserve">Timepris uten mva.</t>
  </si>
  <si>
    <t xml:space="preserve">= Timeinntekt</t>
  </si>
  <si>
    <t xml:space="preserve">Bruttofortjeneste på materiell</t>
  </si>
  <si>
    <t xml:space="preserve">Påslaget på materiellet han kjøper inn og fakturerer videre.</t>
  </si>
  <si>
    <t xml:space="preserve">− egne faste kostnader</t>
  </si>
  <si>
    <t xml:space="preserve">Bil, verktøy, forsikring, regnskapsfører, telefon og kurs.</t>
  </si>
  <si>
    <t xml:space="preserve">= Overskudd før eierlønn</t>
  </si>
  <si>
    <t xml:space="preserve">Skatteregningen for dette overskuddet</t>
  </si>
  <si>
    <t xml:space="preserve">Igjen som enkeltpersonforetak</t>
  </si>
  <si>
    <t xml:space="preserve">Igjen i aksjeselskapet, penger som blir stående</t>
  </si>
  <si>
    <t xml:space="preserve">= Skattefordel ved AS for penger som blir stående</t>
  </si>
  <si>
    <t xml:space="preserve">= Skattefordel ved AS for penger han tar ut</t>
  </si>
  <si>
    <t xml:space="preserve">Han sa selv at han trenger hele overskuddet til å leve av. Da er det denne raden som gjelder.</t>
  </si>
  <si>
    <t xml:space="preserve">= Netto etter merkostnad, penger som blir stående</t>
  </si>
  <si>
    <t xml:space="preserve">Merkostnaden målt i fakturerte timer</t>
  </si>
  <si>
    <t xml:space="preserve">Så mange timer må han fakturere for å betale for aksjeselskapet.</t>
  </si>
  <si>
    <t xml:space="preserve">Og det som faktisk avgjør</t>
  </si>
  <si>
    <t xml:space="preserve">En ansvarssak på et elektrisk anlegg</t>
  </si>
  <si>
    <t xml:space="preserve">Målt i år av det han sitter igjen med</t>
  </si>
  <si>
    <t xml:space="preserve">Skatten skalerer med overskuddet. Ansvaret gjør ikke det — det kan komme på én dag.</t>
  </si>
  <si>
    <t xml:space="preserve">Taler skatten for eller mot aksjeselskap når alt tas ut?</t>
  </si>
  <si>
    <t xml:space="preserve">Her SKAL det stå AVVIK med tallene som ligger inne. Det er hele poenget i oppgave 5: skatten er ikke argumentet for aksjeselskap. Ansvaret er.</t>
  </si>
  <si>
    <t xml:space="preserve">Er han under revisjonsgrensen for driftsinntekter?</t>
  </si>
  <si>
    <t xml:space="preserve">Er ansvarssaken større enn ett års inntekt?</t>
  </si>
  <si>
    <t xml:space="preserve">Kilde: Økonomistyring for LØM-emnet kap. 1.1 til 1.4, med støtte i kap. 4 om egenkapitalandel og kap. 6 om kapitalbehov ved oppstart. Aksjeloven § 3-1 og § 7-6, regnskapsloven § 1-2 og bokføringsloven § 2 (Lovdata). Skattesatser: Skatteetaten, satser for inntektsåret 2024. Registrering: Brønnøysundregistrene og altinn.no (hentet 08.09.2026)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</si>
</sst>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\ %"/>
    <numFmt numFmtId="167" formatCode="#,##0&quot; kr&quot;"/>
    <numFmt numFmtId="168" formatCode="0.0%"/>
    <numFmt numFmtId="169" formatCode="#,##0.00"/>
    <numFmt numFmtId="170" formatCode="#,##0.00&quot; kr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  <xf numFmtId="164" fontId="11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/>
      <c r="C4" s="5"/>
    </row>
    <row ht="27" customHeight="true" r="5" customFormat="false" hidden="false" outlineLevel="0" collapsed="false">
      <c r="A5" s="6" t="s">
        <v>3</v>
      </c>
      <c r="B5" s="7" t="n">
        <v>2400000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0.5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800000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300000</v>
      </c>
      <c r="C8" s="8" t="s">
        <v>10</v>
      </c>
    </row>
    <row r="9" customFormat="false" ht="15" hidden="false" customHeight="true" outlineLevel="0" collapsed="false"/>
    <row r="10" customFormat="false" ht="15" hidden="false" customHeight="true" outlineLevel="0" collapsed="false">
      <c r="A10" s="4" t="s">
        <v>11</v>
      </c>
      <c r="B10" s="5"/>
      <c r="C10" s="5"/>
    </row>
    <row r="11" customFormat="false" ht="15" hidden="false" customHeight="true" outlineLevel="0" collapsed="false">
      <c r="A11" s="6" t="s">
        <v>12</v>
      </c>
      <c r="B11" s="10" t="n">
        <f aca="false">B5</f>
        <v>2400000</v>
      </c>
      <c r="C11" s="8" t="s">
        <v>13</v>
      </c>
    </row>
    <row r="12" customFormat="false" ht="15" hidden="false" customHeight="true" outlineLevel="0" collapsed="false">
      <c r="A12" s="6" t="s">
        <v>14</v>
      </c>
      <c r="B12" s="10" t="n">
        <f aca="false">B5</f>
        <v>2400000</v>
      </c>
      <c r="C12" s="8" t="s">
        <v>15</v>
      </c>
    </row>
    <row r="13" customFormat="false" ht="15" hidden="false" customHeight="true" outlineLevel="0" collapsed="false">
      <c r="A13" s="6" t="s">
        <v>16</v>
      </c>
      <c r="B13" s="10" t="n">
        <f aca="false">B5*B6</f>
        <v>1200000</v>
      </c>
      <c r="C13" s="8" t="s">
        <v>17</v>
      </c>
    </row>
    <row r="14" customFormat="false" ht="15" hidden="false" customHeight="true" outlineLevel="0" collapsed="false">
      <c r="A14" s="6" t="s">
        <v>18</v>
      </c>
      <c r="B14" s="10" t="n">
        <f aca="false">0*B5</f>
        <v>0</v>
      </c>
      <c r="C14" s="8" t="s">
        <v>19</v>
      </c>
    </row>
    <row r="15" customFormat="false" ht="15" hidden="false" customHeight="true" outlineLevel="0" collapsed="false"/>
    <row ht="32.25" customHeight="true" r="16" customFormat="false" hidden="false" outlineLevel="0" collapsed="false">
      <c r="A16" s="11" t="s">
        <v>20</v>
      </c>
      <c r="B16" s="12" t="n">
        <f aca="false">B7+B8</f>
        <v>1100000</v>
      </c>
      <c r="C16" s="8" t="s">
        <v>21</v>
      </c>
    </row>
    <row r="17" customFormat="false" ht="15" hidden="false" customHeight="true" outlineLevel="0" collapsed="false">
      <c r="A17" s="6" t="s">
        <v>22</v>
      </c>
      <c r="B17" s="10" t="n">
        <f aca="false">B11-B16</f>
        <v>1300000</v>
      </c>
      <c r="C17" s="8" t="s">
        <v>23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4" t="s">
        <v>24</v>
      </c>
      <c r="B19" s="5"/>
      <c r="C19" s="5"/>
    </row>
    <row r="20" customFormat="false" ht="33.75" hidden="false" customHeight="true" outlineLevel="0" collapsed="false">
      <c r="A20" s="13" t="str">
        <f aca="false">"I et enkeltpersonforetak skylder eieren "&amp;TEXT(ROUND(B11,0),"#,##0")&amp;" kroner. I et AS med kausjon kan eierne tape "&amp;TEXT(ROUND(B16,0),"#,##0")&amp;" kroner privat."</f>
        <v>I et enkeltpersonforetak skylder eieren 2,400,000 kroner. I et AS med kausjon kan eierne tape 1,100,000 kroner privat.</v>
      </c>
      <c r="B20" s="13"/>
      <c r="C20" s="13"/>
    </row>
    <row r="21" customFormat="false" ht="15" hidden="false" customHeight="true" outlineLevel="0" collapsed="false"/>
    <row r="22" customFormat="false" ht="15" hidden="false" customHeight="true" outlineLevel="0" collapsed="false">
      <c r="A22" s="4" t="s">
        <v>25</v>
      </c>
      <c r="B22" s="5"/>
      <c r="C22" s="5"/>
    </row>
    <row r="23" customFormat="false" ht="15" hidden="false" customHeight="true" outlineLevel="0" collapsed="false">
      <c r="A23" s="14" t="s">
        <v>26</v>
      </c>
      <c r="B23" s="14"/>
      <c r="C23" s="14"/>
    </row>
    <row r="24" customFormat="false" ht="15" hidden="false" customHeight="true" outlineLevel="0" collapsed="false">
      <c r="A24" s="14" t="s">
        <v>27</v>
      </c>
      <c r="B24" s="14"/>
      <c r="C24" s="14"/>
    </row>
    <row r="25" customFormat="false" ht="15" hidden="false" customHeight="true" outlineLevel="0" collapsed="false">
      <c r="A25" s="14" t="s">
        <v>28</v>
      </c>
      <c r="B25" s="14"/>
      <c r="C25" s="14"/>
    </row>
    <row r="26" customFormat="false" ht="15" hidden="false" customHeight="true" outlineLevel="0" collapsed="false"/>
    <row r="27" customFormat="false" ht="27" hidden="false" customHeight="true" outlineLevel="0" collapsed="false">
      <c r="A27" s="3" t="s">
        <v>29</v>
      </c>
      <c r="B27" s="3"/>
      <c r="C27" s="3"/>
    </row>
  </sheetData>
  <mergeCells count="6">
    <mergeCell ref="A2:C2"/>
    <mergeCell ref="A20:C20"/>
    <mergeCell ref="A23:C23"/>
    <mergeCell ref="A24:C24"/>
    <mergeCell ref="A25:C25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64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15" t="s">
        <v>31</v>
      </c>
    </row>
    <row r="3" customFormat="false" ht="15" hidden="false" customHeight="true" outlineLevel="0" collapsed="false">
      <c r="A3" s="16" t="s">
        <v>32</v>
      </c>
    </row>
    <row r="4" customFormat="false" ht="15" hidden="false" customHeight="true" outlineLevel="0" collapsed="false">
      <c r="A4" s="17" t="s">
        <v>33</v>
      </c>
    </row>
    <row r="5" customFormat="false" ht="15" hidden="false" customHeight="true" outlineLevel="0" collapsed="false">
      <c r="A5" s="18" t="s">
        <v>34</v>
      </c>
      <c r="B5" s="19" t="s">
        <v>35</v>
      </c>
    </row>
    <row r="6" customFormat="false" ht="15" hidden="false" customHeight="true" outlineLevel="0" collapsed="false">
      <c r="A6" s="20" t="s">
        <v>36</v>
      </c>
      <c r="B6" s="19" t="s">
        <v>37</v>
      </c>
    </row>
    <row r="7" customFormat="false" ht="15" hidden="false" customHeight="true" outlineLevel="0" collapsed="false">
      <c r="A7" s="20" t="s">
        <v>38</v>
      </c>
      <c r="B7" s="19" t="s">
        <v>39</v>
      </c>
    </row>
    <row r="9" customFormat="false" ht="15" hidden="false" customHeight="true" outlineLevel="0" collapsed="false">
      <c r="A9" s="17" t="s">
        <v>40</v>
      </c>
    </row>
    <row r="10" customFormat="false" ht="15" hidden="false" customHeight="true" outlineLevel="0" collapsed="false">
      <c r="A10" s="21" t="s">
        <v>41</v>
      </c>
      <c r="B10" s="19" t="s">
        <v>42</v>
      </c>
    </row>
    <row r="11" customFormat="false" ht="15" hidden="false" customHeight="true" outlineLevel="0" collapsed="false">
      <c r="A11" s="21" t="s">
        <v>43</v>
      </c>
      <c r="B11" s="19" t="s">
        <v>44</v>
      </c>
    </row>
    <row r="12" customFormat="false" ht="15" hidden="false" customHeight="true" outlineLevel="0" collapsed="false">
      <c r="A12" s="21" t="s">
        <v>45</v>
      </c>
      <c r="B12" s="19" t="s">
        <v>46</v>
      </c>
    </row>
    <row r="13" customFormat="false" ht="15" hidden="false" customHeight="true" outlineLevel="0" collapsed="false">
      <c r="A13" s="21" t="s">
        <v>47</v>
      </c>
      <c r="B13" s="19" t="s">
        <v>48</v>
      </c>
    </row>
    <row r="14" customFormat="false" ht="15" hidden="false" customHeight="true" outlineLevel="0" collapsed="false">
      <c r="A14" s="21" t="s">
        <v>49</v>
      </c>
      <c r="B14" s="19" t="s">
        <v>50</v>
      </c>
    </row>
    <row r="16" customFormat="false" ht="15" hidden="false" customHeight="true" outlineLevel="0" collapsed="false">
      <c r="A16" s="16" t="s">
        <v>51</v>
      </c>
    </row>
    <row r="17" customFormat="false" ht="15" hidden="false" customHeight="true" outlineLevel="0" collapsed="false">
      <c r="A17" s="16" t="s">
        <v>52</v>
      </c>
    </row>
    <row r="18" customFormat="false" ht="15" hidden="false" customHeight="true" outlineLevel="0" collapsed="false">
      <c r="A18" s="16" t="s">
        <v>53</v>
      </c>
    </row>
    <row r="19" customFormat="false" ht="15" hidden="false" customHeight="true" outlineLevel="0" collapsed="false">
      <c r="A19" s="16" t="s">
        <v>54</v>
      </c>
    </row>
    <row r="21" customFormat="false" ht="15" hidden="false" customHeight="true" outlineLevel="0" collapsed="false">
      <c r="A21" s="16" t="s">
        <v>55</v>
      </c>
    </row>
    <row r="22" customFormat="false" ht="15" hidden="false" customHeight="true" outlineLevel="0" collapsed="false">
      <c r="A22" s="16" t="s">
        <v>56</v>
      </c>
    </row>
    <row r="24" customFormat="false" ht="15" hidden="false" customHeight="true" outlineLevel="0" collapsed="false">
      <c r="A24" s="17" t="s">
        <v>57</v>
      </c>
    </row>
    <row r="25" customFormat="false" ht="15" hidden="false" customHeight="true" outlineLevel="0" collapsed="false">
      <c r="A25" s="19" t="s">
        <v>58</v>
      </c>
      <c r="B25" s="19" t="s">
        <v>59</v>
      </c>
      <c r="C25" s="19" t="s">
        <v>60</v>
      </c>
    </row>
    <row r="27" customFormat="false" ht="15" hidden="false" customHeight="true" outlineLevel="0" collapsed="false">
      <c r="A27" s="17" t="s">
        <v>61</v>
      </c>
    </row>
    <row r="28" customFormat="false" ht="27.75" hidden="false" customHeight="true" outlineLevel="0" collapsed="false">
      <c r="A28" s="22" t="s">
        <v>62</v>
      </c>
      <c r="B28" s="22" t="s">
        <v>63</v>
      </c>
      <c r="C28" s="22" t="s">
        <v>64</v>
      </c>
    </row>
    <row r="29" customFormat="false" ht="15" hidden="false" customHeight="true" outlineLevel="0" collapsed="false">
      <c r="A29" s="19" t="s">
        <v>65</v>
      </c>
      <c r="B29" s="21" t="s">
        <v>45</v>
      </c>
      <c r="C29" s="19" t="s">
        <v>66</v>
      </c>
    </row>
    <row ht="27" customHeight="true" r="30" customFormat="false" hidden="false" outlineLevel="0" collapsed="false">
      <c s="40" r="A30" t="s">
        <v>67</v>
      </c>
      <c r="B30" s="21" t="s">
        <v>45</v>
      </c>
      <c r="C30" s="19" t="s">
        <v>68</v>
      </c>
    </row>
    <row r="31" customFormat="false" ht="15" hidden="false" customHeight="true" outlineLevel="0" collapsed="false">
      <c r="A31" s="19" t="s">
        <v>69</v>
      </c>
      <c r="B31" s="21" t="s">
        <v>47</v>
      </c>
      <c r="C31" s="19" t="s">
        <v>70</v>
      </c>
    </row>
    <row r="32" customFormat="false" ht="15" hidden="false" customHeight="true" outlineLevel="0" collapsed="false">
      <c r="A32" s="19" t="s">
        <v>71</v>
      </c>
      <c r="B32" s="21" t="s">
        <v>45</v>
      </c>
      <c r="C32" s="19" t="s">
        <v>72</v>
      </c>
    </row>
    <row r="33" customFormat="false" ht="15" hidden="false" customHeight="true" outlineLevel="0" collapsed="false">
      <c r="A33" s="19" t="s">
        <v>73</v>
      </c>
      <c r="B33" s="21" t="s">
        <v>43</v>
      </c>
      <c r="C33" s="19" t="s">
        <v>74</v>
      </c>
    </row>
    <row r="34" customFormat="false" ht="15" hidden="false" customHeight="true" outlineLevel="0" collapsed="false">
      <c r="A34" s="19" t="s">
        <v>75</v>
      </c>
      <c r="B34" s="21" t="s">
        <v>47</v>
      </c>
      <c r="C34" s="19" t="s">
        <v>76</v>
      </c>
    </row>
    <row r="35" customFormat="false" ht="15" hidden="false" customHeight="true" outlineLevel="0" collapsed="false">
      <c r="A35" s="19" t="s">
        <v>77</v>
      </c>
      <c r="B35" s="21" t="s">
        <v>45</v>
      </c>
      <c r="C35" s="19" t="s">
        <v>78</v>
      </c>
    </row>
    <row ht="27" customHeight="true" r="36" customFormat="false" hidden="false" outlineLevel="0" collapsed="false">
      <c s="40" r="A36" t="s">
        <v>79</v>
      </c>
      <c r="B36" s="21" t="s">
        <v>49</v>
      </c>
      <c r="C36" s="19" t="s">
        <v>80</v>
      </c>
    </row>
    <row r="38" customFormat="false" ht="15" hidden="false" customHeight="true" outlineLevel="0" collapsed="false">
      <c r="A38" s="17" t="s">
        <v>81</v>
      </c>
    </row>
    <row r="39" customFormat="false" ht="15" hidden="false" customHeight="true" outlineLevel="0" collapsed="false">
      <c r="A39" s="19" t="s">
        <v>82</v>
      </c>
    </row>
    <row r="40" customFormat="false" ht="15" hidden="false" customHeight="true" outlineLevel="0" collapsed="false">
      <c r="A40" s="19" t="s">
        <v>83</v>
      </c>
    </row>
    <row r="41" customFormat="false" ht="15" hidden="false" customHeight="true" outlineLevel="0" collapsed="false">
      <c r="A41" s="16" t="s">
        <v>84</v>
      </c>
    </row>
    <row r="43" customFormat="false" ht="15" hidden="false" customHeight="true" outlineLevel="0" collapsed="false">
      <c r="A43" s="17" t="s">
        <v>85</v>
      </c>
    </row>
    <row r="44" customFormat="false" ht="15" hidden="false" customHeight="true" outlineLevel="0" collapsed="false">
      <c r="A44" s="19" t="s">
        <v>86</v>
      </c>
    </row>
    <row r="46" customFormat="false" ht="15" hidden="false" customHeight="true" outlineLevel="0" collapsed="false">
      <c r="A46" s="17" t="s">
        <v>87</v>
      </c>
    </row>
    <row r="47" customFormat="false" ht="15" hidden="false" customHeight="true" outlineLevel="0" collapsed="false">
      <c r="A47" s="16" t="s">
        <v>88</v>
      </c>
    </row>
    <row r="48" customFormat="false" ht="15" hidden="false" customHeight="true" outlineLevel="0" collapsed="false">
      <c r="A48" s="16" t="s">
        <v>89</v>
      </c>
    </row>
    <row r="49" customFormat="false" ht="15" hidden="false" customHeight="true" outlineLevel="0" collapsed="false">
      <c r="A49" s="16" t="s">
        <v>90</v>
      </c>
    </row>
    <row r="50" customFormat="false" ht="15" hidden="false" customHeight="true" outlineLevel="0" collapsed="false">
      <c r="A50" s="1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7"/>
    <col collapsed="false" customWidth="true" hidden="false" outlineLevel="0" max="4" min="4" style="1" width="54"/>
  </cols>
  <sheetData>
    <row r="1" customFormat="false" ht="17.25" hidden="false" customHeight="true" outlineLevel="0" collapsed="false">
      <c r="A1" s="2" t="s">
        <v>92</v>
      </c>
    </row>
    <row r="2" customFormat="false" ht="15" hidden="false" customHeight="true" outlineLevel="0" collapsed="false">
      <c r="A2" s="15" t="s">
        <v>93</v>
      </c>
    </row>
    <row r="4" customFormat="false" ht="15" hidden="false" customHeight="true" outlineLevel="0" collapsed="false">
      <c r="A4" s="17" t="s">
        <v>94</v>
      </c>
    </row>
    <row ht="27" customHeight="true" r="5" customFormat="false" hidden="false" outlineLevel="0" collapsed="false">
      <c s="41" r="A5" t="s">
        <v>95</v>
      </c>
      <c r="B5" s="23" t="n">
        <v>900000</v>
      </c>
      <c r="D5" s="19" t="s">
        <v>96</v>
      </c>
    </row>
    <row r="6" customFormat="false" ht="15" hidden="false" customHeight="true" outlineLevel="0" collapsed="false">
      <c r="A6" s="19" t="s">
        <v>97</v>
      </c>
      <c r="B6" s="24" t="n">
        <v>0.34</v>
      </c>
      <c r="D6" s="19" t="s">
        <v>98</v>
      </c>
    </row>
    <row r="7" customFormat="false" ht="15" hidden="false" customHeight="true" outlineLevel="0" collapsed="false">
      <c r="A7" s="19" t="s">
        <v>99</v>
      </c>
      <c r="B7" s="24" t="n">
        <v>0.22</v>
      </c>
      <c r="D7" s="19" t="s">
        <v>100</v>
      </c>
    </row>
    <row r="8" customFormat="false" ht="15" hidden="false" customHeight="true" outlineLevel="0" collapsed="false">
      <c r="A8" s="19" t="s">
        <v>101</v>
      </c>
      <c r="B8" s="25" t="n">
        <v>1.72</v>
      </c>
    </row>
    <row r="9" customFormat="false" ht="15" hidden="false" customHeight="true" outlineLevel="0" collapsed="false">
      <c r="A9" s="19" t="s">
        <v>102</v>
      </c>
      <c r="B9" s="26" t="n">
        <f aca="false">B7*B8</f>
        <v>0.3784</v>
      </c>
      <c r="D9" s="19" t="s">
        <v>103</v>
      </c>
    </row>
    <row r="11" customFormat="false" ht="27.75" hidden="false" customHeight="true" outlineLevel="0" collapsed="false">
      <c r="A11" s="22"/>
      <c r="B11" s="22" t="s">
        <v>104</v>
      </c>
      <c r="C11" s="22" t="s">
        <v>105</v>
      </c>
      <c r="D11" s="22" t="s">
        <v>106</v>
      </c>
    </row>
    <row r="12" customFormat="false" ht="15" hidden="false" customHeight="true" outlineLevel="0" collapsed="false">
      <c r="A12" s="19" t="s">
        <v>107</v>
      </c>
      <c r="B12" s="27" t="n">
        <f aca="false">$B$5</f>
        <v>900000</v>
      </c>
      <c r="C12" s="27" t="n">
        <f aca="false">$B$5</f>
        <v>900000</v>
      </c>
      <c r="D12" s="19" t="s">
        <v>108</v>
      </c>
    </row>
    <row r="13" customFormat="false" ht="15" hidden="false" customHeight="true" outlineLevel="0" collapsed="false">
      <c r="A13" s="19" t="s">
        <v>43</v>
      </c>
      <c r="B13" s="27" t="n">
        <f aca="false">B12*$B$6</f>
        <v>306000</v>
      </c>
      <c r="C13" s="27" t="n">
        <f aca="false">C12*$B$7</f>
        <v>198000</v>
      </c>
      <c r="D13" s="19" t="s">
        <v>109</v>
      </c>
    </row>
    <row r="14" customFormat="false" ht="15" hidden="false" customHeight="true" outlineLevel="0" collapsed="false">
      <c r="A14" s="21" t="s">
        <v>110</v>
      </c>
      <c r="B14" s="28" t="n">
        <f aca="false">B12-B13</f>
        <v>594000</v>
      </c>
      <c r="C14" s="28" t="n">
        <f aca="false">C12-C13</f>
        <v>702000</v>
      </c>
      <c r="D14" s="19" t="s">
        <v>111</v>
      </c>
    </row>
    <row r="15" customFormat="false" ht="15" hidden="false" customHeight="true" outlineLevel="0" collapsed="false">
      <c r="A15" s="19" t="s">
        <v>112</v>
      </c>
      <c r="B15" s="19" t="s">
        <v>113</v>
      </c>
      <c r="C15" s="19" t="s">
        <v>114</v>
      </c>
      <c r="D15" s="19" t="s">
        <v>115</v>
      </c>
    </row>
    <row r="16" customFormat="false" ht="15" hidden="false" customHeight="true" outlineLevel="0" collapsed="false">
      <c r="A16" s="21" t="s">
        <v>116</v>
      </c>
      <c r="C16" s="28" t="n">
        <f aca="false">C14-B14</f>
        <v>108000</v>
      </c>
      <c r="D16" s="19" t="s">
        <v>117</v>
      </c>
    </row>
    <row r="18" customFormat="false" ht="15" hidden="false" customHeight="true" outlineLevel="0" collapsed="false">
      <c r="A18" s="17" t="s">
        <v>118</v>
      </c>
    </row>
    <row r="19" customFormat="false" ht="15" hidden="false" customHeight="true" outlineLevel="0" collapsed="false">
      <c r="A19" s="19" t="s">
        <v>119</v>
      </c>
      <c r="B19" s="19" t="s">
        <v>120</v>
      </c>
      <c r="C19" s="27" t="n">
        <f aca="false">C14*$B$9</f>
        <v>265636.8</v>
      </c>
      <c r="D19" s="19" t="s">
        <v>121</v>
      </c>
    </row>
    <row r="20" customFormat="false" ht="15" hidden="false" customHeight="true" outlineLevel="0" collapsed="false">
      <c r="A20" s="21" t="s">
        <v>122</v>
      </c>
      <c r="B20" s="28" t="n">
        <f aca="false">B14</f>
        <v>594000</v>
      </c>
      <c r="C20" s="28" t="n">
        <f aca="false">C14-C19</f>
        <v>436363.2</v>
      </c>
      <c r="D20" s="19" t="s">
        <v>123</v>
      </c>
    </row>
    <row r="21" customFormat="false" ht="15" hidden="false" customHeight="true" outlineLevel="0" collapsed="false">
      <c r="A21" s="21" t="s">
        <v>124</v>
      </c>
      <c r="B21" s="29" t="n">
        <f aca="false">1-B20/$B$5</f>
        <v>0.34</v>
      </c>
      <c r="C21" s="29" t="n">
        <f aca="false">1-C20/$B$5</f>
        <v>0.515152</v>
      </c>
      <c r="D21" s="19" t="s">
        <v>125</v>
      </c>
    </row>
    <row r="22" customFormat="false" ht="15" hidden="false" customHeight="true" outlineLevel="0" collapsed="false">
      <c r="A22" s="21" t="s">
        <v>126</v>
      </c>
      <c r="C22" s="28" t="n">
        <f aca="false">C20-B20</f>
        <v>-157636.8</v>
      </c>
      <c r="D22" s="19" t="s">
        <v>127</v>
      </c>
    </row>
    <row r="24" customFormat="false" ht="15" hidden="false" customHeight="true" outlineLevel="0" collapsed="false">
      <c r="A24" s="17" t="s">
        <v>128</v>
      </c>
    </row>
    <row r="25" customFormat="false" ht="27.75" hidden="false" customHeight="true" outlineLevel="0" collapsed="false">
      <c r="A25" s="22" t="s">
        <v>129</v>
      </c>
      <c r="B25" s="22" t="s">
        <v>130</v>
      </c>
      <c r="C25" s="22" t="s">
        <v>131</v>
      </c>
      <c r="D25" s="22" t="s">
        <v>132</v>
      </c>
      <c r="E25" s="22" t="s">
        <v>133</v>
      </c>
      <c r="F25" s="22" t="s">
        <v>134</v>
      </c>
    </row>
    <row r="26" customFormat="false" ht="15" hidden="false" customHeight="true" outlineLevel="0" collapsed="false">
      <c r="A26" s="23" t="n">
        <v>300000</v>
      </c>
      <c r="B26" s="27" t="n">
        <f aca="false">A26*(1-$B$6)</f>
        <v>198000</v>
      </c>
      <c r="C26" s="27" t="n">
        <f aca="false">A26*(1-$B$7)</f>
        <v>234000</v>
      </c>
      <c r="D26" s="27" t="n">
        <f aca="false">C26*(1-$B$9)</f>
        <v>145454.4</v>
      </c>
      <c r="E26" s="27" t="n">
        <f aca="false">C26-B26</f>
        <v>36000</v>
      </c>
      <c r="F26" s="27" t="n">
        <f aca="false">D26-B26</f>
        <v>-52545.6</v>
      </c>
    </row>
    <row r="27" customFormat="false" ht="15" hidden="false" customHeight="true" outlineLevel="0" collapsed="false">
      <c r="A27" s="23" t="n">
        <v>900000</v>
      </c>
      <c r="B27" s="27" t="n">
        <f aca="false">A27*(1-$B$6)</f>
        <v>594000</v>
      </c>
      <c r="C27" s="27" t="n">
        <f aca="false">A27*(1-$B$7)</f>
        <v>702000</v>
      </c>
      <c r="D27" s="27" t="n">
        <f aca="false">C27*(1-$B$9)</f>
        <v>436363.2</v>
      </c>
      <c r="E27" s="27" t="n">
        <f aca="false">C27-B27</f>
        <v>108000</v>
      </c>
      <c r="F27" s="27" t="n">
        <f aca="false">D27-B27</f>
        <v>-157636.8</v>
      </c>
    </row>
    <row r="28" customFormat="false" ht="15" hidden="false" customHeight="true" outlineLevel="0" collapsed="false">
      <c r="A28" s="23" t="n">
        <v>1800000</v>
      </c>
      <c r="B28" s="27" t="n">
        <f aca="false">A28*(1-$B$6)</f>
        <v>1188000</v>
      </c>
      <c r="C28" s="27" t="n">
        <f aca="false">A28*(1-$B$7)</f>
        <v>1404000</v>
      </c>
      <c r="D28" s="27" t="n">
        <f aca="false">C28*(1-$B$9)</f>
        <v>872726.4</v>
      </c>
      <c r="E28" s="27" t="n">
        <f aca="false">C28-B28</f>
        <v>216000</v>
      </c>
      <c r="F28" s="27" t="n">
        <f aca="false">D28-B28</f>
        <v>-315273.6</v>
      </c>
    </row>
    <row r="29" customFormat="false" ht="15" hidden="false" customHeight="true" outlineLevel="0" collapsed="false">
      <c r="A29" s="21" t="s">
        <v>135</v>
      </c>
    </row>
    <row r="31" customFormat="false" ht="15" hidden="false" customHeight="true" outlineLevel="0" collapsed="false">
      <c r="A31" s="17" t="s">
        <v>136</v>
      </c>
    </row>
    <row r="32" customFormat="false" ht="15" hidden="false" customHeight="true" outlineLevel="0" collapsed="false">
      <c r="A32" s="19" t="s">
        <v>137</v>
      </c>
      <c r="B32" s="30" t="str">
        <f aca="false">IF(C16&gt;0,"OK — aksjeselskapet beholder mer av overskuddet så lenge pengene blir stående i selskapet","AVVIK: med disse satsene er det ingen skattefordel ved aksjeselskap i det hele tatt")</f>
        <v>OK — aksjeselskapet beholder mer av overskuddet så lenge pengene blir stående i selskapet</v>
      </c>
    </row>
    <row r="33" customFormat="false" ht="15" hidden="false" customHeight="true" outlineLevel="0" collapsed="false">
      <c r="A33" s="19" t="s">
        <v>138</v>
      </c>
      <c r="B33" s="30" t="str">
        <f aca="false">IF(C22&lt;0,"OK — tar du alt ut, betaler du mer i aksjeselskap enn i enkeltpersonforetak. Det er kapitlets viktigste skattepoeng","AVVIK: sjekk satsene i B6, B7 og B8 — poenget i oppgave 2 forutsetter at fullt uttak er dyrere i aksjeselskap")</f>
        <v>OK — tar du alt ut, betaler du mer i aksjeselskap enn i enkeltpersonforetak. Det er kapitlets viktigste skattepoeng</v>
      </c>
    </row>
    <row r="34" customFormat="false" ht="15" hidden="false" customHeight="true" outlineLevel="0" collapsed="false">
      <c r="A34" s="19" t="s">
        <v>139</v>
      </c>
      <c r="B34" s="30" t="str">
        <f aca="false">IF(AND(ABS(B13+B14-B12)&lt;1,ABS(C13+C14-C12)&lt;1),"OK — skatt pluss rest er lik overskuddet i begge former","AVVIK: regnestykket går ikke opp")</f>
        <v>OK — skatt pluss rest er lik overskuddet i begge former</v>
      </c>
    </row>
    <row r="36" customFormat="false" ht="15" hidden="false" customHeight="true" outlineLevel="0" collapsed="false">
      <c r="A36" s="17" t="s">
        <v>140</v>
      </c>
    </row>
    <row r="37" customFormat="false" ht="15" hidden="false" customHeight="true" outlineLevel="0" collapsed="false">
      <c r="A37" s="19" t="s">
        <v>141</v>
      </c>
    </row>
    <row r="38" customFormat="false" ht="15" hidden="false" customHeight="true" outlineLevel="0" collapsed="false">
      <c r="A38" s="19" t="s">
        <v>142</v>
      </c>
    </row>
    <row r="39" customFormat="false" ht="15" hidden="false" customHeight="true" outlineLevel="0" collapsed="false">
      <c r="A39" s="21" t="s">
        <v>143</v>
      </c>
    </row>
    <row r="40" customFormat="false" ht="15" hidden="false" customHeight="true" outlineLevel="0" collapsed="false">
      <c r="A40" s="16" t="s">
        <v>144</v>
      </c>
    </row>
  </sheetData>
  <conditionalFormatting sqref="B32">
    <cfRule type="expression" priority="2" aboveAverage="0" equalAverage="0" bottom="0" percent="0" rank="0" text="" dxfId="0">
      <formula>LEFT(B32,5)="AVVIK"</formula>
    </cfRule>
  </conditionalFormatting>
  <conditionalFormatting sqref="B33">
    <cfRule type="expression" priority="3" aboveAverage="0" equalAverage="0" bottom="0" percent="0" rank="0" text="" dxfId="0">
      <formula>LEFT(B33,5)="AVVIK"</formula>
    </cfRule>
  </conditionalFormatting>
  <conditionalFormatting sqref="B34">
    <cfRule type="expression" priority="4" aboveAverage="0" equalAverage="0" bottom="0" percent="0" rank="0" text="" dxfId="0">
      <formula>LEFT(B34,5)="AVVIK"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145</v>
      </c>
    </row>
    <row r="2" customFormat="false" ht="15" hidden="false" customHeight="true" outlineLevel="0" collapsed="false">
      <c r="A2" s="15" t="s">
        <v>146</v>
      </c>
    </row>
    <row r="4" customFormat="false" ht="15" hidden="false" customHeight="true" outlineLevel="0" collapsed="false">
      <c r="A4" s="17" t="s">
        <v>94</v>
      </c>
    </row>
    <row r="5" customFormat="false" ht="15" hidden="false" customHeight="true" outlineLevel="0" collapsed="false">
      <c r="A5" s="19" t="s">
        <v>147</v>
      </c>
      <c r="B5" s="23" t="n">
        <v>2400000</v>
      </c>
      <c r="C5" s="19" t="s">
        <v>4</v>
      </c>
    </row>
    <row r="6" customFormat="false" ht="15" hidden="false" customHeight="true" outlineLevel="0" collapsed="false">
      <c r="A6" s="19" t="s">
        <v>148</v>
      </c>
      <c r="B6" s="24" t="n">
        <v>0.5</v>
      </c>
      <c r="C6" s="19" t="s">
        <v>149</v>
      </c>
    </row>
    <row r="7" customFormat="false" ht="15" hidden="false" customHeight="true" outlineLevel="0" collapsed="false">
      <c r="A7" s="19" t="s">
        <v>150</v>
      </c>
      <c r="B7" s="23" t="n">
        <v>800000</v>
      </c>
      <c r="C7" s="19" t="s">
        <v>151</v>
      </c>
    </row>
    <row r="8" customFormat="false" ht="15" hidden="false" customHeight="true" outlineLevel="0" collapsed="false">
      <c r="A8" s="19" t="s">
        <v>152</v>
      </c>
      <c r="B8" s="23" t="n">
        <v>300000</v>
      </c>
      <c r="C8" s="19" t="s">
        <v>153</v>
      </c>
    </row>
    <row r="10" customFormat="false" ht="27.75" hidden="false" customHeight="true" outlineLevel="0" collapsed="false">
      <c r="A10" s="22" t="s">
        <v>154</v>
      </c>
      <c r="B10" s="22" t="s">
        <v>155</v>
      </c>
      <c r="C10" s="22" t="s">
        <v>156</v>
      </c>
    </row>
    <row r="11" customFormat="false" ht="15" hidden="false" customHeight="true" outlineLevel="0" collapsed="false">
      <c r="A11" s="19" t="s">
        <v>104</v>
      </c>
      <c r="B11" s="31" t="n">
        <f aca="false">$B$5</f>
        <v>2400000</v>
      </c>
      <c r="C11" s="19" t="s">
        <v>157</v>
      </c>
    </row>
    <row r="12" customFormat="false" ht="15" hidden="false" customHeight="true" outlineLevel="0" collapsed="false">
      <c r="A12" s="19" t="s">
        <v>158</v>
      </c>
      <c r="B12" s="31" t="n">
        <f aca="false">$B$5</f>
        <v>2400000</v>
      </c>
      <c r="C12" s="19" t="s">
        <v>159</v>
      </c>
    </row>
    <row r="13" customFormat="false" ht="15" hidden="false" customHeight="true" outlineLevel="0" collapsed="false">
      <c r="A13" s="19" t="s">
        <v>160</v>
      </c>
      <c r="B13" s="31" t="n">
        <f aca="false">$B$5*$B$6</f>
        <v>1200000</v>
      </c>
      <c r="C13" s="19" t="s">
        <v>161</v>
      </c>
    </row>
    <row r="14" customFormat="false" ht="15" hidden="false" customHeight="true" outlineLevel="0" collapsed="false">
      <c r="A14" s="21" t="s">
        <v>105</v>
      </c>
      <c r="B14" s="28" t="n">
        <f aca="false">0</f>
        <v>0</v>
      </c>
      <c r="C14" s="19" t="s">
        <v>162</v>
      </c>
    </row>
    <row r="15" customFormat="false" ht="15" hidden="false" customHeight="true" outlineLevel="0" collapsed="false">
      <c r="A15" s="21" t="s">
        <v>163</v>
      </c>
      <c r="B15" s="28" t="n">
        <f aca="false">$B$7</f>
        <v>800000</v>
      </c>
      <c r="C15" s="19" t="s">
        <v>164</v>
      </c>
    </row>
    <row r="17" customFormat="false" ht="15" hidden="false" customHeight="true" outlineLevel="0" collapsed="false">
      <c r="A17" s="17" t="s">
        <v>165</v>
      </c>
    </row>
    <row r="18" customFormat="false" ht="15" hidden="false" customHeight="true" outlineLevel="0" collapsed="false">
      <c r="A18" s="19" t="s">
        <v>166</v>
      </c>
      <c r="B18" s="29" t="n">
        <f aca="false">IF($B$5=0,0,$B$7/$B$5)</f>
        <v>0.333333333333333</v>
      </c>
      <c r="C18" s="19" t="s">
        <v>167</v>
      </c>
    </row>
    <row r="19" customFormat="false" ht="15" hidden="false" customHeight="true" outlineLevel="0" collapsed="false">
      <c r="A19" s="19" t="s">
        <v>168</v>
      </c>
      <c r="B19" s="28" t="n">
        <f aca="false">B15+B8</f>
        <v>1100000</v>
      </c>
      <c r="C19" s="19" t="s">
        <v>169</v>
      </c>
    </row>
    <row r="20" customFormat="false" ht="15" hidden="false" customHeight="true" outlineLevel="0" collapsed="false">
      <c r="A20" s="19" t="s">
        <v>22</v>
      </c>
      <c r="B20" s="28" t="n">
        <f aca="false">B11-B19</f>
        <v>1300000</v>
      </c>
      <c r="C20" s="19" t="s">
        <v>170</v>
      </c>
    </row>
    <row r="22" customFormat="false" ht="15" hidden="false" customHeight="true" outlineLevel="0" collapsed="false">
      <c r="A22" s="17" t="s">
        <v>136</v>
      </c>
    </row>
    <row r="23" customFormat="false" ht="15" hidden="false" customHeight="true" outlineLevel="0" collapsed="false">
      <c r="A23" s="19" t="s">
        <v>171</v>
      </c>
      <c r="B23" s="30" t="str">
        <f aca="false">IF(AND(B14&lt;=B15,B15&lt;=B13,B13&lt;=B12),"OK — ansvaret øker fra aksjeselskap via kausjon og DA til ANS og enkeltpersonforetak","AVVIK: sjekk eierandelen i B6 og kausjonen i B7 — stigen går ikke oppover")</f>
        <v>OK — ansvaret øker fra aksjeselskap via kausjon og DA til ANS og enkeltpersonforetak</v>
      </c>
    </row>
    <row r="24" customFormat="false" ht="15" hidden="false" customHeight="true" outlineLevel="0" collapsed="false">
      <c r="A24" s="19" t="s">
        <v>172</v>
      </c>
      <c r="B24" s="30" t="str">
        <f aca="false">IF(B7&lt;=B5,"OK — kausjonen dekker en del av gjelden, ikke hele","AVVIK: en kausjon større enn den udekkede gjelden gir ikke mening her")</f>
        <v>OK — kausjonen dekker en del av gjelden, ikke hele</v>
      </c>
    </row>
    <row r="25" customFormat="false" ht="15" hidden="false" customHeight="true" outlineLevel="0" collapsed="false">
      <c r="A25" s="19" t="s">
        <v>173</v>
      </c>
      <c r="B25" s="30" t="str">
        <f aca="false">IF(B20&gt;0,"OK — aksjeselskapet sparer deg for det beløpet som står i B20","AVVIK: med denne kausjonen er det ingenting igjen av ansvarsbegrensningen")</f>
        <v>OK — aksjeselskapet sparer deg for det beløpet som står i B20</v>
      </c>
    </row>
    <row r="27" customFormat="false" ht="15" hidden="false" customHeight="true" outlineLevel="0" collapsed="false">
      <c r="A27" s="21" t="s">
        <v>174</v>
      </c>
    </row>
    <row r="28" customFormat="false" ht="15" hidden="false" customHeight="true" outlineLevel="0" collapsed="false">
      <c r="A28" s="16" t="s">
        <v>175</v>
      </c>
    </row>
  </sheetData>
  <conditionalFormatting sqref="B23">
    <cfRule type="expression" priority="2" aboveAverage="0" equalAverage="0" bottom="0" percent="0" rank="0" text="" dxfId="0">
      <formula>LEFT(B23,5)="AVVIK"</formula>
    </cfRule>
  </conditionalFormatting>
  <conditionalFormatting sqref="B24">
    <cfRule type="expression" priority="3" aboveAverage="0" equalAverage="0" bottom="0" percent="0" rank="0" text="" dxfId="0">
      <formula>LEFT(B24,5)="AVVIK"</formula>
    </cfRule>
  </conditionalFormatting>
  <conditionalFormatting sqref="B25">
    <cfRule type="expression" priority="4" aboveAverage="0" equalAverage="0" bottom="0" percent="0" rank="0" text="" dxfId="0">
      <formula>LEFT(B25,5)="AVVIK"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false" outlineLevel="0" max="4" min="4" style="1" width="22"/>
    <col collapsed="false" customWidth="true" hidden="false" outlineLevel="0" max="5" min="5" style="1" width="52"/>
  </cols>
  <sheetData>
    <row r="1" customFormat="false" ht="17.25" hidden="false" customHeight="true" outlineLevel="0" collapsed="false">
      <c r="A1" s="2" t="s">
        <v>176</v>
      </c>
    </row>
    <row r="2" customFormat="false" ht="15" hidden="false" customHeight="true" outlineLevel="0" collapsed="false">
      <c r="A2" s="15" t="s">
        <v>177</v>
      </c>
    </row>
    <row r="4" customFormat="false" ht="15" hidden="false" customHeight="true" outlineLevel="0" collapsed="false">
      <c r="A4" s="17" t="s">
        <v>178</v>
      </c>
    </row>
    <row r="5" customFormat="false" ht="15" hidden="false" customHeight="true" outlineLevel="0" collapsed="false">
      <c r="A5" s="19" t="s">
        <v>179</v>
      </c>
      <c r="B5" s="23" t="n">
        <v>22400000</v>
      </c>
      <c r="E5" s="19" t="s">
        <v>180</v>
      </c>
    </row>
    <row r="6" customFormat="false" ht="15" hidden="false" customHeight="true" outlineLevel="0" collapsed="false">
      <c r="A6" s="19" t="s">
        <v>181</v>
      </c>
      <c r="B6" s="23" t="n">
        <v>10182650</v>
      </c>
      <c r="E6" s="19" t="s">
        <v>182</v>
      </c>
    </row>
    <row r="7" customFormat="false" ht="15" hidden="false" customHeight="true" outlineLevel="0" collapsed="false">
      <c r="A7" s="19" t="s">
        <v>183</v>
      </c>
      <c r="B7" s="32" t="n">
        <v>18</v>
      </c>
    </row>
    <row r="9" customFormat="false" ht="27.75" hidden="false" customHeight="true" outlineLevel="0" collapsed="false">
      <c r="A9" s="22" t="s">
        <v>184</v>
      </c>
      <c r="B9" s="22" t="s">
        <v>185</v>
      </c>
      <c r="C9" s="22" t="s">
        <v>186</v>
      </c>
      <c r="D9" s="22" t="s">
        <v>187</v>
      </c>
      <c r="E9" s="22" t="s">
        <v>188</v>
      </c>
    </row>
    <row r="10" customFormat="false" ht="15" hidden="false" customHeight="true" outlineLevel="0" collapsed="false">
      <c r="A10" s="19" t="s">
        <v>189</v>
      </c>
      <c r="B10" s="27" t="n">
        <f aca="false">$B$5</f>
        <v>22400000</v>
      </c>
      <c r="C10" s="23" t="n">
        <v>7000000</v>
      </c>
      <c r="D10" s="20" t="str">
        <f aca="false">IF(B10&gt;C10,"JA — over grensen","Nei")</f>
        <v>JA — over grensen</v>
      </c>
      <c r="E10" s="19" t="s">
        <v>190</v>
      </c>
    </row>
    <row r="11" customFormat="false" ht="15" hidden="false" customHeight="true" outlineLevel="0" collapsed="false">
      <c r="A11" s="19" t="s">
        <v>191</v>
      </c>
      <c r="B11" s="27" t="n">
        <f aca="false">$B$6</f>
        <v>10182650</v>
      </c>
      <c r="C11" s="23" t="n">
        <v>27000000</v>
      </c>
      <c r="D11" s="20" t="str">
        <f aca="false">IF(B11&gt;C11,"JA — over grensen","Nei")</f>
        <v>Nei</v>
      </c>
      <c r="E11" s="19" t="s">
        <v>192</v>
      </c>
    </row>
    <row r="12" customFormat="false" ht="15" hidden="false" customHeight="true" outlineLevel="0" collapsed="false">
      <c r="A12" s="19" t="s">
        <v>193</v>
      </c>
      <c r="B12" s="33" t="n">
        <f aca="false">$B$7</f>
        <v>18</v>
      </c>
      <c r="C12" s="32" t="n">
        <v>10</v>
      </c>
      <c r="D12" s="20" t="str">
        <f aca="false">IF(B12&gt;C12,"JA — over grensen","Nei")</f>
        <v>JA — over grensen</v>
      </c>
      <c r="E12" s="19" t="s">
        <v>194</v>
      </c>
    </row>
    <row r="13" customFormat="false" ht="15" hidden="false" customHeight="true" outlineLevel="0" collapsed="false">
      <c r="A13" s="21" t="s">
        <v>195</v>
      </c>
      <c r="B13" s="34" t="n">
        <f aca="false">COUNTIF(D10:D12,"JA*")</f>
        <v>2</v>
      </c>
    </row>
    <row r="15" customFormat="false" ht="15" hidden="false" customHeight="true" outlineLevel="0" collapsed="false">
      <c r="A15" s="17" t="s">
        <v>196</v>
      </c>
    </row>
    <row r="16" customFormat="false" ht="15" hidden="false" customHeight="true" outlineLevel="0" collapsed="false">
      <c r="A16" s="21" t="s">
        <v>105</v>
      </c>
      <c r="D16" s="35" t="str">
        <f aca="false">IF(B13=0,"Kan velge bort revisor","Revisjonsplikt — minst én grense er passert")</f>
        <v>Revisjonsplikt — minst én grense er passert</v>
      </c>
      <c r="E16" s="19" t="s">
        <v>197</v>
      </c>
    </row>
    <row r="17" customFormat="false" ht="15" hidden="false" customHeight="true" outlineLevel="0" collapsed="false">
      <c r="A17" s="21" t="s">
        <v>198</v>
      </c>
      <c r="D17" s="35" t="str">
        <f aca="false">IF(B13=0,"Fritatt for revisjon","Revisjonsplikt")</f>
        <v>Revisjonsplikt</v>
      </c>
      <c r="E17" s="19" t="s">
        <v>199</v>
      </c>
    </row>
    <row r="18" customFormat="false" ht="15" hidden="false" customHeight="true" outlineLevel="0" collapsed="false">
      <c r="A18" s="19" t="s">
        <v>200</v>
      </c>
      <c r="D18" s="21" t="s">
        <v>201</v>
      </c>
      <c r="E18" s="19" t="s">
        <v>202</v>
      </c>
    </row>
    <row r="20" customFormat="false" ht="15" hidden="false" customHeight="true" outlineLevel="0" collapsed="false">
      <c r="A20" s="17" t="s">
        <v>203</v>
      </c>
    </row>
    <row r="21" customFormat="false" ht="15" hidden="false" customHeight="true" outlineLevel="0" collapsed="false">
      <c r="A21" s="19" t="s">
        <v>204</v>
      </c>
      <c r="B21" s="23" t="n">
        <v>30000</v>
      </c>
    </row>
    <row r="22" customFormat="false" ht="15" hidden="false" customHeight="true" outlineLevel="0" collapsed="false">
      <c r="A22" s="19" t="s">
        <v>205</v>
      </c>
      <c r="B22" s="23" t="n">
        <v>300000</v>
      </c>
    </row>
    <row r="23" customFormat="false" ht="15" hidden="false" customHeight="true" outlineLevel="0" collapsed="false">
      <c r="A23" s="19" t="s">
        <v>206</v>
      </c>
      <c r="B23" s="36" t="n">
        <f aca="false">B22/B21</f>
        <v>10</v>
      </c>
      <c r="E23" s="19" t="s">
        <v>207</v>
      </c>
    </row>
    <row r="25" customFormat="false" ht="15" hidden="false" customHeight="true" outlineLevel="0" collapsed="false">
      <c r="A25" s="17" t="s">
        <v>136</v>
      </c>
    </row>
    <row r="26" customFormat="false" ht="15" hidden="false" customHeight="true" outlineLevel="0" collapsed="false">
      <c r="A26" s="19" t="s">
        <v>208</v>
      </c>
      <c r="B26" s="30" t="str">
        <f aca="false">IF(B13&gt;0,"OK — bedriften har revisjonsplikt. Med Nordlys-tallene er den over på to av tre grenser: omsetning og årsverk","OK — bedriften er under alle tre grensene og kan velge bort revisor")</f>
        <v>OK — bedriften har revisjonsplikt. Med Nordlys-tallene er den over på to av tre grenser: omsetning og årsverk</v>
      </c>
    </row>
    <row r="27" customFormat="false" ht="15" hidden="false" customHeight="true" outlineLevel="0" collapsed="false">
      <c r="A27" s="19" t="s">
        <v>209</v>
      </c>
      <c r="B27" s="30" t="str">
        <f aca="false">IF(B22&gt;=B21,"OK — aksjekapitalen er minst lovens minstekrav","AVVIK: aksjekapitalen er lavere enn minstekravet — et slikt aksjeselskap kan ikke registreres")</f>
        <v>OK — aksjekapitalen er minst lovens minstekrav</v>
      </c>
    </row>
    <row r="29" customFormat="false" ht="15" hidden="false" customHeight="true" outlineLevel="0" collapsed="false">
      <c r="A29" s="21" t="s">
        <v>210</v>
      </c>
    </row>
    <row r="30" customFormat="false" ht="15" hidden="false" customHeight="true" outlineLevel="0" collapsed="false">
      <c r="A30" s="16" t="s">
        <v>211</v>
      </c>
    </row>
  </sheetData>
  <conditionalFormatting sqref="B26">
    <cfRule type="expression" priority="2" aboveAverage="0" equalAverage="0" bottom="0" percent="0" rank="0" text="" dxfId="0">
      <formula>LEFT(B26,5)="AVVIK"</formula>
    </cfRule>
  </conditionalFormatting>
  <conditionalFormatting sqref="B27">
    <cfRule type="expression" priority="3" aboveAverage="0" equalAverage="0" bottom="0" percent="0" rank="0" text="" dxfId="0">
      <formula>LEFT(B27,5)="AVVIK"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8"/>
    <col collapsed="false" customWidth="true" hidden="false" outlineLevel="0" max="5" min="5" style="1" width="54"/>
  </cols>
  <sheetData>
    <row r="1" customFormat="false" ht="17.25" hidden="false" customHeight="true" outlineLevel="0" collapsed="false">
      <c r="A1" s="2" t="s">
        <v>212</v>
      </c>
    </row>
    <row r="2" customFormat="false" ht="15" hidden="false" customHeight="true" outlineLevel="0" collapsed="false">
      <c r="A2" s="15" t="s">
        <v>213</v>
      </c>
    </row>
    <row r="4" customFormat="false" ht="15" hidden="false" customHeight="true" outlineLevel="0" collapsed="false">
      <c r="A4" s="17" t="s">
        <v>214</v>
      </c>
    </row>
    <row r="5" customFormat="false" ht="15" hidden="false" customHeight="true" outlineLevel="0" collapsed="false">
      <c r="A5" s="16" t="s">
        <v>215</v>
      </c>
    </row>
    <row ht="39.75" customHeight="true" r="7" customFormat="false" hidden="false" outlineLevel="0" collapsed="false">
      <c r="A7" s="22"/>
      <c r="B7" s="22" t="s">
        <v>216</v>
      </c>
      <c r="C7" s="22" t="s">
        <v>217</v>
      </c>
      <c r="D7" s="22" t="s">
        <v>218</v>
      </c>
      <c r="E7" s="22" t="s">
        <v>219</v>
      </c>
    </row>
    <row r="8" customFormat="false" ht="15" hidden="false" customHeight="true" outlineLevel="0" collapsed="false">
      <c r="A8" s="21" t="s">
        <v>129</v>
      </c>
      <c r="B8" s="23" t="n">
        <v>300000</v>
      </c>
      <c r="C8" s="31" t="n">
        <f aca="false">Skatt!B5</f>
        <v>900000</v>
      </c>
      <c r="D8" s="23" t="n">
        <v>1800000</v>
      </c>
      <c r="E8" s="19" t="s">
        <v>220</v>
      </c>
    </row>
    <row r="9" customFormat="false" ht="15" hidden="false" customHeight="true" outlineLevel="0" collapsed="false">
      <c r="A9" s="19" t="s">
        <v>221</v>
      </c>
      <c r="B9" s="27" t="n">
        <f aca="false">B8*(1-Skatt!$B$6)</f>
        <v>198000</v>
      </c>
      <c r="C9" s="27" t="n">
        <f aca="false">C8*(1-Skatt!$B$6)</f>
        <v>594000</v>
      </c>
      <c r="D9" s="27" t="n">
        <f aca="false">D8*(1-Skatt!$B$6)</f>
        <v>1188000</v>
      </c>
      <c r="E9" s="19" t="s">
        <v>222</v>
      </c>
    </row>
    <row r="10" customFormat="false" ht="15" hidden="false" customHeight="true" outlineLevel="0" collapsed="false">
      <c r="A10" s="19" t="s">
        <v>223</v>
      </c>
      <c r="B10" s="27" t="n">
        <f aca="false">B8*(1-Skatt!$B$7)</f>
        <v>234000</v>
      </c>
      <c r="C10" s="27" t="n">
        <f aca="false">C8*(1-Skatt!$B$7)</f>
        <v>702000</v>
      </c>
      <c r="D10" s="27" t="n">
        <f aca="false">D8*(1-Skatt!$B$7)</f>
        <v>1404000</v>
      </c>
      <c r="E10" s="19" t="s">
        <v>224</v>
      </c>
    </row>
    <row r="11" customFormat="false" ht="15" hidden="false" customHeight="true" outlineLevel="0" collapsed="false">
      <c r="A11" s="19" t="s">
        <v>225</v>
      </c>
      <c r="B11" s="27" t="n">
        <f aca="false">B10*(1-Skatt!$B$9)</f>
        <v>145454.4</v>
      </c>
      <c r="C11" s="27" t="n">
        <f aca="false">C10*(1-Skatt!$B$9)</f>
        <v>436363.2</v>
      </c>
      <c r="D11" s="27" t="n">
        <f aca="false">D10*(1-Skatt!$B$9)</f>
        <v>872726.4</v>
      </c>
      <c r="E11" s="19" t="s">
        <v>226</v>
      </c>
    </row>
    <row r="12" customFormat="false" ht="15" hidden="false" customHeight="true" outlineLevel="0" collapsed="false">
      <c r="A12" s="21" t="s">
        <v>227</v>
      </c>
      <c r="B12" s="28" t="n">
        <f aca="false">B10-B9</f>
        <v>36000</v>
      </c>
      <c r="C12" s="28" t="n">
        <f aca="false">C10-C9</f>
        <v>108000</v>
      </c>
      <c r="D12" s="28" t="n">
        <f aca="false">D10-D9</f>
        <v>216000</v>
      </c>
      <c r="E12" s="19" t="s">
        <v>228</v>
      </c>
    </row>
    <row r="13" customFormat="false" ht="15" hidden="false" customHeight="true" outlineLevel="0" collapsed="false">
      <c r="A13" s="21" t="s">
        <v>229</v>
      </c>
      <c r="B13" s="28" t="n">
        <f aca="false">B11-B9</f>
        <v>-52545.6</v>
      </c>
      <c r="C13" s="28" t="n">
        <f aca="false">C11-C9</f>
        <v>-157636.8</v>
      </c>
      <c r="D13" s="28" t="n">
        <f aca="false">D11-D9</f>
        <v>-315273.6</v>
      </c>
      <c r="E13" s="19" t="s">
        <v>230</v>
      </c>
    </row>
    <row r="14" customFormat="false" ht="15" hidden="false" customHeight="true" outlineLevel="0" collapsed="false">
      <c r="A14" s="19" t="s">
        <v>231</v>
      </c>
      <c r="B14" s="37" t="n">
        <f aca="false">B12/B8</f>
        <v>0.12</v>
      </c>
      <c r="C14" s="37" t="n">
        <f aca="false">C12/C8</f>
        <v>0.12</v>
      </c>
      <c r="D14" s="37" t="n">
        <f aca="false">D12/D8</f>
        <v>0.12</v>
      </c>
      <c r="E14" s="19" t="s">
        <v>232</v>
      </c>
    </row>
    <row r="16" customFormat="false" ht="15" hidden="false" customHeight="true" outlineLevel="0" collapsed="false">
      <c r="A16" s="17" t="s">
        <v>136</v>
      </c>
    </row>
    <row r="17" customFormat="false" ht="15" hidden="false" customHeight="true" outlineLevel="0" collapsed="false">
      <c r="A17" s="19" t="s">
        <v>233</v>
      </c>
      <c r="B17" s="30" t="str">
        <f aca="false">IF(AND(ABS(B14-C14)&lt;0.0001,ABS(C14-D14)&lt;0.0001),"OK — samme prosent på alle tre nivåene. Skatten skalerer, og derfor blir den aldri det avgjørende argumentet","AVVIK: satsene er ikke flate — sjekk Skatt!B6, B7 og B8")</f>
        <v>OK — samme prosent på alle tre nivåene. Skatten skalerer, og derfor blir den aldri det avgjørende argumentet</v>
      </c>
    </row>
    <row r="20" customFormat="false" ht="15" hidden="false" customHeight="true" outlineLevel="0" collapsed="false">
      <c r="A20" s="17" t="s">
        <v>234</v>
      </c>
    </row>
    <row r="21" customFormat="false" ht="15" hidden="false" customHeight="true" outlineLevel="0" collapsed="false">
      <c r="A21" s="16" t="s">
        <v>235</v>
      </c>
    </row>
    <row r="23" customFormat="false" ht="15" hidden="false" customHeight="true" outlineLevel="0" collapsed="false">
      <c r="A23" s="19" t="s">
        <v>147</v>
      </c>
      <c r="B23" s="27" t="n">
        <f aca="false">Ansvar!B5</f>
        <v>2400000</v>
      </c>
    </row>
    <row r="24" customFormat="false" ht="15" hidden="false" customHeight="true" outlineLevel="0" collapsed="false">
      <c r="A24" s="19" t="s">
        <v>236</v>
      </c>
      <c r="B24" s="31" t="n">
        <f aca="false">Ansvar!B11</f>
        <v>2400000</v>
      </c>
    </row>
    <row ht="27" customHeight="true" r="25" customFormat="false" hidden="false" outlineLevel="0" collapsed="false">
      <c s="40" r="A25" t="s">
        <v>237</v>
      </c>
      <c r="B25" s="31" t="n">
        <f aca="false">Ansvar!B15+Ansvar!B8</f>
        <v>1100000</v>
      </c>
    </row>
    <row r="26" customFormat="false" ht="15" hidden="false" customHeight="true" outlineLevel="0" collapsed="false">
      <c r="A26" s="21" t="s">
        <v>238</v>
      </c>
      <c r="B26" s="28" t="n">
        <f aca="false">B24-B25</f>
        <v>1300000</v>
      </c>
      <c r="E26" s="19" t="s">
        <v>239</v>
      </c>
    </row>
    <row r="27" customFormat="false" ht="15" hidden="false" customHeight="true" outlineLevel="0" collapsed="false">
      <c r="A27" s="19" t="s">
        <v>240</v>
      </c>
      <c r="B27" s="27" t="n">
        <f aca="false">Skatt!B20</f>
        <v>594000</v>
      </c>
    </row>
    <row r="28" customFormat="false" ht="15" hidden="false" customHeight="true" outlineLevel="0" collapsed="false">
      <c r="A28" s="21" t="s">
        <v>241</v>
      </c>
      <c r="B28" s="38" t="n">
        <f aca="false">B26/B27</f>
        <v>2.18855218855219</v>
      </c>
      <c r="E28" s="19" t="s">
        <v>242</v>
      </c>
    </row>
    <row r="29" customFormat="false" ht="15" hidden="false" customHeight="true" outlineLevel="0" collapsed="false">
      <c r="A29" s="19" t="s">
        <v>243</v>
      </c>
      <c r="B29" s="23" t="n">
        <v>25000</v>
      </c>
    </row>
    <row r="30" customFormat="false" ht="15" hidden="false" customHeight="true" outlineLevel="0" collapsed="false">
      <c r="A30" s="19" t="s">
        <v>244</v>
      </c>
      <c r="B30" s="36" t="n">
        <f aca="false">IF(B29=0,0,B26/B29)</f>
        <v>52</v>
      </c>
      <c r="E30" s="19" t="s">
        <v>245</v>
      </c>
    </row>
    <row r="32" customFormat="false" ht="15" hidden="false" customHeight="true" outlineLevel="0" collapsed="false">
      <c r="A32" s="17" t="s">
        <v>136</v>
      </c>
    </row>
    <row r="33" customFormat="false" ht="15" hidden="false" customHeight="true" outlineLevel="0" collapsed="false">
      <c r="A33" s="19" t="s">
        <v>246</v>
      </c>
      <c r="B33" s="30" t="str">
        <f aca="false">IF(B30&gt;10,"OK — det tar mer enn ti år med merkostnad før aksjeselskapet er like dyrt som én konkurs. Det er derfor ansvaret veier tyngre enn skatten","AVVIK: her er merkostnaden så høy at regnestykket bør gjøres på nytt")</f>
        <v>OK — det tar mer enn ti år med merkostnad før aksjeselskapet er like dyrt som én konkurs. Det er derfor ansvaret veier tyngre enn skatten</v>
      </c>
    </row>
    <row r="36" customFormat="false" ht="15" hidden="false" customHeight="true" outlineLevel="0" collapsed="false">
      <c r="A36" s="17" t="s">
        <v>247</v>
      </c>
    </row>
    <row r="37" customFormat="false" ht="15" hidden="false" customHeight="true" outlineLevel="0" collapsed="false">
      <c r="A37" s="16" t="s">
        <v>248</v>
      </c>
    </row>
    <row r="38" customFormat="false" ht="15" hidden="false" customHeight="true" outlineLevel="0" collapsed="false">
      <c r="A38" s="16" t="s">
        <v>249</v>
      </c>
    </row>
    <row r="39" customFormat="false" ht="15" hidden="false" customHeight="true" outlineLevel="0" collapsed="false">
      <c r="A39" s="19" t="s">
        <v>250</v>
      </c>
      <c r="B39" s="32" t="n">
        <v>1102</v>
      </c>
      <c r="E39" s="19" t="s">
        <v>251</v>
      </c>
    </row>
    <row r="40" customFormat="false" ht="15" hidden="false" customHeight="true" outlineLevel="0" collapsed="false">
      <c r="A40" s="19" t="s">
        <v>252</v>
      </c>
      <c r="B40" s="39" t="n">
        <v>890</v>
      </c>
    </row>
    <row r="41" customFormat="false" ht="15" hidden="false" customHeight="true" outlineLevel="0" collapsed="false">
      <c r="A41" s="19" t="s">
        <v>253</v>
      </c>
      <c r="B41" s="28" t="n">
        <f aca="false">B39*B40</f>
        <v>980780</v>
      </c>
    </row>
    <row r="42" customFormat="false" ht="15" hidden="false" customHeight="true" outlineLevel="0" collapsed="false">
      <c r="A42" s="19" t="s">
        <v>254</v>
      </c>
      <c r="B42" s="23" t="n">
        <v>133111.111111111</v>
      </c>
      <c r="E42" s="19" t="s">
        <v>255</v>
      </c>
    </row>
    <row r="43" customFormat="false" ht="15" hidden="false" customHeight="true" outlineLevel="0" collapsed="false">
      <c r="A43" s="19" t="s">
        <v>256</v>
      </c>
      <c r="B43" s="23" t="n">
        <v>260000</v>
      </c>
      <c r="E43" s="19" t="s">
        <v>257</v>
      </c>
    </row>
    <row r="44" customFormat="false" ht="15" hidden="false" customHeight="true" outlineLevel="0" collapsed="false">
      <c r="A44" s="21" t="s">
        <v>258</v>
      </c>
      <c r="B44" s="28" t="n">
        <f aca="false">B41+B42-B43</f>
        <v>853891.111111111</v>
      </c>
    </row>
    <row r="46" customFormat="false" ht="15" hidden="false" customHeight="true" outlineLevel="0" collapsed="false">
      <c r="A46" s="17" t="s">
        <v>259</v>
      </c>
    </row>
    <row r="47" customFormat="false" ht="15" hidden="false" customHeight="true" outlineLevel="0" collapsed="false">
      <c r="A47" s="19" t="s">
        <v>260</v>
      </c>
      <c r="B47" s="31" t="n">
        <f aca="false">B44*(1-Skatt!$B$6)</f>
        <v>563568.133333333</v>
      </c>
    </row>
    <row r="48" customFormat="false" ht="15" hidden="false" customHeight="true" outlineLevel="0" collapsed="false">
      <c r="A48" s="19" t="s">
        <v>261</v>
      </c>
      <c r="B48" s="31" t="n">
        <f aca="false">B44*(1-Skatt!$B$7)</f>
        <v>666035.066666667</v>
      </c>
    </row>
    <row r="49" customFormat="false" ht="15" hidden="false" customHeight="true" outlineLevel="0" collapsed="false">
      <c r="A49" s="19" t="s">
        <v>225</v>
      </c>
      <c r="B49" s="31" t="n">
        <f aca="false">B48*(1-Skatt!$B$9)</f>
        <v>414007.39744</v>
      </c>
    </row>
    <row r="50" customFormat="false" ht="15" hidden="false" customHeight="true" outlineLevel="0" collapsed="false">
      <c r="A50" s="21" t="s">
        <v>262</v>
      </c>
      <c r="B50" s="28" t="n">
        <f aca="false">B48-B47</f>
        <v>102466.933333333</v>
      </c>
    </row>
    <row r="51" customFormat="false" ht="15" hidden="false" customHeight="true" outlineLevel="0" collapsed="false">
      <c r="A51" s="21" t="s">
        <v>263</v>
      </c>
      <c r="B51" s="28" t="n">
        <f aca="false">B49-B47</f>
        <v>-149560.735893333</v>
      </c>
      <c r="E51" s="19" t="s">
        <v>264</v>
      </c>
    </row>
    <row r="52" customFormat="false" ht="15" hidden="false" customHeight="true" outlineLevel="0" collapsed="false">
      <c r="A52" s="19" t="s">
        <v>243</v>
      </c>
      <c r="B52" s="27" t="n">
        <f aca="false">B29</f>
        <v>25000</v>
      </c>
    </row>
    <row r="53" customFormat="false" ht="15" hidden="false" customHeight="true" outlineLevel="0" collapsed="false">
      <c r="A53" s="21" t="s">
        <v>265</v>
      </c>
      <c r="B53" s="28" t="n">
        <f aca="false">B50-B52</f>
        <v>77466.9333333335</v>
      </c>
    </row>
    <row r="54" customFormat="false" ht="15" hidden="false" customHeight="true" outlineLevel="0" collapsed="false">
      <c r="A54" s="19" t="s">
        <v>266</v>
      </c>
      <c r="B54" s="36" t="n">
        <f aca="false">B52/B40</f>
        <v>28.0898876404494</v>
      </c>
      <c r="E54" s="19" t="s">
        <v>267</v>
      </c>
    </row>
    <row r="56" customFormat="false" ht="15" hidden="false" customHeight="true" outlineLevel="0" collapsed="false">
      <c r="A56" s="17" t="s">
        <v>268</v>
      </c>
    </row>
    <row r="57" customFormat="false" ht="15" hidden="false" customHeight="true" outlineLevel="0" collapsed="false">
      <c r="A57" s="19" t="s">
        <v>269</v>
      </c>
      <c r="B57" s="23" t="n">
        <v>2400000</v>
      </c>
    </row>
    <row r="58" customFormat="false" ht="15" hidden="false" customHeight="true" outlineLevel="0" collapsed="false">
      <c r="A58" s="21" t="s">
        <v>270</v>
      </c>
      <c r="B58" s="38" t="n">
        <f aca="false">B57/B47</f>
        <v>4.25858003326897</v>
      </c>
      <c r="E58" s="19" t="s">
        <v>271</v>
      </c>
    </row>
    <row r="60" customFormat="false" ht="15" hidden="false" customHeight="true" outlineLevel="0" collapsed="false">
      <c r="A60" s="17" t="s">
        <v>136</v>
      </c>
    </row>
    <row r="61" customFormat="false" ht="15" hidden="false" customHeight="true" outlineLevel="0" collapsed="false">
      <c r="A61" s="19" t="s">
        <v>272</v>
      </c>
      <c r="B61" s="30" t="str">
        <f aca="false">IF(B51&lt;0,"AVVIK: skattefordelen er negativ — aksjeselskap koster ham penger på skatten når han tar ut hele overskuddet","OK — skatten taler for aksjeselskap også ved fullt uttak")</f>
        <v>AVVIK: skattefordelen er negativ — aksjeselskap koster ham penger på skatten når han tar ut hele overskuddet</v>
      </c>
    </row>
    <row r="62" customFormat="false" ht="15" hidden="false" customHeight="true" outlineLevel="0" collapsed="false">
      <c r="A62" s="16" t="s">
        <v>273</v>
      </c>
    </row>
    <row r="63" customFormat="false" ht="15" hidden="false" customHeight="true" outlineLevel="0" collapsed="false">
      <c r="A63" s="19" t="s">
        <v>274</v>
      </c>
      <c r="B63" s="30" t="str">
        <f aca="false">IF(B41+B42&lt;Grenser!C10,"OK — han er under grensen for driftsinntekter og kan velge bort revisor det første året","AVVIK: han passerer revisjonsgrensen allerede første år")</f>
        <v>OK — han er under grensen for driftsinntekter og kan velge bort revisor det første året</v>
      </c>
    </row>
    <row r="64" customFormat="false" ht="15" hidden="false" customHeight="true" outlineLevel="0" collapsed="false">
      <c r="A64" s="19" t="s">
        <v>275</v>
      </c>
      <c r="B64" s="30" t="str">
        <f aca="false">IF(B58&gt;2,"OK — ansvarssaken tilsvarer mer enn to års inntekt etter skatt. Det er derfor ansvaret veier tyngre enn skatten i denne drøftingen","AVVIK: med disse tallene er ansvarsrisikoen for liten til å bære drøftingen")</f>
        <v>OK — ansvarssaken tilsvarer mer enn to års inntekt etter skatt. Det er derfor ansvaret veier tyngre enn skatten i denne drøftingen</v>
      </c>
    </row>
    <row r="66" customFormat="false" ht="15" hidden="false" customHeight="true" outlineLevel="0" collapsed="false">
      <c r="A66" s="16" t="s">
        <v>276</v>
      </c>
    </row>
    <row r="67" customFormat="false" ht="15" hidden="false" customHeight="true" outlineLevel="0" collapsed="false">
      <c r="A67" s="16" t="s">
        <v>90</v>
      </c>
    </row>
  </sheetData>
  <conditionalFormatting sqref="B17">
    <cfRule type="expression" priority="2" aboveAverage="0" equalAverage="0" bottom="0" percent="0" rank="0" text="" dxfId="0">
      <formula>LEFT(B17,5)="AVVIK"</formula>
    </cfRule>
  </conditionalFormatting>
  <conditionalFormatting sqref="B33">
    <cfRule type="expression" priority="3" aboveAverage="0" equalAverage="0" bottom="0" percent="0" rank="0" text="" dxfId="0">
      <formula>LEFT(B33,5)="AVVIK"</formula>
    </cfRule>
  </conditionalFormatting>
  <conditionalFormatting sqref="B61">
    <cfRule type="expression" priority="4" aboveAverage="0" equalAverage="0" bottom="0" percent="0" rank="0" text="" dxfId="0">
      <formula>LEFT(B61,5)="AVVIK"</formula>
    </cfRule>
  </conditionalFormatting>
  <conditionalFormatting sqref="B63">
    <cfRule type="expression" priority="5" aboveAverage="0" equalAverage="0" bottom="0" percent="0" rank="0" text="" dxfId="0">
      <formula>LEFT(B63,5)="AVVIK"</formula>
    </cfRule>
  </conditionalFormatting>
  <conditionalFormatting sqref="B64">
    <cfRule type="expression" priority="6" aboveAverage="0" equalAverage="0" bottom="0" percent="0" rank="0" text="" dxfId="0">
      <formula>LEFT(B64,5)="AVVIK"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2026-09-15T07:40:10Z</dcterms:created>
  <dc:creator>openpyxl</dc:creator>
  <dc:description/>
  <dc:language>en-US</dc:language>
  <cp:lastModifiedBy/>
  <dcterms:modified xsi:type="dcterms:W3CDTF">2026-10-08T13:18:06Z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